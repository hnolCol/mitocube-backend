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ttributes" sheetId="1" state="visible" r:id="rId2"/>
    <sheet name="attribute_values" sheetId="2" state="visible" r:id="rId3"/>
    <sheet name="attribute_values_ar" sheetId="3" state="visible" r:id="rId4"/>
    <sheet name="Sheet2" sheetId="4" state="visible" r:id="rId5"/>
    <sheet name="STATES" sheetId="5" state="visible" r:id="rId6"/>
  </sheets>
  <definedNames>
    <definedName function="false" hidden="true" localSheetId="2" name="_xlnm._FilterDatabase" vbProcedure="false">attribute_values_ar!$A$1:$O$365</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<sst xmlns="http://schemas.openxmlformats.org/spreadsheetml/2006/main" count="10133" uniqueCount="2811">
  <si>
    <t xml:space="preserve">tag</t>
  </si>
  <si>
    <t xml:space="preserve">parent_tag</t>
  </si>
  <si>
    <t xml:space="preserve">text</t>
  </si>
  <si>
    <t xml:space="preserve">priority</t>
  </si>
  <si>
    <t xml:space="preserve">has_features_value</t>
  </si>
  <si>
    <t xml:space="preserve">has_numeric_input</t>
  </si>
  <si>
    <t xml:space="preserve">group_tag</t>
  </si>
  <si>
    <t xml:space="preserve">min_state</t>
  </si>
  <si>
    <t xml:space="preserve">mandatory_for_submission</t>
  </si>
  <si>
    <t xml:space="preserve">mandatory_for_active</t>
  </si>
  <si>
    <t xml:space="preserve">allow_as_filter</t>
  </si>
  <si>
    <t xml:space="preserve">allow_for_user</t>
  </si>
  <si>
    <t xml:space="preserve">allow_for_genotype</t>
  </si>
  <si>
    <t xml:space="preserve">allow_for_qc</t>
  </si>
  <si>
    <t xml:space="preserve">allow_for_dataset</t>
  </si>
  <si>
    <t xml:space="preserve">allow_for_sample</t>
  </si>
  <si>
    <t xml:space="preserve">att_aa_starvation</t>
  </si>
  <si>
    <t xml:space="preserve">NA</t>
  </si>
  <si>
    <t xml:space="preserve">Amino Acid Starvation</t>
  </si>
  <si>
    <t xml:space="preserve">FALSE</t>
  </si>
  <si>
    <t xml:space="preserve">treatment</t>
  </si>
  <si>
    <t xml:space="preserve">TRUE</t>
  </si>
  <si>
    <t xml:space="preserve">att_acquisition</t>
  </si>
  <si>
    <t xml:space="preserve">att_ms</t>
  </si>
  <si>
    <t xml:space="preserve">Acquisition</t>
  </si>
  <si>
    <t xml:space="preserve">ms</t>
  </si>
  <si>
    <t xml:space="preserve">att_alkylation</t>
  </si>
  <si>
    <t xml:space="preserve">att_digestion_method</t>
  </si>
  <si>
    <t xml:space="preserve">Protein Alkylation</t>
  </si>
  <si>
    <t xml:space="preserve">digestion</t>
  </si>
  <si>
    <t xml:space="preserve">att_analysis_mode</t>
  </si>
  <si>
    <t xml:space="preserve">att_software</t>
  </si>
  <si>
    <t xml:space="preserve">Software Analysis Mode</t>
  </si>
  <si>
    <t xml:space="preserve">data_analysis</t>
  </si>
  <si>
    <t xml:space="preserve">att_batch</t>
  </si>
  <si>
    <t xml:space="preserve">Batch</t>
  </si>
  <si>
    <t xml:space="preserve">batch</t>
  </si>
  <si>
    <t xml:space="preserve">att_cap_temp</t>
  </si>
  <si>
    <t xml:space="preserve">att_ms_ionsource</t>
  </si>
  <si>
    <t xml:space="preserve">Capillary Temp</t>
  </si>
  <si>
    <t xml:space="preserve">att_cell</t>
  </si>
  <si>
    <t xml:space="preserve">Cell</t>
  </si>
  <si>
    <t xml:space="preserve">sample_description</t>
  </si>
  <si>
    <t xml:space="preserve">att_cellline</t>
  </si>
  <si>
    <t xml:space="preserve">Cellline</t>
  </si>
  <si>
    <t xml:space="preserve">att_centr_pellet</t>
  </si>
  <si>
    <t xml:space="preserve">Centrifugation (Pellet) [k x g]</t>
  </si>
  <si>
    <t xml:space="preserve">sample_prep</t>
  </si>
  <si>
    <t xml:space="preserve">att_centr_supernatant</t>
  </si>
  <si>
    <t xml:space="preserve">Centrifugation (Supernatant) [k x g]</t>
  </si>
  <si>
    <t xml:space="preserve">att_collision_energy</t>
  </si>
  <si>
    <t xml:space="preserve">Collision Energy [%]</t>
  </si>
  <si>
    <t xml:space="preserve">att_column_inner_diameter</t>
  </si>
  <si>
    <t xml:space="preserve">att_column_type</t>
  </si>
  <si>
    <t xml:space="preserve">Column Inner Diameter [um]</t>
  </si>
  <si>
    <t xml:space="preserve">lc</t>
  </si>
  <si>
    <t xml:space="preserve">att_column_length</t>
  </si>
  <si>
    <t xml:space="preserve">Column Length [cm]</t>
  </si>
  <si>
    <t xml:space="preserve">att_column_outer_diameter</t>
  </si>
  <si>
    <t xml:space="preserve">Column Outer Diameter [um]</t>
  </si>
  <si>
    <t xml:space="preserve">att_column_oven_temp</t>
  </si>
  <si>
    <t xml:space="preserve">Column Oven Temp</t>
  </si>
  <si>
    <t xml:space="preserve">att_column_particle_size</t>
  </si>
  <si>
    <t xml:space="preserve">Column Particle Size [um]</t>
  </si>
  <si>
    <t xml:space="preserve">att_column_pore_size</t>
  </si>
  <si>
    <t xml:space="preserve">Column Pore Size</t>
  </si>
  <si>
    <t xml:space="preserve">att_column_stat_phase</t>
  </si>
  <si>
    <t xml:space="preserve">Column Stationary Phase</t>
  </si>
  <si>
    <t xml:space="preserve">Column Type</t>
  </si>
  <si>
    <t xml:space="preserve">att_compound</t>
  </si>
  <si>
    <t xml:space="preserve">Chemical Compound Treatment</t>
  </si>
  <si>
    <t xml:space="preserve">att_concentration_m</t>
  </si>
  <si>
    <t xml:space="preserve">Concentration [M]</t>
  </si>
  <si>
    <t xml:space="preserve">att_concentration_mm</t>
  </si>
  <si>
    <t xml:space="preserve">Concentration [mM]</t>
  </si>
  <si>
    <t xml:space="preserve">att_concentration_per</t>
  </si>
  <si>
    <t xml:space="preserve">Concentration [%]</t>
  </si>
  <si>
    <t xml:space="preserve">att_concentration_um</t>
  </si>
  <si>
    <t xml:space="preserve">Concentration [uM]</t>
  </si>
  <si>
    <t xml:space="preserve">att_crosslink_hydroamine_cleavable</t>
  </si>
  <si>
    <t xml:space="preserve">Hydroxylamine Cleavable Crosslinker</t>
  </si>
  <si>
    <t xml:space="preserve">crosslinker</t>
  </si>
  <si>
    <t xml:space="preserve">att_crosslink_ms_cleavable</t>
  </si>
  <si>
    <t xml:space="preserve">MS2 Clevable Crosslinker</t>
  </si>
  <si>
    <t xml:space="preserve">att_crosslink_non_clevable</t>
  </si>
  <si>
    <t xml:space="preserve">Non Clevable Crosslinker</t>
  </si>
  <si>
    <t xml:space="preserve">att_crosslink_thiol_cleavable</t>
  </si>
  <si>
    <t xml:space="preserve">Thiol-Clevable Crosslinker</t>
  </si>
  <si>
    <t xml:space="preserve">att_cycletime</t>
  </si>
  <si>
    <t xml:space="preserve">Cycle Time [ms]</t>
  </si>
  <si>
    <t xml:space="preserve">att_detergent</t>
  </si>
  <si>
    <t xml:space="preserve">att_lysis_method</t>
  </si>
  <si>
    <t xml:space="preserve">Detergent</t>
  </si>
  <si>
    <t xml:space="preserve">lysis</t>
  </si>
  <si>
    <t xml:space="preserve">att_dia_mz_end</t>
  </si>
  <si>
    <t xml:space="preserve">att_diawindows</t>
  </si>
  <si>
    <t xml:space="preserve">DIA End [m/z]</t>
  </si>
  <si>
    <t xml:space="preserve">att_dia_mz_start</t>
  </si>
  <si>
    <t xml:space="preserve">DIA Start [m/z]</t>
  </si>
  <si>
    <t xml:space="preserve">Number DIA Windows</t>
  </si>
  <si>
    <t xml:space="preserve">Digestion Method</t>
  </si>
  <si>
    <t xml:space="preserve">att_digestion_temp</t>
  </si>
  <si>
    <t xml:space="preserve">Digestion Temperature [°C]</t>
  </si>
  <si>
    <t xml:space="preserve">att_digestion_time</t>
  </si>
  <si>
    <t xml:space="preserve">Digestion Time [h]</t>
  </si>
  <si>
    <t xml:space="preserve">att_digestion_vessel</t>
  </si>
  <si>
    <t xml:space="preserve">Digestion Vessel</t>
  </si>
  <si>
    <t xml:space="preserve">att_digestion_volume</t>
  </si>
  <si>
    <t xml:space="preserve">Digestion Volume</t>
  </si>
  <si>
    <t xml:space="preserve">att_disease</t>
  </si>
  <si>
    <t xml:space="preserve">Disease</t>
  </si>
  <si>
    <t xml:space="preserve">att_environment_treatment</t>
  </si>
  <si>
    <t xml:space="preserve">Environment Treament</t>
  </si>
  <si>
    <t xml:space="preserve">att_experiment</t>
  </si>
  <si>
    <t xml:space="preserve">Experiment Type</t>
  </si>
  <si>
    <t xml:space="preserve">general</t>
  </si>
  <si>
    <t xml:space="preserve">att_faims_cv</t>
  </si>
  <si>
    <t xml:space="preserve">att_ms_interface</t>
  </si>
  <si>
    <t xml:space="preserve">FAIMS Compoensation Voltage </t>
  </si>
  <si>
    <t xml:space="preserve">att_faims_gasflow</t>
  </si>
  <si>
    <t xml:space="preserve">FAIMS Gas flow in mL/min</t>
  </si>
  <si>
    <t xml:space="preserve">att_faims_inner_temp</t>
  </si>
  <si>
    <t xml:space="preserve">FAIMS Inner Electrode Temp</t>
  </si>
  <si>
    <t xml:space="preserve">att_faims_outer_temp</t>
  </si>
  <si>
    <t xml:space="preserve">FAIMS Outer Electrode Temp</t>
  </si>
  <si>
    <t xml:space="preserve">att_fasta_file</t>
  </si>
  <si>
    <t xml:space="preserve">Fasta File</t>
  </si>
  <si>
    <t xml:space="preserve">att_funding</t>
  </si>
  <si>
    <t xml:space="preserve">Source of Funding</t>
  </si>
  <si>
    <t xml:space="preserve">funding</t>
  </si>
  <si>
    <t xml:space="preserve">att_gene_editing_method</t>
  </si>
  <si>
    <t xml:space="preserve">att_gene_zygosity</t>
  </si>
  <si>
    <t xml:space="preserve">Editing method</t>
  </si>
  <si>
    <t xml:space="preserve">genotype</t>
  </si>
  <si>
    <t xml:space="preserve">att_gene_engineering</t>
  </si>
  <si>
    <t xml:space="preserve">att_protein_coding_sequence</t>
  </si>
  <si>
    <t xml:space="preserve">Gene engineering</t>
  </si>
  <si>
    <t xml:space="preserve">Zygosity</t>
  </si>
  <si>
    <t xml:space="preserve">att_isolation_width</t>
  </si>
  <si>
    <t xml:space="preserve">Isolation Width [Th]</t>
  </si>
  <si>
    <t xml:space="preserve">att_knockdown</t>
  </si>
  <si>
    <t xml:space="preserve">att_knockdown_technique</t>
  </si>
  <si>
    <t xml:space="preserve">Gene Knock-down</t>
  </si>
  <si>
    <t xml:space="preserve">knockdown</t>
  </si>
  <si>
    <t xml:space="preserve">Knockdown Technique</t>
  </si>
  <si>
    <t xml:space="preserve">att_lc_flow_rate</t>
  </si>
  <si>
    <t xml:space="preserve">att_lc_system_name</t>
  </si>
  <si>
    <t xml:space="preserve">LC Flow rate [nL/min]</t>
  </si>
  <si>
    <t xml:space="preserve">att_lc_gradient_length</t>
  </si>
  <si>
    <t xml:space="preserve">Gradient Length [min]</t>
  </si>
  <si>
    <t xml:space="preserve">att_lc_system</t>
  </si>
  <si>
    <t xml:space="preserve">LC System</t>
  </si>
  <si>
    <t xml:space="preserve">LC System Name</t>
  </si>
  <si>
    <t xml:space="preserve">att_liquid_handler</t>
  </si>
  <si>
    <t xml:space="preserve">Liquid Handler</t>
  </si>
  <si>
    <t xml:space="preserve">att_lysis_buffer</t>
  </si>
  <si>
    <t xml:space="preserve">Lysis Buffer</t>
  </si>
  <si>
    <t xml:space="preserve">Lysis Method</t>
  </si>
  <si>
    <t xml:space="preserve">att_metabolic_label</t>
  </si>
  <si>
    <t xml:space="preserve">Metabolic / SILAC Labeling</t>
  </si>
  <si>
    <t xml:space="preserve">att_mitocarta_pathway</t>
  </si>
  <si>
    <t xml:space="preserve">MitoCarta3.0 Pathway</t>
  </si>
  <si>
    <t xml:space="preserve">pathway</t>
  </si>
  <si>
    <t xml:space="preserve">att_model</t>
  </si>
  <si>
    <t xml:space="preserve">Model</t>
  </si>
  <si>
    <t xml:space="preserve">Mass Spectrometer Type</t>
  </si>
  <si>
    <t xml:space="preserve">Interface</t>
  </si>
  <si>
    <t xml:space="preserve">att_ms_name</t>
  </si>
  <si>
    <t xml:space="preserve">Ion Source</t>
  </si>
  <si>
    <t xml:space="preserve">Mass Spectrometer</t>
  </si>
  <si>
    <t xml:space="preserve">att_ms1_mz_end</t>
  </si>
  <si>
    <t xml:space="preserve">att_ms1_resolution</t>
  </si>
  <si>
    <t xml:space="preserve">MS1 End [m/z]</t>
  </si>
  <si>
    <t xml:space="preserve">att_ms1_mz_start</t>
  </si>
  <si>
    <t xml:space="preserve">MS1 Start [m/z]</t>
  </si>
  <si>
    <t xml:space="preserve">MS1 Resolution</t>
  </si>
  <si>
    <t xml:space="preserve">att_ms2_mz_end</t>
  </si>
  <si>
    <t xml:space="preserve">att_ms2_resolution</t>
  </si>
  <si>
    <t xml:space="preserve">MS2 End [m/z]</t>
  </si>
  <si>
    <t xml:space="preserve">att_ms2_mz_start</t>
  </si>
  <si>
    <t xml:space="preserve">MS2 Start [m/z]</t>
  </si>
  <si>
    <t xml:space="preserve">MS2 Resolution</t>
  </si>
  <si>
    <t xml:space="preserve">att_muscle</t>
  </si>
  <si>
    <t xml:space="preserve">att_organ</t>
  </si>
  <si>
    <t xml:space="preserve">Muscle</t>
  </si>
  <si>
    <t xml:space="preserve">att_offline_frac_instrument</t>
  </si>
  <si>
    <t xml:space="preserve">att_offline_fractionation</t>
  </si>
  <si>
    <t xml:space="preserve">Offline Fractionation Instrument</t>
  </si>
  <si>
    <t xml:space="preserve">fractionation</t>
  </si>
  <si>
    <t xml:space="preserve">att_offline_fraction_index</t>
  </si>
  <si>
    <t xml:space="preserve">att_offline_fraction</t>
  </si>
  <si>
    <t xml:space="preserve">Offline Fractionation Index</t>
  </si>
  <si>
    <t xml:space="preserve">Offline Fractionation</t>
  </si>
  <si>
    <t xml:space="preserve">att_offline_gradient_length</t>
  </si>
  <si>
    <t xml:space="preserve">Offline Fractionation Gradient Length</t>
  </si>
  <si>
    <t xml:space="preserve">att_offline_num_fraction</t>
  </si>
  <si>
    <t xml:space="preserve">Number Offline Fractionations</t>
  </si>
  <si>
    <t xml:space="preserve">att_omics_type</t>
  </si>
  <si>
    <t xml:space="preserve">Omics Type</t>
  </si>
  <si>
    <t xml:space="preserve">Organ</t>
  </si>
  <si>
    <t xml:space="preserve">att_organism</t>
  </si>
  <si>
    <t xml:space="preserve">Organism</t>
  </si>
  <si>
    <t xml:space="preserve">att_phystraining</t>
  </si>
  <si>
    <t xml:space="preserve">Physical Training</t>
  </si>
  <si>
    <t xml:space="preserve">att_poi</t>
  </si>
  <si>
    <t xml:space="preserve">Protein(s) of interest</t>
  </si>
  <si>
    <t xml:space="preserve">project_background</t>
  </si>
  <si>
    <t xml:space="preserve">att_protease</t>
  </si>
  <si>
    <t xml:space="preserve">Protease</t>
  </si>
  <si>
    <t xml:space="preserve">Protein coding sequence</t>
  </si>
  <si>
    <t xml:space="preserve">att_protein_mutation</t>
  </si>
  <si>
    <t xml:space="preserve">Protein Mutation</t>
  </si>
  <si>
    <t xml:space="preserve">att_protein_position</t>
  </si>
  <si>
    <t xml:space="preserve">Protein Position</t>
  </si>
  <si>
    <t xml:space="preserve">att_quant_algorithm</t>
  </si>
  <si>
    <t xml:space="preserve">att_quantification</t>
  </si>
  <si>
    <t xml:space="preserve">Quantification Algorithm</t>
  </si>
  <si>
    <t xml:space="preserve">Quantification Type</t>
  </si>
  <si>
    <t xml:space="preserve">att_reduction</t>
  </si>
  <si>
    <t xml:space="preserve">Protein Reduction</t>
  </si>
  <si>
    <t xml:space="preserve">att_rf_level</t>
  </si>
  <si>
    <t xml:space="preserve">RF Level</t>
  </si>
  <si>
    <t xml:space="preserve">Software</t>
  </si>
  <si>
    <t xml:space="preserve">att_spatial_fraction</t>
  </si>
  <si>
    <t xml:space="preserve">Spatial Fraction</t>
  </si>
  <si>
    <t xml:space="preserve">att_spray_voltage</t>
  </si>
  <si>
    <t xml:space="preserve">Spray Voltage [kV]</t>
  </si>
  <si>
    <t xml:space="preserve">att_time_a</t>
  </si>
  <si>
    <t xml:space="preserve">Time [a]</t>
  </si>
  <si>
    <t xml:space="preserve">time</t>
  </si>
  <si>
    <t xml:space="preserve">att_time_d</t>
  </si>
  <si>
    <t xml:space="preserve">Time [d]</t>
  </si>
  <si>
    <t xml:space="preserve">att_time_h</t>
  </si>
  <si>
    <t xml:space="preserve">Time [h]</t>
  </si>
  <si>
    <t xml:space="preserve">att_time_min</t>
  </si>
  <si>
    <t xml:space="preserve">Time [min]</t>
  </si>
  <si>
    <t xml:space="preserve">att_time_ms</t>
  </si>
  <si>
    <t xml:space="preserve">Time [ms]</t>
  </si>
  <si>
    <t xml:space="preserve">att_time_s</t>
  </si>
  <si>
    <t xml:space="preserve">Time [s|</t>
  </si>
  <si>
    <t xml:space="preserve">att_time_w</t>
  </si>
  <si>
    <t xml:space="preserve">Time [weeks]</t>
  </si>
  <si>
    <t xml:space="preserve">att_tissue</t>
  </si>
  <si>
    <t xml:space="preserve">Tissue</t>
  </si>
  <si>
    <t xml:space="preserve">att_tmt_channel</t>
  </si>
  <si>
    <t xml:space="preserve">TMT 10 plex</t>
  </si>
  <si>
    <t xml:space="preserve">att_topn</t>
  </si>
  <si>
    <t xml:space="preserve">TopN</t>
  </si>
  <si>
    <t xml:space="preserve">att_user_email</t>
  </si>
  <si>
    <t xml:space="preserve">eMail</t>
  </si>
  <si>
    <t xml:space="preserve">user</t>
  </si>
  <si>
    <t xml:space="preserve">att_user_firstname</t>
  </si>
  <si>
    <t xml:space="preserve">First name</t>
  </si>
  <si>
    <t xml:space="preserve">att_user_institute</t>
  </si>
  <si>
    <t xml:space="preserve">Institute</t>
  </si>
  <si>
    <t xml:space="preserve">att_user_lastname</t>
  </si>
  <si>
    <t xml:space="preserve">Last name</t>
  </si>
  <si>
    <t xml:space="preserve">att_user_research_group</t>
  </si>
  <si>
    <t xml:space="preserve">Research Group</t>
  </si>
  <si>
    <t xml:space="preserve">att_user_role</t>
  </si>
  <si>
    <t xml:space="preserve">Role</t>
  </si>
  <si>
    <t xml:space="preserve">attribute_value</t>
  </si>
  <si>
    <t xml:space="preserve">attribute_tag</t>
  </si>
  <si>
    <t xml:space="preserve">keyword</t>
  </si>
  <si>
    <t xml:space="preserve">description</t>
  </si>
  <si>
    <t xml:space="preserve">steroid_synthesis</t>
  </si>
  <si>
    <t xml:space="preserve">Cholesterol, bile acid, steroid synthesis</t>
  </si>
  <si>
    <t xml:space="preserve">Metabolism &gt; Lipid metabolism &gt; Cholesterol, bile acid, steroid synthesis</t>
  </si>
  <si>
    <t xml:space="preserve">q_linked_reactions</t>
  </si>
  <si>
    <t xml:space="preserve">Q-linked reactions, other</t>
  </si>
  <si>
    <t xml:space="preserve">Metabolism &gt; Electron carriers &gt; Q-linked reactions, other</t>
  </si>
  <si>
    <t xml:space="preserve">protein_import</t>
  </si>
  <si>
    <t xml:space="preserve">Protein import, sorting and homeostasis</t>
  </si>
  <si>
    <t xml:space="preserve">360um</t>
  </si>
  <si>
    <t xml:space="preserve">360 µm outer column diameter</t>
  </si>
  <si>
    <t xml:space="preserve">arginine</t>
  </si>
  <si>
    <t xml:space="preserve">att_aa</t>
  </si>
  <si>
    <t xml:space="preserve">Arginine</t>
  </si>
  <si>
    <t xml:space="preserve">Arginine (Arg/R) MW (Da):174,20 C6H14N4O2 pKa: 2,17</t>
  </si>
  <si>
    <t xml:space="preserve">asparagine</t>
  </si>
  <si>
    <t xml:space="preserve">Asparagine</t>
  </si>
  <si>
    <t xml:space="preserve">Asparagine (Asn/N) MW (Da):132,12 C4H8N2O3</t>
  </si>
  <si>
    <t xml:space="preserve">asparticacid</t>
  </si>
  <si>
    <t xml:space="preserve">Aspartic</t>
  </si>
  <si>
    <t xml:space="preserve">Aspartic acid (Asp/D) MW (Da):133,11 C4H7NO4</t>
  </si>
  <si>
    <t xml:space="preserve">cysteine</t>
  </si>
  <si>
    <t xml:space="preserve">Cysteine</t>
  </si>
  <si>
    <t xml:space="preserve">Cysteine (Cys/C) MW (Da):121,16 C3H7NO2S</t>
  </si>
  <si>
    <t xml:space="preserve">glutamicacid</t>
  </si>
  <si>
    <t xml:space="preserve">Glutamic</t>
  </si>
  <si>
    <t xml:space="preserve">Glutamic acid (Glu/E) MW (Da):147,13 C5H9NO4</t>
  </si>
  <si>
    <t xml:space="preserve">glutamine</t>
  </si>
  <si>
    <t xml:space="preserve">Glutamine</t>
  </si>
  <si>
    <t xml:space="preserve">Glutamine (Gln/Q) MW (Da):146,15 C5H10N2O3</t>
  </si>
  <si>
    <t xml:space="preserve">glycine</t>
  </si>
  <si>
    <t xml:space="preserve">Glycine</t>
  </si>
  <si>
    <t xml:space="preserve">Glycine (Gly/G) MW (Da):75,07 C2H5NO2</t>
  </si>
  <si>
    <t xml:space="preserve">histidine</t>
  </si>
  <si>
    <t xml:space="preserve">Histidine</t>
  </si>
  <si>
    <t xml:space="preserve">Histidine (His/H) MW (Da):155,16 C6H9N3O2</t>
  </si>
  <si>
    <t xml:space="preserve">isoleucine</t>
  </si>
  <si>
    <t xml:space="preserve">Isoleucine</t>
  </si>
  <si>
    <t xml:space="preserve">Isoleucine (Ile/I) MW (Da):131,18 C6H13NO2</t>
  </si>
  <si>
    <t xml:space="preserve">leucine</t>
  </si>
  <si>
    <t xml:space="preserve">Leucine</t>
  </si>
  <si>
    <t xml:space="preserve">Leucine (Leu/L) MW (Da):131,18 C6H13NO2</t>
  </si>
  <si>
    <t xml:space="preserve">lysine</t>
  </si>
  <si>
    <t xml:space="preserve">Lysine</t>
  </si>
  <si>
    <t xml:space="preserve">Lysine (Lys/K) MW (Da):146,19 C6H14N2O2</t>
  </si>
  <si>
    <t xml:space="preserve">methionine</t>
  </si>
  <si>
    <t xml:space="preserve">Methionine</t>
  </si>
  <si>
    <t xml:space="preserve">Methionine (Met/M) MW (Da):149,21 C5H11NO2S</t>
  </si>
  <si>
    <t xml:space="preserve">phenylalanine</t>
  </si>
  <si>
    <t xml:space="preserve">Phenylalanine</t>
  </si>
  <si>
    <t xml:space="preserve">Phenylalanine (Phe/F) MW (Da):165,19 C9H11NO2</t>
  </si>
  <si>
    <t xml:space="preserve">proline</t>
  </si>
  <si>
    <t xml:space="preserve">Proline</t>
  </si>
  <si>
    <t xml:space="preserve">Proline (Pro/P) MW (Da):115,13 C5H9NO2</t>
  </si>
  <si>
    <t xml:space="preserve">serine</t>
  </si>
  <si>
    <t xml:space="preserve">Serine</t>
  </si>
  <si>
    <t xml:space="preserve">Serin (Ser/S) MW (Da):105,09 C3H7NO3</t>
  </si>
  <si>
    <t xml:space="preserve">threonine</t>
  </si>
  <si>
    <t xml:space="preserve">Threonine</t>
  </si>
  <si>
    <t xml:space="preserve">Threonine (Thr/T) MW (Da):119,12 C4H9NO3</t>
  </si>
  <si>
    <t xml:space="preserve">tryptophan</t>
  </si>
  <si>
    <t xml:space="preserve">Tryptophan</t>
  </si>
  <si>
    <t xml:space="preserve">Tryptophan(Trp/W) MW (Da):204,23 C11H12N2O2</t>
  </si>
  <si>
    <t xml:space="preserve">tyrosine</t>
  </si>
  <si>
    <t xml:space="preserve">Tyrosine</t>
  </si>
  <si>
    <t xml:space="preserve">Tyrosine (Tyr/Y) MW (Da):181,19 C9H11NO3</t>
  </si>
  <si>
    <t xml:space="preserve">valine</t>
  </si>
  <si>
    <t xml:space="preserve">Valine</t>
  </si>
  <si>
    <t xml:space="preserve">Valine (Val/V) MW (Da):117,15 C5H11NO2</t>
  </si>
  <si>
    <t xml:space="preserve">dda</t>
  </si>
  <si>
    <t xml:space="preserve">DDA</t>
  </si>
  <si>
    <t xml:space="preserve">Data-dependent acquisition </t>
  </si>
  <si>
    <t xml:space="preserve">dia</t>
  </si>
  <si>
    <t xml:space="preserve">DIA</t>
  </si>
  <si>
    <t xml:space="preserve">Data-independent acquisition</t>
  </si>
  <si>
    <t xml:space="preserve">srm</t>
  </si>
  <si>
    <t xml:space="preserve">SRM / MRM</t>
  </si>
  <si>
    <t xml:space="preserve">Selected reaction monitoring / Multiple reaction monitoring</t>
  </si>
  <si>
    <t xml:space="preserve">caa</t>
  </si>
  <si>
    <t xml:space="preserve">CAA</t>
  </si>
  <si>
    <t xml:space="preserve">Chloracetamide for protein alkylation.</t>
  </si>
  <si>
    <t xml:space="preserve">iaa</t>
  </si>
  <si>
    <t xml:space="preserve">IAA</t>
  </si>
  <si>
    <t xml:space="preserve">Iodoacetamide for protein alkylation.</t>
  </si>
  <si>
    <t xml:space="preserve">none</t>
  </si>
  <si>
    <t xml:space="preserve">Native</t>
  </si>
  <si>
    <t xml:space="preserve">Proteins were not alkylated.</t>
  </si>
  <si>
    <t xml:space="preserve">directdia</t>
  </si>
  <si>
    <t xml:space="preserve">Direct DIA</t>
  </si>
  <si>
    <t xml:space="preserve">Direct DIA mode (no DDA library). </t>
  </si>
  <si>
    <t xml:space="preserve">libdia</t>
  </si>
  <si>
    <t xml:space="preserve">Spectral Library based DIA</t>
  </si>
  <si>
    <t xml:space="preserve">Experimental library (DDA) based DIA anaylsis. </t>
  </si>
  <si>
    <t xml:space="preserve">adipoq_cre</t>
  </si>
  <si>
    <t xml:space="preserve">att_animal_model</t>
  </si>
  <si>
    <t xml:space="preserve">Adipoq-Cre</t>
  </si>
  <si>
    <t xml:space="preserve">white adipose tissue</t>
  </si>
  <si>
    <t xml:space="preserve">alb_cre</t>
  </si>
  <si>
    <t xml:space="preserve">Alb-Cre</t>
  </si>
  <si>
    <t xml:space="preserve">Hepatocytes</t>
  </si>
  <si>
    <t xml:space="preserve">asc_ko</t>
  </si>
  <si>
    <t xml:space="preserve">ASC ko</t>
  </si>
  <si>
    <t xml:space="preserve">baf53b_cre</t>
  </si>
  <si>
    <t xml:space="preserve">Baf53b-Cre</t>
  </si>
  <si>
    <t xml:space="preserve">Neurons</t>
  </si>
  <si>
    <t xml:space="preserve">c57_bl6j</t>
  </si>
  <si>
    <t xml:space="preserve">C57/Bl6J</t>
  </si>
  <si>
    <t xml:space="preserve">clec4f_cre</t>
  </si>
  <si>
    <t xml:space="preserve">Clec4f-Cre</t>
  </si>
  <si>
    <t xml:space="preserve">Kupffer cells</t>
  </si>
  <si>
    <t xml:space="preserve">cx3cr1_cre</t>
  </si>
  <si>
    <t xml:space="preserve">Cx3cr1-Cre</t>
  </si>
  <si>
    <t xml:space="preserve">(Yalk sac) Macrophages</t>
  </si>
  <si>
    <t xml:space="preserve">cxcr4creert2</t>
  </si>
  <si>
    <t xml:space="preserve">Cxcr4CreERT2</t>
  </si>
  <si>
    <t xml:space="preserve">glast_cre</t>
  </si>
  <si>
    <t xml:space="preserve">Glast-Cre</t>
  </si>
  <si>
    <t xml:space="preserve">Astrocytes</t>
  </si>
  <si>
    <t xml:space="preserve">lrat_cre</t>
  </si>
  <si>
    <t xml:space="preserve">Lrat-Cre</t>
  </si>
  <si>
    <t xml:space="preserve">Hepatic stellate cells</t>
  </si>
  <si>
    <t xml:space="preserve">lysm_cre</t>
  </si>
  <si>
    <t xml:space="preserve">LysM-Cre</t>
  </si>
  <si>
    <t xml:space="preserve">Macrophages/Neutrophils</t>
  </si>
  <si>
    <t xml:space="preserve">ms4a3_cre</t>
  </si>
  <si>
    <t xml:space="preserve">Ms4a3-Cre</t>
  </si>
  <si>
    <t xml:space="preserve">Monocytes</t>
  </si>
  <si>
    <t xml:space="preserve">mt_nlrp3_cre</t>
  </si>
  <si>
    <t xml:space="preserve">MT-Nlrp3-Cre</t>
  </si>
  <si>
    <t xml:space="preserve">CAPS R26ERtCreNlrp3A350V </t>
  </si>
  <si>
    <t xml:space="preserve">nlrp3_flox</t>
  </si>
  <si>
    <t xml:space="preserve">Nlrp3-flox</t>
  </si>
  <si>
    <t xml:space="preserve">nlrp3_ko</t>
  </si>
  <si>
    <t xml:space="preserve">Nlrp3 ko</t>
  </si>
  <si>
    <t xml:space="preserve">oaf</t>
  </si>
  <si>
    <t xml:space="preserve">OAF</t>
  </si>
  <si>
    <t xml:space="preserve">r26_ert2cre</t>
  </si>
  <si>
    <t xml:space="preserve">R26 ERt2Cre</t>
  </si>
  <si>
    <t xml:space="preserve">R26 Ert2Cre</t>
  </si>
  <si>
    <t xml:space="preserve">r26_metrs_flox</t>
  </si>
  <si>
    <t xml:space="preserve">R26 MetRS*-flox</t>
  </si>
  <si>
    <t xml:space="preserve">Cell-type specific labelling</t>
  </si>
  <si>
    <t xml:space="preserve">r26_nlrp3_flox</t>
  </si>
  <si>
    <t xml:space="preserve">R26 Nlrp3-flox</t>
  </si>
  <si>
    <t xml:space="preserve">ribotag_lox</t>
  </si>
  <si>
    <t xml:space="preserve">Ribotag-lox</t>
  </si>
  <si>
    <t xml:space="preserve">sox10_cre</t>
  </si>
  <si>
    <t xml:space="preserve">Sox10-Cre</t>
  </si>
  <si>
    <t xml:space="preserve">Neural crest ?</t>
  </si>
  <si>
    <t xml:space="preserve">ucp1_cre</t>
  </si>
  <si>
    <t xml:space="preserve">UCP1-Cre</t>
  </si>
  <si>
    <t xml:space="preserve">brown adipose tissue</t>
  </si>
  <si>
    <t xml:space="preserve">vil_cre</t>
  </si>
  <si>
    <t xml:space="preserve">Vil-Cre</t>
  </si>
  <si>
    <t xml:space="preserve">Intestinal epithelium</t>
  </si>
  <si>
    <t xml:space="preserve">adipose_macrophages</t>
  </si>
  <si>
    <t xml:space="preserve">adiposemacrophages</t>
  </si>
  <si>
    <t xml:space="preserve">Adipose Macrophages</t>
  </si>
  <si>
    <t xml:space="preserve">Adipose tissue macrophages</t>
  </si>
  <si>
    <t xml:space="preserve">astrocytes</t>
  </si>
  <si>
    <t xml:space="preserve">basophils</t>
  </si>
  <si>
    <t xml:space="preserve">Basophils</t>
  </si>
  <si>
    <t xml:space="preserve">&lt; 1% of leukocytes</t>
  </si>
  <si>
    <t xml:space="preserve">bcells</t>
  </si>
  <si>
    <t xml:space="preserve">B cells</t>
  </si>
  <si>
    <t xml:space="preserve">cytotoxict</t>
  </si>
  <si>
    <t xml:space="preserve">Cytotoxic T cells</t>
  </si>
  <si>
    <t xml:space="preserve">CD8+ cytotoxic T cells</t>
  </si>
  <si>
    <t xml:space="preserve">endothelial</t>
  </si>
  <si>
    <t xml:space="preserve">Endothelial</t>
  </si>
  <si>
    <t xml:space="preserve">Interior surface cells of blood vessels and lymphatic vessels</t>
  </si>
  <si>
    <t xml:space="preserve">eosinophils</t>
  </si>
  <si>
    <t xml:space="preserve">Eosinophils</t>
  </si>
  <si>
    <t xml:space="preserve">2% of leukocytes</t>
  </si>
  <si>
    <t xml:space="preserve">epithelioid</t>
  </si>
  <si>
    <t xml:space="preserve">Epithelioid</t>
  </si>
  <si>
    <t xml:space="preserve">Granulomas</t>
  </si>
  <si>
    <t xml:space="preserve">erythrocytes</t>
  </si>
  <si>
    <t xml:space="preserve">Erythrocytes</t>
  </si>
  <si>
    <t xml:space="preserve">Red blood cells</t>
  </si>
  <si>
    <t xml:space="preserve">gammadeltat</t>
  </si>
  <si>
    <t xml:space="preserve">Gamma Delta T cells</t>
  </si>
  <si>
    <t xml:space="preserve">Gamma delta T cells</t>
  </si>
  <si>
    <t xml:space="preserve">hofbauer</t>
  </si>
  <si>
    <t xml:space="preserve">Hofbauer</t>
  </si>
  <si>
    <t xml:space="preserve">Hofbauer cells; Placenta</t>
  </si>
  <si>
    <t xml:space="preserve">keratinocytes</t>
  </si>
  <si>
    <t xml:space="preserve">Keratinocytes</t>
  </si>
  <si>
    <t xml:space="preserve">Most prominent cell within the epidermis.</t>
  </si>
  <si>
    <t xml:space="preserve">kupffer</t>
  </si>
  <si>
    <t xml:space="preserve">Kupffer</t>
  </si>
  <si>
    <t xml:space="preserve">Kupffer cells; Liver</t>
  </si>
  <si>
    <t xml:space="preserve">langerhans</t>
  </si>
  <si>
    <t xml:space="preserve">Langerhans</t>
  </si>
  <si>
    <t xml:space="preserve">Langerhans cells; Skin</t>
  </si>
  <si>
    <t xml:space="preserve">leukocytes</t>
  </si>
  <si>
    <t xml:space="preserve">Leukocytes</t>
  </si>
  <si>
    <t xml:space="preserve">White blood cells</t>
  </si>
  <si>
    <t xml:space="preserve">lymphocytes</t>
  </si>
  <si>
    <t xml:space="preserve">Lymphocytes</t>
  </si>
  <si>
    <t xml:space="preserve">30% of leukocytes; includes B cells and T cells</t>
  </si>
  <si>
    <t xml:space="preserve">macrophage</t>
  </si>
  <si>
    <t xml:space="preserve">Macrophage</t>
  </si>
  <si>
    <t xml:space="preserve">microglia</t>
  </si>
  <si>
    <t xml:space="preserve">Microglia</t>
  </si>
  <si>
    <t xml:space="preserve">Microglia; Central nervous system</t>
  </si>
  <si>
    <t xml:space="preserve">monoblast</t>
  </si>
  <si>
    <t xml:space="preserve">Monoblast</t>
  </si>
  <si>
    <t xml:space="preserve">monocytes</t>
  </si>
  <si>
    <t xml:space="preserve">5% of leukocytes</t>
  </si>
  <si>
    <t xml:space="preserve">neutrophils</t>
  </si>
  <si>
    <t xml:space="preserve">Neutrophils</t>
  </si>
  <si>
    <t xml:space="preserve">62% of leukocytes</t>
  </si>
  <si>
    <t xml:space="preserve">nk</t>
  </si>
  <si>
    <t xml:space="preserve">Natural Killer cells (NK)</t>
  </si>
  <si>
    <t xml:space="preserve">Natural killer cells</t>
  </si>
  <si>
    <t xml:space="preserve">osteoblast</t>
  </si>
  <si>
    <t xml:space="preserve">Osteoblast</t>
  </si>
  <si>
    <t xml:space="preserve">forms bone matrix</t>
  </si>
  <si>
    <t xml:space="preserve">osteoclast</t>
  </si>
  <si>
    <t xml:space="preserve">Osteoclast</t>
  </si>
  <si>
    <t xml:space="preserve">resorbs bone</t>
  </si>
  <si>
    <t xml:space="preserve">osteocytes</t>
  </si>
  <si>
    <t xml:space="preserve">Osteocytes</t>
  </si>
  <si>
    <t xml:space="preserve">maintains bone tissue</t>
  </si>
  <si>
    <t xml:space="preserve">osteogenic</t>
  </si>
  <si>
    <t xml:space="preserve">Osteogenic</t>
  </si>
  <si>
    <t xml:space="preserve">Stem cell</t>
  </si>
  <si>
    <t xml:space="preserve">regt</t>
  </si>
  <si>
    <t xml:space="preserve">Regulatory T cells (RegT)</t>
  </si>
  <si>
    <t xml:space="preserve">Regulatory T Cell</t>
  </si>
  <si>
    <t xml:space="preserve">stemcells</t>
  </si>
  <si>
    <t xml:space="preserve">Stem Cells</t>
  </si>
  <si>
    <t xml:space="preserve">Stem or Blast cells</t>
  </si>
  <si>
    <t xml:space="preserve">tcells</t>
  </si>
  <si>
    <t xml:space="preserve">T cells</t>
  </si>
  <si>
    <t xml:space="preserve">thelper</t>
  </si>
  <si>
    <t xml:space="preserve">T Helper cells (Th)</t>
  </si>
  <si>
    <t xml:space="preserve">CD4+ T helper cells</t>
  </si>
  <si>
    <t xml:space="preserve">thrombocytes</t>
  </si>
  <si>
    <t xml:space="preserve">Thrombocytes</t>
  </si>
  <si>
    <t xml:space="preserve">Platelets</t>
  </si>
  <si>
    <t xml:space="preserve">786_0</t>
  </si>
  <si>
    <t xml:space="preserve">786-0</t>
  </si>
  <si>
    <t xml:space="preserve">Human NCI-60 cell line; Renal Cancer</t>
  </si>
  <si>
    <t xml:space="preserve">a498</t>
  </si>
  <si>
    <t xml:space="preserve">A498</t>
  </si>
  <si>
    <t xml:space="preserve">a549</t>
  </si>
  <si>
    <t xml:space="preserve">A549</t>
  </si>
  <si>
    <t xml:space="preserve">Human NCI-60 cell line; Non-Small Cell Lung cancer</t>
  </si>
  <si>
    <t xml:space="preserve">achn</t>
  </si>
  <si>
    <t xml:space="preserve">ACHN</t>
  </si>
  <si>
    <t xml:space="preserve">bmdc</t>
  </si>
  <si>
    <t xml:space="preserve">BMDC</t>
  </si>
  <si>
    <t xml:space="preserve">bmm</t>
  </si>
  <si>
    <t xml:space="preserve">BMM</t>
  </si>
  <si>
    <t xml:space="preserve">Bone-marrow-derived macrophages</t>
  </si>
  <si>
    <t xml:space="preserve">bt549</t>
  </si>
  <si>
    <t xml:space="preserve">BT-549</t>
  </si>
  <si>
    <t xml:space="preserve">Human NCI-60 cell line; Breast Cancer</t>
  </si>
  <si>
    <t xml:space="preserve">caki1</t>
  </si>
  <si>
    <t xml:space="preserve">CAKI-1</t>
  </si>
  <si>
    <t xml:space="preserve">cho</t>
  </si>
  <si>
    <t xml:space="preserve">CHO</t>
  </si>
  <si>
    <t xml:space="preserve">Chinese hamster ovary</t>
  </si>
  <si>
    <t xml:space="preserve">colo205</t>
  </si>
  <si>
    <t xml:space="preserve">COLO205</t>
  </si>
  <si>
    <t xml:space="preserve">Human NCI-60 cell line; Colon cancer</t>
  </si>
  <si>
    <t xml:space="preserve">crfcem</t>
  </si>
  <si>
    <t xml:space="preserve">CRF-CEM</t>
  </si>
  <si>
    <t xml:space="preserve">Human NCI-60 cell line; Leukemia</t>
  </si>
  <si>
    <t xml:space="preserve">du145</t>
  </si>
  <si>
    <t xml:space="preserve">DU-145</t>
  </si>
  <si>
    <t xml:space="preserve">Human NCI-60 cell line; Prostate Cancer</t>
  </si>
  <si>
    <t xml:space="preserve">ekvx</t>
  </si>
  <si>
    <t xml:space="preserve">EKVX</t>
  </si>
  <si>
    <t xml:space="preserve">hcc2998</t>
  </si>
  <si>
    <t xml:space="preserve">HCC-2998</t>
  </si>
  <si>
    <t xml:space="preserve">hct116</t>
  </si>
  <si>
    <t xml:space="preserve">HCT-116</t>
  </si>
  <si>
    <t xml:space="preserve">hct15</t>
  </si>
  <si>
    <t xml:space="preserve">HCT-15</t>
  </si>
  <si>
    <t xml:space="preserve">hek293</t>
  </si>
  <si>
    <t xml:space="preserve">HEK293</t>
  </si>
  <si>
    <t xml:space="preserve">Human Embryonic Kidney cancer cells; epithelial</t>
  </si>
  <si>
    <t xml:space="preserve">hek293t</t>
  </si>
  <si>
    <t xml:space="preserve">HEK293T</t>
  </si>
  <si>
    <t xml:space="preserve">Human Embryonic Kidney cancer cells; epithelial; derivates from HEK293</t>
  </si>
  <si>
    <t xml:space="preserve">hela</t>
  </si>
  <si>
    <t xml:space="preserve">HeLa</t>
  </si>
  <si>
    <t xml:space="preserve">Human epithelial cell; cervical cancer; Henrietta Lacks</t>
  </si>
  <si>
    <t xml:space="preserve">hl60</t>
  </si>
  <si>
    <t xml:space="preserve">HL-60</t>
  </si>
  <si>
    <t xml:space="preserve">hop62</t>
  </si>
  <si>
    <t xml:space="preserve">HOP-62</t>
  </si>
  <si>
    <t xml:space="preserve">hop92</t>
  </si>
  <si>
    <t xml:space="preserve">HOP-92</t>
  </si>
  <si>
    <t xml:space="preserve">hs578t</t>
  </si>
  <si>
    <t xml:space="preserve">HS 578T</t>
  </si>
  <si>
    <t xml:space="preserve">ht29</t>
  </si>
  <si>
    <t xml:space="preserve">HT29</t>
  </si>
  <si>
    <t xml:space="preserve">igrov1</t>
  </si>
  <si>
    <t xml:space="preserve">IGR-OV1</t>
  </si>
  <si>
    <t xml:space="preserve">Human NCI-60 cell line; Ovarian Cancer</t>
  </si>
  <si>
    <t xml:space="preserve">immmef</t>
  </si>
  <si>
    <t xml:space="preserve">Immortalized MEF</t>
  </si>
  <si>
    <t xml:space="preserve">Immortalized mouse embryonics fibroblast</t>
  </si>
  <si>
    <t xml:space="preserve">jeko1</t>
  </si>
  <si>
    <t xml:space="preserve">JeKo-1</t>
  </si>
  <si>
    <t xml:space="preserve">Human Mantle cell lymphoma</t>
  </si>
  <si>
    <t xml:space="preserve">jurkat</t>
  </si>
  <si>
    <t xml:space="preserve">JURKAT</t>
  </si>
  <si>
    <t xml:space="preserve">Acute T cell leukemia; human T lymphocytes</t>
  </si>
  <si>
    <t xml:space="preserve">jvm13</t>
  </si>
  <si>
    <t xml:space="preserve">JVM-13</t>
  </si>
  <si>
    <t xml:space="preserve">jvm2</t>
  </si>
  <si>
    <t xml:space="preserve">JVM-2</t>
  </si>
  <si>
    <t xml:space="preserve">k562</t>
  </si>
  <si>
    <t xml:space="preserve">K-562</t>
  </si>
  <si>
    <t xml:space="preserve">km12</t>
  </si>
  <si>
    <t xml:space="preserve">KM12</t>
  </si>
  <si>
    <t xml:space="preserve">lox_imvi</t>
  </si>
  <si>
    <t xml:space="preserve">LOX IMVI</t>
  </si>
  <si>
    <t xml:space="preserve">Human NCI-60 cell line; Melanoma</t>
  </si>
  <si>
    <t xml:space="preserve">m14</t>
  </si>
  <si>
    <t xml:space="preserve">M14</t>
  </si>
  <si>
    <t xml:space="preserve">malme3m</t>
  </si>
  <si>
    <t xml:space="preserve">MALME-3M</t>
  </si>
  <si>
    <t xml:space="preserve">maver1</t>
  </si>
  <si>
    <t xml:space="preserve">MAVER-1</t>
  </si>
  <si>
    <t xml:space="preserve">mcf7</t>
  </si>
  <si>
    <t xml:space="preserve">MCF7</t>
  </si>
  <si>
    <t xml:space="preserve">mdamb231</t>
  </si>
  <si>
    <t xml:space="preserve">MDA-MB-231</t>
  </si>
  <si>
    <t xml:space="preserve">mdamb435</t>
  </si>
  <si>
    <t xml:space="preserve">MDA-MB-435</t>
  </si>
  <si>
    <t xml:space="preserve">mdamb468</t>
  </si>
  <si>
    <t xml:space="preserve">MDA-MB-468</t>
  </si>
  <si>
    <t xml:space="preserve">mef</t>
  </si>
  <si>
    <t xml:space="preserve">MEF</t>
  </si>
  <si>
    <t xml:space="preserve">Primary mouse embryonic fibroblast</t>
  </si>
  <si>
    <t xml:space="preserve">mino</t>
  </si>
  <si>
    <t xml:space="preserve">Mino</t>
  </si>
  <si>
    <t xml:space="preserve">molt4</t>
  </si>
  <si>
    <t xml:space="preserve">MOLT-4</t>
  </si>
  <si>
    <t xml:space="preserve">nceb1</t>
  </si>
  <si>
    <t xml:space="preserve">NCEB-1</t>
  </si>
  <si>
    <t xml:space="preserve">nci_adrres</t>
  </si>
  <si>
    <t xml:space="preserve">adrres</t>
  </si>
  <si>
    <t xml:space="preserve">NCI ADR-RES</t>
  </si>
  <si>
    <t xml:space="preserve">nci_h226</t>
  </si>
  <si>
    <t xml:space="preserve">h226</t>
  </si>
  <si>
    <t xml:space="preserve">NCI-H226</t>
  </si>
  <si>
    <t xml:space="preserve">nci_h23</t>
  </si>
  <si>
    <t xml:space="preserve">h23</t>
  </si>
  <si>
    <t xml:space="preserve">NCI-H23</t>
  </si>
  <si>
    <t xml:space="preserve">nci_h322m</t>
  </si>
  <si>
    <t xml:space="preserve">h322m</t>
  </si>
  <si>
    <t xml:space="preserve">NCI-H322M</t>
  </si>
  <si>
    <t xml:space="preserve">nci_h460</t>
  </si>
  <si>
    <t xml:space="preserve">h460</t>
  </si>
  <si>
    <t xml:space="preserve">NCI-H460</t>
  </si>
  <si>
    <t xml:space="preserve">nci_h522</t>
  </si>
  <si>
    <t xml:space="preserve">h522</t>
  </si>
  <si>
    <t xml:space="preserve">NCI-H522</t>
  </si>
  <si>
    <t xml:space="preserve">ovcar3</t>
  </si>
  <si>
    <t xml:space="preserve">OVCAR-3</t>
  </si>
  <si>
    <t xml:space="preserve">ovcar4</t>
  </si>
  <si>
    <t xml:space="preserve">OVCAR-4</t>
  </si>
  <si>
    <t xml:space="preserve">ovcar5</t>
  </si>
  <si>
    <t xml:space="preserve">OVCAR-5</t>
  </si>
  <si>
    <t xml:space="preserve">ovcar8</t>
  </si>
  <si>
    <t xml:space="preserve">OVCAR-8</t>
  </si>
  <si>
    <t xml:space="preserve">p388</t>
  </si>
  <si>
    <t xml:space="preserve">P388</t>
  </si>
  <si>
    <t xml:space="preserve">Leukemia</t>
  </si>
  <si>
    <t xml:space="preserve">pc3</t>
  </si>
  <si>
    <t xml:space="preserve">PC-3</t>
  </si>
  <si>
    <t xml:space="preserve">rec1</t>
  </si>
  <si>
    <t xml:space="preserve">REC-1</t>
  </si>
  <si>
    <t xml:space="preserve">rpmi8226</t>
  </si>
  <si>
    <t xml:space="preserve">RPMI-8226</t>
  </si>
  <si>
    <t xml:space="preserve">rxf393</t>
  </si>
  <si>
    <t xml:space="preserve">RXF 393</t>
  </si>
  <si>
    <t xml:space="preserve">sf268</t>
  </si>
  <si>
    <t xml:space="preserve">SF-268</t>
  </si>
  <si>
    <t xml:space="preserve">Human NCI-60 cell line; central nervous system (CNS) tumor </t>
  </si>
  <si>
    <t xml:space="preserve">sf295</t>
  </si>
  <si>
    <t xml:space="preserve">SF-295</t>
  </si>
  <si>
    <t xml:space="preserve">sf539</t>
  </si>
  <si>
    <t xml:space="preserve">SF-539</t>
  </si>
  <si>
    <t xml:space="preserve">skmel2</t>
  </si>
  <si>
    <t xml:space="preserve">SK-MEL-2</t>
  </si>
  <si>
    <t xml:space="preserve">skmel28</t>
  </si>
  <si>
    <t xml:space="preserve">SK-MEL-28</t>
  </si>
  <si>
    <t xml:space="preserve">skmel5</t>
  </si>
  <si>
    <t xml:space="preserve">SK-MEL-5</t>
  </si>
  <si>
    <t xml:space="preserve">skov3</t>
  </si>
  <si>
    <t xml:space="preserve">SK-OV-3</t>
  </si>
  <si>
    <t xml:space="preserve">sn12c</t>
  </si>
  <si>
    <t xml:space="preserve">SN12C</t>
  </si>
  <si>
    <t xml:space="preserve">snb19</t>
  </si>
  <si>
    <t xml:space="preserve">SNB-19</t>
  </si>
  <si>
    <t xml:space="preserve">snb75</t>
  </si>
  <si>
    <t xml:space="preserve">SNB-75</t>
  </si>
  <si>
    <t xml:space="preserve">sr</t>
  </si>
  <si>
    <t xml:space="preserve">SR</t>
  </si>
  <si>
    <t xml:space="preserve">sw620</t>
  </si>
  <si>
    <t xml:space="preserve">SW-620</t>
  </si>
  <si>
    <t xml:space="preserve">t47d</t>
  </si>
  <si>
    <t xml:space="preserve">T-47D</t>
  </si>
  <si>
    <t xml:space="preserve">thp1</t>
  </si>
  <si>
    <t xml:space="preserve">THP1</t>
  </si>
  <si>
    <t xml:space="preserve">Human acute monocytic leukemia cell line</t>
  </si>
  <si>
    <t xml:space="preserve">tk10</t>
  </si>
  <si>
    <t xml:space="preserve">TK-10</t>
  </si>
  <si>
    <t xml:space="preserve">u251</t>
  </si>
  <si>
    <t xml:space="preserve">U251</t>
  </si>
  <si>
    <t xml:space="preserve">u937</t>
  </si>
  <si>
    <t xml:space="preserve">U937</t>
  </si>
  <si>
    <t xml:space="preserve">Pro-monocytic model cell line isolated from histiocytic lymphoma</t>
  </si>
  <si>
    <t xml:space="preserve">uacc257</t>
  </si>
  <si>
    <t xml:space="preserve">UACC-257</t>
  </si>
  <si>
    <t xml:space="preserve">uacc62</t>
  </si>
  <si>
    <t xml:space="preserve">UACC-62</t>
  </si>
  <si>
    <t xml:space="preserve">uo31</t>
  </si>
  <si>
    <t xml:space="preserve">UO-31</t>
  </si>
  <si>
    <t xml:space="preserve">z138</t>
  </si>
  <si>
    <t xml:space="preserve">Z-138</t>
  </si>
  <si>
    <t xml:space="preserve">75um</t>
  </si>
  <si>
    <t xml:space="preserve">75 µm inner column diameter</t>
  </si>
  <si>
    <t xml:space="preserve">15cm</t>
  </si>
  <si>
    <t xml:space="preserve">15 cm column length</t>
  </si>
  <si>
    <t xml:space="preserve">30cm</t>
  </si>
  <si>
    <t xml:space="preserve">30 cm column length</t>
  </si>
  <si>
    <t xml:space="preserve">50cm</t>
  </si>
  <si>
    <t xml:space="preserve">50 cm column length</t>
  </si>
  <si>
    <t xml:space="preserve">5cm</t>
  </si>
  <si>
    <t xml:space="preserve">5 cm column length.</t>
  </si>
  <si>
    <t xml:space="preserve">40c</t>
  </si>
  <si>
    <t xml:space="preserve">55c</t>
  </si>
  <si>
    <t xml:space="preserve">170nm</t>
  </si>
  <si>
    <t xml:space="preserve">1.7 µm particle size</t>
  </si>
  <si>
    <t xml:space="preserve">270nm</t>
  </si>
  <si>
    <t xml:space="preserve">2.7 µm particle size</t>
  </si>
  <si>
    <t xml:space="preserve">c18</t>
  </si>
  <si>
    <t xml:space="preserve">C18 Stat. Phase</t>
  </si>
  <si>
    <t xml:space="preserve">C18 stationary phase</t>
  </si>
  <si>
    <t xml:space="preserve">c8</t>
  </si>
  <si>
    <t xml:space="preserve">C8 Stat. Phase</t>
  </si>
  <si>
    <t xml:space="preserve">C8 stationary phase</t>
  </si>
  <si>
    <t xml:space="preserve">aurora</t>
  </si>
  <si>
    <t xml:space="preserve">Aurora</t>
  </si>
  <si>
    <t xml:space="preserve">IonOpticks Aurora Column </t>
  </si>
  <si>
    <t xml:space="preserve">easyspray</t>
  </si>
  <si>
    <t xml:space="preserve">EASY-Spray HPLC Columns</t>
  </si>
  <si>
    <t xml:space="preserve">EASY-Spray PepMap Neo UHPLC columns</t>
  </si>
  <si>
    <t xml:space="preserve">inhouse</t>
  </si>
  <si>
    <t xml:space="preserve">In-House</t>
  </si>
  <si>
    <t xml:space="preserve">In House packed Columns</t>
  </si>
  <si>
    <t xml:space="preserve">upac_doubleviper</t>
  </si>
  <si>
    <t xml:space="preserve">double nanoViper HPLC Columns</t>
  </si>
  <si>
    <t xml:space="preserve">Double nanoViper PepMap Neo UHPLC columns</t>
  </si>
  <si>
    <t xml:space="preserve">upac_low_loadneo</t>
  </si>
  <si>
    <t xml:space="preserve">Low-Load uPAC Neo HPLC Column</t>
  </si>
  <si>
    <t xml:space="preserve">µPAC Neo HPLC Column for 0.1-1ng</t>
  </si>
  <si>
    <t xml:space="preserve">upac_neo</t>
  </si>
  <si>
    <t xml:space="preserve">uPAC Neo HPLC Column</t>
  </si>
  <si>
    <t xml:space="preserve">µPAC Neo HPLC Column</t>
  </si>
  <si>
    <t xml:space="preserve">5_fluorouracil</t>
  </si>
  <si>
    <t xml:space="preserve">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</si>
  <si>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</si>
  <si>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</si>
  <si>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 xml:space="preserve">anisomycin</t>
  </si>
  <si>
    <t xml:space="preserve">Anisomycin</t>
  </si>
  <si>
    <t xml:space="preserve">antimycin</t>
  </si>
  <si>
    <t xml:space="preserve">Antimycin A</t>
  </si>
  <si>
    <t xml:space="preserve">Antimycin A - Cytochrome c reductase (CIII) Inhibitor (QiSite Binding) from Streptomyces bacteria.</t>
  </si>
  <si>
    <t xml:space="preserve">atp</t>
  </si>
  <si>
    <t xml:space="preserve">ATP</t>
  </si>
  <si>
    <t xml:space="preserve">Adenosine triphosphate</t>
  </si>
  <si>
    <t xml:space="preserve">berzosertib</t>
  </si>
  <si>
    <t xml:space="preserve">Berzosertib</t>
  </si>
  <si>
    <t xml:space="preserve">bortezomib</t>
  </si>
  <si>
    <t xml:space="preserve">Bortezomib</t>
  </si>
  <si>
    <t xml:space="preserve">cccp</t>
  </si>
  <si>
    <t xml:space="preserve">CCCP</t>
  </si>
  <si>
    <t xml:space="preserve">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</si>
  <si>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 xml:space="preserve">cycloheximide</t>
  </si>
  <si>
    <t xml:space="preserve">Cycloheximide</t>
  </si>
  <si>
    <t xml:space="preserve">dmso</t>
  </si>
  <si>
    <t xml:space="preserve">DMSO</t>
  </si>
  <si>
    <t xml:space="preserve">Dimethyl sulfoxide used as a control in compound treatment.</t>
  </si>
  <si>
    <t xml:space="preserve">doxorubicin</t>
  </si>
  <si>
    <t xml:space="preserve">Doxorubicin</t>
  </si>
  <si>
    <t xml:space="preserve">Doxorubicin is a type of chemotherapy drug called an anthracycline. It slows or stops the growth of cancer cells by blocking an enzyme called topo isomerase 2. </t>
  </si>
  <si>
    <t xml:space="preserve">doxycycline</t>
  </si>
  <si>
    <t xml:space="preserve">Doxycycline</t>
  </si>
  <si>
    <t xml:space="preserve">Doxycycline is a broad-spectrum antibiotic of the tetracycline class used in the treatment of infections caused by bacteria and certain parasites.</t>
  </si>
  <si>
    <t xml:space="preserve">etoposide</t>
  </si>
  <si>
    <t xml:space="preserve">Etoposide</t>
  </si>
  <si>
    <t xml:space="preserve">Etoposide is a medication used in the management and treatment of various cancers such as testicular, prostate, bladder, stomach, and lung cancer. It is in the topoisomerase II inhibitor class of medications.</t>
  </si>
  <si>
    <t xml:space="preserve">fccp</t>
  </si>
  <si>
    <t xml:space="preserve">FCCP</t>
  </si>
  <si>
    <t xml:space="preserve">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</si>
  <si>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 xml:space="preserve">h2o</t>
  </si>
  <si>
    <t xml:space="preserve">H2O</t>
  </si>
  <si>
    <t xml:space="preserve">Water (H2O) control in a chemical compound treatment</t>
  </si>
  <si>
    <t xml:space="preserve">hydroxyurea</t>
  </si>
  <si>
    <t xml:space="preserve">Hydroxyurea</t>
  </si>
  <si>
    <t xml:space="preserve">Hydroxyurea, hydroxycarbamide. HU in- hibits the ribonucleotide reductase and depletes cellular deoxy- nucleotide pools, thereby inducing replication stress and DNA damage.</t>
  </si>
  <si>
    <t xml:space="preserve">oligomycin</t>
  </si>
  <si>
    <t xml:space="preserve">Oligomycin</t>
  </si>
  <si>
    <t xml:space="preserve">Oligomycin A is an inhibitor of ATP synthase by blocking its proton channel (FO subunit).</t>
  </si>
  <si>
    <t xml:space="preserve">rapamycin</t>
  </si>
  <si>
    <t xml:space="preserve">Rapamycin</t>
  </si>
  <si>
    <t xml:space="preserve">Rapamycin, mTOR inhitbitor,  Synonym : Rapamune, AY-22989, NSC-2260804</t>
  </si>
  <si>
    <t xml:space="preserve">rotenone</t>
  </si>
  <si>
    <t xml:space="preserve">Rotenone</t>
  </si>
  <si>
    <t xml:space="preserve">Rotenone inhibits the transfer of electrons from iron-sulfur centers in complex I to ubiquinone. Complex I is unable to pass off its electron to CoQ, creating a back-up of electrons within the mitochondrial matrix.</t>
  </si>
  <si>
    <t xml:space="preserve">tamoxifen</t>
  </si>
  <si>
    <t xml:space="preserve">Tamoxifen</t>
  </si>
  <si>
    <t xml:space="preserve">torin</t>
  </si>
  <si>
    <t xml:space="preserve">Torin</t>
  </si>
  <si>
    <t xml:space="preserve">Torin Treatment</t>
  </si>
  <si>
    <t xml:space="preserve">trametinib</t>
  </si>
  <si>
    <t xml:space="preserve">Trametinib</t>
  </si>
  <si>
    <t xml:space="preserve">unstimulated</t>
  </si>
  <si>
    <t xml:space="preserve">Unstimulated</t>
  </si>
  <si>
    <t xml:space="preserve">Unstimulated; nothing added; Control</t>
  </si>
  <si>
    <t xml:space="preserve">microenvironment</t>
  </si>
  <si>
    <t xml:space="preserve">att_context</t>
  </si>
  <si>
    <t xml:space="preserve">egs</t>
  </si>
  <si>
    <t xml:space="preserve">EGS</t>
  </si>
  <si>
    <t xml:space="preserve">EGS (Water insoluble, Membrane-permeable) is a crosslinker that contains amine-reactive NHS-ester ends around a 12-atom spacer arm, which can be cleaved by treatment with hydroxylamine at pH 8.5. </t>
  </si>
  <si>
    <t xml:space="preserve">suflo_egs</t>
  </si>
  <si>
    <t xml:space="preserve">Suflo-EGS</t>
  </si>
  <si>
    <t xml:space="preserve">Sulfo-EGS (Water soluble, membrane impermeable) Sulfo-EGS is a water-soluble crosslinker that contains amine-reactive sulfo-NHS-ester ends around a 12-atom spacer arm, which can be cleaved by treatment with hydroxylamine at pH 8.5.</t>
  </si>
  <si>
    <t xml:space="preserve">dsbu</t>
  </si>
  <si>
    <t xml:space="preserve">DSBU</t>
  </si>
  <si>
    <t xml:space="preserve">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</si>
  <si>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 xml:space="preserve">dsso</t>
  </si>
  <si>
    <t xml:space="preserve">DSSO</t>
  </si>
  <si>
    <t xml:space="preserve">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</si>
  <si>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 xml:space="preserve">amas</t>
  </si>
  <si>
    <t xml:space="preserve">AMAS</t>
  </si>
  <si>
    <t xml:space="preserve">AMAS is an amine-to-sulfhydryl crosslinker that contains NHS-ester and maleimide reactive groups at opposite ends of a very short spacer arm (4.4 angstroms). Features of AMAS: • Reactive groups: NHS ester and maleimide • Reactive towards: amino and sulfhydryl groups •...</t>
  </si>
  <si>
    <t xml:space="preserve">bm_peg_3</t>
  </si>
  <si>
    <t xml:space="preserve">BM(PEG)3 (1,11-bismaleimido-triethyleneglycol)</t>
  </si>
  <si>
    <t xml:space="preserve">BM(PEG)3 is a bismaleimide-activated PEG compound for crosslinking between sulfhydryl (—SH) groups in proteins and other thiol molecules. The maleimide groups at either end of the PEG3 spacer react specifically and efficiently with reduced sulfhydryls at pH 6.5-7.</t>
  </si>
  <si>
    <t xml:space="preserve">bmb</t>
  </si>
  <si>
    <t xml:space="preserve">BMB (1,4-bismaleimidobutane)</t>
  </si>
  <si>
    <t xml:space="preserve">BMB is a mid-length, maleimide crosslinker for covalent, irreversible conjugation between sulfhydryl groups (e.g., protein or peptide cysteines). Features of BMB: • Reactive groups: maleimide (both ends) • Reactive towards: sulfhydryl groups • Mid-length (10.</t>
  </si>
  <si>
    <t xml:space="preserve">bmh</t>
  </si>
  <si>
    <t xml:space="preserve">BMH (bismaleimidohexane)</t>
  </si>
  <si>
    <t xml:space="preserve">BMH is a long-arm, maleimide crosslinker for covalent, irreversible conjugation between sulfhydryl groups (e.g., protein or peptide cysteines). Features of BMH: • Reactive groups: maleimide (both ends) • Reactive towards: sulfhydryl groups • Long (13.</t>
  </si>
  <si>
    <t xml:space="preserve">bmoe</t>
  </si>
  <si>
    <t xml:space="preserve">BMOE (bismaleimidoethane)</t>
  </si>
  <si>
    <t xml:space="preserve">BMOE is a short-arm, maleimide crosslinker for covalent, irreversible conjugation between sulfhydryl groups (e.g., protein or peptide cysteines). Features of BMOE: • Reactive groups: maleimide (both ends) • Reactive towards: sulfhydryl groups • Short (8.</t>
  </si>
  <si>
    <t xml:space="preserve">bmph</t>
  </si>
  <si>
    <t xml:space="preserve">BMPH</t>
  </si>
  <si>
    <t xml:space="preserve">BMPH is a short, maleimide-and-hydrazide crosslinker for conjugating sulfhydryls (cysteines) to carbonyls (aldehyde or ketones, such as those formed by oxidation of glycoprotein carbohydrates).</t>
  </si>
  <si>
    <t xml:space="preserve">bmps</t>
  </si>
  <si>
    <t xml:space="preserve">BMPS</t>
  </si>
  <si>
    <t xml:space="preserve">BMPS is an amine-to-sulfhydryl crosslinker that contains NHS-ester and maleimide reactive groups at opposite ends of a short spacer arm (5.9 Å). Features of BMPS: • Reactive groups: NHS ester and maleimide • Reactive towards: amino and sulfhydryl groups • C3-homolog of...</t>
  </si>
  <si>
    <t xml:space="preserve">bs_peg_5</t>
  </si>
  <si>
    <t xml:space="preserve">BS(PEG)5</t>
  </si>
  <si>
    <t xml:space="preserve">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</si>
  <si>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 xml:space="preserve">bs_peg_9</t>
  </si>
  <si>
    <t xml:space="preserve">BS(PEG)9</t>
  </si>
  <si>
    <t xml:space="preserve">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</si>
  <si>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 xml:space="preserve">bs2g_d0</t>
  </si>
  <si>
    <t xml:space="preserve">BS2G-d0</t>
  </si>
  <si>
    <t xml:space="preserve">BS2G-d0/d4 reagents form a matched set of heavy (deuterated) and light mass varieties of a short, amine-reactive crosslinker that facilitates the identification of crosslinked peptides by mass spectrometry. The BS2G-d0/d4 reagents are mass-analogs of BS2G crosslinker.</t>
  </si>
  <si>
    <t xml:space="preserve">bs3</t>
  </si>
  <si>
    <t xml:space="preserve">BS3</t>
  </si>
  <si>
    <t xml:space="preserve">BS3 (Sulfo-DSS) is bis(sulfosuccinimidyl)suberate, an amine-to-amine crosslinker that is homobifunctional, water-soluble, non-cleavable and membrane impermeable. BS3 contains an amine-reactive N-hydroxysulfosuccinimide (NHS) ester at each end of an 8-carbon spacer arm.</t>
  </si>
  <si>
    <t xml:space="preserve">bs3_d0</t>
  </si>
  <si>
    <t xml:space="preserve">BS3-d0</t>
  </si>
  <si>
    <t xml:space="preserve">BS3-d0/d4 reagents form a matched set of heavy (deuterated) and light mass varieties of BS3 amine-reactive crosslinker that facilitates the identification of crosslinked peptides by mass spectrometry.</t>
  </si>
  <si>
    <t xml:space="preserve">bs3_d4</t>
  </si>
  <si>
    <t xml:space="preserve">BS3-d4</t>
  </si>
  <si>
    <t xml:space="preserve">dmp</t>
  </si>
  <si>
    <t xml:space="preserve">DMP</t>
  </si>
  <si>
    <t xml:space="preserve">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</si>
  <si>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 xml:space="preserve">dms</t>
  </si>
  <si>
    <t xml:space="preserve">DMS</t>
  </si>
  <si>
    <t xml:space="preserve">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</si>
  <si>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 xml:space="preserve">dss</t>
  </si>
  <si>
    <t xml:space="preserve">DSS</t>
  </si>
  <si>
    <t xml:space="preserve">DSS (disuccinimidyl suberate), also called disuccinimidyl suberate, is noncleavable and membrane permeable crosslinker that contains an amine-reactive N-hydroxysuccinimide (NHS) ester at each end of an 8-carbon spacer arm.</t>
  </si>
  <si>
    <t xml:space="preserve">edc</t>
  </si>
  <si>
    <t xml:space="preserve">EDC</t>
  </si>
  <si>
    <t xml:space="preserve">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</si>
  <si>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 xml:space="preserve">emch</t>
  </si>
  <si>
    <t xml:space="preserve">EMCH</t>
  </si>
  <si>
    <t xml:space="preserve">EMCH is a mid-length, maleimide-and-hydrazide crosslinker for conjugating sulfhydryls (cysteines) to carbonyls (aldehyde or ketones, such as those formed by oxidation of glycoprotein carbohydrates).</t>
  </si>
  <si>
    <t xml:space="preserve">emcs</t>
  </si>
  <si>
    <t xml:space="preserve">EMCS</t>
  </si>
  <si>
    <t xml:space="preserve">EMCS is an amine-to-sulfhydryl crosslinker that contains NHS-ester and maleimide reactive groups at opposite ends of a medium-length spacer arm (9.4 angstroms). Features of EMCS: • Reactive groups: NHS ester and maleimide • Reactive towards: amino and sulfhydryl groups •...</t>
  </si>
  <si>
    <t xml:space="preserve">gmbs</t>
  </si>
  <si>
    <t xml:space="preserve">GMBS</t>
  </si>
  <si>
    <t xml:space="preserve">GMBS is an amine-to-sulfhydryl crosslinker that contains NHS-ester and maleimide reactive groups at opposite ends of a short spacer arm (7.3 angstroms). Features of GMBS: • Reactive groups: NHS ester and maleimide • Reactive toward: amino and sulfhydryl groups • C4-homolog...</t>
  </si>
  <si>
    <t xml:space="preserve">kmuh</t>
  </si>
  <si>
    <t xml:space="preserve">KMUH</t>
  </si>
  <si>
    <t xml:space="preserve">KMUH is a long, maleimide-and-hydrazide crosslinker for conjugating sulfhydryls (cysteines) to carbonyls (aldehyde or ketones, such as those formed by oxidation of glycoprotein carbohydrates).</t>
  </si>
  <si>
    <t xml:space="preserve">l_photo_methionine</t>
  </si>
  <si>
    <t xml:space="preserve">L-Photo-Methionine</t>
  </si>
  <si>
    <t xml:space="preserve">L-Photo-Methionine is an analog of L-methionine that can be incorporated into proteins during synthesis and then light-activated to covalently crosslink interacting proteins in cells.</t>
  </si>
  <si>
    <t xml:space="preserve">lc_smcc</t>
  </si>
  <si>
    <t xml:space="preserve">LC-SMCC</t>
  </si>
  <si>
    <t xml:space="preserve">LC-SMCC is an amine-to-sulfhydryl crosslinker that contains NHS-ester and maleimide reactive groups at opposite ends of a long cyclohexane-stabilized spacer arm (16.2 angstroms).</t>
  </si>
  <si>
    <t xml:space="preserve">maleimide_peg4_dbco</t>
  </si>
  <si>
    <t xml:space="preserve">Maleimide-PEG4-DBCO</t>
  </si>
  <si>
    <t xml:space="preserve">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</si>
  <si>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 xml:space="preserve">mpbh</t>
  </si>
  <si>
    <t xml:space="preserve">MPBH</t>
  </si>
  <si>
    <t xml:space="preserve">MPBH is a long, maleimide-and-hydrazide crosslinker for conjugating sulfhydryls (cysteines) to carbonyls (aldehyde or ketones, such as those formed by oxidation of glycoprotein carbohydrates).</t>
  </si>
  <si>
    <t xml:space="preserve">nhs</t>
  </si>
  <si>
    <t xml:space="preserve">NHS</t>
  </si>
  <si>
    <t xml:space="preserve">NHS is a chemical modification reagent for converting carboxyl groups to amine-reactive NHS esters for bioconjugation, crosslinking, labeling and immobilization methods. Features of NHS: • Efficiency of EDC-mediated coupling is increased in the presence of NHS •...</t>
  </si>
  <si>
    <t xml:space="preserve">nhs_azide</t>
  </si>
  <si>
    <t xml:space="preserve">NHS-Azide</t>
  </si>
  <si>
    <t xml:space="preserve">NHS-Azide is an amine-reactive compound that can be used to derivatize primary amines of proteins or amine-coated polymer surfaces for ligation to phosphine-modified molecules. This NHS-ester compound reacts to form covalent bonds with primary amines (e.g.</t>
  </si>
  <si>
    <t xml:space="preserve">nhs_peg4_azide</t>
  </si>
  <si>
    <t xml:space="preserve">NHS-PEG4-Azide</t>
  </si>
  <si>
    <t xml:space="preserve">NHS-PEG4-Azide is an amine-reactive compound that can be used to derivatize primary amines of proteins or amine-coated polymer surfaces for ligation to phosphine-modified molecules. This NHS-ester compound reacts to form covalent bonds with primary amines (e.g.</t>
  </si>
  <si>
    <t xml:space="preserve">nhs_phosphine</t>
  </si>
  <si>
    <t xml:space="preserve">NHS-Phosphine</t>
  </si>
  <si>
    <t xml:space="preserve">NHS-Phosphine is an amine-reactive compound that can be used to derivatize primary amines of proteins or amine-coated polymer surfaces for ligation to azide-tagged molecules. Features of NHS-Phosphine: • Soluble—reagent easily dissolves in water-miscible solvents for subsequent...</t>
  </si>
  <si>
    <t xml:space="preserve">pmpi</t>
  </si>
  <si>
    <t xml:space="preserve">PMPI</t>
  </si>
  <si>
    <t xml:space="preserve">PMPI (p-maleimidophenyl isocyanate) is a maleimide-and-isocyanate crosslinker for attaching compounds to sulfhydryl groups (cysteines) after conjugating the linker to hydroxyl groups on a molecule by urethane (carbamate) bonds.</t>
  </si>
  <si>
    <t xml:space="preserve">sbap</t>
  </si>
  <si>
    <t xml:space="preserve">SBAP</t>
  </si>
  <si>
    <t xml:space="preserve">SBAP is a short (6.2 angstrom) crosslinker for amine-to-sulfhydryl conjugation via N-hydroxysuccinimide (NHS) ester and bromoacetyl reactive groups. Features of SBAP: • Reactive groups: NHS ester and bromoacetyl • Reactive toward: amino and sulfhydryl groups • NHS ester...</t>
  </si>
  <si>
    <t xml:space="preserve">sda</t>
  </si>
  <si>
    <t xml:space="preserve">SDA</t>
  </si>
  <si>
    <t xml:space="preserve">SDA (NHS-Diazirine) combines proven NHS-ester and diazirine-based photoreaction chemistries with conjugate amine-containing molecules with nearly any other functional group via long-wave UV-light activation. A 3.9Å spacer arm separates the two photoreactive groups.</t>
  </si>
  <si>
    <t xml:space="preserve">sia</t>
  </si>
  <si>
    <t xml:space="preserve">SIA</t>
  </si>
  <si>
    <t xml:space="preserve">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</si>
  <si>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 xml:space="preserve">smpb</t>
  </si>
  <si>
    <t xml:space="preserve">SMPB</t>
  </si>
  <si>
    <t xml:space="preserve">SMPB is an amine-to-sulfhydryl crosslinker that contains NHS-ester and maleimide reactive groups at opposite ends of a medium-length aromatic spacer arm (11.6 angstroms). Features of SMPB: • Reactive groups: NHS ester and maleimide • Reactive towards: amino and sulfhydryl...</t>
  </si>
  <si>
    <t xml:space="preserve">smph</t>
  </si>
  <si>
    <t xml:space="preserve">SMPH</t>
  </si>
  <si>
    <t xml:space="preserve">SMPH is an amine-to-sulfhydryl crosslinker that contains NHS-ester and maleimide reactive groups at opposite ends of a long spacer arm (14.2 angstroms). Features of SMPH: • Reactive groups: NHS ester and maleimide • Reactive towards: amino and sulfhydryl groups • Slightly...</t>
  </si>
  <si>
    <t xml:space="preserve">spb</t>
  </si>
  <si>
    <t xml:space="preserve">SPB</t>
  </si>
  <si>
    <t xml:space="preserve">SPB is an NHS-ester and psoralen crosslinker that effectively conjugates primary amines to DNA via light-activated intercalation next to pyrimidine bases. Features of SPB: • Reactive groups: NHS ester and psoralen • Reactive toward: amino groups and thymine • DNA...</t>
  </si>
  <si>
    <t xml:space="preserve">sulfo_emcs</t>
  </si>
  <si>
    <t xml:space="preserve">Sulfo-EMCS</t>
  </si>
  <si>
    <t xml:space="preserve">Sulfo-EMCS is a water-soluble amine-to-sulfhydryl crosslinker that contains NHS-ester and maleimide reactive groups at opposite ends of a medium-length spacer arm (9.4 angstroms).</t>
  </si>
  <si>
    <t xml:space="preserve">sulfo_kmus</t>
  </si>
  <si>
    <t xml:space="preserve">Sulfo-KMUS</t>
  </si>
  <si>
    <t xml:space="preserve">Sulfo-KMUS is a water-soluble amine-to-sulfhydryl crosslinker that contains NHS-ester and maleimide reactive groups at opposite ends of a long spacer arm (16.3 angstroms). Features of Sulfo-KMUS: • Reactive groups: sulfo-NHS ester and maleimide • Reactive toward: amino and...</t>
  </si>
  <si>
    <t xml:space="preserve">sulfo_lc_sda</t>
  </si>
  <si>
    <t xml:space="preserve">Sulfo-LC-SDA</t>
  </si>
  <si>
    <t xml:space="preserve">Sulfo-LC-SDA (Sulfo-NHS-LC-Diazirine) combines proven NHS-ester and diazirine-based photoreaction chemistries with conjugate amine-containing molecules with nearly any other functional group via long-wave UV-light activation. A 12.</t>
  </si>
  <si>
    <t xml:space="preserve">sulfo_mbs</t>
  </si>
  <si>
    <t xml:space="preserve">Sulfo-MBS</t>
  </si>
  <si>
    <t xml:space="preserve">Sulfo-MBS (m-maleimidobenzoyl-N-hydroxysulfosuccinimide ester) is a water-soluble amine-to-sulfhydryl crosslinker that contains NHS-ester and maleimide reactive groups at opposite ends of a short aromatic spacer arm (7.3 angstroms).</t>
  </si>
  <si>
    <t xml:space="preserve">sulfo_sda</t>
  </si>
  <si>
    <t xml:space="preserve">Sulfo-SDA</t>
  </si>
  <si>
    <t xml:space="preserve">Sulfo-SDA (Sulfo-NHS-Diazirine) combines proven NHS-ester and diazirine-based photoreaction chemistries with conjugate amine-containing molecules with nearly any other functional group via long-wave UV-light activation. A 3.</t>
  </si>
  <si>
    <t xml:space="preserve">sulfo_siab</t>
  </si>
  <si>
    <t xml:space="preserve">Sulfo-SIAB</t>
  </si>
  <si>
    <t xml:space="preserve">Sulfo-SIAB a water-soluble, mid-length (10.6 angstrom) crosslinker for amine-to-sulfhydryl conjugation via sulfo-N-hydroxysuccinimide (sulfo-NHS) ester and iodoacetyl reactive groups.</t>
  </si>
  <si>
    <t xml:space="preserve">sulfo_smcc</t>
  </si>
  <si>
    <t xml:space="preserve">Sulfo-SMCC</t>
  </si>
  <si>
    <t xml:space="preserve">Sulfo-SMCC is a water-soluble, amine-to-sulfhydryl crosslinker that contains NHS-ester and maleimide reactive groups at opposite ends of a medium-length cyclohexane spacer arm (8.3 angstroms).</t>
  </si>
  <si>
    <t xml:space="preserve">sulfo_smpb</t>
  </si>
  <si>
    <t xml:space="preserve">Sulfo-SMPB</t>
  </si>
  <si>
    <t xml:space="preserve">Sulfo-SMPB is a water-soluble amine-to-sulfhydryl crosslinker that contains NHS-ester and maleimide reactive groups at opposite ends of a medium-length aromatic spacer arm (11.6 angstroms).</t>
  </si>
  <si>
    <t xml:space="preserve">tbdspp</t>
  </si>
  <si>
    <t xml:space="preserve">TBDSPP</t>
  </si>
  <si>
    <t xml:space="preserve">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</si>
  <si>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 xml:space="preserve">tfpester_peg12_dbco</t>
  </si>
  <si>
    <t xml:space="preserve">TFP Ester-PEG12-DBCO</t>
  </si>
  <si>
    <t xml:space="preserve">EZ-Link TFP Ester-PEG12-DBCO is a hetero-bifunctional crosslinker that contains an amine-reactive tetrafluorophenyl (TFP) group and a dibenzylcyclooctyne (DBCO) group with a water-solubilizing long PEG12 spacer in between.</t>
  </si>
  <si>
    <t xml:space="preserve">tfpester_peg4_dbco</t>
  </si>
  <si>
    <t xml:space="preserve">TFP Ester-PEG4-DBCO</t>
  </si>
  <si>
    <t xml:space="preserve">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</si>
  <si>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 xml:space="preserve">tmea</t>
  </si>
  <si>
    <t xml:space="preserve">TMEA</t>
  </si>
  <si>
    <t xml:space="preserve">TMEA (tris(2-maleimidoethyl)amine) is a trifunctional crosslinker containing three reactive maleimide groups to enable three-way conjugation and polymerization of sulfhydryl-containing molecules. Features of TMEA: • Reactive groups: maleimide (on three termini) • Reactive...</t>
  </si>
  <si>
    <t xml:space="preserve">tsat</t>
  </si>
  <si>
    <t xml:space="preserve">TSAT</t>
  </si>
  <si>
    <t xml:space="preserve">TSAT is tris-(succinimidyl) aminotriacetate, a novel trifunctional crosslinker that contains three short spacers arms linked to a central nitrogen atom, each ending in an amine-reactive NHS-ester group.</t>
  </si>
  <si>
    <t xml:space="preserve">dsp</t>
  </si>
  <si>
    <t xml:space="preserve">DSP</t>
  </si>
  <si>
    <t xml:space="preserve">DSP (Lomant's Reagent) is a water-insoluble, homo-bifunctional N-hydroxysuccimide ester (NHS ester) crosslinker that is thiol-cleavable, primary amine-reactive, and useful for many applications. DSP contains an amine-reactive NHS ester at each end of an 8-carbon spacer arm.</t>
  </si>
  <si>
    <t xml:space="preserve">dtbp</t>
  </si>
  <si>
    <t xml:space="preserve">DTBP</t>
  </si>
  <si>
    <t xml:space="preserve">DTBP is dimethyl 3,3'-dithiobispropionimidate, a crosslinker that contains amine-reactive imidoester groups around an 8-atom spacer arm, whose central disulfide bond can be cleaved with reducing agents.</t>
  </si>
  <si>
    <t xml:space="preserve">dtme</t>
  </si>
  <si>
    <t xml:space="preserve">DTME</t>
  </si>
  <si>
    <t xml:space="preserve">DTME (dithiobismaleimidoethane) is a mid-length, maleimide crosslinker for reversible covalent conjugation between sulfhydryl groups (e.g., protein or peptide cysteines) by reduction of the disulfide bond in the center of the spacer arm.</t>
  </si>
  <si>
    <t xml:space="preserve">dtssp</t>
  </si>
  <si>
    <t xml:space="preserve">DTSSP</t>
  </si>
  <si>
    <t xml:space="preserve">DTSSP (3,3'-dithiobis(sulfosuccinimidyl propionate))  is a popular water-soluble crosslinker that contains amine-reactive NHS-ester ends around an 8-atom spacer arm, whose central disulfide bond can be cleaved with reducing agents.</t>
  </si>
  <si>
    <t xml:space="preserve">lc_spdp</t>
  </si>
  <si>
    <t xml:space="preserve">LC-SPDP</t>
  </si>
  <si>
    <t xml:space="preserve">LC-SPDP  (succinimidyl 6-(3(2-pyridyldithio)propionamido)hexanoate)   is a long-chain crosslinker for amine-to-sulfhydryl conjugation via NHS-ester and pyridyldithiol reactive groups that form cleavable (reducible) disulfide bonds with cysteine sulfhydryls.</t>
  </si>
  <si>
    <t xml:space="preserve">pdph</t>
  </si>
  <si>
    <t xml:space="preserve">PDPH</t>
  </si>
  <si>
    <t xml:space="preserve">PDPH (3-(2-pyridyldithio)propionyl hydrazide)  is a short, pyridyldithiol-and-hydrazide crosslinker for reversibly conjugating sulfhydryls (cysteines) to carbonyls (aldehyde or ketones, such as those formed by oxidation of glycoprotein carbohydrates).</t>
  </si>
  <si>
    <t xml:space="preserve">peg12_spdp</t>
  </si>
  <si>
    <t xml:space="preserve">PEG12-SPDP</t>
  </si>
  <si>
    <t xml:space="preserve">PEG12-SPDP is a multifunctional crosslinker for protein conjugation via amine-to-amine or amine-to-sulfhydryl crosslinks that contain a 12-unit polyethylene glycol (PEG) group and a reducible (cleavable) disulfide bond.</t>
  </si>
  <si>
    <t xml:space="preserve">peg4_spdp</t>
  </si>
  <si>
    <t xml:space="preserve">PEG4-SPDP</t>
  </si>
  <si>
    <t xml:space="preserve">PEG4-SPDP is a multifunctional crosslinker for protein conjugation via amine-to-amine or amine-to-sulfhydryl crosslinks that contain a 4-unit polyethylene glycol (PEG) group and a reducible (cleavable) disulfide bond.</t>
  </si>
  <si>
    <t xml:space="preserve">sdad</t>
  </si>
  <si>
    <t xml:space="preserve">SDAD</t>
  </si>
  <si>
    <t xml:space="preserve">SDAD (NHS-SS-Diazirine) combines proven NHS-ester and diazirine-based photoreaction chemistries with conjugate amine-containing molecules with nearly any other functional group via long-wave UV-light activation. A 13.</t>
  </si>
  <si>
    <t xml:space="preserve">smcc</t>
  </si>
  <si>
    <t xml:space="preserve">SMCC</t>
  </si>
  <si>
    <t xml:space="preserve">SMCC is a hetero-bifunctional crosslinker that contain N-hydroxysuccinimide (NHS) ester and maleimide groups that allow covalent conjugation of amine- and sulfhydryl-containing molecules.</t>
  </si>
  <si>
    <t xml:space="preserve">smpt</t>
  </si>
  <si>
    <t xml:space="preserve">SMPT</t>
  </si>
  <si>
    <t xml:space="preserve">SMPT (4-succinimidyloxycarbonyl-alpha-methyl-α(2-pyridyldithio)toluene) is a long-chain crosslinker for amine-to-sulfhydryl conjugation via NHS-ester and pyridyldithiol reactive groups that form strong (hindered) yet cleavable (reducible) disulfide bonds with cysteine sulfhydryls.</t>
  </si>
  <si>
    <t xml:space="preserve">spdp</t>
  </si>
  <si>
    <t xml:space="preserve">SPDP </t>
  </si>
  <si>
    <t xml:space="preserve">SPDP (succinimidyl 3-(2-pyridyldithio)propionate)  is a short-chain crosslinker for amine-to-sulfhydryl conjugation via NHS-ester and pyridyldithiol reactive groups that form cleavable (reducible) disulfide bonds with cysteine sulfhydryls.</t>
  </si>
  <si>
    <t xml:space="preserve">sulfo_lc_spdp</t>
  </si>
  <si>
    <t xml:space="preserve">Sulfo-LC-SPDP</t>
  </si>
  <si>
    <t xml:space="preserve">Sulfo-LC-SPDP  (sulfosuccinimidyl 6-(3'-(2-pyridyldithio)propionamido)hexanoate) is a water-soluble, long-chain crosslinker for amine-to-sulfhydryl conjugation via NHS-ester and pyridyldithiol reactive groups that form cleavable (reducible) disulfide bonds with cysteines.</t>
  </si>
  <si>
    <t xml:space="preserve">sulfo_sanpah</t>
  </si>
  <si>
    <t xml:space="preserve">Sulfo-SANPAH</t>
  </si>
  <si>
    <t xml:space="preserve">Sulfo-SANPAH is a hetero-bifunctional crosslinker that contains an amine-reactive N-hydroxysuccinimide (NHS) ester and a photoactivatable nitrophenyl azide. NHS esters react efficiently with primary amino groups (-NH2) in pH 7–9 buffers to form stable amide bonds.</t>
  </si>
  <si>
    <t xml:space="preserve">sulfo_sdad</t>
  </si>
  <si>
    <t xml:space="preserve">Sulfo-SDAD</t>
  </si>
  <si>
    <t xml:space="preserve">Sulfo-SDAD (Sulfo-NHS-SS-Diazirine) combines proven NHS-ester and diazirine-based photoreaction chemistries with conjugate amine-containing molecules with nearly any other functional group via long-wave UV-light activation. A 13.</t>
  </si>
  <si>
    <t xml:space="preserve">database_orf_search</t>
  </si>
  <si>
    <t xml:space="preserve">att_dataset</t>
  </si>
  <si>
    <t xml:space="preserve">Database + ORF search</t>
  </si>
  <si>
    <t xml:space="preserve">database and orf search</t>
  </si>
  <si>
    <t xml:space="preserve">database_search</t>
  </si>
  <si>
    <t xml:space="preserve">Database search</t>
  </si>
  <si>
    <t xml:space="preserve">database search</t>
  </si>
  <si>
    <t xml:space="preserve">de_novo</t>
  </si>
  <si>
    <t xml:space="preserve">de novo</t>
  </si>
  <si>
    <t xml:space="preserve">chaps</t>
  </si>
  <si>
    <t xml:space="preserve">CHAPS</t>
  </si>
  <si>
    <t xml:space="preserve">CHAPS is a zwitterionic detergent that is especially well suited for protecting the native state of proteins.</t>
  </si>
  <si>
    <t xml:space="preserve">dmm</t>
  </si>
  <si>
    <t xml:space="preserve">DMM</t>
  </si>
  <si>
    <t xml:space="preserve">n-Dodecyl-β-D-Maltoside is especially useful for solubilizing membrane proteins to preserve their activity.</t>
  </si>
  <si>
    <t xml:space="preserve">np40</t>
  </si>
  <si>
    <t xml:space="preserve">NP-40</t>
  </si>
  <si>
    <t xml:space="preserve">NP-40 is a nonionic polyoxyethylene surfactant that is most frequently used as a component of cell lysis buffers.</t>
  </si>
  <si>
    <t xml:space="preserve">og</t>
  </si>
  <si>
    <t xml:space="preserve">OG</t>
  </si>
  <si>
    <t xml:space="preserve">octyl-beta-Glucoside is a nonionic detergent that has been widely used for membrane protein solubilization.</t>
  </si>
  <si>
    <t xml:space="preserve">otg</t>
  </si>
  <si>
    <t xml:space="preserve">OTG</t>
  </si>
  <si>
    <t xml:space="preserve">Octylthioglucoside is a low-MW nonionic detergent that is effective for cell lysis and nondenaturing protein solubilization. It is resistant to beta-D-glucoside glucohydrolase degradation.</t>
  </si>
  <si>
    <t xml:space="preserve">sds</t>
  </si>
  <si>
    <t xml:space="preserve">SDS</t>
  </si>
  <si>
    <t xml:space="preserve">Sodium dodecyl sulfate (SDS) is a popular anionic detergent for routine protein electrophoresis and cell lysis methods. </t>
  </si>
  <si>
    <t xml:space="preserve">tritonx100</t>
  </si>
  <si>
    <t xml:space="preserve">Triton X-100</t>
  </si>
  <si>
    <t xml:space="preserve">Triton X-100 is most frequently used as a component of cell lysis buffers or other solutions intended to extract and solubilize proteins.</t>
  </si>
  <si>
    <t xml:space="preserve">tween20</t>
  </si>
  <si>
    <t xml:space="preserve">Tween20</t>
  </si>
  <si>
    <t xml:space="preserve">Tween20 nonionic detergent</t>
  </si>
  <si>
    <t xml:space="preserve">tween80</t>
  </si>
  <si>
    <t xml:space="preserve">Tween80</t>
  </si>
  <si>
    <t xml:space="preserve">Tween80 nonionic detergent</t>
  </si>
  <si>
    <t xml:space="preserve">1200mz</t>
  </si>
  <si>
    <t xml:space="preserve">800mz</t>
  </si>
  <si>
    <t xml:space="preserve">400mz</t>
  </si>
  <si>
    <t xml:space="preserve">30 DIA windows (MS2) Scans within one cycle.</t>
  </si>
  <si>
    <t xml:space="preserve">40dia</t>
  </si>
  <si>
    <t xml:space="preserve">40 DIA windows (MS2) Scans within one cycle.</t>
  </si>
  <si>
    <t xml:space="preserve">fasp</t>
  </si>
  <si>
    <t xml:space="preserve">FASP</t>
  </si>
  <si>
    <t xml:space="preserve">Filter Aided Sample Preparation based digestion method.</t>
  </si>
  <si>
    <t xml:space="preserve">ingel</t>
  </si>
  <si>
    <t xml:space="preserve">In Gel </t>
  </si>
  <si>
    <t xml:space="preserve">In gel digestion method</t>
  </si>
  <si>
    <t xml:space="preserve">insol</t>
  </si>
  <si>
    <t xml:space="preserve">In Solution</t>
  </si>
  <si>
    <t xml:space="preserve">In solution digestion method</t>
  </si>
  <si>
    <t xml:space="preserve">sp3</t>
  </si>
  <si>
    <t xml:space="preserve">SP3</t>
  </si>
  <si>
    <t xml:space="preserve">SP3 magnetic bead based digestion method </t>
  </si>
  <si>
    <t xml:space="preserve">23c</t>
  </si>
  <si>
    <t xml:space="preserve">23 °C</t>
  </si>
  <si>
    <t xml:space="preserve">Digestion of proteins performed at 23 °C.</t>
  </si>
  <si>
    <t xml:space="preserve">37c</t>
  </si>
  <si>
    <t xml:space="preserve">37 °C</t>
  </si>
  <si>
    <t xml:space="preserve">Digestion of proteins performed at 37°C.</t>
  </si>
  <si>
    <t xml:space="preserve">12h</t>
  </si>
  <si>
    <t xml:space="preserve">12 h</t>
  </si>
  <si>
    <t xml:space="preserve">Digestion time of 12 h.</t>
  </si>
  <si>
    <t xml:space="preserve">16h</t>
  </si>
  <si>
    <t xml:space="preserve">16 h</t>
  </si>
  <si>
    <t xml:space="preserve">Digestion time of 16 h.</t>
  </si>
  <si>
    <t xml:space="preserve">8h</t>
  </si>
  <si>
    <t xml:space="preserve">8 h</t>
  </si>
  <si>
    <t xml:space="preserve">Digestion time of 8 h.</t>
  </si>
  <si>
    <t xml:space="preserve">384well_plate</t>
  </si>
  <si>
    <t xml:space="preserve">384 well plate</t>
  </si>
  <si>
    <t xml:space="preserve">96well_plate</t>
  </si>
  <si>
    <t xml:space="preserve">96 well plate</t>
  </si>
  <si>
    <t xml:space="preserve">96 well palte</t>
  </si>
  <si>
    <t xml:space="preserve">onefive_ml_tube</t>
  </si>
  <si>
    <t xml:space="preserve">1.5 mL RxTube</t>
  </si>
  <si>
    <t xml:space="preserve">1.5 mL Tube</t>
  </si>
  <si>
    <t xml:space="preserve">pcrstripe</t>
  </si>
  <si>
    <t xml:space="preserve">PCR Stripe</t>
  </si>
  <si>
    <t xml:space="preserve">two_ml_tube</t>
  </si>
  <si>
    <t xml:space="preserve">2 mL RxTube</t>
  </si>
  <si>
    <t xml:space="preserve">2mL Tube</t>
  </si>
  <si>
    <t xml:space="preserve">als</t>
  </si>
  <si>
    <t xml:space="preserve">ALS</t>
  </si>
  <si>
    <t xml:space="preserve">Amyotrophic lateral sclerosis</t>
  </si>
  <si>
    <t xml:space="preserve">alzheimer</t>
  </si>
  <si>
    <t xml:space="preserve">Alzheimer</t>
  </si>
  <si>
    <t xml:space="preserve">Alzheimer's disease</t>
  </si>
  <si>
    <t xml:space="preserve">autoimmune</t>
  </si>
  <si>
    <t xml:space="preserve">Autoimmune</t>
  </si>
  <si>
    <t xml:space="preserve">Autoimmune disease</t>
  </si>
  <si>
    <t xml:space="preserve">cancer</t>
  </si>
  <si>
    <t xml:space="preserve">Cancer</t>
  </si>
  <si>
    <t xml:space="preserve">Diseases of abnormal cells grow</t>
  </si>
  <si>
    <t xml:space="preserve">cardiovascular_diseases</t>
  </si>
  <si>
    <t xml:space="preserve">cardiovasculardiseases</t>
  </si>
  <si>
    <t xml:space="preserve">Cardiovascular_Diseases</t>
  </si>
  <si>
    <t xml:space="preserve">Cardiovascular and circulatory diseases</t>
  </si>
  <si>
    <t xml:space="preserve">chronic_inflammation</t>
  </si>
  <si>
    <t xml:space="preserve">chronicinflammation</t>
  </si>
  <si>
    <t xml:space="preserve">Chronic_Inflammation</t>
  </si>
  <si>
    <t xml:space="preserve">Slow, long-term inflammation lasting for prolonged periods</t>
  </si>
  <si>
    <t xml:space="preserve">coeliac</t>
  </si>
  <si>
    <t xml:space="preserve">Coeliac</t>
  </si>
  <si>
    <t xml:space="preserve">Coeliac disease</t>
  </si>
  <si>
    <t xml:space="preserve">covid19</t>
  </si>
  <si>
    <t xml:space="preserve">COVID19</t>
  </si>
  <si>
    <t xml:space="preserve">coronavirus disease</t>
  </si>
  <si>
    <t xml:space="preserve">dementia</t>
  </si>
  <si>
    <t xml:space="preserve">Dementia</t>
  </si>
  <si>
    <t xml:space="preserve">demyelinating</t>
  </si>
  <si>
    <t xml:space="preserve">Demyelinating</t>
  </si>
  <si>
    <t xml:space="preserve">Demyelinating disease</t>
  </si>
  <si>
    <t xml:space="preserve">diabetes</t>
  </si>
  <si>
    <t xml:space="preserve">Diabetes</t>
  </si>
  <si>
    <t xml:space="preserve">glioblastoma</t>
  </si>
  <si>
    <t xml:space="preserve">Glioblastoma</t>
  </si>
  <si>
    <t xml:space="preserve">Grade IV Astrocytoma</t>
  </si>
  <si>
    <t xml:space="preserve">hiv</t>
  </si>
  <si>
    <t xml:space="preserve">HIV</t>
  </si>
  <si>
    <t xml:space="preserve">HIV disease</t>
  </si>
  <si>
    <t xml:space="preserve">huntington</t>
  </si>
  <si>
    <t xml:space="preserve">Huntington</t>
  </si>
  <si>
    <t xml:space="preserve">Huntington's disease</t>
  </si>
  <si>
    <t xml:space="preserve">ibd</t>
  </si>
  <si>
    <t xml:space="preserve">IBD</t>
  </si>
  <si>
    <t xml:space="preserve">Inflammatory bowel disease</t>
  </si>
  <si>
    <t xml:space="preserve">infection</t>
  </si>
  <si>
    <t xml:space="preserve">Infection</t>
  </si>
  <si>
    <t xml:space="preserve">Infection occurs when viruses, bacteria, or other microbes enter your body and begin to multiply.</t>
  </si>
  <si>
    <t xml:space="preserve">influenza</t>
  </si>
  <si>
    <t xml:space="preserve">Influenza</t>
  </si>
  <si>
    <t xml:space="preserve">Flue; contagious respiratory illness caused by influenza viruses.</t>
  </si>
  <si>
    <t xml:space="preserve">leukemia</t>
  </si>
  <si>
    <t xml:space="preserve">Cancer of the body's blood-forming tissues</t>
  </si>
  <si>
    <t xml:space="preserve">lymphoma</t>
  </si>
  <si>
    <t xml:space="preserve">Lymphoma</t>
  </si>
  <si>
    <t xml:space="preserve">Cancer that begins in cells of the lymph system</t>
  </si>
  <si>
    <t xml:space="preserve">malaria</t>
  </si>
  <si>
    <t xml:space="preserve">Malaria</t>
  </si>
  <si>
    <t xml:space="preserve">Fatal disease caused by a parasite</t>
  </si>
  <si>
    <t xml:space="preserve">MS</t>
  </si>
  <si>
    <t xml:space="preserve">Multiple sclerosis</t>
  </si>
  <si>
    <t xml:space="preserve">msa</t>
  </si>
  <si>
    <t xml:space="preserve">MSA</t>
  </si>
  <si>
    <t xml:space="preserve">Multiple system atrophy</t>
  </si>
  <si>
    <t xml:space="preserve">neurodegenerative</t>
  </si>
  <si>
    <t xml:space="preserve">Neurodegenerative</t>
  </si>
  <si>
    <t xml:space="preserve">Neurodegenerative disease</t>
  </si>
  <si>
    <t xml:space="preserve">parkinson</t>
  </si>
  <si>
    <t xml:space="preserve">Parkinson</t>
  </si>
  <si>
    <t xml:space="preserve">Parkinson's disease</t>
  </si>
  <si>
    <t xml:space="preserve">prion</t>
  </si>
  <si>
    <t xml:space="preserve">Prion</t>
  </si>
  <si>
    <t xml:space="preserve">Prion disease</t>
  </si>
  <si>
    <t xml:space="preserve">rheumatoid</t>
  </si>
  <si>
    <t xml:space="preserve">Rheumatoid</t>
  </si>
  <si>
    <t xml:space="preserve">Rheumatoid arthritis</t>
  </si>
  <si>
    <t xml:space="preserve">stress</t>
  </si>
  <si>
    <t xml:space="preserve">Stress</t>
  </si>
  <si>
    <t xml:space="preserve">How one reacts when feeling under pressure or threatened</t>
  </si>
  <si>
    <t xml:space="preserve">stroke</t>
  </si>
  <si>
    <t xml:space="preserve">Stroke</t>
  </si>
  <si>
    <t xml:space="preserve">Disease that affects the arteries leading to and within the brain</t>
  </si>
  <si>
    <t xml:space="preserve">tuberculosis</t>
  </si>
  <si>
    <t xml:space="preserve">Tuberculosis</t>
  </si>
  <si>
    <t xml:space="preserve">Caused by a bacterium called Mycobacterium tuberculosis</t>
  </si>
  <si>
    <t xml:space="preserve">hypoxia</t>
  </si>
  <si>
    <t xml:space="preserve">Hypoxia</t>
  </si>
  <si>
    <t xml:space="preserve">Hypoxic chamber treatment (0.2% O2). </t>
  </si>
  <si>
    <t xml:space="preserve">normoxia</t>
  </si>
  <si>
    <t xml:space="preserve">Normoxia</t>
  </si>
  <si>
    <t xml:space="preserve">Normoxia as a hypoxia control.</t>
  </si>
  <si>
    <t xml:space="preserve">acetylome</t>
  </si>
  <si>
    <t xml:space="preserve">Acetylome</t>
  </si>
  <si>
    <t xml:space="preserve">dvp</t>
  </si>
  <si>
    <t xml:space="preserve">DVP</t>
  </si>
  <si>
    <t xml:space="preserve">Fractionated Samples (DVP)</t>
  </si>
  <si>
    <t xml:space="preserve">expression_proteome</t>
  </si>
  <si>
    <t xml:space="preserve">expression</t>
  </si>
  <si>
    <t xml:space="preserve">Expression Proteome</t>
  </si>
  <si>
    <t xml:space="preserve">interaction</t>
  </si>
  <si>
    <t xml:space="preserve">Interaction Proteome</t>
  </si>
  <si>
    <t xml:space="preserve">metrs</t>
  </si>
  <si>
    <t xml:space="preserve">MetRS</t>
  </si>
  <si>
    <t xml:space="preserve">neo_nterm_enrichment</t>
  </si>
  <si>
    <t xml:space="preserve">ntermenrichment</t>
  </si>
  <si>
    <t xml:space="preserve">Neo N-term enrichment</t>
  </si>
  <si>
    <t xml:space="preserve">oxinome</t>
  </si>
  <si>
    <t xml:space="preserve">Oxinome</t>
  </si>
  <si>
    <t xml:space="preserve">phosphoproteome</t>
  </si>
  <si>
    <t xml:space="preserve">Phosphoproteome</t>
  </si>
  <si>
    <t xml:space="preserve">pulse_silac</t>
  </si>
  <si>
    <t xml:space="preserve">Pulse-SILAC</t>
  </si>
  <si>
    <t xml:space="preserve">secretome</t>
  </si>
  <si>
    <t xml:space="preserve">Secretome</t>
  </si>
  <si>
    <t xml:space="preserve">spatial</t>
  </si>
  <si>
    <t xml:space="preserve">Spatial Proteome</t>
  </si>
  <si>
    <t xml:space="preserve">ubiquitinome</t>
  </si>
  <si>
    <t xml:space="preserve">Ubiquitinome</t>
  </si>
  <si>
    <t xml:space="preserve">100c</t>
  </si>
  <si>
    <t xml:space="preserve">95c</t>
  </si>
  <si>
    <t xml:space="preserve">96c</t>
  </si>
  <si>
    <t xml:space="preserve">97c</t>
  </si>
  <si>
    <t xml:space="preserve">98c</t>
  </si>
  <si>
    <t xml:space="preserve">99c</t>
  </si>
  <si>
    <t xml:space="preserve">bal</t>
  </si>
  <si>
    <t xml:space="preserve">att_fluid</t>
  </si>
  <si>
    <t xml:space="preserve">Bal</t>
  </si>
  <si>
    <t xml:space="preserve">Bronchoalveolar lavage (BAL)</t>
  </si>
  <si>
    <t xml:space="preserve">cerebrospinal</t>
  </si>
  <si>
    <t xml:space="preserve">Cerebrospinal</t>
  </si>
  <si>
    <t xml:space="preserve">Cerebrospinal fluid (CSF)</t>
  </si>
  <si>
    <t xml:space="preserve">feces</t>
  </si>
  <si>
    <t xml:space="preserve">Feces</t>
  </si>
  <si>
    <t xml:space="preserve">Poop</t>
  </si>
  <si>
    <t xml:space="preserve">interstitial</t>
  </si>
  <si>
    <t xml:space="preserve">Interstitial</t>
  </si>
  <si>
    <t xml:space="preserve">Interstitial fluid</t>
  </si>
  <si>
    <t xml:space="preserve">lymph</t>
  </si>
  <si>
    <t xml:space="preserve">Lymph</t>
  </si>
  <si>
    <t xml:space="preserve">Lymph; fluid that flows through the lymphatic system</t>
  </si>
  <si>
    <t xml:space="preserve">peritoneal</t>
  </si>
  <si>
    <t xml:space="preserve">Peritoneal</t>
  </si>
  <si>
    <t xml:space="preserve">Peritoneal fluid</t>
  </si>
  <si>
    <t xml:space="preserve">plasma</t>
  </si>
  <si>
    <t xml:space="preserve">Plasma</t>
  </si>
  <si>
    <t xml:space="preserve">Blood Plasma</t>
  </si>
  <si>
    <t xml:space="preserve">pleural</t>
  </si>
  <si>
    <t xml:space="preserve">Pleural</t>
  </si>
  <si>
    <t xml:space="preserve">Pleural fluid</t>
  </si>
  <si>
    <t xml:space="preserve">saliva</t>
  </si>
  <si>
    <t xml:space="preserve">Saliva</t>
  </si>
  <si>
    <t xml:space="preserve">Spit</t>
  </si>
  <si>
    <t xml:space="preserve">seminal</t>
  </si>
  <si>
    <t xml:space="preserve">Seminal</t>
  </si>
  <si>
    <t xml:space="preserve">Semen; Seminal fluid</t>
  </si>
  <si>
    <t xml:space="preserve">serum</t>
  </si>
  <si>
    <t xml:space="preserve">Serum</t>
  </si>
  <si>
    <t xml:space="preserve">Blood Serum</t>
  </si>
  <si>
    <t xml:space="preserve">urine</t>
  </si>
  <si>
    <t xml:space="preserve">Urine</t>
  </si>
  <si>
    <t xml:space="preserve">Pee</t>
  </si>
  <si>
    <t xml:space="preserve">01k</t>
  </si>
  <si>
    <t xml:space="preserve">att_fraction</t>
  </si>
  <si>
    <t xml:space="preserve">01k Spatial Fraction (Pellet)</t>
  </si>
  <si>
    <t xml:space="preserve">05k</t>
  </si>
  <si>
    <t xml:space="preserve">05k Spatial Fraction (Pellet)</t>
  </si>
  <si>
    <t xml:space="preserve">12k</t>
  </si>
  <si>
    <t xml:space="preserve">12k Spatial Fraction (Pellet)</t>
  </si>
  <si>
    <t xml:space="preserve">24k</t>
  </si>
  <si>
    <t xml:space="preserve">24k Spatial Fraction (Pellet)</t>
  </si>
  <si>
    <t xml:space="preserve">79k</t>
  </si>
  <si>
    <t xml:space="preserve">79k Spatial Fraction (Pellet)</t>
  </si>
  <si>
    <t xml:space="preserve">crude_mito</t>
  </si>
  <si>
    <t xml:space="preserve">crude</t>
  </si>
  <si>
    <t xml:space="preserve">Crude Mito</t>
  </si>
  <si>
    <t xml:space="preserve">Crude mitochondrial fraction</t>
  </si>
  <si>
    <t xml:space="preserve">cytosolic</t>
  </si>
  <si>
    <t xml:space="preserve">Cytosolic</t>
  </si>
  <si>
    <t xml:space="preserve">Cytosolic Spatial Fraction</t>
  </si>
  <si>
    <t xml:space="preserve">total</t>
  </si>
  <si>
    <t xml:space="preserve">Total</t>
  </si>
  <si>
    <t xml:space="preserve">Total Spatial Fraction</t>
  </si>
  <si>
    <t xml:space="preserve">biggybac</t>
  </si>
  <si>
    <t xml:space="preserve">BiggyBac transposon</t>
  </si>
  <si>
    <t xml:space="preserve">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</si>
  <si>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 xml:space="preserve">crispr</t>
  </si>
  <si>
    <t xml:space="preserve">CRISPR-mediated</t>
  </si>
  <si>
    <t xml:space="preserve">A CRISPR-associated (Cas) enzyme is used to cleave target DNA, resulting in a double-strand break (DSB). The Cas enzyme is directed by the guide RNA (gRNA) to a user-defined site in the genome, and then the Cas enzyme cuts the DNA.</t>
  </si>
  <si>
    <t xml:space="preserve">crispr_hdr</t>
  </si>
  <si>
    <t xml:space="preserve">CRSPR+HDR mediated</t>
  </si>
  <si>
    <t xml:space="preserve">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</si>
  <si>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 xml:space="preserve">lentiviral</t>
  </si>
  <si>
    <t xml:space="preserve">Lenti Viral</t>
  </si>
  <si>
    <t xml:space="preserve">Lentivirus based genome integration.</t>
  </si>
  <si>
    <t xml:space="preserve">talen</t>
  </si>
  <si>
    <t xml:space="preserve">TALE nucleases</t>
  </si>
  <si>
    <t xml:space="preserve">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</si>
  <si>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 xml:space="preserve">zincfinger</t>
  </si>
  <si>
    <t xml:space="preserve">Zinc-finger nucleases</t>
  </si>
  <si>
    <t xml:space="preserve">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</si>
  <si>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 xml:space="preserve">deletion</t>
  </si>
  <si>
    <t xml:space="preserve">Deletion</t>
  </si>
  <si>
    <t xml:space="preserve">Gene deletion</t>
  </si>
  <si>
    <t xml:space="preserve">inducible_expression</t>
  </si>
  <si>
    <t xml:space="preserve">Inducible Expression</t>
  </si>
  <si>
    <t xml:space="preserve">Inducible gene expression. </t>
  </si>
  <si>
    <t xml:space="preserve">knockin</t>
  </si>
  <si>
    <t xml:space="preserve">Knockin</t>
  </si>
  <si>
    <t xml:space="preserve">Gene knock in. One-for-one substitution of DNA sequence information in a genetic locus or the insertion of sequence information not found within the locus. </t>
  </si>
  <si>
    <t xml:space="preserve">ko</t>
  </si>
  <si>
    <t xml:space="preserve">Knockout</t>
  </si>
  <si>
    <t xml:space="preserve">Gene knock out.</t>
  </si>
  <si>
    <t xml:space="preserve">stable_expression</t>
  </si>
  <si>
    <t xml:space="preserve">Stable Expression </t>
  </si>
  <si>
    <t xml:space="preserve">Stable gene expression.</t>
  </si>
  <si>
    <t xml:space="preserve">het</t>
  </si>
  <si>
    <t xml:space="preserve">Heterezygot (+/-)</t>
  </si>
  <si>
    <t xml:space="preserve">Heterozygous</t>
  </si>
  <si>
    <t xml:space="preserve">hom</t>
  </si>
  <si>
    <t xml:space="preserve">Homozygot (-/-)</t>
  </si>
  <si>
    <t xml:space="preserve">Homozygous</t>
  </si>
  <si>
    <t xml:space="preserve">14dia</t>
  </si>
  <si>
    <t xml:space="preserve">Isolation width (DIA)</t>
  </si>
  <si>
    <t xml:space="preserve">onepointfour</t>
  </si>
  <si>
    <t xml:space="preserve">Isolation width (DDA) of 1.4 Th</t>
  </si>
  <si>
    <t xml:space="preserve">esirna</t>
  </si>
  <si>
    <t xml:space="preserve">esiRNA</t>
  </si>
  <si>
    <t xml:space="preserve">Eupheria Biotch - esiRNA knock down technique.</t>
  </si>
  <si>
    <t xml:space="preserve">grna</t>
  </si>
  <si>
    <t xml:space="preserve">gRNA</t>
  </si>
  <si>
    <t xml:space="preserve">gRNA based knockdown in a polyclonal population</t>
  </si>
  <si>
    <t xml:space="preserve">mirna</t>
  </si>
  <si>
    <t xml:space="preserve">mirRNA</t>
  </si>
  <si>
    <t xml:space="preserve">miRNA based gene expression knockdown.</t>
  </si>
  <si>
    <t xml:space="preserve">shrna</t>
  </si>
  <si>
    <t xml:space="preserve">shRNA</t>
  </si>
  <si>
    <t xml:space="preserve">shRNA based gene expression kockdown </t>
  </si>
  <si>
    <t xml:space="preserve">sirna</t>
  </si>
  <si>
    <t xml:space="preserve">siRNA</t>
  </si>
  <si>
    <t xml:space="preserve">siRNA based gene expression knock down by RNA interference</t>
  </si>
  <si>
    <t xml:space="preserve">200nlmin</t>
  </si>
  <si>
    <t xml:space="preserve">200 nL/min</t>
  </si>
  <si>
    <t xml:space="preserve">250nlmin</t>
  </si>
  <si>
    <t xml:space="preserve">250 nL/min</t>
  </si>
  <si>
    <t xml:space="preserve">500nlmin</t>
  </si>
  <si>
    <t xml:space="preserve">500 nL/min</t>
  </si>
  <si>
    <t xml:space="preserve">e1000</t>
  </si>
  <si>
    <t xml:space="preserve">nLC Easy 1000</t>
  </si>
  <si>
    <t xml:space="preserve">Thermo Fisher nano LC 1000</t>
  </si>
  <si>
    <t xml:space="preserve">e1200</t>
  </si>
  <si>
    <t xml:space="preserve">nLC Easy 1200</t>
  </si>
  <si>
    <t xml:space="preserve">Thermo Fisher nano LC 1200</t>
  </si>
  <si>
    <t xml:space="preserve">evosep</t>
  </si>
  <si>
    <t xml:space="preserve">Evosep</t>
  </si>
  <si>
    <t xml:space="preserve">nanoelute</t>
  </si>
  <si>
    <t xml:space="preserve">NanoElute</t>
  </si>
  <si>
    <t xml:space="preserve">Bruker Nano Elute</t>
  </si>
  <si>
    <t xml:space="preserve">ultimate</t>
  </si>
  <si>
    <t xml:space="preserve">Ultimate</t>
  </si>
  <si>
    <t xml:space="preserve">Thermo Fisher Ultimate RC</t>
  </si>
  <si>
    <t xml:space="preserve">vanquish</t>
  </si>
  <si>
    <t xml:space="preserve">Vanquish</t>
  </si>
  <si>
    <t xml:space="preserve">Thermo Fisher Vanquish</t>
  </si>
  <si>
    <t xml:space="preserve">easylc1</t>
  </si>
  <si>
    <t xml:space="preserve">Easy LC1</t>
  </si>
  <si>
    <t xml:space="preserve">easylc2</t>
  </si>
  <si>
    <t xml:space="preserve">Easy LC2</t>
  </si>
  <si>
    <t xml:space="preserve">evosep1</t>
  </si>
  <si>
    <t xml:space="preserve">Evosep1</t>
  </si>
  <si>
    <t xml:space="preserve">Evosep 1</t>
  </si>
  <si>
    <t xml:space="preserve">vanquishneo1</t>
  </si>
  <si>
    <t xml:space="preserve">Vanquish Neo1</t>
  </si>
  <si>
    <t xml:space="preserve">bravo</t>
  </si>
  <si>
    <t xml:space="preserve">Agilent Bravo </t>
  </si>
  <si>
    <t xml:space="preserve">Agilent Bravo Sample Preparaton</t>
  </si>
  <si>
    <t xml:space="preserve">felix</t>
  </si>
  <si>
    <t xml:space="preserve">Cybio Felix Liquid Handler</t>
  </si>
  <si>
    <t xml:space="preserve">Analytic Jena Liquid Handler CyBio Felix</t>
  </si>
  <si>
    <t xml:space="preserve">kingfisher</t>
  </si>
  <si>
    <t xml:space="preserve">KingFisher</t>
  </si>
  <si>
    <t xml:space="preserve">King Fisher Thermo Fisher Liquid Handler (magnetic beads)</t>
  </si>
  <si>
    <t xml:space="preserve">microlabhamilton</t>
  </si>
  <si>
    <t xml:space="preserve">Microlab Star M (Hamilton)</t>
  </si>
  <si>
    <t xml:space="preserve">Hamilton Microlab Star M</t>
  </si>
  <si>
    <t xml:space="preserve">mosquitoHV</t>
  </si>
  <si>
    <t xml:space="preserve">Mosquito High Volume</t>
  </si>
  <si>
    <t xml:space="preserve">Mosquit liquid handler (lhigh volume)</t>
  </si>
  <si>
    <t xml:space="preserve">mosquitoLV</t>
  </si>
  <si>
    <t xml:space="preserve">Mosquito Low Volumne </t>
  </si>
  <si>
    <t xml:space="preserve">Mosquit liquid handler (low volume)</t>
  </si>
  <si>
    <t xml:space="preserve">opentrons</t>
  </si>
  <si>
    <t xml:space="preserve">Opentrons</t>
  </si>
  <si>
    <t xml:space="preserve">tecan</t>
  </si>
  <si>
    <t xml:space="preserve">Tecan</t>
  </si>
  <si>
    <t xml:space="preserve">Tecan liquid handler. </t>
  </si>
  <si>
    <t xml:space="preserve">one_sdc</t>
  </si>
  <si>
    <t xml:space="preserve">2% SDC Lysis </t>
  </si>
  <si>
    <t xml:space="preserve">1% SDC in 100 mM HEPES pH=8.5</t>
  </si>
  <si>
    <t xml:space="preserve">4%SDS Lysis</t>
  </si>
  <si>
    <t xml:space="preserve">4% SDS Lysis buffer in 100 mM HEPES pH=8.5</t>
  </si>
  <si>
    <t xml:space="preserve">two_sdc</t>
  </si>
  <si>
    <t xml:space="preserve">1% SDC Lysis </t>
  </si>
  <si>
    <t xml:space="preserve">2% SDC in 100 mM HEPES pH=8.5</t>
  </si>
  <si>
    <t xml:space="preserve">urea</t>
  </si>
  <si>
    <t xml:space="preserve">Urea Lysis</t>
  </si>
  <si>
    <t xml:space="preserve">6M Urea 2M ThioUrea</t>
  </si>
  <si>
    <t xml:space="preserve">dounce</t>
  </si>
  <si>
    <t xml:space="preserve">Douncer Lysis </t>
  </si>
  <si>
    <t xml:space="preserve">Douncer 10 strokes</t>
  </si>
  <si>
    <t xml:space="preserve">motar_pestle</t>
  </si>
  <si>
    <t xml:space="preserve">Motar and pestle</t>
  </si>
  <si>
    <t xml:space="preserve">Tissue grinded using mortar pestle</t>
  </si>
  <si>
    <t xml:space="preserve">paracyllus</t>
  </si>
  <si>
    <t xml:space="preserve">Paracyllus</t>
  </si>
  <si>
    <t xml:space="preserve">Metal beads based tissue distruption</t>
  </si>
  <si>
    <t xml:space="preserve">arg0</t>
  </si>
  <si>
    <t xml:space="preserve">Arg0</t>
  </si>
  <si>
    <t xml:space="preserve">L-Arginine</t>
  </si>
  <si>
    <t xml:space="preserve">arg10</t>
  </si>
  <si>
    <t xml:space="preserve">Arg10</t>
  </si>
  <si>
    <t xml:space="preserve">Arginine +10Da (13C6 15N4)</t>
  </si>
  <si>
    <t xml:space="preserve">arg6</t>
  </si>
  <si>
    <t xml:space="preserve">Arg6</t>
  </si>
  <si>
    <t xml:space="preserve">Arginine +6 Da (13C6)</t>
  </si>
  <si>
    <t xml:space="preserve">lys0</t>
  </si>
  <si>
    <t xml:space="preserve">Lys0</t>
  </si>
  <si>
    <t xml:space="preserve">lys4</t>
  </si>
  <si>
    <t xml:space="preserve">Lys4</t>
  </si>
  <si>
    <t xml:space="preserve">Lysine +4Da (4,4,5,5-D4 L-Lysin) for SILAC labeling</t>
  </si>
  <si>
    <t xml:space="preserve">lys6</t>
  </si>
  <si>
    <t xml:space="preserve">Lys6</t>
  </si>
  <si>
    <t xml:space="preserve">Lysine +6Da for SILAC labeling</t>
  </si>
  <si>
    <t xml:space="preserve">lys8</t>
  </si>
  <si>
    <t xml:space="preserve">Lys8</t>
  </si>
  <si>
    <t xml:space="preserve">Lysine +8Da (3C6 15N2) for SILAC labeling</t>
  </si>
  <si>
    <t xml:space="preserve">abc_transporters</t>
  </si>
  <si>
    <t xml:space="preserve">ABC transporters</t>
  </si>
  <si>
    <t xml:space="preserve">Small molecule transport &gt; ABC transporters</t>
  </si>
  <si>
    <t xml:space="preserve">amidoxime_reducing_complex</t>
  </si>
  <si>
    <t xml:space="preserve">Amidoxime reducing complex</t>
  </si>
  <si>
    <t xml:space="preserve">Metabolism &gt; Detoxification &gt; Amidoxime reducing complex</t>
  </si>
  <si>
    <t xml:space="preserve">amino_acid_metabolism</t>
  </si>
  <si>
    <t xml:space="preserve">Amino acid metabolism</t>
  </si>
  <si>
    <t xml:space="preserve">Metabolism &gt; Amino acid metabolism</t>
  </si>
  <si>
    <t xml:space="preserve">apoptosis</t>
  </si>
  <si>
    <t xml:space="preserve">Apoptosis</t>
  </si>
  <si>
    <t xml:space="preserve">Mitochondrial dynamics and surveillance &gt; Apoptosis</t>
  </si>
  <si>
    <t xml:space="preserve">autophagy</t>
  </si>
  <si>
    <t xml:space="preserve">Autophagy</t>
  </si>
  <si>
    <t xml:space="preserve">Mitochondrial dynamics and surveillance &gt; Autophagy</t>
  </si>
  <si>
    <t xml:space="preserve">biotin_utilizing_proteins</t>
  </si>
  <si>
    <t xml:space="preserve">Biotin utilizing proteins</t>
  </si>
  <si>
    <t xml:space="preserve">Metabolism &gt; Vitamin metabolism &gt; Biotin utilizing proteins</t>
  </si>
  <si>
    <t xml:space="preserve">branched_chain_amino_acid_dehydrogenase_complex</t>
  </si>
  <si>
    <t xml:space="preserve">Branched-chain amino acid dehydrogenase complex</t>
  </si>
  <si>
    <t xml:space="preserve">Metabolism &gt; Amino acid metabolism &gt; Branched-chain amino acid dehydrogenase complex</t>
  </si>
  <si>
    <t xml:space="preserve">branched_chain_amino_acid_metabolism</t>
  </si>
  <si>
    <t xml:space="preserve">Branched-chain amino acid metabolism</t>
  </si>
  <si>
    <t xml:space="preserve">Metabolism &gt; Amino acid metabolism &gt; Branched-chain amino acid metabolism</t>
  </si>
  <si>
    <t xml:space="preserve">calcium_cycle</t>
  </si>
  <si>
    <t xml:space="preserve">Calcium cycle</t>
  </si>
  <si>
    <t xml:space="preserve">Signaling &gt; Calcium homeostasis &gt; Calcium cycle</t>
  </si>
  <si>
    <t xml:space="preserve">calcium_homeostasis</t>
  </si>
  <si>
    <t xml:space="preserve">Calcium homeostasis</t>
  </si>
  <si>
    <t xml:space="preserve">Signaling &gt; Calcium homeostasis</t>
  </si>
  <si>
    <t xml:space="preserve">calcium_uniporter</t>
  </si>
  <si>
    <t xml:space="preserve">Calcium uniporter</t>
  </si>
  <si>
    <t xml:space="preserve">Small molecule transport &gt; Calcium uniporter</t>
  </si>
  <si>
    <t xml:space="preserve">camp_pka_signaling</t>
  </si>
  <si>
    <t xml:space="preserve">cAMP-PKA signaling</t>
  </si>
  <si>
    <t xml:space="preserve">Signaling &gt; cAMP-PKA signaling</t>
  </si>
  <si>
    <t xml:space="preserve">carbohydrate_metabolism</t>
  </si>
  <si>
    <t xml:space="preserve">Carbohydrate metabolism</t>
  </si>
  <si>
    <t xml:space="preserve">Metabolism &gt; Carbohydrate metabolism</t>
  </si>
  <si>
    <t xml:space="preserve">cardiolipin_synthesis</t>
  </si>
  <si>
    <t xml:space="preserve">Cardiolipin synthesis</t>
  </si>
  <si>
    <t xml:space="preserve">Metabolism &gt; Lipid metabolism &gt; Cardiolipin synthesis</t>
  </si>
  <si>
    <t xml:space="preserve">carnitine_shuttle</t>
  </si>
  <si>
    <t xml:space="preserve">Carnitine shuttle</t>
  </si>
  <si>
    <t xml:space="preserve">Metabolism &gt; Metals and cofactors &gt; Carnitine shuttle</t>
  </si>
  <si>
    <t xml:space="preserve">carnitine_synthesis_and_transport</t>
  </si>
  <si>
    <t xml:space="preserve">Carnitine synthesis and transport</t>
  </si>
  <si>
    <t xml:space="preserve">Metabolism &gt; Metals and cofactors &gt; Carnitine synthesis and transport</t>
  </si>
  <si>
    <t xml:space="preserve">catechol_metabolism</t>
  </si>
  <si>
    <t xml:space="preserve">Catechol metabolism</t>
  </si>
  <si>
    <t xml:space="preserve">Metabolism &gt; Amino acid metabolism &gt; Catechol metabolism</t>
  </si>
  <si>
    <t xml:space="preserve">chaperones</t>
  </si>
  <si>
    <t xml:space="preserve">Chaperones</t>
  </si>
  <si>
    <t xml:space="preserve">Protein import, sorting and homeostasis &gt; Protein homeostasis &gt; Chaperones</t>
  </si>
  <si>
    <t xml:space="preserve">cholesterol_associated</t>
  </si>
  <si>
    <t xml:space="preserve">Cholesterol-associated</t>
  </si>
  <si>
    <t xml:space="preserve">Metabolism &gt; Lipid metabolism &gt; Cholesterol-associated</t>
  </si>
  <si>
    <t xml:space="preserve">choline_and_betaine_metabolism</t>
  </si>
  <si>
    <t xml:space="preserve">Choline and betaine metabolism</t>
  </si>
  <si>
    <t xml:space="preserve">Metabolism &gt; Vitamin metabolism &gt; Choline and betaine metabolism</t>
  </si>
  <si>
    <t xml:space="preserve">ci_assembly_factors</t>
  </si>
  <si>
    <t xml:space="preserve">CI assembly factors</t>
  </si>
  <si>
    <t xml:space="preserve">OXPHOS &gt; Complex I &gt; CI assembly factors</t>
  </si>
  <si>
    <t xml:space="preserve">ci_subunits</t>
  </si>
  <si>
    <t xml:space="preserve">CI subunits</t>
  </si>
  <si>
    <t xml:space="preserve">OXPHOS &gt; Complex I &gt; CI subunits</t>
  </si>
  <si>
    <t xml:space="preserve">cii_assembly_factors</t>
  </si>
  <si>
    <t xml:space="preserve">CII assembly factors</t>
  </si>
  <si>
    <t xml:space="preserve">OXPHOS &gt; Complex II &gt; CII assembly factors</t>
  </si>
  <si>
    <t xml:space="preserve">cii_subunits</t>
  </si>
  <si>
    <t xml:space="preserve">CII subunits</t>
  </si>
  <si>
    <t xml:space="preserve">OXPHOS &gt; Complex II &gt; CII subunits</t>
  </si>
  <si>
    <t xml:space="preserve">ciii_assembly_factors</t>
  </si>
  <si>
    <t xml:space="preserve">CIII assembly factors</t>
  </si>
  <si>
    <t xml:space="preserve">OXPHOS &gt; Complex III &gt; CIII assembly factors</t>
  </si>
  <si>
    <t xml:space="preserve">ciii_subunits</t>
  </si>
  <si>
    <t xml:space="preserve">CIII subunits</t>
  </si>
  <si>
    <t xml:space="preserve">OXPHOS &gt; Complex III &gt; CIII subunits</t>
  </si>
  <si>
    <t xml:space="preserve">civ_assembly_factors</t>
  </si>
  <si>
    <t xml:space="preserve">CIV assembly factors</t>
  </si>
  <si>
    <t xml:space="preserve">OXPHOS &gt; Complex IV &gt; CIV assembly factors</t>
  </si>
  <si>
    <t xml:space="preserve">civ_subunits</t>
  </si>
  <si>
    <t xml:space="preserve">CIV subunits</t>
  </si>
  <si>
    <t xml:space="preserve">OXPHOS &gt; Complex IV &gt; CIV subunits</t>
  </si>
  <si>
    <t xml:space="preserve">coenzyme_a_metabolism</t>
  </si>
  <si>
    <t xml:space="preserve">Coenzyme A metabolism</t>
  </si>
  <si>
    <t xml:space="preserve">Metabolism &gt; Metals and cofactors &gt; Coenzyme A metabolism</t>
  </si>
  <si>
    <t xml:space="preserve">coenzyme_q_metabolism</t>
  </si>
  <si>
    <t xml:space="preserve">Coenzyme Q metabolism</t>
  </si>
  <si>
    <t xml:space="preserve">Metabolism &gt; Metals and cofactors &gt; Coenzyme Q metabolism</t>
  </si>
  <si>
    <t xml:space="preserve">complex_i</t>
  </si>
  <si>
    <t xml:space="preserve">Complex I</t>
  </si>
  <si>
    <t xml:space="preserve">OXPHOS &gt; Complex I</t>
  </si>
  <si>
    <t xml:space="preserve">complex_ii</t>
  </si>
  <si>
    <t xml:space="preserve">Complex II</t>
  </si>
  <si>
    <t xml:space="preserve">OXPHOS &gt; Complex II</t>
  </si>
  <si>
    <t xml:space="preserve">complex_iii</t>
  </si>
  <si>
    <t xml:space="preserve">Complex III</t>
  </si>
  <si>
    <t xml:space="preserve">OXPHOS &gt; Complex III</t>
  </si>
  <si>
    <t xml:space="preserve">complex_iv</t>
  </si>
  <si>
    <t xml:space="preserve">Complex IV</t>
  </si>
  <si>
    <t xml:space="preserve">OXPHOS &gt; Complex IV</t>
  </si>
  <si>
    <t xml:space="preserve">complex_v</t>
  </si>
  <si>
    <t xml:space="preserve">Complex V</t>
  </si>
  <si>
    <t xml:space="preserve">OXPHOS &gt; Complex V</t>
  </si>
  <si>
    <t xml:space="preserve">copper_metabolism</t>
  </si>
  <si>
    <t xml:space="preserve">Copper metabolism</t>
  </si>
  <si>
    <t xml:space="preserve">Metabolism &gt; Metals and cofactors &gt; Copper metabolism</t>
  </si>
  <si>
    <t xml:space="preserve">creatine_metabolism</t>
  </si>
  <si>
    <t xml:space="preserve">Creatine metabolism</t>
  </si>
  <si>
    <t xml:space="preserve">Metabolism &gt; Nucleotide metabolism &gt; Creatine metabolism</t>
  </si>
  <si>
    <t xml:space="preserve">cristae_formation</t>
  </si>
  <si>
    <t xml:space="preserve">Cristae formation</t>
  </si>
  <si>
    <t xml:space="preserve">Mitochondrial dynamics and surveillance &gt; Cristae formation</t>
  </si>
  <si>
    <t xml:space="preserve">cv_assembly_factors</t>
  </si>
  <si>
    <t xml:space="preserve">CV assembly factors</t>
  </si>
  <si>
    <t xml:space="preserve">OXPHOS &gt; Complex V &gt; CV assembly factors</t>
  </si>
  <si>
    <t xml:space="preserve">cv_subunits</t>
  </si>
  <si>
    <t xml:space="preserve">CV subunits</t>
  </si>
  <si>
    <t xml:space="preserve">OXPHOS &gt; Complex V &gt; CV subunits</t>
  </si>
  <si>
    <t xml:space="preserve">cytochrome_c</t>
  </si>
  <si>
    <t xml:space="preserve">Cytochrome C</t>
  </si>
  <si>
    <t xml:space="preserve">OXPHOS &gt; Cytochrome C</t>
  </si>
  <si>
    <t xml:space="preserve">cytochromes</t>
  </si>
  <si>
    <t xml:space="preserve">Cytochromes</t>
  </si>
  <si>
    <t xml:space="preserve">Metabolism &gt; Electron carriers &gt; Cytochromes</t>
  </si>
  <si>
    <t xml:space="preserve">detoxification</t>
  </si>
  <si>
    <t xml:space="preserve">Detoxification</t>
  </si>
  <si>
    <t xml:space="preserve">Metabolism &gt; Detoxification</t>
  </si>
  <si>
    <t xml:space="preserve">ef_hand_proteins</t>
  </si>
  <si>
    <t xml:space="preserve">EF hand proteins</t>
  </si>
  <si>
    <t xml:space="preserve">Signaling &gt; Calcium homeostasis &gt; EF hand proteins</t>
  </si>
  <si>
    <t xml:space="preserve">eicosanoid_metabolism</t>
  </si>
  <si>
    <t xml:space="preserve">Eicosanoid metabolism</t>
  </si>
  <si>
    <t xml:space="preserve">Metabolism &gt; Lipid metabolism &gt; Eicosanoid metabolism</t>
  </si>
  <si>
    <t xml:space="preserve">electron_carriers</t>
  </si>
  <si>
    <t xml:space="preserve">Electron carriers</t>
  </si>
  <si>
    <t xml:space="preserve">Metabolism &gt; Electron carriers</t>
  </si>
  <si>
    <t xml:space="preserve">fatty_acid_oxidation</t>
  </si>
  <si>
    <t xml:space="preserve">Fatty acid oxidation</t>
  </si>
  <si>
    <t xml:space="preserve">Metabolism &gt; Lipid metabolism &gt; Fatty acid oxidation</t>
  </si>
  <si>
    <t xml:space="preserve">fe_s_cluster_biosynthesis</t>
  </si>
  <si>
    <t xml:space="preserve">Fe-S cluster biosynthesis</t>
  </si>
  <si>
    <t xml:space="preserve">Metabolism &gt; Metals and cofactors &gt; Fe-S cluster biosynthesis</t>
  </si>
  <si>
    <t xml:space="preserve">fe_s_containing_proteins</t>
  </si>
  <si>
    <t xml:space="preserve">Fe-S-containing proteins</t>
  </si>
  <si>
    <t xml:space="preserve">Metabolism &gt; Metals and cofactors &gt; Fe-S-containing proteins</t>
  </si>
  <si>
    <t xml:space="preserve">fission</t>
  </si>
  <si>
    <t xml:space="preserve">Fission</t>
  </si>
  <si>
    <t xml:space="preserve">Mitochondrial dynamics and surveillance &gt; Fission</t>
  </si>
  <si>
    <t xml:space="preserve">fmet_processing</t>
  </si>
  <si>
    <t xml:space="preserve">fMet processing</t>
  </si>
  <si>
    <t xml:space="preserve">Mitochondrial central dogma &gt; Translation &gt; fMet processing</t>
  </si>
  <si>
    <t xml:space="preserve">folate_and_1_c_metabolism</t>
  </si>
  <si>
    <t xml:space="preserve">Folate and 1-C metabolism</t>
  </si>
  <si>
    <t xml:space="preserve">Metabolism &gt; Vitamin metabolism &gt; Folate and 1-C metabolism</t>
  </si>
  <si>
    <t xml:space="preserve">fusion</t>
  </si>
  <si>
    <t xml:space="preserve">Fusion</t>
  </si>
  <si>
    <t xml:space="preserve">Mitochondrial dynamics and surveillance &gt; Fusion</t>
  </si>
  <si>
    <t xml:space="preserve">gaba_metabolism</t>
  </si>
  <si>
    <t xml:space="preserve">GABA metabolism</t>
  </si>
  <si>
    <t xml:space="preserve">Metabolism &gt; Amino acid metabolism &gt; GABA metabolism</t>
  </si>
  <si>
    <t xml:space="preserve">gluconeogenesis</t>
  </si>
  <si>
    <t xml:space="preserve">Gluconeogenesis</t>
  </si>
  <si>
    <t xml:space="preserve">Metabolism &gt; Carbohydrate metabolism &gt; Gluconeogenesis</t>
  </si>
  <si>
    <t xml:space="preserve">glutamate_metabolism</t>
  </si>
  <si>
    <t xml:space="preserve">Glutamate metabolism</t>
  </si>
  <si>
    <t xml:space="preserve">Metabolism &gt; Amino acid metabolism &gt; Glutamate metabolism</t>
  </si>
  <si>
    <t xml:space="preserve">glycerol_phosphate_shuttle</t>
  </si>
  <si>
    <t xml:space="preserve">Glycerol phosphate shuttle</t>
  </si>
  <si>
    <t xml:space="preserve">Metabolism &gt; Carbohydrate metabolism &gt; Glycerol phosphate shuttle</t>
  </si>
  <si>
    <t xml:space="preserve">glycine_cleavage_system</t>
  </si>
  <si>
    <t xml:space="preserve">Glycine cleavage system</t>
  </si>
  <si>
    <t xml:space="preserve">Metabolism &gt; Amino acid metabolism &gt; Glycine cleavage system</t>
  </si>
  <si>
    <t xml:space="preserve">glycine_metabolism</t>
  </si>
  <si>
    <t xml:space="preserve">Glycine metabolism</t>
  </si>
  <si>
    <t xml:space="preserve">Metabolism &gt; Amino acid metabolism &gt; Glycine metabolism</t>
  </si>
  <si>
    <t xml:space="preserve">glyoxylate_metabolism</t>
  </si>
  <si>
    <t xml:space="preserve">Glyoxylate metabolism</t>
  </si>
  <si>
    <t xml:space="preserve">Metabolism &gt; Amino acid metabolism &gt; Glyoxylate metabolism</t>
  </si>
  <si>
    <t xml:space="preserve">heme_containing_proteins</t>
  </si>
  <si>
    <t xml:space="preserve">Heme-containing proteins</t>
  </si>
  <si>
    <t xml:space="preserve">Metabolism &gt; Metals and cofactors &gt; Heme-containing proteins</t>
  </si>
  <si>
    <t xml:space="preserve">heme_synthesis_and_processing</t>
  </si>
  <si>
    <t xml:space="preserve">Heme synthesis and processing</t>
  </si>
  <si>
    <t xml:space="preserve">Metabolism &gt; Metals and cofactors &gt; Heme synthesis and processing</t>
  </si>
  <si>
    <t xml:space="preserve">immune_response</t>
  </si>
  <si>
    <t xml:space="preserve">Immune response</t>
  </si>
  <si>
    <t xml:space="preserve">Signaling &gt; Immune response</t>
  </si>
  <si>
    <t xml:space="preserve">import_motor</t>
  </si>
  <si>
    <t xml:space="preserve">Import motor</t>
  </si>
  <si>
    <t xml:space="preserve">Protein import, sorting and homeostasis &gt; Protein import and sorting &gt; Import motor</t>
  </si>
  <si>
    <t xml:space="preserve">intramitochondrial_membrane_interactions</t>
  </si>
  <si>
    <t xml:space="preserve">Intramitochondrial membrane interactions</t>
  </si>
  <si>
    <t xml:space="preserve">Mitochondrial dynamics and surveillance &gt; Intramitochondrial membrane interactions</t>
  </si>
  <si>
    <t xml:space="preserve">iron_homeostasis</t>
  </si>
  <si>
    <t xml:space="preserve">Iron homeostasis</t>
  </si>
  <si>
    <t xml:space="preserve">Metabolism &gt; Metals and cofactors &gt; Iron homeostasis</t>
  </si>
  <si>
    <t xml:space="preserve">itaconate_metabolism</t>
  </si>
  <si>
    <t xml:space="preserve">Itaconate metabolism</t>
  </si>
  <si>
    <t xml:space="preserve">Metabolism &gt; Carbohydrate metabolism &gt; Itaconate metabolism</t>
  </si>
  <si>
    <t xml:space="preserve">ketone_metabolism</t>
  </si>
  <si>
    <t xml:space="preserve">Ketone metabolism</t>
  </si>
  <si>
    <t xml:space="preserve">Metabolism &gt; Carbohydrate metabolism &gt; Ketone metabolism</t>
  </si>
  <si>
    <t xml:space="preserve">kynurenine_metabolism</t>
  </si>
  <si>
    <t xml:space="preserve">Kynurenine metabolism</t>
  </si>
  <si>
    <t xml:space="preserve">Metabolism &gt; Amino acid metabolism &gt; Kynurenine metabolism</t>
  </si>
  <si>
    <t xml:space="preserve">lipid_metabolism</t>
  </si>
  <si>
    <t xml:space="preserve">Lipid metabolism</t>
  </si>
  <si>
    <t xml:space="preserve">Metabolism &gt; Lipid metabolism</t>
  </si>
  <si>
    <t xml:space="preserve">lipoate_insertion</t>
  </si>
  <si>
    <t xml:space="preserve">Lipoate insertion</t>
  </si>
  <si>
    <t xml:space="preserve">Metabolism &gt; Lipid metabolism &gt; Lipoate insertion</t>
  </si>
  <si>
    <t xml:space="preserve">lysine_metabolism</t>
  </si>
  <si>
    <t xml:space="preserve">Lysine metabolism</t>
  </si>
  <si>
    <t xml:space="preserve">Metabolism &gt; Amino acid metabolism &gt; Lysine metabolism</t>
  </si>
  <si>
    <t xml:space="preserve">malate_aspartate_shuttle</t>
  </si>
  <si>
    <t xml:space="preserve">Malate-aspartate shuttle</t>
  </si>
  <si>
    <t xml:space="preserve">Metabolism &gt; Carbohydrate metabolism &gt; Malate-aspartate shuttle</t>
  </si>
  <si>
    <t xml:space="preserve">metabolism</t>
  </si>
  <si>
    <t xml:space="preserve">Metabolism</t>
  </si>
  <si>
    <t xml:space="preserve">metals_and_cofactors</t>
  </si>
  <si>
    <t xml:space="preserve">Metals and cofactors</t>
  </si>
  <si>
    <t xml:space="preserve">Metabolism &gt; Metals and cofactors</t>
  </si>
  <si>
    <t xml:space="preserve">mia40</t>
  </si>
  <si>
    <t xml:space="preserve">MIA40</t>
  </si>
  <si>
    <t xml:space="preserve">Protein import, sorting and homeostasis &gt; Protein import and sorting &gt; MIA40</t>
  </si>
  <si>
    <t xml:space="preserve">micos_complex</t>
  </si>
  <si>
    <t xml:space="preserve">MICOS complex</t>
  </si>
  <si>
    <t xml:space="preserve">Mitochondrial dynamics and surveillance &gt; Cristae formation &gt; MICOS complex</t>
  </si>
  <si>
    <t xml:space="preserve">mitochondrial_dynamics_and_surveillance</t>
  </si>
  <si>
    <t xml:space="preserve">Mitochondrial dynamics and surveillance</t>
  </si>
  <si>
    <t xml:space="preserve">mitochondrial_permeability_transition_pore</t>
  </si>
  <si>
    <t xml:space="preserve">Mitochondrial permeability transition pore</t>
  </si>
  <si>
    <t xml:space="preserve">Signaling &gt; Calcium homeostasis &gt; Mitochondrial permeability transition pore</t>
  </si>
  <si>
    <t xml:space="preserve">mitochondrial_ribosome</t>
  </si>
  <si>
    <t xml:space="preserve">Mitochondrial ribosome</t>
  </si>
  <si>
    <t xml:space="preserve">Mitochondrial central dogma &gt; Translation &gt; Mitochondrial ribosome</t>
  </si>
  <si>
    <t xml:space="preserve">mitochondrial_ribosome_assembly</t>
  </si>
  <si>
    <t xml:space="preserve">Mitochondrial ribosome assembly</t>
  </si>
  <si>
    <t xml:space="preserve">Mitochondrial central dogma &gt; Translation &gt; Mitochondrial ribosome assembly</t>
  </si>
  <si>
    <t xml:space="preserve">mitophagy</t>
  </si>
  <si>
    <t xml:space="preserve">Mitophagy</t>
  </si>
  <si>
    <t xml:space="preserve">Mitochondrial dynamics and surveillance &gt; Mitophagy</t>
  </si>
  <si>
    <t xml:space="preserve">molybdenum_cofactor_synthesis_and_proteins</t>
  </si>
  <si>
    <t xml:space="preserve">Molybdenum cofactor synthesis and proteins</t>
  </si>
  <si>
    <t xml:space="preserve">Metabolism &gt; Metals and cofactors &gt; Molybdenum cofactor synthesis and proteins</t>
  </si>
  <si>
    <t xml:space="preserve">mt_mrna_modifications</t>
  </si>
  <si>
    <t xml:space="preserve">mt-mRNA modifications</t>
  </si>
  <si>
    <t xml:space="preserve">Mitochondrial central dogma &gt; mtRNA metabolism &gt; mt-mRNA modifications</t>
  </si>
  <si>
    <t xml:space="preserve">mt_rrna_modifications</t>
  </si>
  <si>
    <t xml:space="preserve">mt-rRNA modifications</t>
  </si>
  <si>
    <t xml:space="preserve">Mitochondrial central dogma &gt; mtRNA metabolism &gt; mt-rRNA modifications</t>
  </si>
  <si>
    <t xml:space="preserve">mt_trna_modifications</t>
  </si>
  <si>
    <t xml:space="preserve">mt-tRNA modifications</t>
  </si>
  <si>
    <t xml:space="preserve">Mitochondrial central dogma &gt; mtRNA metabolism &gt; mt-tRNA modifications</t>
  </si>
  <si>
    <t xml:space="preserve">mt_trna_synthetases</t>
  </si>
  <si>
    <t xml:space="preserve">mt-tRNA synthetases</t>
  </si>
  <si>
    <t xml:space="preserve">Mitochondrial central dogma &gt; Translation &gt; mt-tRNA synthetases</t>
  </si>
  <si>
    <t xml:space="preserve">mtdna_maintenance</t>
  </si>
  <si>
    <t xml:space="preserve">mtDNA maintenance</t>
  </si>
  <si>
    <t xml:space="preserve">Mitochondrial central dogma &gt; mtDNA maintenance</t>
  </si>
  <si>
    <t xml:space="preserve">mtdna_modifications</t>
  </si>
  <si>
    <t xml:space="preserve">mtDNA modifications</t>
  </si>
  <si>
    <t xml:space="preserve">Mitochondrial central dogma &gt; mtDNA maintenance &gt; mtDNA modifications</t>
  </si>
  <si>
    <t xml:space="preserve">mtdna_nucleoid</t>
  </si>
  <si>
    <t xml:space="preserve">mtDNA nucleoid</t>
  </si>
  <si>
    <t xml:space="preserve">Mitochondrial central dogma &gt; mtDNA maintenance &gt; mtDNA nucleoid</t>
  </si>
  <si>
    <t xml:space="preserve">mtdna_repair</t>
  </si>
  <si>
    <t xml:space="preserve">mtDNA repair</t>
  </si>
  <si>
    <t xml:space="preserve">Mitochondrial central dogma &gt; mtDNA maintenance &gt; mtDNA repair</t>
  </si>
  <si>
    <t xml:space="preserve">mtdna_replication</t>
  </si>
  <si>
    <t xml:space="preserve">mtDNA replication</t>
  </si>
  <si>
    <t xml:space="preserve">Mitochondrial central dogma &gt; mtDNA maintenance &gt; mtDNA replication</t>
  </si>
  <si>
    <t xml:space="preserve">mtdna_stability_and_decay</t>
  </si>
  <si>
    <t xml:space="preserve">mtDNA stability and decay</t>
  </si>
  <si>
    <t xml:space="preserve">Mitochondrial central dogma &gt; mtDNA maintenance &gt; mtDNA stability and decay</t>
  </si>
  <si>
    <t xml:space="preserve">mtrna_granules</t>
  </si>
  <si>
    <t xml:space="preserve">mtRNA granules</t>
  </si>
  <si>
    <t xml:space="preserve">Mitochondrial central dogma &gt; mtRNA metabolism &gt; mtRNA granules</t>
  </si>
  <si>
    <t xml:space="preserve">mtrna_metabolism</t>
  </si>
  <si>
    <t xml:space="preserve">mtRNA metabolism</t>
  </si>
  <si>
    <t xml:space="preserve">Mitochondrial central dogma &gt; mtRNA metabolism</t>
  </si>
  <si>
    <t xml:space="preserve">mtrna_stability_and_decay</t>
  </si>
  <si>
    <t xml:space="preserve">mtRNA stability and decay</t>
  </si>
  <si>
    <t xml:space="preserve">Mitochondrial central dogma &gt; mtRNA metabolism &gt; mtRNA stability and decay</t>
  </si>
  <si>
    <t xml:space="preserve">nad_biosynthesis_and_metabolism</t>
  </si>
  <si>
    <t xml:space="preserve">NAD biosynthesis and metabolism</t>
  </si>
  <si>
    <t xml:space="preserve">Metabolism &gt; Metals and cofactors &gt; NAD biosynthesis and metabolism</t>
  </si>
  <si>
    <t xml:space="preserve">nucleotide_import</t>
  </si>
  <si>
    <t xml:space="preserve">Nucleotide import</t>
  </si>
  <si>
    <t xml:space="preserve">Metabolism &gt; Nucleotide metabolism &gt; Nucleotide import</t>
  </si>
  <si>
    <t xml:space="preserve">nucleotide_metabolism</t>
  </si>
  <si>
    <t xml:space="preserve">Nucleotide metabolism</t>
  </si>
  <si>
    <t xml:space="preserve">Metabolism &gt; Nucleotide metabolism</t>
  </si>
  <si>
    <t xml:space="preserve">nucleotide_synthesis_and_processing</t>
  </si>
  <si>
    <t xml:space="preserve">Nucleotide synthesis and processing</t>
  </si>
  <si>
    <t xml:space="preserve">Metabolism &gt; Nucleotide metabolism &gt; Nucleotide synthesis and processing</t>
  </si>
  <si>
    <t xml:space="preserve">organelle_contact_sites</t>
  </si>
  <si>
    <t xml:space="preserve">Organelle contact sites</t>
  </si>
  <si>
    <t xml:space="preserve">Mitochondrial dynamics and surveillance &gt; Organelle contact sites</t>
  </si>
  <si>
    <t xml:space="preserve">oxa</t>
  </si>
  <si>
    <t xml:space="preserve">OXA</t>
  </si>
  <si>
    <t xml:space="preserve">Protein import, sorting and homeostasis &gt; Protein import and sorting &gt; OXA</t>
  </si>
  <si>
    <t xml:space="preserve">oxphos</t>
  </si>
  <si>
    <t xml:space="preserve">OXPHOS</t>
  </si>
  <si>
    <t xml:space="preserve">oxphos_assembly_factors</t>
  </si>
  <si>
    <t xml:space="preserve">OXPHOS assembly factors</t>
  </si>
  <si>
    <t xml:space="preserve">OXPHOS &gt; OXPHOS assembly factors</t>
  </si>
  <si>
    <t xml:space="preserve">oxphos_subunits</t>
  </si>
  <si>
    <t xml:space="preserve">OXPHOS subunits</t>
  </si>
  <si>
    <t xml:space="preserve">OXPHOS &gt; OXPHOS subunits</t>
  </si>
  <si>
    <t xml:space="preserve">phospholipid_metabolism</t>
  </si>
  <si>
    <t xml:space="preserve">Phospholipid metabolism</t>
  </si>
  <si>
    <t xml:space="preserve">Metabolism &gt; Lipid metabolism &gt; Phospholipid metabolism</t>
  </si>
  <si>
    <t xml:space="preserve">polycistronic_mtrna_processing</t>
  </si>
  <si>
    <t xml:space="preserve">Polycistronic mtRNA processing</t>
  </si>
  <si>
    <t xml:space="preserve">Mitochondrial central dogma &gt; mtRNA metabolism &gt; Polycistronic mtRNA processing</t>
  </si>
  <si>
    <t xml:space="preserve">preprotein_cleavage</t>
  </si>
  <si>
    <t xml:space="preserve">Preprotein cleavage</t>
  </si>
  <si>
    <t xml:space="preserve">Protein import, sorting and homeostasis &gt; Protein import and sorting &gt; Preprotein cleavage</t>
  </si>
  <si>
    <t xml:space="preserve">proline_metabolism</t>
  </si>
  <si>
    <t xml:space="preserve">Proline metabolism</t>
  </si>
  <si>
    <t xml:space="preserve">Metabolism &gt; Amino acid metabolism &gt; Proline metabolism</t>
  </si>
  <si>
    <t xml:space="preserve">propanoate_metabolism</t>
  </si>
  <si>
    <t xml:space="preserve">Propanoate metabolism</t>
  </si>
  <si>
    <t xml:space="preserve">Metabolism &gt; Carbohydrate metabolism &gt; Propanoate metabolism</t>
  </si>
  <si>
    <t xml:space="preserve">proteases</t>
  </si>
  <si>
    <t xml:space="preserve">Proteases</t>
  </si>
  <si>
    <t xml:space="preserve">Protein import, sorting and homeostasis &gt; Protein homeostasis &gt; Proteases</t>
  </si>
  <si>
    <t xml:space="preserve">protein_homeostasis</t>
  </si>
  <si>
    <t xml:space="preserve">Protein homeostasis</t>
  </si>
  <si>
    <t xml:space="preserve">Protein import, sorting and homeostasis &gt; Protein homeostasis</t>
  </si>
  <si>
    <t xml:space="preserve">protein_import_and_sorting</t>
  </si>
  <si>
    <t xml:space="preserve">Protein import and sorting</t>
  </si>
  <si>
    <t xml:space="preserve">Protein import, sorting and homeostasis &gt; Protein import and sorting</t>
  </si>
  <si>
    <t xml:space="preserve">pyruvate_metabolism</t>
  </si>
  <si>
    <t xml:space="preserve">Pyruvate metabolism</t>
  </si>
  <si>
    <t xml:space="preserve">Metabolism &gt; Carbohydrate metabolism &gt; Pyruvate metabolism</t>
  </si>
  <si>
    <t xml:space="preserve">respirasome_assembly</t>
  </si>
  <si>
    <t xml:space="preserve">Respirasome assembly</t>
  </si>
  <si>
    <t xml:space="preserve">OXPHOS &gt; Respirasome assembly</t>
  </si>
  <si>
    <t xml:space="preserve">ros_and_glutathione_metabolism</t>
  </si>
  <si>
    <t xml:space="preserve">ROS and glutathione metabolism</t>
  </si>
  <si>
    <t xml:space="preserve">Metabolism &gt; Detoxification &gt; ROS and glutathione metabolism</t>
  </si>
  <si>
    <t xml:space="preserve">sam</t>
  </si>
  <si>
    <t xml:space="preserve">SAM</t>
  </si>
  <si>
    <t xml:space="preserve">Protein import, sorting and homeostasis &gt; Protein import and sorting &gt; SAM</t>
  </si>
  <si>
    <t xml:space="preserve">selenoproteins</t>
  </si>
  <si>
    <t xml:space="preserve">Selenoproteins</t>
  </si>
  <si>
    <t xml:space="preserve">Metabolism &gt; Detoxification &gt; Selenoproteins</t>
  </si>
  <si>
    <t xml:space="preserve">serine_metabolism</t>
  </si>
  <si>
    <t xml:space="preserve">Serine metabolism</t>
  </si>
  <si>
    <t xml:space="preserve">Metabolism &gt; Amino acid metabolism &gt; Serine metabolism</t>
  </si>
  <si>
    <t xml:space="preserve">sideroflexins</t>
  </si>
  <si>
    <t xml:space="preserve">Sideroflexins</t>
  </si>
  <si>
    <t xml:space="preserve">Small molecule transport &gt; Sideroflexins</t>
  </si>
  <si>
    <t xml:space="preserve">signaling</t>
  </si>
  <si>
    <t xml:space="preserve">Signaling</t>
  </si>
  <si>
    <t xml:space="preserve">slc25a_family</t>
  </si>
  <si>
    <t xml:space="preserve">SLC25A family</t>
  </si>
  <si>
    <t xml:space="preserve">Small molecule transport &gt; SLC25A family</t>
  </si>
  <si>
    <t xml:space="preserve">small_molecule_transport</t>
  </si>
  <si>
    <t xml:space="preserve">Small molecule transport</t>
  </si>
  <si>
    <t xml:space="preserve">sulfur_metabolism</t>
  </si>
  <si>
    <t xml:space="preserve">Sulfur metabolism</t>
  </si>
  <si>
    <t xml:space="preserve">Metabolism &gt; Sulfur metabolism</t>
  </si>
  <si>
    <t xml:space="preserve">tca_associated</t>
  </si>
  <si>
    <t xml:space="preserve">TCA-associated</t>
  </si>
  <si>
    <t xml:space="preserve">Metabolism &gt; Carbohydrate metabolism &gt; TCA-associated</t>
  </si>
  <si>
    <t xml:space="preserve">tca_cycle</t>
  </si>
  <si>
    <t xml:space="preserve">TCA cycle</t>
  </si>
  <si>
    <t xml:space="preserve">Metabolism &gt; Carbohydrate metabolism &gt; TCA cycle</t>
  </si>
  <si>
    <t xml:space="preserve">tetrahydrobiopterin_synthesis</t>
  </si>
  <si>
    <t xml:space="preserve">Tetrahydrobiopterin synthesis</t>
  </si>
  <si>
    <t xml:space="preserve">Metabolism &gt; Metals and cofactors &gt; Tetrahydrobiopterin synthesis</t>
  </si>
  <si>
    <t xml:space="preserve">tim22_carrier_pathway</t>
  </si>
  <si>
    <t xml:space="preserve">TIM22 carrier pathway</t>
  </si>
  <si>
    <t xml:space="preserve">Protein import, sorting and homeostasis &gt; Protein import and sorting &gt; TIM22 carrier pathway</t>
  </si>
  <si>
    <t xml:space="preserve">tim23_presequence_pathway</t>
  </si>
  <si>
    <t xml:space="preserve">TIM23 presequence pathway</t>
  </si>
  <si>
    <t xml:space="preserve">Protein import, sorting and homeostasis &gt; Protein import and sorting &gt; TIM23 presequence pathway</t>
  </si>
  <si>
    <t xml:space="preserve">tom</t>
  </si>
  <si>
    <t xml:space="preserve">TOM</t>
  </si>
  <si>
    <t xml:space="preserve">Protein import, sorting and homeostasis &gt; Protein import and sorting &gt; TOM</t>
  </si>
  <si>
    <t xml:space="preserve">trafficking</t>
  </si>
  <si>
    <t xml:space="preserve">Trafficking</t>
  </si>
  <si>
    <t xml:space="preserve">Mitochondrial dynamics and surveillance &gt; Trafficking</t>
  </si>
  <si>
    <t xml:space="preserve">transcription</t>
  </si>
  <si>
    <t xml:space="preserve">Transcription</t>
  </si>
  <si>
    <t xml:space="preserve">Mitochondrial central dogma &gt; mtRNA metabolism &gt; Transcription</t>
  </si>
  <si>
    <t xml:space="preserve">translation</t>
  </si>
  <si>
    <t xml:space="preserve">Translation</t>
  </si>
  <si>
    <t xml:space="preserve">Mitochondrial central dogma &gt; Translation</t>
  </si>
  <si>
    <t xml:space="preserve">translation_factors</t>
  </si>
  <si>
    <t xml:space="preserve">Translation factors</t>
  </si>
  <si>
    <t xml:space="preserve">Mitochondrial central dogma &gt; Translation &gt; Translation factors</t>
  </si>
  <si>
    <t xml:space="preserve">type_ii_fatty_acid_synthesis</t>
  </si>
  <si>
    <t xml:space="preserve">Type II fatty acid synthesis</t>
  </si>
  <si>
    <t xml:space="preserve">Metabolism &gt; Lipid metabolism &gt; Type II fatty acid synthesis</t>
  </si>
  <si>
    <t xml:space="preserve">urea_cycle</t>
  </si>
  <si>
    <t xml:space="preserve">Urea cycle</t>
  </si>
  <si>
    <t xml:space="preserve">Metabolism &gt; Amino acid metabolism &gt; Urea cycle</t>
  </si>
  <si>
    <t xml:space="preserve">vitamin_a_metabolism</t>
  </si>
  <si>
    <t xml:space="preserve">Vitamin A metabolism</t>
  </si>
  <si>
    <t xml:space="preserve">Metabolism &gt; Vitamin metabolism &gt; Vitamin A metabolism</t>
  </si>
  <si>
    <t xml:space="preserve">vitamin_b1_metabolism</t>
  </si>
  <si>
    <t xml:space="preserve">Vitamin B1 metabolism</t>
  </si>
  <si>
    <t xml:space="preserve">Metabolism &gt; Vitamin metabolism &gt; Vitamin B1 metabolism</t>
  </si>
  <si>
    <t xml:space="preserve">vitamin_b12_metabolism</t>
  </si>
  <si>
    <t xml:space="preserve">Vitamin B12 metabolism</t>
  </si>
  <si>
    <t xml:space="preserve">Metabolism &gt; Vitamin metabolism &gt; Vitamin B12 metabolism</t>
  </si>
  <si>
    <t xml:space="preserve">vitamin_b2_metabolism</t>
  </si>
  <si>
    <t xml:space="preserve">Vitamin B2 metabolism</t>
  </si>
  <si>
    <t xml:space="preserve">Metabolism &gt; Vitamin metabolism &gt; Vitamin B2 metabolism</t>
  </si>
  <si>
    <t xml:space="preserve">vitamin_b6_metabolism</t>
  </si>
  <si>
    <t xml:space="preserve">Vitamin B6 metabolism</t>
  </si>
  <si>
    <t xml:space="preserve">Metabolism &gt; Vitamin metabolism &gt; Vitamin B6 metabolism</t>
  </si>
  <si>
    <t xml:space="preserve">vitamin_c_metabolism</t>
  </si>
  <si>
    <t xml:space="preserve">Vitamin C metabolism</t>
  </si>
  <si>
    <t xml:space="preserve">Metabolism &gt; Vitamin metabolism &gt; Vitamin C metabolism</t>
  </si>
  <si>
    <t xml:space="preserve">vitamin_d_metabolism</t>
  </si>
  <si>
    <t xml:space="preserve">Vitamin D metabolism</t>
  </si>
  <si>
    <t xml:space="preserve">Metabolism &gt; Vitamin metabolism &gt; Vitamin D metabolism</t>
  </si>
  <si>
    <t xml:space="preserve">vitamin_metabolism</t>
  </si>
  <si>
    <t xml:space="preserve">Vitamin metabolism</t>
  </si>
  <si>
    <t xml:space="preserve">Metabolism &gt; Vitamin metabolism</t>
  </si>
  <si>
    <t xml:space="preserve">xenobiotic_metabolism</t>
  </si>
  <si>
    <t xml:space="preserve">Xenobiotic metabolism</t>
  </si>
  <si>
    <t xml:space="preserve">Metabolism &gt; Detoxification &gt; Xenobiotic metabolism</t>
  </si>
  <si>
    <t xml:space="preserve">arbitrary</t>
  </si>
  <si>
    <t xml:space="preserve">att_mockup</t>
  </si>
  <si>
    <t xml:space="preserve">Arbitrary</t>
  </si>
  <si>
    <t xml:space="preserve">Mock categorie that can be used</t>
  </si>
  <si>
    <t xml:space="preserve">random</t>
  </si>
  <si>
    <t xml:space="preserve">Random</t>
  </si>
  <si>
    <t xml:space="preserve">in_vitro</t>
  </si>
  <si>
    <t xml:space="preserve">In vitro</t>
  </si>
  <si>
    <t xml:space="preserve">in the glass</t>
  </si>
  <si>
    <t xml:space="preserve">in_vivo</t>
  </si>
  <si>
    <t xml:space="preserve">In vivo</t>
  </si>
  <si>
    <t xml:space="preserve">within the living</t>
  </si>
  <si>
    <t xml:space="preserve">xenografts</t>
  </si>
  <si>
    <t xml:space="preserve">Tissue or cells implanted into a model animal</t>
  </si>
  <si>
    <t xml:space="preserve">eclips</t>
  </si>
  <si>
    <t xml:space="preserve">Eclips</t>
  </si>
  <si>
    <t xml:space="preserve">exploris240</t>
  </si>
  <si>
    <t xml:space="preserve">Exploris 240</t>
  </si>
  <si>
    <t xml:space="preserve">Exploris 240 Thermo Fisher</t>
  </si>
  <si>
    <t xml:space="preserve">exploris480</t>
  </si>
  <si>
    <t xml:space="preserve">Exploris 480 </t>
  </si>
  <si>
    <t xml:space="preserve">Exploris 480 Thermo Fisher</t>
  </si>
  <si>
    <t xml:space="preserve">qex</t>
  </si>
  <si>
    <t xml:space="preserve">QExactive</t>
  </si>
  <si>
    <t xml:space="preserve">Qexactive Thermo Fisher</t>
  </si>
  <si>
    <t xml:space="preserve">qexplus</t>
  </si>
  <si>
    <t xml:space="preserve">QExactive Plus</t>
  </si>
  <si>
    <t xml:space="preserve">QEXcative Plus Thermo Fisher</t>
  </si>
  <si>
    <t xml:space="preserve">ttofhct</t>
  </si>
  <si>
    <t xml:space="preserve">timsTOF HCT</t>
  </si>
  <si>
    <t xml:space="preserve">ttofscp</t>
  </si>
  <si>
    <t xml:space="preserve">timsTOF SCP</t>
  </si>
  <si>
    <t xml:space="preserve">timsTOF Single Cell Proteomics</t>
  </si>
  <si>
    <t xml:space="preserve">faims</t>
  </si>
  <si>
    <t xml:space="preserve">Faims</t>
  </si>
  <si>
    <t xml:space="preserve">FAIMS module attached to the mass spectrometer. Please specify the CV value</t>
  </si>
  <si>
    <t xml:space="preserve">None</t>
  </si>
  <si>
    <t xml:space="preserve">No special interface in front of the mass spectrometer.</t>
  </si>
  <si>
    <t xml:space="preserve">easy_spray</t>
  </si>
  <si>
    <t xml:space="preserve">EASY-Spray™ Source</t>
  </si>
  <si>
    <t xml:space="preserve">Easy Spray Source from Thermo Fisher</t>
  </si>
  <si>
    <t xml:space="preserve">flex</t>
  </si>
  <si>
    <t xml:space="preserve">Nanospray Flex™ Ion Source</t>
  </si>
  <si>
    <t xml:space="preserve">Thermo Scientific™ Nanospray Flex™ ion source. </t>
  </si>
  <si>
    <t xml:space="preserve">ion_max</t>
  </si>
  <si>
    <t xml:space="preserve">Ion Max Source</t>
  </si>
  <si>
    <t xml:space="preserve">Ion Max Source from Thermo Fisher</t>
  </si>
  <si>
    <t xml:space="preserve">e1</t>
  </si>
  <si>
    <t xml:space="preserve">Doris (E1)</t>
  </si>
  <si>
    <t xml:space="preserve">Doris</t>
  </si>
  <si>
    <t xml:space="preserve">e2</t>
  </si>
  <si>
    <t xml:space="preserve">Boris (E2)</t>
  </si>
  <si>
    <t xml:space="preserve">Boris</t>
  </si>
  <si>
    <t xml:space="preserve">expl480</t>
  </si>
  <si>
    <t xml:space="preserve">Exploris (MPI AGE)</t>
  </si>
  <si>
    <t xml:space="preserve">Exploris 480 Thermo Fisher, SN</t>
  </si>
  <si>
    <t xml:space="preserve">ignarius</t>
  </si>
  <si>
    <t xml:space="preserve">not known (yet)</t>
  </si>
  <si>
    <t xml:space="preserve">unkown instrument / not known yet</t>
  </si>
  <si>
    <t xml:space="preserve">timstof</t>
  </si>
  <si>
    <t xml:space="preserve">TimsTOF (KrisTof)</t>
  </si>
  <si>
    <t xml:space="preserve">TimsTOF</t>
  </si>
  <si>
    <t xml:space="preserve">120000res</t>
  </si>
  <si>
    <t xml:space="preserve">at 200 m/z</t>
  </si>
  <si>
    <t xml:space="preserve">15000res</t>
  </si>
  <si>
    <t xml:space="preserve">17500res</t>
  </si>
  <si>
    <t xml:space="preserve">at 400 m/z</t>
  </si>
  <si>
    <t xml:space="preserve">30000res</t>
  </si>
  <si>
    <t xml:space="preserve">35000res</t>
  </si>
  <si>
    <t xml:space="preserve">45000res</t>
  </si>
  <si>
    <t xml:space="preserve">60000res</t>
  </si>
  <si>
    <t xml:space="preserve">7500res</t>
  </si>
  <si>
    <t xml:space="preserve">ab</t>
  </si>
  <si>
    <t xml:space="preserve">AB</t>
  </si>
  <si>
    <t xml:space="preserve">Adductor brevis</t>
  </si>
  <si>
    <t xml:space="preserve">al</t>
  </si>
  <si>
    <t xml:space="preserve">AL</t>
  </si>
  <si>
    <t xml:space="preserve">Adductor longus</t>
  </si>
  <si>
    <t xml:space="preserve">am</t>
  </si>
  <si>
    <t xml:space="preserve">AM</t>
  </si>
  <si>
    <t xml:space="preserve">Adductor magnus</t>
  </si>
  <si>
    <t xml:space="preserve">an</t>
  </si>
  <si>
    <t xml:space="preserve">AN</t>
  </si>
  <si>
    <t xml:space="preserve">Anconeus</t>
  </si>
  <si>
    <t xml:space="preserve">bbl</t>
  </si>
  <si>
    <t xml:space="preserve">BBL</t>
  </si>
  <si>
    <t xml:space="preserve">Biceps brachii long head</t>
  </si>
  <si>
    <t xml:space="preserve">bbs</t>
  </si>
  <si>
    <t xml:space="preserve">BBS</t>
  </si>
  <si>
    <t xml:space="preserve">Biceps brachii short head</t>
  </si>
  <si>
    <t xml:space="preserve">bfa</t>
  </si>
  <si>
    <t xml:space="preserve">BFA</t>
  </si>
  <si>
    <t xml:space="preserve">Biceps femoris anterior</t>
  </si>
  <si>
    <t xml:space="preserve">bfp_ca</t>
  </si>
  <si>
    <t xml:space="preserve">BFP(ca)</t>
  </si>
  <si>
    <t xml:space="preserve">Biceps femoris posterior(caudal)</t>
  </si>
  <si>
    <t xml:space="preserve">bfp_cr</t>
  </si>
  <si>
    <t xml:space="preserve">BFP(cr)</t>
  </si>
  <si>
    <t xml:space="preserve">Biceps femoris posterior(cranial)</t>
  </si>
  <si>
    <t xml:space="preserve">bfp_mi</t>
  </si>
  <si>
    <t xml:space="preserve">BFP(mi)</t>
  </si>
  <si>
    <t xml:space="preserve">Biceps femoris posterior(mid)</t>
  </si>
  <si>
    <t xml:space="preserve">bra</t>
  </si>
  <si>
    <t xml:space="preserve">BRA</t>
  </si>
  <si>
    <t xml:space="preserve">Brachialis</t>
  </si>
  <si>
    <t xml:space="preserve">cf</t>
  </si>
  <si>
    <t xml:space="preserve">CF</t>
  </si>
  <si>
    <t xml:space="preserve">Caudofemoralis</t>
  </si>
  <si>
    <t xml:space="preserve">cor</t>
  </si>
  <si>
    <t xml:space="preserve">COR</t>
  </si>
  <si>
    <t xml:space="preserve">Coracobrachialis</t>
  </si>
  <si>
    <t xml:space="preserve">ecrb</t>
  </si>
  <si>
    <t xml:space="preserve">ECRB</t>
  </si>
  <si>
    <t xml:space="preserve">Extensor carpi radialis brevis</t>
  </si>
  <si>
    <t xml:space="preserve">ecrl</t>
  </si>
  <si>
    <t xml:space="preserve">ECRL</t>
  </si>
  <si>
    <t xml:space="preserve">Extensor carpi radialis longus</t>
  </si>
  <si>
    <t xml:space="preserve">ecu</t>
  </si>
  <si>
    <t xml:space="preserve">ECU</t>
  </si>
  <si>
    <t xml:space="preserve">Extensor carpi ulnaris</t>
  </si>
  <si>
    <t xml:space="preserve">edl</t>
  </si>
  <si>
    <t xml:space="preserve">EDL</t>
  </si>
  <si>
    <t xml:space="preserve">Extensor digitorum longus</t>
  </si>
  <si>
    <t xml:space="preserve">ehl</t>
  </si>
  <si>
    <t xml:space="preserve">EHL</t>
  </si>
  <si>
    <t xml:space="preserve">Extensor hallucis longus</t>
  </si>
  <si>
    <t xml:space="preserve">eip1</t>
  </si>
  <si>
    <t xml:space="preserve">EIP1</t>
  </si>
  <si>
    <t xml:space="preserve">Extensor indicis proprius 1</t>
  </si>
  <si>
    <t xml:space="preserve">eip2</t>
  </si>
  <si>
    <t xml:space="preserve">EIP2</t>
  </si>
  <si>
    <t xml:space="preserve">Extensor indicis proprius 2</t>
  </si>
  <si>
    <t xml:space="preserve">fcr</t>
  </si>
  <si>
    <t xml:space="preserve">FCR</t>
  </si>
  <si>
    <t xml:space="preserve">Flexor carpi radialis</t>
  </si>
  <si>
    <t xml:space="preserve">fcu</t>
  </si>
  <si>
    <t xml:space="preserve">FCU</t>
  </si>
  <si>
    <t xml:space="preserve">Flexor carpi ulnaris</t>
  </si>
  <si>
    <t xml:space="preserve">fdl</t>
  </si>
  <si>
    <t xml:space="preserve">FDL</t>
  </si>
  <si>
    <t xml:space="preserve">Flexor digitorum longus</t>
  </si>
  <si>
    <t xml:space="preserve">ga</t>
  </si>
  <si>
    <t xml:space="preserve">GA</t>
  </si>
  <si>
    <t xml:space="preserve">Gracilis anterior</t>
  </si>
  <si>
    <t xml:space="preserve">gem</t>
  </si>
  <si>
    <t xml:space="preserve">GEM</t>
  </si>
  <si>
    <t xml:space="preserve">Gemellus</t>
  </si>
  <si>
    <t xml:space="preserve">gm</t>
  </si>
  <si>
    <t xml:space="preserve">GM</t>
  </si>
  <si>
    <t xml:space="preserve">Gluteus maximus</t>
  </si>
  <si>
    <t xml:space="preserve">gm_dr</t>
  </si>
  <si>
    <t xml:space="preserve">GM(dr)</t>
  </si>
  <si>
    <t xml:space="preserve">Gluteus maximus(dorsal)</t>
  </si>
  <si>
    <t xml:space="preserve">gm_mi</t>
  </si>
  <si>
    <t xml:space="preserve">GM(mi)</t>
  </si>
  <si>
    <t xml:space="preserve">Gluteus maximus(mid)</t>
  </si>
  <si>
    <t xml:space="preserve">gm_ve</t>
  </si>
  <si>
    <t xml:space="preserve">GM(ve)</t>
  </si>
  <si>
    <t xml:space="preserve">Gluteus maximus(ventral)</t>
  </si>
  <si>
    <t xml:space="preserve">gp</t>
  </si>
  <si>
    <t xml:space="preserve">GP</t>
  </si>
  <si>
    <t xml:space="preserve">Gracilis posterior</t>
  </si>
  <si>
    <t xml:space="preserve">ili</t>
  </si>
  <si>
    <t xml:space="preserve">ILI</t>
  </si>
  <si>
    <t xml:space="preserve">Iliacus</t>
  </si>
  <si>
    <t xml:space="preserve">lg</t>
  </si>
  <si>
    <t xml:space="preserve">LG</t>
  </si>
  <si>
    <t xml:space="preserve">Lateral gastrocnemius</t>
  </si>
  <si>
    <t xml:space="preserve">mg</t>
  </si>
  <si>
    <t xml:space="preserve">MG</t>
  </si>
  <si>
    <t xml:space="preserve">Medial gastrocnemius</t>
  </si>
  <si>
    <t xml:space="preserve">oe</t>
  </si>
  <si>
    <t xml:space="preserve">OE</t>
  </si>
  <si>
    <t xml:space="preserve">Obturator extemus</t>
  </si>
  <si>
    <t xml:space="preserve">oi</t>
  </si>
  <si>
    <t xml:space="preserve">OI</t>
  </si>
  <si>
    <t xml:space="preserve">Obturator internus</t>
  </si>
  <si>
    <t xml:space="preserve">pb</t>
  </si>
  <si>
    <t xml:space="preserve">PB</t>
  </si>
  <si>
    <t xml:space="preserve">Peroneus brevis</t>
  </si>
  <si>
    <t xml:space="preserve">pdqa</t>
  </si>
  <si>
    <t xml:space="preserve">PDQA</t>
  </si>
  <si>
    <t xml:space="preserve">Peroneus digit! quarti</t>
  </si>
  <si>
    <t xml:space="preserve">pdqi</t>
  </si>
  <si>
    <t xml:space="preserve">PDQI</t>
  </si>
  <si>
    <t xml:space="preserve">Peroneus digiti quinti</t>
  </si>
  <si>
    <t xml:space="preserve">pect</t>
  </si>
  <si>
    <t xml:space="preserve">PECT</t>
  </si>
  <si>
    <t xml:space="preserve">Pectineus</t>
  </si>
  <si>
    <t xml:space="preserve">pl</t>
  </si>
  <si>
    <t xml:space="preserve">PL</t>
  </si>
  <si>
    <t xml:space="preserve">Peroneus longus</t>
  </si>
  <si>
    <t xml:space="preserve">plant</t>
  </si>
  <si>
    <t xml:space="preserve">PLANT</t>
  </si>
  <si>
    <t xml:space="preserve">Plantaris</t>
  </si>
  <si>
    <t xml:space="preserve">plo</t>
  </si>
  <si>
    <t xml:space="preserve">PLO</t>
  </si>
  <si>
    <t xml:space="preserve">Palmaris longus</t>
  </si>
  <si>
    <t xml:space="preserve">pma</t>
  </si>
  <si>
    <t xml:space="preserve">PMA</t>
  </si>
  <si>
    <t xml:space="preserve">Psoas major</t>
  </si>
  <si>
    <t xml:space="preserve">pmi</t>
  </si>
  <si>
    <t xml:space="preserve">PMI</t>
  </si>
  <si>
    <t xml:space="preserve">Psoas minor</t>
  </si>
  <si>
    <t xml:space="preserve">pop</t>
  </si>
  <si>
    <t xml:space="preserve">POP</t>
  </si>
  <si>
    <t xml:space="preserve">Popliteus</t>
  </si>
  <si>
    <t xml:space="preserve">pt</t>
  </si>
  <si>
    <t xml:space="preserve">PT</t>
  </si>
  <si>
    <t xml:space="preserve">Peroneus tertius</t>
  </si>
  <si>
    <t xml:space="preserve">pte</t>
  </si>
  <si>
    <t xml:space="preserve">PTE</t>
  </si>
  <si>
    <t xml:space="preserve">Pronator teres</t>
  </si>
  <si>
    <t xml:space="preserve">qf</t>
  </si>
  <si>
    <t xml:space="preserve">QF</t>
  </si>
  <si>
    <t xml:space="preserve">Quadratus femoris</t>
  </si>
  <si>
    <t xml:space="preserve">rf</t>
  </si>
  <si>
    <t xml:space="preserve">RF</t>
  </si>
  <si>
    <t xml:space="preserve">Rectus femoris</t>
  </si>
  <si>
    <t xml:space="preserve">sm</t>
  </si>
  <si>
    <t xml:space="preserve">SM</t>
  </si>
  <si>
    <t xml:space="preserve">Semimembranosus</t>
  </si>
  <si>
    <t xml:space="preserve">sol</t>
  </si>
  <si>
    <t xml:space="preserve">SOL</t>
  </si>
  <si>
    <t xml:space="preserve">Soleus</t>
  </si>
  <si>
    <t xml:space="preserve">st</t>
  </si>
  <si>
    <t xml:space="preserve">ST</t>
  </si>
  <si>
    <t xml:space="preserve">Semitendinosus</t>
  </si>
  <si>
    <t xml:space="preserve">ta</t>
  </si>
  <si>
    <t xml:space="preserve">TA</t>
  </si>
  <si>
    <t xml:space="preserve">Tibialis anterior</t>
  </si>
  <si>
    <t xml:space="preserve">tbl</t>
  </si>
  <si>
    <t xml:space="preserve">TBL</t>
  </si>
  <si>
    <t xml:space="preserve">Triceps brachii lateral head</t>
  </si>
  <si>
    <t xml:space="preserve">tbm</t>
  </si>
  <si>
    <t xml:space="preserve">TBM</t>
  </si>
  <si>
    <t xml:space="preserve">Triceps brachii medial head</t>
  </si>
  <si>
    <t xml:space="preserve">tbo</t>
  </si>
  <si>
    <t xml:space="preserve">TBO</t>
  </si>
  <si>
    <t xml:space="preserve">Triceps brachii long head*</t>
  </si>
  <si>
    <t xml:space="preserve">tp</t>
  </si>
  <si>
    <t xml:space="preserve">TP</t>
  </si>
  <si>
    <t xml:space="preserve">Tibialis posterior</t>
  </si>
  <si>
    <t xml:space="preserve">vi</t>
  </si>
  <si>
    <t xml:space="preserve">VI</t>
  </si>
  <si>
    <t xml:space="preserve">Vastus intermedius</t>
  </si>
  <si>
    <t xml:space="preserve">vl</t>
  </si>
  <si>
    <t xml:space="preserve">VL</t>
  </si>
  <si>
    <t xml:space="preserve">Vastus lateralis</t>
  </si>
  <si>
    <t xml:space="preserve">vm</t>
  </si>
  <si>
    <t xml:space="preserve">VM</t>
  </si>
  <si>
    <t xml:space="preserve">Vastus medialis</t>
  </si>
  <si>
    <t xml:space="preserve">zirconium</t>
  </si>
  <si>
    <t xml:space="preserve">Zirconium - PAL</t>
  </si>
  <si>
    <t xml:space="preserve">Zirconium HPLC Pumps coupled to a PAL autosampler for offline high-pH fractionation.</t>
  </si>
  <si>
    <t xml:space="preserve">bgpage</t>
  </si>
  <si>
    <t xml:space="preserve">BN-PAGE</t>
  </si>
  <si>
    <t xml:space="preserve">Blue Native PAGE </t>
  </si>
  <si>
    <t xml:space="preserve">highph_hplc</t>
  </si>
  <si>
    <t xml:space="preserve">High-pH HPLC</t>
  </si>
  <si>
    <t xml:space="preserve">High-pH HPLC peptide based fractionation</t>
  </si>
  <si>
    <t xml:space="preserve">highph_tip</t>
  </si>
  <si>
    <t xml:space="preserve">High-pH Tips</t>
  </si>
  <si>
    <t xml:space="preserve">High-pH StageTip peptide based fractionation</t>
  </si>
  <si>
    <t xml:space="preserve">sax</t>
  </si>
  <si>
    <t xml:space="preserve">Strong Anion Exchange</t>
  </si>
  <si>
    <t xml:space="preserve">SAX peptide based fractionation</t>
  </si>
  <si>
    <t xml:space="preserve">scx</t>
  </si>
  <si>
    <t xml:space="preserve">Strong Cation Exchange</t>
  </si>
  <si>
    <t xml:space="preserve">SCX peptide based fractionation</t>
  </si>
  <si>
    <t xml:space="preserve">sdspage</t>
  </si>
  <si>
    <t xml:space="preserve">SDS-PAGE</t>
  </si>
  <si>
    <t xml:space="preserve">SDS Page Acrylamide Gel</t>
  </si>
  <si>
    <t xml:space="preserve">proteomics</t>
  </si>
  <si>
    <t xml:space="preserve">Proteomics</t>
  </si>
  <si>
    <t xml:space="preserve">Proteomics experiment.</t>
  </si>
  <si>
    <t xml:space="preserve">appendix</t>
  </si>
  <si>
    <t xml:space="preserve">Appendix</t>
  </si>
  <si>
    <t xml:space="preserve">arteries</t>
  </si>
  <si>
    <t xml:space="preserve">Arteries</t>
  </si>
  <si>
    <t xml:space="preserve">bladder</t>
  </si>
  <si>
    <t xml:space="preserve">Bladder</t>
  </si>
  <si>
    <t xml:space="preserve">bone_marrow</t>
  </si>
  <si>
    <t xml:space="preserve">Bone_Marrow</t>
  </si>
  <si>
    <t xml:space="preserve">brain</t>
  </si>
  <si>
    <t xml:space="preserve">Brain</t>
  </si>
  <si>
    <t xml:space="preserve">bronchi</t>
  </si>
  <si>
    <t xml:space="preserve">Bronchi</t>
  </si>
  <si>
    <t xml:space="preserve">cecum</t>
  </si>
  <si>
    <t xml:space="preserve">Cecum</t>
  </si>
  <si>
    <t xml:space="preserve">cerebellum</t>
  </si>
  <si>
    <t xml:space="preserve">Cerebellum</t>
  </si>
  <si>
    <t xml:space="preserve">cerebrum</t>
  </si>
  <si>
    <t xml:space="preserve">Cerebrum</t>
  </si>
  <si>
    <t xml:space="preserve">ear</t>
  </si>
  <si>
    <t xml:space="preserve">Ear</t>
  </si>
  <si>
    <t xml:space="preserve">esophagus</t>
  </si>
  <si>
    <t xml:space="preserve">Esophagus</t>
  </si>
  <si>
    <t xml:space="preserve">eye</t>
  </si>
  <si>
    <t xml:space="preserve">Eye</t>
  </si>
  <si>
    <t xml:space="preserve">gallbladder</t>
  </si>
  <si>
    <t xml:space="preserve">Gallbladder</t>
  </si>
  <si>
    <t xml:space="preserve">ganglia</t>
  </si>
  <si>
    <t xml:space="preserve">Ganglia</t>
  </si>
  <si>
    <t xml:space="preserve">heart</t>
  </si>
  <si>
    <t xml:space="preserve">Heart</t>
  </si>
  <si>
    <t xml:space="preserve">hypothalamus</t>
  </si>
  <si>
    <t xml:space="preserve">Hypothalamus</t>
  </si>
  <si>
    <t xml:space="preserve">kidney</t>
  </si>
  <si>
    <t xml:space="preserve">Kidney</t>
  </si>
  <si>
    <t xml:space="preserve">large_intestine</t>
  </si>
  <si>
    <t xml:space="preserve">largeintestine</t>
  </si>
  <si>
    <t xml:space="preserve">Large Intestine</t>
  </si>
  <si>
    <t xml:space="preserve">Large Intestine / Colon; between the Anus and small Intestine</t>
  </si>
  <si>
    <t xml:space="preserve">liver</t>
  </si>
  <si>
    <t xml:space="preserve">Liver</t>
  </si>
  <si>
    <t xml:space="preserve">lung</t>
  </si>
  <si>
    <t xml:space="preserve">Lung</t>
  </si>
  <si>
    <t xml:space="preserve">lymph_node</t>
  </si>
  <si>
    <t xml:space="preserve">Lymph Node</t>
  </si>
  <si>
    <t xml:space="preserve">medulla</t>
  </si>
  <si>
    <t xml:space="preserve">Medulla</t>
  </si>
  <si>
    <t xml:space="preserve">mesentery</t>
  </si>
  <si>
    <t xml:space="preserve">Mesentery</t>
  </si>
  <si>
    <t xml:space="preserve">midbrain</t>
  </si>
  <si>
    <t xml:space="preserve">Midbrain</t>
  </si>
  <si>
    <t xml:space="preserve">ovaries</t>
  </si>
  <si>
    <t xml:space="preserve">Ovaries</t>
  </si>
  <si>
    <t xml:space="preserve">pancreas</t>
  </si>
  <si>
    <t xml:space="preserve">Pancreas</t>
  </si>
  <si>
    <t xml:space="preserve">pons</t>
  </si>
  <si>
    <t xml:space="preserve">Pons</t>
  </si>
  <si>
    <t xml:space="preserve">prostate</t>
  </si>
  <si>
    <t xml:space="preserve">Prostate</t>
  </si>
  <si>
    <t xml:space="preserve">rectum</t>
  </si>
  <si>
    <t xml:space="preserve">Rectum</t>
  </si>
  <si>
    <t xml:space="preserve">small_intestine</t>
  </si>
  <si>
    <t xml:space="preserve">smallintestine</t>
  </si>
  <si>
    <t xml:space="preserve">Small Intestine</t>
  </si>
  <si>
    <t xml:space="preserve">Small Intestine; Between the Stomach and the Colon</t>
  </si>
  <si>
    <t xml:space="preserve">spinal_cord</t>
  </si>
  <si>
    <t xml:space="preserve">Spinal Cord</t>
  </si>
  <si>
    <t xml:space="preserve">Spinal_Cord</t>
  </si>
  <si>
    <t xml:space="preserve">spleen</t>
  </si>
  <si>
    <t xml:space="preserve">Spleen</t>
  </si>
  <si>
    <t xml:space="preserve">stomach</t>
  </si>
  <si>
    <t xml:space="preserve">Stomach</t>
  </si>
  <si>
    <t xml:space="preserve">testicles</t>
  </si>
  <si>
    <t xml:space="preserve">Testicles</t>
  </si>
  <si>
    <t xml:space="preserve">thalamus</t>
  </si>
  <si>
    <t xml:space="preserve">Thalamus</t>
  </si>
  <si>
    <t xml:space="preserve">thymus</t>
  </si>
  <si>
    <t xml:space="preserve">Thymus</t>
  </si>
  <si>
    <t xml:space="preserve">tongue</t>
  </si>
  <si>
    <t xml:space="preserve">Tongue</t>
  </si>
  <si>
    <t xml:space="preserve">tonsils</t>
  </si>
  <si>
    <t xml:space="preserve">Tonsils</t>
  </si>
  <si>
    <t xml:space="preserve">uterus</t>
  </si>
  <si>
    <t xml:space="preserve">Uterus</t>
  </si>
  <si>
    <t xml:space="preserve">veins</t>
  </si>
  <si>
    <t xml:space="preserve">Veins</t>
  </si>
  <si>
    <t xml:space="preserve">UP000000589</t>
  </si>
  <si>
    <t xml:space="preserve">mouse</t>
  </si>
  <si>
    <t xml:space="preserve">Mus musculus</t>
  </si>
  <si>
    <t xml:space="preserve">Mouse (Mus Musculus) reference proteome (UP000000589)</t>
  </si>
  <si>
    <t xml:space="preserve">UP000001940</t>
  </si>
  <si>
    <t xml:space="preserve">elegeans</t>
  </si>
  <si>
    <t xml:space="preserve">Caenorhabditis elegans</t>
  </si>
  <si>
    <t xml:space="preserve">C. Elegans reference proteome (UP000001940)</t>
  </si>
  <si>
    <t xml:space="preserve">UP000002311</t>
  </si>
  <si>
    <t xml:space="preserve">yeast</t>
  </si>
  <si>
    <t xml:space="preserve">Saccharomyces cerevisiae</t>
  </si>
  <si>
    <t xml:space="preserve">Baker's yeast (Saccharomyces cerevisiae) reference proteome (UP000002311)</t>
  </si>
  <si>
    <t xml:space="preserve">UP000002494</t>
  </si>
  <si>
    <t xml:space="preserve">rat</t>
  </si>
  <si>
    <t xml:space="preserve">Rattus norvegicus</t>
  </si>
  <si>
    <t xml:space="preserve">Rat (Rattus norvegus) reference proteome (UP000002494)</t>
  </si>
  <si>
    <t xml:space="preserve">UP000005640</t>
  </si>
  <si>
    <t xml:space="preserve">human</t>
  </si>
  <si>
    <t xml:space="preserve">Homo sapiens</t>
  </si>
  <si>
    <t xml:space="preserve">Human (Homo sapiens) reference proteome (UP000005640)</t>
  </si>
  <si>
    <t xml:space="preserve">cardiovascular</t>
  </si>
  <si>
    <t xml:space="preserve">att_organsystem</t>
  </si>
  <si>
    <t xml:space="preserve">Cardiovascular</t>
  </si>
  <si>
    <t xml:space="preserve">Cardiovascular System</t>
  </si>
  <si>
    <t xml:space="preserve">digestive</t>
  </si>
  <si>
    <t xml:space="preserve">Digestive</t>
  </si>
  <si>
    <t xml:space="preserve">Digestive System</t>
  </si>
  <si>
    <t xml:space="preserve">endocrine</t>
  </si>
  <si>
    <t xml:space="preserve">Endocrine</t>
  </si>
  <si>
    <t xml:space="preserve">Endocrine System</t>
  </si>
  <si>
    <t xml:space="preserve">excretory</t>
  </si>
  <si>
    <t xml:space="preserve">Excretory</t>
  </si>
  <si>
    <t xml:space="preserve">Excretory System</t>
  </si>
  <si>
    <t xml:space="preserve">integumentary</t>
  </si>
  <si>
    <t xml:space="preserve">Integumentary</t>
  </si>
  <si>
    <t xml:space="preserve">Integumentary System</t>
  </si>
  <si>
    <t xml:space="preserve">lymphatic</t>
  </si>
  <si>
    <t xml:space="preserve">Lymphatic</t>
  </si>
  <si>
    <t xml:space="preserve">Lymphatic System</t>
  </si>
  <si>
    <t xml:space="preserve">muscular</t>
  </si>
  <si>
    <t xml:space="preserve">Muscular</t>
  </si>
  <si>
    <t xml:space="preserve">Muscular System</t>
  </si>
  <si>
    <t xml:space="preserve">nervous_system</t>
  </si>
  <si>
    <t xml:space="preserve">Nervous</t>
  </si>
  <si>
    <t xml:space="preserve">Nervous System</t>
  </si>
  <si>
    <t xml:space="preserve">reproductive</t>
  </si>
  <si>
    <t xml:space="preserve">Reproductive</t>
  </si>
  <si>
    <t xml:space="preserve">Reproductive System</t>
  </si>
  <si>
    <t xml:space="preserve">respiratory</t>
  </si>
  <si>
    <t xml:space="preserve">Respiratory</t>
  </si>
  <si>
    <t xml:space="preserve">Respiratory System</t>
  </si>
  <si>
    <t xml:space="preserve">skeletal</t>
  </si>
  <si>
    <t xml:space="preserve">Skeletal</t>
  </si>
  <si>
    <t xml:space="preserve">Skeletal System</t>
  </si>
  <si>
    <t xml:space="preserve">urinary</t>
  </si>
  <si>
    <t xml:space="preserve">Urinary</t>
  </si>
  <si>
    <t xml:space="preserve">Urinary system</t>
  </si>
  <si>
    <t xml:space="preserve">intervalcardio</t>
  </si>
  <si>
    <t xml:space="preserve">Interval Cardio</t>
  </si>
  <si>
    <t xml:space="preserve">Form of cardiovascular exercise that alternates between short bursts of intense activity and periods of rest or lower-intensity exercise. </t>
  </si>
  <si>
    <t xml:space="preserve">steadycardio</t>
  </si>
  <si>
    <t xml:space="preserve">Steady Sate Cardio</t>
  </si>
  <si>
    <t xml:space="preserve">Involves maintaining a constant, moderate intensity for an extended period, such as jogging or cycling at a steady pace.</t>
  </si>
  <si>
    <t xml:space="preserve">strength</t>
  </si>
  <si>
    <t xml:space="preserve">Strength Training</t>
  </si>
  <si>
    <t xml:space="preserve">Strength training using weights.</t>
  </si>
  <si>
    <t xml:space="preserve">argc</t>
  </si>
  <si>
    <t xml:space="preserve">ArgC</t>
  </si>
  <si>
    <t xml:space="preserve">ArgC - Cleaves C-term of arginine (R) residues</t>
  </si>
  <si>
    <t xml:space="preserve">aspn</t>
  </si>
  <si>
    <t xml:space="preserve">AspN</t>
  </si>
  <si>
    <t xml:space="preserve">AspN N-terminal of Asp, optimal pH = 4-9</t>
  </si>
  <si>
    <t xml:space="preserve">chymotrypsin</t>
  </si>
  <si>
    <t xml:space="preserve">Chymotrypsin</t>
  </si>
  <si>
    <t xml:space="preserve">Chymotrypsin, cleaves C-terminal of Tyr, Phe, Trp</t>
  </si>
  <si>
    <t xml:space="preserve">elastase</t>
  </si>
  <si>
    <t xml:space="preserve">Elastase</t>
  </si>
  <si>
    <t xml:space="preserve">Elastase, C-terminal of Ala, Val, Ser, Gly, Leu and ile, optimal pH = 9.0</t>
  </si>
  <si>
    <t xml:space="preserve">gluc</t>
  </si>
  <si>
    <t xml:space="preserve">GluC</t>
  </si>
  <si>
    <t xml:space="preserve">GlucC - Cleaves C-term of glutamine € residues</t>
  </si>
  <si>
    <t xml:space="preserve">lysc</t>
  </si>
  <si>
    <t xml:space="preserve">LysC</t>
  </si>
  <si>
    <t xml:space="preserve">LysC (Wako) - Cleaves C-term of lysine</t>
  </si>
  <si>
    <t xml:space="preserve">raspn</t>
  </si>
  <si>
    <t xml:space="preserve">rAsp-N</t>
  </si>
  <si>
    <t xml:space="preserve">rAsp-N, N-terminal of Asp, optimal pH = 6 - 9</t>
  </si>
  <si>
    <t xml:space="preserve">trypsin</t>
  </si>
  <si>
    <t xml:space="preserve">Trypsin</t>
  </si>
  <si>
    <t xml:space="preserve">Trypsin (Sigma) - Cleave C-term of arginine (R) and lysine (K)</t>
  </si>
  <si>
    <t xml:space="preserve">Amino acid deletion</t>
  </si>
  <si>
    <t xml:space="preserve">Deletion of a single amino acid</t>
  </si>
  <si>
    <t xml:space="preserve">flag</t>
  </si>
  <si>
    <t xml:space="preserve">Flag tag</t>
  </si>
  <si>
    <t xml:space="preserve">Flag (DYKDDDDK) tagged protein </t>
  </si>
  <si>
    <t xml:space="preserve">frameshift</t>
  </si>
  <si>
    <t xml:space="preserve">Frameshift</t>
  </si>
  <si>
    <t xml:space="preserve">Frameshift mediated by a double strand break</t>
  </si>
  <si>
    <t xml:space="preserve">gfp</t>
  </si>
  <si>
    <t xml:space="preserve">GFP tag</t>
  </si>
  <si>
    <t xml:space="preserve">GFP tagged protein </t>
  </si>
  <si>
    <t xml:space="preserve">ha</t>
  </si>
  <si>
    <t xml:space="preserve">HA tag</t>
  </si>
  <si>
    <t xml:space="preserve">HA (YPYDVPDYA) tagged protein </t>
  </si>
  <si>
    <t xml:space="preserve">his</t>
  </si>
  <si>
    <t xml:space="preserve">HIS tag</t>
  </si>
  <si>
    <t xml:space="preserve">NxHIS tagged protein </t>
  </si>
  <si>
    <t xml:space="preserve">insertion</t>
  </si>
  <si>
    <t xml:space="preserve">Amino acid insertion</t>
  </si>
  <si>
    <t xml:space="preserve">Amino acid insertion.</t>
  </si>
  <si>
    <t xml:space="preserve">myc</t>
  </si>
  <si>
    <t xml:space="preserve">Myc tag</t>
  </si>
  <si>
    <t xml:space="preserve">Myc (EQKLISEEDL) tagged protein </t>
  </si>
  <si>
    <t xml:space="preserve">pep86</t>
  </si>
  <si>
    <t xml:space="preserve">Pep86 to forms with 11S an active luciferase</t>
  </si>
  <si>
    <t xml:space="preserve">substitution</t>
  </si>
  <si>
    <t xml:space="preserve">Amino acid substitution</t>
  </si>
  <si>
    <t xml:space="preserve">Amino acid exchange on a single amino acid position.</t>
  </si>
  <si>
    <t xml:space="preserve">truncation</t>
  </si>
  <si>
    <t xml:space="preserve">Truncation</t>
  </si>
  <si>
    <t xml:space="preserve">Deletion of a region in the amino acid sequence.</t>
  </si>
  <si>
    <t xml:space="preserve">aa</t>
  </si>
  <si>
    <t xml:space="preserve">AA position</t>
  </si>
  <si>
    <t xml:space="preserve">Specific amino acid position</t>
  </si>
  <si>
    <t xml:space="preserve">cterm</t>
  </si>
  <si>
    <t xml:space="preserve">C-term</t>
  </si>
  <si>
    <t xml:space="preserve">C-terminus of the protein</t>
  </si>
  <si>
    <t xml:space="preserve">nterm</t>
  </si>
  <si>
    <t xml:space="preserve">N-term</t>
  </si>
  <si>
    <t xml:space="preserve">N-terminus of the protein</t>
  </si>
  <si>
    <t xml:space="preserve">region</t>
  </si>
  <si>
    <t xml:space="preserve">Region</t>
  </si>
  <si>
    <t xml:space="preserve">Protein region defined by a start and stop amino acid. Use this for truncation or gRNA target sequences.</t>
  </si>
  <si>
    <t xml:space="preserve">directlfq</t>
  </si>
  <si>
    <t xml:space="preserve">direct LFQ</t>
  </si>
  <si>
    <t xml:space="preserve">maxlfq</t>
  </si>
  <si>
    <t xml:space="preserve">Max LFQ</t>
  </si>
  <si>
    <t xml:space="preserve">speccount</t>
  </si>
  <si>
    <t xml:space="preserve">Spectral Counting</t>
  </si>
  <si>
    <t xml:space="preserve">isobaric</t>
  </si>
  <si>
    <t xml:space="preserve">isobaric (TMT)</t>
  </si>
  <si>
    <t xml:space="preserve">istopic</t>
  </si>
  <si>
    <t xml:space="preserve">istopic (PlexDIA)</t>
  </si>
  <si>
    <t xml:space="preserve">label_free</t>
  </si>
  <si>
    <t xml:space="preserve">Label free</t>
  </si>
  <si>
    <t xml:space="preserve">Label-free quantification</t>
  </si>
  <si>
    <t xml:space="preserve">silac</t>
  </si>
  <si>
    <t xml:space="preserve">Stable isotope labeling by/with amino acids in cell culture (SILAC)</t>
  </si>
  <si>
    <t xml:space="preserve">dtt</t>
  </si>
  <si>
    <t xml:space="preserve">DTT</t>
  </si>
  <si>
    <t xml:space="preserve">Dithiothreitol, at a final above 0.1 M concentration, DTT is also widely used for disruption of protein disulfide bonds prior to protein digestion.</t>
  </si>
  <si>
    <t xml:space="preserve">Proteins were not reduced - intact S-S bridges</t>
  </si>
  <si>
    <t xml:space="preserve">tcep</t>
  </si>
  <si>
    <t xml:space="preserve">TCEP</t>
  </si>
  <si>
    <t xml:space="preserve">TCEP (tris(2-carboxyethyl)phosphine) is a reducing agent frequently used in biochemistry and molecular biology applications. It is often prepared and used as a hydrochloride salt (TCEP-HCl) with a molecular weight of 286.65 gram/mol.</t>
  </si>
  <si>
    <t xml:space="preserve">att_signalling</t>
  </si>
  <si>
    <t xml:space="preserve">Apoptosis or programmed cell death Signallilng</t>
  </si>
  <si>
    <t xml:space="preserve">autocrine</t>
  </si>
  <si>
    <t xml:space="preserve">Autocrine</t>
  </si>
  <si>
    <t xml:space="preserve">Signaling in which a cell secretes a hormone or a chemical substance that binds to the receptors</t>
  </si>
  <si>
    <t xml:space="preserve">complement</t>
  </si>
  <si>
    <t xml:space="preserve">Complement</t>
  </si>
  <si>
    <t xml:space="preserve">Complement system</t>
  </si>
  <si>
    <t xml:space="preserve">cytokines</t>
  </si>
  <si>
    <t xml:space="preserve">Cytokines</t>
  </si>
  <si>
    <t xml:space="preserve">Small proteins that are crucial in controlling the growth and activity of immune system cells</t>
  </si>
  <si>
    <t xml:space="preserve">inflammation</t>
  </si>
  <si>
    <t xml:space="preserve">Inflammation</t>
  </si>
  <si>
    <t xml:space="preserve">Biological response of body tissues to harmful stimuli,</t>
  </si>
  <si>
    <t xml:space="preserve">insulin</t>
  </si>
  <si>
    <t xml:space="preserve">Insulin</t>
  </si>
  <si>
    <t xml:space="preserve">Insulin Signaling</t>
  </si>
  <si>
    <t xml:space="preserve">juxtacrine</t>
  </si>
  <si>
    <t xml:space="preserve">Juxtacrine</t>
  </si>
  <si>
    <t xml:space="preserve">Contact-dependent signalling</t>
  </si>
  <si>
    <t xml:space="preserve">necrosis</t>
  </si>
  <si>
    <t xml:space="preserve">Necrosis</t>
  </si>
  <si>
    <t xml:space="preserve">Uncontrolled cell death.</t>
  </si>
  <si>
    <t xml:space="preserve">paracrine</t>
  </si>
  <si>
    <t xml:space="preserve">Paracrine</t>
  </si>
  <si>
    <t xml:space="preserve">Cell-to-Cell Communication</t>
  </si>
  <si>
    <t xml:space="preserve">General Protein, Gen or Cell Signaling</t>
  </si>
  <si>
    <t xml:space="preserve">diann</t>
  </si>
  <si>
    <t xml:space="preserve">DIA-NN</t>
  </si>
  <si>
    <t xml:space="preserve">universal automated software suite for DIA proteomics data analysis</t>
  </si>
  <si>
    <t xml:space="preserve">maxquant</t>
  </si>
  <si>
    <t xml:space="preserve">MaxQuant</t>
  </si>
  <si>
    <t xml:space="preserve">MPI’s MaxQuant quantitiative proteomics software package</t>
  </si>
  <si>
    <t xml:space="preserve">metamorpheus</t>
  </si>
  <si>
    <t xml:space="preserve">MetaMorpheus</t>
  </si>
  <si>
    <t xml:space="preserve">Open-Source PTM Disocvery; smith-chem-wisc</t>
  </si>
  <si>
    <t xml:space="preserve">minora</t>
  </si>
  <si>
    <t xml:space="preserve">Minora</t>
  </si>
  <si>
    <t xml:space="preserve">Proteome Discoverer, Minora; Thermo Fisher</t>
  </si>
  <si>
    <t xml:space="preserve">msfragger</t>
  </si>
  <si>
    <t xml:space="preserve">MSFragger</t>
  </si>
  <si>
    <t xml:space="preserve">Nesvilab’s MSFragger</t>
  </si>
  <si>
    <t xml:space="preserve">msgf</t>
  </si>
  <si>
    <t xml:space="preserve">MS-GF+</t>
  </si>
  <si>
    <t xml:space="preserve">MS-GF+ (aka MSGF+ or MSGFPlus) </t>
  </si>
  <si>
    <t xml:space="preserve">spectronaut</t>
  </si>
  <si>
    <t xml:space="preserve">Spectronaut</t>
  </si>
  <si>
    <t xml:space="preserve">BioGnoSys’s Spectronaut; DIA proteomics analysis</t>
  </si>
  <si>
    <t xml:space="preserve">adipose</t>
  </si>
  <si>
    <t xml:space="preserve">Adipose</t>
  </si>
  <si>
    <t xml:space="preserve">Adipose connective tissue</t>
  </si>
  <si>
    <t xml:space="preserve">areolar</t>
  </si>
  <si>
    <t xml:space="preserve">Areolar</t>
  </si>
  <si>
    <t xml:space="preserve">Areolar connective tissue</t>
  </si>
  <si>
    <t xml:space="preserve">blood</t>
  </si>
  <si>
    <t xml:space="preserve">Blood</t>
  </si>
  <si>
    <t xml:space="preserve">connective</t>
  </si>
  <si>
    <t xml:space="preserve">Connective</t>
  </si>
  <si>
    <t xml:space="preserve">Connective tissue</t>
  </si>
  <si>
    <t xml:space="preserve">dermis</t>
  </si>
  <si>
    <t xml:space="preserve">Dermis</t>
  </si>
  <si>
    <t xml:space="preserve">epidermis</t>
  </si>
  <si>
    <t xml:space="preserve">Epidermis</t>
  </si>
  <si>
    <t xml:space="preserve">epithelial</t>
  </si>
  <si>
    <t xml:space="preserve">Epithelial</t>
  </si>
  <si>
    <t xml:space="preserve">Epithelial tissue</t>
  </si>
  <si>
    <t xml:space="preserve">hypodermis</t>
  </si>
  <si>
    <t xml:space="preserve">Hypodermis</t>
  </si>
  <si>
    <t xml:space="preserve">muscle</t>
  </si>
  <si>
    <t xml:space="preserve">Muscle tissue</t>
  </si>
  <si>
    <t xml:space="preserve">nervous</t>
  </si>
  <si>
    <t xml:space="preserve">Nervous tissue</t>
  </si>
  <si>
    <t xml:space="preserve">reticular</t>
  </si>
  <si>
    <t xml:space="preserve">Reticular</t>
  </si>
  <si>
    <t xml:space="preserve">Reticular connective tissue</t>
  </si>
  <si>
    <t xml:space="preserve">stromal</t>
  </si>
  <si>
    <t xml:space="preserve">Stromal</t>
  </si>
  <si>
    <t xml:space="preserve">Stroma tissue</t>
  </si>
  <si>
    <t xml:space="preserve">tmt10_126</t>
  </si>
  <si>
    <t xml:space="preserve">tmt10_127C</t>
  </si>
  <si>
    <t xml:space="preserve">127C</t>
  </si>
  <si>
    <t xml:space="preserve">tmt10_127N</t>
  </si>
  <si>
    <t xml:space="preserve">127N</t>
  </si>
  <si>
    <t xml:space="preserve">tmt10_128C</t>
  </si>
  <si>
    <t xml:space="preserve">128C</t>
  </si>
  <si>
    <t xml:space="preserve">tmt10_128N</t>
  </si>
  <si>
    <t xml:space="preserve">128N</t>
  </si>
  <si>
    <t xml:space="preserve">tmt10_129C</t>
  </si>
  <si>
    <t xml:space="preserve">129C</t>
  </si>
  <si>
    <t xml:space="preserve">tmt10_129N</t>
  </si>
  <si>
    <t xml:space="preserve">129N</t>
  </si>
  <si>
    <t xml:space="preserve">tmt10_130C</t>
  </si>
  <si>
    <t xml:space="preserve">130C</t>
  </si>
  <si>
    <t xml:space="preserve">tmt10_130N</t>
  </si>
  <si>
    <t xml:space="preserve">130N</t>
  </si>
  <si>
    <t xml:space="preserve">tmt10_131</t>
  </si>
  <si>
    <t xml:space="preserve">tmt11_126</t>
  </si>
  <si>
    <t xml:space="preserve">tmt11_127C</t>
  </si>
  <si>
    <t xml:space="preserve">tmt11_127N</t>
  </si>
  <si>
    <t xml:space="preserve">tmt11_128C</t>
  </si>
  <si>
    <t xml:space="preserve">tmt11_128N</t>
  </si>
  <si>
    <t xml:space="preserve">tmt11_129C</t>
  </si>
  <si>
    <t xml:space="preserve">tmt11_129N</t>
  </si>
  <si>
    <t xml:space="preserve">tmt11_130C</t>
  </si>
  <si>
    <t xml:space="preserve">tmt11_130N</t>
  </si>
  <si>
    <t xml:space="preserve">tmt11_131C</t>
  </si>
  <si>
    <t xml:space="preserve">131C</t>
  </si>
  <si>
    <t xml:space="preserve">tmt11_131N</t>
  </si>
  <si>
    <t xml:space="preserve">131N</t>
  </si>
  <si>
    <t xml:space="preserve">tmt18_126</t>
  </si>
  <si>
    <t xml:space="preserve">tmt18_127C</t>
  </si>
  <si>
    <t xml:space="preserve">tmt18_127N</t>
  </si>
  <si>
    <t xml:space="preserve">tmt18_128C</t>
  </si>
  <si>
    <t xml:space="preserve">tmt18_128N</t>
  </si>
  <si>
    <t xml:space="preserve">tmt18_129C</t>
  </si>
  <si>
    <t xml:space="preserve">tmt18_129N</t>
  </si>
  <si>
    <t xml:space="preserve">tmt18_130C</t>
  </si>
  <si>
    <t xml:space="preserve">tmt18_130N</t>
  </si>
  <si>
    <t xml:space="preserve">tmt18_131C</t>
  </si>
  <si>
    <t xml:space="preserve">tmt18_131N</t>
  </si>
  <si>
    <t xml:space="preserve">tmt18_132C</t>
  </si>
  <si>
    <t xml:space="preserve">132C</t>
  </si>
  <si>
    <t xml:space="preserve">tmt18_132N</t>
  </si>
  <si>
    <t xml:space="preserve">132N</t>
  </si>
  <si>
    <t xml:space="preserve">tmt18_133C</t>
  </si>
  <si>
    <t xml:space="preserve">133C</t>
  </si>
  <si>
    <t xml:space="preserve">tmt18_133N</t>
  </si>
  <si>
    <t xml:space="preserve">133N</t>
  </si>
  <si>
    <t xml:space="preserve">tmt18_134C</t>
  </si>
  <si>
    <t xml:space="preserve">134C</t>
  </si>
  <si>
    <t xml:space="preserve">tmt18_134N</t>
  </si>
  <si>
    <t xml:space="preserve">134N</t>
  </si>
  <si>
    <t xml:space="preserve">tmt18_135N</t>
  </si>
  <si>
    <t xml:space="preserve">135N</t>
  </si>
  <si>
    <t xml:space="preserve">tmt6_126</t>
  </si>
  <si>
    <t xml:space="preserve">tmt6_127</t>
  </si>
  <si>
    <t xml:space="preserve">tmt6_128</t>
  </si>
  <si>
    <t xml:space="preserve">tmt6_129</t>
  </si>
  <si>
    <t xml:space="preserve">tmt6_130</t>
  </si>
  <si>
    <t xml:space="preserve">tmt6_131</t>
  </si>
  <si>
    <t xml:space="preserve">biochem</t>
  </si>
  <si>
    <t xml:space="preserve">Institute of Biochemistry</t>
  </si>
  <si>
    <t xml:space="preserve">University of Cologne, Zülpicher Str. 47, 50931 Cologne</t>
  </si>
  <si>
    <t xml:space="preserve">cecad</t>
  </si>
  <si>
    <t xml:space="preserve">CECAD Institute</t>
  </si>
  <si>
    <t xml:space="preserve">Joseph-Stelzmann-Strasse 26, 50931 Cologne</t>
  </si>
  <si>
    <t xml:space="preserve">mpiage</t>
  </si>
  <si>
    <t xml:space="preserve">Max Planck Institute for Biology of Ageing</t>
  </si>
  <si>
    <t xml:space="preserve">Joseph-Stelzmann-Strasse 9b, 50931 Cologne</t>
  </si>
  <si>
    <t xml:space="preserve">mpimetab</t>
  </si>
  <si>
    <t xml:space="preserve">Max Planck Institute for Metabolism</t>
  </si>
  <si>
    <t xml:space="preserve">Gleueler Str. 50, 50931 Cologne</t>
  </si>
  <si>
    <t xml:space="preserve">mitoprotea</t>
  </si>
  <si>
    <t xml:space="preserve">Department of Mitochondrial Proteostasis</t>
  </si>
  <si>
    <t xml:space="preserve">Department Langer</t>
  </si>
  <si>
    <t xml:space="preserve">molageing</t>
  </si>
  <si>
    <t xml:space="preserve">Molecular Genetics of Ageing</t>
  </si>
  <si>
    <t xml:space="preserve">Department Antebi</t>
  </si>
  <si>
    <t xml:space="preserve">mandatory</t>
  </si>
  <si>
    <t xml:space="preserve">comment</t>
  </si>
  <si>
    <t xml:space="preserve">keywords</t>
  </si>
  <si>
    <t xml:space="preserve">words</t>
  </si>
  <si>
    <t xml:space="preserve">Freq</t>
  </si>
  <si>
    <t xml:space="preserve">group_word</t>
  </si>
  <si>
    <t xml:space="preserve">group</t>
  </si>
  <si>
    <t xml:space="preserve">group_full</t>
  </si>
  <si>
    <t xml:space="preserve">attribute</t>
  </si>
  <si>
    <t xml:space="preserve">attribute_full</t>
  </si>
  <si>
    <t xml:space="preserve">include</t>
  </si>
  <si>
    <t xml:space="preserve">details</t>
  </si>
  <si>
    <t xml:space="preserve">source_keyword</t>
  </si>
  <si>
    <t xml:space="preserve">SQL_insert_group</t>
  </si>
  <si>
    <t xml:space="preserve">sql_insert_attribute</t>
  </si>
  <si>
    <t xml:space="preserve">acquisition</t>
  </si>
  <si>
    <t xml:space="preserve">adipoqcre</t>
  </si>
  <si>
    <t xml:space="preserve">Animal Model</t>
  </si>
  <si>
    <t xml:space="preserve">animal_model</t>
  </si>
  <si>
    <t xml:space="preserve">albcre</t>
  </si>
  <si>
    <t xml:space="preserve">ascko</t>
  </si>
  <si>
    <t xml:space="preserve">baf53bcre</t>
  </si>
  <si>
    <t xml:space="preserve">c57bl6j</t>
  </si>
  <si>
    <t xml:space="preserve">clec4fcre</t>
  </si>
  <si>
    <t xml:space="preserve">cx3cr1cre</t>
  </si>
  <si>
    <t xml:space="preserve">glastcre</t>
  </si>
  <si>
    <t xml:space="preserve">lratcre</t>
  </si>
  <si>
    <t xml:space="preserve">lysmcre</t>
  </si>
  <si>
    <t xml:space="preserve">ms4a3cre</t>
  </si>
  <si>
    <t xml:space="preserve">nlrp3cre</t>
  </si>
  <si>
    <t xml:space="preserve">nlrp3flox</t>
  </si>
  <si>
    <t xml:space="preserve">nlrp3ko</t>
  </si>
  <si>
    <t xml:space="preserve">r26ert2cre</t>
  </si>
  <si>
    <t xml:space="preserve">r26metrs</t>
  </si>
  <si>
    <t xml:space="preserve">r26nlrp</t>
  </si>
  <si>
    <t xml:space="preserve">ribotag</t>
  </si>
  <si>
    <t xml:space="preserve">sox10cre</t>
  </si>
  <si>
    <t xml:space="preserve">ucp1cre</t>
  </si>
  <si>
    <t xml:space="preserve">vilcre</t>
  </si>
  <si>
    <t xml:space="preserve">Celllines</t>
  </si>
  <si>
    <t xml:space="preserve">celllines</t>
  </si>
  <si>
    <t xml:space="preserve">NCI-60</t>
  </si>
  <si>
    <t xml:space="preserve">common cell line</t>
  </si>
  <si>
    <t xml:space="preserve">Cells</t>
  </si>
  <si>
    <t xml:space="preserve">cells</t>
  </si>
  <si>
    <t xml:space="preserve">Compound</t>
  </si>
  <si>
    <t xml:space="preserve">compound</t>
  </si>
  <si>
    <t xml:space="preserve">cgas</t>
  </si>
  <si>
    <t xml:space="preserve">cGAS</t>
  </si>
  <si>
    <t xml:space="preserve">diabzi</t>
  </si>
  <si>
    <t xml:space="preserve">diABZI</t>
  </si>
  <si>
    <t xml:space="preserve">Dimethyl Sulfoxide</t>
  </si>
  <si>
    <t xml:space="preserve">lactimidomycin</t>
  </si>
  <si>
    <t xml:space="preserve">Lactimidomycin</t>
  </si>
  <si>
    <t xml:space="preserve">lps</t>
  </si>
  <si>
    <t xml:space="preserve">LPS</t>
  </si>
  <si>
    <t xml:space="preserve">Lipopolysaccharide</t>
  </si>
  <si>
    <t xml:space="preserve">niap</t>
  </si>
  <si>
    <t xml:space="preserve">nIAP</t>
  </si>
  <si>
    <t xml:space="preserve">pam</t>
  </si>
  <si>
    <t xml:space="preserve">PAM</t>
  </si>
  <si>
    <t xml:space="preserve">Polyacrylamide</t>
  </si>
  <si>
    <t xml:space="preserve">r837</t>
  </si>
  <si>
    <t xml:space="preserve">R837</t>
  </si>
  <si>
    <t xml:space="preserve">Imiquimod; stimulates the innate immune system by activating toll-like receptor 7 (TLR7)</t>
  </si>
  <si>
    <t xml:space="preserve">r848</t>
  </si>
  <si>
    <t xml:space="preserve">R848</t>
  </si>
  <si>
    <t xml:space="preserve">Resiquimod; Imidazoquinolinamine and Toll-like receptor (TLR) agonist</t>
  </si>
  <si>
    <t xml:space="preserve">Context</t>
  </si>
  <si>
    <t xml:space="preserve">context</t>
  </si>
  <si>
    <t xml:space="preserve">Spectral Interpretation</t>
  </si>
  <si>
    <t xml:space="preserve">dataset</t>
  </si>
  <si>
    <t xml:space="preserve">disease</t>
  </si>
  <si>
    <t xml:space="preserve">experiment</t>
  </si>
  <si>
    <t xml:space="preserve">neoenrichment</t>
  </si>
  <si>
    <t xml:space="preserve">other_ptm</t>
  </si>
  <si>
    <t xml:space="preserve">other PTMs</t>
  </si>
  <si>
    <t xml:space="preserve">pulsesilac</t>
  </si>
  <si>
    <t xml:space="preserve">Fluid</t>
  </si>
  <si>
    <t xml:space="preserve">fluid</t>
  </si>
  <si>
    <t xml:space="preserve">fraction</t>
  </si>
  <si>
    <t xml:space="preserve">01k Spatial Fraction</t>
  </si>
  <si>
    <t xml:space="preserve">05k Spatial Fraction</t>
  </si>
  <si>
    <t xml:space="preserve">12k Spatial Fraction</t>
  </si>
  <si>
    <t xml:space="preserve">24k Spatial Fraction</t>
  </si>
  <si>
    <t xml:space="preserve">79k Spatial Fraction</t>
  </si>
  <si>
    <t xml:space="preserve">crude mito</t>
  </si>
  <si>
    <t xml:space="preserve">fractionation hplc high ph</t>
  </si>
  <si>
    <t xml:space="preserve">offline_fractionation</t>
  </si>
  <si>
    <t xml:space="preserve">MS Instrument</t>
  </si>
  <si>
    <t xml:space="preserve">instrument</t>
  </si>
  <si>
    <t xml:space="preserve">T</t>
  </si>
  <si>
    <t xml:space="preserve">t</t>
  </si>
  <si>
    <t xml:space="preserve">casp1_dko</t>
  </si>
  <si>
    <t xml:space="preserve">Casp1 dKO</t>
  </si>
  <si>
    <t xml:space="preserve">Gene Knockout</t>
  </si>
  <si>
    <t xml:space="preserve">knockout</t>
  </si>
  <si>
    <t xml:space="preserve">Casp1 −/−</t>
  </si>
  <si>
    <t xml:space="preserve">casp11_dko</t>
  </si>
  <si>
    <t xml:space="preserve">Casp11 dKO</t>
  </si>
  <si>
    <t xml:space="preserve">Casp11 −/−</t>
  </si>
  <si>
    <t xml:space="preserve">gsdmd_dko</t>
  </si>
  <si>
    <t xml:space="preserve">Gsdmd dKO</t>
  </si>
  <si>
    <t xml:space="preserve">Gsdmd −/−</t>
  </si>
  <si>
    <t xml:space="preserve">il18rdko</t>
  </si>
  <si>
    <t xml:space="preserve">Il18r dKO</t>
  </si>
  <si>
    <t xml:space="preserve">il18r_dko</t>
  </si>
  <si>
    <t xml:space="preserve">Il18r −/−</t>
  </si>
  <si>
    <t xml:space="preserve">il1rdko</t>
  </si>
  <si>
    <t xml:space="preserve">Il1r dKO</t>
  </si>
  <si>
    <t xml:space="preserve">il1r_dko</t>
  </si>
  <si>
    <t xml:space="preserve">Il1r −/−</t>
  </si>
  <si>
    <t xml:space="preserve">tlr4_dko</t>
  </si>
  <si>
    <t xml:space="preserve">Tlr4 dKO</t>
  </si>
  <si>
    <t xml:space="preserve">Tlr4 −/−</t>
  </si>
  <si>
    <t xml:space="preserve">lc_system</t>
  </si>
  <si>
    <t xml:space="preserve">Mockup</t>
  </si>
  <si>
    <t xml:space="preserve">mockup</t>
  </si>
  <si>
    <t xml:space="preserve">invitro</t>
  </si>
  <si>
    <t xml:space="preserve">model</t>
  </si>
  <si>
    <t xml:space="preserve">invivo</t>
  </si>
  <si>
    <t xml:space="preserve">column aurora</t>
  </si>
  <si>
    <t xml:space="preserve">column_type</t>
  </si>
  <si>
    <t xml:space="preserve">in-house packed column</t>
  </si>
  <si>
    <t xml:space="preserve">Easy spray</t>
  </si>
  <si>
    <t xml:space="preserve">uPac neo</t>
  </si>
  <si>
    <t xml:space="preserve">pepmap</t>
  </si>
  <si>
    <t xml:space="preserve">aurora_15cm</t>
  </si>
  <si>
    <t xml:space="preserve">Auroa 15 cm</t>
  </si>
  <si>
    <t xml:space="preserve">LC Column Configuration</t>
  </si>
  <si>
    <t xml:space="preserve">mslc_column_configuration</t>
  </si>
  <si>
    <t xml:space="preserve">Auroa 15 cm MS Column</t>
  </si>
  <si>
    <t xml:space="preserve">aurora_25cm</t>
  </si>
  <si>
    <t xml:space="preserve">Auroa 25 cm</t>
  </si>
  <si>
    <t xml:space="preserve">25cm</t>
  </si>
  <si>
    <t xml:space="preserve">Auroa 25 cm MS Column</t>
  </si>
  <si>
    <t xml:space="preserve">aurora_30cm</t>
  </si>
  <si>
    <t xml:space="preserve">Auroa 30 cm</t>
  </si>
  <si>
    <t xml:space="preserve">Auroa 30 cm MS Column</t>
  </si>
  <si>
    <t xml:space="preserve">aurora_50cm</t>
  </si>
  <si>
    <t xml:space="preserve">Auroa 50 cm</t>
  </si>
  <si>
    <t xml:space="preserve">Auroa 50 cm MS Column</t>
  </si>
  <si>
    <t xml:space="preserve">column_inhouse</t>
  </si>
  <si>
    <t xml:space="preserve">In-house</t>
  </si>
  <si>
    <t xml:space="preserve">In-House Column</t>
  </si>
  <si>
    <t xml:space="preserve">trap</t>
  </si>
  <si>
    <t xml:space="preserve">Trap</t>
  </si>
  <si>
    <t xml:space="preserve">MS-Setting: Trap</t>
  </si>
  <si>
    <t xml:space="preserve">ms_interface</t>
  </si>
  <si>
    <t xml:space="preserve">ion source</t>
  </si>
  <si>
    <t xml:space="preserve">ms_ionsource</t>
  </si>
  <si>
    <t xml:space="preserve">organ</t>
  </si>
  <si>
    <t xml:space="preserve">bacteria</t>
  </si>
  <si>
    <t xml:space="preserve">Bacteria</t>
  </si>
  <si>
    <t xml:space="preserve">organism</t>
  </si>
  <si>
    <t xml:space="preserve">elegans</t>
  </si>
  <si>
    <t xml:space="preserve">gut</t>
  </si>
  <si>
    <t xml:space="preserve">Gut Microbiom</t>
  </si>
  <si>
    <t xml:space="preserve">Gut Microbiomm (Specify in Additional Info)</t>
  </si>
  <si>
    <t xml:space="preserve">Homo sapiens (Human)</t>
  </si>
  <si>
    <t xml:space="preserve">Mus musculus (Mouse)</t>
  </si>
  <si>
    <t xml:space="preserve">Rattus norvegicus (Rat)</t>
  </si>
  <si>
    <t xml:space="preserve">Saccharomyces cerevisiae (Baker's Yeast)</t>
  </si>
  <si>
    <t xml:space="preserve">Organ System</t>
  </si>
  <si>
    <t xml:space="preserve">organsystem</t>
  </si>
  <si>
    <t xml:space="preserve">nervoussystem</t>
  </si>
  <si>
    <t xml:space="preserve">kd</t>
  </si>
  <si>
    <t xml:space="preserve">knockdown (kd)</t>
  </si>
  <si>
    <t xml:space="preserve">Phenotype</t>
  </si>
  <si>
    <t xml:space="preserve">phenotype</t>
  </si>
  <si>
    <t xml:space="preserve">knockout (ko)</t>
  </si>
  <si>
    <t xml:space="preserve">mt</t>
  </si>
  <si>
    <t xml:space="preserve">mutant (mt)</t>
  </si>
  <si>
    <t xml:space="preserve">mutated</t>
  </si>
  <si>
    <t xml:space="preserve">wt</t>
  </si>
  <si>
    <t xml:space="preserve">wild type (wt)</t>
  </si>
  <si>
    <t xml:space="preserve">wilde type cells</t>
  </si>
  <si>
    <t xml:space="preserve">quantification</t>
  </si>
  <si>
    <t xml:space="preserve">labelfree</t>
  </si>
  <si>
    <t xml:space="preserve">Signallling Pathway</t>
  </si>
  <si>
    <t xml:space="preserve">signalling</t>
  </si>
  <si>
    <t xml:space="preserve">software</t>
  </si>
  <si>
    <t xml:space="preserve">tissue</t>
  </si>
  <si>
    <t xml:space="preserve">database orf_search</t>
  </si>
  <si>
    <t xml:space="preserve">lysis sds</t>
  </si>
  <si>
    <t xml:space="preserve">lysis urea</t>
  </si>
  <si>
    <t xml:space="preserve">lysis sdc</t>
  </si>
  <si>
    <t xml:space="preserve">detergent sds</t>
  </si>
  <si>
    <t xml:space="preserve">detergent</t>
  </si>
  <si>
    <t xml:space="preserve">detergent tween20</t>
  </si>
  <si>
    <t xml:space="preserve">detergent tweem80</t>
  </si>
  <si>
    <t xml:space="preserve">Tweem80</t>
  </si>
  <si>
    <t xml:space="preserve">detergent np-40 np40</t>
  </si>
  <si>
    <t xml:space="preserve">detergent triton x-100 triton 100</t>
  </si>
  <si>
    <t xml:space="preserve">detergent chaps</t>
  </si>
  <si>
    <t xml:space="preserve">detergent dmm</t>
  </si>
  <si>
    <t xml:space="preserve">detergent og glucoside</t>
  </si>
  <si>
    <t xml:space="preserve">detergent OTG Octylthioglucoside</t>
  </si>
  <si>
    <t xml:space="preserve">reducing reduced tcep</t>
  </si>
  <si>
    <t xml:space="preserve">Protein reducing agent</t>
  </si>
  <si>
    <t xml:space="preserve">reduction</t>
  </si>
  <si>
    <t xml:space="preserve">reducing reduced dtt</t>
  </si>
  <si>
    <t xml:space="preserve">alkylation caa</t>
  </si>
  <si>
    <t xml:space="preserve">Protein alkylation agent</t>
  </si>
  <si>
    <t xml:space="preserve">alkylation</t>
  </si>
  <si>
    <t xml:space="preserve">alkylation iaa</t>
  </si>
  <si>
    <t xml:space="preserve">digestion, protease</t>
  </si>
  <si>
    <t xml:space="preserve">protease</t>
  </si>
  <si>
    <t xml:space="preserve">liquid handler, digestion</t>
  </si>
  <si>
    <t xml:space="preserve">liquid handler</t>
  </si>
  <si>
    <t xml:space="preserve">well plate, eppendorf</t>
  </si>
  <si>
    <t xml:space="preserve">digestion vessel</t>
  </si>
  <si>
    <t xml:space="preserve">tube, eppendorf</t>
  </si>
  <si>
    <t xml:space="preserve">aminoacids, treatment</t>
  </si>
  <si>
    <t xml:space="preserve">Arginine Starvation</t>
  </si>
  <si>
    <t xml:space="preserve">aa_starvation</t>
  </si>
  <si>
    <t xml:space="preserve">Asparagine Starvation</t>
  </si>
  <si>
    <t xml:space="preserve">Aspartic Starvation</t>
  </si>
  <si>
    <t xml:space="preserve">Cysteine Starvation</t>
  </si>
  <si>
    <t xml:space="preserve">Glutamic Starvation</t>
  </si>
  <si>
    <t xml:space="preserve">Glutamine Starvation</t>
  </si>
  <si>
    <t xml:space="preserve">Glycine Starvation</t>
  </si>
  <si>
    <t xml:space="preserve">Histidine Starvation</t>
  </si>
  <si>
    <t xml:space="preserve">Isoleucine Starvation</t>
  </si>
  <si>
    <t xml:space="preserve">Leucine Starvation</t>
  </si>
  <si>
    <t xml:space="preserve">Lysine Starvation</t>
  </si>
  <si>
    <t xml:space="preserve">Methionine Starvation</t>
  </si>
  <si>
    <t xml:space="preserve">Phenylalanine Starvation</t>
  </si>
  <si>
    <t xml:space="preserve">Proline Starvation</t>
  </si>
  <si>
    <t xml:space="preserve">Serine Starvation</t>
  </si>
  <si>
    <t xml:space="preserve">Threonine Starvation</t>
  </si>
  <si>
    <t xml:space="preserve">Tryptophan Starvation</t>
  </si>
  <si>
    <t xml:space="preserve">Tyrosine Starvation</t>
  </si>
  <si>
    <t xml:space="preserve">Valine Starvation</t>
  </si>
  <si>
    <t xml:space="preserve">5-fluorouracil </t>
  </si>
  <si>
    <t xml:space="preserve">etoposide </t>
  </si>
  <si>
    <t xml:space="preserve">Etoposide </t>
  </si>
  <si>
    <t xml:space="preserve">Etoposide stabilizes the complex between DNA and topoisomerase II,48 leading to the induction of DNA double- strand breaks.</t>
  </si>
  <si>
    <t xml:space="preserve">knockdown_technique</t>
  </si>
  <si>
    <t xml:space="preserve">Gene Engineering</t>
  </si>
  <si>
    <t xml:space="preserve">gene_engineering</t>
  </si>
  <si>
    <t xml:space="preserve">ki</t>
  </si>
  <si>
    <t xml:space="preserve">Stable Exrepssion</t>
  </si>
  <si>
    <t xml:space="preserve">Gene Editing Method</t>
  </si>
  <si>
    <t xml:space="preserve">gene_editing_method</t>
  </si>
  <si>
    <t xml:space="preserve">crispr hdr</t>
  </si>
  <si>
    <t xml:space="preserve">crispr-hdr</t>
  </si>
  <si>
    <t xml:space="preserve">biggybac biggy bac</t>
  </si>
  <si>
    <t xml:space="preserve">lentivrial </t>
  </si>
  <si>
    <t xml:space="preserve">tale talen nuclease</t>
  </si>
  <si>
    <t xml:space="preserve">Zinc-finger nuclease</t>
  </si>
  <si>
    <t xml:space="preserve">Double strand break Frameshift</t>
  </si>
  <si>
    <t xml:space="preserve">Protein mutation</t>
  </si>
  <si>
    <t xml:space="preserve">protein_mutation</t>
  </si>
  <si>
    <t xml:space="preserve">mutation point mutation</t>
  </si>
  <si>
    <t xml:space="preserve">deletion mutation</t>
  </si>
  <si>
    <t xml:space="preserve">truncation mutation delta</t>
  </si>
  <si>
    <t xml:space="preserve">mutation tag flag</t>
  </si>
  <si>
    <t xml:space="preserve">mutation tag HA</t>
  </si>
  <si>
    <t xml:space="preserve">mutation tag myc</t>
  </si>
  <si>
    <t xml:space="preserve">mutation tag GFP</t>
  </si>
  <si>
    <t xml:space="preserve">mutation tag HIS</t>
  </si>
  <si>
    <t xml:space="preserve">n-term</t>
  </si>
  <si>
    <t xml:space="preserve">Protein position</t>
  </si>
  <si>
    <t xml:space="preserve">protein_position</t>
  </si>
  <si>
    <t xml:space="preserve">c-term</t>
  </si>
  <si>
    <t xml:space="preserve">aminoacids</t>
  </si>
  <si>
    <t xml:space="preserve">Amino Acid</t>
  </si>
  <si>
    <t xml:space="preserve">tmt quantification</t>
  </si>
  <si>
    <t xml:space="preserve">tmt_channel</t>
  </si>
  <si>
    <t xml:space="preserve">TMT 11 plex</t>
  </si>
  <si>
    <t xml:space="preserve">TMT 6 plex</t>
  </si>
  <si>
    <t xml:space="preserve">TMT 18 plex Pro</t>
  </si>
  <si>
    <t xml:space="preserve">research group</t>
  </si>
  <si>
    <t xml:space="preserve">Reserach Group</t>
  </si>
  <si>
    <t xml:space="preserve">user_group</t>
  </si>
  <si>
    <t xml:space="preserve">att_user_group</t>
  </si>
  <si>
    <t xml:space="preserve">institute</t>
  </si>
  <si>
    <t xml:space="preserve">user_institute</t>
  </si>
  <si>
    <t xml:space="preserve">Strain</t>
  </si>
  <si>
    <t xml:space="preserve">Description</t>
  </si>
  <si>
    <t xml:space="preserve">STATES</t>
  </si>
  <si>
    <t xml:space="preserve">STOPPED</t>
  </si>
  <si>
    <t xml:space="preserve">PAUSED</t>
  </si>
  <si>
    <t xml:space="preserve">SUBMITTED</t>
  </si>
  <si>
    <t xml:space="preserve">PROCESSED</t>
  </si>
  <si>
    <t xml:space="preserve">MEASURING</t>
  </si>
  <si>
    <t xml:space="preserve">DATA ANALYSIS</t>
  </si>
  <si>
    <t xml:space="preserve">DONE</t>
  </si>
  <si>
    <t xml:space="preserve">PUBLISHED</t>
  </si>
  <si>
    <t xml:space="preserve">If allow_for_state === state, then user is prompted to enter those. If the state is higher all the attributes are available as well</t>
  </si>
</sst>
</file>

<file path=xl/styles.xml><?xml version="1.0" encoding="utf-8"?>
<styleSheet xmlns="http://schemas.openxmlformats.org/spreadsheetml/2006/main">
  <numFmts count="5">
    <numFmt numFmtId="164" formatCode="General"/>
    <numFmt numFmtId="165" formatCode="@"/>
    <numFmt numFmtId="166" formatCode="&quot;TRUE&quot;;&quot;TRUE&quot;;&quot;FALSE&quot;"/>
    <numFmt numFmtId="167" formatCode="General"/>
    <numFmt numFmtId="168" formatCode="dd/mm/yyyy"/>
  </numFmts>
  <fonts count="11">
    <font>
      <sz val="10"/>
      <name val="Arial"/>
      <family val="2"/>
      <charset val="1"/>
    </font>
    <font>
      <sz val="10"/>
      <name val="Arial"/>
      <family val="0"/>
    </font>
    <font>
      <sz val="10"/>
      <name val="Arial"/>
      <family val="0"/>
    </font>
    <font>
      <sz val="10"/>
      <name val="Arial"/>
      <family val="0"/>
    </font>
    <font>
      <sz val="10"/>
      <color rgb="FFC9211E"/>
      <name val="Arial"/>
      <family val="2"/>
      <charset val="1"/>
    </font>
    <font>
      <b val="true"/>
      <i val="true"/>
      <sz val="10"/>
      <color rgb="FFFFFFFF"/>
      <name val="Arial"/>
      <family val="2"/>
      <charset val="1"/>
    </font>
    <font>
      <sz val="10"/>
      <color rgb="FF000000"/>
      <name val="Arial"/>
      <family val="2"/>
      <charset val="1"/>
    </font>
    <font>
      <b val="true"/>
      <i val="true"/>
      <sz val="10"/>
      <name val="Arial"/>
      <family val="2"/>
      <charset val="1"/>
    </font>
    <font>
      <sz val="10"/>
      <color rgb="FFFF0000"/>
      <name val="Arial"/>
      <family val="2"/>
      <charset val="1"/>
    </font>
    <font>
      <sz val="10"/>
      <color rgb="FF333333"/>
      <name val="Arial"/>
      <family val="2"/>
      <charset val="1"/>
    </font>
    <font>
      <sz val="12"/>
      <name val="Arial"/>
      <family val="2"/>
      <charset val="1"/>
    </font>
  </fonts>
  <fills count="3">
    <fill>
      <patternFill patternType="none"/>
    </fill>
    <fill>
      <patternFill patternType="gray125"/>
    </fill>
    <fill>
      <patternFill patternType="solid">
        <fgColor rgb="FF333333"/>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5" fontId="5" fillId="2"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right" vertical="bottom" textRotation="0" wrapText="false" indent="0" shrinkToFit="false"/>
      <protection locked="true" hidden="false"/>
    </xf>
    <xf numFmtId="166" fontId="0" fillId="0" borderId="0" xfId="0" applyFont="true" applyBorder="false" applyAlignment="true" applyProtection="false">
      <alignment horizontal="right"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justify" vertical="bottom" textRotation="0" wrapText="false" indent="0" shrinkToFit="false"/>
      <protection locked="true" hidden="false"/>
    </xf>
    <xf numFmtId="168" fontId="10" fillId="0" borderId="0" xfId="0" applyFont="true" applyBorder="false" applyAlignment="true" applyProtection="false">
      <alignment horizontal="justify"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333333"/>
        </patternFill>
      </fill>
    </dxf>
    <dxf>
      <fill>
        <patternFill patternType="solid">
          <fgColor rgb="00FFFFFF"/>
        </patternFill>
      </fill>
    </dxf>
    <dxf>
      <fill>
        <patternFill patternType="solid">
          <fgColor rgb="FFFFFFFF"/>
        </patternFill>
      </fill>
    </dxf>
    <dxf>
      <fill>
        <patternFill patternType="solid">
          <fgColor rgb="FFC5E0B4"/>
        </patternFill>
      </fill>
    </dxf>
    <dxf>
      <fill>
        <patternFill patternType="solid">
          <fgColor rgb="FFF7F7F7"/>
          <bgColor rgb="FF272727"/>
        </patternFill>
      </fill>
    </dxf>
    <dxf>
      <fill>
        <patternFill>
          <bgColor rgb="FFC5E0B4"/>
        </patternFill>
      </fill>
    </dxf>
    <dxf>
      <font>
        <name val="Arial"/>
        <charset val="1"/>
        <family val="2"/>
      </font>
      <fill>
        <patternFill>
          <bgColor rgb="FFC5E0B4"/>
        </patternFill>
      </fill>
    </dxf>
    <dxf>
      <font>
        <color rgb="FFCC0000"/>
      </font>
    </dxf>
    <dxf>
      <font>
        <color rgb="FFCC0000"/>
      </font>
    </dxf>
    <dxf>
      <font>
        <color rgb="FFCC0000"/>
      </font>
    </dxf>
    <dxf>
      <fill>
        <patternFill patternType="solid">
          <fgColor rgb="FFFF0000"/>
        </patternFill>
      </fill>
    </dxf>
    <dxf>
      <fill>
        <patternFill patternType="solid">
          <fgColor rgb="FFCC0000"/>
        </patternFill>
      </fill>
    </dxf>
    <dxf>
      <font>
        <color rgb="FFCC0000"/>
      </font>
    </dxf>
    <dxf>
      <font>
        <color rgb="FFCC0000"/>
      </font>
    </dxf>
  </dxfs>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83" activePane="bottomLeft" state="frozen"/>
      <selection pane="topLeft" activeCell="A1" activeCellId="0" sqref="A1"/>
      <selection pane="bottomLeft" activeCell="G101" activeCellId="0" sqref="G101"/>
    </sheetView>
  </sheetViews>
  <sheetFormatPr defaultColWidth="10.75" defaultRowHeight="12.75" zeroHeight="false" outlineLevelRow="0" outlineLevelCol="0"/>
  <cols>
    <col collapsed="false" customWidth="true" hidden="false" outlineLevel="0" max="1" min="1" style="0" width="24.6"/>
    <col collapsed="false" customWidth="true" hidden="false" outlineLevel="0" max="2" min="2" style="0" width="24.15"/>
    <col collapsed="false" customWidth="true" hidden="false" outlineLevel="0" max="3" min="3" style="0" width="27.38"/>
    <col collapsed="false" customWidth="true" hidden="false" outlineLevel="0" max="6" min="5" style="1" width="21.39"/>
    <col collapsed="false" customWidth="true" hidden="false" outlineLevel="0" max="7" min="7" style="0" width="11.64"/>
    <col collapsed="false" customWidth="true" hidden="false" outlineLevel="0" max="8" min="8" style="2" width="10.97"/>
    <col collapsed="false" customWidth="true" hidden="false" outlineLevel="0" max="10" min="9" style="3" width="10.67"/>
    <col collapsed="false" customWidth="true" hidden="false" outlineLevel="0" max="13" min="11" style="1" width="15.68"/>
    <col collapsed="false" customWidth="true" hidden="false" outlineLevel="0" max="14" min="14" style="1" width="20.7"/>
    <col collapsed="false" customWidth="true" hidden="false" outlineLevel="0" max="15" min="15" style="1" width="15.68"/>
    <col collapsed="false" customWidth="true" hidden="false" outlineLevel="0" max="16" min="16" style="1" width="19.17"/>
    <col collapsed="false" customWidth="true" hidden="false" outlineLevel="0" max="17" min="17" style="1" width="21.95"/>
    <col collapsed="false" customWidth="true" hidden="false" outlineLevel="0" max="18" min="18" style="0" width="13.17"/>
  </cols>
  <sheetData>
    <row r="1" s="4" customFormat="true" ht="15.65" hidden="false" customHeight="true" outlineLevel="0" collapsed="false">
      <c r="A1" s="4" t="s">
        <v>0</v>
      </c>
      <c r="B1" s="4" t="s">
        <v>1</v>
      </c>
      <c r="C1" s="4" t="s">
        <v>2</v>
      </c>
      <c r="D1" s="4" t="s">
        <v>3</v>
      </c>
      <c r="E1" s="5" t="s">
        <v>4</v>
      </c>
      <c r="F1" s="5" t="s">
        <v>5</v>
      </c>
      <c r="G1" s="4" t="s">
        <v>6</v>
      </c>
      <c r="H1" s="6" t="s">
        <v>7</v>
      </c>
      <c r="I1" s="6" t="s">
        <v>8</v>
      </c>
      <c r="J1" s="6" t="s">
        <v>9</v>
      </c>
      <c r="K1" s="5" t="s">
        <v>10</v>
      </c>
      <c r="L1" s="5" t="s">
        <v>11</v>
      </c>
      <c r="M1" s="5" t="s">
        <v>11</v>
      </c>
      <c r="N1" s="5" t="s">
        <v>12</v>
      </c>
      <c r="O1" s="5" t="s">
        <v>13</v>
      </c>
      <c r="P1" s="5" t="s">
        <v>14</v>
      </c>
      <c r="Q1" s="5" t="s">
        <v>15</v>
      </c>
      <c r="AMD1" s="7"/>
      <c r="AME1" s="7"/>
      <c r="AMF1" s="7"/>
      <c r="AMG1" s="7"/>
      <c r="AMH1" s="0"/>
      <c r="AMI1" s="0"/>
      <c r="AMJ1" s="0"/>
    </row>
    <row r="2" customFormat="false" ht="12.75" hidden="false" customHeight="false" outlineLevel="0" collapsed="false">
      <c r="A2" s="8" t="s">
        <v>16</v>
      </c>
      <c r="B2" s="0" t="s">
        <v>17</v>
      </c>
      <c r="C2" s="0" t="s">
        <v>18</v>
      </c>
      <c r="D2" s="0" t="n">
        <v>500</v>
      </c>
      <c r="E2" s="9" t="s">
        <v>19</v>
      </c>
      <c r="F2" s="9" t="s">
        <v>19</v>
      </c>
      <c r="G2" s="0" t="s">
        <v>20</v>
      </c>
      <c r="H2" s="2" t="n">
        <v>0</v>
      </c>
      <c r="I2" s="10" t="b">
        <v>0</v>
      </c>
      <c r="J2" s="10" t="b">
        <v>0</v>
      </c>
      <c r="K2" s="9" t="s">
        <v>21</v>
      </c>
      <c r="L2" s="9" t="s">
        <v>19</v>
      </c>
      <c r="M2" s="9" t="s">
        <v>19</v>
      </c>
      <c r="N2" s="9" t="s">
        <v>19</v>
      </c>
      <c r="O2" s="9" t="s">
        <v>19</v>
      </c>
      <c r="P2" s="9" t="s">
        <v>21</v>
      </c>
      <c r="Q2" s="9" t="s">
        <v>19</v>
      </c>
    </row>
    <row r="3" customFormat="false" ht="12.75" hidden="false" customHeight="false" outlineLevel="0" collapsed="false">
      <c r="A3" s="8" t="s">
        <v>22</v>
      </c>
      <c r="B3" s="0" t="s">
        <v>23</v>
      </c>
      <c r="C3" s="0" t="s">
        <v>24</v>
      </c>
      <c r="D3" s="0" t="n">
        <v>500</v>
      </c>
      <c r="E3" s="9" t="s">
        <v>19</v>
      </c>
      <c r="F3" s="9" t="s">
        <v>21</v>
      </c>
      <c r="G3" s="0" t="s">
        <v>25</v>
      </c>
      <c r="H3" s="2" t="n">
        <v>2</v>
      </c>
      <c r="I3" s="10" t="b">
        <v>0</v>
      </c>
      <c r="J3" s="10" t="b">
        <v>1</v>
      </c>
      <c r="K3" s="9" t="s">
        <v>21</v>
      </c>
      <c r="L3" s="9" t="s">
        <v>19</v>
      </c>
      <c r="M3" s="9" t="s">
        <v>19</v>
      </c>
      <c r="N3" s="9" t="s">
        <v>19</v>
      </c>
      <c r="O3" s="9" t="s">
        <v>19</v>
      </c>
      <c r="P3" s="9" t="s">
        <v>21</v>
      </c>
      <c r="Q3" s="9" t="s">
        <v>21</v>
      </c>
    </row>
    <row r="4" customFormat="false" ht="12.75" hidden="false" customHeight="false" outlineLevel="0" collapsed="false">
      <c r="A4" s="8" t="s">
        <v>26</v>
      </c>
      <c r="B4" s="8" t="s">
        <v>27</v>
      </c>
      <c r="C4" s="8" t="s">
        <v>28</v>
      </c>
      <c r="D4" s="0" t="n">
        <v>500</v>
      </c>
      <c r="E4" s="9" t="s">
        <v>19</v>
      </c>
      <c r="F4" s="9" t="s">
        <v>19</v>
      </c>
      <c r="G4" s="0" t="s">
        <v>29</v>
      </c>
      <c r="H4" s="2" t="n">
        <v>1</v>
      </c>
      <c r="I4" s="10" t="b">
        <v>0</v>
      </c>
      <c r="J4" s="10" t="b">
        <v>0</v>
      </c>
      <c r="K4" s="9" t="s">
        <v>21</v>
      </c>
      <c r="L4" s="9" t="s">
        <v>19</v>
      </c>
      <c r="M4" s="9" t="s">
        <v>19</v>
      </c>
      <c r="N4" s="9" t="s">
        <v>19</v>
      </c>
      <c r="O4" s="9" t="s">
        <v>19</v>
      </c>
      <c r="P4" s="9" t="s">
        <v>21</v>
      </c>
      <c r="Q4" s="9" t="s">
        <v>19</v>
      </c>
    </row>
    <row r="5" customFormat="false" ht="12.75" hidden="false" customHeight="false" outlineLevel="0" collapsed="false">
      <c r="A5" s="8" t="s">
        <v>30</v>
      </c>
      <c r="B5" s="0" t="s">
        <v>31</v>
      </c>
      <c r="C5" s="0" t="s">
        <v>32</v>
      </c>
      <c r="D5" s="0" t="n">
        <v>500</v>
      </c>
      <c r="E5" s="9" t="s">
        <v>19</v>
      </c>
      <c r="F5" s="9" t="s">
        <v>19</v>
      </c>
      <c r="G5" s="0" t="s">
        <v>33</v>
      </c>
      <c r="H5" s="2" t="n">
        <v>0</v>
      </c>
      <c r="I5" s="10" t="b">
        <v>0</v>
      </c>
      <c r="J5" s="10" t="b">
        <v>0</v>
      </c>
      <c r="K5" s="9" t="s">
        <v>21</v>
      </c>
      <c r="L5" s="9" t="s">
        <v>19</v>
      </c>
      <c r="M5" s="9" t="s">
        <v>19</v>
      </c>
      <c r="N5" s="9" t="s">
        <v>19</v>
      </c>
      <c r="O5" s="9" t="s">
        <v>19</v>
      </c>
      <c r="P5" s="9" t="s">
        <v>21</v>
      </c>
      <c r="Q5" s="9" t="s">
        <v>19</v>
      </c>
    </row>
    <row r="6" customFormat="false" ht="12.75" hidden="false" customHeight="false" outlineLevel="0" collapsed="false">
      <c r="A6" s="0" t="s">
        <v>34</v>
      </c>
      <c r="B6" s="0" t="s">
        <v>17</v>
      </c>
      <c r="C6" s="0" t="s">
        <v>35</v>
      </c>
      <c r="D6" s="0" t="n">
        <v>500</v>
      </c>
      <c r="E6" s="9" t="s">
        <v>19</v>
      </c>
      <c r="F6" s="9" t="s">
        <v>19</v>
      </c>
      <c r="G6" s="0" t="s">
        <v>36</v>
      </c>
      <c r="H6" s="2" t="n">
        <v>0</v>
      </c>
      <c r="I6" s="10" t="b">
        <v>0</v>
      </c>
      <c r="J6" s="10" t="b">
        <v>0</v>
      </c>
      <c r="K6" s="9" t="s">
        <v>21</v>
      </c>
      <c r="L6" s="9" t="s">
        <v>19</v>
      </c>
      <c r="M6" s="9" t="s">
        <v>19</v>
      </c>
      <c r="N6" s="9" t="s">
        <v>19</v>
      </c>
      <c r="O6" s="9" t="s">
        <v>19</v>
      </c>
      <c r="P6" s="9" t="s">
        <v>21</v>
      </c>
      <c r="Q6" s="9" t="s">
        <v>19</v>
      </c>
    </row>
    <row r="7" customFormat="false" ht="12.75" hidden="false" customHeight="false" outlineLevel="0" collapsed="false">
      <c r="A7" s="0" t="s">
        <v>37</v>
      </c>
      <c r="B7" s="0" t="s">
        <v>38</v>
      </c>
      <c r="C7" s="0" t="s">
        <v>39</v>
      </c>
      <c r="D7" s="0" t="n">
        <v>500</v>
      </c>
      <c r="E7" s="9" t="s">
        <v>19</v>
      </c>
      <c r="F7" s="9" t="s">
        <v>21</v>
      </c>
      <c r="G7" s="0" t="s">
        <v>25</v>
      </c>
      <c r="H7" s="2" t="n">
        <v>2</v>
      </c>
      <c r="I7" s="10" t="b">
        <v>0</v>
      </c>
      <c r="J7" s="10" t="b">
        <v>0</v>
      </c>
      <c r="K7" s="9" t="s">
        <v>21</v>
      </c>
      <c r="L7" s="9" t="s">
        <v>19</v>
      </c>
      <c r="M7" s="9" t="s">
        <v>19</v>
      </c>
      <c r="N7" s="9" t="s">
        <v>19</v>
      </c>
      <c r="O7" s="9" t="s">
        <v>21</v>
      </c>
      <c r="P7" s="9" t="s">
        <v>21</v>
      </c>
      <c r="Q7" s="9" t="s">
        <v>21</v>
      </c>
    </row>
    <row r="8" customFormat="false" ht="12.75" hidden="false" customHeight="false" outlineLevel="0" collapsed="false">
      <c r="A8" s="0" t="s">
        <v>40</v>
      </c>
      <c r="B8" s="0" t="s">
        <v>17</v>
      </c>
      <c r="C8" s="0" t="s">
        <v>41</v>
      </c>
      <c r="D8" s="0" t="n">
        <v>500</v>
      </c>
      <c r="E8" s="9" t="s">
        <v>19</v>
      </c>
      <c r="F8" s="9" t="s">
        <v>19</v>
      </c>
      <c r="G8" s="0" t="s">
        <v>42</v>
      </c>
      <c r="H8" s="2" t="n">
        <v>0</v>
      </c>
      <c r="I8" s="10" t="b">
        <v>0</v>
      </c>
      <c r="J8" s="10" t="b">
        <v>1</v>
      </c>
      <c r="K8" s="9" t="s">
        <v>21</v>
      </c>
      <c r="L8" s="9" t="s">
        <v>19</v>
      </c>
      <c r="M8" s="9" t="s">
        <v>19</v>
      </c>
      <c r="N8" s="9" t="s">
        <v>19</v>
      </c>
      <c r="O8" s="9" t="s">
        <v>19</v>
      </c>
      <c r="P8" s="9" t="s">
        <v>21</v>
      </c>
      <c r="Q8" s="9" t="s">
        <v>19</v>
      </c>
    </row>
    <row r="9" customFormat="false" ht="12.75" hidden="false" customHeight="false" outlineLevel="0" collapsed="false">
      <c r="A9" s="0" t="s">
        <v>43</v>
      </c>
      <c r="B9" s="0" t="s">
        <v>17</v>
      </c>
      <c r="C9" s="0" t="s">
        <v>44</v>
      </c>
      <c r="D9" s="0" t="n">
        <v>500</v>
      </c>
      <c r="E9" s="9" t="s">
        <v>19</v>
      </c>
      <c r="F9" s="9" t="s">
        <v>19</v>
      </c>
      <c r="G9" s="0" t="s">
        <v>42</v>
      </c>
      <c r="H9" s="2" t="n">
        <v>0</v>
      </c>
      <c r="I9" s="10" t="b">
        <v>0</v>
      </c>
      <c r="J9" s="10" t="b">
        <v>1</v>
      </c>
      <c r="K9" s="9" t="s">
        <v>21</v>
      </c>
      <c r="L9" s="9" t="s">
        <v>19</v>
      </c>
      <c r="M9" s="9" t="s">
        <v>19</v>
      </c>
      <c r="N9" s="9" t="s">
        <v>19</v>
      </c>
      <c r="O9" s="9" t="s">
        <v>19</v>
      </c>
      <c r="P9" s="9" t="s">
        <v>21</v>
      </c>
      <c r="Q9" s="9" t="s">
        <v>19</v>
      </c>
    </row>
    <row r="10" customFormat="false" ht="12.75" hidden="false" customHeight="false" outlineLevel="0" collapsed="false">
      <c r="A10" s="8" t="s">
        <v>45</v>
      </c>
      <c r="B10" s="0" t="s">
        <v>17</v>
      </c>
      <c r="C10" s="0" t="s">
        <v>46</v>
      </c>
      <c r="D10" s="0" t="n">
        <v>500</v>
      </c>
      <c r="E10" s="9" t="s">
        <v>19</v>
      </c>
      <c r="F10" s="9" t="s">
        <v>21</v>
      </c>
      <c r="G10" s="0" t="s">
        <v>47</v>
      </c>
      <c r="H10" s="2" t="n">
        <v>1</v>
      </c>
      <c r="I10" s="10" t="b">
        <v>0</v>
      </c>
      <c r="J10" s="10" t="b">
        <v>0</v>
      </c>
      <c r="K10" s="9" t="s">
        <v>21</v>
      </c>
      <c r="L10" s="9" t="s">
        <v>19</v>
      </c>
      <c r="M10" s="9" t="s">
        <v>19</v>
      </c>
      <c r="N10" s="9" t="s">
        <v>19</v>
      </c>
      <c r="O10" s="9" t="s">
        <v>19</v>
      </c>
      <c r="P10" s="9" t="s">
        <v>21</v>
      </c>
      <c r="Q10" s="9" t="s">
        <v>19</v>
      </c>
    </row>
    <row r="11" customFormat="false" ht="12.75" hidden="false" customHeight="false" outlineLevel="0" collapsed="false">
      <c r="A11" s="8" t="s">
        <v>48</v>
      </c>
      <c r="B11" s="0" t="s">
        <v>17</v>
      </c>
      <c r="C11" s="0" t="s">
        <v>49</v>
      </c>
      <c r="D11" s="0" t="n">
        <v>500</v>
      </c>
      <c r="E11" s="9" t="s">
        <v>19</v>
      </c>
      <c r="F11" s="9" t="s">
        <v>21</v>
      </c>
      <c r="G11" s="0" t="s">
        <v>47</v>
      </c>
      <c r="H11" s="2" t="n">
        <v>1</v>
      </c>
      <c r="I11" s="10" t="b">
        <v>0</v>
      </c>
      <c r="J11" s="10" t="b">
        <v>0</v>
      </c>
      <c r="K11" s="9" t="s">
        <v>21</v>
      </c>
      <c r="L11" s="9" t="s">
        <v>19</v>
      </c>
      <c r="M11" s="9" t="s">
        <v>19</v>
      </c>
      <c r="N11" s="9" t="s">
        <v>19</v>
      </c>
      <c r="O11" s="9" t="s">
        <v>19</v>
      </c>
      <c r="P11" s="9" t="s">
        <v>21</v>
      </c>
      <c r="Q11" s="9" t="s">
        <v>19</v>
      </c>
    </row>
    <row r="12" customFormat="false" ht="12.75" hidden="false" customHeight="false" outlineLevel="0" collapsed="false">
      <c r="A12" s="8" t="s">
        <v>50</v>
      </c>
      <c r="B12" s="8" t="s">
        <v>22</v>
      </c>
      <c r="C12" s="8" t="s">
        <v>51</v>
      </c>
      <c r="D12" s="0" t="n">
        <v>500</v>
      </c>
      <c r="E12" s="9" t="s">
        <v>19</v>
      </c>
      <c r="F12" s="9" t="s">
        <v>21</v>
      </c>
      <c r="G12" s="0" t="s">
        <v>25</v>
      </c>
      <c r="H12" s="2" t="n">
        <v>2</v>
      </c>
      <c r="I12" s="10" t="b">
        <v>0</v>
      </c>
      <c r="J12" s="10" t="b">
        <v>0</v>
      </c>
      <c r="K12" s="9" t="s">
        <v>21</v>
      </c>
      <c r="L12" s="9" t="s">
        <v>19</v>
      </c>
      <c r="M12" s="9" t="s">
        <v>19</v>
      </c>
      <c r="N12" s="9" t="s">
        <v>19</v>
      </c>
      <c r="O12" s="9" t="s">
        <v>19</v>
      </c>
      <c r="P12" s="9" t="s">
        <v>21</v>
      </c>
      <c r="Q12" s="9" t="s">
        <v>21</v>
      </c>
    </row>
    <row r="13" customFormat="false" ht="12.75" hidden="false" customHeight="false" outlineLevel="0" collapsed="false">
      <c r="A13" s="0" t="s">
        <v>52</v>
      </c>
      <c r="B13" s="0" t="s">
        <v>53</v>
      </c>
      <c r="C13" s="0" t="s">
        <v>54</v>
      </c>
      <c r="D13" s="0" t="n">
        <v>500</v>
      </c>
      <c r="E13" s="9" t="s">
        <v>19</v>
      </c>
      <c r="F13" s="9" t="s">
        <v>21</v>
      </c>
      <c r="G13" s="0" t="s">
        <v>55</v>
      </c>
      <c r="H13" s="2" t="n">
        <v>2</v>
      </c>
      <c r="I13" s="10" t="b">
        <v>0</v>
      </c>
      <c r="J13" s="10" t="b">
        <v>0</v>
      </c>
      <c r="K13" s="9" t="s">
        <v>19</v>
      </c>
      <c r="L13" s="9" t="s">
        <v>19</v>
      </c>
      <c r="M13" s="9" t="s">
        <v>19</v>
      </c>
      <c r="N13" s="9" t="s">
        <v>19</v>
      </c>
      <c r="O13" s="9" t="s">
        <v>21</v>
      </c>
      <c r="P13" s="9" t="s">
        <v>21</v>
      </c>
      <c r="Q13" s="9" t="s">
        <v>21</v>
      </c>
    </row>
    <row r="14" customFormat="false" ht="12.75" hidden="false" customHeight="false" outlineLevel="0" collapsed="false">
      <c r="A14" s="0" t="s">
        <v>56</v>
      </c>
      <c r="B14" s="0" t="s">
        <v>53</v>
      </c>
      <c r="C14" s="0" t="s">
        <v>57</v>
      </c>
      <c r="D14" s="0" t="n">
        <v>500</v>
      </c>
      <c r="E14" s="9" t="s">
        <v>19</v>
      </c>
      <c r="F14" s="9" t="s">
        <v>21</v>
      </c>
      <c r="G14" s="0" t="s">
        <v>55</v>
      </c>
      <c r="H14" s="2" t="n">
        <v>2</v>
      </c>
      <c r="I14" s="10" t="b">
        <v>0</v>
      </c>
      <c r="J14" s="10" t="b">
        <v>0</v>
      </c>
      <c r="K14" s="9" t="s">
        <v>19</v>
      </c>
      <c r="L14" s="9" t="s">
        <v>19</v>
      </c>
      <c r="M14" s="9" t="s">
        <v>19</v>
      </c>
      <c r="N14" s="9" t="s">
        <v>19</v>
      </c>
      <c r="O14" s="9" t="s">
        <v>21</v>
      </c>
      <c r="P14" s="9" t="s">
        <v>21</v>
      </c>
      <c r="Q14" s="9" t="s">
        <v>21</v>
      </c>
    </row>
    <row r="15" customFormat="false" ht="12.75" hidden="false" customHeight="false" outlineLevel="0" collapsed="false">
      <c r="A15" s="0" t="s">
        <v>58</v>
      </c>
      <c r="B15" s="0" t="s">
        <v>53</v>
      </c>
      <c r="C15" s="0" t="s">
        <v>59</v>
      </c>
      <c r="D15" s="0" t="n">
        <v>500</v>
      </c>
      <c r="E15" s="9" t="s">
        <v>19</v>
      </c>
      <c r="F15" s="9" t="s">
        <v>21</v>
      </c>
      <c r="G15" s="0" t="s">
        <v>55</v>
      </c>
      <c r="H15" s="2" t="n">
        <v>2</v>
      </c>
      <c r="I15" s="10" t="b">
        <v>0</v>
      </c>
      <c r="J15" s="10" t="b">
        <v>0</v>
      </c>
      <c r="K15" s="9" t="s">
        <v>19</v>
      </c>
      <c r="L15" s="9" t="s">
        <v>19</v>
      </c>
      <c r="M15" s="9" t="s">
        <v>19</v>
      </c>
      <c r="N15" s="9" t="s">
        <v>19</v>
      </c>
      <c r="O15" s="9" t="s">
        <v>21</v>
      </c>
      <c r="P15" s="9" t="s">
        <v>21</v>
      </c>
      <c r="Q15" s="9" t="s">
        <v>21</v>
      </c>
    </row>
    <row r="16" customFormat="false" ht="12.75" hidden="false" customHeight="false" outlineLevel="0" collapsed="false">
      <c r="A16" s="0" t="s">
        <v>60</v>
      </c>
      <c r="B16" s="0" t="s">
        <v>53</v>
      </c>
      <c r="C16" s="0" t="s">
        <v>61</v>
      </c>
      <c r="D16" s="0" t="n">
        <v>500</v>
      </c>
      <c r="E16" s="9" t="s">
        <v>19</v>
      </c>
      <c r="F16" s="9" t="s">
        <v>21</v>
      </c>
      <c r="G16" s="0" t="s">
        <v>55</v>
      </c>
      <c r="H16" s="2" t="n">
        <v>2</v>
      </c>
      <c r="I16" s="10" t="b">
        <v>0</v>
      </c>
      <c r="J16" s="10" t="b">
        <v>0</v>
      </c>
      <c r="K16" s="9" t="s">
        <v>19</v>
      </c>
      <c r="L16" s="9" t="s">
        <v>19</v>
      </c>
      <c r="M16" s="9" t="s">
        <v>19</v>
      </c>
      <c r="N16" s="9" t="s">
        <v>19</v>
      </c>
      <c r="O16" s="9" t="s">
        <v>19</v>
      </c>
      <c r="P16" s="9" t="s">
        <v>21</v>
      </c>
      <c r="Q16" s="9" t="s">
        <v>21</v>
      </c>
    </row>
    <row r="17" customFormat="false" ht="12.75" hidden="false" customHeight="false" outlineLevel="0" collapsed="false">
      <c r="A17" s="0" t="s">
        <v>62</v>
      </c>
      <c r="B17" s="0" t="s">
        <v>53</v>
      </c>
      <c r="C17" s="0" t="s">
        <v>63</v>
      </c>
      <c r="D17" s="0" t="n">
        <v>500</v>
      </c>
      <c r="E17" s="9" t="s">
        <v>19</v>
      </c>
      <c r="F17" s="9" t="s">
        <v>21</v>
      </c>
      <c r="G17" s="0" t="s">
        <v>55</v>
      </c>
      <c r="H17" s="2" t="n">
        <v>2</v>
      </c>
      <c r="I17" s="10" t="b">
        <v>0</v>
      </c>
      <c r="J17" s="10" t="b">
        <v>0</v>
      </c>
      <c r="K17" s="9" t="s">
        <v>19</v>
      </c>
      <c r="L17" s="9" t="s">
        <v>19</v>
      </c>
      <c r="M17" s="9" t="s">
        <v>19</v>
      </c>
      <c r="N17" s="9" t="s">
        <v>19</v>
      </c>
      <c r="O17" s="9" t="s">
        <v>21</v>
      </c>
      <c r="P17" s="9" t="s">
        <v>21</v>
      </c>
      <c r="Q17" s="9" t="s">
        <v>21</v>
      </c>
    </row>
    <row r="18" customFormat="false" ht="12.75" hidden="false" customHeight="false" outlineLevel="0" collapsed="false">
      <c r="A18" s="0" t="s">
        <v>64</v>
      </c>
      <c r="B18" s="0" t="s">
        <v>53</v>
      </c>
      <c r="C18" s="0" t="s">
        <v>65</v>
      </c>
      <c r="D18" s="0" t="n">
        <v>500</v>
      </c>
      <c r="E18" s="9" t="s">
        <v>19</v>
      </c>
      <c r="F18" s="9" t="s">
        <v>21</v>
      </c>
      <c r="G18" s="0" t="s">
        <v>55</v>
      </c>
      <c r="H18" s="2" t="n">
        <v>2</v>
      </c>
      <c r="I18" s="10" t="b">
        <v>0</v>
      </c>
      <c r="J18" s="10" t="b">
        <v>0</v>
      </c>
      <c r="K18" s="9" t="s">
        <v>19</v>
      </c>
      <c r="L18" s="9" t="s">
        <v>19</v>
      </c>
      <c r="M18" s="9" t="s">
        <v>19</v>
      </c>
      <c r="N18" s="9" t="s">
        <v>19</v>
      </c>
      <c r="O18" s="9" t="s">
        <v>21</v>
      </c>
      <c r="P18" s="9" t="s">
        <v>21</v>
      </c>
      <c r="Q18" s="9" t="s">
        <v>21</v>
      </c>
    </row>
    <row r="19" customFormat="false" ht="12.75" hidden="false" customHeight="false" outlineLevel="0" collapsed="false">
      <c r="A19" s="0" t="s">
        <v>66</v>
      </c>
      <c r="B19" s="0" t="s">
        <v>53</v>
      </c>
      <c r="C19" s="0" t="s">
        <v>67</v>
      </c>
      <c r="D19" s="0" t="n">
        <v>500</v>
      </c>
      <c r="E19" s="9" t="s">
        <v>19</v>
      </c>
      <c r="F19" s="9" t="s">
        <v>21</v>
      </c>
      <c r="G19" s="0" t="s">
        <v>55</v>
      </c>
      <c r="H19" s="2" t="n">
        <v>2</v>
      </c>
      <c r="I19" s="10" t="b">
        <v>0</v>
      </c>
      <c r="J19" s="10" t="b">
        <v>0</v>
      </c>
      <c r="K19" s="9" t="s">
        <v>19</v>
      </c>
      <c r="L19" s="9" t="s">
        <v>19</v>
      </c>
      <c r="M19" s="9" t="s">
        <v>19</v>
      </c>
      <c r="N19" s="9" t="s">
        <v>19</v>
      </c>
      <c r="O19" s="9" t="s">
        <v>21</v>
      </c>
      <c r="P19" s="9" t="s">
        <v>21</v>
      </c>
      <c r="Q19" s="9" t="s">
        <v>21</v>
      </c>
    </row>
    <row r="20" customFormat="false" ht="12.75" hidden="false" customHeight="false" outlineLevel="0" collapsed="false">
      <c r="A20" s="0" t="s">
        <v>53</v>
      </c>
      <c r="B20" s="0" t="s">
        <v>17</v>
      </c>
      <c r="C20" s="0" t="s">
        <v>68</v>
      </c>
      <c r="D20" s="0" t="n">
        <v>500</v>
      </c>
      <c r="E20" s="9" t="s">
        <v>19</v>
      </c>
      <c r="F20" s="9" t="s">
        <v>19</v>
      </c>
      <c r="G20" s="0" t="s">
        <v>55</v>
      </c>
      <c r="H20" s="2" t="n">
        <v>2</v>
      </c>
      <c r="I20" s="10" t="b">
        <v>0</v>
      </c>
      <c r="J20" s="10" t="b">
        <v>0</v>
      </c>
      <c r="K20" s="9" t="s">
        <v>21</v>
      </c>
      <c r="L20" s="9" t="s">
        <v>19</v>
      </c>
      <c r="M20" s="9" t="s">
        <v>19</v>
      </c>
      <c r="N20" s="9" t="s">
        <v>19</v>
      </c>
      <c r="O20" s="9" t="s">
        <v>21</v>
      </c>
      <c r="P20" s="9" t="s">
        <v>21</v>
      </c>
      <c r="Q20" s="9" t="s">
        <v>21</v>
      </c>
    </row>
    <row r="21" customFormat="false" ht="12.75" hidden="false" customHeight="false" outlineLevel="0" collapsed="false">
      <c r="A21" s="8" t="s">
        <v>69</v>
      </c>
      <c r="B21" s="0" t="s">
        <v>17</v>
      </c>
      <c r="C21" s="0" t="s">
        <v>70</v>
      </c>
      <c r="D21" s="0" t="n">
        <v>500</v>
      </c>
      <c r="E21" s="9" t="s">
        <v>19</v>
      </c>
      <c r="F21" s="9" t="s">
        <v>19</v>
      </c>
      <c r="G21" s="0" t="s">
        <v>20</v>
      </c>
      <c r="H21" s="2" t="n">
        <v>0</v>
      </c>
      <c r="I21" s="10" t="b">
        <v>0</v>
      </c>
      <c r="J21" s="10" t="b">
        <v>0</v>
      </c>
      <c r="K21" s="9" t="s">
        <v>21</v>
      </c>
      <c r="L21" s="9" t="s">
        <v>19</v>
      </c>
      <c r="M21" s="9" t="s">
        <v>19</v>
      </c>
      <c r="N21" s="9" t="s">
        <v>19</v>
      </c>
      <c r="O21" s="9" t="s">
        <v>19</v>
      </c>
      <c r="P21" s="9" t="s">
        <v>21</v>
      </c>
      <c r="Q21" s="9" t="s">
        <v>19</v>
      </c>
    </row>
    <row r="22" customFormat="false" ht="12.75" hidden="false" customHeight="false" outlineLevel="0" collapsed="false">
      <c r="A22" s="8" t="s">
        <v>71</v>
      </c>
      <c r="B22" s="0" t="s">
        <v>17</v>
      </c>
      <c r="C22" s="0" t="s">
        <v>72</v>
      </c>
      <c r="D22" s="0" t="n">
        <v>500</v>
      </c>
      <c r="E22" s="9" t="s">
        <v>19</v>
      </c>
      <c r="F22" s="9" t="s">
        <v>19</v>
      </c>
      <c r="G22" s="0" t="s">
        <v>20</v>
      </c>
      <c r="H22" s="2" t="n">
        <v>0</v>
      </c>
      <c r="I22" s="10" t="b">
        <v>0</v>
      </c>
      <c r="J22" s="10" t="b">
        <v>0</v>
      </c>
      <c r="K22" s="9" t="s">
        <v>21</v>
      </c>
      <c r="L22" s="9" t="s">
        <v>19</v>
      </c>
      <c r="M22" s="9" t="s">
        <v>19</v>
      </c>
      <c r="N22" s="9" t="s">
        <v>19</v>
      </c>
      <c r="O22" s="9" t="s">
        <v>19</v>
      </c>
      <c r="P22" s="9" t="s">
        <v>21</v>
      </c>
      <c r="Q22" s="9" t="s">
        <v>19</v>
      </c>
    </row>
    <row r="23" customFormat="false" ht="12.75" hidden="false" customHeight="false" outlineLevel="0" collapsed="false">
      <c r="A23" s="8" t="s">
        <v>73</v>
      </c>
      <c r="B23" s="0" t="s">
        <v>17</v>
      </c>
      <c r="C23" s="0" t="s">
        <v>74</v>
      </c>
      <c r="D23" s="0" t="n">
        <v>500</v>
      </c>
      <c r="E23" s="9" t="s">
        <v>19</v>
      </c>
      <c r="F23" s="9" t="s">
        <v>19</v>
      </c>
      <c r="G23" s="0" t="s">
        <v>20</v>
      </c>
      <c r="H23" s="2" t="n">
        <v>0</v>
      </c>
      <c r="I23" s="10" t="b">
        <v>0</v>
      </c>
      <c r="J23" s="10" t="b">
        <v>0</v>
      </c>
      <c r="K23" s="9" t="s">
        <v>21</v>
      </c>
      <c r="L23" s="9" t="s">
        <v>19</v>
      </c>
      <c r="M23" s="9" t="s">
        <v>19</v>
      </c>
      <c r="N23" s="9" t="s">
        <v>19</v>
      </c>
      <c r="O23" s="9" t="s">
        <v>19</v>
      </c>
      <c r="P23" s="9" t="s">
        <v>21</v>
      </c>
      <c r="Q23" s="9" t="s">
        <v>19</v>
      </c>
    </row>
    <row r="24" customFormat="false" ht="12.75" hidden="false" customHeight="false" outlineLevel="0" collapsed="false">
      <c r="A24" s="8" t="s">
        <v>75</v>
      </c>
      <c r="B24" s="0" t="s">
        <v>17</v>
      </c>
      <c r="C24" s="0" t="s">
        <v>76</v>
      </c>
      <c r="D24" s="0" t="n">
        <v>500</v>
      </c>
      <c r="E24" s="9" t="s">
        <v>19</v>
      </c>
      <c r="F24" s="9" t="s">
        <v>19</v>
      </c>
      <c r="G24" s="0" t="s">
        <v>20</v>
      </c>
      <c r="H24" s="2" t="n">
        <v>0</v>
      </c>
      <c r="I24" s="10" t="b">
        <v>0</v>
      </c>
      <c r="J24" s="10" t="b">
        <v>0</v>
      </c>
      <c r="K24" s="9" t="s">
        <v>21</v>
      </c>
      <c r="L24" s="9" t="s">
        <v>19</v>
      </c>
      <c r="M24" s="9" t="s">
        <v>19</v>
      </c>
      <c r="N24" s="9" t="s">
        <v>19</v>
      </c>
      <c r="O24" s="9" t="s">
        <v>19</v>
      </c>
      <c r="P24" s="9" t="s">
        <v>21</v>
      </c>
      <c r="Q24" s="9" t="s">
        <v>19</v>
      </c>
    </row>
    <row r="25" customFormat="false" ht="12.75" hidden="false" customHeight="false" outlineLevel="0" collapsed="false">
      <c r="A25" s="8" t="s">
        <v>77</v>
      </c>
      <c r="B25" s="0" t="s">
        <v>17</v>
      </c>
      <c r="C25" s="0" t="s">
        <v>78</v>
      </c>
      <c r="D25" s="0" t="n">
        <v>500</v>
      </c>
      <c r="E25" s="9" t="s">
        <v>19</v>
      </c>
      <c r="F25" s="9" t="s">
        <v>19</v>
      </c>
      <c r="G25" s="0" t="s">
        <v>20</v>
      </c>
      <c r="H25" s="2" t="n">
        <v>0</v>
      </c>
      <c r="I25" s="10" t="b">
        <v>0</v>
      </c>
      <c r="J25" s="10" t="b">
        <v>0</v>
      </c>
      <c r="K25" s="9" t="s">
        <v>21</v>
      </c>
      <c r="L25" s="9" t="s">
        <v>19</v>
      </c>
      <c r="M25" s="9" t="s">
        <v>19</v>
      </c>
      <c r="N25" s="9" t="s">
        <v>19</v>
      </c>
      <c r="O25" s="9" t="s">
        <v>19</v>
      </c>
      <c r="P25" s="9" t="s">
        <v>21</v>
      </c>
      <c r="Q25" s="9" t="s">
        <v>19</v>
      </c>
    </row>
    <row r="26" customFormat="false" ht="12.75" hidden="false" customHeight="false" outlineLevel="0" collapsed="false">
      <c r="A26" s="0" t="s">
        <v>79</v>
      </c>
      <c r="B26" s="0" t="s">
        <v>17</v>
      </c>
      <c r="C26" s="0" t="s">
        <v>80</v>
      </c>
      <c r="D26" s="0" t="n">
        <v>500</v>
      </c>
      <c r="E26" s="9" t="s">
        <v>19</v>
      </c>
      <c r="F26" s="9" t="s">
        <v>19</v>
      </c>
      <c r="G26" s="0" t="s">
        <v>81</v>
      </c>
      <c r="H26" s="2" t="n">
        <v>0</v>
      </c>
      <c r="I26" s="10" t="b">
        <v>0</v>
      </c>
      <c r="J26" s="10" t="b">
        <v>0</v>
      </c>
      <c r="K26" s="9" t="s">
        <v>21</v>
      </c>
      <c r="L26" s="9" t="s">
        <v>19</v>
      </c>
      <c r="M26" s="9" t="s">
        <v>19</v>
      </c>
      <c r="N26" s="9" t="s">
        <v>19</v>
      </c>
      <c r="O26" s="9" t="s">
        <v>19</v>
      </c>
      <c r="P26" s="9" t="s">
        <v>21</v>
      </c>
      <c r="Q26" s="9" t="s">
        <v>19</v>
      </c>
    </row>
    <row r="27" customFormat="false" ht="12.75" hidden="false" customHeight="false" outlineLevel="0" collapsed="false">
      <c r="A27" s="0" t="s">
        <v>82</v>
      </c>
      <c r="B27" s="0" t="s">
        <v>17</v>
      </c>
      <c r="C27" s="0" t="s">
        <v>83</v>
      </c>
      <c r="D27" s="0" t="n">
        <v>500</v>
      </c>
      <c r="E27" s="9" t="s">
        <v>19</v>
      </c>
      <c r="F27" s="9" t="s">
        <v>19</v>
      </c>
      <c r="G27" s="0" t="s">
        <v>81</v>
      </c>
      <c r="H27" s="2" t="n">
        <v>0</v>
      </c>
      <c r="I27" s="10" t="b">
        <v>0</v>
      </c>
      <c r="J27" s="10" t="b">
        <v>0</v>
      </c>
      <c r="K27" s="9" t="s">
        <v>21</v>
      </c>
      <c r="L27" s="9" t="s">
        <v>19</v>
      </c>
      <c r="M27" s="9" t="s">
        <v>19</v>
      </c>
      <c r="N27" s="9" t="s">
        <v>19</v>
      </c>
      <c r="O27" s="9" t="s">
        <v>19</v>
      </c>
      <c r="P27" s="9" t="s">
        <v>21</v>
      </c>
      <c r="Q27" s="9" t="s">
        <v>19</v>
      </c>
    </row>
    <row r="28" customFormat="false" ht="12.75" hidden="false" customHeight="false" outlineLevel="0" collapsed="false">
      <c r="A28" s="8" t="s">
        <v>84</v>
      </c>
      <c r="B28" s="0" t="s">
        <v>17</v>
      </c>
      <c r="C28" s="0" t="s">
        <v>85</v>
      </c>
      <c r="D28" s="0" t="n">
        <v>500</v>
      </c>
      <c r="E28" s="9" t="s">
        <v>19</v>
      </c>
      <c r="F28" s="9" t="s">
        <v>19</v>
      </c>
      <c r="G28" s="0" t="s">
        <v>81</v>
      </c>
      <c r="H28" s="2" t="n">
        <v>0</v>
      </c>
      <c r="I28" s="10" t="b">
        <v>0</v>
      </c>
      <c r="J28" s="10" t="b">
        <v>0</v>
      </c>
      <c r="K28" s="9" t="s">
        <v>21</v>
      </c>
      <c r="L28" s="9" t="s">
        <v>19</v>
      </c>
      <c r="M28" s="9" t="s">
        <v>19</v>
      </c>
      <c r="N28" s="9" t="s">
        <v>19</v>
      </c>
      <c r="O28" s="9" t="s">
        <v>19</v>
      </c>
      <c r="P28" s="9" t="s">
        <v>21</v>
      </c>
      <c r="Q28" s="9" t="s">
        <v>19</v>
      </c>
    </row>
    <row r="29" customFormat="false" ht="12.75" hidden="false" customHeight="false" outlineLevel="0" collapsed="false">
      <c r="A29" s="0" t="s">
        <v>86</v>
      </c>
      <c r="B29" s="0" t="s">
        <v>17</v>
      </c>
      <c r="C29" s="0" t="s">
        <v>87</v>
      </c>
      <c r="D29" s="0" t="n">
        <v>500</v>
      </c>
      <c r="E29" s="9" t="s">
        <v>19</v>
      </c>
      <c r="F29" s="9" t="s">
        <v>19</v>
      </c>
      <c r="G29" s="0" t="s">
        <v>81</v>
      </c>
      <c r="H29" s="2" t="n">
        <v>0</v>
      </c>
      <c r="I29" s="10" t="b">
        <v>0</v>
      </c>
      <c r="J29" s="10" t="b">
        <v>0</v>
      </c>
      <c r="K29" s="9" t="s">
        <v>21</v>
      </c>
      <c r="L29" s="9" t="s">
        <v>19</v>
      </c>
      <c r="M29" s="9" t="s">
        <v>19</v>
      </c>
      <c r="N29" s="9" t="s">
        <v>19</v>
      </c>
      <c r="O29" s="9" t="s">
        <v>19</v>
      </c>
      <c r="P29" s="9" t="s">
        <v>21</v>
      </c>
      <c r="Q29" s="9" t="s">
        <v>19</v>
      </c>
    </row>
    <row r="30" customFormat="false" ht="12.75" hidden="false" customHeight="false" outlineLevel="0" collapsed="false">
      <c r="A30" s="8" t="s">
        <v>88</v>
      </c>
      <c r="B30" s="8" t="s">
        <v>22</v>
      </c>
      <c r="C30" s="8" t="s">
        <v>89</v>
      </c>
      <c r="D30" s="0" t="n">
        <v>500</v>
      </c>
      <c r="E30" s="9" t="s">
        <v>19</v>
      </c>
      <c r="F30" s="9" t="s">
        <v>21</v>
      </c>
      <c r="G30" s="0" t="s">
        <v>25</v>
      </c>
      <c r="H30" s="2" t="n">
        <v>2</v>
      </c>
      <c r="I30" s="10" t="b">
        <v>0</v>
      </c>
      <c r="J30" s="10" t="b">
        <v>0</v>
      </c>
      <c r="K30" s="9" t="s">
        <v>21</v>
      </c>
      <c r="L30" s="9" t="s">
        <v>19</v>
      </c>
      <c r="M30" s="9" t="s">
        <v>19</v>
      </c>
      <c r="N30" s="9" t="s">
        <v>19</v>
      </c>
      <c r="O30" s="9" t="s">
        <v>19</v>
      </c>
      <c r="P30" s="9" t="s">
        <v>21</v>
      </c>
      <c r="Q30" s="9" t="s">
        <v>21</v>
      </c>
    </row>
    <row r="31" customFormat="false" ht="12.75" hidden="false" customHeight="false" outlineLevel="0" collapsed="false">
      <c r="A31" s="8" t="s">
        <v>90</v>
      </c>
      <c r="B31" s="8" t="s">
        <v>91</v>
      </c>
      <c r="C31" s="8" t="s">
        <v>92</v>
      </c>
      <c r="D31" s="0" t="n">
        <v>500</v>
      </c>
      <c r="E31" s="9" t="s">
        <v>19</v>
      </c>
      <c r="F31" s="9" t="s">
        <v>19</v>
      </c>
      <c r="G31" s="0" t="s">
        <v>93</v>
      </c>
      <c r="H31" s="2" t="n">
        <v>1</v>
      </c>
      <c r="I31" s="10" t="b">
        <v>0</v>
      </c>
      <c r="J31" s="10" t="b">
        <v>0</v>
      </c>
      <c r="K31" s="9" t="s">
        <v>21</v>
      </c>
      <c r="L31" s="9" t="s">
        <v>19</v>
      </c>
      <c r="M31" s="9" t="s">
        <v>19</v>
      </c>
      <c r="N31" s="9" t="s">
        <v>19</v>
      </c>
      <c r="O31" s="9" t="s">
        <v>19</v>
      </c>
      <c r="P31" s="9" t="s">
        <v>21</v>
      </c>
      <c r="Q31" s="9" t="s">
        <v>19</v>
      </c>
    </row>
    <row r="32" customFormat="false" ht="12.75" hidden="false" customHeight="false" outlineLevel="0" collapsed="false">
      <c r="A32" s="8" t="s">
        <v>94</v>
      </c>
      <c r="B32" s="8" t="s">
        <v>95</v>
      </c>
      <c r="C32" s="8" t="s">
        <v>96</v>
      </c>
      <c r="D32" s="0" t="n">
        <v>500</v>
      </c>
      <c r="E32" s="9" t="s">
        <v>19</v>
      </c>
      <c r="F32" s="9" t="s">
        <v>21</v>
      </c>
      <c r="G32" s="0" t="s">
        <v>25</v>
      </c>
      <c r="H32" s="2" t="n">
        <v>2</v>
      </c>
      <c r="I32" s="10" t="b">
        <v>0</v>
      </c>
      <c r="J32" s="10" t="b">
        <v>0</v>
      </c>
      <c r="K32" s="9" t="s">
        <v>21</v>
      </c>
      <c r="L32" s="9" t="s">
        <v>19</v>
      </c>
      <c r="M32" s="9" t="s">
        <v>19</v>
      </c>
      <c r="N32" s="9" t="s">
        <v>19</v>
      </c>
      <c r="O32" s="9" t="s">
        <v>19</v>
      </c>
      <c r="P32" s="9" t="s">
        <v>21</v>
      </c>
      <c r="Q32" s="9" t="s">
        <v>21</v>
      </c>
    </row>
    <row r="33" customFormat="false" ht="12.75" hidden="false" customHeight="false" outlineLevel="0" collapsed="false">
      <c r="A33" s="8" t="s">
        <v>97</v>
      </c>
      <c r="B33" s="8" t="s">
        <v>95</v>
      </c>
      <c r="C33" s="8" t="s">
        <v>98</v>
      </c>
      <c r="D33" s="0" t="n">
        <v>500</v>
      </c>
      <c r="E33" s="9" t="s">
        <v>19</v>
      </c>
      <c r="F33" s="9" t="s">
        <v>21</v>
      </c>
      <c r="G33" s="0" t="s">
        <v>25</v>
      </c>
      <c r="H33" s="2" t="n">
        <v>2</v>
      </c>
      <c r="I33" s="10" t="b">
        <v>0</v>
      </c>
      <c r="J33" s="10" t="b">
        <v>0</v>
      </c>
      <c r="K33" s="9" t="s">
        <v>21</v>
      </c>
      <c r="L33" s="9" t="s">
        <v>19</v>
      </c>
      <c r="M33" s="9" t="s">
        <v>19</v>
      </c>
      <c r="N33" s="9" t="s">
        <v>19</v>
      </c>
      <c r="O33" s="9" t="s">
        <v>19</v>
      </c>
      <c r="P33" s="9" t="s">
        <v>21</v>
      </c>
      <c r="Q33" s="9" t="s">
        <v>21</v>
      </c>
    </row>
    <row r="34" customFormat="false" ht="12.75" hidden="false" customHeight="false" outlineLevel="0" collapsed="false">
      <c r="A34" s="8" t="s">
        <v>95</v>
      </c>
      <c r="B34" s="8" t="s">
        <v>22</v>
      </c>
      <c r="C34" s="8" t="s">
        <v>99</v>
      </c>
      <c r="D34" s="0" t="n">
        <v>500</v>
      </c>
      <c r="E34" s="9" t="s">
        <v>19</v>
      </c>
      <c r="F34" s="9" t="s">
        <v>21</v>
      </c>
      <c r="G34" s="0" t="s">
        <v>25</v>
      </c>
      <c r="H34" s="2" t="n">
        <v>2</v>
      </c>
      <c r="I34" s="10" t="b">
        <v>0</v>
      </c>
      <c r="J34" s="10" t="b">
        <v>0</v>
      </c>
      <c r="K34" s="9" t="s">
        <v>21</v>
      </c>
      <c r="L34" s="9" t="s">
        <v>19</v>
      </c>
      <c r="M34" s="9" t="s">
        <v>19</v>
      </c>
      <c r="N34" s="9" t="s">
        <v>19</v>
      </c>
      <c r="O34" s="9" t="s">
        <v>19</v>
      </c>
      <c r="P34" s="9" t="s">
        <v>21</v>
      </c>
      <c r="Q34" s="9" t="s">
        <v>21</v>
      </c>
    </row>
    <row r="35" customFormat="false" ht="12.75" hidden="false" customHeight="false" outlineLevel="0" collapsed="false">
      <c r="A35" s="8" t="s">
        <v>27</v>
      </c>
      <c r="B35" s="0" t="s">
        <v>17</v>
      </c>
      <c r="C35" s="0" t="s">
        <v>100</v>
      </c>
      <c r="D35" s="0" t="n">
        <v>500</v>
      </c>
      <c r="E35" s="9" t="s">
        <v>19</v>
      </c>
      <c r="F35" s="9" t="s">
        <v>19</v>
      </c>
      <c r="G35" s="0" t="s">
        <v>29</v>
      </c>
      <c r="H35" s="2" t="n">
        <v>1</v>
      </c>
      <c r="I35" s="10" t="b">
        <v>0</v>
      </c>
      <c r="J35" s="10" t="b">
        <v>1</v>
      </c>
      <c r="K35" s="9" t="s">
        <v>21</v>
      </c>
      <c r="L35" s="9" t="s">
        <v>19</v>
      </c>
      <c r="M35" s="9" t="s">
        <v>19</v>
      </c>
      <c r="N35" s="9" t="s">
        <v>19</v>
      </c>
      <c r="O35" s="9" t="s">
        <v>19</v>
      </c>
      <c r="P35" s="9" t="s">
        <v>21</v>
      </c>
      <c r="Q35" s="9" t="s">
        <v>19</v>
      </c>
    </row>
    <row r="36" customFormat="false" ht="12.75" hidden="false" customHeight="false" outlineLevel="0" collapsed="false">
      <c r="A36" s="8" t="s">
        <v>101</v>
      </c>
      <c r="B36" s="8" t="s">
        <v>27</v>
      </c>
      <c r="C36" s="8" t="s">
        <v>102</v>
      </c>
      <c r="D36" s="0" t="n">
        <v>500</v>
      </c>
      <c r="E36" s="9" t="s">
        <v>19</v>
      </c>
      <c r="F36" s="9" t="s">
        <v>21</v>
      </c>
      <c r="G36" s="0" t="s">
        <v>29</v>
      </c>
      <c r="H36" s="2" t="n">
        <v>1</v>
      </c>
      <c r="I36" s="10" t="b">
        <v>0</v>
      </c>
      <c r="J36" s="10" t="b">
        <v>0</v>
      </c>
      <c r="K36" s="9" t="s">
        <v>21</v>
      </c>
      <c r="L36" s="9" t="s">
        <v>19</v>
      </c>
      <c r="M36" s="9" t="s">
        <v>19</v>
      </c>
      <c r="N36" s="9" t="s">
        <v>19</v>
      </c>
      <c r="O36" s="9" t="s">
        <v>19</v>
      </c>
      <c r="P36" s="9" t="s">
        <v>21</v>
      </c>
      <c r="Q36" s="9" t="s">
        <v>19</v>
      </c>
    </row>
    <row r="37" customFormat="false" ht="12.75" hidden="false" customHeight="false" outlineLevel="0" collapsed="false">
      <c r="A37" s="8" t="s">
        <v>103</v>
      </c>
      <c r="B37" s="8" t="s">
        <v>27</v>
      </c>
      <c r="C37" s="8" t="s">
        <v>104</v>
      </c>
      <c r="D37" s="0" t="n">
        <v>500</v>
      </c>
      <c r="E37" s="9" t="s">
        <v>19</v>
      </c>
      <c r="F37" s="9" t="s">
        <v>21</v>
      </c>
      <c r="G37" s="0" t="s">
        <v>29</v>
      </c>
      <c r="H37" s="2" t="n">
        <v>1</v>
      </c>
      <c r="I37" s="10" t="b">
        <v>0</v>
      </c>
      <c r="J37" s="10" t="b">
        <v>0</v>
      </c>
      <c r="K37" s="9" t="s">
        <v>21</v>
      </c>
      <c r="L37" s="9" t="s">
        <v>19</v>
      </c>
      <c r="M37" s="9" t="s">
        <v>19</v>
      </c>
      <c r="N37" s="9" t="s">
        <v>19</v>
      </c>
      <c r="O37" s="9" t="s">
        <v>19</v>
      </c>
      <c r="P37" s="9" t="s">
        <v>21</v>
      </c>
      <c r="Q37" s="9" t="s">
        <v>19</v>
      </c>
    </row>
    <row r="38" customFormat="false" ht="12.75" hidden="false" customHeight="false" outlineLevel="0" collapsed="false">
      <c r="A38" s="8" t="s">
        <v>105</v>
      </c>
      <c r="B38" s="8" t="s">
        <v>27</v>
      </c>
      <c r="C38" s="8" t="s">
        <v>106</v>
      </c>
      <c r="D38" s="0" t="n">
        <v>500</v>
      </c>
      <c r="E38" s="9" t="s">
        <v>19</v>
      </c>
      <c r="F38" s="9" t="s">
        <v>19</v>
      </c>
      <c r="G38" s="0" t="s">
        <v>29</v>
      </c>
      <c r="H38" s="2" t="n">
        <v>1</v>
      </c>
      <c r="I38" s="10" t="b">
        <v>0</v>
      </c>
      <c r="J38" s="10" t="b">
        <v>0</v>
      </c>
      <c r="K38" s="9" t="s">
        <v>21</v>
      </c>
      <c r="L38" s="9" t="s">
        <v>19</v>
      </c>
      <c r="M38" s="9" t="s">
        <v>19</v>
      </c>
      <c r="N38" s="9" t="s">
        <v>19</v>
      </c>
      <c r="O38" s="9" t="s">
        <v>19</v>
      </c>
      <c r="P38" s="9" t="s">
        <v>21</v>
      </c>
      <c r="Q38" s="9" t="s">
        <v>19</v>
      </c>
    </row>
    <row r="39" customFormat="false" ht="12.75" hidden="false" customHeight="false" outlineLevel="0" collapsed="false">
      <c r="A39" s="8" t="s">
        <v>107</v>
      </c>
      <c r="B39" s="8" t="s">
        <v>105</v>
      </c>
      <c r="C39" s="8" t="s">
        <v>108</v>
      </c>
      <c r="D39" s="0" t="n">
        <v>500</v>
      </c>
      <c r="E39" s="9" t="s">
        <v>19</v>
      </c>
      <c r="F39" s="9" t="s">
        <v>19</v>
      </c>
      <c r="G39" s="0" t="s">
        <v>29</v>
      </c>
      <c r="H39" s="2" t="n">
        <v>1</v>
      </c>
      <c r="I39" s="10" t="b">
        <v>0</v>
      </c>
      <c r="J39" s="10" t="b">
        <v>0</v>
      </c>
      <c r="K39" s="9" t="s">
        <v>21</v>
      </c>
      <c r="L39" s="9" t="s">
        <v>19</v>
      </c>
      <c r="M39" s="9" t="s">
        <v>19</v>
      </c>
      <c r="N39" s="9" t="s">
        <v>19</v>
      </c>
      <c r="O39" s="9" t="s">
        <v>19</v>
      </c>
      <c r="P39" s="9" t="s">
        <v>21</v>
      </c>
      <c r="Q39" s="9" t="s">
        <v>19</v>
      </c>
    </row>
    <row r="40" customFormat="false" ht="12.75" hidden="false" customHeight="false" outlineLevel="0" collapsed="false">
      <c r="A40" s="0" t="s">
        <v>109</v>
      </c>
      <c r="B40" s="0" t="s">
        <v>17</v>
      </c>
      <c r="C40" s="0" t="s">
        <v>110</v>
      </c>
      <c r="D40" s="0" t="n">
        <v>500</v>
      </c>
      <c r="E40" s="9" t="s">
        <v>19</v>
      </c>
      <c r="F40" s="9" t="s">
        <v>19</v>
      </c>
      <c r="G40" s="0" t="s">
        <v>42</v>
      </c>
      <c r="H40" s="2" t="n">
        <v>0</v>
      </c>
      <c r="I40" s="10" t="b">
        <v>0</v>
      </c>
      <c r="J40" s="10" t="b">
        <v>0</v>
      </c>
      <c r="K40" s="9" t="s">
        <v>21</v>
      </c>
      <c r="L40" s="9" t="s">
        <v>19</v>
      </c>
      <c r="M40" s="9" t="s">
        <v>19</v>
      </c>
      <c r="N40" s="9" t="s">
        <v>19</v>
      </c>
      <c r="O40" s="9" t="s">
        <v>19</v>
      </c>
      <c r="P40" s="9" t="s">
        <v>21</v>
      </c>
      <c r="Q40" s="9" t="s">
        <v>19</v>
      </c>
    </row>
    <row r="41" customFormat="false" ht="12.75" hidden="false" customHeight="false" outlineLevel="0" collapsed="false">
      <c r="A41" s="8" t="s">
        <v>111</v>
      </c>
      <c r="B41" s="0" t="s">
        <v>17</v>
      </c>
      <c r="C41" s="0" t="s">
        <v>112</v>
      </c>
      <c r="D41" s="0" t="n">
        <v>500</v>
      </c>
      <c r="E41" s="9" t="s">
        <v>19</v>
      </c>
      <c r="F41" s="9" t="s">
        <v>19</v>
      </c>
      <c r="G41" s="0" t="s">
        <v>20</v>
      </c>
      <c r="H41" s="2" t="n">
        <v>0</v>
      </c>
      <c r="I41" s="10" t="b">
        <v>0</v>
      </c>
      <c r="J41" s="10" t="b">
        <v>0</v>
      </c>
      <c r="K41" s="9" t="s">
        <v>21</v>
      </c>
      <c r="L41" s="9" t="s">
        <v>19</v>
      </c>
      <c r="M41" s="9" t="s">
        <v>19</v>
      </c>
      <c r="N41" s="9" t="s">
        <v>19</v>
      </c>
      <c r="O41" s="9" t="s">
        <v>19</v>
      </c>
      <c r="P41" s="9" t="s">
        <v>21</v>
      </c>
      <c r="Q41" s="9" t="s">
        <v>19</v>
      </c>
    </row>
    <row r="42" customFormat="false" ht="12.75" hidden="false" customHeight="false" outlineLevel="0" collapsed="false">
      <c r="A42" s="0" t="s">
        <v>113</v>
      </c>
      <c r="B42" s="0" t="s">
        <v>17</v>
      </c>
      <c r="C42" s="0" t="s">
        <v>114</v>
      </c>
      <c r="D42" s="0" t="n">
        <v>500</v>
      </c>
      <c r="E42" s="9" t="s">
        <v>19</v>
      </c>
      <c r="F42" s="9" t="s">
        <v>19</v>
      </c>
      <c r="G42" s="0" t="s">
        <v>115</v>
      </c>
      <c r="H42" s="2" t="n">
        <v>0</v>
      </c>
      <c r="I42" s="10" t="b">
        <v>1</v>
      </c>
      <c r="J42" s="10" t="b">
        <v>1</v>
      </c>
      <c r="K42" s="9" t="s">
        <v>21</v>
      </c>
      <c r="L42" s="9" t="s">
        <v>19</v>
      </c>
      <c r="M42" s="9" t="s">
        <v>19</v>
      </c>
      <c r="N42" s="9" t="s">
        <v>19</v>
      </c>
      <c r="O42" s="9" t="s">
        <v>19</v>
      </c>
      <c r="P42" s="9" t="s">
        <v>21</v>
      </c>
      <c r="Q42" s="9" t="s">
        <v>19</v>
      </c>
    </row>
    <row r="43" customFormat="false" ht="12.75" hidden="false" customHeight="false" outlineLevel="0" collapsed="false">
      <c r="A43" s="0" t="s">
        <v>116</v>
      </c>
      <c r="B43" s="8" t="s">
        <v>117</v>
      </c>
      <c r="C43" s="8" t="s">
        <v>118</v>
      </c>
      <c r="D43" s="0" t="n">
        <v>500</v>
      </c>
      <c r="E43" s="9" t="s">
        <v>19</v>
      </c>
      <c r="F43" s="9" t="s">
        <v>21</v>
      </c>
      <c r="G43" s="0" t="s">
        <v>25</v>
      </c>
      <c r="H43" s="2" t="n">
        <v>2</v>
      </c>
      <c r="I43" s="10" t="b">
        <v>0</v>
      </c>
      <c r="J43" s="10" t="b">
        <v>0</v>
      </c>
      <c r="K43" s="9" t="s">
        <v>21</v>
      </c>
      <c r="L43" s="9" t="s">
        <v>19</v>
      </c>
      <c r="M43" s="9" t="s">
        <v>19</v>
      </c>
      <c r="N43" s="9" t="s">
        <v>19</v>
      </c>
      <c r="O43" s="9" t="s">
        <v>19</v>
      </c>
      <c r="P43" s="9" t="s">
        <v>21</v>
      </c>
      <c r="Q43" s="9" t="s">
        <v>21</v>
      </c>
    </row>
    <row r="44" customFormat="false" ht="12.75" hidden="false" customHeight="false" outlineLevel="0" collapsed="false">
      <c r="A44" s="0" t="s">
        <v>119</v>
      </c>
      <c r="B44" s="8" t="s">
        <v>117</v>
      </c>
      <c r="C44" s="8" t="s">
        <v>120</v>
      </c>
      <c r="D44" s="0" t="n">
        <v>500</v>
      </c>
      <c r="E44" s="9" t="s">
        <v>19</v>
      </c>
      <c r="F44" s="9" t="s">
        <v>21</v>
      </c>
      <c r="G44" s="0" t="s">
        <v>25</v>
      </c>
      <c r="H44" s="2" t="n">
        <v>2</v>
      </c>
      <c r="I44" s="10" t="b">
        <v>0</v>
      </c>
      <c r="J44" s="10" t="b">
        <v>0</v>
      </c>
      <c r="K44" s="9" t="s">
        <v>21</v>
      </c>
      <c r="L44" s="9" t="s">
        <v>19</v>
      </c>
      <c r="M44" s="9" t="s">
        <v>19</v>
      </c>
      <c r="N44" s="9" t="s">
        <v>19</v>
      </c>
      <c r="O44" s="9" t="s">
        <v>19</v>
      </c>
      <c r="P44" s="9" t="s">
        <v>21</v>
      </c>
      <c r="Q44" s="9" t="s">
        <v>21</v>
      </c>
    </row>
    <row r="45" customFormat="false" ht="12.75" hidden="false" customHeight="false" outlineLevel="0" collapsed="false">
      <c r="A45" s="0" t="s">
        <v>121</v>
      </c>
      <c r="B45" s="8" t="s">
        <v>117</v>
      </c>
      <c r="C45" s="8" t="s">
        <v>122</v>
      </c>
      <c r="D45" s="0" t="n">
        <v>500</v>
      </c>
      <c r="E45" s="9" t="s">
        <v>19</v>
      </c>
      <c r="F45" s="9" t="s">
        <v>21</v>
      </c>
      <c r="G45" s="0" t="s">
        <v>25</v>
      </c>
      <c r="H45" s="2" t="n">
        <v>2</v>
      </c>
      <c r="I45" s="10" t="b">
        <v>0</v>
      </c>
      <c r="J45" s="10" t="b">
        <v>0</v>
      </c>
      <c r="K45" s="9" t="s">
        <v>21</v>
      </c>
      <c r="L45" s="9" t="s">
        <v>19</v>
      </c>
      <c r="M45" s="9" t="s">
        <v>19</v>
      </c>
      <c r="N45" s="9" t="s">
        <v>19</v>
      </c>
      <c r="O45" s="9" t="s">
        <v>19</v>
      </c>
      <c r="P45" s="9" t="s">
        <v>21</v>
      </c>
      <c r="Q45" s="9" t="s">
        <v>21</v>
      </c>
    </row>
    <row r="46" customFormat="false" ht="12.75" hidden="false" customHeight="false" outlineLevel="0" collapsed="false">
      <c r="A46" s="0" t="s">
        <v>123</v>
      </c>
      <c r="B46" s="8" t="s">
        <v>117</v>
      </c>
      <c r="C46" s="8" t="s">
        <v>124</v>
      </c>
      <c r="D46" s="0" t="n">
        <v>500</v>
      </c>
      <c r="E46" s="9" t="s">
        <v>19</v>
      </c>
      <c r="F46" s="9" t="s">
        <v>21</v>
      </c>
      <c r="G46" s="0" t="s">
        <v>25</v>
      </c>
      <c r="H46" s="2" t="n">
        <v>2</v>
      </c>
      <c r="I46" s="10" t="b">
        <v>0</v>
      </c>
      <c r="J46" s="10" t="b">
        <v>0</v>
      </c>
      <c r="K46" s="9" t="s">
        <v>21</v>
      </c>
      <c r="L46" s="9" t="s">
        <v>19</v>
      </c>
      <c r="M46" s="9" t="s">
        <v>19</v>
      </c>
      <c r="N46" s="9" t="s">
        <v>19</v>
      </c>
      <c r="O46" s="9" t="s">
        <v>19</v>
      </c>
      <c r="P46" s="9" t="s">
        <v>21</v>
      </c>
      <c r="Q46" s="9" t="s">
        <v>21</v>
      </c>
    </row>
    <row r="47" customFormat="false" ht="12.75" hidden="false" customHeight="false" outlineLevel="0" collapsed="false">
      <c r="A47" s="8" t="s">
        <v>125</v>
      </c>
      <c r="B47" s="0" t="s">
        <v>31</v>
      </c>
      <c r="C47" s="0" t="s">
        <v>126</v>
      </c>
      <c r="D47" s="0" t="n">
        <v>500</v>
      </c>
      <c r="E47" s="9" t="s">
        <v>19</v>
      </c>
      <c r="F47" s="9" t="s">
        <v>19</v>
      </c>
      <c r="G47" s="0" t="s">
        <v>33</v>
      </c>
      <c r="H47" s="2" t="n">
        <v>0</v>
      </c>
      <c r="I47" s="10" t="b">
        <v>0</v>
      </c>
      <c r="J47" s="10" t="b">
        <v>0</v>
      </c>
      <c r="K47" s="9" t="s">
        <v>21</v>
      </c>
      <c r="L47" s="9" t="s">
        <v>19</v>
      </c>
      <c r="M47" s="9" t="s">
        <v>19</v>
      </c>
      <c r="N47" s="9" t="s">
        <v>19</v>
      </c>
      <c r="O47" s="9" t="s">
        <v>19</v>
      </c>
      <c r="P47" s="9" t="s">
        <v>21</v>
      </c>
      <c r="Q47" s="9" t="s">
        <v>19</v>
      </c>
    </row>
    <row r="48" customFormat="false" ht="12.75" hidden="false" customHeight="false" outlineLevel="0" collapsed="false">
      <c r="A48" s="0" t="s">
        <v>127</v>
      </c>
      <c r="B48" s="0" t="s">
        <v>17</v>
      </c>
      <c r="C48" s="0" t="s">
        <v>128</v>
      </c>
      <c r="D48" s="0" t="n">
        <v>500</v>
      </c>
      <c r="E48" s="9" t="s">
        <v>19</v>
      </c>
      <c r="F48" s="9" t="s">
        <v>19</v>
      </c>
      <c r="G48" s="0" t="s">
        <v>129</v>
      </c>
      <c r="H48" s="2" t="n">
        <v>0</v>
      </c>
      <c r="I48" s="10" t="b">
        <v>0</v>
      </c>
      <c r="J48" s="10" t="b">
        <v>0</v>
      </c>
      <c r="K48" s="9" t="s">
        <v>21</v>
      </c>
      <c r="L48" s="9" t="s">
        <v>19</v>
      </c>
      <c r="M48" s="9" t="s">
        <v>19</v>
      </c>
      <c r="N48" s="9" t="s">
        <v>19</v>
      </c>
      <c r="O48" s="9" t="s">
        <v>19</v>
      </c>
      <c r="P48" s="9" t="s">
        <v>21</v>
      </c>
      <c r="Q48" s="9" t="s">
        <v>19</v>
      </c>
    </row>
    <row r="49" customFormat="false" ht="12.75" hidden="false" customHeight="false" outlineLevel="0" collapsed="false">
      <c r="A49" s="0" t="s">
        <v>130</v>
      </c>
      <c r="B49" s="0" t="s">
        <v>131</v>
      </c>
      <c r="C49" s="0" t="s">
        <v>132</v>
      </c>
      <c r="D49" s="0" t="n">
        <v>500</v>
      </c>
      <c r="E49" s="9" t="s">
        <v>19</v>
      </c>
      <c r="F49" s="9" t="s">
        <v>19</v>
      </c>
      <c r="G49" s="0" t="s">
        <v>133</v>
      </c>
      <c r="H49" s="2" t="n">
        <v>0</v>
      </c>
      <c r="I49" s="10" t="b">
        <v>0</v>
      </c>
      <c r="J49" s="10" t="b">
        <v>0</v>
      </c>
      <c r="K49" s="9" t="s">
        <v>21</v>
      </c>
      <c r="L49" s="9" t="s">
        <v>19</v>
      </c>
      <c r="M49" s="9" t="s">
        <v>19</v>
      </c>
      <c r="N49" s="9" t="s">
        <v>21</v>
      </c>
      <c r="O49" s="9" t="s">
        <v>19</v>
      </c>
      <c r="P49" s="9" t="s">
        <v>19</v>
      </c>
      <c r="Q49" s="9" t="s">
        <v>19</v>
      </c>
    </row>
    <row r="50" customFormat="false" ht="12.75" hidden="false" customHeight="false" outlineLevel="0" collapsed="false">
      <c r="A50" s="0" t="s">
        <v>134</v>
      </c>
      <c r="B50" s="0" t="s">
        <v>135</v>
      </c>
      <c r="C50" s="0" t="s">
        <v>136</v>
      </c>
      <c r="D50" s="0" t="n">
        <v>500</v>
      </c>
      <c r="E50" s="9" t="s">
        <v>19</v>
      </c>
      <c r="F50" s="9" t="s">
        <v>19</v>
      </c>
      <c r="G50" s="0" t="s">
        <v>133</v>
      </c>
      <c r="H50" s="2" t="n">
        <v>0</v>
      </c>
      <c r="I50" s="10" t="b">
        <v>0</v>
      </c>
      <c r="J50" s="10" t="b">
        <v>0</v>
      </c>
      <c r="K50" s="9" t="s">
        <v>21</v>
      </c>
      <c r="L50" s="9" t="s">
        <v>19</v>
      </c>
      <c r="M50" s="9" t="s">
        <v>19</v>
      </c>
      <c r="N50" s="9" t="s">
        <v>21</v>
      </c>
      <c r="O50" s="9" t="s">
        <v>19</v>
      </c>
      <c r="P50" s="9" t="s">
        <v>19</v>
      </c>
      <c r="Q50" s="9" t="s">
        <v>19</v>
      </c>
    </row>
    <row r="51" customFormat="false" ht="12.75" hidden="false" customHeight="false" outlineLevel="0" collapsed="false">
      <c r="A51" s="0" t="s">
        <v>131</v>
      </c>
      <c r="B51" s="0" t="s">
        <v>134</v>
      </c>
      <c r="C51" s="0" t="s">
        <v>137</v>
      </c>
      <c r="D51" s="0" t="n">
        <v>500</v>
      </c>
      <c r="E51" s="9" t="s">
        <v>19</v>
      </c>
      <c r="F51" s="9" t="s">
        <v>19</v>
      </c>
      <c r="G51" s="0" t="s">
        <v>133</v>
      </c>
      <c r="H51" s="2" t="n">
        <v>0</v>
      </c>
      <c r="I51" s="10" t="b">
        <v>0</v>
      </c>
      <c r="J51" s="10" t="b">
        <v>0</v>
      </c>
      <c r="K51" s="9" t="s">
        <v>21</v>
      </c>
      <c r="L51" s="9" t="s">
        <v>19</v>
      </c>
      <c r="M51" s="9" t="s">
        <v>19</v>
      </c>
      <c r="N51" s="9" t="s">
        <v>21</v>
      </c>
      <c r="O51" s="9" t="s">
        <v>19</v>
      </c>
      <c r="P51" s="9" t="s">
        <v>19</v>
      </c>
      <c r="Q51" s="9" t="s">
        <v>19</v>
      </c>
    </row>
    <row r="52" customFormat="false" ht="12.75" hidden="false" customHeight="false" outlineLevel="0" collapsed="false">
      <c r="A52" s="8" t="s">
        <v>138</v>
      </c>
      <c r="B52" s="8" t="s">
        <v>22</v>
      </c>
      <c r="C52" s="8" t="s">
        <v>139</v>
      </c>
      <c r="D52" s="0" t="n">
        <v>500</v>
      </c>
      <c r="E52" s="9" t="s">
        <v>19</v>
      </c>
      <c r="F52" s="9" t="s">
        <v>21</v>
      </c>
      <c r="G52" s="0" t="s">
        <v>25</v>
      </c>
      <c r="H52" s="2" t="n">
        <v>2</v>
      </c>
      <c r="I52" s="10" t="b">
        <v>0</v>
      </c>
      <c r="J52" s="10" t="b">
        <v>0</v>
      </c>
      <c r="K52" s="9" t="s">
        <v>21</v>
      </c>
      <c r="L52" s="9" t="s">
        <v>19</v>
      </c>
      <c r="M52" s="9" t="s">
        <v>19</v>
      </c>
      <c r="N52" s="9" t="s">
        <v>19</v>
      </c>
      <c r="O52" s="9" t="s">
        <v>19</v>
      </c>
      <c r="P52" s="9" t="s">
        <v>21</v>
      </c>
      <c r="Q52" s="9" t="s">
        <v>21</v>
      </c>
    </row>
    <row r="53" customFormat="false" ht="12.75" hidden="false" customHeight="false" outlineLevel="0" collapsed="false">
      <c r="A53" s="0" t="s">
        <v>140</v>
      </c>
      <c r="B53" s="8" t="s">
        <v>141</v>
      </c>
      <c r="C53" s="8" t="s">
        <v>142</v>
      </c>
      <c r="D53" s="0" t="n">
        <v>500</v>
      </c>
      <c r="E53" s="9" t="s">
        <v>21</v>
      </c>
      <c r="F53" s="9" t="s">
        <v>19</v>
      </c>
      <c r="G53" s="0" t="s">
        <v>143</v>
      </c>
      <c r="H53" s="2" t="n">
        <v>0</v>
      </c>
      <c r="I53" s="10" t="b">
        <v>0</v>
      </c>
      <c r="J53" s="10" t="b">
        <v>0</v>
      </c>
      <c r="K53" s="9" t="s">
        <v>21</v>
      </c>
      <c r="L53" s="9" t="s">
        <v>19</v>
      </c>
      <c r="M53" s="9" t="s">
        <v>19</v>
      </c>
      <c r="N53" s="9" t="s">
        <v>19</v>
      </c>
      <c r="O53" s="9" t="s">
        <v>19</v>
      </c>
      <c r="P53" s="9" t="s">
        <v>21</v>
      </c>
      <c r="Q53" s="9" t="s">
        <v>19</v>
      </c>
    </row>
    <row r="54" customFormat="false" ht="12.75" hidden="false" customHeight="false" outlineLevel="0" collapsed="false">
      <c r="A54" s="8" t="s">
        <v>141</v>
      </c>
      <c r="B54" s="0" t="s">
        <v>17</v>
      </c>
      <c r="C54" s="0" t="s">
        <v>144</v>
      </c>
      <c r="D54" s="0" t="n">
        <v>500</v>
      </c>
      <c r="E54" s="9" t="s">
        <v>19</v>
      </c>
      <c r="F54" s="9" t="s">
        <v>19</v>
      </c>
      <c r="G54" s="0" t="s">
        <v>143</v>
      </c>
      <c r="H54" s="2" t="n">
        <v>0</v>
      </c>
      <c r="I54" s="10" t="b">
        <v>0</v>
      </c>
      <c r="J54" s="10" t="b">
        <v>0</v>
      </c>
      <c r="K54" s="9" t="s">
        <v>21</v>
      </c>
      <c r="L54" s="9" t="s">
        <v>19</v>
      </c>
      <c r="M54" s="9" t="s">
        <v>19</v>
      </c>
      <c r="N54" s="9" t="s">
        <v>19</v>
      </c>
      <c r="O54" s="9" t="s">
        <v>19</v>
      </c>
      <c r="P54" s="9" t="s">
        <v>21</v>
      </c>
      <c r="Q54" s="9" t="s">
        <v>19</v>
      </c>
    </row>
    <row r="55" customFormat="false" ht="12.75" hidden="false" customHeight="false" outlineLevel="0" collapsed="false">
      <c r="A55" s="0" t="s">
        <v>145</v>
      </c>
      <c r="B55" s="0" t="s">
        <v>146</v>
      </c>
      <c r="C55" s="0" t="s">
        <v>147</v>
      </c>
      <c r="D55" s="0" t="n">
        <v>500</v>
      </c>
      <c r="E55" s="9" t="s">
        <v>19</v>
      </c>
      <c r="F55" s="9" t="s">
        <v>21</v>
      </c>
      <c r="G55" s="0" t="s">
        <v>55</v>
      </c>
      <c r="H55" s="2" t="n">
        <v>2</v>
      </c>
      <c r="I55" s="10" t="b">
        <v>0</v>
      </c>
      <c r="J55" s="10" t="b">
        <v>0</v>
      </c>
      <c r="K55" s="9" t="s">
        <v>19</v>
      </c>
      <c r="L55" s="9" t="s">
        <v>19</v>
      </c>
      <c r="M55" s="9" t="s">
        <v>19</v>
      </c>
      <c r="N55" s="9" t="s">
        <v>19</v>
      </c>
      <c r="O55" s="9" t="s">
        <v>21</v>
      </c>
      <c r="P55" s="9" t="s">
        <v>21</v>
      </c>
      <c r="Q55" s="9" t="s">
        <v>21</v>
      </c>
    </row>
    <row r="56" customFormat="false" ht="12.75" hidden="false" customHeight="false" outlineLevel="0" collapsed="false">
      <c r="A56" s="0" t="s">
        <v>148</v>
      </c>
      <c r="B56" s="0" t="s">
        <v>146</v>
      </c>
      <c r="C56" s="0" t="s">
        <v>149</v>
      </c>
      <c r="D56" s="0" t="n">
        <v>500</v>
      </c>
      <c r="E56" s="9" t="s">
        <v>19</v>
      </c>
      <c r="F56" s="9" t="s">
        <v>19</v>
      </c>
      <c r="G56" s="0" t="s">
        <v>55</v>
      </c>
      <c r="H56" s="2" t="n">
        <v>2</v>
      </c>
      <c r="I56" s="10" t="b">
        <v>0</v>
      </c>
      <c r="J56" s="10" t="b">
        <v>0</v>
      </c>
      <c r="K56" s="9" t="s">
        <v>19</v>
      </c>
      <c r="L56" s="9" t="s">
        <v>19</v>
      </c>
      <c r="M56" s="9" t="s">
        <v>19</v>
      </c>
      <c r="N56" s="9" t="s">
        <v>19</v>
      </c>
      <c r="O56" s="9" t="s">
        <v>21</v>
      </c>
      <c r="P56" s="9" t="s">
        <v>21</v>
      </c>
      <c r="Q56" s="9" t="s">
        <v>21</v>
      </c>
    </row>
    <row r="57" customFormat="false" ht="12.75" hidden="false" customHeight="false" outlineLevel="0" collapsed="false">
      <c r="A57" s="0" t="s">
        <v>150</v>
      </c>
      <c r="B57" s="0" t="s">
        <v>17</v>
      </c>
      <c r="C57" s="0" t="s">
        <v>151</v>
      </c>
      <c r="D57" s="0" t="n">
        <v>500</v>
      </c>
      <c r="E57" s="9" t="s">
        <v>19</v>
      </c>
      <c r="F57" s="9" t="s">
        <v>19</v>
      </c>
      <c r="G57" s="0" t="s">
        <v>55</v>
      </c>
      <c r="H57" s="2" t="n">
        <v>2</v>
      </c>
      <c r="I57" s="10" t="b">
        <v>0</v>
      </c>
      <c r="J57" s="10" t="b">
        <v>1</v>
      </c>
      <c r="K57" s="9" t="s">
        <v>21</v>
      </c>
      <c r="L57" s="9" t="s">
        <v>19</v>
      </c>
      <c r="M57" s="9" t="s">
        <v>19</v>
      </c>
      <c r="N57" s="9" t="s">
        <v>19</v>
      </c>
      <c r="O57" s="9" t="s">
        <v>21</v>
      </c>
      <c r="P57" s="9" t="s">
        <v>21</v>
      </c>
      <c r="Q57" s="9" t="s">
        <v>21</v>
      </c>
    </row>
    <row r="58" customFormat="false" ht="12.75" hidden="false" customHeight="false" outlineLevel="0" collapsed="false">
      <c r="A58" s="0" t="s">
        <v>146</v>
      </c>
      <c r="B58" s="0" t="s">
        <v>150</v>
      </c>
      <c r="C58" s="0" t="s">
        <v>152</v>
      </c>
      <c r="D58" s="0" t="n">
        <v>500</v>
      </c>
      <c r="E58" s="9" t="s">
        <v>19</v>
      </c>
      <c r="F58" s="9" t="s">
        <v>19</v>
      </c>
      <c r="G58" s="0" t="s">
        <v>55</v>
      </c>
      <c r="H58" s="2" t="n">
        <v>2</v>
      </c>
      <c r="I58" s="10" t="b">
        <v>0</v>
      </c>
      <c r="J58" s="10" t="b">
        <v>1</v>
      </c>
      <c r="K58" s="9" t="s">
        <v>21</v>
      </c>
      <c r="L58" s="9" t="s">
        <v>19</v>
      </c>
      <c r="M58" s="9" t="s">
        <v>19</v>
      </c>
      <c r="N58" s="9" t="s">
        <v>19</v>
      </c>
      <c r="O58" s="9" t="s">
        <v>21</v>
      </c>
      <c r="P58" s="9" t="s">
        <v>21</v>
      </c>
      <c r="Q58" s="9" t="s">
        <v>21</v>
      </c>
    </row>
    <row r="59" customFormat="false" ht="12.75" hidden="false" customHeight="false" outlineLevel="0" collapsed="false">
      <c r="A59" s="8" t="s">
        <v>153</v>
      </c>
      <c r="B59" s="8" t="s">
        <v>27</v>
      </c>
      <c r="C59" s="8" t="s">
        <v>154</v>
      </c>
      <c r="D59" s="0" t="n">
        <v>500</v>
      </c>
      <c r="E59" s="9" t="s">
        <v>19</v>
      </c>
      <c r="F59" s="9" t="s">
        <v>19</v>
      </c>
      <c r="G59" s="0" t="s">
        <v>29</v>
      </c>
      <c r="H59" s="2" t="n">
        <v>1</v>
      </c>
      <c r="I59" s="10" t="b">
        <v>0</v>
      </c>
      <c r="J59" s="10" t="b">
        <v>0</v>
      </c>
      <c r="K59" s="9" t="s">
        <v>21</v>
      </c>
      <c r="L59" s="9" t="s">
        <v>19</v>
      </c>
      <c r="M59" s="9" t="s">
        <v>19</v>
      </c>
      <c r="N59" s="9" t="s">
        <v>19</v>
      </c>
      <c r="O59" s="9" t="s">
        <v>19</v>
      </c>
      <c r="P59" s="9" t="s">
        <v>21</v>
      </c>
      <c r="Q59" s="9" t="s">
        <v>19</v>
      </c>
    </row>
    <row r="60" customFormat="false" ht="12.75" hidden="false" customHeight="false" outlineLevel="0" collapsed="false">
      <c r="A60" s="8" t="s">
        <v>155</v>
      </c>
      <c r="B60" s="0" t="s">
        <v>17</v>
      </c>
      <c r="C60" s="0" t="s">
        <v>156</v>
      </c>
      <c r="D60" s="0" t="n">
        <v>500</v>
      </c>
      <c r="E60" s="9" t="s">
        <v>19</v>
      </c>
      <c r="F60" s="9" t="s">
        <v>19</v>
      </c>
      <c r="G60" s="0" t="s">
        <v>93</v>
      </c>
      <c r="H60" s="2" t="n">
        <v>1</v>
      </c>
      <c r="I60" s="10" t="b">
        <v>0</v>
      </c>
      <c r="J60" s="10" t="b">
        <v>0</v>
      </c>
      <c r="K60" s="9" t="s">
        <v>21</v>
      </c>
      <c r="L60" s="9" t="s">
        <v>19</v>
      </c>
      <c r="M60" s="9" t="s">
        <v>19</v>
      </c>
      <c r="N60" s="9" t="s">
        <v>19</v>
      </c>
      <c r="O60" s="9" t="s">
        <v>19</v>
      </c>
      <c r="P60" s="9" t="s">
        <v>21</v>
      </c>
      <c r="Q60" s="9" t="s">
        <v>19</v>
      </c>
    </row>
    <row r="61" customFormat="false" ht="12.75" hidden="false" customHeight="false" outlineLevel="0" collapsed="false">
      <c r="A61" s="8" t="s">
        <v>91</v>
      </c>
      <c r="B61" s="0" t="s">
        <v>17</v>
      </c>
      <c r="C61" s="0" t="s">
        <v>157</v>
      </c>
      <c r="D61" s="0" t="n">
        <v>500</v>
      </c>
      <c r="E61" s="9" t="s">
        <v>19</v>
      </c>
      <c r="F61" s="9" t="s">
        <v>19</v>
      </c>
      <c r="G61" s="0" t="s">
        <v>93</v>
      </c>
      <c r="H61" s="2" t="n">
        <v>1</v>
      </c>
      <c r="I61" s="10" t="b">
        <v>0</v>
      </c>
      <c r="J61" s="10" t="b">
        <v>0</v>
      </c>
      <c r="K61" s="9" t="s">
        <v>21</v>
      </c>
      <c r="L61" s="9" t="s">
        <v>19</v>
      </c>
      <c r="M61" s="9" t="s">
        <v>19</v>
      </c>
      <c r="N61" s="9" t="s">
        <v>19</v>
      </c>
      <c r="O61" s="9" t="s">
        <v>19</v>
      </c>
      <c r="P61" s="9" t="s">
        <v>21</v>
      </c>
      <c r="Q61" s="9" t="s">
        <v>19</v>
      </c>
    </row>
    <row r="62" customFormat="false" ht="12.75" hidden="false" customHeight="false" outlineLevel="0" collapsed="false">
      <c r="A62" s="8" t="s">
        <v>158</v>
      </c>
      <c r="B62" s="0" t="s">
        <v>17</v>
      </c>
      <c r="C62" s="0" t="s">
        <v>159</v>
      </c>
      <c r="D62" s="0" t="n">
        <v>500</v>
      </c>
      <c r="E62" s="9" t="s">
        <v>19</v>
      </c>
      <c r="F62" s="9" t="s">
        <v>19</v>
      </c>
      <c r="G62" s="0" t="s">
        <v>42</v>
      </c>
      <c r="H62" s="2" t="n">
        <v>0</v>
      </c>
      <c r="I62" s="10" t="b">
        <v>0</v>
      </c>
      <c r="J62" s="10" t="b">
        <v>0</v>
      </c>
      <c r="K62" s="9" t="s">
        <v>21</v>
      </c>
      <c r="L62" s="9" t="s">
        <v>19</v>
      </c>
      <c r="M62" s="9" t="s">
        <v>19</v>
      </c>
      <c r="N62" s="9" t="s">
        <v>19</v>
      </c>
      <c r="O62" s="9" t="s">
        <v>19</v>
      </c>
      <c r="P62" s="9" t="s">
        <v>21</v>
      </c>
      <c r="Q62" s="9" t="s">
        <v>19</v>
      </c>
    </row>
    <row r="63" customFormat="false" ht="12.75" hidden="false" customHeight="false" outlineLevel="0" collapsed="false">
      <c r="A63" s="0" t="s">
        <v>160</v>
      </c>
      <c r="B63" s="0" t="s">
        <v>17</v>
      </c>
      <c r="C63" s="0" t="s">
        <v>161</v>
      </c>
      <c r="D63" s="0" t="n">
        <v>500</v>
      </c>
      <c r="E63" s="9" t="s">
        <v>19</v>
      </c>
      <c r="F63" s="9" t="s">
        <v>19</v>
      </c>
      <c r="G63" s="0" t="s">
        <v>162</v>
      </c>
      <c r="H63" s="2" t="n">
        <v>0</v>
      </c>
      <c r="I63" s="10" t="b">
        <v>0</v>
      </c>
      <c r="J63" s="10" t="b">
        <v>0</v>
      </c>
      <c r="K63" s="9" t="s">
        <v>21</v>
      </c>
      <c r="L63" s="9" t="s">
        <v>19</v>
      </c>
      <c r="M63" s="9" t="s">
        <v>19</v>
      </c>
      <c r="N63" s="9" t="s">
        <v>19</v>
      </c>
      <c r="O63" s="9" t="s">
        <v>19</v>
      </c>
      <c r="P63" s="9" t="s">
        <v>21</v>
      </c>
      <c r="Q63" s="9" t="s">
        <v>19</v>
      </c>
    </row>
    <row r="64" customFormat="false" ht="12.75" hidden="false" customHeight="false" outlineLevel="0" collapsed="false">
      <c r="A64" s="0" t="s">
        <v>163</v>
      </c>
      <c r="B64" s="0" t="s">
        <v>17</v>
      </c>
      <c r="C64" s="0" t="s">
        <v>164</v>
      </c>
      <c r="D64" s="0" t="n">
        <v>500</v>
      </c>
      <c r="E64" s="9" t="s">
        <v>19</v>
      </c>
      <c r="F64" s="9" t="s">
        <v>19</v>
      </c>
      <c r="G64" s="0" t="s">
        <v>42</v>
      </c>
      <c r="H64" s="2" t="n">
        <v>0</v>
      </c>
      <c r="I64" s="10" t="b">
        <v>0</v>
      </c>
      <c r="J64" s="10" t="b">
        <v>0</v>
      </c>
      <c r="K64" s="9" t="s">
        <v>21</v>
      </c>
      <c r="L64" s="9" t="s">
        <v>19</v>
      </c>
      <c r="M64" s="9" t="s">
        <v>19</v>
      </c>
      <c r="N64" s="9" t="s">
        <v>19</v>
      </c>
      <c r="O64" s="9" t="s">
        <v>19</v>
      </c>
      <c r="P64" s="9" t="s">
        <v>21</v>
      </c>
      <c r="Q64" s="9" t="s">
        <v>19</v>
      </c>
    </row>
    <row r="65" customFormat="false" ht="12.75" hidden="false" customHeight="false" outlineLevel="0" collapsed="false">
      <c r="A65" s="0" t="s">
        <v>23</v>
      </c>
      <c r="B65" s="0" t="s">
        <v>17</v>
      </c>
      <c r="C65" s="0" t="s">
        <v>165</v>
      </c>
      <c r="D65" s="0" t="n">
        <v>500</v>
      </c>
      <c r="E65" s="9" t="s">
        <v>19</v>
      </c>
      <c r="F65" s="9" t="s">
        <v>19</v>
      </c>
      <c r="G65" s="0" t="s">
        <v>25</v>
      </c>
      <c r="H65" s="2" t="n">
        <v>2</v>
      </c>
      <c r="I65" s="10" t="b">
        <v>0</v>
      </c>
      <c r="J65" s="10" t="b">
        <v>1</v>
      </c>
      <c r="K65" s="9" t="s">
        <v>21</v>
      </c>
      <c r="L65" s="9" t="s">
        <v>19</v>
      </c>
      <c r="M65" s="9" t="s">
        <v>19</v>
      </c>
      <c r="N65" s="9" t="s">
        <v>19</v>
      </c>
      <c r="O65" s="9" t="s">
        <v>21</v>
      </c>
      <c r="P65" s="9" t="s">
        <v>21</v>
      </c>
      <c r="Q65" s="9" t="s">
        <v>21</v>
      </c>
    </row>
    <row r="66" customFormat="false" ht="12.75" hidden="false" customHeight="false" outlineLevel="0" collapsed="false">
      <c r="A66" s="8" t="s">
        <v>117</v>
      </c>
      <c r="B66" s="0" t="s">
        <v>23</v>
      </c>
      <c r="C66" s="0" t="s">
        <v>166</v>
      </c>
      <c r="D66" s="0" t="n">
        <v>500</v>
      </c>
      <c r="E66" s="9" t="s">
        <v>19</v>
      </c>
      <c r="F66" s="9" t="s">
        <v>19</v>
      </c>
      <c r="G66" s="0" t="s">
        <v>25</v>
      </c>
      <c r="H66" s="2" t="n">
        <v>2</v>
      </c>
      <c r="I66" s="10" t="b">
        <v>0</v>
      </c>
      <c r="J66" s="10" t="b">
        <v>0</v>
      </c>
      <c r="K66" s="9" t="s">
        <v>21</v>
      </c>
      <c r="L66" s="9" t="s">
        <v>19</v>
      </c>
      <c r="M66" s="9" t="s">
        <v>19</v>
      </c>
      <c r="N66" s="9" t="s">
        <v>19</v>
      </c>
      <c r="O66" s="9" t="s">
        <v>19</v>
      </c>
      <c r="P66" s="9" t="s">
        <v>21</v>
      </c>
      <c r="Q66" s="9" t="s">
        <v>21</v>
      </c>
    </row>
    <row r="67" customFormat="false" ht="12.75" hidden="false" customHeight="false" outlineLevel="0" collapsed="false">
      <c r="A67" s="0" t="s">
        <v>38</v>
      </c>
      <c r="B67" s="0" t="s">
        <v>167</v>
      </c>
      <c r="C67" s="0" t="s">
        <v>168</v>
      </c>
      <c r="D67" s="0" t="n">
        <v>500</v>
      </c>
      <c r="E67" s="9" t="s">
        <v>19</v>
      </c>
      <c r="F67" s="9" t="s">
        <v>19</v>
      </c>
      <c r="G67" s="0" t="s">
        <v>25</v>
      </c>
      <c r="H67" s="2" t="n">
        <v>2</v>
      </c>
      <c r="I67" s="10" t="b">
        <v>0</v>
      </c>
      <c r="J67" s="10" t="b">
        <v>1</v>
      </c>
      <c r="K67" s="9" t="s">
        <v>21</v>
      </c>
      <c r="L67" s="9" t="s">
        <v>19</v>
      </c>
      <c r="M67" s="9" t="s">
        <v>19</v>
      </c>
      <c r="N67" s="9" t="s">
        <v>19</v>
      </c>
      <c r="O67" s="9" t="s">
        <v>21</v>
      </c>
      <c r="P67" s="9" t="s">
        <v>21</v>
      </c>
      <c r="Q67" s="9" t="s">
        <v>21</v>
      </c>
    </row>
    <row r="68" customFormat="false" ht="12.75" hidden="false" customHeight="false" outlineLevel="0" collapsed="false">
      <c r="A68" s="0" t="s">
        <v>167</v>
      </c>
      <c r="B68" s="0" t="s">
        <v>23</v>
      </c>
      <c r="C68" s="0" t="s">
        <v>169</v>
      </c>
      <c r="D68" s="0" t="n">
        <v>500</v>
      </c>
      <c r="E68" s="9" t="s">
        <v>19</v>
      </c>
      <c r="F68" s="9" t="s">
        <v>19</v>
      </c>
      <c r="G68" s="0" t="s">
        <v>25</v>
      </c>
      <c r="H68" s="2" t="n">
        <v>2</v>
      </c>
      <c r="I68" s="10" t="b">
        <v>0</v>
      </c>
      <c r="J68" s="10" t="b">
        <v>1</v>
      </c>
      <c r="K68" s="9" t="s">
        <v>21</v>
      </c>
      <c r="L68" s="9" t="s">
        <v>19</v>
      </c>
      <c r="M68" s="9" t="s">
        <v>19</v>
      </c>
      <c r="N68" s="9" t="s">
        <v>19</v>
      </c>
      <c r="O68" s="9" t="s">
        <v>21</v>
      </c>
      <c r="P68" s="9" t="s">
        <v>21</v>
      </c>
      <c r="Q68" s="9" t="s">
        <v>21</v>
      </c>
    </row>
    <row r="69" customFormat="false" ht="12.75" hidden="false" customHeight="false" outlineLevel="0" collapsed="false">
      <c r="A69" s="8" t="s">
        <v>170</v>
      </c>
      <c r="B69" s="0" t="s">
        <v>171</v>
      </c>
      <c r="C69" s="0" t="s">
        <v>172</v>
      </c>
      <c r="D69" s="0" t="n">
        <v>500</v>
      </c>
      <c r="E69" s="9" t="s">
        <v>19</v>
      </c>
      <c r="F69" s="9" t="s">
        <v>21</v>
      </c>
      <c r="G69" s="0" t="s">
        <v>25</v>
      </c>
      <c r="H69" s="2" t="n">
        <v>2</v>
      </c>
      <c r="I69" s="10" t="b">
        <v>0</v>
      </c>
      <c r="J69" s="10" t="b">
        <v>0</v>
      </c>
      <c r="K69" s="9" t="s">
        <v>21</v>
      </c>
      <c r="L69" s="9" t="s">
        <v>19</v>
      </c>
      <c r="M69" s="9" t="s">
        <v>19</v>
      </c>
      <c r="N69" s="9" t="s">
        <v>19</v>
      </c>
      <c r="O69" s="9" t="s">
        <v>19</v>
      </c>
      <c r="P69" s="9" t="s">
        <v>21</v>
      </c>
      <c r="Q69" s="9" t="s">
        <v>21</v>
      </c>
    </row>
    <row r="70" customFormat="false" ht="12.75" hidden="false" customHeight="false" outlineLevel="0" collapsed="false">
      <c r="A70" s="8" t="s">
        <v>173</v>
      </c>
      <c r="B70" s="0" t="s">
        <v>171</v>
      </c>
      <c r="C70" s="0" t="s">
        <v>174</v>
      </c>
      <c r="D70" s="0" t="n">
        <v>500</v>
      </c>
      <c r="E70" s="9" t="s">
        <v>19</v>
      </c>
      <c r="F70" s="9" t="s">
        <v>21</v>
      </c>
      <c r="G70" s="0" t="s">
        <v>25</v>
      </c>
      <c r="H70" s="2" t="n">
        <v>2</v>
      </c>
      <c r="I70" s="10" t="b">
        <v>0</v>
      </c>
      <c r="J70" s="10" t="b">
        <v>0</v>
      </c>
      <c r="K70" s="9" t="s">
        <v>21</v>
      </c>
      <c r="L70" s="9" t="s">
        <v>19</v>
      </c>
      <c r="M70" s="9" t="s">
        <v>19</v>
      </c>
      <c r="N70" s="9" t="s">
        <v>19</v>
      </c>
      <c r="O70" s="9" t="s">
        <v>19</v>
      </c>
      <c r="P70" s="9" t="s">
        <v>21</v>
      </c>
      <c r="Q70" s="9" t="s">
        <v>21</v>
      </c>
    </row>
    <row r="71" customFormat="false" ht="12.75" hidden="false" customHeight="false" outlineLevel="0" collapsed="false">
      <c r="A71" s="0" t="s">
        <v>171</v>
      </c>
      <c r="B71" s="8" t="s">
        <v>22</v>
      </c>
      <c r="C71" s="8" t="s">
        <v>175</v>
      </c>
      <c r="D71" s="0" t="n">
        <v>500</v>
      </c>
      <c r="E71" s="9" t="s">
        <v>19</v>
      </c>
      <c r="F71" s="9" t="s">
        <v>21</v>
      </c>
      <c r="G71" s="0" t="s">
        <v>25</v>
      </c>
      <c r="H71" s="2" t="n">
        <v>2</v>
      </c>
      <c r="I71" s="10" t="b">
        <v>0</v>
      </c>
      <c r="J71" s="10" t="b">
        <v>0</v>
      </c>
      <c r="K71" s="9" t="s">
        <v>21</v>
      </c>
      <c r="L71" s="9" t="s">
        <v>19</v>
      </c>
      <c r="M71" s="9" t="s">
        <v>19</v>
      </c>
      <c r="N71" s="9" t="s">
        <v>19</v>
      </c>
      <c r="O71" s="9" t="s">
        <v>19</v>
      </c>
      <c r="P71" s="9" t="s">
        <v>21</v>
      </c>
      <c r="Q71" s="9" t="s">
        <v>21</v>
      </c>
    </row>
    <row r="72" customFormat="false" ht="12.75" hidden="false" customHeight="false" outlineLevel="0" collapsed="false">
      <c r="A72" s="8" t="s">
        <v>176</v>
      </c>
      <c r="B72" s="0" t="s">
        <v>177</v>
      </c>
      <c r="C72" s="0" t="s">
        <v>178</v>
      </c>
      <c r="D72" s="0" t="n">
        <v>500</v>
      </c>
      <c r="E72" s="9" t="s">
        <v>19</v>
      </c>
      <c r="F72" s="9" t="s">
        <v>21</v>
      </c>
      <c r="G72" s="0" t="s">
        <v>25</v>
      </c>
      <c r="H72" s="2" t="n">
        <v>2</v>
      </c>
      <c r="I72" s="10" t="b">
        <v>0</v>
      </c>
      <c r="J72" s="10" t="b">
        <v>0</v>
      </c>
      <c r="K72" s="9" t="s">
        <v>21</v>
      </c>
      <c r="L72" s="9" t="s">
        <v>19</v>
      </c>
      <c r="M72" s="9" t="s">
        <v>19</v>
      </c>
      <c r="N72" s="9" t="s">
        <v>19</v>
      </c>
      <c r="O72" s="9" t="s">
        <v>19</v>
      </c>
      <c r="P72" s="9" t="s">
        <v>21</v>
      </c>
      <c r="Q72" s="9" t="s">
        <v>21</v>
      </c>
    </row>
    <row r="73" customFormat="false" ht="12.75" hidden="false" customHeight="false" outlineLevel="0" collapsed="false">
      <c r="A73" s="8" t="s">
        <v>179</v>
      </c>
      <c r="B73" s="0" t="s">
        <v>177</v>
      </c>
      <c r="C73" s="0" t="s">
        <v>180</v>
      </c>
      <c r="D73" s="0" t="n">
        <v>500</v>
      </c>
      <c r="E73" s="9" t="s">
        <v>19</v>
      </c>
      <c r="F73" s="9" t="s">
        <v>21</v>
      </c>
      <c r="G73" s="0" t="s">
        <v>25</v>
      </c>
      <c r="H73" s="2" t="n">
        <v>2</v>
      </c>
      <c r="I73" s="10" t="b">
        <v>0</v>
      </c>
      <c r="J73" s="10" t="b">
        <v>0</v>
      </c>
      <c r="K73" s="9" t="s">
        <v>21</v>
      </c>
      <c r="L73" s="9" t="s">
        <v>19</v>
      </c>
      <c r="M73" s="9" t="s">
        <v>19</v>
      </c>
      <c r="N73" s="9" t="s">
        <v>19</v>
      </c>
      <c r="O73" s="9" t="s">
        <v>19</v>
      </c>
      <c r="P73" s="9" t="s">
        <v>21</v>
      </c>
      <c r="Q73" s="9" t="s">
        <v>21</v>
      </c>
    </row>
    <row r="74" customFormat="false" ht="12.75" hidden="false" customHeight="false" outlineLevel="0" collapsed="false">
      <c r="A74" s="0" t="s">
        <v>177</v>
      </c>
      <c r="B74" s="8" t="s">
        <v>22</v>
      </c>
      <c r="C74" s="8" t="s">
        <v>181</v>
      </c>
      <c r="D74" s="0" t="n">
        <v>500</v>
      </c>
      <c r="E74" s="9" t="s">
        <v>19</v>
      </c>
      <c r="F74" s="9" t="s">
        <v>21</v>
      </c>
      <c r="G74" s="0" t="s">
        <v>25</v>
      </c>
      <c r="H74" s="2" t="n">
        <v>2</v>
      </c>
      <c r="I74" s="10" t="b">
        <v>0</v>
      </c>
      <c r="J74" s="10" t="b">
        <v>0</v>
      </c>
      <c r="K74" s="9" t="s">
        <v>21</v>
      </c>
      <c r="L74" s="9" t="s">
        <v>19</v>
      </c>
      <c r="M74" s="9" t="s">
        <v>19</v>
      </c>
      <c r="N74" s="9" t="s">
        <v>19</v>
      </c>
      <c r="O74" s="9" t="s">
        <v>19</v>
      </c>
      <c r="P74" s="9" t="s">
        <v>21</v>
      </c>
      <c r="Q74" s="9" t="s">
        <v>21</v>
      </c>
    </row>
    <row r="75" customFormat="false" ht="12.75" hidden="false" customHeight="false" outlineLevel="0" collapsed="false">
      <c r="A75" s="0" t="s">
        <v>182</v>
      </c>
      <c r="B75" s="0" t="s">
        <v>183</v>
      </c>
      <c r="C75" s="0" t="s">
        <v>184</v>
      </c>
      <c r="D75" s="0" t="n">
        <v>500</v>
      </c>
      <c r="E75" s="9" t="s">
        <v>19</v>
      </c>
      <c r="F75" s="9" t="s">
        <v>19</v>
      </c>
      <c r="G75" s="0" t="s">
        <v>42</v>
      </c>
      <c r="H75" s="2" t="n">
        <v>0</v>
      </c>
      <c r="I75" s="10" t="b">
        <v>0</v>
      </c>
      <c r="J75" s="10" t="b">
        <v>0</v>
      </c>
      <c r="K75" s="9" t="s">
        <v>21</v>
      </c>
      <c r="L75" s="9" t="s">
        <v>19</v>
      </c>
      <c r="M75" s="9" t="s">
        <v>19</v>
      </c>
      <c r="N75" s="9" t="s">
        <v>19</v>
      </c>
      <c r="O75" s="9" t="s">
        <v>19</v>
      </c>
      <c r="P75" s="9" t="s">
        <v>21</v>
      </c>
      <c r="Q75" s="9" t="s">
        <v>19</v>
      </c>
    </row>
    <row r="76" customFormat="false" ht="12.75" hidden="false" customHeight="false" outlineLevel="0" collapsed="false">
      <c r="A76" s="8" t="s">
        <v>185</v>
      </c>
      <c r="B76" s="8" t="s">
        <v>186</v>
      </c>
      <c r="C76" s="8" t="s">
        <v>187</v>
      </c>
      <c r="D76" s="0" t="n">
        <v>500</v>
      </c>
      <c r="E76" s="9" t="s">
        <v>19</v>
      </c>
      <c r="F76" s="9" t="s">
        <v>21</v>
      </c>
      <c r="G76" s="0" t="s">
        <v>188</v>
      </c>
      <c r="H76" s="2" t="n">
        <v>1</v>
      </c>
      <c r="I76" s="10" t="b">
        <v>0</v>
      </c>
      <c r="J76" s="10" t="b">
        <v>0</v>
      </c>
      <c r="K76" s="9" t="s">
        <v>21</v>
      </c>
      <c r="L76" s="9" t="s">
        <v>19</v>
      </c>
      <c r="M76" s="9" t="s">
        <v>19</v>
      </c>
      <c r="N76" s="9" t="s">
        <v>19</v>
      </c>
      <c r="O76" s="9" t="s">
        <v>19</v>
      </c>
      <c r="P76" s="9" t="s">
        <v>21</v>
      </c>
      <c r="Q76" s="9" t="s">
        <v>19</v>
      </c>
    </row>
    <row r="77" customFormat="false" ht="12.75" hidden="false" customHeight="false" outlineLevel="0" collapsed="false">
      <c r="A77" s="8" t="s">
        <v>189</v>
      </c>
      <c r="B77" s="8" t="s">
        <v>190</v>
      </c>
      <c r="C77" s="8" t="s">
        <v>191</v>
      </c>
      <c r="D77" s="0" t="n">
        <v>500</v>
      </c>
      <c r="E77" s="9" t="s">
        <v>19</v>
      </c>
      <c r="F77" s="9" t="s">
        <v>21</v>
      </c>
      <c r="G77" s="0" t="s">
        <v>188</v>
      </c>
      <c r="H77" s="2" t="n">
        <v>1</v>
      </c>
      <c r="I77" s="10" t="b">
        <v>0</v>
      </c>
      <c r="J77" s="10" t="b">
        <v>0</v>
      </c>
      <c r="K77" s="9" t="s">
        <v>21</v>
      </c>
      <c r="L77" s="9" t="s">
        <v>19</v>
      </c>
      <c r="M77" s="9" t="s">
        <v>19</v>
      </c>
      <c r="N77" s="9" t="s">
        <v>19</v>
      </c>
      <c r="O77" s="9" t="s">
        <v>19</v>
      </c>
      <c r="P77" s="9" t="s">
        <v>21</v>
      </c>
      <c r="Q77" s="9" t="s">
        <v>19</v>
      </c>
    </row>
    <row r="78" customFormat="false" ht="12.75" hidden="false" customHeight="false" outlineLevel="0" collapsed="false">
      <c r="A78" s="8" t="s">
        <v>186</v>
      </c>
      <c r="B78" s="0" t="s">
        <v>17</v>
      </c>
      <c r="C78" s="0" t="s">
        <v>192</v>
      </c>
      <c r="D78" s="0" t="n">
        <v>500</v>
      </c>
      <c r="E78" s="9" t="s">
        <v>19</v>
      </c>
      <c r="F78" s="9" t="s">
        <v>19</v>
      </c>
      <c r="G78" s="0" t="s">
        <v>188</v>
      </c>
      <c r="H78" s="2" t="n">
        <v>1</v>
      </c>
      <c r="I78" s="10" t="b">
        <v>0</v>
      </c>
      <c r="J78" s="10" t="b">
        <v>0</v>
      </c>
      <c r="K78" s="9" t="s">
        <v>21</v>
      </c>
      <c r="L78" s="9" t="s">
        <v>19</v>
      </c>
      <c r="M78" s="9" t="s">
        <v>19</v>
      </c>
      <c r="N78" s="9" t="s">
        <v>19</v>
      </c>
      <c r="O78" s="9" t="s">
        <v>19</v>
      </c>
      <c r="P78" s="9" t="s">
        <v>21</v>
      </c>
      <c r="Q78" s="9" t="s">
        <v>19</v>
      </c>
    </row>
    <row r="79" customFormat="false" ht="12.75" hidden="false" customHeight="false" outlineLevel="0" collapsed="false">
      <c r="A79" s="8" t="s">
        <v>193</v>
      </c>
      <c r="B79" s="8" t="s">
        <v>186</v>
      </c>
      <c r="C79" s="8" t="s">
        <v>194</v>
      </c>
      <c r="D79" s="0" t="n">
        <v>500</v>
      </c>
      <c r="E79" s="9" t="s">
        <v>19</v>
      </c>
      <c r="F79" s="9" t="s">
        <v>21</v>
      </c>
      <c r="G79" s="0" t="s">
        <v>188</v>
      </c>
      <c r="H79" s="2" t="n">
        <v>1</v>
      </c>
      <c r="I79" s="10" t="b">
        <v>0</v>
      </c>
      <c r="J79" s="10" t="b">
        <v>0</v>
      </c>
      <c r="K79" s="9" t="s">
        <v>21</v>
      </c>
      <c r="L79" s="9" t="s">
        <v>19</v>
      </c>
      <c r="M79" s="9" t="s">
        <v>19</v>
      </c>
      <c r="N79" s="9" t="s">
        <v>19</v>
      </c>
      <c r="O79" s="9" t="s">
        <v>19</v>
      </c>
      <c r="P79" s="9" t="s">
        <v>21</v>
      </c>
      <c r="Q79" s="9" t="s">
        <v>19</v>
      </c>
    </row>
    <row r="80" customFormat="false" ht="12.75" hidden="false" customHeight="false" outlineLevel="0" collapsed="false">
      <c r="A80" s="8" t="s">
        <v>195</v>
      </c>
      <c r="B80" s="8" t="s">
        <v>186</v>
      </c>
      <c r="C80" s="8" t="s">
        <v>196</v>
      </c>
      <c r="D80" s="0" t="n">
        <v>500</v>
      </c>
      <c r="E80" s="9" t="s">
        <v>19</v>
      </c>
      <c r="F80" s="9" t="s">
        <v>21</v>
      </c>
      <c r="G80" s="0" t="s">
        <v>188</v>
      </c>
      <c r="H80" s="2" t="n">
        <v>1</v>
      </c>
      <c r="I80" s="10" t="b">
        <v>0</v>
      </c>
      <c r="J80" s="10" t="b">
        <v>0</v>
      </c>
      <c r="K80" s="9" t="s">
        <v>21</v>
      </c>
      <c r="L80" s="9" t="s">
        <v>19</v>
      </c>
      <c r="M80" s="9" t="s">
        <v>19</v>
      </c>
      <c r="N80" s="9" t="s">
        <v>19</v>
      </c>
      <c r="O80" s="9" t="s">
        <v>19</v>
      </c>
      <c r="P80" s="9" t="s">
        <v>21</v>
      </c>
      <c r="Q80" s="9" t="s">
        <v>19</v>
      </c>
    </row>
    <row r="81" customFormat="false" ht="12.75" hidden="false" customHeight="false" outlineLevel="0" collapsed="false">
      <c r="A81" s="0" t="s">
        <v>197</v>
      </c>
      <c r="B81" s="0" t="s">
        <v>17</v>
      </c>
      <c r="C81" s="0" t="s">
        <v>198</v>
      </c>
      <c r="D81" s="0" t="n">
        <v>500</v>
      </c>
      <c r="E81" s="9" t="s">
        <v>19</v>
      </c>
      <c r="F81" s="9" t="s">
        <v>19</v>
      </c>
      <c r="G81" s="0" t="s">
        <v>115</v>
      </c>
      <c r="H81" s="2" t="n">
        <v>0</v>
      </c>
      <c r="I81" s="10" t="b">
        <v>1</v>
      </c>
      <c r="J81" s="10" t="b">
        <v>1</v>
      </c>
      <c r="K81" s="9" t="s">
        <v>21</v>
      </c>
      <c r="L81" s="9" t="s">
        <v>19</v>
      </c>
      <c r="M81" s="9" t="s">
        <v>19</v>
      </c>
      <c r="N81" s="9" t="s">
        <v>19</v>
      </c>
      <c r="O81" s="9" t="s">
        <v>19</v>
      </c>
      <c r="P81" s="9" t="s">
        <v>21</v>
      </c>
      <c r="Q81" s="9" t="s">
        <v>19</v>
      </c>
    </row>
    <row r="82" customFormat="false" ht="12.75" hidden="false" customHeight="false" outlineLevel="0" collapsed="false">
      <c r="A82" s="0" t="s">
        <v>183</v>
      </c>
      <c r="B82" s="0" t="s">
        <v>17</v>
      </c>
      <c r="C82" s="0" t="s">
        <v>199</v>
      </c>
      <c r="D82" s="0" t="n">
        <v>500</v>
      </c>
      <c r="E82" s="9" t="s">
        <v>19</v>
      </c>
      <c r="F82" s="9" t="s">
        <v>19</v>
      </c>
      <c r="G82" s="0" t="s">
        <v>42</v>
      </c>
      <c r="H82" s="2" t="n">
        <v>0</v>
      </c>
      <c r="I82" s="10" t="b">
        <v>0</v>
      </c>
      <c r="J82" s="10" t="b">
        <v>0</v>
      </c>
      <c r="K82" s="9" t="s">
        <v>21</v>
      </c>
      <c r="L82" s="9" t="s">
        <v>19</v>
      </c>
      <c r="M82" s="9" t="s">
        <v>19</v>
      </c>
      <c r="N82" s="9" t="s">
        <v>19</v>
      </c>
      <c r="O82" s="9" t="s">
        <v>19</v>
      </c>
      <c r="P82" s="9" t="s">
        <v>21</v>
      </c>
      <c r="Q82" s="9" t="s">
        <v>19</v>
      </c>
    </row>
    <row r="83" customFormat="false" ht="12.75" hidden="false" customHeight="false" outlineLevel="0" collapsed="false">
      <c r="A83" s="8" t="s">
        <v>200</v>
      </c>
      <c r="B83" s="0" t="s">
        <v>17</v>
      </c>
      <c r="C83" s="0" t="s">
        <v>201</v>
      </c>
      <c r="D83" s="0" t="n">
        <v>500</v>
      </c>
      <c r="E83" s="9" t="s">
        <v>19</v>
      </c>
      <c r="F83" s="9" t="s">
        <v>19</v>
      </c>
      <c r="G83" s="0" t="s">
        <v>42</v>
      </c>
      <c r="H83" s="2" t="n">
        <v>0</v>
      </c>
      <c r="I83" s="10" t="b">
        <v>1</v>
      </c>
      <c r="J83" s="10" t="b">
        <v>0</v>
      </c>
      <c r="K83" s="9" t="s">
        <v>21</v>
      </c>
      <c r="L83" s="9" t="s">
        <v>19</v>
      </c>
      <c r="M83" s="9" t="s">
        <v>19</v>
      </c>
      <c r="N83" s="9" t="s">
        <v>19</v>
      </c>
      <c r="O83" s="9" t="s">
        <v>19</v>
      </c>
      <c r="P83" s="9" t="s">
        <v>21</v>
      </c>
      <c r="Q83" s="9" t="s">
        <v>19</v>
      </c>
    </row>
    <row r="84" customFormat="false" ht="12.75" hidden="false" customHeight="false" outlineLevel="0" collapsed="false">
      <c r="A84" s="0" t="s">
        <v>202</v>
      </c>
      <c r="B84" s="0" t="s">
        <v>17</v>
      </c>
      <c r="C84" s="0" t="s">
        <v>203</v>
      </c>
      <c r="D84" s="0" t="n">
        <v>500</v>
      </c>
      <c r="E84" s="9" t="s">
        <v>19</v>
      </c>
      <c r="F84" s="9" t="s">
        <v>19</v>
      </c>
      <c r="G84" s="0" t="s">
        <v>42</v>
      </c>
      <c r="H84" s="2" t="n">
        <v>0</v>
      </c>
      <c r="I84" s="10" t="b">
        <v>0</v>
      </c>
      <c r="J84" s="10" t="b">
        <v>0</v>
      </c>
      <c r="K84" s="9" t="s">
        <v>21</v>
      </c>
      <c r="L84" s="9" t="s">
        <v>19</v>
      </c>
      <c r="M84" s="9" t="s">
        <v>19</v>
      </c>
      <c r="N84" s="9" t="s">
        <v>19</v>
      </c>
      <c r="O84" s="9" t="s">
        <v>19</v>
      </c>
      <c r="P84" s="9" t="s">
        <v>21</v>
      </c>
      <c r="Q84" s="9" t="s">
        <v>19</v>
      </c>
    </row>
    <row r="85" customFormat="false" ht="12.75" hidden="false" customHeight="false" outlineLevel="0" collapsed="false">
      <c r="A85" s="0" t="s">
        <v>204</v>
      </c>
      <c r="B85" s="0" t="s">
        <v>17</v>
      </c>
      <c r="C85" s="0" t="s">
        <v>205</v>
      </c>
      <c r="D85" s="0" t="n">
        <v>500</v>
      </c>
      <c r="E85" s="9" t="s">
        <v>21</v>
      </c>
      <c r="F85" s="9" t="s">
        <v>19</v>
      </c>
      <c r="G85" s="0" t="s">
        <v>206</v>
      </c>
      <c r="H85" s="2" t="n">
        <v>0</v>
      </c>
      <c r="I85" s="10" t="b">
        <v>1</v>
      </c>
      <c r="J85" s="10" t="b">
        <v>1</v>
      </c>
      <c r="K85" s="9" t="s">
        <v>21</v>
      </c>
      <c r="L85" s="9" t="s">
        <v>19</v>
      </c>
      <c r="M85" s="9" t="s">
        <v>19</v>
      </c>
      <c r="N85" s="9" t="s">
        <v>19</v>
      </c>
      <c r="O85" s="9" t="s">
        <v>19</v>
      </c>
      <c r="P85" s="9" t="s">
        <v>19</v>
      </c>
      <c r="Q85" s="9" t="s">
        <v>19</v>
      </c>
    </row>
    <row r="86" customFormat="false" ht="12.75" hidden="false" customHeight="false" outlineLevel="0" collapsed="false">
      <c r="A86" s="8" t="s">
        <v>207</v>
      </c>
      <c r="B86" s="8" t="s">
        <v>27</v>
      </c>
      <c r="C86" s="8" t="s">
        <v>208</v>
      </c>
      <c r="D86" s="0" t="n">
        <v>500</v>
      </c>
      <c r="E86" s="9" t="s">
        <v>19</v>
      </c>
      <c r="F86" s="9" t="s">
        <v>19</v>
      </c>
      <c r="G86" s="0" t="s">
        <v>29</v>
      </c>
      <c r="H86" s="2" t="n">
        <v>1</v>
      </c>
      <c r="I86" s="10" t="b">
        <v>0</v>
      </c>
      <c r="J86" s="10" t="b">
        <v>1</v>
      </c>
      <c r="K86" s="9" t="s">
        <v>21</v>
      </c>
      <c r="L86" s="9" t="s">
        <v>19</v>
      </c>
      <c r="M86" s="9" t="s">
        <v>19</v>
      </c>
      <c r="N86" s="9" t="s">
        <v>19</v>
      </c>
      <c r="O86" s="9" t="s">
        <v>19</v>
      </c>
      <c r="P86" s="9" t="s">
        <v>21</v>
      </c>
      <c r="Q86" s="9" t="s">
        <v>19</v>
      </c>
    </row>
    <row r="87" customFormat="false" ht="12.75" hidden="false" customHeight="false" outlineLevel="0" collapsed="false">
      <c r="A87" s="0" t="s">
        <v>135</v>
      </c>
      <c r="B87" s="0" t="s">
        <v>17</v>
      </c>
      <c r="C87" s="8" t="s">
        <v>209</v>
      </c>
      <c r="D87" s="0" t="n">
        <v>500</v>
      </c>
      <c r="E87" s="9" t="s">
        <v>21</v>
      </c>
      <c r="F87" s="9" t="s">
        <v>19</v>
      </c>
      <c r="G87" s="0" t="s">
        <v>133</v>
      </c>
      <c r="H87" s="2" t="n">
        <v>0</v>
      </c>
      <c r="I87" s="10" t="b">
        <v>0</v>
      </c>
      <c r="J87" s="10" t="b">
        <v>0</v>
      </c>
      <c r="K87" s="9" t="s">
        <v>21</v>
      </c>
      <c r="L87" s="9" t="s">
        <v>19</v>
      </c>
      <c r="M87" s="9" t="s">
        <v>19</v>
      </c>
      <c r="N87" s="9" t="s">
        <v>21</v>
      </c>
      <c r="O87" s="9" t="s">
        <v>19</v>
      </c>
      <c r="P87" s="9" t="s">
        <v>19</v>
      </c>
      <c r="Q87" s="9" t="s">
        <v>19</v>
      </c>
    </row>
    <row r="88" customFormat="false" ht="12.75" hidden="false" customHeight="false" outlineLevel="0" collapsed="false">
      <c r="A88" s="0" t="s">
        <v>210</v>
      </c>
      <c r="B88" s="0" t="s">
        <v>130</v>
      </c>
      <c r="C88" s="0" t="s">
        <v>211</v>
      </c>
      <c r="D88" s="0" t="n">
        <v>500</v>
      </c>
      <c r="E88" s="9" t="s">
        <v>19</v>
      </c>
      <c r="F88" s="9" t="s">
        <v>19</v>
      </c>
      <c r="G88" s="0" t="s">
        <v>133</v>
      </c>
      <c r="H88" s="2" t="n">
        <v>0</v>
      </c>
      <c r="I88" s="10" t="b">
        <v>0</v>
      </c>
      <c r="J88" s="10" t="b">
        <v>0</v>
      </c>
      <c r="K88" s="9" t="s">
        <v>21</v>
      </c>
      <c r="L88" s="9" t="s">
        <v>19</v>
      </c>
      <c r="M88" s="9" t="s">
        <v>19</v>
      </c>
      <c r="N88" s="9" t="s">
        <v>21</v>
      </c>
      <c r="O88" s="9" t="s">
        <v>19</v>
      </c>
      <c r="P88" s="9" t="s">
        <v>19</v>
      </c>
      <c r="Q88" s="9" t="s">
        <v>19</v>
      </c>
    </row>
    <row r="89" customFormat="false" ht="12.75" hidden="false" customHeight="false" outlineLevel="0" collapsed="false">
      <c r="A89" s="0" t="s">
        <v>212</v>
      </c>
      <c r="B89" s="0" t="s">
        <v>210</v>
      </c>
      <c r="C89" s="0" t="s">
        <v>213</v>
      </c>
      <c r="D89" s="0" t="n">
        <v>500</v>
      </c>
      <c r="E89" s="9" t="s">
        <v>19</v>
      </c>
      <c r="F89" s="9" t="s">
        <v>19</v>
      </c>
      <c r="G89" s="0" t="s">
        <v>133</v>
      </c>
      <c r="H89" s="2" t="n">
        <v>0</v>
      </c>
      <c r="I89" s="10" t="b">
        <v>0</v>
      </c>
      <c r="J89" s="10" t="b">
        <v>0</v>
      </c>
      <c r="K89" s="9" t="s">
        <v>21</v>
      </c>
      <c r="L89" s="9" t="s">
        <v>19</v>
      </c>
      <c r="M89" s="9" t="s">
        <v>19</v>
      </c>
      <c r="N89" s="9" t="s">
        <v>21</v>
      </c>
      <c r="O89" s="9" t="s">
        <v>19</v>
      </c>
      <c r="P89" s="9" t="s">
        <v>19</v>
      </c>
      <c r="Q89" s="9" t="s">
        <v>19</v>
      </c>
    </row>
    <row r="90" customFormat="false" ht="12.75" hidden="false" customHeight="false" outlineLevel="0" collapsed="false">
      <c r="A90" s="8" t="s">
        <v>214</v>
      </c>
      <c r="B90" s="0" t="s">
        <v>215</v>
      </c>
      <c r="C90" s="0" t="s">
        <v>216</v>
      </c>
      <c r="D90" s="0" t="n">
        <v>500</v>
      </c>
      <c r="E90" s="9" t="s">
        <v>19</v>
      </c>
      <c r="F90" s="9" t="s">
        <v>19</v>
      </c>
      <c r="G90" s="0" t="s">
        <v>33</v>
      </c>
      <c r="H90" s="2" t="n">
        <v>3</v>
      </c>
      <c r="I90" s="10" t="b">
        <v>0</v>
      </c>
      <c r="J90" s="10" t="b">
        <v>1</v>
      </c>
      <c r="K90" s="9" t="s">
        <v>21</v>
      </c>
      <c r="L90" s="9" t="s">
        <v>19</v>
      </c>
      <c r="M90" s="9" t="s">
        <v>19</v>
      </c>
      <c r="N90" s="9" t="s">
        <v>19</v>
      </c>
      <c r="O90" s="9" t="s">
        <v>19</v>
      </c>
      <c r="P90" s="9" t="s">
        <v>21</v>
      </c>
      <c r="Q90" s="9" t="s">
        <v>19</v>
      </c>
    </row>
    <row r="91" customFormat="false" ht="12.75" hidden="false" customHeight="false" outlineLevel="0" collapsed="false">
      <c r="A91" s="8" t="s">
        <v>215</v>
      </c>
      <c r="B91" s="0" t="s">
        <v>17</v>
      </c>
      <c r="C91" s="0" t="s">
        <v>217</v>
      </c>
      <c r="D91" s="0" t="n">
        <v>500</v>
      </c>
      <c r="E91" s="9" t="s">
        <v>19</v>
      </c>
      <c r="F91" s="9" t="s">
        <v>19</v>
      </c>
      <c r="G91" s="0" t="s">
        <v>33</v>
      </c>
      <c r="H91" s="2" t="n">
        <v>3</v>
      </c>
      <c r="I91" s="10" t="b">
        <v>0</v>
      </c>
      <c r="J91" s="10" t="b">
        <v>1</v>
      </c>
      <c r="K91" s="9" t="s">
        <v>21</v>
      </c>
      <c r="L91" s="9" t="s">
        <v>19</v>
      </c>
      <c r="M91" s="9" t="s">
        <v>19</v>
      </c>
      <c r="N91" s="9" t="s">
        <v>19</v>
      </c>
      <c r="O91" s="9" t="s">
        <v>19</v>
      </c>
      <c r="P91" s="9" t="s">
        <v>21</v>
      </c>
      <c r="Q91" s="9" t="s">
        <v>19</v>
      </c>
    </row>
    <row r="92" customFormat="false" ht="12.75" hidden="false" customHeight="false" outlineLevel="0" collapsed="false">
      <c r="A92" s="8" t="s">
        <v>218</v>
      </c>
      <c r="B92" s="8" t="s">
        <v>27</v>
      </c>
      <c r="C92" s="8" t="s">
        <v>219</v>
      </c>
      <c r="D92" s="0" t="n">
        <v>500</v>
      </c>
      <c r="E92" s="9" t="s">
        <v>19</v>
      </c>
      <c r="F92" s="9" t="s">
        <v>19</v>
      </c>
      <c r="G92" s="0" t="s">
        <v>29</v>
      </c>
      <c r="H92" s="2" t="n">
        <v>1</v>
      </c>
      <c r="I92" s="10" t="b">
        <v>0</v>
      </c>
      <c r="J92" s="10" t="b">
        <v>0</v>
      </c>
      <c r="K92" s="9" t="s">
        <v>21</v>
      </c>
      <c r="L92" s="9" t="s">
        <v>19</v>
      </c>
      <c r="M92" s="9" t="s">
        <v>19</v>
      </c>
      <c r="N92" s="9" t="s">
        <v>19</v>
      </c>
      <c r="O92" s="9" t="s">
        <v>19</v>
      </c>
      <c r="P92" s="9" t="s">
        <v>21</v>
      </c>
      <c r="Q92" s="9" t="s">
        <v>19</v>
      </c>
    </row>
    <row r="93" customFormat="false" ht="12.75" hidden="false" customHeight="false" outlineLevel="0" collapsed="false">
      <c r="A93" s="0" t="s">
        <v>220</v>
      </c>
      <c r="B93" s="0" t="s">
        <v>23</v>
      </c>
      <c r="C93" s="0" t="s">
        <v>221</v>
      </c>
      <c r="D93" s="0" t="n">
        <v>500</v>
      </c>
      <c r="E93" s="9" t="s">
        <v>19</v>
      </c>
      <c r="F93" s="9" t="s">
        <v>21</v>
      </c>
      <c r="G93" s="0" t="s">
        <v>25</v>
      </c>
      <c r="H93" s="2" t="n">
        <v>2</v>
      </c>
      <c r="I93" s="10" t="b">
        <v>0</v>
      </c>
      <c r="J93" s="10" t="b">
        <v>0</v>
      </c>
      <c r="K93" s="9" t="s">
        <v>21</v>
      </c>
      <c r="L93" s="9" t="s">
        <v>19</v>
      </c>
      <c r="M93" s="9" t="s">
        <v>19</v>
      </c>
      <c r="N93" s="9" t="s">
        <v>19</v>
      </c>
      <c r="O93" s="9" t="s">
        <v>21</v>
      </c>
      <c r="P93" s="9" t="s">
        <v>21</v>
      </c>
      <c r="Q93" s="9" t="s">
        <v>21</v>
      </c>
    </row>
    <row r="94" customFormat="false" ht="12.75" hidden="false" customHeight="false" outlineLevel="0" collapsed="false">
      <c r="A94" s="0" t="s">
        <v>31</v>
      </c>
      <c r="B94" s="0" t="s">
        <v>17</v>
      </c>
      <c r="C94" s="0" t="s">
        <v>222</v>
      </c>
      <c r="D94" s="0" t="n">
        <v>500</v>
      </c>
      <c r="E94" s="9" t="s">
        <v>19</v>
      </c>
      <c r="F94" s="9" t="s">
        <v>19</v>
      </c>
      <c r="G94" s="0" t="s">
        <v>33</v>
      </c>
      <c r="H94" s="2" t="n">
        <v>3</v>
      </c>
      <c r="I94" s="10" t="b">
        <v>0</v>
      </c>
      <c r="J94" s="10" t="b">
        <v>1</v>
      </c>
      <c r="K94" s="9" t="s">
        <v>21</v>
      </c>
      <c r="L94" s="9" t="s">
        <v>19</v>
      </c>
      <c r="M94" s="9" t="s">
        <v>19</v>
      </c>
      <c r="N94" s="9" t="s">
        <v>19</v>
      </c>
      <c r="O94" s="9" t="s">
        <v>19</v>
      </c>
      <c r="P94" s="9" t="s">
        <v>21</v>
      </c>
      <c r="Q94" s="9" t="s">
        <v>19</v>
      </c>
    </row>
    <row r="95" customFormat="false" ht="12.75" hidden="false" customHeight="false" outlineLevel="0" collapsed="false">
      <c r="A95" s="8" t="s">
        <v>223</v>
      </c>
      <c r="B95" s="0" t="s">
        <v>17</v>
      </c>
      <c r="C95" s="0" t="s">
        <v>224</v>
      </c>
      <c r="D95" s="0" t="n">
        <v>500</v>
      </c>
      <c r="E95" s="9" t="s">
        <v>19</v>
      </c>
      <c r="F95" s="9" t="s">
        <v>19</v>
      </c>
      <c r="G95" s="0" t="s">
        <v>188</v>
      </c>
      <c r="H95" s="2" t="n">
        <v>1</v>
      </c>
      <c r="I95" s="10" t="b">
        <v>0</v>
      </c>
      <c r="J95" s="10" t="b">
        <v>0</v>
      </c>
      <c r="K95" s="9" t="s">
        <v>21</v>
      </c>
      <c r="L95" s="9" t="s">
        <v>19</v>
      </c>
      <c r="M95" s="9" t="s">
        <v>19</v>
      </c>
      <c r="N95" s="9" t="s">
        <v>19</v>
      </c>
      <c r="O95" s="9" t="s">
        <v>19</v>
      </c>
      <c r="P95" s="9" t="s">
        <v>21</v>
      </c>
      <c r="Q95" s="9" t="s">
        <v>19</v>
      </c>
    </row>
    <row r="96" customFormat="false" ht="12.75" hidden="false" customHeight="false" outlineLevel="0" collapsed="false">
      <c r="A96" s="0" t="s">
        <v>225</v>
      </c>
      <c r="B96" s="0" t="s">
        <v>38</v>
      </c>
      <c r="C96" s="0" t="s">
        <v>226</v>
      </c>
      <c r="D96" s="0" t="n">
        <v>500</v>
      </c>
      <c r="E96" s="9" t="s">
        <v>19</v>
      </c>
      <c r="F96" s="9" t="s">
        <v>21</v>
      </c>
      <c r="G96" s="0" t="s">
        <v>25</v>
      </c>
      <c r="H96" s="2" t="n">
        <v>2</v>
      </c>
      <c r="I96" s="10" t="b">
        <v>0</v>
      </c>
      <c r="J96" s="10" t="b">
        <v>0</v>
      </c>
      <c r="K96" s="9" t="s">
        <v>21</v>
      </c>
      <c r="L96" s="9" t="s">
        <v>19</v>
      </c>
      <c r="M96" s="9" t="s">
        <v>19</v>
      </c>
      <c r="N96" s="9" t="s">
        <v>19</v>
      </c>
      <c r="O96" s="9" t="s">
        <v>21</v>
      </c>
      <c r="P96" s="9" t="s">
        <v>21</v>
      </c>
      <c r="Q96" s="9" t="s">
        <v>21</v>
      </c>
    </row>
    <row r="97" customFormat="false" ht="12.75" hidden="false" customHeight="false" outlineLevel="0" collapsed="false">
      <c r="A97" s="0" t="s">
        <v>227</v>
      </c>
      <c r="B97" s="0" t="s">
        <v>17</v>
      </c>
      <c r="C97" s="0" t="s">
        <v>228</v>
      </c>
      <c r="D97" s="0" t="n">
        <v>500</v>
      </c>
      <c r="E97" s="9" t="s">
        <v>19</v>
      </c>
      <c r="F97" s="9" t="s">
        <v>21</v>
      </c>
      <c r="G97" s="0" t="s">
        <v>229</v>
      </c>
      <c r="H97" s="2" t="n">
        <v>0</v>
      </c>
      <c r="I97" s="10" t="b">
        <v>0</v>
      </c>
      <c r="J97" s="10" t="b">
        <v>0</v>
      </c>
      <c r="K97" s="9" t="s">
        <v>21</v>
      </c>
      <c r="L97" s="9" t="s">
        <v>19</v>
      </c>
      <c r="M97" s="9" t="s">
        <v>19</v>
      </c>
      <c r="N97" s="9" t="s">
        <v>19</v>
      </c>
      <c r="O97" s="9" t="s">
        <v>19</v>
      </c>
      <c r="P97" s="9" t="s">
        <v>21</v>
      </c>
      <c r="Q97" s="9" t="s">
        <v>19</v>
      </c>
    </row>
    <row r="98" customFormat="false" ht="12.75" hidden="false" customHeight="false" outlineLevel="0" collapsed="false">
      <c r="A98" s="0" t="s">
        <v>230</v>
      </c>
      <c r="B98" s="0" t="s">
        <v>17</v>
      </c>
      <c r="C98" s="0" t="s">
        <v>231</v>
      </c>
      <c r="D98" s="0" t="n">
        <v>500</v>
      </c>
      <c r="E98" s="9" t="s">
        <v>19</v>
      </c>
      <c r="F98" s="9" t="s">
        <v>21</v>
      </c>
      <c r="G98" s="0" t="s">
        <v>229</v>
      </c>
      <c r="H98" s="2" t="n">
        <v>0</v>
      </c>
      <c r="I98" s="10" t="b">
        <v>0</v>
      </c>
      <c r="J98" s="10" t="b">
        <v>0</v>
      </c>
      <c r="K98" s="9" t="s">
        <v>21</v>
      </c>
      <c r="L98" s="9" t="s">
        <v>19</v>
      </c>
      <c r="M98" s="9" t="s">
        <v>19</v>
      </c>
      <c r="N98" s="9" t="s">
        <v>19</v>
      </c>
      <c r="O98" s="9" t="s">
        <v>19</v>
      </c>
      <c r="P98" s="9" t="s">
        <v>21</v>
      </c>
      <c r="Q98" s="9" t="s">
        <v>19</v>
      </c>
    </row>
    <row r="99" customFormat="false" ht="12.75" hidden="false" customHeight="false" outlineLevel="0" collapsed="false">
      <c r="A99" s="0" t="s">
        <v>232</v>
      </c>
      <c r="B99" s="0" t="s">
        <v>17</v>
      </c>
      <c r="C99" s="0" t="s">
        <v>233</v>
      </c>
      <c r="D99" s="0" t="n">
        <v>500</v>
      </c>
      <c r="E99" s="9" t="s">
        <v>19</v>
      </c>
      <c r="F99" s="9" t="s">
        <v>21</v>
      </c>
      <c r="G99" s="0" t="s">
        <v>229</v>
      </c>
      <c r="H99" s="2" t="n">
        <v>0</v>
      </c>
      <c r="I99" s="10" t="b">
        <v>0</v>
      </c>
      <c r="J99" s="10" t="b">
        <v>0</v>
      </c>
      <c r="K99" s="9" t="s">
        <v>21</v>
      </c>
      <c r="L99" s="9" t="s">
        <v>19</v>
      </c>
      <c r="M99" s="9" t="s">
        <v>19</v>
      </c>
      <c r="N99" s="9" t="s">
        <v>19</v>
      </c>
      <c r="O99" s="9" t="s">
        <v>19</v>
      </c>
      <c r="P99" s="9" t="s">
        <v>21</v>
      </c>
      <c r="Q99" s="9" t="s">
        <v>19</v>
      </c>
    </row>
    <row r="100" customFormat="false" ht="12.75" hidden="false" customHeight="false" outlineLevel="0" collapsed="false">
      <c r="A100" s="0" t="s">
        <v>234</v>
      </c>
      <c r="B100" s="0" t="s">
        <v>17</v>
      </c>
      <c r="C100" s="0" t="s">
        <v>235</v>
      </c>
      <c r="D100" s="0" t="n">
        <v>500</v>
      </c>
      <c r="E100" s="9" t="s">
        <v>19</v>
      </c>
      <c r="F100" s="9" t="s">
        <v>21</v>
      </c>
      <c r="G100" s="0" t="s">
        <v>229</v>
      </c>
      <c r="H100" s="2" t="n">
        <v>0</v>
      </c>
      <c r="I100" s="10" t="b">
        <v>0</v>
      </c>
      <c r="J100" s="10" t="b">
        <v>0</v>
      </c>
      <c r="K100" s="9" t="s">
        <v>21</v>
      </c>
      <c r="L100" s="9" t="s">
        <v>19</v>
      </c>
      <c r="M100" s="9" t="s">
        <v>19</v>
      </c>
      <c r="N100" s="9" t="s">
        <v>19</v>
      </c>
      <c r="O100" s="9" t="s">
        <v>19</v>
      </c>
      <c r="P100" s="9" t="s">
        <v>21</v>
      </c>
      <c r="Q100" s="9" t="s">
        <v>19</v>
      </c>
    </row>
    <row r="101" customFormat="false" ht="12.75" hidden="false" customHeight="false" outlineLevel="0" collapsed="false">
      <c r="A101" s="0" t="s">
        <v>236</v>
      </c>
      <c r="B101" s="0" t="s">
        <v>17</v>
      </c>
      <c r="C101" s="0" t="s">
        <v>237</v>
      </c>
      <c r="D101" s="0" t="n">
        <v>500</v>
      </c>
      <c r="E101" s="9" t="s">
        <v>19</v>
      </c>
      <c r="F101" s="9" t="s">
        <v>21</v>
      </c>
      <c r="G101" s="0" t="s">
        <v>229</v>
      </c>
      <c r="H101" s="2" t="n">
        <v>0</v>
      </c>
      <c r="I101" s="10" t="b">
        <v>0</v>
      </c>
      <c r="J101" s="10" t="b">
        <v>0</v>
      </c>
      <c r="K101" s="9" t="s">
        <v>21</v>
      </c>
      <c r="L101" s="9" t="s">
        <v>19</v>
      </c>
      <c r="M101" s="9" t="s">
        <v>19</v>
      </c>
      <c r="N101" s="9" t="s">
        <v>19</v>
      </c>
      <c r="O101" s="9" t="s">
        <v>19</v>
      </c>
      <c r="P101" s="9" t="s">
        <v>21</v>
      </c>
      <c r="Q101" s="9" t="s">
        <v>19</v>
      </c>
    </row>
    <row r="102" customFormat="false" ht="12.75" hidden="false" customHeight="false" outlineLevel="0" collapsed="false">
      <c r="A102" s="0" t="s">
        <v>238</v>
      </c>
      <c r="B102" s="0" t="s">
        <v>17</v>
      </c>
      <c r="C102" s="0" t="s">
        <v>239</v>
      </c>
      <c r="D102" s="0" t="n">
        <v>500</v>
      </c>
      <c r="E102" s="9" t="s">
        <v>19</v>
      </c>
      <c r="F102" s="9" t="s">
        <v>21</v>
      </c>
      <c r="G102" s="0" t="s">
        <v>229</v>
      </c>
      <c r="H102" s="2" t="n">
        <v>0</v>
      </c>
      <c r="I102" s="10" t="b">
        <v>0</v>
      </c>
      <c r="J102" s="10" t="b">
        <v>0</v>
      </c>
      <c r="K102" s="9" t="s">
        <v>21</v>
      </c>
      <c r="L102" s="9" t="s">
        <v>19</v>
      </c>
      <c r="M102" s="9" t="s">
        <v>19</v>
      </c>
      <c r="N102" s="9" t="s">
        <v>19</v>
      </c>
      <c r="O102" s="9" t="s">
        <v>19</v>
      </c>
      <c r="P102" s="9" t="s">
        <v>21</v>
      </c>
      <c r="Q102" s="9" t="s">
        <v>19</v>
      </c>
    </row>
    <row r="103" customFormat="false" ht="12.75" hidden="false" customHeight="false" outlineLevel="0" collapsed="false">
      <c r="A103" s="0" t="s">
        <v>240</v>
      </c>
      <c r="B103" s="0" t="s">
        <v>17</v>
      </c>
      <c r="C103" s="0" t="s">
        <v>241</v>
      </c>
      <c r="D103" s="0" t="n">
        <v>500</v>
      </c>
      <c r="E103" s="9" t="s">
        <v>19</v>
      </c>
      <c r="F103" s="9" t="s">
        <v>21</v>
      </c>
      <c r="G103" s="0" t="s">
        <v>229</v>
      </c>
      <c r="H103" s="2" t="n">
        <v>0</v>
      </c>
      <c r="I103" s="10" t="b">
        <v>0</v>
      </c>
      <c r="J103" s="10" t="b">
        <v>0</v>
      </c>
      <c r="K103" s="9" t="s">
        <v>21</v>
      </c>
      <c r="L103" s="9" t="s">
        <v>19</v>
      </c>
      <c r="M103" s="9" t="s">
        <v>19</v>
      </c>
      <c r="N103" s="9" t="s">
        <v>19</v>
      </c>
      <c r="O103" s="9" t="s">
        <v>19</v>
      </c>
      <c r="P103" s="9" t="s">
        <v>21</v>
      </c>
      <c r="Q103" s="9" t="s">
        <v>19</v>
      </c>
    </row>
    <row r="104" customFormat="false" ht="13.5" hidden="false" customHeight="true" outlineLevel="0" collapsed="false">
      <c r="A104" s="8" t="s">
        <v>242</v>
      </c>
      <c r="B104" s="0" t="s">
        <v>17</v>
      </c>
      <c r="C104" s="0" t="s">
        <v>243</v>
      </c>
      <c r="D104" s="0" t="n">
        <v>500</v>
      </c>
      <c r="E104" s="9" t="s">
        <v>19</v>
      </c>
      <c r="F104" s="9" t="s">
        <v>19</v>
      </c>
      <c r="G104" s="0" t="s">
        <v>42</v>
      </c>
      <c r="H104" s="2" t="n">
        <v>0</v>
      </c>
      <c r="I104" s="10" t="b">
        <v>0</v>
      </c>
      <c r="J104" s="10" t="b">
        <v>0</v>
      </c>
      <c r="K104" s="9" t="s">
        <v>21</v>
      </c>
      <c r="L104" s="9" t="s">
        <v>19</v>
      </c>
      <c r="M104" s="9" t="s">
        <v>19</v>
      </c>
      <c r="N104" s="9" t="s">
        <v>19</v>
      </c>
      <c r="O104" s="9" t="s">
        <v>19</v>
      </c>
      <c r="P104" s="9" t="s">
        <v>21</v>
      </c>
      <c r="Q104" s="9" t="s">
        <v>19</v>
      </c>
    </row>
    <row r="105" customFormat="false" ht="12.75" hidden="false" customHeight="false" outlineLevel="0" collapsed="false">
      <c r="A105" s="8" t="s">
        <v>244</v>
      </c>
      <c r="B105" s="0" t="s">
        <v>17</v>
      </c>
      <c r="C105" s="0" t="s">
        <v>245</v>
      </c>
      <c r="D105" s="0" t="n">
        <v>500</v>
      </c>
      <c r="E105" s="9" t="s">
        <v>19</v>
      </c>
      <c r="F105" s="9" t="s">
        <v>19</v>
      </c>
      <c r="G105" s="0" t="s">
        <v>42</v>
      </c>
      <c r="H105" s="2" t="n">
        <v>0</v>
      </c>
      <c r="I105" s="10" t="b">
        <v>0</v>
      </c>
      <c r="J105" s="10" t="b">
        <v>0</v>
      </c>
      <c r="K105" s="9" t="s">
        <v>21</v>
      </c>
      <c r="L105" s="9" t="s">
        <v>19</v>
      </c>
      <c r="M105" s="9" t="s">
        <v>19</v>
      </c>
      <c r="N105" s="9" t="s">
        <v>19</v>
      </c>
      <c r="O105" s="9" t="s">
        <v>19</v>
      </c>
      <c r="P105" s="9" t="s">
        <v>21</v>
      </c>
      <c r="Q105" s="9" t="s">
        <v>19</v>
      </c>
    </row>
    <row r="106" customFormat="false" ht="12.75" hidden="false" customHeight="false" outlineLevel="0" collapsed="false">
      <c r="A106" s="8" t="s">
        <v>246</v>
      </c>
      <c r="B106" s="8" t="s">
        <v>22</v>
      </c>
      <c r="C106" s="8" t="s">
        <v>247</v>
      </c>
      <c r="D106" s="0" t="n">
        <v>500</v>
      </c>
      <c r="E106" s="9" t="s">
        <v>19</v>
      </c>
      <c r="F106" s="9" t="s">
        <v>21</v>
      </c>
      <c r="G106" s="0" t="s">
        <v>25</v>
      </c>
      <c r="H106" s="2" t="n">
        <v>2</v>
      </c>
      <c r="I106" s="10" t="b">
        <v>0</v>
      </c>
      <c r="J106" s="10" t="b">
        <v>0</v>
      </c>
      <c r="K106" s="9" t="s">
        <v>21</v>
      </c>
      <c r="L106" s="9" t="s">
        <v>19</v>
      </c>
      <c r="M106" s="9" t="s">
        <v>19</v>
      </c>
      <c r="N106" s="9" t="s">
        <v>19</v>
      </c>
      <c r="O106" s="9" t="s">
        <v>19</v>
      </c>
      <c r="P106" s="9" t="s">
        <v>21</v>
      </c>
      <c r="Q106" s="9" t="s">
        <v>21</v>
      </c>
    </row>
    <row r="107" customFormat="false" ht="12.75" hidden="false" customHeight="false" outlineLevel="0" collapsed="false">
      <c r="A107" s="0" t="s">
        <v>248</v>
      </c>
      <c r="B107" s="0" t="s">
        <v>17</v>
      </c>
      <c r="C107" s="0" t="s">
        <v>249</v>
      </c>
      <c r="D107" s="0" t="n">
        <v>500</v>
      </c>
      <c r="E107" s="9" t="s">
        <v>19</v>
      </c>
      <c r="F107" s="9" t="s">
        <v>19</v>
      </c>
      <c r="G107" s="0" t="s">
        <v>250</v>
      </c>
      <c r="H107" s="2" t="n">
        <v>0</v>
      </c>
      <c r="I107" s="10" t="b">
        <v>0</v>
      </c>
      <c r="J107" s="10" t="b">
        <v>0</v>
      </c>
      <c r="K107" s="9" t="s">
        <v>19</v>
      </c>
      <c r="L107" s="9" t="s">
        <v>21</v>
      </c>
      <c r="M107" s="9" t="s">
        <v>21</v>
      </c>
      <c r="N107" s="9" t="s">
        <v>19</v>
      </c>
      <c r="O107" s="9" t="s">
        <v>19</v>
      </c>
      <c r="P107" s="9" t="s">
        <v>19</v>
      </c>
      <c r="Q107" s="9" t="s">
        <v>19</v>
      </c>
    </row>
    <row r="108" customFormat="false" ht="12.75" hidden="false" customHeight="false" outlineLevel="0" collapsed="false">
      <c r="A108" s="0" t="s">
        <v>251</v>
      </c>
      <c r="B108" s="0" t="s">
        <v>17</v>
      </c>
      <c r="C108" s="0" t="s">
        <v>252</v>
      </c>
      <c r="D108" s="0" t="n">
        <v>500</v>
      </c>
      <c r="E108" s="9" t="s">
        <v>19</v>
      </c>
      <c r="F108" s="9" t="s">
        <v>19</v>
      </c>
      <c r="G108" s="0" t="s">
        <v>250</v>
      </c>
      <c r="H108" s="2" t="n">
        <v>0</v>
      </c>
      <c r="I108" s="10" t="b">
        <v>0</v>
      </c>
      <c r="J108" s="10" t="b">
        <v>0</v>
      </c>
      <c r="K108" s="9" t="s">
        <v>19</v>
      </c>
      <c r="L108" s="9" t="s">
        <v>21</v>
      </c>
      <c r="M108" s="9" t="s">
        <v>21</v>
      </c>
      <c r="N108" s="9" t="s">
        <v>19</v>
      </c>
      <c r="O108" s="9" t="s">
        <v>19</v>
      </c>
      <c r="P108" s="9" t="s">
        <v>19</v>
      </c>
      <c r="Q108" s="9" t="s">
        <v>19</v>
      </c>
    </row>
    <row r="109" customFormat="false" ht="12.75" hidden="false" customHeight="false" outlineLevel="0" collapsed="false">
      <c r="A109" s="0" t="s">
        <v>253</v>
      </c>
      <c r="B109" s="0" t="s">
        <v>17</v>
      </c>
      <c r="C109" s="0" t="s">
        <v>254</v>
      </c>
      <c r="D109" s="0" t="n">
        <v>500</v>
      </c>
      <c r="E109" s="9" t="s">
        <v>19</v>
      </c>
      <c r="F109" s="9" t="s">
        <v>19</v>
      </c>
      <c r="G109" s="0" t="s">
        <v>250</v>
      </c>
      <c r="H109" s="2" t="n">
        <v>0</v>
      </c>
      <c r="I109" s="10" t="b">
        <v>0</v>
      </c>
      <c r="J109" s="10" t="b">
        <v>0</v>
      </c>
      <c r="K109" s="9" t="s">
        <v>21</v>
      </c>
      <c r="L109" s="9" t="s">
        <v>21</v>
      </c>
      <c r="M109" s="9" t="s">
        <v>21</v>
      </c>
      <c r="N109" s="9" t="s">
        <v>19</v>
      </c>
      <c r="O109" s="9" t="s">
        <v>19</v>
      </c>
      <c r="P109" s="9" t="s">
        <v>19</v>
      </c>
      <c r="Q109" s="9" t="s">
        <v>19</v>
      </c>
    </row>
    <row r="110" customFormat="false" ht="12.75" hidden="false" customHeight="false" outlineLevel="0" collapsed="false">
      <c r="A110" s="0" t="s">
        <v>255</v>
      </c>
      <c r="B110" s="0" t="s">
        <v>17</v>
      </c>
      <c r="C110" s="0" t="s">
        <v>256</v>
      </c>
      <c r="D110" s="0" t="n">
        <v>500</v>
      </c>
      <c r="E110" s="9" t="s">
        <v>19</v>
      </c>
      <c r="F110" s="9" t="s">
        <v>19</v>
      </c>
      <c r="G110" s="0" t="s">
        <v>250</v>
      </c>
      <c r="H110" s="2" t="n">
        <v>0</v>
      </c>
      <c r="I110" s="10" t="b">
        <v>0</v>
      </c>
      <c r="J110" s="10" t="b">
        <v>0</v>
      </c>
      <c r="K110" s="9" t="s">
        <v>19</v>
      </c>
      <c r="L110" s="9" t="s">
        <v>21</v>
      </c>
      <c r="M110" s="9" t="s">
        <v>21</v>
      </c>
      <c r="N110" s="9" t="s">
        <v>19</v>
      </c>
      <c r="O110" s="9" t="s">
        <v>19</v>
      </c>
      <c r="P110" s="9" t="s">
        <v>19</v>
      </c>
      <c r="Q110" s="9" t="s">
        <v>19</v>
      </c>
    </row>
    <row r="111" customFormat="false" ht="12.75" hidden="false" customHeight="false" outlineLevel="0" collapsed="false">
      <c r="A111" s="0" t="s">
        <v>257</v>
      </c>
      <c r="B111" s="0" t="s">
        <v>17</v>
      </c>
      <c r="C111" s="0" t="s">
        <v>258</v>
      </c>
      <c r="D111" s="0" t="n">
        <v>500</v>
      </c>
      <c r="E111" s="9" t="s">
        <v>19</v>
      </c>
      <c r="F111" s="9" t="s">
        <v>19</v>
      </c>
      <c r="G111" s="0" t="s">
        <v>250</v>
      </c>
      <c r="H111" s="2" t="n">
        <v>0</v>
      </c>
      <c r="I111" s="10" t="b">
        <v>0</v>
      </c>
      <c r="J111" s="10" t="b">
        <v>0</v>
      </c>
      <c r="K111" s="9" t="s">
        <v>21</v>
      </c>
      <c r="L111" s="9" t="s">
        <v>21</v>
      </c>
      <c r="M111" s="9" t="s">
        <v>21</v>
      </c>
      <c r="N111" s="9" t="s">
        <v>19</v>
      </c>
      <c r="O111" s="9" t="s">
        <v>19</v>
      </c>
      <c r="P111" s="9" t="s">
        <v>19</v>
      </c>
      <c r="Q111" s="9" t="s">
        <v>19</v>
      </c>
    </row>
    <row r="112" customFormat="false" ht="12.75" hidden="false" customHeight="false" outlineLevel="0" collapsed="false">
      <c r="A112" s="0" t="s">
        <v>259</v>
      </c>
      <c r="B112" s="0" t="s">
        <v>17</v>
      </c>
      <c r="C112" s="0" t="s">
        <v>260</v>
      </c>
      <c r="D112" s="0" t="n">
        <v>500</v>
      </c>
      <c r="E112" s="9" t="s">
        <v>19</v>
      </c>
      <c r="F112" s="9" t="s">
        <v>19</v>
      </c>
      <c r="G112" s="0" t="s">
        <v>250</v>
      </c>
      <c r="H112" s="2" t="n">
        <v>0</v>
      </c>
      <c r="I112" s="10" t="b">
        <v>0</v>
      </c>
      <c r="J112" s="10" t="b">
        <v>0</v>
      </c>
      <c r="K112" s="9" t="s">
        <v>19</v>
      </c>
      <c r="L112" s="9" t="s">
        <v>21</v>
      </c>
      <c r="M112" s="9" t="s">
        <v>21</v>
      </c>
      <c r="N112" s="9" t="s">
        <v>19</v>
      </c>
      <c r="O112" s="9" t="s">
        <v>19</v>
      </c>
      <c r="P112" s="9" t="s">
        <v>19</v>
      </c>
      <c r="Q112" s="9" t="s">
        <v>19</v>
      </c>
    </row>
  </sheetData>
  <conditionalFormatting sqref="E1:F112 K1:Q112 I2:J111">
    <cfRule type="containsText" priority="2" operator="containsText" aboveAverage="0" equalAverage="0" bottom="0" percent="0" rank="0" text="TRUE" dxfId="5">
      <formula>NOT(ISERROR(SEARCH("TRUE",E1)))</formula>
    </cfRule>
  </conditionalFormatting>
  <conditionalFormatting sqref="I112:J112">
    <cfRule type="containsText" priority="3" operator="containsText" aboveAverage="0" equalAverage="0" bottom="0" percent="0" rank="0" text="TRUE" dxfId="6">
      <formula>NOT(ISERROR(SEARCH("TRUE",I112)))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871"/>
  <sheetViews>
    <sheetView showFormulas="false" showGridLines="true" showRowColHeaders="true" showZeros="true" rightToLeft="false" tabSelected="false" showOutlineSymbols="true" defaultGridColor="true" view="normal" topLeftCell="A733" colorId="64" zoomScale="100" zoomScaleNormal="100" zoomScalePageLayoutView="100" workbookViewId="0">
      <selection pane="topLeft" activeCell="D744" activeCellId="0" sqref="D744"/>
    </sheetView>
  </sheetViews>
  <sheetFormatPr defaultColWidth="10.72265625" defaultRowHeight="12.8" zeroHeight="false" outlineLevelRow="0" outlineLevelCol="0"/>
  <cols>
    <col collapsed="false" customWidth="true" hidden="false" outlineLevel="0" max="1" min="1" style="11" width="19.17"/>
    <col collapsed="false" customWidth="true" hidden="false" outlineLevel="0" max="2" min="2" style="11" width="27.65"/>
    <col collapsed="false" customWidth="true" hidden="false" outlineLevel="0" max="3" min="3" style="11" width="30.97"/>
    <col collapsed="false" customWidth="true" hidden="false" outlineLevel="0" max="4" min="4" style="11" width="15.14"/>
    <col collapsed="false" customWidth="true" hidden="false" outlineLevel="0" max="5" min="5" style="11" width="35.58"/>
    <col collapsed="false" customWidth="true" hidden="false" outlineLevel="0" max="6" min="6" style="11" width="52.51"/>
    <col collapsed="false" customWidth="false" hidden="false" outlineLevel="0" max="1022" min="7" style="11" width="10.71"/>
    <col collapsed="false" customWidth="false" hidden="false" outlineLevel="0" max="1024" min="1023" style="12" width="10.71"/>
  </cols>
  <sheetData>
    <row r="1" s="13" customFormat="true" ht="12.8" hidden="false" customHeight="false" outlineLevel="0" collapsed="false">
      <c r="A1" s="13" t="s">
        <v>261</v>
      </c>
      <c r="B1" s="13" t="s">
        <v>262</v>
      </c>
      <c r="C1" s="13" t="s">
        <v>0</v>
      </c>
      <c r="D1" s="13" t="s">
        <v>263</v>
      </c>
      <c r="E1" s="13" t="s">
        <v>2</v>
      </c>
      <c r="F1" s="13" t="s">
        <v>264</v>
      </c>
      <c r="AMF1" s="11"/>
      <c r="AMG1" s="11"/>
      <c r="AMH1" s="11"/>
      <c r="AMI1" s="12"/>
      <c r="AMJ1" s="12"/>
    </row>
    <row r="2" customFormat="false" ht="12.8" hidden="false" customHeight="false" outlineLevel="0" collapsed="false">
      <c r="A2" s="11" t="s">
        <v>265</v>
      </c>
      <c r="B2" s="11" t="s">
        <v>160</v>
      </c>
      <c r="C2" s="11" t="str">
        <f aca="false">B2&amp;":"&amp;A2</f>
        <v>att_mitocarta_pathway:steroid_synthesis</v>
      </c>
      <c r="D2" s="14" t="s">
        <v>17</v>
      </c>
      <c r="E2" s="11" t="s">
        <v>266</v>
      </c>
      <c r="F2" s="11" t="s">
        <v>267</v>
      </c>
    </row>
    <row r="3" customFormat="false" ht="12.8" hidden="false" customHeight="false" outlineLevel="0" collapsed="false">
      <c r="A3" s="11" t="s">
        <v>268</v>
      </c>
      <c r="B3" s="11" t="s">
        <v>160</v>
      </c>
      <c r="C3" s="11" t="str">
        <f aca="false">B3&amp;":"&amp;A3</f>
        <v>att_mitocarta_pathway:q_linked_reactions</v>
      </c>
      <c r="D3" s="14" t="s">
        <v>17</v>
      </c>
      <c r="E3" s="11" t="s">
        <v>269</v>
      </c>
      <c r="F3" s="11" t="s">
        <v>270</v>
      </c>
    </row>
    <row r="4" customFormat="false" ht="12.8" hidden="false" customHeight="false" outlineLevel="0" collapsed="false">
      <c r="A4" s="11" t="s">
        <v>271</v>
      </c>
      <c r="B4" s="11" t="s">
        <v>160</v>
      </c>
      <c r="C4" s="11" t="str">
        <f aca="false">B4&amp;":"&amp;A4</f>
        <v>att_mitocarta_pathway:protein_import</v>
      </c>
      <c r="D4" s="14" t="s">
        <v>17</v>
      </c>
      <c r="E4" s="11" t="s">
        <v>272</v>
      </c>
      <c r="F4" s="11" t="s">
        <v>272</v>
      </c>
    </row>
    <row r="5" customFormat="false" ht="12.8" hidden="false" customHeight="false" outlineLevel="0" collapsed="false">
      <c r="A5" s="11" t="s">
        <v>273</v>
      </c>
      <c r="B5" s="11" t="s">
        <v>58</v>
      </c>
      <c r="C5" s="11" t="str">
        <f aca="false">B5&amp;":"&amp;A5</f>
        <v>att_column_outer_diameter:360um</v>
      </c>
      <c r="D5" s="14" t="s">
        <v>17</v>
      </c>
      <c r="E5" s="11" t="n">
        <v>360</v>
      </c>
      <c r="F5" s="11" t="s">
        <v>274</v>
      </c>
    </row>
    <row r="6" customFormat="false" ht="12.8" hidden="false" customHeight="false" outlineLevel="0" collapsed="false">
      <c r="A6" s="11" t="s">
        <v>275</v>
      </c>
      <c r="B6" s="11" t="s">
        <v>276</v>
      </c>
      <c r="C6" s="11" t="str">
        <f aca="false">B6&amp;":"&amp;A6</f>
        <v>att_aa:arginine</v>
      </c>
      <c r="D6" s="11" t="s">
        <v>275</v>
      </c>
      <c r="E6" s="11" t="s">
        <v>277</v>
      </c>
      <c r="F6" s="11" t="s">
        <v>278</v>
      </c>
    </row>
    <row r="7" customFormat="false" ht="12.8" hidden="false" customHeight="false" outlineLevel="0" collapsed="false">
      <c r="A7" s="11" t="s">
        <v>279</v>
      </c>
      <c r="B7" s="11" t="s">
        <v>276</v>
      </c>
      <c r="C7" s="11" t="str">
        <f aca="false">B7&amp;":"&amp;A7</f>
        <v>att_aa:asparagine</v>
      </c>
      <c r="D7" s="11" t="s">
        <v>279</v>
      </c>
      <c r="E7" s="11" t="s">
        <v>280</v>
      </c>
      <c r="F7" s="11" t="s">
        <v>281</v>
      </c>
    </row>
    <row r="8" customFormat="false" ht="12.8" hidden="false" customHeight="false" outlineLevel="0" collapsed="false">
      <c r="A8" s="11" t="s">
        <v>282</v>
      </c>
      <c r="B8" s="11" t="s">
        <v>276</v>
      </c>
      <c r="C8" s="11" t="str">
        <f aca="false">B8&amp;":"&amp;A8</f>
        <v>att_aa:asparticacid</v>
      </c>
      <c r="D8" s="11" t="s">
        <v>282</v>
      </c>
      <c r="E8" s="11" t="s">
        <v>283</v>
      </c>
      <c r="F8" s="11" t="s">
        <v>284</v>
      </c>
    </row>
    <row r="9" customFormat="false" ht="12.8" hidden="false" customHeight="false" outlineLevel="0" collapsed="false">
      <c r="A9" s="11" t="s">
        <v>285</v>
      </c>
      <c r="B9" s="11" t="s">
        <v>276</v>
      </c>
      <c r="C9" s="11" t="str">
        <f aca="false">B9&amp;":"&amp;A9</f>
        <v>att_aa:cysteine</v>
      </c>
      <c r="D9" s="11" t="s">
        <v>285</v>
      </c>
      <c r="E9" s="11" t="s">
        <v>286</v>
      </c>
      <c r="F9" s="11" t="s">
        <v>287</v>
      </c>
    </row>
    <row r="10" customFormat="false" ht="12.8" hidden="false" customHeight="false" outlineLevel="0" collapsed="false">
      <c r="A10" s="11" t="s">
        <v>288</v>
      </c>
      <c r="B10" s="11" t="s">
        <v>276</v>
      </c>
      <c r="C10" s="11" t="str">
        <f aca="false">B10&amp;":"&amp;A10</f>
        <v>att_aa:glutamicacid</v>
      </c>
      <c r="D10" s="11" t="s">
        <v>288</v>
      </c>
      <c r="E10" s="11" t="s">
        <v>289</v>
      </c>
      <c r="F10" s="11" t="s">
        <v>290</v>
      </c>
    </row>
    <row r="11" customFormat="false" ht="12.8" hidden="false" customHeight="false" outlineLevel="0" collapsed="false">
      <c r="A11" s="11" t="s">
        <v>291</v>
      </c>
      <c r="B11" s="11" t="s">
        <v>276</v>
      </c>
      <c r="C11" s="11" t="str">
        <f aca="false">B11&amp;":"&amp;A11</f>
        <v>att_aa:glutamine</v>
      </c>
      <c r="D11" s="11" t="s">
        <v>291</v>
      </c>
      <c r="E11" s="11" t="s">
        <v>292</v>
      </c>
      <c r="F11" s="11" t="s">
        <v>293</v>
      </c>
    </row>
    <row r="12" customFormat="false" ht="12.8" hidden="false" customHeight="false" outlineLevel="0" collapsed="false">
      <c r="A12" s="11" t="s">
        <v>294</v>
      </c>
      <c r="B12" s="11" t="s">
        <v>276</v>
      </c>
      <c r="C12" s="11" t="str">
        <f aca="false">B12&amp;":"&amp;A12</f>
        <v>att_aa:glycine</v>
      </c>
      <c r="D12" s="11" t="s">
        <v>294</v>
      </c>
      <c r="E12" s="11" t="s">
        <v>295</v>
      </c>
      <c r="F12" s="11" t="s">
        <v>296</v>
      </c>
    </row>
    <row r="13" customFormat="false" ht="12.8" hidden="false" customHeight="false" outlineLevel="0" collapsed="false">
      <c r="A13" s="11" t="s">
        <v>297</v>
      </c>
      <c r="B13" s="11" t="s">
        <v>276</v>
      </c>
      <c r="C13" s="11" t="str">
        <f aca="false">B13&amp;":"&amp;A13</f>
        <v>att_aa:histidine</v>
      </c>
      <c r="D13" s="11" t="s">
        <v>297</v>
      </c>
      <c r="E13" s="11" t="s">
        <v>298</v>
      </c>
      <c r="F13" s="11" t="s">
        <v>299</v>
      </c>
    </row>
    <row r="14" customFormat="false" ht="12.8" hidden="false" customHeight="false" outlineLevel="0" collapsed="false">
      <c r="A14" s="11" t="s">
        <v>300</v>
      </c>
      <c r="B14" s="11" t="s">
        <v>276</v>
      </c>
      <c r="C14" s="11" t="str">
        <f aca="false">B14&amp;":"&amp;A14</f>
        <v>att_aa:isoleucine</v>
      </c>
      <c r="D14" s="11" t="s">
        <v>300</v>
      </c>
      <c r="E14" s="11" t="s">
        <v>301</v>
      </c>
      <c r="F14" s="11" t="s">
        <v>302</v>
      </c>
    </row>
    <row r="15" customFormat="false" ht="12.8" hidden="false" customHeight="false" outlineLevel="0" collapsed="false">
      <c r="A15" s="11" t="s">
        <v>303</v>
      </c>
      <c r="B15" s="11" t="s">
        <v>276</v>
      </c>
      <c r="C15" s="11" t="str">
        <f aca="false">B15&amp;":"&amp;A15</f>
        <v>att_aa:leucine</v>
      </c>
      <c r="D15" s="11" t="s">
        <v>303</v>
      </c>
      <c r="E15" s="11" t="s">
        <v>304</v>
      </c>
      <c r="F15" s="11" t="s">
        <v>305</v>
      </c>
    </row>
    <row r="16" customFormat="false" ht="12.8" hidden="false" customHeight="false" outlineLevel="0" collapsed="false">
      <c r="A16" s="11" t="s">
        <v>306</v>
      </c>
      <c r="B16" s="11" t="s">
        <v>276</v>
      </c>
      <c r="C16" s="11" t="str">
        <f aca="false">B16&amp;":"&amp;A16</f>
        <v>att_aa:lysine</v>
      </c>
      <c r="D16" s="11" t="s">
        <v>306</v>
      </c>
      <c r="E16" s="11" t="s">
        <v>307</v>
      </c>
      <c r="F16" s="11" t="s">
        <v>308</v>
      </c>
    </row>
    <row r="17" customFormat="false" ht="12.8" hidden="false" customHeight="false" outlineLevel="0" collapsed="false">
      <c r="A17" s="11" t="s">
        <v>309</v>
      </c>
      <c r="B17" s="11" t="s">
        <v>276</v>
      </c>
      <c r="C17" s="11" t="str">
        <f aca="false">B17&amp;":"&amp;A17</f>
        <v>att_aa:methionine</v>
      </c>
      <c r="D17" s="11" t="s">
        <v>309</v>
      </c>
      <c r="E17" s="11" t="s">
        <v>310</v>
      </c>
      <c r="F17" s="11" t="s">
        <v>311</v>
      </c>
    </row>
    <row r="18" customFormat="false" ht="12.8" hidden="false" customHeight="false" outlineLevel="0" collapsed="false">
      <c r="A18" s="11" t="s">
        <v>312</v>
      </c>
      <c r="B18" s="11" t="s">
        <v>276</v>
      </c>
      <c r="C18" s="11" t="str">
        <f aca="false">B18&amp;":"&amp;A18</f>
        <v>att_aa:phenylalanine</v>
      </c>
      <c r="D18" s="11" t="s">
        <v>312</v>
      </c>
      <c r="E18" s="11" t="s">
        <v>313</v>
      </c>
      <c r="F18" s="11" t="s">
        <v>314</v>
      </c>
    </row>
    <row r="19" customFormat="false" ht="12.8" hidden="false" customHeight="false" outlineLevel="0" collapsed="false">
      <c r="A19" s="11" t="s">
        <v>315</v>
      </c>
      <c r="B19" s="11" t="s">
        <v>276</v>
      </c>
      <c r="C19" s="11" t="str">
        <f aca="false">B19&amp;":"&amp;A19</f>
        <v>att_aa:proline</v>
      </c>
      <c r="D19" s="11" t="s">
        <v>315</v>
      </c>
      <c r="E19" s="11" t="s">
        <v>316</v>
      </c>
      <c r="F19" s="11" t="s">
        <v>317</v>
      </c>
    </row>
    <row r="20" customFormat="false" ht="12.8" hidden="false" customHeight="false" outlineLevel="0" collapsed="false">
      <c r="A20" s="11" t="s">
        <v>318</v>
      </c>
      <c r="B20" s="11" t="s">
        <v>276</v>
      </c>
      <c r="C20" s="11" t="str">
        <f aca="false">B20&amp;":"&amp;A20</f>
        <v>att_aa:serine</v>
      </c>
      <c r="D20" s="11" t="s">
        <v>318</v>
      </c>
      <c r="E20" s="11" t="s">
        <v>319</v>
      </c>
      <c r="F20" s="11" t="s">
        <v>320</v>
      </c>
    </row>
    <row r="21" customFormat="false" ht="12.8" hidden="false" customHeight="false" outlineLevel="0" collapsed="false">
      <c r="A21" s="11" t="s">
        <v>321</v>
      </c>
      <c r="B21" s="11" t="s">
        <v>276</v>
      </c>
      <c r="C21" s="11" t="str">
        <f aca="false">B21&amp;":"&amp;A21</f>
        <v>att_aa:threonine</v>
      </c>
      <c r="D21" s="11" t="s">
        <v>321</v>
      </c>
      <c r="E21" s="11" t="s">
        <v>322</v>
      </c>
      <c r="F21" s="11" t="s">
        <v>323</v>
      </c>
    </row>
    <row r="22" customFormat="false" ht="12.8" hidden="false" customHeight="false" outlineLevel="0" collapsed="false">
      <c r="A22" s="11" t="s">
        <v>324</v>
      </c>
      <c r="B22" s="11" t="s">
        <v>276</v>
      </c>
      <c r="C22" s="11" t="str">
        <f aca="false">B22&amp;":"&amp;A22</f>
        <v>att_aa:tryptophan</v>
      </c>
      <c r="D22" s="11" t="s">
        <v>324</v>
      </c>
      <c r="E22" s="11" t="s">
        <v>325</v>
      </c>
      <c r="F22" s="11" t="s">
        <v>326</v>
      </c>
    </row>
    <row r="23" customFormat="false" ht="12.8" hidden="false" customHeight="false" outlineLevel="0" collapsed="false">
      <c r="A23" s="11" t="s">
        <v>327</v>
      </c>
      <c r="B23" s="11" t="s">
        <v>276</v>
      </c>
      <c r="C23" s="11" t="str">
        <f aca="false">B23&amp;":"&amp;A23</f>
        <v>att_aa:tyrosine</v>
      </c>
      <c r="D23" s="11" t="s">
        <v>327</v>
      </c>
      <c r="E23" s="11" t="s">
        <v>328</v>
      </c>
      <c r="F23" s="11" t="s">
        <v>329</v>
      </c>
    </row>
    <row r="24" customFormat="false" ht="12.8" hidden="false" customHeight="false" outlineLevel="0" collapsed="false">
      <c r="A24" s="11" t="s">
        <v>330</v>
      </c>
      <c r="B24" s="11" t="s">
        <v>276</v>
      </c>
      <c r="C24" s="11" t="str">
        <f aca="false">B24&amp;":"&amp;A24</f>
        <v>att_aa:valine</v>
      </c>
      <c r="D24" s="11" t="s">
        <v>330</v>
      </c>
      <c r="E24" s="11" t="s">
        <v>331</v>
      </c>
      <c r="F24" s="11" t="s">
        <v>332</v>
      </c>
    </row>
    <row r="25" customFormat="false" ht="12.8" hidden="false" customHeight="false" outlineLevel="0" collapsed="false">
      <c r="A25" s="11" t="s">
        <v>275</v>
      </c>
      <c r="B25" s="11" t="s">
        <v>16</v>
      </c>
      <c r="C25" s="11" t="str">
        <f aca="false">B25&amp;":"&amp;A25</f>
        <v>att_aa_starvation:arginine</v>
      </c>
      <c r="D25" s="14" t="s">
        <v>17</v>
      </c>
      <c r="E25" s="11" t="s">
        <v>277</v>
      </c>
      <c r="F25" s="11" t="s">
        <v>278</v>
      </c>
    </row>
    <row r="26" customFormat="false" ht="12.8" hidden="false" customHeight="false" outlineLevel="0" collapsed="false">
      <c r="A26" s="11" t="s">
        <v>279</v>
      </c>
      <c r="B26" s="11" t="s">
        <v>16</v>
      </c>
      <c r="C26" s="11" t="str">
        <f aca="false">B26&amp;":"&amp;A26</f>
        <v>att_aa_starvation:asparagine</v>
      </c>
      <c r="D26" s="14" t="s">
        <v>17</v>
      </c>
      <c r="E26" s="11" t="s">
        <v>280</v>
      </c>
      <c r="F26" s="11" t="s">
        <v>281</v>
      </c>
    </row>
    <row r="27" customFormat="false" ht="12.8" hidden="false" customHeight="false" outlineLevel="0" collapsed="false">
      <c r="A27" s="11" t="s">
        <v>282</v>
      </c>
      <c r="B27" s="11" t="s">
        <v>16</v>
      </c>
      <c r="C27" s="11" t="str">
        <f aca="false">B27&amp;":"&amp;A27</f>
        <v>att_aa_starvation:asparticacid</v>
      </c>
      <c r="D27" s="14" t="s">
        <v>17</v>
      </c>
      <c r="E27" s="11" t="s">
        <v>283</v>
      </c>
      <c r="F27" s="11" t="s">
        <v>284</v>
      </c>
    </row>
    <row r="28" customFormat="false" ht="12.8" hidden="false" customHeight="false" outlineLevel="0" collapsed="false">
      <c r="A28" s="11" t="s">
        <v>285</v>
      </c>
      <c r="B28" s="11" t="s">
        <v>16</v>
      </c>
      <c r="C28" s="11" t="str">
        <f aca="false">B28&amp;":"&amp;A28</f>
        <v>att_aa_starvation:cysteine</v>
      </c>
      <c r="D28" s="14" t="s">
        <v>17</v>
      </c>
      <c r="E28" s="11" t="s">
        <v>286</v>
      </c>
      <c r="F28" s="11" t="s">
        <v>287</v>
      </c>
    </row>
    <row r="29" customFormat="false" ht="12.8" hidden="false" customHeight="false" outlineLevel="0" collapsed="false">
      <c r="A29" s="11" t="s">
        <v>288</v>
      </c>
      <c r="B29" s="11" t="s">
        <v>16</v>
      </c>
      <c r="C29" s="11" t="str">
        <f aca="false">B29&amp;":"&amp;A29</f>
        <v>att_aa_starvation:glutamicacid</v>
      </c>
      <c r="D29" s="14" t="s">
        <v>17</v>
      </c>
      <c r="E29" s="11" t="s">
        <v>289</v>
      </c>
      <c r="F29" s="11" t="s">
        <v>290</v>
      </c>
    </row>
    <row r="30" customFormat="false" ht="12.8" hidden="false" customHeight="false" outlineLevel="0" collapsed="false">
      <c r="A30" s="11" t="s">
        <v>291</v>
      </c>
      <c r="B30" s="11" t="s">
        <v>16</v>
      </c>
      <c r="C30" s="11" t="str">
        <f aca="false">B30&amp;":"&amp;A30</f>
        <v>att_aa_starvation:glutamine</v>
      </c>
      <c r="D30" s="14" t="s">
        <v>17</v>
      </c>
      <c r="E30" s="11" t="s">
        <v>292</v>
      </c>
      <c r="F30" s="11" t="s">
        <v>293</v>
      </c>
    </row>
    <row r="31" customFormat="false" ht="12.8" hidden="false" customHeight="false" outlineLevel="0" collapsed="false">
      <c r="A31" s="11" t="s">
        <v>294</v>
      </c>
      <c r="B31" s="11" t="s">
        <v>16</v>
      </c>
      <c r="C31" s="11" t="str">
        <f aca="false">B31&amp;":"&amp;A31</f>
        <v>att_aa_starvation:glycine</v>
      </c>
      <c r="D31" s="14" t="s">
        <v>17</v>
      </c>
      <c r="E31" s="11" t="s">
        <v>295</v>
      </c>
      <c r="F31" s="11" t="s">
        <v>296</v>
      </c>
    </row>
    <row r="32" customFormat="false" ht="12.8" hidden="false" customHeight="false" outlineLevel="0" collapsed="false">
      <c r="A32" s="11" t="s">
        <v>297</v>
      </c>
      <c r="B32" s="11" t="s">
        <v>16</v>
      </c>
      <c r="C32" s="11" t="str">
        <f aca="false">B32&amp;":"&amp;A32</f>
        <v>att_aa_starvation:histidine</v>
      </c>
      <c r="D32" s="14" t="s">
        <v>17</v>
      </c>
      <c r="E32" s="11" t="s">
        <v>298</v>
      </c>
      <c r="F32" s="11" t="s">
        <v>299</v>
      </c>
    </row>
    <row r="33" customFormat="false" ht="12.8" hidden="false" customHeight="false" outlineLevel="0" collapsed="false">
      <c r="A33" s="11" t="s">
        <v>300</v>
      </c>
      <c r="B33" s="11" t="s">
        <v>16</v>
      </c>
      <c r="C33" s="11" t="str">
        <f aca="false">B33&amp;":"&amp;A33</f>
        <v>att_aa_starvation:isoleucine</v>
      </c>
      <c r="D33" s="14" t="s">
        <v>17</v>
      </c>
      <c r="E33" s="11" t="s">
        <v>301</v>
      </c>
      <c r="F33" s="11" t="s">
        <v>302</v>
      </c>
    </row>
    <row r="34" customFormat="false" ht="12.8" hidden="false" customHeight="false" outlineLevel="0" collapsed="false">
      <c r="A34" s="11" t="s">
        <v>303</v>
      </c>
      <c r="B34" s="11" t="s">
        <v>16</v>
      </c>
      <c r="C34" s="11" t="str">
        <f aca="false">B34&amp;":"&amp;A34</f>
        <v>att_aa_starvation:leucine</v>
      </c>
      <c r="D34" s="14" t="s">
        <v>17</v>
      </c>
      <c r="E34" s="11" t="s">
        <v>304</v>
      </c>
      <c r="F34" s="11" t="s">
        <v>305</v>
      </c>
    </row>
    <row r="35" customFormat="false" ht="12.8" hidden="false" customHeight="false" outlineLevel="0" collapsed="false">
      <c r="A35" s="11" t="s">
        <v>306</v>
      </c>
      <c r="B35" s="11" t="s">
        <v>16</v>
      </c>
      <c r="C35" s="11" t="str">
        <f aca="false">B35&amp;":"&amp;A35</f>
        <v>att_aa_starvation:lysine</v>
      </c>
      <c r="D35" s="14" t="s">
        <v>17</v>
      </c>
      <c r="E35" s="11" t="s">
        <v>307</v>
      </c>
      <c r="F35" s="11" t="s">
        <v>308</v>
      </c>
    </row>
    <row r="36" customFormat="false" ht="12.8" hidden="false" customHeight="false" outlineLevel="0" collapsed="false">
      <c r="A36" s="11" t="s">
        <v>309</v>
      </c>
      <c r="B36" s="11" t="s">
        <v>16</v>
      </c>
      <c r="C36" s="11" t="str">
        <f aca="false">B36&amp;":"&amp;A36</f>
        <v>att_aa_starvation:methionine</v>
      </c>
      <c r="D36" s="14" t="s">
        <v>17</v>
      </c>
      <c r="E36" s="11" t="s">
        <v>310</v>
      </c>
      <c r="F36" s="11" t="s">
        <v>311</v>
      </c>
    </row>
    <row r="37" customFormat="false" ht="12.8" hidden="false" customHeight="false" outlineLevel="0" collapsed="false">
      <c r="A37" s="11" t="s">
        <v>312</v>
      </c>
      <c r="B37" s="11" t="s">
        <v>16</v>
      </c>
      <c r="C37" s="11" t="str">
        <f aca="false">B37&amp;":"&amp;A37</f>
        <v>att_aa_starvation:phenylalanine</v>
      </c>
      <c r="D37" s="14" t="s">
        <v>17</v>
      </c>
      <c r="E37" s="11" t="s">
        <v>313</v>
      </c>
      <c r="F37" s="11" t="s">
        <v>314</v>
      </c>
    </row>
    <row r="38" customFormat="false" ht="12.8" hidden="false" customHeight="false" outlineLevel="0" collapsed="false">
      <c r="A38" s="11" t="s">
        <v>315</v>
      </c>
      <c r="B38" s="11" t="s">
        <v>16</v>
      </c>
      <c r="C38" s="11" t="str">
        <f aca="false">B38&amp;":"&amp;A38</f>
        <v>att_aa_starvation:proline</v>
      </c>
      <c r="D38" s="14" t="s">
        <v>17</v>
      </c>
      <c r="E38" s="11" t="s">
        <v>316</v>
      </c>
      <c r="F38" s="11" t="s">
        <v>317</v>
      </c>
    </row>
    <row r="39" customFormat="false" ht="12.8" hidden="false" customHeight="false" outlineLevel="0" collapsed="false">
      <c r="A39" s="11" t="s">
        <v>318</v>
      </c>
      <c r="B39" s="11" t="s">
        <v>16</v>
      </c>
      <c r="C39" s="11" t="str">
        <f aca="false">B39&amp;":"&amp;A39</f>
        <v>att_aa_starvation:serine</v>
      </c>
      <c r="D39" s="14" t="s">
        <v>17</v>
      </c>
      <c r="E39" s="11" t="s">
        <v>319</v>
      </c>
      <c r="F39" s="11" t="s">
        <v>320</v>
      </c>
    </row>
    <row r="40" customFormat="false" ht="12.8" hidden="false" customHeight="false" outlineLevel="0" collapsed="false">
      <c r="A40" s="11" t="s">
        <v>321</v>
      </c>
      <c r="B40" s="11" t="s">
        <v>16</v>
      </c>
      <c r="C40" s="11" t="str">
        <f aca="false">B40&amp;":"&amp;A40</f>
        <v>att_aa_starvation:threonine</v>
      </c>
      <c r="D40" s="14" t="s">
        <v>17</v>
      </c>
      <c r="E40" s="11" t="s">
        <v>322</v>
      </c>
      <c r="F40" s="11" t="s">
        <v>323</v>
      </c>
    </row>
    <row r="41" customFormat="false" ht="12.8" hidden="false" customHeight="false" outlineLevel="0" collapsed="false">
      <c r="A41" s="11" t="s">
        <v>324</v>
      </c>
      <c r="B41" s="11" t="s">
        <v>16</v>
      </c>
      <c r="C41" s="11" t="str">
        <f aca="false">B41&amp;":"&amp;A41</f>
        <v>att_aa_starvation:tryptophan</v>
      </c>
      <c r="D41" s="14" t="s">
        <v>17</v>
      </c>
      <c r="E41" s="11" t="s">
        <v>325</v>
      </c>
      <c r="F41" s="11" t="s">
        <v>326</v>
      </c>
    </row>
    <row r="42" customFormat="false" ht="12.8" hidden="false" customHeight="false" outlineLevel="0" collapsed="false">
      <c r="A42" s="11" t="s">
        <v>327</v>
      </c>
      <c r="B42" s="11" t="s">
        <v>16</v>
      </c>
      <c r="C42" s="11" t="str">
        <f aca="false">B42&amp;":"&amp;A42</f>
        <v>att_aa_starvation:tyrosine</v>
      </c>
      <c r="D42" s="14" t="s">
        <v>17</v>
      </c>
      <c r="E42" s="11" t="s">
        <v>328</v>
      </c>
      <c r="F42" s="11" t="s">
        <v>329</v>
      </c>
    </row>
    <row r="43" customFormat="false" ht="12.8" hidden="false" customHeight="false" outlineLevel="0" collapsed="false">
      <c r="A43" s="11" t="s">
        <v>330</v>
      </c>
      <c r="B43" s="11" t="s">
        <v>16</v>
      </c>
      <c r="C43" s="11" t="str">
        <f aca="false">B43&amp;":"&amp;A43</f>
        <v>att_aa_starvation:valine</v>
      </c>
      <c r="D43" s="14" t="s">
        <v>17</v>
      </c>
      <c r="E43" s="11" t="s">
        <v>331</v>
      </c>
      <c r="F43" s="11" t="s">
        <v>332</v>
      </c>
    </row>
    <row r="44" customFormat="false" ht="12.8" hidden="false" customHeight="false" outlineLevel="0" collapsed="false">
      <c r="A44" s="11" t="s">
        <v>333</v>
      </c>
      <c r="B44" s="11" t="s">
        <v>22</v>
      </c>
      <c r="C44" s="11" t="str">
        <f aca="false">B44&amp;":"&amp;A44</f>
        <v>att_acquisition:dda</v>
      </c>
      <c r="D44" s="11" t="s">
        <v>333</v>
      </c>
      <c r="E44" s="11" t="s">
        <v>334</v>
      </c>
      <c r="F44" s="11" t="s">
        <v>335</v>
      </c>
    </row>
    <row r="45" customFormat="false" ht="12.8" hidden="false" customHeight="false" outlineLevel="0" collapsed="false">
      <c r="A45" s="11" t="s">
        <v>336</v>
      </c>
      <c r="B45" s="11" t="s">
        <v>22</v>
      </c>
      <c r="C45" s="11" t="str">
        <f aca="false">B45&amp;":"&amp;A45</f>
        <v>att_acquisition:dia</v>
      </c>
      <c r="D45" s="11" t="s">
        <v>336</v>
      </c>
      <c r="E45" s="11" t="s">
        <v>337</v>
      </c>
      <c r="F45" s="11" t="s">
        <v>338</v>
      </c>
    </row>
    <row r="46" customFormat="false" ht="12.8" hidden="false" customHeight="false" outlineLevel="0" collapsed="false">
      <c r="A46" s="11" t="s">
        <v>339</v>
      </c>
      <c r="B46" s="11" t="s">
        <v>22</v>
      </c>
      <c r="C46" s="11" t="str">
        <f aca="false">B46&amp;":"&amp;A46</f>
        <v>att_acquisition:srm</v>
      </c>
      <c r="D46" s="11" t="s">
        <v>339</v>
      </c>
      <c r="E46" s="11" t="s">
        <v>340</v>
      </c>
      <c r="F46" s="11" t="s">
        <v>341</v>
      </c>
    </row>
    <row r="47" customFormat="false" ht="12.8" hidden="false" customHeight="false" outlineLevel="0" collapsed="false">
      <c r="A47" s="11" t="s">
        <v>342</v>
      </c>
      <c r="B47" s="11" t="s">
        <v>26</v>
      </c>
      <c r="C47" s="11" t="str">
        <f aca="false">B47&amp;":"&amp;A47</f>
        <v>att_alkylation:caa</v>
      </c>
      <c r="D47" s="14" t="s">
        <v>17</v>
      </c>
      <c r="E47" s="11" t="s">
        <v>343</v>
      </c>
      <c r="F47" s="11" t="s">
        <v>344</v>
      </c>
    </row>
    <row r="48" customFormat="false" ht="12.8" hidden="false" customHeight="false" outlineLevel="0" collapsed="false">
      <c r="A48" s="11" t="s">
        <v>345</v>
      </c>
      <c r="B48" s="11" t="s">
        <v>26</v>
      </c>
      <c r="C48" s="11" t="str">
        <f aca="false">B48&amp;":"&amp;A48</f>
        <v>att_alkylation:iaa</v>
      </c>
      <c r="D48" s="14" t="s">
        <v>17</v>
      </c>
      <c r="E48" s="11" t="s">
        <v>346</v>
      </c>
      <c r="F48" s="11" t="s">
        <v>347</v>
      </c>
    </row>
    <row r="49" customFormat="false" ht="12.8" hidden="false" customHeight="false" outlineLevel="0" collapsed="false">
      <c r="A49" s="11" t="s">
        <v>348</v>
      </c>
      <c r="B49" s="11" t="s">
        <v>26</v>
      </c>
      <c r="C49" s="11" t="str">
        <f aca="false">B49&amp;":"&amp;A49</f>
        <v>att_alkylation:none</v>
      </c>
      <c r="D49" s="14" t="s">
        <v>17</v>
      </c>
      <c r="E49" s="11" t="s">
        <v>349</v>
      </c>
      <c r="F49" s="11" t="s">
        <v>350</v>
      </c>
    </row>
    <row r="50" customFormat="false" ht="12.8" hidden="false" customHeight="false" outlineLevel="0" collapsed="false">
      <c r="A50" s="11" t="s">
        <v>351</v>
      </c>
      <c r="B50" s="11" t="s">
        <v>30</v>
      </c>
      <c r="C50" s="11" t="str">
        <f aca="false">B50&amp;":"&amp;A50</f>
        <v>att_analysis_mode:directdia</v>
      </c>
      <c r="D50" s="14" t="s">
        <v>17</v>
      </c>
      <c r="E50" s="11" t="s">
        <v>352</v>
      </c>
      <c r="F50" s="11" t="s">
        <v>353</v>
      </c>
    </row>
    <row r="51" customFormat="false" ht="12.8" hidden="false" customHeight="false" outlineLevel="0" collapsed="false">
      <c r="A51" s="11" t="s">
        <v>354</v>
      </c>
      <c r="B51" s="11" t="s">
        <v>30</v>
      </c>
      <c r="C51" s="11" t="str">
        <f aca="false">B51&amp;":"&amp;A51</f>
        <v>att_analysis_mode:libdia</v>
      </c>
      <c r="D51" s="14" t="s">
        <v>17</v>
      </c>
      <c r="E51" s="11" t="s">
        <v>355</v>
      </c>
      <c r="F51" s="11" t="s">
        <v>356</v>
      </c>
    </row>
    <row r="52" customFormat="false" ht="12.8" hidden="false" customHeight="false" outlineLevel="0" collapsed="false">
      <c r="A52" s="11" t="s">
        <v>357</v>
      </c>
      <c r="B52" s="11" t="s">
        <v>358</v>
      </c>
      <c r="C52" s="11" t="str">
        <f aca="false">B52&amp;":"&amp;A52</f>
        <v>att_animal_model:adipoq_cre</v>
      </c>
      <c r="D52" s="14" t="s">
        <v>17</v>
      </c>
      <c r="E52" s="11" t="s">
        <v>359</v>
      </c>
      <c r="F52" s="11" t="s">
        <v>360</v>
      </c>
    </row>
    <row r="53" customFormat="false" ht="12.8" hidden="false" customHeight="false" outlineLevel="0" collapsed="false">
      <c r="A53" s="11" t="s">
        <v>361</v>
      </c>
      <c r="B53" s="11" t="s">
        <v>358</v>
      </c>
      <c r="C53" s="11" t="str">
        <f aca="false">B53&amp;":"&amp;A53</f>
        <v>att_animal_model:alb_cre</v>
      </c>
      <c r="D53" s="14" t="s">
        <v>17</v>
      </c>
      <c r="E53" s="11" t="s">
        <v>362</v>
      </c>
      <c r="F53" s="11" t="s">
        <v>363</v>
      </c>
    </row>
    <row r="54" customFormat="false" ht="12.8" hidden="false" customHeight="false" outlineLevel="0" collapsed="false">
      <c r="A54" s="11" t="s">
        <v>364</v>
      </c>
      <c r="B54" s="11" t="s">
        <v>358</v>
      </c>
      <c r="C54" s="11" t="str">
        <f aca="false">B54&amp;":"&amp;A54</f>
        <v>att_animal_model:asc_ko</v>
      </c>
      <c r="D54" s="14" t="s">
        <v>17</v>
      </c>
      <c r="E54" s="11" t="s">
        <v>365</v>
      </c>
      <c r="F54" s="11" t="s">
        <v>365</v>
      </c>
    </row>
    <row r="55" customFormat="false" ht="12.8" hidden="false" customHeight="false" outlineLevel="0" collapsed="false">
      <c r="A55" s="11" t="s">
        <v>366</v>
      </c>
      <c r="B55" s="11" t="s">
        <v>358</v>
      </c>
      <c r="C55" s="11" t="str">
        <f aca="false">B55&amp;":"&amp;A55</f>
        <v>att_animal_model:baf53b_cre</v>
      </c>
      <c r="D55" s="14" t="s">
        <v>17</v>
      </c>
      <c r="E55" s="11" t="s">
        <v>367</v>
      </c>
      <c r="F55" s="11" t="s">
        <v>368</v>
      </c>
    </row>
    <row r="56" customFormat="false" ht="12.8" hidden="false" customHeight="false" outlineLevel="0" collapsed="false">
      <c r="A56" s="11" t="s">
        <v>369</v>
      </c>
      <c r="B56" s="11" t="s">
        <v>358</v>
      </c>
      <c r="C56" s="11" t="str">
        <f aca="false">B56&amp;":"&amp;A56</f>
        <v>att_animal_model:c57_bl6j</v>
      </c>
      <c r="D56" s="14" t="s">
        <v>17</v>
      </c>
      <c r="E56" s="11" t="s">
        <v>370</v>
      </c>
      <c r="F56" s="11" t="s">
        <v>370</v>
      </c>
    </row>
    <row r="57" customFormat="false" ht="12.8" hidden="false" customHeight="false" outlineLevel="0" collapsed="false">
      <c r="A57" s="11" t="s">
        <v>371</v>
      </c>
      <c r="B57" s="11" t="s">
        <v>358</v>
      </c>
      <c r="C57" s="11" t="str">
        <f aca="false">B57&amp;":"&amp;A57</f>
        <v>att_animal_model:clec4f_cre</v>
      </c>
      <c r="D57" s="14" t="s">
        <v>17</v>
      </c>
      <c r="E57" s="11" t="s">
        <v>372</v>
      </c>
      <c r="F57" s="11" t="s">
        <v>373</v>
      </c>
    </row>
    <row r="58" customFormat="false" ht="12.8" hidden="false" customHeight="false" outlineLevel="0" collapsed="false">
      <c r="A58" s="11" t="s">
        <v>374</v>
      </c>
      <c r="B58" s="11" t="s">
        <v>358</v>
      </c>
      <c r="C58" s="11" t="str">
        <f aca="false">B58&amp;":"&amp;A58</f>
        <v>att_animal_model:cx3cr1_cre</v>
      </c>
      <c r="D58" s="14" t="s">
        <v>17</v>
      </c>
      <c r="E58" s="11" t="s">
        <v>375</v>
      </c>
      <c r="F58" s="11" t="s">
        <v>376</v>
      </c>
    </row>
    <row r="59" customFormat="false" ht="12.8" hidden="false" customHeight="false" outlineLevel="0" collapsed="false">
      <c r="A59" s="11" t="s">
        <v>377</v>
      </c>
      <c r="B59" s="11" t="s">
        <v>358</v>
      </c>
      <c r="C59" s="11" t="str">
        <f aca="false">B59&amp;":"&amp;A59</f>
        <v>att_animal_model:cxcr4creert2</v>
      </c>
      <c r="D59" s="14" t="s">
        <v>17</v>
      </c>
      <c r="E59" s="11" t="s">
        <v>378</v>
      </c>
      <c r="F59" s="11" t="s">
        <v>378</v>
      </c>
    </row>
    <row r="60" customFormat="false" ht="12.8" hidden="false" customHeight="false" outlineLevel="0" collapsed="false">
      <c r="A60" s="11" t="s">
        <v>379</v>
      </c>
      <c r="B60" s="11" t="s">
        <v>358</v>
      </c>
      <c r="C60" s="11" t="str">
        <f aca="false">B60&amp;":"&amp;A60</f>
        <v>att_animal_model:glast_cre</v>
      </c>
      <c r="D60" s="14" t="s">
        <v>17</v>
      </c>
      <c r="E60" s="11" t="s">
        <v>380</v>
      </c>
      <c r="F60" s="11" t="s">
        <v>381</v>
      </c>
    </row>
    <row r="61" customFormat="false" ht="12.8" hidden="false" customHeight="false" outlineLevel="0" collapsed="false">
      <c r="A61" s="11" t="s">
        <v>382</v>
      </c>
      <c r="B61" s="11" t="s">
        <v>358</v>
      </c>
      <c r="C61" s="11" t="str">
        <f aca="false">B61&amp;":"&amp;A61</f>
        <v>att_animal_model:lrat_cre</v>
      </c>
      <c r="D61" s="14" t="s">
        <v>17</v>
      </c>
      <c r="E61" s="11" t="s">
        <v>383</v>
      </c>
      <c r="F61" s="11" t="s">
        <v>384</v>
      </c>
    </row>
    <row r="62" customFormat="false" ht="12.8" hidden="false" customHeight="false" outlineLevel="0" collapsed="false">
      <c r="A62" s="11" t="s">
        <v>385</v>
      </c>
      <c r="B62" s="11" t="s">
        <v>358</v>
      </c>
      <c r="C62" s="11" t="str">
        <f aca="false">B62&amp;":"&amp;A62</f>
        <v>att_animal_model:lysm_cre</v>
      </c>
      <c r="D62" s="14" t="s">
        <v>17</v>
      </c>
      <c r="E62" s="11" t="s">
        <v>386</v>
      </c>
      <c r="F62" s="11" t="s">
        <v>387</v>
      </c>
    </row>
    <row r="63" customFormat="false" ht="12.8" hidden="false" customHeight="false" outlineLevel="0" collapsed="false">
      <c r="A63" s="11" t="s">
        <v>388</v>
      </c>
      <c r="B63" s="11" t="s">
        <v>358</v>
      </c>
      <c r="C63" s="11" t="str">
        <f aca="false">B63&amp;":"&amp;A63</f>
        <v>att_animal_model:ms4a3_cre</v>
      </c>
      <c r="D63" s="14" t="s">
        <v>17</v>
      </c>
      <c r="E63" s="11" t="s">
        <v>389</v>
      </c>
      <c r="F63" s="11" t="s">
        <v>390</v>
      </c>
    </row>
    <row r="64" customFormat="false" ht="12.8" hidden="false" customHeight="false" outlineLevel="0" collapsed="false">
      <c r="A64" s="11" t="s">
        <v>391</v>
      </c>
      <c r="B64" s="11" t="s">
        <v>358</v>
      </c>
      <c r="C64" s="11" t="str">
        <f aca="false">B64&amp;":"&amp;A64</f>
        <v>att_animal_model:mt_nlrp3_cre</v>
      </c>
      <c r="D64" s="14" t="s">
        <v>17</v>
      </c>
      <c r="E64" s="11" t="s">
        <v>392</v>
      </c>
      <c r="F64" s="11" t="s">
        <v>393</v>
      </c>
    </row>
    <row r="65" customFormat="false" ht="12.8" hidden="false" customHeight="false" outlineLevel="0" collapsed="false">
      <c r="A65" s="11" t="s">
        <v>394</v>
      </c>
      <c r="B65" s="11" t="s">
        <v>358</v>
      </c>
      <c r="C65" s="11" t="str">
        <f aca="false">B65&amp;":"&amp;A65</f>
        <v>att_animal_model:nlrp3_flox</v>
      </c>
      <c r="D65" s="14" t="s">
        <v>17</v>
      </c>
      <c r="E65" s="11" t="s">
        <v>395</v>
      </c>
      <c r="F65" s="11" t="s">
        <v>395</v>
      </c>
    </row>
    <row r="66" customFormat="false" ht="12.8" hidden="false" customHeight="false" outlineLevel="0" collapsed="false">
      <c r="A66" s="11" t="s">
        <v>396</v>
      </c>
      <c r="B66" s="11" t="s">
        <v>358</v>
      </c>
      <c r="C66" s="11" t="str">
        <f aca="false">B66&amp;":"&amp;A66</f>
        <v>att_animal_model:nlrp3_ko</v>
      </c>
      <c r="D66" s="14" t="s">
        <v>17</v>
      </c>
      <c r="E66" s="11" t="s">
        <v>397</v>
      </c>
      <c r="F66" s="11" t="s">
        <v>397</v>
      </c>
    </row>
    <row r="67" customFormat="false" ht="12.8" hidden="false" customHeight="false" outlineLevel="0" collapsed="false">
      <c r="A67" s="11" t="s">
        <v>398</v>
      </c>
      <c r="B67" s="11" t="s">
        <v>358</v>
      </c>
      <c r="C67" s="11" t="str">
        <f aca="false">B67&amp;":"&amp;A67</f>
        <v>att_animal_model:oaf</v>
      </c>
      <c r="D67" s="14" t="s">
        <v>17</v>
      </c>
      <c r="E67" s="11" t="s">
        <v>399</v>
      </c>
      <c r="F67" s="11" t="s">
        <v>399</v>
      </c>
    </row>
    <row r="68" customFormat="false" ht="12.8" hidden="false" customHeight="false" outlineLevel="0" collapsed="false">
      <c r="A68" s="11" t="s">
        <v>400</v>
      </c>
      <c r="B68" s="11" t="s">
        <v>358</v>
      </c>
      <c r="C68" s="11" t="str">
        <f aca="false">B68&amp;":"&amp;A68</f>
        <v>att_animal_model:r26_ert2cre</v>
      </c>
      <c r="D68" s="14" t="s">
        <v>17</v>
      </c>
      <c r="E68" s="11" t="s">
        <v>401</v>
      </c>
      <c r="F68" s="11" t="s">
        <v>402</v>
      </c>
    </row>
    <row r="69" customFormat="false" ht="12.8" hidden="false" customHeight="false" outlineLevel="0" collapsed="false">
      <c r="A69" s="11" t="s">
        <v>403</v>
      </c>
      <c r="B69" s="11" t="s">
        <v>358</v>
      </c>
      <c r="C69" s="11" t="str">
        <f aca="false">B69&amp;":"&amp;A69</f>
        <v>att_animal_model:r26_metrs_flox</v>
      </c>
      <c r="D69" s="14" t="s">
        <v>17</v>
      </c>
      <c r="E69" s="14" t="s">
        <v>404</v>
      </c>
      <c r="F69" s="11" t="s">
        <v>405</v>
      </c>
    </row>
    <row r="70" customFormat="false" ht="12.8" hidden="false" customHeight="false" outlineLevel="0" collapsed="false">
      <c r="A70" s="11" t="s">
        <v>406</v>
      </c>
      <c r="B70" s="11" t="s">
        <v>358</v>
      </c>
      <c r="C70" s="11" t="str">
        <f aca="false">B70&amp;":"&amp;A70</f>
        <v>att_animal_model:r26_nlrp3_flox</v>
      </c>
      <c r="D70" s="14" t="s">
        <v>17</v>
      </c>
      <c r="E70" s="11" t="s">
        <v>407</v>
      </c>
      <c r="F70" s="11" t="s">
        <v>407</v>
      </c>
    </row>
    <row r="71" customFormat="false" ht="12.8" hidden="false" customHeight="false" outlineLevel="0" collapsed="false">
      <c r="A71" s="11" t="s">
        <v>408</v>
      </c>
      <c r="B71" s="11" t="s">
        <v>358</v>
      </c>
      <c r="C71" s="11" t="str">
        <f aca="false">B71&amp;":"&amp;A71</f>
        <v>att_animal_model:ribotag_lox</v>
      </c>
      <c r="D71" s="14" t="s">
        <v>17</v>
      </c>
      <c r="E71" s="11" t="s">
        <v>409</v>
      </c>
      <c r="F71" s="14" t="s">
        <v>17</v>
      </c>
    </row>
    <row r="72" customFormat="false" ht="12.8" hidden="false" customHeight="false" outlineLevel="0" collapsed="false">
      <c r="A72" s="11" t="s">
        <v>410</v>
      </c>
      <c r="B72" s="11" t="s">
        <v>358</v>
      </c>
      <c r="C72" s="11" t="str">
        <f aca="false">B72&amp;":"&amp;A72</f>
        <v>att_animal_model:sox10_cre</v>
      </c>
      <c r="D72" s="14" t="s">
        <v>17</v>
      </c>
      <c r="E72" s="11" t="s">
        <v>411</v>
      </c>
      <c r="F72" s="11" t="s">
        <v>412</v>
      </c>
    </row>
    <row r="73" customFormat="false" ht="12.8" hidden="false" customHeight="false" outlineLevel="0" collapsed="false">
      <c r="A73" s="11" t="s">
        <v>413</v>
      </c>
      <c r="B73" s="11" t="s">
        <v>358</v>
      </c>
      <c r="C73" s="11" t="str">
        <f aca="false">B73&amp;":"&amp;A73</f>
        <v>att_animal_model:ucp1_cre</v>
      </c>
      <c r="D73" s="14" t="s">
        <v>17</v>
      </c>
      <c r="E73" s="11" t="s">
        <v>414</v>
      </c>
      <c r="F73" s="11" t="s">
        <v>415</v>
      </c>
    </row>
    <row r="74" customFormat="false" ht="12.8" hidden="false" customHeight="false" outlineLevel="0" collapsed="false">
      <c r="A74" s="11" t="s">
        <v>416</v>
      </c>
      <c r="B74" s="11" t="s">
        <v>358</v>
      </c>
      <c r="C74" s="11" t="str">
        <f aca="false">B74&amp;":"&amp;A74</f>
        <v>att_animal_model:vil_cre</v>
      </c>
      <c r="D74" s="14" t="s">
        <v>17</v>
      </c>
      <c r="E74" s="11" t="s">
        <v>417</v>
      </c>
      <c r="F74" s="11" t="s">
        <v>418</v>
      </c>
    </row>
    <row r="75" customFormat="false" ht="12.8" hidden="false" customHeight="false" outlineLevel="0" collapsed="false">
      <c r="A75" s="11" t="s">
        <v>419</v>
      </c>
      <c r="B75" s="11" t="s">
        <v>40</v>
      </c>
      <c r="C75" s="11" t="str">
        <f aca="false">B75&amp;":"&amp;A75</f>
        <v>att_cell:adipose_macrophages</v>
      </c>
      <c r="D75" s="11" t="s">
        <v>420</v>
      </c>
      <c r="E75" s="11" t="s">
        <v>421</v>
      </c>
      <c r="F75" s="11" t="s">
        <v>422</v>
      </c>
    </row>
    <row r="76" customFormat="false" ht="12.8" hidden="false" customHeight="false" outlineLevel="0" collapsed="false">
      <c r="A76" s="11" t="s">
        <v>423</v>
      </c>
      <c r="B76" s="11" t="s">
        <v>40</v>
      </c>
      <c r="C76" s="11" t="str">
        <f aca="false">B76&amp;":"&amp;A76</f>
        <v>att_cell:astrocytes</v>
      </c>
      <c r="D76" s="11" t="s">
        <v>423</v>
      </c>
      <c r="E76" s="11" t="s">
        <v>381</v>
      </c>
      <c r="F76" s="11" t="s">
        <v>381</v>
      </c>
    </row>
    <row r="77" customFormat="false" ht="12.8" hidden="false" customHeight="false" outlineLevel="0" collapsed="false">
      <c r="A77" s="11" t="s">
        <v>424</v>
      </c>
      <c r="B77" s="11" t="s">
        <v>40</v>
      </c>
      <c r="C77" s="11" t="str">
        <f aca="false">B77&amp;":"&amp;A77</f>
        <v>att_cell:basophils</v>
      </c>
      <c r="D77" s="11" t="s">
        <v>424</v>
      </c>
      <c r="E77" s="11" t="s">
        <v>425</v>
      </c>
      <c r="F77" s="11" t="s">
        <v>426</v>
      </c>
    </row>
    <row r="78" customFormat="false" ht="12.8" hidden="false" customHeight="false" outlineLevel="0" collapsed="false">
      <c r="A78" s="11" t="s">
        <v>427</v>
      </c>
      <c r="B78" s="11" t="s">
        <v>40</v>
      </c>
      <c r="C78" s="11" t="str">
        <f aca="false">B78&amp;":"&amp;A78</f>
        <v>att_cell:bcells</v>
      </c>
      <c r="D78" s="11" t="s">
        <v>427</v>
      </c>
      <c r="E78" s="11" t="s">
        <v>428</v>
      </c>
      <c r="F78" s="11" t="s">
        <v>428</v>
      </c>
    </row>
    <row r="79" customFormat="false" ht="12.8" hidden="false" customHeight="false" outlineLevel="0" collapsed="false">
      <c r="A79" s="11" t="s">
        <v>429</v>
      </c>
      <c r="B79" s="11" t="s">
        <v>40</v>
      </c>
      <c r="C79" s="11" t="str">
        <f aca="false">B79&amp;":"&amp;A79</f>
        <v>att_cell:cytotoxict</v>
      </c>
      <c r="D79" s="11" t="s">
        <v>429</v>
      </c>
      <c r="E79" s="11" t="s">
        <v>430</v>
      </c>
      <c r="F79" s="11" t="s">
        <v>431</v>
      </c>
    </row>
    <row r="80" customFormat="false" ht="12.8" hidden="false" customHeight="false" outlineLevel="0" collapsed="false">
      <c r="A80" s="11" t="s">
        <v>432</v>
      </c>
      <c r="B80" s="11" t="s">
        <v>40</v>
      </c>
      <c r="C80" s="11" t="str">
        <f aca="false">B80&amp;":"&amp;A80</f>
        <v>att_cell:endothelial</v>
      </c>
      <c r="D80" s="11" t="s">
        <v>432</v>
      </c>
      <c r="E80" s="11" t="s">
        <v>433</v>
      </c>
      <c r="F80" s="11" t="s">
        <v>434</v>
      </c>
    </row>
    <row r="81" customFormat="false" ht="12.8" hidden="false" customHeight="false" outlineLevel="0" collapsed="false">
      <c r="A81" s="11" t="s">
        <v>435</v>
      </c>
      <c r="B81" s="11" t="s">
        <v>40</v>
      </c>
      <c r="C81" s="11" t="str">
        <f aca="false">B81&amp;":"&amp;A81</f>
        <v>att_cell:eosinophils</v>
      </c>
      <c r="D81" s="11" t="s">
        <v>435</v>
      </c>
      <c r="E81" s="11" t="s">
        <v>436</v>
      </c>
      <c r="F81" s="11" t="s">
        <v>437</v>
      </c>
    </row>
    <row r="82" customFormat="false" ht="12.8" hidden="false" customHeight="false" outlineLevel="0" collapsed="false">
      <c r="A82" s="11" t="s">
        <v>438</v>
      </c>
      <c r="B82" s="11" t="s">
        <v>40</v>
      </c>
      <c r="C82" s="11" t="str">
        <f aca="false">B82&amp;":"&amp;A82</f>
        <v>att_cell:epithelioid</v>
      </c>
      <c r="D82" s="11" t="s">
        <v>438</v>
      </c>
      <c r="E82" s="11" t="s">
        <v>439</v>
      </c>
      <c r="F82" s="11" t="s">
        <v>440</v>
      </c>
    </row>
    <row r="83" customFormat="false" ht="12.8" hidden="false" customHeight="false" outlineLevel="0" collapsed="false">
      <c r="A83" s="11" t="s">
        <v>441</v>
      </c>
      <c r="B83" s="11" t="s">
        <v>40</v>
      </c>
      <c r="C83" s="11" t="str">
        <f aca="false">B83&amp;":"&amp;A83</f>
        <v>att_cell:erythrocytes</v>
      </c>
      <c r="D83" s="11" t="s">
        <v>441</v>
      </c>
      <c r="E83" s="11" t="s">
        <v>442</v>
      </c>
      <c r="F83" s="11" t="s">
        <v>443</v>
      </c>
    </row>
    <row r="84" customFormat="false" ht="12.8" hidden="false" customHeight="false" outlineLevel="0" collapsed="false">
      <c r="A84" s="11" t="s">
        <v>444</v>
      </c>
      <c r="B84" s="11" t="s">
        <v>40</v>
      </c>
      <c r="C84" s="11" t="str">
        <f aca="false">B84&amp;":"&amp;A84</f>
        <v>att_cell:gammadeltat</v>
      </c>
      <c r="D84" s="11" t="s">
        <v>444</v>
      </c>
      <c r="E84" s="11" t="s">
        <v>445</v>
      </c>
      <c r="F84" s="11" t="s">
        <v>446</v>
      </c>
    </row>
    <row r="85" customFormat="false" ht="12.8" hidden="false" customHeight="false" outlineLevel="0" collapsed="false">
      <c r="A85" s="11" t="s">
        <v>447</v>
      </c>
      <c r="B85" s="11" t="s">
        <v>40</v>
      </c>
      <c r="C85" s="11" t="str">
        <f aca="false">B85&amp;":"&amp;A85</f>
        <v>att_cell:hofbauer</v>
      </c>
      <c r="D85" s="11" t="s">
        <v>447</v>
      </c>
      <c r="E85" s="11" t="s">
        <v>448</v>
      </c>
      <c r="F85" s="11" t="s">
        <v>449</v>
      </c>
    </row>
    <row r="86" customFormat="false" ht="12.8" hidden="false" customHeight="false" outlineLevel="0" collapsed="false">
      <c r="A86" s="11" t="s">
        <v>450</v>
      </c>
      <c r="B86" s="11" t="s">
        <v>40</v>
      </c>
      <c r="C86" s="11" t="str">
        <f aca="false">B86&amp;":"&amp;A86</f>
        <v>att_cell:keratinocytes</v>
      </c>
      <c r="D86" s="11" t="s">
        <v>450</v>
      </c>
      <c r="E86" s="11" t="s">
        <v>451</v>
      </c>
      <c r="F86" s="11" t="s">
        <v>452</v>
      </c>
    </row>
    <row r="87" customFormat="false" ht="12.8" hidden="false" customHeight="false" outlineLevel="0" collapsed="false">
      <c r="A87" s="11" t="s">
        <v>453</v>
      </c>
      <c r="B87" s="11" t="s">
        <v>40</v>
      </c>
      <c r="C87" s="11" t="str">
        <f aca="false">B87&amp;":"&amp;A87</f>
        <v>att_cell:kupffer</v>
      </c>
      <c r="D87" s="11" t="s">
        <v>453</v>
      </c>
      <c r="E87" s="11" t="s">
        <v>454</v>
      </c>
      <c r="F87" s="11" t="s">
        <v>455</v>
      </c>
    </row>
    <row r="88" customFormat="false" ht="12.8" hidden="false" customHeight="false" outlineLevel="0" collapsed="false">
      <c r="A88" s="11" t="s">
        <v>456</v>
      </c>
      <c r="B88" s="11" t="s">
        <v>40</v>
      </c>
      <c r="C88" s="11" t="str">
        <f aca="false">B88&amp;":"&amp;A88</f>
        <v>att_cell:langerhans</v>
      </c>
      <c r="D88" s="11" t="s">
        <v>456</v>
      </c>
      <c r="E88" s="11" t="s">
        <v>457</v>
      </c>
      <c r="F88" s="11" t="s">
        <v>458</v>
      </c>
    </row>
    <row r="89" customFormat="false" ht="12.8" hidden="false" customHeight="false" outlineLevel="0" collapsed="false">
      <c r="A89" s="11" t="s">
        <v>459</v>
      </c>
      <c r="B89" s="11" t="s">
        <v>40</v>
      </c>
      <c r="C89" s="11" t="str">
        <f aca="false">B89&amp;":"&amp;A89</f>
        <v>att_cell:leukocytes</v>
      </c>
      <c r="D89" s="11" t="s">
        <v>459</v>
      </c>
      <c r="E89" s="11" t="s">
        <v>460</v>
      </c>
      <c r="F89" s="11" t="s">
        <v>461</v>
      </c>
    </row>
    <row r="90" customFormat="false" ht="12.8" hidden="false" customHeight="false" outlineLevel="0" collapsed="false">
      <c r="A90" s="11" t="s">
        <v>462</v>
      </c>
      <c r="B90" s="11" t="s">
        <v>40</v>
      </c>
      <c r="C90" s="11" t="str">
        <f aca="false">B90&amp;":"&amp;A90</f>
        <v>att_cell:lymphocytes</v>
      </c>
      <c r="D90" s="11" t="s">
        <v>462</v>
      </c>
      <c r="E90" s="11" t="s">
        <v>463</v>
      </c>
      <c r="F90" s="11" t="s">
        <v>464</v>
      </c>
    </row>
    <row r="91" customFormat="false" ht="12.8" hidden="false" customHeight="false" outlineLevel="0" collapsed="false">
      <c r="A91" s="11" t="s">
        <v>465</v>
      </c>
      <c r="B91" s="11" t="s">
        <v>40</v>
      </c>
      <c r="C91" s="11" t="str">
        <f aca="false">B91&amp;":"&amp;A91</f>
        <v>att_cell:macrophage</v>
      </c>
      <c r="D91" s="11" t="s">
        <v>465</v>
      </c>
      <c r="E91" s="11" t="s">
        <v>466</v>
      </c>
      <c r="F91" s="11" t="s">
        <v>466</v>
      </c>
    </row>
    <row r="92" customFormat="false" ht="12.8" hidden="false" customHeight="false" outlineLevel="0" collapsed="false">
      <c r="A92" s="11" t="s">
        <v>467</v>
      </c>
      <c r="B92" s="11" t="s">
        <v>40</v>
      </c>
      <c r="C92" s="11" t="str">
        <f aca="false">B92&amp;":"&amp;A92</f>
        <v>att_cell:microglia</v>
      </c>
      <c r="D92" s="11" t="s">
        <v>467</v>
      </c>
      <c r="E92" s="11" t="s">
        <v>468</v>
      </c>
      <c r="F92" s="11" t="s">
        <v>469</v>
      </c>
    </row>
    <row r="93" customFormat="false" ht="12.8" hidden="false" customHeight="false" outlineLevel="0" collapsed="false">
      <c r="A93" s="11" t="s">
        <v>470</v>
      </c>
      <c r="B93" s="11" t="s">
        <v>40</v>
      </c>
      <c r="C93" s="11" t="str">
        <f aca="false">B93&amp;":"&amp;A93</f>
        <v>att_cell:monoblast</v>
      </c>
      <c r="D93" s="11" t="s">
        <v>470</v>
      </c>
      <c r="E93" s="11" t="s">
        <v>471</v>
      </c>
      <c r="F93" s="11" t="s">
        <v>471</v>
      </c>
    </row>
    <row r="94" customFormat="false" ht="12.8" hidden="false" customHeight="false" outlineLevel="0" collapsed="false">
      <c r="A94" s="11" t="s">
        <v>472</v>
      </c>
      <c r="B94" s="11" t="s">
        <v>40</v>
      </c>
      <c r="C94" s="11" t="str">
        <f aca="false">B94&amp;":"&amp;A94</f>
        <v>att_cell:monocytes</v>
      </c>
      <c r="D94" s="11" t="s">
        <v>472</v>
      </c>
      <c r="E94" s="11" t="s">
        <v>390</v>
      </c>
      <c r="F94" s="11" t="s">
        <v>473</v>
      </c>
    </row>
    <row r="95" customFormat="false" ht="12.8" hidden="false" customHeight="false" outlineLevel="0" collapsed="false">
      <c r="A95" s="11" t="s">
        <v>474</v>
      </c>
      <c r="B95" s="11" t="s">
        <v>40</v>
      </c>
      <c r="C95" s="11" t="str">
        <f aca="false">B95&amp;":"&amp;A95</f>
        <v>att_cell:neutrophils</v>
      </c>
      <c r="D95" s="11" t="s">
        <v>474</v>
      </c>
      <c r="E95" s="11" t="s">
        <v>475</v>
      </c>
      <c r="F95" s="11" t="s">
        <v>476</v>
      </c>
    </row>
    <row r="96" customFormat="false" ht="12.8" hidden="false" customHeight="false" outlineLevel="0" collapsed="false">
      <c r="A96" s="11" t="s">
        <v>477</v>
      </c>
      <c r="B96" s="11" t="s">
        <v>40</v>
      </c>
      <c r="C96" s="11" t="str">
        <f aca="false">B96&amp;":"&amp;A96</f>
        <v>att_cell:nk</v>
      </c>
      <c r="D96" s="11" t="s">
        <v>477</v>
      </c>
      <c r="E96" s="11" t="s">
        <v>478</v>
      </c>
      <c r="F96" s="11" t="s">
        <v>479</v>
      </c>
    </row>
    <row r="97" customFormat="false" ht="12.8" hidden="false" customHeight="false" outlineLevel="0" collapsed="false">
      <c r="A97" s="11" t="s">
        <v>480</v>
      </c>
      <c r="B97" s="11" t="s">
        <v>40</v>
      </c>
      <c r="C97" s="11" t="str">
        <f aca="false">B97&amp;":"&amp;A97</f>
        <v>att_cell:osteoblast</v>
      </c>
      <c r="D97" s="11" t="s">
        <v>480</v>
      </c>
      <c r="E97" s="11" t="s">
        <v>481</v>
      </c>
      <c r="F97" s="11" t="s">
        <v>482</v>
      </c>
    </row>
    <row r="98" customFormat="false" ht="12.8" hidden="false" customHeight="false" outlineLevel="0" collapsed="false">
      <c r="A98" s="11" t="s">
        <v>483</v>
      </c>
      <c r="B98" s="11" t="s">
        <v>40</v>
      </c>
      <c r="C98" s="11" t="str">
        <f aca="false">B98&amp;":"&amp;A98</f>
        <v>att_cell:osteoclast</v>
      </c>
      <c r="D98" s="11" t="s">
        <v>483</v>
      </c>
      <c r="E98" s="11" t="s">
        <v>484</v>
      </c>
      <c r="F98" s="11" t="s">
        <v>485</v>
      </c>
    </row>
    <row r="99" customFormat="false" ht="12.8" hidden="false" customHeight="false" outlineLevel="0" collapsed="false">
      <c r="A99" s="11" t="s">
        <v>486</v>
      </c>
      <c r="B99" s="11" t="s">
        <v>40</v>
      </c>
      <c r="C99" s="11" t="str">
        <f aca="false">B99&amp;":"&amp;A99</f>
        <v>att_cell:osteocytes</v>
      </c>
      <c r="D99" s="11" t="s">
        <v>486</v>
      </c>
      <c r="E99" s="11" t="s">
        <v>487</v>
      </c>
      <c r="F99" s="11" t="s">
        <v>488</v>
      </c>
    </row>
    <row r="100" customFormat="false" ht="12.8" hidden="false" customHeight="false" outlineLevel="0" collapsed="false">
      <c r="A100" s="11" t="s">
        <v>489</v>
      </c>
      <c r="B100" s="11" t="s">
        <v>40</v>
      </c>
      <c r="C100" s="11" t="str">
        <f aca="false">B100&amp;":"&amp;A100</f>
        <v>att_cell:osteogenic</v>
      </c>
      <c r="D100" s="11" t="s">
        <v>489</v>
      </c>
      <c r="E100" s="11" t="s">
        <v>490</v>
      </c>
      <c r="F100" s="11" t="s">
        <v>491</v>
      </c>
    </row>
    <row r="101" customFormat="false" ht="12.8" hidden="false" customHeight="false" outlineLevel="0" collapsed="false">
      <c r="A101" s="11" t="s">
        <v>492</v>
      </c>
      <c r="B101" s="11" t="s">
        <v>40</v>
      </c>
      <c r="C101" s="11" t="str">
        <f aca="false">B101&amp;":"&amp;A101</f>
        <v>att_cell:regt</v>
      </c>
      <c r="D101" s="11" t="s">
        <v>492</v>
      </c>
      <c r="E101" s="11" t="s">
        <v>493</v>
      </c>
      <c r="F101" s="11" t="s">
        <v>494</v>
      </c>
    </row>
    <row r="102" customFormat="false" ht="12.8" hidden="false" customHeight="false" outlineLevel="0" collapsed="false">
      <c r="A102" s="11" t="s">
        <v>495</v>
      </c>
      <c r="B102" s="11" t="s">
        <v>40</v>
      </c>
      <c r="C102" s="11" t="str">
        <f aca="false">B102&amp;":"&amp;A102</f>
        <v>att_cell:stemcells</v>
      </c>
      <c r="D102" s="11" t="s">
        <v>495</v>
      </c>
      <c r="E102" s="11" t="s">
        <v>496</v>
      </c>
      <c r="F102" s="11" t="s">
        <v>497</v>
      </c>
    </row>
    <row r="103" customFormat="false" ht="12.8" hidden="false" customHeight="false" outlineLevel="0" collapsed="false">
      <c r="A103" s="11" t="s">
        <v>498</v>
      </c>
      <c r="B103" s="11" t="s">
        <v>40</v>
      </c>
      <c r="C103" s="11" t="str">
        <f aca="false">B103&amp;":"&amp;A103</f>
        <v>att_cell:tcells</v>
      </c>
      <c r="D103" s="11" t="s">
        <v>498</v>
      </c>
      <c r="E103" s="11" t="s">
        <v>499</v>
      </c>
      <c r="F103" s="11" t="s">
        <v>499</v>
      </c>
    </row>
    <row r="104" customFormat="false" ht="12.8" hidden="false" customHeight="false" outlineLevel="0" collapsed="false">
      <c r="A104" s="11" t="s">
        <v>500</v>
      </c>
      <c r="B104" s="11" t="s">
        <v>40</v>
      </c>
      <c r="C104" s="11" t="str">
        <f aca="false">B104&amp;":"&amp;A104</f>
        <v>att_cell:thelper</v>
      </c>
      <c r="D104" s="11" t="s">
        <v>500</v>
      </c>
      <c r="E104" s="11" t="s">
        <v>501</v>
      </c>
      <c r="F104" s="11" t="s">
        <v>502</v>
      </c>
    </row>
    <row r="105" customFormat="false" ht="12.8" hidden="false" customHeight="false" outlineLevel="0" collapsed="false">
      <c r="A105" s="11" t="s">
        <v>503</v>
      </c>
      <c r="B105" s="11" t="s">
        <v>40</v>
      </c>
      <c r="C105" s="11" t="str">
        <f aca="false">B105&amp;":"&amp;A105</f>
        <v>att_cell:thrombocytes</v>
      </c>
      <c r="D105" s="11" t="s">
        <v>503</v>
      </c>
      <c r="E105" s="11" t="s">
        <v>504</v>
      </c>
      <c r="F105" s="11" t="s">
        <v>505</v>
      </c>
    </row>
    <row r="106" customFormat="false" ht="12.8" hidden="false" customHeight="false" outlineLevel="0" collapsed="false">
      <c r="A106" s="11" t="s">
        <v>506</v>
      </c>
      <c r="B106" s="11" t="s">
        <v>43</v>
      </c>
      <c r="C106" s="11" t="str">
        <f aca="false">B106&amp;":"&amp;A106</f>
        <v>att_cellline:786_0</v>
      </c>
      <c r="D106" s="11" t="n">
        <v>786</v>
      </c>
      <c r="E106" s="11" t="s">
        <v>507</v>
      </c>
      <c r="F106" s="11" t="s">
        <v>508</v>
      </c>
    </row>
    <row r="107" customFormat="false" ht="12.8" hidden="false" customHeight="false" outlineLevel="0" collapsed="false">
      <c r="A107" s="11" t="s">
        <v>509</v>
      </c>
      <c r="B107" s="11" t="s">
        <v>43</v>
      </c>
      <c r="C107" s="11" t="str">
        <f aca="false">B107&amp;":"&amp;A107</f>
        <v>att_cellline:a498</v>
      </c>
      <c r="D107" s="11" t="s">
        <v>509</v>
      </c>
      <c r="E107" s="11" t="s">
        <v>510</v>
      </c>
      <c r="F107" s="11" t="s">
        <v>508</v>
      </c>
    </row>
    <row r="108" customFormat="false" ht="12.8" hidden="false" customHeight="false" outlineLevel="0" collapsed="false">
      <c r="A108" s="11" t="s">
        <v>511</v>
      </c>
      <c r="B108" s="11" t="s">
        <v>43</v>
      </c>
      <c r="C108" s="11" t="str">
        <f aca="false">B108&amp;":"&amp;A108</f>
        <v>att_cellline:a549</v>
      </c>
      <c r="D108" s="11" t="s">
        <v>511</v>
      </c>
      <c r="E108" s="11" t="s">
        <v>512</v>
      </c>
      <c r="F108" s="11" t="s">
        <v>513</v>
      </c>
    </row>
    <row r="109" customFormat="false" ht="12.8" hidden="false" customHeight="false" outlineLevel="0" collapsed="false">
      <c r="A109" s="11" t="s">
        <v>514</v>
      </c>
      <c r="B109" s="11" t="s">
        <v>43</v>
      </c>
      <c r="C109" s="11" t="str">
        <f aca="false">B109&amp;":"&amp;A109</f>
        <v>att_cellline:achn</v>
      </c>
      <c r="D109" s="11" t="s">
        <v>514</v>
      </c>
      <c r="E109" s="11" t="s">
        <v>515</v>
      </c>
      <c r="F109" s="11" t="s">
        <v>508</v>
      </c>
    </row>
    <row r="110" customFormat="false" ht="12.8" hidden="false" customHeight="false" outlineLevel="0" collapsed="false">
      <c r="A110" s="11" t="s">
        <v>516</v>
      </c>
      <c r="B110" s="11" t="s">
        <v>43</v>
      </c>
      <c r="C110" s="11" t="str">
        <f aca="false">B110&amp;":"&amp;A110</f>
        <v>att_cellline:bmdc</v>
      </c>
      <c r="D110" s="11" t="s">
        <v>516</v>
      </c>
      <c r="E110" s="11" t="s">
        <v>517</v>
      </c>
      <c r="F110" s="11" t="s">
        <v>517</v>
      </c>
    </row>
    <row r="111" customFormat="false" ht="12.8" hidden="false" customHeight="false" outlineLevel="0" collapsed="false">
      <c r="A111" s="11" t="s">
        <v>518</v>
      </c>
      <c r="B111" s="11" t="s">
        <v>43</v>
      </c>
      <c r="C111" s="11" t="str">
        <f aca="false">B111&amp;":"&amp;A111</f>
        <v>att_cellline:bmm</v>
      </c>
      <c r="D111" s="11" t="s">
        <v>518</v>
      </c>
      <c r="E111" s="11" t="s">
        <v>519</v>
      </c>
      <c r="F111" s="11" t="s">
        <v>520</v>
      </c>
    </row>
    <row r="112" customFormat="false" ht="12.8" hidden="false" customHeight="false" outlineLevel="0" collapsed="false">
      <c r="A112" s="11" t="s">
        <v>521</v>
      </c>
      <c r="B112" s="11" t="s">
        <v>43</v>
      </c>
      <c r="C112" s="11" t="str">
        <f aca="false">B112&amp;":"&amp;A112</f>
        <v>att_cellline:bt549</v>
      </c>
      <c r="D112" s="11" t="s">
        <v>521</v>
      </c>
      <c r="E112" s="11" t="s">
        <v>522</v>
      </c>
      <c r="F112" s="11" t="s">
        <v>523</v>
      </c>
    </row>
    <row r="113" customFormat="false" ht="12.8" hidden="false" customHeight="false" outlineLevel="0" collapsed="false">
      <c r="A113" s="11" t="s">
        <v>524</v>
      </c>
      <c r="B113" s="11" t="s">
        <v>43</v>
      </c>
      <c r="C113" s="11" t="str">
        <f aca="false">B113&amp;":"&amp;A113</f>
        <v>att_cellline:caki1</v>
      </c>
      <c r="D113" s="11" t="s">
        <v>524</v>
      </c>
      <c r="E113" s="11" t="s">
        <v>525</v>
      </c>
      <c r="F113" s="11" t="s">
        <v>508</v>
      </c>
    </row>
    <row r="114" customFormat="false" ht="12.8" hidden="false" customHeight="false" outlineLevel="0" collapsed="false">
      <c r="A114" s="11" t="s">
        <v>526</v>
      </c>
      <c r="B114" s="11" t="s">
        <v>43</v>
      </c>
      <c r="C114" s="11" t="str">
        <f aca="false">B114&amp;":"&amp;A114</f>
        <v>att_cellline:cho</v>
      </c>
      <c r="D114" s="11" t="s">
        <v>526</v>
      </c>
      <c r="E114" s="11" t="s">
        <v>527</v>
      </c>
      <c r="F114" s="11" t="s">
        <v>528</v>
      </c>
    </row>
    <row r="115" customFormat="false" ht="12.8" hidden="false" customHeight="false" outlineLevel="0" collapsed="false">
      <c r="A115" s="11" t="s">
        <v>529</v>
      </c>
      <c r="B115" s="11" t="s">
        <v>43</v>
      </c>
      <c r="C115" s="11" t="str">
        <f aca="false">B115&amp;":"&amp;A115</f>
        <v>att_cellline:colo205</v>
      </c>
      <c r="D115" s="11" t="s">
        <v>529</v>
      </c>
      <c r="E115" s="11" t="s">
        <v>530</v>
      </c>
      <c r="F115" s="11" t="s">
        <v>531</v>
      </c>
    </row>
    <row r="116" customFormat="false" ht="12.8" hidden="false" customHeight="false" outlineLevel="0" collapsed="false">
      <c r="A116" s="11" t="s">
        <v>532</v>
      </c>
      <c r="B116" s="11" t="s">
        <v>43</v>
      </c>
      <c r="C116" s="11" t="str">
        <f aca="false">B116&amp;":"&amp;A116</f>
        <v>att_cellline:crfcem</v>
      </c>
      <c r="D116" s="11" t="s">
        <v>532</v>
      </c>
      <c r="E116" s="11" t="s">
        <v>533</v>
      </c>
      <c r="F116" s="11" t="s">
        <v>534</v>
      </c>
    </row>
    <row r="117" customFormat="false" ht="12.8" hidden="false" customHeight="false" outlineLevel="0" collapsed="false">
      <c r="A117" s="11" t="s">
        <v>535</v>
      </c>
      <c r="B117" s="11" t="s">
        <v>43</v>
      </c>
      <c r="C117" s="11" t="str">
        <f aca="false">B117&amp;":"&amp;A117</f>
        <v>att_cellline:du145</v>
      </c>
      <c r="D117" s="11" t="s">
        <v>535</v>
      </c>
      <c r="E117" s="11" t="s">
        <v>536</v>
      </c>
      <c r="F117" s="11" t="s">
        <v>537</v>
      </c>
    </row>
    <row r="118" customFormat="false" ht="12.8" hidden="false" customHeight="false" outlineLevel="0" collapsed="false">
      <c r="A118" s="11" t="s">
        <v>538</v>
      </c>
      <c r="B118" s="11" t="s">
        <v>43</v>
      </c>
      <c r="C118" s="11" t="str">
        <f aca="false">B118&amp;":"&amp;A118</f>
        <v>att_cellline:ekvx</v>
      </c>
      <c r="D118" s="11" t="s">
        <v>538</v>
      </c>
      <c r="E118" s="11" t="s">
        <v>539</v>
      </c>
      <c r="F118" s="11" t="s">
        <v>513</v>
      </c>
    </row>
    <row r="119" customFormat="false" ht="12.8" hidden="false" customHeight="false" outlineLevel="0" collapsed="false">
      <c r="A119" s="11" t="s">
        <v>540</v>
      </c>
      <c r="B119" s="11" t="s">
        <v>43</v>
      </c>
      <c r="C119" s="11" t="str">
        <f aca="false">B119&amp;":"&amp;A119</f>
        <v>att_cellline:hcc2998</v>
      </c>
      <c r="D119" s="11" t="s">
        <v>540</v>
      </c>
      <c r="E119" s="11" t="s">
        <v>541</v>
      </c>
      <c r="F119" s="11" t="s">
        <v>531</v>
      </c>
    </row>
    <row r="120" customFormat="false" ht="12.8" hidden="false" customHeight="false" outlineLevel="0" collapsed="false">
      <c r="A120" s="11" t="s">
        <v>542</v>
      </c>
      <c r="B120" s="11" t="s">
        <v>43</v>
      </c>
      <c r="C120" s="11" t="str">
        <f aca="false">B120&amp;":"&amp;A120</f>
        <v>att_cellline:hct116</v>
      </c>
      <c r="D120" s="11" t="s">
        <v>542</v>
      </c>
      <c r="E120" s="11" t="s">
        <v>543</v>
      </c>
      <c r="F120" s="11" t="s">
        <v>531</v>
      </c>
    </row>
    <row r="121" customFormat="false" ht="12.8" hidden="false" customHeight="false" outlineLevel="0" collapsed="false">
      <c r="A121" s="11" t="s">
        <v>544</v>
      </c>
      <c r="B121" s="11" t="s">
        <v>43</v>
      </c>
      <c r="C121" s="11" t="str">
        <f aca="false">B121&amp;":"&amp;A121</f>
        <v>att_cellline:hct15</v>
      </c>
      <c r="D121" s="11" t="s">
        <v>544</v>
      </c>
      <c r="E121" s="11" t="s">
        <v>545</v>
      </c>
      <c r="F121" s="11" t="s">
        <v>531</v>
      </c>
    </row>
    <row r="122" customFormat="false" ht="12.8" hidden="false" customHeight="false" outlineLevel="0" collapsed="false">
      <c r="A122" s="11" t="s">
        <v>546</v>
      </c>
      <c r="B122" s="11" t="s">
        <v>43</v>
      </c>
      <c r="C122" s="11" t="str">
        <f aca="false">B122&amp;":"&amp;A122</f>
        <v>att_cellline:hek293</v>
      </c>
      <c r="D122" s="11" t="s">
        <v>546</v>
      </c>
      <c r="E122" s="11" t="s">
        <v>547</v>
      </c>
      <c r="F122" s="11" t="s">
        <v>548</v>
      </c>
    </row>
    <row r="123" customFormat="false" ht="12.8" hidden="false" customHeight="false" outlineLevel="0" collapsed="false">
      <c r="A123" s="11" t="s">
        <v>549</v>
      </c>
      <c r="B123" s="11" t="s">
        <v>43</v>
      </c>
      <c r="C123" s="11" t="str">
        <f aca="false">B123&amp;":"&amp;A123</f>
        <v>att_cellline:hek293t</v>
      </c>
      <c r="D123" s="11" t="s">
        <v>549</v>
      </c>
      <c r="E123" s="11" t="s">
        <v>550</v>
      </c>
      <c r="F123" s="11" t="s">
        <v>551</v>
      </c>
    </row>
    <row r="124" customFormat="false" ht="12.8" hidden="false" customHeight="false" outlineLevel="0" collapsed="false">
      <c r="A124" s="11" t="s">
        <v>552</v>
      </c>
      <c r="B124" s="11" t="s">
        <v>43</v>
      </c>
      <c r="C124" s="11" t="str">
        <f aca="false">B124&amp;":"&amp;A124</f>
        <v>att_cellline:hela</v>
      </c>
      <c r="D124" s="11" t="s">
        <v>552</v>
      </c>
      <c r="E124" s="11" t="s">
        <v>553</v>
      </c>
      <c r="F124" s="11" t="s">
        <v>554</v>
      </c>
    </row>
    <row r="125" customFormat="false" ht="12.8" hidden="false" customHeight="false" outlineLevel="0" collapsed="false">
      <c r="A125" s="11" t="s">
        <v>555</v>
      </c>
      <c r="B125" s="11" t="s">
        <v>43</v>
      </c>
      <c r="C125" s="11" t="str">
        <f aca="false">B125&amp;":"&amp;A125</f>
        <v>att_cellline:hl60</v>
      </c>
      <c r="D125" s="11" t="s">
        <v>555</v>
      </c>
      <c r="E125" s="11" t="s">
        <v>556</v>
      </c>
      <c r="F125" s="11" t="s">
        <v>534</v>
      </c>
    </row>
    <row r="126" customFormat="false" ht="12.8" hidden="false" customHeight="false" outlineLevel="0" collapsed="false">
      <c r="A126" s="11" t="s">
        <v>557</v>
      </c>
      <c r="B126" s="11" t="s">
        <v>43</v>
      </c>
      <c r="C126" s="11" t="str">
        <f aca="false">B126&amp;":"&amp;A126</f>
        <v>att_cellline:hop62</v>
      </c>
      <c r="D126" s="11" t="s">
        <v>557</v>
      </c>
      <c r="E126" s="11" t="s">
        <v>558</v>
      </c>
      <c r="F126" s="11" t="s">
        <v>513</v>
      </c>
    </row>
    <row r="127" customFormat="false" ht="12.8" hidden="false" customHeight="false" outlineLevel="0" collapsed="false">
      <c r="A127" s="11" t="s">
        <v>559</v>
      </c>
      <c r="B127" s="11" t="s">
        <v>43</v>
      </c>
      <c r="C127" s="11" t="str">
        <f aca="false">B127&amp;":"&amp;A127</f>
        <v>att_cellline:hop92</v>
      </c>
      <c r="D127" s="11" t="s">
        <v>559</v>
      </c>
      <c r="E127" s="11" t="s">
        <v>560</v>
      </c>
      <c r="F127" s="11" t="s">
        <v>513</v>
      </c>
    </row>
    <row r="128" customFormat="false" ht="12.8" hidden="false" customHeight="false" outlineLevel="0" collapsed="false">
      <c r="A128" s="11" t="s">
        <v>561</v>
      </c>
      <c r="B128" s="11" t="s">
        <v>43</v>
      </c>
      <c r="C128" s="11" t="str">
        <f aca="false">B128&amp;":"&amp;A128</f>
        <v>att_cellline:hs578t</v>
      </c>
      <c r="D128" s="11" t="s">
        <v>561</v>
      </c>
      <c r="E128" s="11" t="s">
        <v>562</v>
      </c>
      <c r="F128" s="11" t="s">
        <v>523</v>
      </c>
    </row>
    <row r="129" customFormat="false" ht="12.8" hidden="false" customHeight="false" outlineLevel="0" collapsed="false">
      <c r="A129" s="11" t="s">
        <v>563</v>
      </c>
      <c r="B129" s="11" t="s">
        <v>43</v>
      </c>
      <c r="C129" s="11" t="str">
        <f aca="false">B129&amp;":"&amp;A129</f>
        <v>att_cellline:ht29</v>
      </c>
      <c r="D129" s="11" t="s">
        <v>563</v>
      </c>
      <c r="E129" s="11" t="s">
        <v>564</v>
      </c>
      <c r="F129" s="11" t="s">
        <v>531</v>
      </c>
    </row>
    <row r="130" customFormat="false" ht="12.8" hidden="false" customHeight="false" outlineLevel="0" collapsed="false">
      <c r="A130" s="11" t="s">
        <v>565</v>
      </c>
      <c r="B130" s="11" t="s">
        <v>43</v>
      </c>
      <c r="C130" s="11" t="str">
        <f aca="false">B130&amp;":"&amp;A130</f>
        <v>att_cellline:igrov1</v>
      </c>
      <c r="D130" s="11" t="s">
        <v>565</v>
      </c>
      <c r="E130" s="11" t="s">
        <v>566</v>
      </c>
      <c r="F130" s="11" t="s">
        <v>567</v>
      </c>
    </row>
    <row r="131" customFormat="false" ht="12.8" hidden="false" customHeight="false" outlineLevel="0" collapsed="false">
      <c r="A131" s="11" t="s">
        <v>568</v>
      </c>
      <c r="B131" s="11" t="s">
        <v>43</v>
      </c>
      <c r="C131" s="11" t="str">
        <f aca="false">B131&amp;":"&amp;A131</f>
        <v>att_cellline:immmef</v>
      </c>
      <c r="D131" s="11" t="s">
        <v>568</v>
      </c>
      <c r="E131" s="11" t="s">
        <v>569</v>
      </c>
      <c r="F131" s="11" t="s">
        <v>570</v>
      </c>
    </row>
    <row r="132" customFormat="false" ht="12.8" hidden="false" customHeight="false" outlineLevel="0" collapsed="false">
      <c r="A132" s="11" t="s">
        <v>571</v>
      </c>
      <c r="B132" s="11" t="s">
        <v>43</v>
      </c>
      <c r="C132" s="11" t="str">
        <f aca="false">B132&amp;":"&amp;A132</f>
        <v>att_cellline:jeko1</v>
      </c>
      <c r="D132" s="11" t="s">
        <v>571</v>
      </c>
      <c r="E132" s="11" t="s">
        <v>572</v>
      </c>
      <c r="F132" s="11" t="s">
        <v>573</v>
      </c>
    </row>
    <row r="133" customFormat="false" ht="12.8" hidden="false" customHeight="false" outlineLevel="0" collapsed="false">
      <c r="A133" s="11" t="s">
        <v>574</v>
      </c>
      <c r="B133" s="11" t="s">
        <v>43</v>
      </c>
      <c r="C133" s="11" t="str">
        <f aca="false">B133&amp;":"&amp;A133</f>
        <v>att_cellline:jurkat</v>
      </c>
      <c r="D133" s="11" t="s">
        <v>574</v>
      </c>
      <c r="E133" s="11" t="s">
        <v>575</v>
      </c>
      <c r="F133" s="11" t="s">
        <v>576</v>
      </c>
    </row>
    <row r="134" customFormat="false" ht="12.8" hidden="false" customHeight="false" outlineLevel="0" collapsed="false">
      <c r="A134" s="11" t="s">
        <v>577</v>
      </c>
      <c r="B134" s="11" t="s">
        <v>43</v>
      </c>
      <c r="C134" s="11" t="str">
        <f aca="false">B134&amp;":"&amp;A134</f>
        <v>att_cellline:jvm13</v>
      </c>
      <c r="D134" s="11" t="s">
        <v>577</v>
      </c>
      <c r="E134" s="11" t="s">
        <v>578</v>
      </c>
      <c r="F134" s="11" t="s">
        <v>573</v>
      </c>
    </row>
    <row r="135" customFormat="false" ht="12.8" hidden="false" customHeight="false" outlineLevel="0" collapsed="false">
      <c r="A135" s="11" t="s">
        <v>579</v>
      </c>
      <c r="B135" s="11" t="s">
        <v>43</v>
      </c>
      <c r="C135" s="11" t="str">
        <f aca="false">B135&amp;":"&amp;A135</f>
        <v>att_cellline:jvm2</v>
      </c>
      <c r="D135" s="11" t="s">
        <v>579</v>
      </c>
      <c r="E135" s="11" t="s">
        <v>580</v>
      </c>
      <c r="F135" s="11" t="s">
        <v>573</v>
      </c>
    </row>
    <row r="136" customFormat="false" ht="12.8" hidden="false" customHeight="false" outlineLevel="0" collapsed="false">
      <c r="A136" s="11" t="s">
        <v>581</v>
      </c>
      <c r="B136" s="11" t="s">
        <v>43</v>
      </c>
      <c r="C136" s="11" t="str">
        <f aca="false">B136&amp;":"&amp;A136</f>
        <v>att_cellline:k562</v>
      </c>
      <c r="D136" s="11" t="s">
        <v>581</v>
      </c>
      <c r="E136" s="11" t="s">
        <v>582</v>
      </c>
      <c r="F136" s="11" t="s">
        <v>534</v>
      </c>
    </row>
    <row r="137" customFormat="false" ht="12.8" hidden="false" customHeight="false" outlineLevel="0" collapsed="false">
      <c r="A137" s="11" t="s">
        <v>583</v>
      </c>
      <c r="B137" s="11" t="s">
        <v>43</v>
      </c>
      <c r="C137" s="11" t="str">
        <f aca="false">B137&amp;":"&amp;A137</f>
        <v>att_cellline:km12</v>
      </c>
      <c r="D137" s="11" t="s">
        <v>583</v>
      </c>
      <c r="E137" s="11" t="s">
        <v>584</v>
      </c>
      <c r="F137" s="11" t="s">
        <v>531</v>
      </c>
    </row>
    <row r="138" customFormat="false" ht="12.8" hidden="false" customHeight="false" outlineLevel="0" collapsed="false">
      <c r="A138" s="11" t="s">
        <v>585</v>
      </c>
      <c r="B138" s="11" t="s">
        <v>43</v>
      </c>
      <c r="C138" s="11" t="str">
        <f aca="false">B138&amp;":"&amp;A138</f>
        <v>att_cellline:lox_imvi</v>
      </c>
      <c r="D138" s="11" t="s">
        <v>585</v>
      </c>
      <c r="E138" s="11" t="s">
        <v>586</v>
      </c>
      <c r="F138" s="11" t="s">
        <v>587</v>
      </c>
    </row>
    <row r="139" customFormat="false" ht="12.8" hidden="false" customHeight="false" outlineLevel="0" collapsed="false">
      <c r="A139" s="11" t="s">
        <v>588</v>
      </c>
      <c r="B139" s="11" t="s">
        <v>43</v>
      </c>
      <c r="C139" s="11" t="str">
        <f aca="false">B139&amp;":"&amp;A139</f>
        <v>att_cellline:m14</v>
      </c>
      <c r="D139" s="11" t="s">
        <v>588</v>
      </c>
      <c r="E139" s="11" t="s">
        <v>589</v>
      </c>
      <c r="F139" s="11" t="s">
        <v>587</v>
      </c>
    </row>
    <row r="140" customFormat="false" ht="12.8" hidden="false" customHeight="false" outlineLevel="0" collapsed="false">
      <c r="A140" s="11" t="s">
        <v>590</v>
      </c>
      <c r="B140" s="11" t="s">
        <v>43</v>
      </c>
      <c r="C140" s="11" t="str">
        <f aca="false">B140&amp;":"&amp;A140</f>
        <v>att_cellline:malme3m</v>
      </c>
      <c r="D140" s="11" t="s">
        <v>590</v>
      </c>
      <c r="E140" s="11" t="s">
        <v>591</v>
      </c>
      <c r="F140" s="11" t="s">
        <v>587</v>
      </c>
    </row>
    <row r="141" customFormat="false" ht="12.8" hidden="false" customHeight="false" outlineLevel="0" collapsed="false">
      <c r="A141" s="11" t="s">
        <v>592</v>
      </c>
      <c r="B141" s="11" t="s">
        <v>43</v>
      </c>
      <c r="C141" s="11" t="str">
        <f aca="false">B141&amp;":"&amp;A141</f>
        <v>att_cellline:maver1</v>
      </c>
      <c r="D141" s="11" t="s">
        <v>592</v>
      </c>
      <c r="E141" s="11" t="s">
        <v>593</v>
      </c>
      <c r="F141" s="11" t="s">
        <v>573</v>
      </c>
    </row>
    <row r="142" customFormat="false" ht="12.8" hidden="false" customHeight="false" outlineLevel="0" collapsed="false">
      <c r="A142" s="11" t="s">
        <v>594</v>
      </c>
      <c r="B142" s="11" t="s">
        <v>43</v>
      </c>
      <c r="C142" s="11" t="str">
        <f aca="false">B142&amp;":"&amp;A142</f>
        <v>att_cellline:mcf7</v>
      </c>
      <c r="D142" s="11" t="s">
        <v>594</v>
      </c>
      <c r="E142" s="11" t="s">
        <v>595</v>
      </c>
      <c r="F142" s="11" t="s">
        <v>523</v>
      </c>
    </row>
    <row r="143" customFormat="false" ht="12.8" hidden="false" customHeight="false" outlineLevel="0" collapsed="false">
      <c r="A143" s="11" t="s">
        <v>596</v>
      </c>
      <c r="B143" s="11" t="s">
        <v>43</v>
      </c>
      <c r="C143" s="11" t="str">
        <f aca="false">B143&amp;":"&amp;A143</f>
        <v>att_cellline:mdamb231</v>
      </c>
      <c r="D143" s="11" t="s">
        <v>596</v>
      </c>
      <c r="E143" s="11" t="s">
        <v>597</v>
      </c>
      <c r="F143" s="11" t="s">
        <v>523</v>
      </c>
    </row>
    <row r="144" customFormat="false" ht="12.8" hidden="false" customHeight="false" outlineLevel="0" collapsed="false">
      <c r="A144" s="11" t="s">
        <v>598</v>
      </c>
      <c r="B144" s="11" t="s">
        <v>43</v>
      </c>
      <c r="C144" s="11" t="str">
        <f aca="false">B144&amp;":"&amp;A144</f>
        <v>att_cellline:mdamb435</v>
      </c>
      <c r="D144" s="11" t="s">
        <v>598</v>
      </c>
      <c r="E144" s="11" t="s">
        <v>599</v>
      </c>
      <c r="F144" s="11" t="s">
        <v>587</v>
      </c>
    </row>
    <row r="145" customFormat="false" ht="12.8" hidden="false" customHeight="false" outlineLevel="0" collapsed="false">
      <c r="A145" s="11" t="s">
        <v>600</v>
      </c>
      <c r="B145" s="11" t="s">
        <v>43</v>
      </c>
      <c r="C145" s="11" t="str">
        <f aca="false">B145&amp;":"&amp;A145</f>
        <v>att_cellline:mdamb468</v>
      </c>
      <c r="D145" s="11" t="s">
        <v>600</v>
      </c>
      <c r="E145" s="11" t="s">
        <v>601</v>
      </c>
      <c r="F145" s="11" t="s">
        <v>523</v>
      </c>
    </row>
    <row r="146" customFormat="false" ht="12.8" hidden="false" customHeight="false" outlineLevel="0" collapsed="false">
      <c r="A146" s="11" t="s">
        <v>602</v>
      </c>
      <c r="B146" s="11" t="s">
        <v>43</v>
      </c>
      <c r="C146" s="11" t="str">
        <f aca="false">B146&amp;":"&amp;A146</f>
        <v>att_cellline:mef</v>
      </c>
      <c r="D146" s="11" t="s">
        <v>602</v>
      </c>
      <c r="E146" s="11" t="s">
        <v>603</v>
      </c>
      <c r="F146" s="11" t="s">
        <v>604</v>
      </c>
    </row>
    <row r="147" customFormat="false" ht="12.8" hidden="false" customHeight="false" outlineLevel="0" collapsed="false">
      <c r="A147" s="11" t="s">
        <v>605</v>
      </c>
      <c r="B147" s="11" t="s">
        <v>43</v>
      </c>
      <c r="C147" s="11" t="str">
        <f aca="false">B147&amp;":"&amp;A147</f>
        <v>att_cellline:mino</v>
      </c>
      <c r="D147" s="11" t="s">
        <v>605</v>
      </c>
      <c r="E147" s="11" t="s">
        <v>606</v>
      </c>
      <c r="F147" s="11" t="s">
        <v>573</v>
      </c>
    </row>
    <row r="148" customFormat="false" ht="12.8" hidden="false" customHeight="false" outlineLevel="0" collapsed="false">
      <c r="A148" s="11" t="s">
        <v>607</v>
      </c>
      <c r="B148" s="11" t="s">
        <v>43</v>
      </c>
      <c r="C148" s="11" t="str">
        <f aca="false">B148&amp;":"&amp;A148</f>
        <v>att_cellline:molt4</v>
      </c>
      <c r="D148" s="11" t="s">
        <v>607</v>
      </c>
      <c r="E148" s="11" t="s">
        <v>608</v>
      </c>
      <c r="F148" s="11" t="s">
        <v>534</v>
      </c>
    </row>
    <row r="149" customFormat="false" ht="12.8" hidden="false" customHeight="false" outlineLevel="0" collapsed="false">
      <c r="A149" s="11" t="s">
        <v>609</v>
      </c>
      <c r="B149" s="11" t="s">
        <v>43</v>
      </c>
      <c r="C149" s="11" t="str">
        <f aca="false">B149&amp;":"&amp;A149</f>
        <v>att_cellline:nceb1</v>
      </c>
      <c r="D149" s="11" t="s">
        <v>609</v>
      </c>
      <c r="E149" s="11" t="s">
        <v>610</v>
      </c>
      <c r="F149" s="11" t="s">
        <v>573</v>
      </c>
    </row>
    <row r="150" customFormat="false" ht="12.8" hidden="false" customHeight="false" outlineLevel="0" collapsed="false">
      <c r="A150" s="11" t="s">
        <v>611</v>
      </c>
      <c r="B150" s="11" t="s">
        <v>43</v>
      </c>
      <c r="C150" s="11" t="str">
        <f aca="false">B150&amp;":"&amp;A150</f>
        <v>att_cellline:nci_adrres</v>
      </c>
      <c r="D150" s="11" t="s">
        <v>612</v>
      </c>
      <c r="E150" s="11" t="s">
        <v>613</v>
      </c>
      <c r="F150" s="11" t="s">
        <v>567</v>
      </c>
    </row>
    <row r="151" customFormat="false" ht="12.8" hidden="false" customHeight="false" outlineLevel="0" collapsed="false">
      <c r="A151" s="11" t="s">
        <v>614</v>
      </c>
      <c r="B151" s="11" t="s">
        <v>43</v>
      </c>
      <c r="C151" s="11" t="str">
        <f aca="false">B151&amp;":"&amp;A151</f>
        <v>att_cellline:nci_h226</v>
      </c>
      <c r="D151" s="11" t="s">
        <v>615</v>
      </c>
      <c r="E151" s="11" t="s">
        <v>616</v>
      </c>
      <c r="F151" s="11" t="s">
        <v>513</v>
      </c>
    </row>
    <row r="152" customFormat="false" ht="12.8" hidden="false" customHeight="false" outlineLevel="0" collapsed="false">
      <c r="A152" s="11" t="s">
        <v>617</v>
      </c>
      <c r="B152" s="11" t="s">
        <v>43</v>
      </c>
      <c r="C152" s="11" t="str">
        <f aca="false">B152&amp;":"&amp;A152</f>
        <v>att_cellline:nci_h23</v>
      </c>
      <c r="D152" s="11" t="s">
        <v>618</v>
      </c>
      <c r="E152" s="11" t="s">
        <v>619</v>
      </c>
      <c r="F152" s="11" t="s">
        <v>513</v>
      </c>
    </row>
    <row r="153" customFormat="false" ht="12.8" hidden="false" customHeight="false" outlineLevel="0" collapsed="false">
      <c r="A153" s="11" t="s">
        <v>620</v>
      </c>
      <c r="B153" s="11" t="s">
        <v>43</v>
      </c>
      <c r="C153" s="11" t="str">
        <f aca="false">B153&amp;":"&amp;A153</f>
        <v>att_cellline:nci_h322m</v>
      </c>
      <c r="D153" s="11" t="s">
        <v>621</v>
      </c>
      <c r="E153" s="11" t="s">
        <v>622</v>
      </c>
      <c r="F153" s="11" t="s">
        <v>513</v>
      </c>
    </row>
    <row r="154" customFormat="false" ht="12.8" hidden="false" customHeight="false" outlineLevel="0" collapsed="false">
      <c r="A154" s="11" t="s">
        <v>623</v>
      </c>
      <c r="B154" s="11" t="s">
        <v>43</v>
      </c>
      <c r="C154" s="11" t="str">
        <f aca="false">B154&amp;":"&amp;A154</f>
        <v>att_cellline:nci_h460</v>
      </c>
      <c r="D154" s="11" t="s">
        <v>624</v>
      </c>
      <c r="E154" s="11" t="s">
        <v>625</v>
      </c>
      <c r="F154" s="11" t="s">
        <v>513</v>
      </c>
    </row>
    <row r="155" customFormat="false" ht="12.8" hidden="false" customHeight="false" outlineLevel="0" collapsed="false">
      <c r="A155" s="11" t="s">
        <v>626</v>
      </c>
      <c r="B155" s="11" t="s">
        <v>43</v>
      </c>
      <c r="C155" s="11" t="str">
        <f aca="false">B155&amp;":"&amp;A155</f>
        <v>att_cellline:nci_h522</v>
      </c>
      <c r="D155" s="11" t="s">
        <v>627</v>
      </c>
      <c r="E155" s="11" t="s">
        <v>628</v>
      </c>
      <c r="F155" s="11" t="s">
        <v>513</v>
      </c>
    </row>
    <row r="156" customFormat="false" ht="12.8" hidden="false" customHeight="false" outlineLevel="0" collapsed="false">
      <c r="A156" s="11" t="s">
        <v>629</v>
      </c>
      <c r="B156" s="11" t="s">
        <v>43</v>
      </c>
      <c r="C156" s="11" t="str">
        <f aca="false">B156&amp;":"&amp;A156</f>
        <v>att_cellline:ovcar3</v>
      </c>
      <c r="D156" s="11" t="s">
        <v>629</v>
      </c>
      <c r="E156" s="11" t="s">
        <v>630</v>
      </c>
      <c r="F156" s="11" t="s">
        <v>567</v>
      </c>
    </row>
    <row r="157" customFormat="false" ht="12.8" hidden="false" customHeight="false" outlineLevel="0" collapsed="false">
      <c r="A157" s="11" t="s">
        <v>631</v>
      </c>
      <c r="B157" s="11" t="s">
        <v>43</v>
      </c>
      <c r="C157" s="11" t="str">
        <f aca="false">B157&amp;":"&amp;A157</f>
        <v>att_cellline:ovcar4</v>
      </c>
      <c r="D157" s="11" t="s">
        <v>631</v>
      </c>
      <c r="E157" s="11" t="s">
        <v>632</v>
      </c>
      <c r="F157" s="11" t="s">
        <v>567</v>
      </c>
    </row>
    <row r="158" customFormat="false" ht="12.8" hidden="false" customHeight="false" outlineLevel="0" collapsed="false">
      <c r="A158" s="11" t="s">
        <v>633</v>
      </c>
      <c r="B158" s="11" t="s">
        <v>43</v>
      </c>
      <c r="C158" s="11" t="str">
        <f aca="false">B158&amp;":"&amp;A158</f>
        <v>att_cellline:ovcar5</v>
      </c>
      <c r="D158" s="11" t="s">
        <v>633</v>
      </c>
      <c r="E158" s="11" t="s">
        <v>634</v>
      </c>
      <c r="F158" s="11" t="s">
        <v>567</v>
      </c>
    </row>
    <row r="159" customFormat="false" ht="12.8" hidden="false" customHeight="false" outlineLevel="0" collapsed="false">
      <c r="A159" s="11" t="s">
        <v>635</v>
      </c>
      <c r="B159" s="11" t="s">
        <v>43</v>
      </c>
      <c r="C159" s="11" t="str">
        <f aca="false">B159&amp;":"&amp;A159</f>
        <v>att_cellline:ovcar8</v>
      </c>
      <c r="D159" s="11" t="s">
        <v>635</v>
      </c>
      <c r="E159" s="11" t="s">
        <v>636</v>
      </c>
      <c r="F159" s="11" t="s">
        <v>567</v>
      </c>
    </row>
    <row r="160" customFormat="false" ht="12.8" hidden="false" customHeight="false" outlineLevel="0" collapsed="false">
      <c r="A160" s="11" t="s">
        <v>637</v>
      </c>
      <c r="B160" s="11" t="s">
        <v>43</v>
      </c>
      <c r="C160" s="11" t="str">
        <f aca="false">B160&amp;":"&amp;A160</f>
        <v>att_cellline:p388</v>
      </c>
      <c r="D160" s="11" t="s">
        <v>637</v>
      </c>
      <c r="E160" s="11" t="s">
        <v>638</v>
      </c>
      <c r="F160" s="11" t="s">
        <v>639</v>
      </c>
    </row>
    <row r="161" customFormat="false" ht="12.8" hidden="false" customHeight="false" outlineLevel="0" collapsed="false">
      <c r="A161" s="11" t="s">
        <v>640</v>
      </c>
      <c r="B161" s="11" t="s">
        <v>43</v>
      </c>
      <c r="C161" s="11" t="str">
        <f aca="false">B161&amp;":"&amp;A161</f>
        <v>att_cellline:pc3</v>
      </c>
      <c r="D161" s="11" t="s">
        <v>640</v>
      </c>
      <c r="E161" s="11" t="s">
        <v>641</v>
      </c>
      <c r="F161" s="11" t="s">
        <v>537</v>
      </c>
    </row>
    <row r="162" customFormat="false" ht="12.8" hidden="false" customHeight="false" outlineLevel="0" collapsed="false">
      <c r="A162" s="11" t="s">
        <v>642</v>
      </c>
      <c r="B162" s="11" t="s">
        <v>43</v>
      </c>
      <c r="C162" s="11" t="str">
        <f aca="false">B162&amp;":"&amp;A162</f>
        <v>att_cellline:rec1</v>
      </c>
      <c r="D162" s="11" t="s">
        <v>642</v>
      </c>
      <c r="E162" s="11" t="s">
        <v>643</v>
      </c>
      <c r="F162" s="11" t="s">
        <v>573</v>
      </c>
    </row>
    <row r="163" customFormat="false" ht="12.8" hidden="false" customHeight="false" outlineLevel="0" collapsed="false">
      <c r="A163" s="11" t="s">
        <v>644</v>
      </c>
      <c r="B163" s="11" t="s">
        <v>43</v>
      </c>
      <c r="C163" s="11" t="str">
        <f aca="false">B163&amp;":"&amp;A163</f>
        <v>att_cellline:rpmi8226</v>
      </c>
      <c r="D163" s="11" t="s">
        <v>644</v>
      </c>
      <c r="E163" s="11" t="s">
        <v>645</v>
      </c>
      <c r="F163" s="11" t="s">
        <v>534</v>
      </c>
    </row>
    <row r="164" customFormat="false" ht="12.8" hidden="false" customHeight="false" outlineLevel="0" collapsed="false">
      <c r="A164" s="11" t="s">
        <v>646</v>
      </c>
      <c r="B164" s="11" t="s">
        <v>43</v>
      </c>
      <c r="C164" s="11" t="str">
        <f aca="false">B164&amp;":"&amp;A164</f>
        <v>att_cellline:rxf393</v>
      </c>
      <c r="D164" s="11" t="s">
        <v>646</v>
      </c>
      <c r="E164" s="11" t="s">
        <v>647</v>
      </c>
      <c r="F164" s="11" t="s">
        <v>508</v>
      </c>
    </row>
    <row r="165" customFormat="false" ht="12.8" hidden="false" customHeight="false" outlineLevel="0" collapsed="false">
      <c r="A165" s="11" t="s">
        <v>648</v>
      </c>
      <c r="B165" s="11" t="s">
        <v>43</v>
      </c>
      <c r="C165" s="11" t="str">
        <f aca="false">B165&amp;":"&amp;A165</f>
        <v>att_cellline:sf268</v>
      </c>
      <c r="D165" s="11" t="s">
        <v>648</v>
      </c>
      <c r="E165" s="11" t="s">
        <v>649</v>
      </c>
      <c r="F165" s="11" t="s">
        <v>650</v>
      </c>
    </row>
    <row r="166" customFormat="false" ht="12.8" hidden="false" customHeight="false" outlineLevel="0" collapsed="false">
      <c r="A166" s="11" t="s">
        <v>651</v>
      </c>
      <c r="B166" s="11" t="s">
        <v>43</v>
      </c>
      <c r="C166" s="11" t="str">
        <f aca="false">B166&amp;":"&amp;A166</f>
        <v>att_cellline:sf295</v>
      </c>
      <c r="D166" s="11" t="s">
        <v>651</v>
      </c>
      <c r="E166" s="11" t="s">
        <v>652</v>
      </c>
      <c r="F166" s="11" t="s">
        <v>650</v>
      </c>
    </row>
    <row r="167" customFormat="false" ht="12.8" hidden="false" customHeight="false" outlineLevel="0" collapsed="false">
      <c r="A167" s="11" t="s">
        <v>653</v>
      </c>
      <c r="B167" s="11" t="s">
        <v>43</v>
      </c>
      <c r="C167" s="11" t="str">
        <f aca="false">B167&amp;":"&amp;A167</f>
        <v>att_cellline:sf539</v>
      </c>
      <c r="D167" s="11" t="s">
        <v>653</v>
      </c>
      <c r="E167" s="11" t="s">
        <v>654</v>
      </c>
      <c r="F167" s="11" t="s">
        <v>650</v>
      </c>
    </row>
    <row r="168" customFormat="false" ht="12.8" hidden="false" customHeight="false" outlineLevel="0" collapsed="false">
      <c r="A168" s="11" t="s">
        <v>655</v>
      </c>
      <c r="B168" s="11" t="s">
        <v>43</v>
      </c>
      <c r="C168" s="11" t="str">
        <f aca="false">B168&amp;":"&amp;A168</f>
        <v>att_cellline:skmel2</v>
      </c>
      <c r="D168" s="11" t="s">
        <v>655</v>
      </c>
      <c r="E168" s="11" t="s">
        <v>656</v>
      </c>
      <c r="F168" s="11" t="s">
        <v>587</v>
      </c>
    </row>
    <row r="169" customFormat="false" ht="12.8" hidden="false" customHeight="false" outlineLevel="0" collapsed="false">
      <c r="A169" s="11" t="s">
        <v>657</v>
      </c>
      <c r="B169" s="11" t="s">
        <v>43</v>
      </c>
      <c r="C169" s="11" t="str">
        <f aca="false">B169&amp;":"&amp;A169</f>
        <v>att_cellline:skmel28</v>
      </c>
      <c r="D169" s="11" t="s">
        <v>657</v>
      </c>
      <c r="E169" s="11" t="s">
        <v>658</v>
      </c>
      <c r="F169" s="11" t="s">
        <v>587</v>
      </c>
    </row>
    <row r="170" customFormat="false" ht="12.8" hidden="false" customHeight="false" outlineLevel="0" collapsed="false">
      <c r="A170" s="11" t="s">
        <v>659</v>
      </c>
      <c r="B170" s="11" t="s">
        <v>43</v>
      </c>
      <c r="C170" s="11" t="str">
        <f aca="false">B170&amp;":"&amp;A170</f>
        <v>att_cellline:skmel5</v>
      </c>
      <c r="D170" s="11" t="s">
        <v>659</v>
      </c>
      <c r="E170" s="11" t="s">
        <v>660</v>
      </c>
      <c r="F170" s="11" t="s">
        <v>587</v>
      </c>
    </row>
    <row r="171" customFormat="false" ht="12.8" hidden="false" customHeight="false" outlineLevel="0" collapsed="false">
      <c r="A171" s="11" t="s">
        <v>661</v>
      </c>
      <c r="B171" s="11" t="s">
        <v>43</v>
      </c>
      <c r="C171" s="11" t="str">
        <f aca="false">B171&amp;":"&amp;A171</f>
        <v>att_cellline:skov3</v>
      </c>
      <c r="D171" s="11" t="s">
        <v>661</v>
      </c>
      <c r="E171" s="11" t="s">
        <v>662</v>
      </c>
      <c r="F171" s="11" t="s">
        <v>567</v>
      </c>
    </row>
    <row r="172" customFormat="false" ht="12.8" hidden="false" customHeight="false" outlineLevel="0" collapsed="false">
      <c r="A172" s="11" t="s">
        <v>663</v>
      </c>
      <c r="B172" s="11" t="s">
        <v>43</v>
      </c>
      <c r="C172" s="11" t="str">
        <f aca="false">B172&amp;":"&amp;A172</f>
        <v>att_cellline:sn12c</v>
      </c>
      <c r="D172" s="11" t="s">
        <v>663</v>
      </c>
      <c r="E172" s="11" t="s">
        <v>664</v>
      </c>
      <c r="F172" s="11" t="s">
        <v>508</v>
      </c>
    </row>
    <row r="173" customFormat="false" ht="12.8" hidden="false" customHeight="false" outlineLevel="0" collapsed="false">
      <c r="A173" s="11" t="s">
        <v>665</v>
      </c>
      <c r="B173" s="11" t="s">
        <v>43</v>
      </c>
      <c r="C173" s="11" t="str">
        <f aca="false">B173&amp;":"&amp;A173</f>
        <v>att_cellline:snb19</v>
      </c>
      <c r="D173" s="11" t="s">
        <v>665</v>
      </c>
      <c r="E173" s="11" t="s">
        <v>666</v>
      </c>
      <c r="F173" s="11" t="s">
        <v>650</v>
      </c>
    </row>
    <row r="174" customFormat="false" ht="12.8" hidden="false" customHeight="false" outlineLevel="0" collapsed="false">
      <c r="A174" s="11" t="s">
        <v>667</v>
      </c>
      <c r="B174" s="11" t="s">
        <v>43</v>
      </c>
      <c r="C174" s="11" t="str">
        <f aca="false">B174&amp;":"&amp;A174</f>
        <v>att_cellline:snb75</v>
      </c>
      <c r="D174" s="11" t="s">
        <v>667</v>
      </c>
      <c r="E174" s="11" t="s">
        <v>668</v>
      </c>
      <c r="F174" s="11" t="s">
        <v>650</v>
      </c>
    </row>
    <row r="175" customFormat="false" ht="12.8" hidden="false" customHeight="false" outlineLevel="0" collapsed="false">
      <c r="A175" s="11" t="s">
        <v>669</v>
      </c>
      <c r="B175" s="11" t="s">
        <v>43</v>
      </c>
      <c r="C175" s="11" t="str">
        <f aca="false">B175&amp;":"&amp;A175</f>
        <v>att_cellline:sr</v>
      </c>
      <c r="D175" s="11" t="s">
        <v>669</v>
      </c>
      <c r="E175" s="11" t="s">
        <v>670</v>
      </c>
      <c r="F175" s="11" t="s">
        <v>534</v>
      </c>
    </row>
    <row r="176" customFormat="false" ht="12.8" hidden="false" customHeight="false" outlineLevel="0" collapsed="false">
      <c r="A176" s="11" t="s">
        <v>671</v>
      </c>
      <c r="B176" s="11" t="s">
        <v>43</v>
      </c>
      <c r="C176" s="11" t="str">
        <f aca="false">B176&amp;":"&amp;A176</f>
        <v>att_cellline:sw620</v>
      </c>
      <c r="D176" s="11" t="s">
        <v>671</v>
      </c>
      <c r="E176" s="11" t="s">
        <v>672</v>
      </c>
      <c r="F176" s="11" t="s">
        <v>531</v>
      </c>
    </row>
    <row r="177" customFormat="false" ht="12.8" hidden="false" customHeight="false" outlineLevel="0" collapsed="false">
      <c r="A177" s="11" t="s">
        <v>673</v>
      </c>
      <c r="B177" s="11" t="s">
        <v>43</v>
      </c>
      <c r="C177" s="11" t="str">
        <f aca="false">B177&amp;":"&amp;A177</f>
        <v>att_cellline:t47d</v>
      </c>
      <c r="D177" s="11" t="s">
        <v>673</v>
      </c>
      <c r="E177" s="11" t="s">
        <v>674</v>
      </c>
      <c r="F177" s="11" t="s">
        <v>523</v>
      </c>
    </row>
    <row r="178" customFormat="false" ht="12.8" hidden="false" customHeight="false" outlineLevel="0" collapsed="false">
      <c r="A178" s="11" t="s">
        <v>675</v>
      </c>
      <c r="B178" s="11" t="s">
        <v>43</v>
      </c>
      <c r="C178" s="11" t="str">
        <f aca="false">B178&amp;":"&amp;A178</f>
        <v>att_cellline:thp1</v>
      </c>
      <c r="D178" s="11" t="s">
        <v>675</v>
      </c>
      <c r="E178" s="11" t="s">
        <v>676</v>
      </c>
      <c r="F178" s="11" t="s">
        <v>677</v>
      </c>
    </row>
    <row r="179" customFormat="false" ht="12.8" hidden="false" customHeight="false" outlineLevel="0" collapsed="false">
      <c r="A179" s="11" t="s">
        <v>678</v>
      </c>
      <c r="B179" s="11" t="s">
        <v>43</v>
      </c>
      <c r="C179" s="11" t="str">
        <f aca="false">B179&amp;":"&amp;A179</f>
        <v>att_cellline:tk10</v>
      </c>
      <c r="D179" s="11" t="s">
        <v>678</v>
      </c>
      <c r="E179" s="11" t="s">
        <v>679</v>
      </c>
      <c r="F179" s="11" t="s">
        <v>508</v>
      </c>
    </row>
    <row r="180" customFormat="false" ht="12.8" hidden="false" customHeight="false" outlineLevel="0" collapsed="false">
      <c r="A180" s="11" t="s">
        <v>680</v>
      </c>
      <c r="B180" s="11" t="s">
        <v>43</v>
      </c>
      <c r="C180" s="11" t="str">
        <f aca="false">B180&amp;":"&amp;A180</f>
        <v>att_cellline:u251</v>
      </c>
      <c r="D180" s="11" t="s">
        <v>680</v>
      </c>
      <c r="E180" s="11" t="s">
        <v>681</v>
      </c>
      <c r="F180" s="11" t="s">
        <v>650</v>
      </c>
    </row>
    <row r="181" customFormat="false" ht="12.8" hidden="false" customHeight="false" outlineLevel="0" collapsed="false">
      <c r="A181" s="11" t="s">
        <v>682</v>
      </c>
      <c r="B181" s="11" t="s">
        <v>43</v>
      </c>
      <c r="C181" s="11" t="str">
        <f aca="false">B181&amp;":"&amp;A181</f>
        <v>att_cellline:u937</v>
      </c>
      <c r="D181" s="11" t="s">
        <v>682</v>
      </c>
      <c r="E181" s="11" t="s">
        <v>683</v>
      </c>
      <c r="F181" s="11" t="s">
        <v>684</v>
      </c>
    </row>
    <row r="182" customFormat="false" ht="12.8" hidden="false" customHeight="false" outlineLevel="0" collapsed="false">
      <c r="A182" s="11" t="s">
        <v>685</v>
      </c>
      <c r="B182" s="11" t="s">
        <v>43</v>
      </c>
      <c r="C182" s="11" t="str">
        <f aca="false">B182&amp;":"&amp;A182</f>
        <v>att_cellline:uacc257</v>
      </c>
      <c r="D182" s="11" t="s">
        <v>685</v>
      </c>
      <c r="E182" s="11" t="s">
        <v>686</v>
      </c>
      <c r="F182" s="11" t="s">
        <v>587</v>
      </c>
    </row>
    <row r="183" customFormat="false" ht="12.8" hidden="false" customHeight="false" outlineLevel="0" collapsed="false">
      <c r="A183" s="11" t="s">
        <v>687</v>
      </c>
      <c r="B183" s="11" t="s">
        <v>43</v>
      </c>
      <c r="C183" s="11" t="str">
        <f aca="false">B183&amp;":"&amp;A183</f>
        <v>att_cellline:uacc62</v>
      </c>
      <c r="D183" s="11" t="s">
        <v>687</v>
      </c>
      <c r="E183" s="11" t="s">
        <v>688</v>
      </c>
      <c r="F183" s="11" t="s">
        <v>587</v>
      </c>
    </row>
    <row r="184" customFormat="false" ht="12.8" hidden="false" customHeight="false" outlineLevel="0" collapsed="false">
      <c r="A184" s="11" t="s">
        <v>689</v>
      </c>
      <c r="B184" s="11" t="s">
        <v>43</v>
      </c>
      <c r="C184" s="11" t="str">
        <f aca="false">B184&amp;":"&amp;A184</f>
        <v>att_cellline:uo31</v>
      </c>
      <c r="D184" s="11" t="s">
        <v>689</v>
      </c>
      <c r="E184" s="11" t="s">
        <v>690</v>
      </c>
      <c r="F184" s="11" t="s">
        <v>508</v>
      </c>
    </row>
    <row r="185" customFormat="false" ht="12.8" hidden="false" customHeight="false" outlineLevel="0" collapsed="false">
      <c r="A185" s="11" t="s">
        <v>691</v>
      </c>
      <c r="B185" s="11" t="s">
        <v>43</v>
      </c>
      <c r="C185" s="11" t="str">
        <f aca="false">B185&amp;":"&amp;A185</f>
        <v>att_cellline:z138</v>
      </c>
      <c r="D185" s="11" t="s">
        <v>691</v>
      </c>
      <c r="E185" s="11" t="s">
        <v>692</v>
      </c>
      <c r="F185" s="11" t="s">
        <v>573</v>
      </c>
    </row>
    <row r="186" customFormat="false" ht="12.8" hidden="false" customHeight="false" outlineLevel="0" collapsed="false">
      <c r="A186" s="11" t="s">
        <v>693</v>
      </c>
      <c r="B186" s="11" t="s">
        <v>52</v>
      </c>
      <c r="C186" s="11" t="str">
        <f aca="false">B186&amp;":"&amp;A186</f>
        <v>att_column_inner_diameter:75um</v>
      </c>
      <c r="D186" s="14" t="s">
        <v>17</v>
      </c>
      <c r="E186" s="11" t="n">
        <v>75</v>
      </c>
      <c r="F186" s="11" t="s">
        <v>694</v>
      </c>
    </row>
    <row r="187" customFormat="false" ht="12.8" hidden="false" customHeight="false" outlineLevel="0" collapsed="false">
      <c r="A187" s="11" t="s">
        <v>695</v>
      </c>
      <c r="B187" s="11" t="s">
        <v>56</v>
      </c>
      <c r="C187" s="11" t="str">
        <f aca="false">B187&amp;":"&amp;A187</f>
        <v>att_column_length:15cm</v>
      </c>
      <c r="D187" s="11" t="s">
        <v>695</v>
      </c>
      <c r="E187" s="11" t="n">
        <v>15</v>
      </c>
      <c r="F187" s="11" t="s">
        <v>696</v>
      </c>
    </row>
    <row r="188" customFormat="false" ht="12.8" hidden="false" customHeight="false" outlineLevel="0" collapsed="false">
      <c r="A188" s="11" t="s">
        <v>697</v>
      </c>
      <c r="B188" s="11" t="s">
        <v>56</v>
      </c>
      <c r="C188" s="11" t="str">
        <f aca="false">B188&amp;":"&amp;A188</f>
        <v>att_column_length:30cm</v>
      </c>
      <c r="D188" s="11" t="s">
        <v>697</v>
      </c>
      <c r="E188" s="11" t="n">
        <v>30</v>
      </c>
      <c r="F188" s="11" t="s">
        <v>698</v>
      </c>
    </row>
    <row r="189" customFormat="false" ht="12.8" hidden="false" customHeight="false" outlineLevel="0" collapsed="false">
      <c r="A189" s="11" t="s">
        <v>699</v>
      </c>
      <c r="B189" s="11" t="s">
        <v>56</v>
      </c>
      <c r="C189" s="11" t="str">
        <f aca="false">B189&amp;":"&amp;A189</f>
        <v>att_column_length:50cm</v>
      </c>
      <c r="D189" s="11" t="s">
        <v>699</v>
      </c>
      <c r="E189" s="11" t="n">
        <v>50</v>
      </c>
      <c r="F189" s="11" t="s">
        <v>700</v>
      </c>
    </row>
    <row r="190" customFormat="false" ht="12.8" hidden="false" customHeight="false" outlineLevel="0" collapsed="false">
      <c r="A190" s="11" t="s">
        <v>701</v>
      </c>
      <c r="B190" s="11" t="s">
        <v>56</v>
      </c>
      <c r="C190" s="11" t="str">
        <f aca="false">B190&amp;":"&amp;A190</f>
        <v>att_column_length:5cm</v>
      </c>
      <c r="D190" s="11" t="s">
        <v>701</v>
      </c>
      <c r="E190" s="11" t="n">
        <v>5</v>
      </c>
      <c r="F190" s="11" t="s">
        <v>702</v>
      </c>
    </row>
    <row r="191" customFormat="false" ht="12.8" hidden="false" customHeight="false" outlineLevel="0" collapsed="false">
      <c r="A191" s="11" t="s">
        <v>703</v>
      </c>
      <c r="B191" s="11" t="s">
        <v>60</v>
      </c>
      <c r="C191" s="11" t="str">
        <f aca="false">B191&amp;":"&amp;A191</f>
        <v>att_column_oven_temp:40c</v>
      </c>
      <c r="D191" s="14" t="s">
        <v>17</v>
      </c>
      <c r="E191" s="11" t="n">
        <v>40</v>
      </c>
      <c r="F191" s="14" t="s">
        <v>17</v>
      </c>
    </row>
    <row r="192" customFormat="false" ht="12.8" hidden="false" customHeight="false" outlineLevel="0" collapsed="false">
      <c r="A192" s="11" t="s">
        <v>699</v>
      </c>
      <c r="B192" s="11" t="s">
        <v>60</v>
      </c>
      <c r="C192" s="11" t="str">
        <f aca="false">B192&amp;":"&amp;A192</f>
        <v>att_column_oven_temp:50cm</v>
      </c>
      <c r="D192" s="14" t="s">
        <v>17</v>
      </c>
      <c r="E192" s="11" t="n">
        <v>50</v>
      </c>
      <c r="F192" s="14" t="s">
        <v>17</v>
      </c>
    </row>
    <row r="193" customFormat="false" ht="12.8" hidden="false" customHeight="false" outlineLevel="0" collapsed="false">
      <c r="A193" s="11" t="s">
        <v>704</v>
      </c>
      <c r="B193" s="11" t="s">
        <v>60</v>
      </c>
      <c r="C193" s="11" t="str">
        <f aca="false">B193&amp;":"&amp;A193</f>
        <v>att_column_oven_temp:55c</v>
      </c>
      <c r="D193" s="14" t="s">
        <v>17</v>
      </c>
      <c r="E193" s="11" t="n">
        <v>55</v>
      </c>
      <c r="F193" s="14" t="s">
        <v>17</v>
      </c>
    </row>
    <row r="194" customFormat="false" ht="12.8" hidden="false" customHeight="false" outlineLevel="0" collapsed="false">
      <c r="A194" s="11" t="s">
        <v>705</v>
      </c>
      <c r="B194" s="11" t="s">
        <v>62</v>
      </c>
      <c r="C194" s="11" t="str">
        <f aca="false">B194&amp;":"&amp;A194</f>
        <v>att_column_particle_size:170nm</v>
      </c>
      <c r="D194" s="14" t="s">
        <v>17</v>
      </c>
      <c r="E194" s="11" t="n">
        <v>1.7</v>
      </c>
      <c r="F194" s="11" t="s">
        <v>706</v>
      </c>
    </row>
    <row r="195" customFormat="false" ht="12.8" hidden="false" customHeight="false" outlineLevel="0" collapsed="false">
      <c r="A195" s="11" t="s">
        <v>707</v>
      </c>
      <c r="B195" s="11" t="s">
        <v>62</v>
      </c>
      <c r="C195" s="11" t="str">
        <f aca="false">B195&amp;":"&amp;A195</f>
        <v>att_column_particle_size:270nm</v>
      </c>
      <c r="D195" s="14" t="s">
        <v>17</v>
      </c>
      <c r="E195" s="11" t="n">
        <v>2.7</v>
      </c>
      <c r="F195" s="11" t="s">
        <v>708</v>
      </c>
    </row>
    <row r="196" customFormat="false" ht="12.8" hidden="false" customHeight="false" outlineLevel="0" collapsed="false">
      <c r="A196" s="11" t="s">
        <v>709</v>
      </c>
      <c r="B196" s="11" t="s">
        <v>66</v>
      </c>
      <c r="C196" s="11" t="str">
        <f aca="false">B196&amp;":"&amp;A196</f>
        <v>att_column_stat_phase:c18</v>
      </c>
      <c r="D196" s="14" t="s">
        <v>17</v>
      </c>
      <c r="E196" s="11" t="s">
        <v>710</v>
      </c>
      <c r="F196" s="11" t="s">
        <v>711</v>
      </c>
    </row>
    <row r="197" customFormat="false" ht="12.8" hidden="false" customHeight="false" outlineLevel="0" collapsed="false">
      <c r="A197" s="11" t="s">
        <v>712</v>
      </c>
      <c r="B197" s="11" t="s">
        <v>66</v>
      </c>
      <c r="C197" s="11" t="str">
        <f aca="false">B197&amp;":"&amp;A197</f>
        <v>att_column_stat_phase:c8</v>
      </c>
      <c r="D197" s="14" t="s">
        <v>17</v>
      </c>
      <c r="E197" s="11" t="s">
        <v>713</v>
      </c>
      <c r="F197" s="11" t="s">
        <v>714</v>
      </c>
    </row>
    <row r="198" customFormat="false" ht="12.8" hidden="false" customHeight="false" outlineLevel="0" collapsed="false">
      <c r="A198" s="11" t="s">
        <v>715</v>
      </c>
      <c r="B198" s="11" t="s">
        <v>53</v>
      </c>
      <c r="C198" s="11" t="str">
        <f aca="false">B198&amp;":"&amp;A198</f>
        <v>att_column_type:aurora</v>
      </c>
      <c r="D198" s="14" t="s">
        <v>17</v>
      </c>
      <c r="E198" s="11" t="s">
        <v>716</v>
      </c>
      <c r="F198" s="11" t="s">
        <v>717</v>
      </c>
    </row>
    <row r="199" customFormat="false" ht="12.8" hidden="false" customHeight="false" outlineLevel="0" collapsed="false">
      <c r="A199" s="11" t="s">
        <v>718</v>
      </c>
      <c r="B199" s="11" t="s">
        <v>53</v>
      </c>
      <c r="C199" s="11" t="str">
        <f aca="false">B199&amp;":"&amp;A199</f>
        <v>att_column_type:easyspray</v>
      </c>
      <c r="D199" s="14" t="s">
        <v>17</v>
      </c>
      <c r="E199" s="11" t="s">
        <v>719</v>
      </c>
      <c r="F199" s="11" t="s">
        <v>720</v>
      </c>
    </row>
    <row r="200" customFormat="false" ht="12.8" hidden="false" customHeight="false" outlineLevel="0" collapsed="false">
      <c r="A200" s="11" t="s">
        <v>721</v>
      </c>
      <c r="B200" s="11" t="s">
        <v>53</v>
      </c>
      <c r="C200" s="11" t="str">
        <f aca="false">B200&amp;":"&amp;A200</f>
        <v>att_column_type:inhouse</v>
      </c>
      <c r="D200" s="14" t="s">
        <v>17</v>
      </c>
      <c r="E200" s="11" t="s">
        <v>722</v>
      </c>
      <c r="F200" s="11" t="s">
        <v>723</v>
      </c>
    </row>
    <row r="201" customFormat="false" ht="12.8" hidden="false" customHeight="false" outlineLevel="0" collapsed="false">
      <c r="A201" s="11" t="s">
        <v>724</v>
      </c>
      <c r="B201" s="11" t="s">
        <v>53</v>
      </c>
      <c r="C201" s="11" t="str">
        <f aca="false">B201&amp;":"&amp;A201</f>
        <v>att_column_type:upac_doubleviper</v>
      </c>
      <c r="D201" s="14" t="s">
        <v>17</v>
      </c>
      <c r="E201" s="11" t="s">
        <v>725</v>
      </c>
      <c r="F201" s="11" t="s">
        <v>726</v>
      </c>
    </row>
    <row r="202" customFormat="false" ht="12.8" hidden="false" customHeight="false" outlineLevel="0" collapsed="false">
      <c r="A202" s="11" t="s">
        <v>727</v>
      </c>
      <c r="B202" s="11" t="s">
        <v>53</v>
      </c>
      <c r="C202" s="11" t="str">
        <f aca="false">B202&amp;":"&amp;A202</f>
        <v>att_column_type:upac_low_loadneo</v>
      </c>
      <c r="D202" s="14" t="s">
        <v>17</v>
      </c>
      <c r="E202" s="11" t="s">
        <v>728</v>
      </c>
      <c r="F202" s="11" t="s">
        <v>729</v>
      </c>
    </row>
    <row r="203" customFormat="false" ht="12.8" hidden="false" customHeight="false" outlineLevel="0" collapsed="false">
      <c r="A203" s="11" t="s">
        <v>730</v>
      </c>
      <c r="B203" s="11" t="s">
        <v>53</v>
      </c>
      <c r="C203" s="11" t="str">
        <f aca="false">B203&amp;":"&amp;A203</f>
        <v>att_column_type:upac_neo</v>
      </c>
      <c r="D203" s="14" t="s">
        <v>17</v>
      </c>
      <c r="E203" s="11" t="s">
        <v>731</v>
      </c>
      <c r="F203" s="11" t="s">
        <v>732</v>
      </c>
    </row>
    <row r="204" customFormat="false" ht="12.8" hidden="false" customHeight="false" outlineLevel="0" collapsed="false">
      <c r="A204" s="11" t="s">
        <v>733</v>
      </c>
      <c r="B204" s="11" t="s">
        <v>69</v>
      </c>
      <c r="C204" s="11" t="str">
        <f aca="false">B204&amp;":"&amp;A204</f>
        <v>att_compound:5_fluorouracil</v>
      </c>
      <c r="D204" s="11" t="s">
        <v>734</v>
      </c>
      <c r="E204" s="11" t="s">
        <v>735</v>
      </c>
      <c r="F204" s="11" t="s">
        <v>736</v>
      </c>
    </row>
    <row r="205" customFormat="false" ht="12.8" hidden="false" customHeight="false" outlineLevel="0" collapsed="false">
      <c r="A205" s="11" t="s">
        <v>737</v>
      </c>
      <c r="B205" s="11" t="s">
        <v>69</v>
      </c>
      <c r="C205" s="11" t="str">
        <f aca="false">B205&amp;":"&amp;A205</f>
        <v>att_compound:anisomycin</v>
      </c>
      <c r="D205" s="11" t="s">
        <v>737</v>
      </c>
      <c r="E205" s="11" t="s">
        <v>738</v>
      </c>
      <c r="F205" s="11" t="s">
        <v>738</v>
      </c>
    </row>
    <row r="206" customFormat="false" ht="12.8" hidden="false" customHeight="false" outlineLevel="0" collapsed="false">
      <c r="A206" s="11" t="s">
        <v>739</v>
      </c>
      <c r="B206" s="11" t="s">
        <v>69</v>
      </c>
      <c r="C206" s="11" t="str">
        <f aca="false">B206&amp;":"&amp;A206</f>
        <v>att_compound:antimycin</v>
      </c>
      <c r="D206" s="11" t="s">
        <v>739</v>
      </c>
      <c r="E206" s="11" t="s">
        <v>740</v>
      </c>
      <c r="F206" s="11" t="s">
        <v>741</v>
      </c>
    </row>
    <row r="207" customFormat="false" ht="12.8" hidden="false" customHeight="false" outlineLevel="0" collapsed="false">
      <c r="A207" s="11" t="s">
        <v>742</v>
      </c>
      <c r="B207" s="11" t="s">
        <v>69</v>
      </c>
      <c r="C207" s="11" t="str">
        <f aca="false">B207&amp;":"&amp;A207</f>
        <v>att_compound:atp</v>
      </c>
      <c r="D207" s="11" t="s">
        <v>742</v>
      </c>
      <c r="E207" s="11" t="s">
        <v>743</v>
      </c>
      <c r="F207" s="11" t="s">
        <v>744</v>
      </c>
    </row>
    <row r="208" customFormat="false" ht="12.8" hidden="false" customHeight="false" outlineLevel="0" collapsed="false">
      <c r="A208" s="11" t="s">
        <v>745</v>
      </c>
      <c r="B208" s="11" t="s">
        <v>69</v>
      </c>
      <c r="C208" s="11" t="str">
        <f aca="false">B208&amp;":"&amp;A208</f>
        <v>att_compound:berzosertib</v>
      </c>
      <c r="D208" s="11" t="s">
        <v>745</v>
      </c>
      <c r="E208" s="11" t="s">
        <v>745</v>
      </c>
      <c r="F208" s="11" t="s">
        <v>746</v>
      </c>
    </row>
    <row r="209" customFormat="false" ht="12.8" hidden="false" customHeight="false" outlineLevel="0" collapsed="false">
      <c r="A209" s="11" t="s">
        <v>747</v>
      </c>
      <c r="B209" s="11" t="s">
        <v>69</v>
      </c>
      <c r="C209" s="11" t="str">
        <f aca="false">B209&amp;":"&amp;A209</f>
        <v>att_compound:bortezomib</v>
      </c>
      <c r="D209" s="11" t="s">
        <v>747</v>
      </c>
      <c r="E209" s="11" t="s">
        <v>747</v>
      </c>
      <c r="F209" s="11" t="s">
        <v>748</v>
      </c>
    </row>
    <row r="210" customFormat="false" ht="12.8" hidden="false" customHeight="false" outlineLevel="0" collapsed="false">
      <c r="A210" s="11" t="s">
        <v>749</v>
      </c>
      <c r="B210" s="11" t="s">
        <v>69</v>
      </c>
      <c r="C210" s="11" t="str">
        <f aca="false">B210&amp;":"&amp;A210</f>
        <v>att_compound:cccp</v>
      </c>
      <c r="D210" s="11" t="s">
        <v>749</v>
      </c>
      <c r="E210" s="11" t="s">
        <v>750</v>
      </c>
      <c r="F210" s="11" t="s">
        <v>751</v>
      </c>
    </row>
    <row r="211" customFormat="false" ht="12.8" hidden="false" customHeight="false" outlineLevel="0" collapsed="false">
      <c r="A211" s="11" t="s">
        <v>752</v>
      </c>
      <c r="B211" s="11" t="s">
        <v>69</v>
      </c>
      <c r="C211" s="11" t="str">
        <f aca="false">B211&amp;":"&amp;A211</f>
        <v>att_compound:cycloheximide</v>
      </c>
      <c r="D211" s="11" t="s">
        <v>752</v>
      </c>
      <c r="E211" s="11" t="s">
        <v>752</v>
      </c>
      <c r="F211" s="11" t="s">
        <v>753</v>
      </c>
    </row>
    <row r="212" customFormat="false" ht="12.8" hidden="false" customHeight="false" outlineLevel="0" collapsed="false">
      <c r="A212" s="11" t="s">
        <v>754</v>
      </c>
      <c r="B212" s="11" t="s">
        <v>69</v>
      </c>
      <c r="C212" s="11" t="str">
        <f aca="false">B212&amp;":"&amp;A212</f>
        <v>att_compound:dmso</v>
      </c>
      <c r="D212" s="11" t="s">
        <v>754</v>
      </c>
      <c r="E212" s="11" t="s">
        <v>755</v>
      </c>
      <c r="F212" s="11" t="s">
        <v>756</v>
      </c>
    </row>
    <row r="213" customFormat="false" ht="12.8" hidden="false" customHeight="false" outlineLevel="0" collapsed="false">
      <c r="A213" s="11" t="s">
        <v>757</v>
      </c>
      <c r="B213" s="11" t="s">
        <v>69</v>
      </c>
      <c r="C213" s="11" t="str">
        <f aca="false">B213&amp;":"&amp;A213</f>
        <v>att_compound:doxorubicin</v>
      </c>
      <c r="D213" s="11" t="s">
        <v>757</v>
      </c>
      <c r="E213" s="11" t="s">
        <v>758</v>
      </c>
      <c r="F213" s="11" t="s">
        <v>759</v>
      </c>
    </row>
    <row r="214" customFormat="false" ht="12.8" hidden="false" customHeight="false" outlineLevel="0" collapsed="false">
      <c r="A214" s="11" t="s">
        <v>760</v>
      </c>
      <c r="B214" s="11" t="s">
        <v>69</v>
      </c>
      <c r="C214" s="11" t="str">
        <f aca="false">B214&amp;":"&amp;A214</f>
        <v>att_compound:doxycycline</v>
      </c>
      <c r="D214" s="11" t="s">
        <v>760</v>
      </c>
      <c r="E214" s="11" t="s">
        <v>761</v>
      </c>
      <c r="F214" s="11" t="s">
        <v>762</v>
      </c>
    </row>
    <row r="215" customFormat="false" ht="12.8" hidden="false" customHeight="false" outlineLevel="0" collapsed="false">
      <c r="A215" s="11" t="s">
        <v>763</v>
      </c>
      <c r="B215" s="11" t="s">
        <v>69</v>
      </c>
      <c r="C215" s="11" t="str">
        <f aca="false">B215&amp;":"&amp;A215</f>
        <v>att_compound:etoposide</v>
      </c>
      <c r="D215" s="11" t="s">
        <v>763</v>
      </c>
      <c r="E215" s="11" t="s">
        <v>764</v>
      </c>
      <c r="F215" s="11" t="s">
        <v>765</v>
      </c>
    </row>
    <row r="216" customFormat="false" ht="12.8" hidden="false" customHeight="false" outlineLevel="0" collapsed="false">
      <c r="A216" s="11" t="s">
        <v>766</v>
      </c>
      <c r="B216" s="11" t="s">
        <v>69</v>
      </c>
      <c r="C216" s="11" t="str">
        <f aca="false">B216&amp;":"&amp;A216</f>
        <v>att_compound:fccp</v>
      </c>
      <c r="D216" s="11" t="s">
        <v>766</v>
      </c>
      <c r="E216" s="11" t="s">
        <v>767</v>
      </c>
      <c r="F216" s="11" t="s">
        <v>768</v>
      </c>
    </row>
    <row r="217" customFormat="false" ht="12.8" hidden="false" customHeight="false" outlineLevel="0" collapsed="false">
      <c r="A217" s="11" t="s">
        <v>769</v>
      </c>
      <c r="B217" s="11" t="s">
        <v>69</v>
      </c>
      <c r="C217" s="11" t="str">
        <f aca="false">B217&amp;":"&amp;A217</f>
        <v>att_compound:h2o</v>
      </c>
      <c r="D217" s="11" t="s">
        <v>769</v>
      </c>
      <c r="E217" s="11" t="s">
        <v>770</v>
      </c>
      <c r="F217" s="11" t="s">
        <v>771</v>
      </c>
    </row>
    <row r="218" customFormat="false" ht="12.8" hidden="false" customHeight="false" outlineLevel="0" collapsed="false">
      <c r="A218" s="11" t="s">
        <v>772</v>
      </c>
      <c r="B218" s="11" t="s">
        <v>69</v>
      </c>
      <c r="C218" s="11" t="str">
        <f aca="false">B218&amp;":"&amp;A218</f>
        <v>att_compound:hydroxyurea</v>
      </c>
      <c r="D218" s="11" t="s">
        <v>772</v>
      </c>
      <c r="E218" s="11" t="s">
        <v>773</v>
      </c>
      <c r="F218" s="11" t="s">
        <v>774</v>
      </c>
    </row>
    <row r="219" customFormat="false" ht="12.8" hidden="false" customHeight="false" outlineLevel="0" collapsed="false">
      <c r="A219" s="11" t="s">
        <v>775</v>
      </c>
      <c r="B219" s="11" t="s">
        <v>69</v>
      </c>
      <c r="C219" s="11" t="str">
        <f aca="false">B219&amp;":"&amp;A219</f>
        <v>att_compound:oligomycin</v>
      </c>
      <c r="D219" s="11" t="s">
        <v>775</v>
      </c>
      <c r="E219" s="11" t="s">
        <v>776</v>
      </c>
      <c r="F219" s="11" t="s">
        <v>777</v>
      </c>
    </row>
    <row r="220" customFormat="false" ht="12.8" hidden="false" customHeight="false" outlineLevel="0" collapsed="false">
      <c r="A220" s="11" t="s">
        <v>778</v>
      </c>
      <c r="B220" s="11" t="s">
        <v>69</v>
      </c>
      <c r="C220" s="11" t="str">
        <f aca="false">B220&amp;":"&amp;A220</f>
        <v>att_compound:rapamycin</v>
      </c>
      <c r="D220" s="11" t="s">
        <v>778</v>
      </c>
      <c r="E220" s="11" t="s">
        <v>779</v>
      </c>
      <c r="F220" s="11" t="s">
        <v>780</v>
      </c>
    </row>
    <row r="221" customFormat="false" ht="12.8" hidden="false" customHeight="false" outlineLevel="0" collapsed="false">
      <c r="A221" s="11" t="s">
        <v>781</v>
      </c>
      <c r="B221" s="11" t="s">
        <v>69</v>
      </c>
      <c r="C221" s="11" t="str">
        <f aca="false">B221&amp;":"&amp;A221</f>
        <v>att_compound:rotenone</v>
      </c>
      <c r="D221" s="11" t="s">
        <v>781</v>
      </c>
      <c r="E221" s="11" t="s">
        <v>782</v>
      </c>
      <c r="F221" s="11" t="s">
        <v>783</v>
      </c>
    </row>
    <row r="222" customFormat="false" ht="12.8" hidden="false" customHeight="false" outlineLevel="0" collapsed="false">
      <c r="A222" s="11" t="s">
        <v>784</v>
      </c>
      <c r="B222" s="11" t="s">
        <v>69</v>
      </c>
      <c r="C222" s="11" t="str">
        <f aca="false">B222&amp;":"&amp;A222</f>
        <v>att_compound:tamoxifen</v>
      </c>
      <c r="D222" s="11" t="s">
        <v>784</v>
      </c>
      <c r="E222" s="11" t="s">
        <v>784</v>
      </c>
      <c r="F222" s="11" t="s">
        <v>785</v>
      </c>
    </row>
    <row r="223" customFormat="false" ht="12.8" hidden="false" customHeight="false" outlineLevel="0" collapsed="false">
      <c r="A223" s="11" t="s">
        <v>786</v>
      </c>
      <c r="B223" s="11" t="s">
        <v>69</v>
      </c>
      <c r="C223" s="11" t="str">
        <f aca="false">B223&amp;":"&amp;A223</f>
        <v>att_compound:torin</v>
      </c>
      <c r="D223" s="11" t="s">
        <v>786</v>
      </c>
      <c r="E223" s="11" t="s">
        <v>787</v>
      </c>
      <c r="F223" s="11" t="s">
        <v>788</v>
      </c>
    </row>
    <row r="224" customFormat="false" ht="12.8" hidden="false" customHeight="false" outlineLevel="0" collapsed="false">
      <c r="A224" s="11" t="s">
        <v>789</v>
      </c>
      <c r="B224" s="11" t="s">
        <v>69</v>
      </c>
      <c r="C224" s="11" t="str">
        <f aca="false">B224&amp;":"&amp;A224</f>
        <v>att_compound:trametinib</v>
      </c>
      <c r="D224" s="11" t="s">
        <v>789</v>
      </c>
      <c r="E224" s="11" t="s">
        <v>789</v>
      </c>
      <c r="F224" s="11" t="s">
        <v>790</v>
      </c>
    </row>
    <row r="225" customFormat="false" ht="12.8" hidden="false" customHeight="false" outlineLevel="0" collapsed="false">
      <c r="A225" s="11" t="s">
        <v>791</v>
      </c>
      <c r="B225" s="11" t="s">
        <v>69</v>
      </c>
      <c r="C225" s="11" t="str">
        <f aca="false">B225&amp;":"&amp;A225</f>
        <v>att_compound:unstimulated</v>
      </c>
      <c r="D225" s="11" t="s">
        <v>791</v>
      </c>
      <c r="E225" s="11" t="s">
        <v>792</v>
      </c>
      <c r="F225" s="11" t="s">
        <v>793</v>
      </c>
    </row>
    <row r="226" customFormat="false" ht="12.8" hidden="false" customHeight="false" outlineLevel="0" collapsed="false">
      <c r="A226" s="11" t="s">
        <v>794</v>
      </c>
      <c r="B226" s="11" t="s">
        <v>795</v>
      </c>
      <c r="C226" s="11" t="str">
        <f aca="false">B226&amp;":"&amp;A226</f>
        <v>att_context:microenvironment</v>
      </c>
      <c r="D226" s="14" t="s">
        <v>17</v>
      </c>
      <c r="E226" s="11" t="s">
        <v>794</v>
      </c>
      <c r="F226" s="11" t="s">
        <v>794</v>
      </c>
    </row>
    <row r="227" customFormat="false" ht="12.8" hidden="false" customHeight="false" outlineLevel="0" collapsed="false">
      <c r="A227" s="11" t="s">
        <v>796</v>
      </c>
      <c r="B227" s="11" t="s">
        <v>79</v>
      </c>
      <c r="C227" s="11" t="str">
        <f aca="false">B227&amp;":"&amp;A227</f>
        <v>att_crosslink_hydroamine_cleavable:egs</v>
      </c>
      <c r="D227" s="14" t="s">
        <v>17</v>
      </c>
      <c r="E227" s="11" t="s">
        <v>797</v>
      </c>
      <c r="F227" s="11" t="s">
        <v>798</v>
      </c>
    </row>
    <row r="228" customFormat="false" ht="12.8" hidden="false" customHeight="false" outlineLevel="0" collapsed="false">
      <c r="A228" s="11" t="s">
        <v>799</v>
      </c>
      <c r="B228" s="11" t="s">
        <v>79</v>
      </c>
      <c r="C228" s="11" t="str">
        <f aca="false">B228&amp;":"&amp;A228</f>
        <v>att_crosslink_hydroamine_cleavable:suflo_egs</v>
      </c>
      <c r="D228" s="14" t="s">
        <v>17</v>
      </c>
      <c r="E228" s="11" t="s">
        <v>800</v>
      </c>
      <c r="F228" s="11" t="s">
        <v>801</v>
      </c>
    </row>
    <row r="229" customFormat="false" ht="12.8" hidden="false" customHeight="false" outlineLevel="0" collapsed="false">
      <c r="A229" s="11" t="s">
        <v>802</v>
      </c>
      <c r="B229" s="11" t="s">
        <v>82</v>
      </c>
      <c r="C229" s="11" t="str">
        <f aca="false">B229&amp;":"&amp;A229</f>
        <v>att_crosslink_ms_cleavable:dsbu</v>
      </c>
      <c r="D229" s="14" t="s">
        <v>17</v>
      </c>
      <c r="E229" s="11" t="s">
        <v>803</v>
      </c>
      <c r="F229" s="11" t="s">
        <v>804</v>
      </c>
    </row>
    <row r="230" customFormat="false" ht="12.8" hidden="false" customHeight="false" outlineLevel="0" collapsed="false">
      <c r="A230" s="11" t="s">
        <v>805</v>
      </c>
      <c r="B230" s="11" t="s">
        <v>82</v>
      </c>
      <c r="C230" s="11" t="str">
        <f aca="false">B230&amp;":"&amp;A230</f>
        <v>att_crosslink_ms_cleavable:dsso</v>
      </c>
      <c r="D230" s="14" t="s">
        <v>17</v>
      </c>
      <c r="E230" s="11" t="s">
        <v>806</v>
      </c>
      <c r="F230" s="11" t="s">
        <v>807</v>
      </c>
    </row>
    <row r="231" customFormat="false" ht="12.8" hidden="false" customHeight="false" outlineLevel="0" collapsed="false">
      <c r="A231" s="11" t="s">
        <v>808</v>
      </c>
      <c r="B231" s="11" t="s">
        <v>84</v>
      </c>
      <c r="C231" s="11" t="str">
        <f aca="false">B231&amp;":"&amp;A231</f>
        <v>att_crosslink_non_clevable:amas</v>
      </c>
      <c r="D231" s="14" t="s">
        <v>17</v>
      </c>
      <c r="E231" s="11" t="s">
        <v>809</v>
      </c>
      <c r="F231" s="11" t="s">
        <v>810</v>
      </c>
    </row>
    <row r="232" customFormat="false" ht="12.8" hidden="false" customHeight="false" outlineLevel="0" collapsed="false">
      <c r="A232" s="11" t="s">
        <v>811</v>
      </c>
      <c r="B232" s="11" t="s">
        <v>84</v>
      </c>
      <c r="C232" s="11" t="str">
        <f aca="false">B232&amp;":"&amp;A232</f>
        <v>att_crosslink_non_clevable:bm_peg_3</v>
      </c>
      <c r="D232" s="14" t="s">
        <v>17</v>
      </c>
      <c r="E232" s="11" t="s">
        <v>812</v>
      </c>
      <c r="F232" s="11" t="s">
        <v>813</v>
      </c>
    </row>
    <row r="233" customFormat="false" ht="12.8" hidden="false" customHeight="false" outlineLevel="0" collapsed="false">
      <c r="A233" s="11" t="s">
        <v>814</v>
      </c>
      <c r="B233" s="11" t="s">
        <v>84</v>
      </c>
      <c r="C233" s="11" t="str">
        <f aca="false">B233&amp;":"&amp;A233</f>
        <v>att_crosslink_non_clevable:bmb</v>
      </c>
      <c r="D233" s="14" t="s">
        <v>17</v>
      </c>
      <c r="E233" s="11" t="s">
        <v>815</v>
      </c>
      <c r="F233" s="11" t="s">
        <v>816</v>
      </c>
    </row>
    <row r="234" customFormat="false" ht="12.8" hidden="false" customHeight="false" outlineLevel="0" collapsed="false">
      <c r="A234" s="11" t="s">
        <v>817</v>
      </c>
      <c r="B234" s="11" t="s">
        <v>84</v>
      </c>
      <c r="C234" s="11" t="str">
        <f aca="false">B234&amp;":"&amp;A234</f>
        <v>att_crosslink_non_clevable:bmh</v>
      </c>
      <c r="D234" s="14" t="s">
        <v>17</v>
      </c>
      <c r="E234" s="11" t="s">
        <v>818</v>
      </c>
      <c r="F234" s="11" t="s">
        <v>819</v>
      </c>
    </row>
    <row r="235" customFormat="false" ht="12.8" hidden="false" customHeight="false" outlineLevel="0" collapsed="false">
      <c r="A235" s="11" t="s">
        <v>820</v>
      </c>
      <c r="B235" s="11" t="s">
        <v>84</v>
      </c>
      <c r="C235" s="11" t="str">
        <f aca="false">B235&amp;":"&amp;A235</f>
        <v>att_crosslink_non_clevable:bmoe</v>
      </c>
      <c r="D235" s="14" t="s">
        <v>17</v>
      </c>
      <c r="E235" s="11" t="s">
        <v>821</v>
      </c>
      <c r="F235" s="11" t="s">
        <v>822</v>
      </c>
    </row>
    <row r="236" customFormat="false" ht="12.8" hidden="false" customHeight="false" outlineLevel="0" collapsed="false">
      <c r="A236" s="11" t="s">
        <v>823</v>
      </c>
      <c r="B236" s="11" t="s">
        <v>84</v>
      </c>
      <c r="C236" s="11" t="str">
        <f aca="false">B236&amp;":"&amp;A236</f>
        <v>att_crosslink_non_clevable:bmph</v>
      </c>
      <c r="D236" s="14" t="s">
        <v>17</v>
      </c>
      <c r="E236" s="11" t="s">
        <v>824</v>
      </c>
      <c r="F236" s="11" t="s">
        <v>825</v>
      </c>
    </row>
    <row r="237" customFormat="false" ht="12.8" hidden="false" customHeight="false" outlineLevel="0" collapsed="false">
      <c r="A237" s="11" t="s">
        <v>826</v>
      </c>
      <c r="B237" s="11" t="s">
        <v>84</v>
      </c>
      <c r="C237" s="11" t="str">
        <f aca="false">B237&amp;":"&amp;A237</f>
        <v>att_crosslink_non_clevable:bmps</v>
      </c>
      <c r="D237" s="14" t="s">
        <v>17</v>
      </c>
      <c r="E237" s="11" t="s">
        <v>827</v>
      </c>
      <c r="F237" s="11" t="s">
        <v>828</v>
      </c>
    </row>
    <row r="238" customFormat="false" ht="12.8" hidden="false" customHeight="false" outlineLevel="0" collapsed="false">
      <c r="A238" s="11" t="s">
        <v>829</v>
      </c>
      <c r="B238" s="11" t="s">
        <v>84</v>
      </c>
      <c r="C238" s="11" t="str">
        <f aca="false">B238&amp;":"&amp;A238</f>
        <v>att_crosslink_non_clevable:bs_peg_5</v>
      </c>
      <c r="D238" s="14" t="s">
        <v>17</v>
      </c>
      <c r="E238" s="11" t="s">
        <v>830</v>
      </c>
      <c r="F238" s="11" t="s">
        <v>831</v>
      </c>
    </row>
    <row r="239" customFormat="false" ht="12.8" hidden="false" customHeight="false" outlineLevel="0" collapsed="false">
      <c r="A239" s="11" t="s">
        <v>832</v>
      </c>
      <c r="B239" s="11" t="s">
        <v>84</v>
      </c>
      <c r="C239" s="11" t="str">
        <f aca="false">B239&amp;":"&amp;A239</f>
        <v>att_crosslink_non_clevable:bs_peg_9</v>
      </c>
      <c r="D239" s="14" t="s">
        <v>17</v>
      </c>
      <c r="E239" s="11" t="s">
        <v>833</v>
      </c>
      <c r="F239" s="11" t="s">
        <v>834</v>
      </c>
    </row>
    <row r="240" customFormat="false" ht="12.8" hidden="false" customHeight="false" outlineLevel="0" collapsed="false">
      <c r="A240" s="11" t="s">
        <v>835</v>
      </c>
      <c r="B240" s="11" t="s">
        <v>84</v>
      </c>
      <c r="C240" s="11" t="str">
        <f aca="false">B240&amp;":"&amp;A240</f>
        <v>att_crosslink_non_clevable:bs2g_d0</v>
      </c>
      <c r="D240" s="14" t="s">
        <v>17</v>
      </c>
      <c r="E240" s="11" t="s">
        <v>836</v>
      </c>
      <c r="F240" s="11" t="s">
        <v>837</v>
      </c>
    </row>
    <row r="241" customFormat="false" ht="12.8" hidden="false" customHeight="false" outlineLevel="0" collapsed="false">
      <c r="A241" s="11" t="s">
        <v>838</v>
      </c>
      <c r="B241" s="11" t="s">
        <v>84</v>
      </c>
      <c r="C241" s="11" t="str">
        <f aca="false">B241&amp;":"&amp;A241</f>
        <v>att_crosslink_non_clevable:bs3</v>
      </c>
      <c r="D241" s="14" t="s">
        <v>17</v>
      </c>
      <c r="E241" s="11" t="s">
        <v>839</v>
      </c>
      <c r="F241" s="11" t="s">
        <v>840</v>
      </c>
    </row>
    <row r="242" customFormat="false" ht="10.5" hidden="false" customHeight="true" outlineLevel="0" collapsed="false">
      <c r="A242" s="11" t="s">
        <v>841</v>
      </c>
      <c r="B242" s="11" t="s">
        <v>84</v>
      </c>
      <c r="C242" s="11" t="str">
        <f aca="false">B242&amp;":"&amp;A242</f>
        <v>att_crosslink_non_clevable:bs3_d0</v>
      </c>
      <c r="D242" s="14" t="s">
        <v>17</v>
      </c>
      <c r="E242" s="11" t="s">
        <v>842</v>
      </c>
      <c r="F242" s="11" t="s">
        <v>843</v>
      </c>
    </row>
    <row r="243" customFormat="false" ht="12.8" hidden="false" customHeight="false" outlineLevel="0" collapsed="false">
      <c r="A243" s="11" t="s">
        <v>844</v>
      </c>
      <c r="B243" s="11" t="s">
        <v>84</v>
      </c>
      <c r="C243" s="11" t="str">
        <f aca="false">B243&amp;":"&amp;A243</f>
        <v>att_crosslink_non_clevable:bs3_d4</v>
      </c>
      <c r="D243" s="14" t="s">
        <v>17</v>
      </c>
      <c r="E243" s="11" t="s">
        <v>845</v>
      </c>
      <c r="F243" s="11" t="s">
        <v>843</v>
      </c>
    </row>
    <row r="244" customFormat="false" ht="12.8" hidden="false" customHeight="false" outlineLevel="0" collapsed="false">
      <c r="A244" s="11" t="s">
        <v>846</v>
      </c>
      <c r="B244" s="11" t="s">
        <v>84</v>
      </c>
      <c r="C244" s="11" t="str">
        <f aca="false">B244&amp;":"&amp;A244</f>
        <v>att_crosslink_non_clevable:dmp</v>
      </c>
      <c r="D244" s="14" t="s">
        <v>17</v>
      </c>
      <c r="E244" s="11" t="s">
        <v>847</v>
      </c>
      <c r="F244" s="11" t="s">
        <v>848</v>
      </c>
    </row>
    <row r="245" customFormat="false" ht="12.8" hidden="false" customHeight="false" outlineLevel="0" collapsed="false">
      <c r="A245" s="11" t="s">
        <v>849</v>
      </c>
      <c r="B245" s="11" t="s">
        <v>84</v>
      </c>
      <c r="C245" s="11" t="str">
        <f aca="false">B245&amp;":"&amp;A245</f>
        <v>att_crosslink_non_clevable:dms</v>
      </c>
      <c r="D245" s="14" t="s">
        <v>17</v>
      </c>
      <c r="E245" s="11" t="s">
        <v>850</v>
      </c>
      <c r="F245" s="11" t="s">
        <v>851</v>
      </c>
    </row>
    <row r="246" customFormat="false" ht="12.8" hidden="false" customHeight="false" outlineLevel="0" collapsed="false">
      <c r="A246" s="11" t="s">
        <v>852</v>
      </c>
      <c r="B246" s="11" t="s">
        <v>84</v>
      </c>
      <c r="C246" s="11" t="str">
        <f aca="false">B246&amp;":"&amp;A246</f>
        <v>att_crosslink_non_clevable:dss</v>
      </c>
      <c r="D246" s="14" t="s">
        <v>17</v>
      </c>
      <c r="E246" s="11" t="s">
        <v>853</v>
      </c>
      <c r="F246" s="11" t="s">
        <v>854</v>
      </c>
    </row>
    <row r="247" customFormat="false" ht="12.8" hidden="false" customHeight="false" outlineLevel="0" collapsed="false">
      <c r="A247" s="11" t="s">
        <v>855</v>
      </c>
      <c r="B247" s="11" t="s">
        <v>84</v>
      </c>
      <c r="C247" s="11" t="str">
        <f aca="false">B247&amp;":"&amp;A247</f>
        <v>att_crosslink_non_clevable:edc</v>
      </c>
      <c r="D247" s="14" t="s">
        <v>17</v>
      </c>
      <c r="E247" s="11" t="s">
        <v>856</v>
      </c>
      <c r="F247" s="11" t="s">
        <v>857</v>
      </c>
    </row>
    <row r="248" customFormat="false" ht="12.8" hidden="false" customHeight="false" outlineLevel="0" collapsed="false">
      <c r="A248" s="11" t="s">
        <v>858</v>
      </c>
      <c r="B248" s="11" t="s">
        <v>84</v>
      </c>
      <c r="C248" s="11" t="str">
        <f aca="false">B248&amp;":"&amp;A248</f>
        <v>att_crosslink_non_clevable:emch</v>
      </c>
      <c r="D248" s="14" t="s">
        <v>17</v>
      </c>
      <c r="E248" s="11" t="s">
        <v>859</v>
      </c>
      <c r="F248" s="11" t="s">
        <v>860</v>
      </c>
    </row>
    <row r="249" customFormat="false" ht="12.8" hidden="false" customHeight="false" outlineLevel="0" collapsed="false">
      <c r="A249" s="11" t="s">
        <v>861</v>
      </c>
      <c r="B249" s="11" t="s">
        <v>84</v>
      </c>
      <c r="C249" s="11" t="str">
        <f aca="false">B249&amp;":"&amp;A249</f>
        <v>att_crosslink_non_clevable:emcs</v>
      </c>
      <c r="D249" s="14" t="s">
        <v>17</v>
      </c>
      <c r="E249" s="11" t="s">
        <v>862</v>
      </c>
      <c r="F249" s="11" t="s">
        <v>863</v>
      </c>
    </row>
    <row r="250" customFormat="false" ht="12.8" hidden="false" customHeight="false" outlineLevel="0" collapsed="false">
      <c r="A250" s="11" t="s">
        <v>864</v>
      </c>
      <c r="B250" s="11" t="s">
        <v>84</v>
      </c>
      <c r="C250" s="11" t="str">
        <f aca="false">B250&amp;":"&amp;A250</f>
        <v>att_crosslink_non_clevable:gmbs</v>
      </c>
      <c r="D250" s="14" t="s">
        <v>17</v>
      </c>
      <c r="E250" s="11" t="s">
        <v>865</v>
      </c>
      <c r="F250" s="11" t="s">
        <v>866</v>
      </c>
    </row>
    <row r="251" customFormat="false" ht="12.8" hidden="false" customHeight="false" outlineLevel="0" collapsed="false">
      <c r="A251" s="11" t="s">
        <v>867</v>
      </c>
      <c r="B251" s="11" t="s">
        <v>84</v>
      </c>
      <c r="C251" s="11" t="str">
        <f aca="false">B251&amp;":"&amp;A251</f>
        <v>att_crosslink_non_clevable:kmuh</v>
      </c>
      <c r="D251" s="14" t="s">
        <v>17</v>
      </c>
      <c r="E251" s="11" t="s">
        <v>868</v>
      </c>
      <c r="F251" s="11" t="s">
        <v>869</v>
      </c>
    </row>
    <row r="252" customFormat="false" ht="12.8" hidden="false" customHeight="false" outlineLevel="0" collapsed="false">
      <c r="A252" s="11" t="s">
        <v>870</v>
      </c>
      <c r="B252" s="11" t="s">
        <v>84</v>
      </c>
      <c r="C252" s="11" t="str">
        <f aca="false">B252&amp;":"&amp;A252</f>
        <v>att_crosslink_non_clevable:l_photo_methionine</v>
      </c>
      <c r="D252" s="14" t="s">
        <v>17</v>
      </c>
      <c r="E252" s="11" t="s">
        <v>871</v>
      </c>
      <c r="F252" s="11" t="s">
        <v>872</v>
      </c>
    </row>
    <row r="253" customFormat="false" ht="12.8" hidden="false" customHeight="false" outlineLevel="0" collapsed="false">
      <c r="A253" s="11" t="s">
        <v>873</v>
      </c>
      <c r="B253" s="11" t="s">
        <v>84</v>
      </c>
      <c r="C253" s="11" t="str">
        <f aca="false">B253&amp;":"&amp;A253</f>
        <v>att_crosslink_non_clevable:lc_smcc</v>
      </c>
      <c r="D253" s="14" t="s">
        <v>17</v>
      </c>
      <c r="E253" s="11" t="s">
        <v>874</v>
      </c>
      <c r="F253" s="11" t="s">
        <v>875</v>
      </c>
    </row>
    <row r="254" customFormat="false" ht="12.8" hidden="false" customHeight="false" outlineLevel="0" collapsed="false">
      <c r="A254" s="11" t="s">
        <v>876</v>
      </c>
      <c r="B254" s="11" t="s">
        <v>84</v>
      </c>
      <c r="C254" s="11" t="str">
        <f aca="false">B254&amp;":"&amp;A254</f>
        <v>att_crosslink_non_clevable:maleimide_peg4_dbco</v>
      </c>
      <c r="D254" s="14" t="s">
        <v>17</v>
      </c>
      <c r="E254" s="11" t="s">
        <v>877</v>
      </c>
      <c r="F254" s="11" t="s">
        <v>878</v>
      </c>
    </row>
    <row r="255" customFormat="false" ht="12.8" hidden="false" customHeight="false" outlineLevel="0" collapsed="false">
      <c r="A255" s="11" t="s">
        <v>879</v>
      </c>
      <c r="B255" s="11" t="s">
        <v>84</v>
      </c>
      <c r="C255" s="11" t="str">
        <f aca="false">B255&amp;":"&amp;A255</f>
        <v>att_crosslink_non_clevable:mpbh</v>
      </c>
      <c r="D255" s="14" t="s">
        <v>17</v>
      </c>
      <c r="E255" s="11" t="s">
        <v>880</v>
      </c>
      <c r="F255" s="11" t="s">
        <v>881</v>
      </c>
    </row>
    <row r="256" customFormat="false" ht="12.8" hidden="false" customHeight="false" outlineLevel="0" collapsed="false">
      <c r="A256" s="11" t="s">
        <v>882</v>
      </c>
      <c r="B256" s="11" t="s">
        <v>84</v>
      </c>
      <c r="C256" s="11" t="str">
        <f aca="false">B256&amp;":"&amp;A256</f>
        <v>att_crosslink_non_clevable:nhs</v>
      </c>
      <c r="D256" s="14" t="s">
        <v>17</v>
      </c>
      <c r="E256" s="11" t="s">
        <v>883</v>
      </c>
      <c r="F256" s="11" t="s">
        <v>884</v>
      </c>
    </row>
    <row r="257" customFormat="false" ht="12.8" hidden="false" customHeight="false" outlineLevel="0" collapsed="false">
      <c r="A257" s="11" t="s">
        <v>885</v>
      </c>
      <c r="B257" s="11" t="s">
        <v>84</v>
      </c>
      <c r="C257" s="11" t="str">
        <f aca="false">B257&amp;":"&amp;A257</f>
        <v>att_crosslink_non_clevable:nhs_azide</v>
      </c>
      <c r="D257" s="14" t="s">
        <v>17</v>
      </c>
      <c r="E257" s="11" t="s">
        <v>886</v>
      </c>
      <c r="F257" s="11" t="s">
        <v>887</v>
      </c>
    </row>
    <row r="258" customFormat="false" ht="12.8" hidden="false" customHeight="false" outlineLevel="0" collapsed="false">
      <c r="A258" s="11" t="s">
        <v>888</v>
      </c>
      <c r="B258" s="11" t="s">
        <v>84</v>
      </c>
      <c r="C258" s="11" t="str">
        <f aca="false">B258&amp;":"&amp;A258</f>
        <v>att_crosslink_non_clevable:nhs_peg4_azide</v>
      </c>
      <c r="D258" s="14" t="s">
        <v>17</v>
      </c>
      <c r="E258" s="11" t="s">
        <v>889</v>
      </c>
      <c r="F258" s="11" t="s">
        <v>890</v>
      </c>
    </row>
    <row r="259" customFormat="false" ht="12.8" hidden="false" customHeight="false" outlineLevel="0" collapsed="false">
      <c r="A259" s="11" t="s">
        <v>891</v>
      </c>
      <c r="B259" s="11" t="s">
        <v>84</v>
      </c>
      <c r="C259" s="11" t="str">
        <f aca="false">B259&amp;":"&amp;A259</f>
        <v>att_crosslink_non_clevable:nhs_phosphine</v>
      </c>
      <c r="D259" s="14" t="s">
        <v>17</v>
      </c>
      <c r="E259" s="11" t="s">
        <v>892</v>
      </c>
      <c r="F259" s="11" t="s">
        <v>893</v>
      </c>
    </row>
    <row r="260" customFormat="false" ht="12.8" hidden="false" customHeight="false" outlineLevel="0" collapsed="false">
      <c r="A260" s="11" t="s">
        <v>894</v>
      </c>
      <c r="B260" s="11" t="s">
        <v>84</v>
      </c>
      <c r="C260" s="11" t="str">
        <f aca="false">B260&amp;":"&amp;A260</f>
        <v>att_crosslink_non_clevable:pmpi</v>
      </c>
      <c r="D260" s="14" t="s">
        <v>17</v>
      </c>
      <c r="E260" s="11" t="s">
        <v>895</v>
      </c>
      <c r="F260" s="11" t="s">
        <v>896</v>
      </c>
    </row>
    <row r="261" customFormat="false" ht="12.8" hidden="false" customHeight="false" outlineLevel="0" collapsed="false">
      <c r="A261" s="11" t="s">
        <v>897</v>
      </c>
      <c r="B261" s="11" t="s">
        <v>84</v>
      </c>
      <c r="C261" s="11" t="str">
        <f aca="false">B261&amp;":"&amp;A261</f>
        <v>att_crosslink_non_clevable:sbap</v>
      </c>
      <c r="D261" s="14" t="s">
        <v>17</v>
      </c>
      <c r="E261" s="11" t="s">
        <v>898</v>
      </c>
      <c r="F261" s="11" t="s">
        <v>899</v>
      </c>
    </row>
    <row r="262" customFormat="false" ht="12.8" hidden="false" customHeight="false" outlineLevel="0" collapsed="false">
      <c r="A262" s="11" t="s">
        <v>900</v>
      </c>
      <c r="B262" s="11" t="s">
        <v>84</v>
      </c>
      <c r="C262" s="11" t="str">
        <f aca="false">B262&amp;":"&amp;A262</f>
        <v>att_crosslink_non_clevable:sda</v>
      </c>
      <c r="D262" s="14" t="s">
        <v>17</v>
      </c>
      <c r="E262" s="11" t="s">
        <v>901</v>
      </c>
      <c r="F262" s="11" t="s">
        <v>902</v>
      </c>
    </row>
    <row r="263" customFormat="false" ht="12.8" hidden="false" customHeight="false" outlineLevel="0" collapsed="false">
      <c r="A263" s="11" t="s">
        <v>903</v>
      </c>
      <c r="B263" s="11" t="s">
        <v>84</v>
      </c>
      <c r="C263" s="11" t="str">
        <f aca="false">B263&amp;":"&amp;A263</f>
        <v>att_crosslink_non_clevable:sia</v>
      </c>
      <c r="D263" s="14" t="s">
        <v>17</v>
      </c>
      <c r="E263" s="11" t="s">
        <v>904</v>
      </c>
      <c r="F263" s="11" t="s">
        <v>905</v>
      </c>
    </row>
    <row r="264" customFormat="false" ht="12.8" hidden="false" customHeight="false" outlineLevel="0" collapsed="false">
      <c r="A264" s="11" t="s">
        <v>906</v>
      </c>
      <c r="B264" s="11" t="s">
        <v>84</v>
      </c>
      <c r="C264" s="11" t="str">
        <f aca="false">B264&amp;":"&amp;A264</f>
        <v>att_crosslink_non_clevable:smpb</v>
      </c>
      <c r="D264" s="14" t="s">
        <v>17</v>
      </c>
      <c r="E264" s="11" t="s">
        <v>907</v>
      </c>
      <c r="F264" s="11" t="s">
        <v>908</v>
      </c>
    </row>
    <row r="265" customFormat="false" ht="12.8" hidden="false" customHeight="false" outlineLevel="0" collapsed="false">
      <c r="A265" s="11" t="s">
        <v>909</v>
      </c>
      <c r="B265" s="11" t="s">
        <v>84</v>
      </c>
      <c r="C265" s="11" t="str">
        <f aca="false">B265&amp;":"&amp;A265</f>
        <v>att_crosslink_non_clevable:smph</v>
      </c>
      <c r="D265" s="14" t="s">
        <v>17</v>
      </c>
      <c r="E265" s="11" t="s">
        <v>910</v>
      </c>
      <c r="F265" s="11" t="s">
        <v>911</v>
      </c>
    </row>
    <row r="266" customFormat="false" ht="12.8" hidden="false" customHeight="false" outlineLevel="0" collapsed="false">
      <c r="A266" s="11" t="s">
        <v>912</v>
      </c>
      <c r="B266" s="11" t="s">
        <v>84</v>
      </c>
      <c r="C266" s="11" t="str">
        <f aca="false">B266&amp;":"&amp;A266</f>
        <v>att_crosslink_non_clevable:spb</v>
      </c>
      <c r="D266" s="14" t="s">
        <v>17</v>
      </c>
      <c r="E266" s="11" t="s">
        <v>913</v>
      </c>
      <c r="F266" s="11" t="s">
        <v>914</v>
      </c>
    </row>
    <row r="267" customFormat="false" ht="12.8" hidden="false" customHeight="false" outlineLevel="0" collapsed="false">
      <c r="A267" s="11" t="s">
        <v>915</v>
      </c>
      <c r="B267" s="11" t="s">
        <v>84</v>
      </c>
      <c r="C267" s="11" t="str">
        <f aca="false">B267&amp;":"&amp;A267</f>
        <v>att_crosslink_non_clevable:sulfo_emcs</v>
      </c>
      <c r="D267" s="14" t="s">
        <v>17</v>
      </c>
      <c r="E267" s="11" t="s">
        <v>916</v>
      </c>
      <c r="F267" s="11" t="s">
        <v>917</v>
      </c>
    </row>
    <row r="268" customFormat="false" ht="12.8" hidden="false" customHeight="false" outlineLevel="0" collapsed="false">
      <c r="A268" s="11" t="s">
        <v>918</v>
      </c>
      <c r="B268" s="11" t="s">
        <v>84</v>
      </c>
      <c r="C268" s="11" t="str">
        <f aca="false">B268&amp;":"&amp;A268</f>
        <v>att_crosslink_non_clevable:sulfo_kmus</v>
      </c>
      <c r="D268" s="14" t="s">
        <v>17</v>
      </c>
      <c r="E268" s="11" t="s">
        <v>919</v>
      </c>
      <c r="F268" s="11" t="s">
        <v>920</v>
      </c>
    </row>
    <row r="269" customFormat="false" ht="12.8" hidden="false" customHeight="false" outlineLevel="0" collapsed="false">
      <c r="A269" s="11" t="s">
        <v>921</v>
      </c>
      <c r="B269" s="11" t="s">
        <v>84</v>
      </c>
      <c r="C269" s="11" t="str">
        <f aca="false">B269&amp;":"&amp;A269</f>
        <v>att_crosslink_non_clevable:sulfo_lc_sda</v>
      </c>
      <c r="D269" s="14" t="s">
        <v>17</v>
      </c>
      <c r="E269" s="11" t="s">
        <v>922</v>
      </c>
      <c r="F269" s="11" t="s">
        <v>923</v>
      </c>
    </row>
    <row r="270" customFormat="false" ht="12.8" hidden="false" customHeight="false" outlineLevel="0" collapsed="false">
      <c r="A270" s="11" t="s">
        <v>924</v>
      </c>
      <c r="B270" s="11" t="s">
        <v>84</v>
      </c>
      <c r="C270" s="11" t="str">
        <f aca="false">B270&amp;":"&amp;A270</f>
        <v>att_crosslink_non_clevable:sulfo_mbs</v>
      </c>
      <c r="D270" s="14" t="s">
        <v>17</v>
      </c>
      <c r="E270" s="11" t="s">
        <v>925</v>
      </c>
      <c r="F270" s="11" t="s">
        <v>926</v>
      </c>
    </row>
    <row r="271" customFormat="false" ht="12.8" hidden="false" customHeight="false" outlineLevel="0" collapsed="false">
      <c r="A271" s="11" t="s">
        <v>927</v>
      </c>
      <c r="B271" s="11" t="s">
        <v>84</v>
      </c>
      <c r="C271" s="11" t="str">
        <f aca="false">B271&amp;":"&amp;A271</f>
        <v>att_crosslink_non_clevable:sulfo_sda</v>
      </c>
      <c r="D271" s="14" t="s">
        <v>17</v>
      </c>
      <c r="E271" s="11" t="s">
        <v>928</v>
      </c>
      <c r="F271" s="11" t="s">
        <v>929</v>
      </c>
    </row>
    <row r="272" customFormat="false" ht="12.8" hidden="false" customHeight="false" outlineLevel="0" collapsed="false">
      <c r="A272" s="11" t="s">
        <v>930</v>
      </c>
      <c r="B272" s="11" t="s">
        <v>84</v>
      </c>
      <c r="C272" s="11" t="str">
        <f aca="false">B272&amp;":"&amp;A272</f>
        <v>att_crosslink_non_clevable:sulfo_siab</v>
      </c>
      <c r="D272" s="14" t="s">
        <v>17</v>
      </c>
      <c r="E272" s="11" t="s">
        <v>931</v>
      </c>
      <c r="F272" s="11" t="s">
        <v>932</v>
      </c>
    </row>
    <row r="273" customFormat="false" ht="12.8" hidden="false" customHeight="false" outlineLevel="0" collapsed="false">
      <c r="A273" s="11" t="s">
        <v>933</v>
      </c>
      <c r="B273" s="11" t="s">
        <v>84</v>
      </c>
      <c r="C273" s="11" t="str">
        <f aca="false">B273&amp;":"&amp;A273</f>
        <v>att_crosslink_non_clevable:sulfo_smcc</v>
      </c>
      <c r="D273" s="14" t="s">
        <v>17</v>
      </c>
      <c r="E273" s="11" t="s">
        <v>934</v>
      </c>
      <c r="F273" s="11" t="s">
        <v>935</v>
      </c>
    </row>
    <row r="274" customFormat="false" ht="12.8" hidden="false" customHeight="false" outlineLevel="0" collapsed="false">
      <c r="A274" s="11" t="s">
        <v>936</v>
      </c>
      <c r="B274" s="11" t="s">
        <v>84</v>
      </c>
      <c r="C274" s="11" t="str">
        <f aca="false">B274&amp;":"&amp;A274</f>
        <v>att_crosslink_non_clevable:sulfo_smpb</v>
      </c>
      <c r="D274" s="14" t="s">
        <v>17</v>
      </c>
      <c r="E274" s="11" t="s">
        <v>937</v>
      </c>
      <c r="F274" s="11" t="s">
        <v>938</v>
      </c>
    </row>
    <row r="275" customFormat="false" ht="12.8" hidden="false" customHeight="false" outlineLevel="0" collapsed="false">
      <c r="A275" s="11" t="s">
        <v>939</v>
      </c>
      <c r="B275" s="11" t="s">
        <v>84</v>
      </c>
      <c r="C275" s="11" t="str">
        <f aca="false">B275&amp;":"&amp;A275</f>
        <v>att_crosslink_non_clevable:tbdspp</v>
      </c>
      <c r="D275" s="14" t="s">
        <v>17</v>
      </c>
      <c r="E275" s="11" t="s">
        <v>940</v>
      </c>
      <c r="F275" s="11" t="s">
        <v>941</v>
      </c>
    </row>
    <row r="276" customFormat="false" ht="12.8" hidden="false" customHeight="false" outlineLevel="0" collapsed="false">
      <c r="A276" s="11" t="s">
        <v>942</v>
      </c>
      <c r="B276" s="11" t="s">
        <v>84</v>
      </c>
      <c r="C276" s="11" t="str">
        <f aca="false">B276&amp;":"&amp;A276</f>
        <v>att_crosslink_non_clevable:tfpester_peg12_dbco</v>
      </c>
      <c r="D276" s="14" t="s">
        <v>17</v>
      </c>
      <c r="E276" s="11" t="s">
        <v>943</v>
      </c>
      <c r="F276" s="11" t="s">
        <v>944</v>
      </c>
    </row>
    <row r="277" customFormat="false" ht="12.8" hidden="false" customHeight="false" outlineLevel="0" collapsed="false">
      <c r="A277" s="11" t="s">
        <v>945</v>
      </c>
      <c r="B277" s="11" t="s">
        <v>84</v>
      </c>
      <c r="C277" s="11" t="str">
        <f aca="false">B277&amp;":"&amp;A277</f>
        <v>att_crosslink_non_clevable:tfpester_peg4_dbco</v>
      </c>
      <c r="D277" s="14" t="s">
        <v>17</v>
      </c>
      <c r="E277" s="11" t="s">
        <v>946</v>
      </c>
      <c r="F277" s="11" t="s">
        <v>947</v>
      </c>
    </row>
    <row r="278" customFormat="false" ht="12.8" hidden="false" customHeight="false" outlineLevel="0" collapsed="false">
      <c r="A278" s="11" t="s">
        <v>948</v>
      </c>
      <c r="B278" s="11" t="s">
        <v>84</v>
      </c>
      <c r="C278" s="11" t="str">
        <f aca="false">B278&amp;":"&amp;A278</f>
        <v>att_crosslink_non_clevable:tmea</v>
      </c>
      <c r="D278" s="14" t="s">
        <v>17</v>
      </c>
      <c r="E278" s="11" t="s">
        <v>949</v>
      </c>
      <c r="F278" s="11" t="s">
        <v>950</v>
      </c>
    </row>
    <row r="279" customFormat="false" ht="12.8" hidden="false" customHeight="false" outlineLevel="0" collapsed="false">
      <c r="A279" s="11" t="s">
        <v>951</v>
      </c>
      <c r="B279" s="11" t="s">
        <v>84</v>
      </c>
      <c r="C279" s="11" t="str">
        <f aca="false">B279&amp;":"&amp;A279</f>
        <v>att_crosslink_non_clevable:tsat</v>
      </c>
      <c r="D279" s="14" t="s">
        <v>17</v>
      </c>
      <c r="E279" s="11" t="s">
        <v>952</v>
      </c>
      <c r="F279" s="11" t="s">
        <v>953</v>
      </c>
    </row>
    <row r="280" customFormat="false" ht="12.8" hidden="false" customHeight="false" outlineLevel="0" collapsed="false">
      <c r="A280" s="11" t="s">
        <v>954</v>
      </c>
      <c r="B280" s="11" t="s">
        <v>86</v>
      </c>
      <c r="C280" s="11" t="str">
        <f aca="false">B280&amp;":"&amp;A280</f>
        <v>att_crosslink_thiol_cleavable:dsp</v>
      </c>
      <c r="D280" s="14" t="s">
        <v>17</v>
      </c>
      <c r="E280" s="11" t="s">
        <v>955</v>
      </c>
      <c r="F280" s="11" t="s">
        <v>956</v>
      </c>
    </row>
    <row r="281" customFormat="false" ht="12.8" hidden="false" customHeight="false" outlineLevel="0" collapsed="false">
      <c r="A281" s="11" t="s">
        <v>957</v>
      </c>
      <c r="B281" s="11" t="s">
        <v>86</v>
      </c>
      <c r="C281" s="11" t="str">
        <f aca="false">B281&amp;":"&amp;A281</f>
        <v>att_crosslink_thiol_cleavable:dtbp</v>
      </c>
      <c r="D281" s="14" t="s">
        <v>17</v>
      </c>
      <c r="E281" s="11" t="s">
        <v>958</v>
      </c>
      <c r="F281" s="11" t="s">
        <v>959</v>
      </c>
    </row>
    <row r="282" customFormat="false" ht="12.8" hidden="false" customHeight="false" outlineLevel="0" collapsed="false">
      <c r="A282" s="11" t="s">
        <v>960</v>
      </c>
      <c r="B282" s="11" t="s">
        <v>86</v>
      </c>
      <c r="C282" s="11" t="str">
        <f aca="false">B282&amp;":"&amp;A282</f>
        <v>att_crosslink_thiol_cleavable:dtme</v>
      </c>
      <c r="D282" s="14" t="s">
        <v>17</v>
      </c>
      <c r="E282" s="11" t="s">
        <v>961</v>
      </c>
      <c r="F282" s="11" t="s">
        <v>962</v>
      </c>
    </row>
    <row r="283" customFormat="false" ht="12.8" hidden="false" customHeight="false" outlineLevel="0" collapsed="false">
      <c r="A283" s="11" t="s">
        <v>963</v>
      </c>
      <c r="B283" s="11" t="s">
        <v>86</v>
      </c>
      <c r="C283" s="11" t="str">
        <f aca="false">B283&amp;":"&amp;A283</f>
        <v>att_crosslink_thiol_cleavable:dtssp</v>
      </c>
      <c r="D283" s="14" t="s">
        <v>17</v>
      </c>
      <c r="E283" s="11" t="s">
        <v>964</v>
      </c>
      <c r="F283" s="11" t="s">
        <v>965</v>
      </c>
    </row>
    <row r="284" customFormat="false" ht="12.8" hidden="false" customHeight="false" outlineLevel="0" collapsed="false">
      <c r="A284" s="11" t="s">
        <v>966</v>
      </c>
      <c r="B284" s="11" t="s">
        <v>86</v>
      </c>
      <c r="C284" s="11" t="str">
        <f aca="false">B284&amp;":"&amp;A284</f>
        <v>att_crosslink_thiol_cleavable:lc_spdp</v>
      </c>
      <c r="D284" s="14" t="s">
        <v>17</v>
      </c>
      <c r="E284" s="11" t="s">
        <v>967</v>
      </c>
      <c r="F284" s="11" t="s">
        <v>968</v>
      </c>
    </row>
    <row r="285" customFormat="false" ht="12.8" hidden="false" customHeight="false" outlineLevel="0" collapsed="false">
      <c r="A285" s="11" t="s">
        <v>969</v>
      </c>
      <c r="B285" s="11" t="s">
        <v>86</v>
      </c>
      <c r="C285" s="11" t="str">
        <f aca="false">B285&amp;":"&amp;A285</f>
        <v>att_crosslink_thiol_cleavable:pdph</v>
      </c>
      <c r="D285" s="14" t="s">
        <v>17</v>
      </c>
      <c r="E285" s="11" t="s">
        <v>970</v>
      </c>
      <c r="F285" s="11" t="s">
        <v>971</v>
      </c>
    </row>
    <row r="286" customFormat="false" ht="12.8" hidden="false" customHeight="false" outlineLevel="0" collapsed="false">
      <c r="A286" s="11" t="s">
        <v>972</v>
      </c>
      <c r="B286" s="11" t="s">
        <v>86</v>
      </c>
      <c r="C286" s="11" t="str">
        <f aca="false">B286&amp;":"&amp;A286</f>
        <v>att_crosslink_thiol_cleavable:peg12_spdp</v>
      </c>
      <c r="D286" s="14" t="s">
        <v>17</v>
      </c>
      <c r="E286" s="11" t="s">
        <v>973</v>
      </c>
      <c r="F286" s="11" t="s">
        <v>974</v>
      </c>
    </row>
    <row r="287" customFormat="false" ht="12.8" hidden="false" customHeight="false" outlineLevel="0" collapsed="false">
      <c r="A287" s="11" t="s">
        <v>975</v>
      </c>
      <c r="B287" s="11" t="s">
        <v>86</v>
      </c>
      <c r="C287" s="11" t="str">
        <f aca="false">B287&amp;":"&amp;A287</f>
        <v>att_crosslink_thiol_cleavable:peg4_spdp</v>
      </c>
      <c r="D287" s="14" t="s">
        <v>17</v>
      </c>
      <c r="E287" s="11" t="s">
        <v>976</v>
      </c>
      <c r="F287" s="11" t="s">
        <v>977</v>
      </c>
    </row>
    <row r="288" customFormat="false" ht="12.8" hidden="false" customHeight="false" outlineLevel="0" collapsed="false">
      <c r="A288" s="11" t="s">
        <v>978</v>
      </c>
      <c r="B288" s="11" t="s">
        <v>86</v>
      </c>
      <c r="C288" s="11" t="str">
        <f aca="false">B288&amp;":"&amp;A288</f>
        <v>att_crosslink_thiol_cleavable:sdad</v>
      </c>
      <c r="D288" s="14" t="s">
        <v>17</v>
      </c>
      <c r="E288" s="11" t="s">
        <v>979</v>
      </c>
      <c r="F288" s="11" t="s">
        <v>980</v>
      </c>
    </row>
    <row r="289" customFormat="false" ht="12.8" hidden="false" customHeight="false" outlineLevel="0" collapsed="false">
      <c r="A289" s="11" t="s">
        <v>981</v>
      </c>
      <c r="B289" s="11" t="s">
        <v>86</v>
      </c>
      <c r="C289" s="11" t="str">
        <f aca="false">B289&amp;":"&amp;A289</f>
        <v>att_crosslink_thiol_cleavable:smcc</v>
      </c>
      <c r="D289" s="14" t="s">
        <v>17</v>
      </c>
      <c r="E289" s="11" t="s">
        <v>982</v>
      </c>
      <c r="F289" s="11" t="s">
        <v>983</v>
      </c>
    </row>
    <row r="290" customFormat="false" ht="12.8" hidden="false" customHeight="false" outlineLevel="0" collapsed="false">
      <c r="A290" s="11" t="s">
        <v>984</v>
      </c>
      <c r="B290" s="11" t="s">
        <v>86</v>
      </c>
      <c r="C290" s="11" t="str">
        <f aca="false">B290&amp;":"&amp;A290</f>
        <v>att_crosslink_thiol_cleavable:smpt</v>
      </c>
      <c r="D290" s="14" t="s">
        <v>17</v>
      </c>
      <c r="E290" s="11" t="s">
        <v>985</v>
      </c>
      <c r="F290" s="11" t="s">
        <v>986</v>
      </c>
    </row>
    <row r="291" customFormat="false" ht="12.8" hidden="false" customHeight="false" outlineLevel="0" collapsed="false">
      <c r="A291" s="11" t="s">
        <v>987</v>
      </c>
      <c r="B291" s="11" t="s">
        <v>86</v>
      </c>
      <c r="C291" s="11" t="str">
        <f aca="false">B291&amp;":"&amp;A291</f>
        <v>att_crosslink_thiol_cleavable:spdp</v>
      </c>
      <c r="D291" s="14" t="s">
        <v>17</v>
      </c>
      <c r="E291" s="11" t="s">
        <v>988</v>
      </c>
      <c r="F291" s="11" t="s">
        <v>989</v>
      </c>
    </row>
    <row r="292" customFormat="false" ht="12.8" hidden="false" customHeight="false" outlineLevel="0" collapsed="false">
      <c r="A292" s="11" t="s">
        <v>990</v>
      </c>
      <c r="B292" s="11" t="s">
        <v>86</v>
      </c>
      <c r="C292" s="11" t="str">
        <f aca="false">B292&amp;":"&amp;A292</f>
        <v>att_crosslink_thiol_cleavable:sulfo_lc_spdp</v>
      </c>
      <c r="D292" s="14" t="s">
        <v>17</v>
      </c>
      <c r="E292" s="11" t="s">
        <v>991</v>
      </c>
      <c r="F292" s="11" t="s">
        <v>992</v>
      </c>
    </row>
    <row r="293" customFormat="false" ht="12.8" hidden="false" customHeight="false" outlineLevel="0" collapsed="false">
      <c r="A293" s="11" t="s">
        <v>993</v>
      </c>
      <c r="B293" s="11" t="s">
        <v>86</v>
      </c>
      <c r="C293" s="11" t="str">
        <f aca="false">B293&amp;":"&amp;A293</f>
        <v>att_crosslink_thiol_cleavable:sulfo_sanpah</v>
      </c>
      <c r="D293" s="14" t="s">
        <v>17</v>
      </c>
      <c r="E293" s="11" t="s">
        <v>994</v>
      </c>
      <c r="F293" s="11" t="s">
        <v>995</v>
      </c>
    </row>
    <row r="294" customFormat="false" ht="12.8" hidden="false" customHeight="false" outlineLevel="0" collapsed="false">
      <c r="A294" s="11" t="s">
        <v>996</v>
      </c>
      <c r="B294" s="11" t="s">
        <v>86</v>
      </c>
      <c r="C294" s="11" t="str">
        <f aca="false">B294&amp;":"&amp;A294</f>
        <v>att_crosslink_thiol_cleavable:sulfo_sdad</v>
      </c>
      <c r="D294" s="14" t="s">
        <v>17</v>
      </c>
      <c r="E294" s="11" t="s">
        <v>997</v>
      </c>
      <c r="F294" s="11" t="s">
        <v>998</v>
      </c>
    </row>
    <row r="295" customFormat="false" ht="12.8" hidden="false" customHeight="false" outlineLevel="0" collapsed="false">
      <c r="A295" s="11" t="s">
        <v>999</v>
      </c>
      <c r="B295" s="11" t="s">
        <v>1000</v>
      </c>
      <c r="C295" s="11" t="str">
        <f aca="false">B295&amp;":"&amp;A295</f>
        <v>att_dataset:database_orf_search</v>
      </c>
      <c r="D295" s="14" t="s">
        <v>17</v>
      </c>
      <c r="E295" s="11" t="s">
        <v>1001</v>
      </c>
      <c r="F295" s="11" t="s">
        <v>1002</v>
      </c>
    </row>
    <row r="296" customFormat="false" ht="12.8" hidden="false" customHeight="false" outlineLevel="0" collapsed="false">
      <c r="A296" s="11" t="s">
        <v>1003</v>
      </c>
      <c r="B296" s="11" t="s">
        <v>1000</v>
      </c>
      <c r="C296" s="11" t="str">
        <f aca="false">B296&amp;":"&amp;A296</f>
        <v>att_dataset:database_search</v>
      </c>
      <c r="D296" s="14" t="s">
        <v>17</v>
      </c>
      <c r="E296" s="11" t="s">
        <v>1004</v>
      </c>
      <c r="F296" s="11" t="s">
        <v>1005</v>
      </c>
    </row>
    <row r="297" customFormat="false" ht="12.8" hidden="false" customHeight="false" outlineLevel="0" collapsed="false">
      <c r="A297" s="11" t="s">
        <v>1006</v>
      </c>
      <c r="B297" s="11" t="s">
        <v>1000</v>
      </c>
      <c r="C297" s="11" t="str">
        <f aca="false">B297&amp;":"&amp;A297</f>
        <v>att_dataset:de_novo</v>
      </c>
      <c r="D297" s="14" t="s">
        <v>17</v>
      </c>
      <c r="E297" s="11" t="s">
        <v>1007</v>
      </c>
      <c r="F297" s="11" t="s">
        <v>1007</v>
      </c>
    </row>
    <row r="298" customFormat="false" ht="12.8" hidden="false" customHeight="false" outlineLevel="0" collapsed="false">
      <c r="A298" s="11" t="s">
        <v>1008</v>
      </c>
      <c r="B298" s="11" t="s">
        <v>90</v>
      </c>
      <c r="C298" s="11" t="str">
        <f aca="false">B298&amp;":"&amp;A298</f>
        <v>att_detergent:chaps</v>
      </c>
      <c r="D298" s="14" t="s">
        <v>17</v>
      </c>
      <c r="E298" s="11" t="s">
        <v>1009</v>
      </c>
      <c r="F298" s="11" t="s">
        <v>1010</v>
      </c>
    </row>
    <row r="299" customFormat="false" ht="12.8" hidden="false" customHeight="false" outlineLevel="0" collapsed="false">
      <c r="A299" s="11" t="s">
        <v>1011</v>
      </c>
      <c r="B299" s="11" t="s">
        <v>90</v>
      </c>
      <c r="C299" s="11" t="str">
        <f aca="false">B299&amp;":"&amp;A299</f>
        <v>att_detergent:dmm</v>
      </c>
      <c r="D299" s="14" t="s">
        <v>17</v>
      </c>
      <c r="E299" s="11" t="s">
        <v>1012</v>
      </c>
      <c r="F299" s="11" t="s">
        <v>1013</v>
      </c>
    </row>
    <row r="300" customFormat="false" ht="12.8" hidden="false" customHeight="false" outlineLevel="0" collapsed="false">
      <c r="A300" s="11" t="s">
        <v>1014</v>
      </c>
      <c r="B300" s="11" t="s">
        <v>90</v>
      </c>
      <c r="C300" s="11" t="str">
        <f aca="false">B300&amp;":"&amp;A300</f>
        <v>att_detergent:np40</v>
      </c>
      <c r="D300" s="14" t="s">
        <v>17</v>
      </c>
      <c r="E300" s="11" t="s">
        <v>1015</v>
      </c>
      <c r="F300" s="11" t="s">
        <v>1016</v>
      </c>
    </row>
    <row r="301" customFormat="false" ht="12.8" hidden="false" customHeight="false" outlineLevel="0" collapsed="false">
      <c r="A301" s="11" t="s">
        <v>1017</v>
      </c>
      <c r="B301" s="11" t="s">
        <v>90</v>
      </c>
      <c r="C301" s="11" t="str">
        <f aca="false">B301&amp;":"&amp;A301</f>
        <v>att_detergent:og</v>
      </c>
      <c r="D301" s="14" t="s">
        <v>17</v>
      </c>
      <c r="E301" s="11" t="s">
        <v>1018</v>
      </c>
      <c r="F301" s="11" t="s">
        <v>1019</v>
      </c>
    </row>
    <row r="302" customFormat="false" ht="12.8" hidden="false" customHeight="false" outlineLevel="0" collapsed="false">
      <c r="A302" s="11" t="s">
        <v>1020</v>
      </c>
      <c r="B302" s="11" t="s">
        <v>90</v>
      </c>
      <c r="C302" s="11" t="str">
        <f aca="false">B302&amp;":"&amp;A302</f>
        <v>att_detergent:otg</v>
      </c>
      <c r="D302" s="14" t="s">
        <v>17</v>
      </c>
      <c r="E302" s="11" t="s">
        <v>1021</v>
      </c>
      <c r="F302" s="11" t="s">
        <v>1022</v>
      </c>
    </row>
    <row r="303" customFormat="false" ht="12.8" hidden="false" customHeight="false" outlineLevel="0" collapsed="false">
      <c r="A303" s="11" t="s">
        <v>1023</v>
      </c>
      <c r="B303" s="11" t="s">
        <v>90</v>
      </c>
      <c r="C303" s="11" t="str">
        <f aca="false">B303&amp;":"&amp;A303</f>
        <v>att_detergent:sds</v>
      </c>
      <c r="D303" s="14" t="s">
        <v>17</v>
      </c>
      <c r="E303" s="11" t="s">
        <v>1024</v>
      </c>
      <c r="F303" s="11" t="s">
        <v>1025</v>
      </c>
    </row>
    <row r="304" customFormat="false" ht="12.8" hidden="false" customHeight="false" outlineLevel="0" collapsed="false">
      <c r="A304" s="11" t="s">
        <v>1026</v>
      </c>
      <c r="B304" s="11" t="s">
        <v>90</v>
      </c>
      <c r="C304" s="11" t="str">
        <f aca="false">B304&amp;":"&amp;A304</f>
        <v>att_detergent:tritonx100</v>
      </c>
      <c r="D304" s="14" t="s">
        <v>17</v>
      </c>
      <c r="E304" s="11" t="s">
        <v>1027</v>
      </c>
      <c r="F304" s="11" t="s">
        <v>1028</v>
      </c>
    </row>
    <row r="305" customFormat="false" ht="12.8" hidden="false" customHeight="false" outlineLevel="0" collapsed="false">
      <c r="A305" s="11" t="s">
        <v>1029</v>
      </c>
      <c r="B305" s="11" t="s">
        <v>90</v>
      </c>
      <c r="C305" s="11" t="str">
        <f aca="false">B305&amp;":"&amp;A305</f>
        <v>att_detergent:tween20</v>
      </c>
      <c r="D305" s="14" t="s">
        <v>17</v>
      </c>
      <c r="E305" s="11" t="s">
        <v>1030</v>
      </c>
      <c r="F305" s="11" t="s">
        <v>1031</v>
      </c>
    </row>
    <row r="306" customFormat="false" ht="12.8" hidden="false" customHeight="false" outlineLevel="0" collapsed="false">
      <c r="A306" s="11" t="s">
        <v>1032</v>
      </c>
      <c r="B306" s="11" t="s">
        <v>90</v>
      </c>
      <c r="C306" s="11" t="str">
        <f aca="false">B306&amp;":"&amp;A306</f>
        <v>att_detergent:tween80</v>
      </c>
      <c r="D306" s="14" t="s">
        <v>17</v>
      </c>
      <c r="E306" s="11" t="s">
        <v>1033</v>
      </c>
      <c r="F306" s="11" t="s">
        <v>1034</v>
      </c>
    </row>
    <row r="307" customFormat="false" ht="12.8" hidden="false" customHeight="false" outlineLevel="0" collapsed="false">
      <c r="A307" s="11" t="s">
        <v>1035</v>
      </c>
      <c r="B307" s="11" t="s">
        <v>94</v>
      </c>
      <c r="C307" s="11" t="str">
        <f aca="false">B307&amp;":"&amp;A307</f>
        <v>att_dia_mz_end:1200mz</v>
      </c>
      <c r="D307" s="14" t="s">
        <v>17</v>
      </c>
      <c r="E307" s="11" t="n">
        <v>1200</v>
      </c>
      <c r="F307" s="14" t="s">
        <v>17</v>
      </c>
    </row>
    <row r="308" customFormat="false" ht="12.8" hidden="false" customHeight="false" outlineLevel="0" collapsed="false">
      <c r="A308" s="11" t="s">
        <v>1036</v>
      </c>
      <c r="B308" s="11" t="s">
        <v>94</v>
      </c>
      <c r="C308" s="11" t="str">
        <f aca="false">B308&amp;":"&amp;A308</f>
        <v>att_dia_mz_end:800mz</v>
      </c>
      <c r="D308" s="14" t="s">
        <v>17</v>
      </c>
      <c r="E308" s="11" t="n">
        <v>800</v>
      </c>
      <c r="F308" s="14" t="s">
        <v>17</v>
      </c>
    </row>
    <row r="309" customFormat="false" ht="12.8" hidden="false" customHeight="false" outlineLevel="0" collapsed="false">
      <c r="A309" s="11" t="s">
        <v>1037</v>
      </c>
      <c r="B309" s="11" t="s">
        <v>97</v>
      </c>
      <c r="C309" s="11" t="str">
        <f aca="false">B309&amp;":"&amp;A309</f>
        <v>att_dia_mz_start:400mz</v>
      </c>
      <c r="D309" s="14" t="s">
        <v>17</v>
      </c>
      <c r="E309" s="11" t="n">
        <v>400</v>
      </c>
      <c r="F309" s="14" t="s">
        <v>17</v>
      </c>
    </row>
    <row r="310" customFormat="false" ht="12.8" hidden="false" customHeight="false" outlineLevel="0" collapsed="false">
      <c r="A310" s="11" t="s">
        <v>697</v>
      </c>
      <c r="B310" s="11" t="s">
        <v>95</v>
      </c>
      <c r="C310" s="11" t="str">
        <f aca="false">B310&amp;":"&amp;A310</f>
        <v>att_diawindows:30cm</v>
      </c>
      <c r="D310" s="14" t="s">
        <v>17</v>
      </c>
      <c r="E310" s="11" t="n">
        <v>30</v>
      </c>
      <c r="F310" s="11" t="s">
        <v>1038</v>
      </c>
    </row>
    <row r="311" customFormat="false" ht="12.8" hidden="false" customHeight="false" outlineLevel="0" collapsed="false">
      <c r="A311" s="11" t="s">
        <v>1039</v>
      </c>
      <c r="B311" s="11" t="s">
        <v>95</v>
      </c>
      <c r="C311" s="11" t="str">
        <f aca="false">B311&amp;":"&amp;A311</f>
        <v>att_diawindows:40dia</v>
      </c>
      <c r="D311" s="14" t="s">
        <v>17</v>
      </c>
      <c r="E311" s="11" t="n">
        <v>40</v>
      </c>
      <c r="F311" s="11" t="s">
        <v>1040</v>
      </c>
    </row>
    <row r="312" customFormat="false" ht="12.8" hidden="false" customHeight="false" outlineLevel="0" collapsed="false">
      <c r="A312" s="11" t="s">
        <v>1041</v>
      </c>
      <c r="B312" s="11" t="s">
        <v>27</v>
      </c>
      <c r="C312" s="11" t="str">
        <f aca="false">B312&amp;":"&amp;A312</f>
        <v>att_digestion_method:fasp</v>
      </c>
      <c r="D312" s="14" t="s">
        <v>17</v>
      </c>
      <c r="E312" s="11" t="s">
        <v>1042</v>
      </c>
      <c r="F312" s="11" t="s">
        <v>1043</v>
      </c>
    </row>
    <row r="313" customFormat="false" ht="12.8" hidden="false" customHeight="false" outlineLevel="0" collapsed="false">
      <c r="A313" s="11" t="s">
        <v>1044</v>
      </c>
      <c r="B313" s="11" t="s">
        <v>27</v>
      </c>
      <c r="C313" s="11" t="str">
        <f aca="false">B313&amp;":"&amp;A313</f>
        <v>att_digestion_method:ingel</v>
      </c>
      <c r="D313" s="14" t="s">
        <v>17</v>
      </c>
      <c r="E313" s="11" t="s">
        <v>1045</v>
      </c>
      <c r="F313" s="11" t="s">
        <v>1046</v>
      </c>
    </row>
    <row r="314" customFormat="false" ht="12.8" hidden="false" customHeight="false" outlineLevel="0" collapsed="false">
      <c r="A314" s="11" t="s">
        <v>1047</v>
      </c>
      <c r="B314" s="11" t="s">
        <v>27</v>
      </c>
      <c r="C314" s="11" t="str">
        <f aca="false">B314&amp;":"&amp;A314</f>
        <v>att_digestion_method:insol</v>
      </c>
      <c r="D314" s="14" t="s">
        <v>17</v>
      </c>
      <c r="E314" s="11" t="s">
        <v>1048</v>
      </c>
      <c r="F314" s="11" t="s">
        <v>1049</v>
      </c>
    </row>
    <row r="315" customFormat="false" ht="12.8" hidden="false" customHeight="false" outlineLevel="0" collapsed="false">
      <c r="A315" s="11" t="s">
        <v>1050</v>
      </c>
      <c r="B315" s="11" t="s">
        <v>27</v>
      </c>
      <c r="C315" s="11" t="str">
        <f aca="false">B315&amp;":"&amp;A315</f>
        <v>att_digestion_method:sp3</v>
      </c>
      <c r="D315" s="14" t="s">
        <v>17</v>
      </c>
      <c r="E315" s="11" t="s">
        <v>1051</v>
      </c>
      <c r="F315" s="11" t="s">
        <v>1052</v>
      </c>
    </row>
    <row r="316" customFormat="false" ht="12.8" hidden="false" customHeight="false" outlineLevel="0" collapsed="false">
      <c r="A316" s="11" t="s">
        <v>1053</v>
      </c>
      <c r="B316" s="11" t="s">
        <v>101</v>
      </c>
      <c r="C316" s="11" t="str">
        <f aca="false">B316&amp;":"&amp;A316</f>
        <v>att_digestion_temp:23c</v>
      </c>
      <c r="D316" s="14" t="s">
        <v>17</v>
      </c>
      <c r="E316" s="11" t="s">
        <v>1054</v>
      </c>
      <c r="F316" s="11" t="s">
        <v>1055</v>
      </c>
    </row>
    <row r="317" customFormat="false" ht="12.8" hidden="false" customHeight="false" outlineLevel="0" collapsed="false">
      <c r="A317" s="11" t="s">
        <v>1056</v>
      </c>
      <c r="B317" s="11" t="s">
        <v>101</v>
      </c>
      <c r="C317" s="11" t="str">
        <f aca="false">B317&amp;":"&amp;A317</f>
        <v>att_digestion_temp:37c</v>
      </c>
      <c r="D317" s="14" t="s">
        <v>17</v>
      </c>
      <c r="E317" s="11" t="s">
        <v>1057</v>
      </c>
      <c r="F317" s="11" t="s">
        <v>1058</v>
      </c>
    </row>
    <row r="318" customFormat="false" ht="12.8" hidden="false" customHeight="false" outlineLevel="0" collapsed="false">
      <c r="A318" s="11" t="s">
        <v>1059</v>
      </c>
      <c r="B318" s="11" t="s">
        <v>103</v>
      </c>
      <c r="C318" s="11" t="str">
        <f aca="false">B318&amp;":"&amp;A318</f>
        <v>att_digestion_time:12h</v>
      </c>
      <c r="D318" s="14" t="s">
        <v>17</v>
      </c>
      <c r="E318" s="11" t="s">
        <v>1060</v>
      </c>
      <c r="F318" s="11" t="s">
        <v>1061</v>
      </c>
    </row>
    <row r="319" customFormat="false" ht="12.8" hidden="false" customHeight="false" outlineLevel="0" collapsed="false">
      <c r="A319" s="11" t="s">
        <v>1062</v>
      </c>
      <c r="B319" s="11" t="s">
        <v>103</v>
      </c>
      <c r="C319" s="11" t="str">
        <f aca="false">B319&amp;":"&amp;A319</f>
        <v>att_digestion_time:16h</v>
      </c>
      <c r="D319" s="14" t="s">
        <v>17</v>
      </c>
      <c r="E319" s="11" t="s">
        <v>1063</v>
      </c>
      <c r="F319" s="11" t="s">
        <v>1064</v>
      </c>
    </row>
    <row r="320" customFormat="false" ht="12.8" hidden="false" customHeight="false" outlineLevel="0" collapsed="false">
      <c r="A320" s="11" t="s">
        <v>1065</v>
      </c>
      <c r="B320" s="11" t="s">
        <v>103</v>
      </c>
      <c r="C320" s="11" t="str">
        <f aca="false">B320&amp;":"&amp;A320</f>
        <v>att_digestion_time:8h</v>
      </c>
      <c r="D320" s="14" t="s">
        <v>17</v>
      </c>
      <c r="E320" s="11" t="s">
        <v>1066</v>
      </c>
      <c r="F320" s="11" t="s">
        <v>1067</v>
      </c>
    </row>
    <row r="321" customFormat="false" ht="12.8" hidden="false" customHeight="false" outlineLevel="0" collapsed="false">
      <c r="A321" s="11" t="s">
        <v>1068</v>
      </c>
      <c r="B321" s="11" t="s">
        <v>105</v>
      </c>
      <c r="C321" s="11" t="str">
        <f aca="false">B321&amp;":"&amp;A321</f>
        <v>att_digestion_vessel:384well_plate</v>
      </c>
      <c r="D321" s="14" t="s">
        <v>17</v>
      </c>
      <c r="E321" s="11" t="s">
        <v>1069</v>
      </c>
      <c r="F321" s="11" t="s">
        <v>1069</v>
      </c>
    </row>
    <row r="322" customFormat="false" ht="12.8" hidden="false" customHeight="false" outlineLevel="0" collapsed="false">
      <c r="A322" s="11" t="s">
        <v>1070</v>
      </c>
      <c r="B322" s="11" t="s">
        <v>105</v>
      </c>
      <c r="C322" s="11" t="str">
        <f aca="false">B322&amp;":"&amp;A322</f>
        <v>att_digestion_vessel:96well_plate</v>
      </c>
      <c r="D322" s="14" t="s">
        <v>17</v>
      </c>
      <c r="E322" s="11" t="s">
        <v>1071</v>
      </c>
      <c r="F322" s="11" t="s">
        <v>1072</v>
      </c>
    </row>
    <row r="323" customFormat="false" ht="12.8" hidden="false" customHeight="false" outlineLevel="0" collapsed="false">
      <c r="A323" s="11" t="s">
        <v>1073</v>
      </c>
      <c r="B323" s="11" t="s">
        <v>105</v>
      </c>
      <c r="C323" s="11" t="str">
        <f aca="false">B323&amp;":"&amp;A323</f>
        <v>att_digestion_vessel:onefive_ml_tube</v>
      </c>
      <c r="D323" s="14" t="s">
        <v>17</v>
      </c>
      <c r="E323" s="11" t="s">
        <v>1074</v>
      </c>
      <c r="F323" s="11" t="s">
        <v>1075</v>
      </c>
    </row>
    <row r="324" customFormat="false" ht="12.8" hidden="false" customHeight="false" outlineLevel="0" collapsed="false">
      <c r="A324" s="11" t="s">
        <v>1076</v>
      </c>
      <c r="B324" s="11" t="s">
        <v>105</v>
      </c>
      <c r="C324" s="11" t="str">
        <f aca="false">B324&amp;":"&amp;A324</f>
        <v>att_digestion_vessel:pcrstripe</v>
      </c>
      <c r="D324" s="14" t="s">
        <v>17</v>
      </c>
      <c r="E324" s="11" t="s">
        <v>1077</v>
      </c>
      <c r="F324" s="11" t="s">
        <v>1077</v>
      </c>
    </row>
    <row r="325" customFormat="false" ht="12.8" hidden="false" customHeight="false" outlineLevel="0" collapsed="false">
      <c r="A325" s="11" t="s">
        <v>1078</v>
      </c>
      <c r="B325" s="11" t="s">
        <v>105</v>
      </c>
      <c r="C325" s="11" t="str">
        <f aca="false">B325&amp;":"&amp;A325</f>
        <v>att_digestion_vessel:two_ml_tube</v>
      </c>
      <c r="D325" s="14" t="s">
        <v>17</v>
      </c>
      <c r="E325" s="11" t="s">
        <v>1079</v>
      </c>
      <c r="F325" s="11" t="s">
        <v>1080</v>
      </c>
    </row>
    <row r="326" customFormat="false" ht="12.8" hidden="false" customHeight="false" outlineLevel="0" collapsed="false">
      <c r="A326" s="11" t="s">
        <v>1081</v>
      </c>
      <c r="B326" s="11" t="s">
        <v>109</v>
      </c>
      <c r="C326" s="11" t="str">
        <f aca="false">B326&amp;":"&amp;A326</f>
        <v>att_disease:als</v>
      </c>
      <c r="D326" s="11" t="s">
        <v>1081</v>
      </c>
      <c r="E326" s="11" t="s">
        <v>1082</v>
      </c>
      <c r="F326" s="11" t="s">
        <v>1083</v>
      </c>
    </row>
    <row r="327" customFormat="false" ht="12.8" hidden="false" customHeight="false" outlineLevel="0" collapsed="false">
      <c r="A327" s="11" t="s">
        <v>1084</v>
      </c>
      <c r="B327" s="11" t="s">
        <v>109</v>
      </c>
      <c r="C327" s="11" t="str">
        <f aca="false">B327&amp;":"&amp;A327</f>
        <v>att_disease:alzheimer</v>
      </c>
      <c r="D327" s="11" t="s">
        <v>1084</v>
      </c>
      <c r="E327" s="11" t="s">
        <v>1085</v>
      </c>
      <c r="F327" s="11" t="s">
        <v>1086</v>
      </c>
    </row>
    <row r="328" customFormat="false" ht="12.8" hidden="false" customHeight="false" outlineLevel="0" collapsed="false">
      <c r="A328" s="11" t="s">
        <v>1087</v>
      </c>
      <c r="B328" s="11" t="s">
        <v>109</v>
      </c>
      <c r="C328" s="11" t="str">
        <f aca="false">B328&amp;":"&amp;A328</f>
        <v>att_disease:autoimmune</v>
      </c>
      <c r="D328" s="11" t="s">
        <v>1087</v>
      </c>
      <c r="E328" s="11" t="s">
        <v>1088</v>
      </c>
      <c r="F328" s="11" t="s">
        <v>1089</v>
      </c>
    </row>
    <row r="329" customFormat="false" ht="12.8" hidden="false" customHeight="false" outlineLevel="0" collapsed="false">
      <c r="A329" s="11" t="s">
        <v>1090</v>
      </c>
      <c r="B329" s="11" t="s">
        <v>109</v>
      </c>
      <c r="C329" s="11" t="str">
        <f aca="false">B329&amp;":"&amp;A329</f>
        <v>att_disease:cancer</v>
      </c>
      <c r="D329" s="11" t="s">
        <v>1090</v>
      </c>
      <c r="E329" s="11" t="s">
        <v>1091</v>
      </c>
      <c r="F329" s="11" t="s">
        <v>1092</v>
      </c>
    </row>
    <row r="330" customFormat="false" ht="12.8" hidden="false" customHeight="false" outlineLevel="0" collapsed="false">
      <c r="A330" s="11" t="s">
        <v>1093</v>
      </c>
      <c r="B330" s="11" t="s">
        <v>109</v>
      </c>
      <c r="C330" s="11" t="str">
        <f aca="false">B330&amp;":"&amp;A330</f>
        <v>att_disease:cardiovascular_diseases</v>
      </c>
      <c r="D330" s="11" t="s">
        <v>1094</v>
      </c>
      <c r="E330" s="11" t="s">
        <v>1095</v>
      </c>
      <c r="F330" s="11" t="s">
        <v>1096</v>
      </c>
    </row>
    <row r="331" customFormat="false" ht="12.8" hidden="false" customHeight="false" outlineLevel="0" collapsed="false">
      <c r="A331" s="11" t="s">
        <v>1097</v>
      </c>
      <c r="B331" s="11" t="s">
        <v>109</v>
      </c>
      <c r="C331" s="11" t="str">
        <f aca="false">B331&amp;":"&amp;A331</f>
        <v>att_disease:chronic_inflammation</v>
      </c>
      <c r="D331" s="11" t="s">
        <v>1098</v>
      </c>
      <c r="E331" s="11" t="s">
        <v>1099</v>
      </c>
      <c r="F331" s="11" t="s">
        <v>1100</v>
      </c>
    </row>
    <row r="332" customFormat="false" ht="12.8" hidden="false" customHeight="false" outlineLevel="0" collapsed="false">
      <c r="A332" s="11" t="s">
        <v>1101</v>
      </c>
      <c r="B332" s="11" t="s">
        <v>109</v>
      </c>
      <c r="C332" s="11" t="str">
        <f aca="false">B332&amp;":"&amp;A332</f>
        <v>att_disease:coeliac</v>
      </c>
      <c r="D332" s="11" t="s">
        <v>1101</v>
      </c>
      <c r="E332" s="11" t="s">
        <v>1102</v>
      </c>
      <c r="F332" s="11" t="s">
        <v>1103</v>
      </c>
    </row>
    <row r="333" customFormat="false" ht="12.8" hidden="false" customHeight="false" outlineLevel="0" collapsed="false">
      <c r="A333" s="11" t="s">
        <v>1104</v>
      </c>
      <c r="B333" s="11" t="s">
        <v>109</v>
      </c>
      <c r="C333" s="11" t="str">
        <f aca="false">B333&amp;":"&amp;A333</f>
        <v>att_disease:covid19</v>
      </c>
      <c r="D333" s="11" t="s">
        <v>1104</v>
      </c>
      <c r="E333" s="11" t="s">
        <v>1105</v>
      </c>
      <c r="F333" s="11" t="s">
        <v>1106</v>
      </c>
    </row>
    <row r="334" customFormat="false" ht="12.8" hidden="false" customHeight="false" outlineLevel="0" collapsed="false">
      <c r="A334" s="11" t="s">
        <v>1107</v>
      </c>
      <c r="B334" s="11" t="s">
        <v>109</v>
      </c>
      <c r="C334" s="11" t="str">
        <f aca="false">B334&amp;":"&amp;A334</f>
        <v>att_disease:dementia</v>
      </c>
      <c r="D334" s="11" t="s">
        <v>1107</v>
      </c>
      <c r="E334" s="11" t="s">
        <v>1108</v>
      </c>
      <c r="F334" s="11" t="s">
        <v>1108</v>
      </c>
    </row>
    <row r="335" customFormat="false" ht="12.8" hidden="false" customHeight="false" outlineLevel="0" collapsed="false">
      <c r="A335" s="11" t="s">
        <v>1109</v>
      </c>
      <c r="B335" s="11" t="s">
        <v>109</v>
      </c>
      <c r="C335" s="11" t="str">
        <f aca="false">B335&amp;":"&amp;A335</f>
        <v>att_disease:demyelinating</v>
      </c>
      <c r="D335" s="11" t="s">
        <v>1109</v>
      </c>
      <c r="E335" s="11" t="s">
        <v>1110</v>
      </c>
      <c r="F335" s="11" t="s">
        <v>1111</v>
      </c>
    </row>
    <row r="336" customFormat="false" ht="12.8" hidden="false" customHeight="false" outlineLevel="0" collapsed="false">
      <c r="A336" s="11" t="s">
        <v>1112</v>
      </c>
      <c r="B336" s="11" t="s">
        <v>109</v>
      </c>
      <c r="C336" s="11" t="str">
        <f aca="false">B336&amp;":"&amp;A336</f>
        <v>att_disease:diabetes</v>
      </c>
      <c r="D336" s="11" t="s">
        <v>1112</v>
      </c>
      <c r="E336" s="11" t="s">
        <v>1113</v>
      </c>
      <c r="F336" s="11" t="s">
        <v>1113</v>
      </c>
    </row>
    <row r="337" customFormat="false" ht="12.8" hidden="false" customHeight="false" outlineLevel="0" collapsed="false">
      <c r="A337" s="11" t="s">
        <v>1114</v>
      </c>
      <c r="B337" s="11" t="s">
        <v>109</v>
      </c>
      <c r="C337" s="11" t="str">
        <f aca="false">B337&amp;":"&amp;A337</f>
        <v>att_disease:glioblastoma</v>
      </c>
      <c r="D337" s="11" t="s">
        <v>1114</v>
      </c>
      <c r="E337" s="11" t="s">
        <v>1115</v>
      </c>
      <c r="F337" s="11" t="s">
        <v>1116</v>
      </c>
    </row>
    <row r="338" customFormat="false" ht="12.8" hidden="false" customHeight="false" outlineLevel="0" collapsed="false">
      <c r="A338" s="11" t="s">
        <v>1117</v>
      </c>
      <c r="B338" s="11" t="s">
        <v>109</v>
      </c>
      <c r="C338" s="11" t="str">
        <f aca="false">B338&amp;":"&amp;A338</f>
        <v>att_disease:hiv</v>
      </c>
      <c r="D338" s="11" t="s">
        <v>1117</v>
      </c>
      <c r="E338" s="11" t="s">
        <v>1118</v>
      </c>
      <c r="F338" s="11" t="s">
        <v>1119</v>
      </c>
    </row>
    <row r="339" customFormat="false" ht="12.8" hidden="false" customHeight="false" outlineLevel="0" collapsed="false">
      <c r="A339" s="11" t="s">
        <v>1120</v>
      </c>
      <c r="B339" s="11" t="s">
        <v>109</v>
      </c>
      <c r="C339" s="11" t="str">
        <f aca="false">B339&amp;":"&amp;A339</f>
        <v>att_disease:huntington</v>
      </c>
      <c r="D339" s="11" t="s">
        <v>1120</v>
      </c>
      <c r="E339" s="11" t="s">
        <v>1121</v>
      </c>
      <c r="F339" s="11" t="s">
        <v>1122</v>
      </c>
    </row>
    <row r="340" customFormat="false" ht="12.8" hidden="false" customHeight="false" outlineLevel="0" collapsed="false">
      <c r="A340" s="11" t="s">
        <v>1123</v>
      </c>
      <c r="B340" s="11" t="s">
        <v>109</v>
      </c>
      <c r="C340" s="11" t="str">
        <f aca="false">B340&amp;":"&amp;A340</f>
        <v>att_disease:ibd</v>
      </c>
      <c r="D340" s="11" t="s">
        <v>1123</v>
      </c>
      <c r="E340" s="11" t="s">
        <v>1124</v>
      </c>
      <c r="F340" s="11" t="s">
        <v>1125</v>
      </c>
    </row>
    <row r="341" customFormat="false" ht="12.8" hidden="false" customHeight="false" outlineLevel="0" collapsed="false">
      <c r="A341" s="11" t="s">
        <v>1126</v>
      </c>
      <c r="B341" s="11" t="s">
        <v>109</v>
      </c>
      <c r="C341" s="11" t="str">
        <f aca="false">B341&amp;":"&amp;A341</f>
        <v>att_disease:infection</v>
      </c>
      <c r="D341" s="11" t="s">
        <v>1126</v>
      </c>
      <c r="E341" s="11" t="s">
        <v>1127</v>
      </c>
      <c r="F341" s="11" t="s">
        <v>1128</v>
      </c>
    </row>
    <row r="342" customFormat="false" ht="12.8" hidden="false" customHeight="false" outlineLevel="0" collapsed="false">
      <c r="A342" s="11" t="s">
        <v>1129</v>
      </c>
      <c r="B342" s="11" t="s">
        <v>109</v>
      </c>
      <c r="C342" s="11" t="str">
        <f aca="false">B342&amp;":"&amp;A342</f>
        <v>att_disease:influenza</v>
      </c>
      <c r="D342" s="11" t="s">
        <v>1129</v>
      </c>
      <c r="E342" s="11" t="s">
        <v>1130</v>
      </c>
      <c r="F342" s="11" t="s">
        <v>1131</v>
      </c>
    </row>
    <row r="343" customFormat="false" ht="12.8" hidden="false" customHeight="false" outlineLevel="0" collapsed="false">
      <c r="A343" s="11" t="s">
        <v>1132</v>
      </c>
      <c r="B343" s="11" t="s">
        <v>109</v>
      </c>
      <c r="C343" s="11" t="str">
        <f aca="false">B343&amp;":"&amp;A343</f>
        <v>att_disease:leukemia</v>
      </c>
      <c r="D343" s="11" t="s">
        <v>1132</v>
      </c>
      <c r="E343" s="11" t="s">
        <v>639</v>
      </c>
      <c r="F343" s="11" t="s">
        <v>1133</v>
      </c>
    </row>
    <row r="344" customFormat="false" ht="12.8" hidden="false" customHeight="false" outlineLevel="0" collapsed="false">
      <c r="A344" s="11" t="s">
        <v>1134</v>
      </c>
      <c r="B344" s="11" t="s">
        <v>109</v>
      </c>
      <c r="C344" s="11" t="str">
        <f aca="false">B344&amp;":"&amp;A344</f>
        <v>att_disease:lymphoma</v>
      </c>
      <c r="D344" s="11" t="s">
        <v>1134</v>
      </c>
      <c r="E344" s="11" t="s">
        <v>1135</v>
      </c>
      <c r="F344" s="11" t="s">
        <v>1136</v>
      </c>
    </row>
    <row r="345" customFormat="false" ht="12.8" hidden="false" customHeight="false" outlineLevel="0" collapsed="false">
      <c r="A345" s="11" t="s">
        <v>1137</v>
      </c>
      <c r="B345" s="11" t="s">
        <v>109</v>
      </c>
      <c r="C345" s="11" t="str">
        <f aca="false">B345&amp;":"&amp;A345</f>
        <v>att_disease:malaria</v>
      </c>
      <c r="D345" s="11" t="s">
        <v>1137</v>
      </c>
      <c r="E345" s="11" t="s">
        <v>1138</v>
      </c>
      <c r="F345" s="11" t="s">
        <v>1139</v>
      </c>
    </row>
    <row r="346" customFormat="false" ht="12.8" hidden="false" customHeight="false" outlineLevel="0" collapsed="false">
      <c r="A346" s="11" t="s">
        <v>25</v>
      </c>
      <c r="B346" s="11" t="s">
        <v>109</v>
      </c>
      <c r="C346" s="11" t="str">
        <f aca="false">B346&amp;":"&amp;A346</f>
        <v>att_disease:ms</v>
      </c>
      <c r="D346" s="11" t="s">
        <v>25</v>
      </c>
      <c r="E346" s="11" t="s">
        <v>1140</v>
      </c>
      <c r="F346" s="11" t="s">
        <v>1141</v>
      </c>
    </row>
    <row r="347" customFormat="false" ht="12.8" hidden="false" customHeight="false" outlineLevel="0" collapsed="false">
      <c r="A347" s="11" t="s">
        <v>1142</v>
      </c>
      <c r="B347" s="11" t="s">
        <v>109</v>
      </c>
      <c r="C347" s="11" t="str">
        <f aca="false">B347&amp;":"&amp;A347</f>
        <v>att_disease:msa</v>
      </c>
      <c r="D347" s="11" t="s">
        <v>1142</v>
      </c>
      <c r="E347" s="11" t="s">
        <v>1143</v>
      </c>
      <c r="F347" s="11" t="s">
        <v>1144</v>
      </c>
    </row>
    <row r="348" customFormat="false" ht="12.8" hidden="false" customHeight="false" outlineLevel="0" collapsed="false">
      <c r="A348" s="11" t="s">
        <v>1145</v>
      </c>
      <c r="B348" s="11" t="s">
        <v>109</v>
      </c>
      <c r="C348" s="11" t="str">
        <f aca="false">B348&amp;":"&amp;A348</f>
        <v>att_disease:neurodegenerative</v>
      </c>
      <c r="D348" s="11" t="s">
        <v>1145</v>
      </c>
      <c r="E348" s="11" t="s">
        <v>1146</v>
      </c>
      <c r="F348" s="11" t="s">
        <v>1147</v>
      </c>
    </row>
    <row r="349" customFormat="false" ht="12.8" hidden="false" customHeight="false" outlineLevel="0" collapsed="false">
      <c r="A349" s="11" t="s">
        <v>1148</v>
      </c>
      <c r="B349" s="11" t="s">
        <v>109</v>
      </c>
      <c r="C349" s="11" t="str">
        <f aca="false">B349&amp;":"&amp;A349</f>
        <v>att_disease:parkinson</v>
      </c>
      <c r="D349" s="11" t="s">
        <v>1148</v>
      </c>
      <c r="E349" s="11" t="s">
        <v>1149</v>
      </c>
      <c r="F349" s="11" t="s">
        <v>1150</v>
      </c>
    </row>
    <row r="350" customFormat="false" ht="12.8" hidden="false" customHeight="false" outlineLevel="0" collapsed="false">
      <c r="A350" s="11" t="s">
        <v>1151</v>
      </c>
      <c r="B350" s="11" t="s">
        <v>109</v>
      </c>
      <c r="C350" s="11" t="str">
        <f aca="false">B350&amp;":"&amp;A350</f>
        <v>att_disease:prion</v>
      </c>
      <c r="D350" s="11" t="s">
        <v>1151</v>
      </c>
      <c r="E350" s="11" t="s">
        <v>1152</v>
      </c>
      <c r="F350" s="11" t="s">
        <v>1153</v>
      </c>
    </row>
    <row r="351" customFormat="false" ht="12.8" hidden="false" customHeight="false" outlineLevel="0" collapsed="false">
      <c r="A351" s="11" t="s">
        <v>1154</v>
      </c>
      <c r="B351" s="11" t="s">
        <v>109</v>
      </c>
      <c r="C351" s="11" t="str">
        <f aca="false">B351&amp;":"&amp;A351</f>
        <v>att_disease:rheumatoid</v>
      </c>
      <c r="D351" s="11" t="s">
        <v>1154</v>
      </c>
      <c r="E351" s="11" t="s">
        <v>1155</v>
      </c>
      <c r="F351" s="11" t="s">
        <v>1156</v>
      </c>
    </row>
    <row r="352" customFormat="false" ht="12.8" hidden="false" customHeight="false" outlineLevel="0" collapsed="false">
      <c r="A352" s="11" t="s">
        <v>1157</v>
      </c>
      <c r="B352" s="11" t="s">
        <v>109</v>
      </c>
      <c r="C352" s="11" t="str">
        <f aca="false">B352&amp;":"&amp;A352</f>
        <v>att_disease:stress</v>
      </c>
      <c r="D352" s="11" t="s">
        <v>1157</v>
      </c>
      <c r="E352" s="11" t="s">
        <v>1158</v>
      </c>
      <c r="F352" s="11" t="s">
        <v>1159</v>
      </c>
    </row>
    <row r="353" customFormat="false" ht="12.8" hidden="false" customHeight="false" outlineLevel="0" collapsed="false">
      <c r="A353" s="11" t="s">
        <v>1160</v>
      </c>
      <c r="B353" s="11" t="s">
        <v>109</v>
      </c>
      <c r="C353" s="11" t="str">
        <f aca="false">B353&amp;":"&amp;A353</f>
        <v>att_disease:stroke</v>
      </c>
      <c r="D353" s="11" t="s">
        <v>1160</v>
      </c>
      <c r="E353" s="11" t="s">
        <v>1161</v>
      </c>
      <c r="F353" s="11" t="s">
        <v>1162</v>
      </c>
    </row>
    <row r="354" customFormat="false" ht="12.8" hidden="false" customHeight="false" outlineLevel="0" collapsed="false">
      <c r="A354" s="11" t="s">
        <v>1163</v>
      </c>
      <c r="B354" s="11" t="s">
        <v>109</v>
      </c>
      <c r="C354" s="11" t="str">
        <f aca="false">B354&amp;":"&amp;A354</f>
        <v>att_disease:tuberculosis</v>
      </c>
      <c r="D354" s="11" t="s">
        <v>1163</v>
      </c>
      <c r="E354" s="11" t="s">
        <v>1164</v>
      </c>
      <c r="F354" s="11" t="s">
        <v>1165</v>
      </c>
    </row>
    <row r="355" customFormat="false" ht="12.8" hidden="false" customHeight="false" outlineLevel="0" collapsed="false">
      <c r="A355" s="11" t="s">
        <v>1166</v>
      </c>
      <c r="B355" s="11" t="s">
        <v>111</v>
      </c>
      <c r="C355" s="11" t="str">
        <f aca="false">B355&amp;":"&amp;A355</f>
        <v>att_environment_treatment:hypoxia</v>
      </c>
      <c r="D355" s="11" t="s">
        <v>1166</v>
      </c>
      <c r="E355" s="11" t="s">
        <v>1167</v>
      </c>
      <c r="F355" s="11" t="s">
        <v>1168</v>
      </c>
    </row>
    <row r="356" customFormat="false" ht="12.8" hidden="false" customHeight="false" outlineLevel="0" collapsed="false">
      <c r="A356" s="11" t="s">
        <v>1169</v>
      </c>
      <c r="B356" s="11" t="s">
        <v>111</v>
      </c>
      <c r="C356" s="11" t="str">
        <f aca="false">B356&amp;":"&amp;A356</f>
        <v>att_environment_treatment:normoxia</v>
      </c>
      <c r="D356" s="11" t="s">
        <v>1169</v>
      </c>
      <c r="E356" s="11" t="s">
        <v>1170</v>
      </c>
      <c r="F356" s="11" t="s">
        <v>1171</v>
      </c>
    </row>
    <row r="357" customFormat="false" ht="12.8" hidden="false" customHeight="false" outlineLevel="0" collapsed="false">
      <c r="A357" s="11" t="s">
        <v>1172</v>
      </c>
      <c r="B357" s="11" t="s">
        <v>113</v>
      </c>
      <c r="C357" s="11" t="str">
        <f aca="false">B357&amp;":"&amp;A357</f>
        <v>att_experiment:acetylome</v>
      </c>
      <c r="D357" s="11" t="s">
        <v>1172</v>
      </c>
      <c r="E357" s="11" t="s">
        <v>1173</v>
      </c>
      <c r="F357" s="11" t="s">
        <v>1173</v>
      </c>
    </row>
    <row r="358" customFormat="false" ht="12.8" hidden="false" customHeight="false" outlineLevel="0" collapsed="false">
      <c r="A358" s="11" t="s">
        <v>1174</v>
      </c>
      <c r="B358" s="11" t="s">
        <v>113</v>
      </c>
      <c r="C358" s="11" t="str">
        <f aca="false">B358&amp;":"&amp;A358</f>
        <v>att_experiment:dvp</v>
      </c>
      <c r="D358" s="11" t="s">
        <v>1174</v>
      </c>
      <c r="E358" s="11" t="s">
        <v>1175</v>
      </c>
      <c r="F358" s="11" t="s">
        <v>1176</v>
      </c>
    </row>
    <row r="359" customFormat="false" ht="12.8" hidden="false" customHeight="false" outlineLevel="0" collapsed="false">
      <c r="A359" s="11" t="s">
        <v>1177</v>
      </c>
      <c r="B359" s="11" t="s">
        <v>113</v>
      </c>
      <c r="C359" s="11" t="str">
        <f aca="false">B359&amp;":"&amp;A359</f>
        <v>att_experiment:expression_proteome</v>
      </c>
      <c r="D359" s="11" t="s">
        <v>1178</v>
      </c>
      <c r="E359" s="11" t="s">
        <v>1179</v>
      </c>
      <c r="F359" s="11" t="s">
        <v>1179</v>
      </c>
    </row>
    <row r="360" customFormat="false" ht="12.8" hidden="false" customHeight="false" outlineLevel="0" collapsed="false">
      <c r="A360" s="11" t="s">
        <v>1180</v>
      </c>
      <c r="B360" s="11" t="s">
        <v>113</v>
      </c>
      <c r="C360" s="11" t="str">
        <f aca="false">B360&amp;":"&amp;A360</f>
        <v>att_experiment:interaction</v>
      </c>
      <c r="D360" s="11" t="s">
        <v>1180</v>
      </c>
      <c r="E360" s="11" t="s">
        <v>1181</v>
      </c>
      <c r="F360" s="11" t="s">
        <v>1181</v>
      </c>
    </row>
    <row r="361" customFormat="false" ht="12.8" hidden="false" customHeight="false" outlineLevel="0" collapsed="false">
      <c r="A361" s="11" t="s">
        <v>1182</v>
      </c>
      <c r="B361" s="11" t="s">
        <v>113</v>
      </c>
      <c r="C361" s="11" t="str">
        <f aca="false">B361&amp;":"&amp;A361</f>
        <v>att_experiment:metrs</v>
      </c>
      <c r="D361" s="11" t="s">
        <v>1182</v>
      </c>
      <c r="E361" s="11" t="s">
        <v>1183</v>
      </c>
      <c r="F361" s="11" t="s">
        <v>1183</v>
      </c>
    </row>
    <row r="362" customFormat="false" ht="12.8" hidden="false" customHeight="false" outlineLevel="0" collapsed="false">
      <c r="A362" s="11" t="s">
        <v>1184</v>
      </c>
      <c r="B362" s="11" t="s">
        <v>113</v>
      </c>
      <c r="C362" s="11" t="str">
        <f aca="false">B362&amp;":"&amp;A362</f>
        <v>att_experiment:neo_nterm_enrichment</v>
      </c>
      <c r="D362" s="11" t="s">
        <v>1185</v>
      </c>
      <c r="E362" s="11" t="s">
        <v>1186</v>
      </c>
      <c r="F362" s="11" t="s">
        <v>1186</v>
      </c>
    </row>
    <row r="363" customFormat="false" ht="12.8" hidden="false" customHeight="false" outlineLevel="0" collapsed="false">
      <c r="A363" s="11" t="s">
        <v>1187</v>
      </c>
      <c r="B363" s="11" t="s">
        <v>113</v>
      </c>
      <c r="C363" s="11" t="str">
        <f aca="false">B363&amp;":"&amp;A363</f>
        <v>att_experiment:oxinome</v>
      </c>
      <c r="D363" s="11" t="s">
        <v>1187</v>
      </c>
      <c r="E363" s="11" t="s">
        <v>1188</v>
      </c>
      <c r="F363" s="11" t="s">
        <v>1188</v>
      </c>
    </row>
    <row r="364" customFormat="false" ht="12.8" hidden="false" customHeight="false" outlineLevel="0" collapsed="false">
      <c r="A364" s="11" t="s">
        <v>1189</v>
      </c>
      <c r="B364" s="11" t="s">
        <v>113</v>
      </c>
      <c r="C364" s="11" t="str">
        <f aca="false">B364&amp;":"&amp;A364</f>
        <v>att_experiment:phosphoproteome</v>
      </c>
      <c r="D364" s="11" t="s">
        <v>1189</v>
      </c>
      <c r="E364" s="11" t="s">
        <v>1190</v>
      </c>
      <c r="F364" s="11" t="s">
        <v>1190</v>
      </c>
    </row>
    <row r="365" customFormat="false" ht="12.8" hidden="false" customHeight="false" outlineLevel="0" collapsed="false">
      <c r="A365" s="11" t="s">
        <v>1191</v>
      </c>
      <c r="B365" s="11" t="s">
        <v>113</v>
      </c>
      <c r="C365" s="11" t="str">
        <f aca="false">B365&amp;":"&amp;A365</f>
        <v>att_experiment:pulse_silac</v>
      </c>
      <c r="D365" s="11" t="s">
        <v>1191</v>
      </c>
      <c r="E365" s="11" t="s">
        <v>1192</v>
      </c>
      <c r="F365" s="11" t="s">
        <v>1192</v>
      </c>
    </row>
    <row r="366" customFormat="false" ht="12.8" hidden="false" customHeight="false" outlineLevel="0" collapsed="false">
      <c r="A366" s="11" t="s">
        <v>1193</v>
      </c>
      <c r="B366" s="11" t="s">
        <v>113</v>
      </c>
      <c r="C366" s="11" t="str">
        <f aca="false">B366&amp;":"&amp;A366</f>
        <v>att_experiment:secretome</v>
      </c>
      <c r="D366" s="11" t="s">
        <v>1193</v>
      </c>
      <c r="E366" s="11" t="s">
        <v>1194</v>
      </c>
      <c r="F366" s="11" t="s">
        <v>1194</v>
      </c>
    </row>
    <row r="367" customFormat="false" ht="12.8" hidden="false" customHeight="false" outlineLevel="0" collapsed="false">
      <c r="A367" s="11" t="s">
        <v>1195</v>
      </c>
      <c r="B367" s="11" t="s">
        <v>113</v>
      </c>
      <c r="C367" s="11" t="str">
        <f aca="false">B367&amp;":"&amp;A367</f>
        <v>att_experiment:spatial</v>
      </c>
      <c r="D367" s="11" t="s">
        <v>1195</v>
      </c>
      <c r="E367" s="11" t="s">
        <v>1196</v>
      </c>
      <c r="F367" s="11" t="s">
        <v>1196</v>
      </c>
    </row>
    <row r="368" customFormat="false" ht="12.8" hidden="false" customHeight="false" outlineLevel="0" collapsed="false">
      <c r="A368" s="11" t="s">
        <v>1197</v>
      </c>
      <c r="B368" s="11" t="s">
        <v>113</v>
      </c>
      <c r="C368" s="11" t="str">
        <f aca="false">B368&amp;":"&amp;A368</f>
        <v>att_experiment:ubiquitinome</v>
      </c>
      <c r="D368" s="11" t="s">
        <v>1197</v>
      </c>
      <c r="E368" s="11" t="s">
        <v>1198</v>
      </c>
      <c r="F368" s="11" t="s">
        <v>1198</v>
      </c>
    </row>
    <row r="369" customFormat="false" ht="12.8" hidden="false" customHeight="false" outlineLevel="0" collapsed="false">
      <c r="A369" s="11" t="s">
        <v>1199</v>
      </c>
      <c r="B369" s="11" t="s">
        <v>121</v>
      </c>
      <c r="C369" s="11" t="str">
        <f aca="false">B369&amp;":"&amp;A369</f>
        <v>att_faims_inner_temp:100c</v>
      </c>
      <c r="D369" s="14" t="s">
        <v>17</v>
      </c>
      <c r="E369" s="11" t="n">
        <v>100</v>
      </c>
      <c r="F369" s="14" t="s">
        <v>17</v>
      </c>
    </row>
    <row r="370" customFormat="false" ht="12.8" hidden="false" customHeight="false" outlineLevel="0" collapsed="false">
      <c r="A370" s="11" t="s">
        <v>1200</v>
      </c>
      <c r="B370" s="11" t="s">
        <v>121</v>
      </c>
      <c r="C370" s="11" t="str">
        <f aca="false">B370&amp;":"&amp;A370</f>
        <v>att_faims_inner_temp:95c</v>
      </c>
      <c r="D370" s="14" t="s">
        <v>17</v>
      </c>
      <c r="E370" s="11" t="n">
        <v>95</v>
      </c>
      <c r="F370" s="14" t="s">
        <v>17</v>
      </c>
    </row>
    <row r="371" customFormat="false" ht="12.8" hidden="false" customHeight="false" outlineLevel="0" collapsed="false">
      <c r="A371" s="11" t="s">
        <v>1201</v>
      </c>
      <c r="B371" s="11" t="s">
        <v>121</v>
      </c>
      <c r="C371" s="11" t="str">
        <f aca="false">B371&amp;":"&amp;A371</f>
        <v>att_faims_inner_temp:96c</v>
      </c>
      <c r="D371" s="14" t="s">
        <v>17</v>
      </c>
      <c r="E371" s="11" t="n">
        <v>96</v>
      </c>
      <c r="F371" s="14" t="s">
        <v>17</v>
      </c>
    </row>
    <row r="372" customFormat="false" ht="12.8" hidden="false" customHeight="false" outlineLevel="0" collapsed="false">
      <c r="A372" s="11" t="s">
        <v>1202</v>
      </c>
      <c r="B372" s="11" t="s">
        <v>121</v>
      </c>
      <c r="C372" s="11" t="str">
        <f aca="false">B372&amp;":"&amp;A372</f>
        <v>att_faims_inner_temp:97c</v>
      </c>
      <c r="D372" s="14" t="s">
        <v>17</v>
      </c>
      <c r="E372" s="11" t="n">
        <v>97</v>
      </c>
      <c r="F372" s="14" t="s">
        <v>17</v>
      </c>
    </row>
    <row r="373" customFormat="false" ht="12.8" hidden="false" customHeight="false" outlineLevel="0" collapsed="false">
      <c r="A373" s="11" t="s">
        <v>1203</v>
      </c>
      <c r="B373" s="11" t="s">
        <v>121</v>
      </c>
      <c r="C373" s="11" t="str">
        <f aca="false">B373&amp;":"&amp;A373</f>
        <v>att_faims_inner_temp:98c</v>
      </c>
      <c r="D373" s="14" t="s">
        <v>17</v>
      </c>
      <c r="E373" s="11" t="n">
        <v>98</v>
      </c>
      <c r="F373" s="14" t="s">
        <v>17</v>
      </c>
    </row>
    <row r="374" customFormat="false" ht="12.8" hidden="false" customHeight="false" outlineLevel="0" collapsed="false">
      <c r="A374" s="11" t="s">
        <v>1204</v>
      </c>
      <c r="B374" s="11" t="s">
        <v>121</v>
      </c>
      <c r="C374" s="11" t="str">
        <f aca="false">B374&amp;":"&amp;A374</f>
        <v>att_faims_inner_temp:99c</v>
      </c>
      <c r="D374" s="14" t="s">
        <v>17</v>
      </c>
      <c r="E374" s="11" t="n">
        <v>99</v>
      </c>
      <c r="F374" s="14" t="s">
        <v>17</v>
      </c>
    </row>
    <row r="375" customFormat="false" ht="12.8" hidden="false" customHeight="false" outlineLevel="0" collapsed="false">
      <c r="A375" s="11" t="s">
        <v>1199</v>
      </c>
      <c r="B375" s="11" t="s">
        <v>123</v>
      </c>
      <c r="C375" s="11" t="str">
        <f aca="false">B375&amp;":"&amp;A375</f>
        <v>att_faims_outer_temp:100c</v>
      </c>
      <c r="D375" s="14" t="s">
        <v>17</v>
      </c>
      <c r="E375" s="11" t="n">
        <v>100</v>
      </c>
      <c r="F375" s="14" t="s">
        <v>17</v>
      </c>
    </row>
    <row r="376" customFormat="false" ht="12.8" hidden="false" customHeight="false" outlineLevel="0" collapsed="false">
      <c r="A376" s="11" t="s">
        <v>1200</v>
      </c>
      <c r="B376" s="11" t="s">
        <v>123</v>
      </c>
      <c r="C376" s="11" t="str">
        <f aca="false">B376&amp;":"&amp;A376</f>
        <v>att_faims_outer_temp:95c</v>
      </c>
      <c r="D376" s="14" t="s">
        <v>17</v>
      </c>
      <c r="E376" s="11" t="n">
        <v>95</v>
      </c>
      <c r="F376" s="14" t="s">
        <v>17</v>
      </c>
    </row>
    <row r="377" customFormat="false" ht="12.8" hidden="false" customHeight="false" outlineLevel="0" collapsed="false">
      <c r="A377" s="11" t="s">
        <v>1201</v>
      </c>
      <c r="B377" s="11" t="s">
        <v>123</v>
      </c>
      <c r="C377" s="11" t="str">
        <f aca="false">B377&amp;":"&amp;A377</f>
        <v>att_faims_outer_temp:96c</v>
      </c>
      <c r="D377" s="14" t="s">
        <v>17</v>
      </c>
      <c r="E377" s="11" t="n">
        <v>96</v>
      </c>
      <c r="F377" s="14" t="s">
        <v>17</v>
      </c>
    </row>
    <row r="378" customFormat="false" ht="12.8" hidden="false" customHeight="false" outlineLevel="0" collapsed="false">
      <c r="A378" s="11" t="s">
        <v>1202</v>
      </c>
      <c r="B378" s="11" t="s">
        <v>123</v>
      </c>
      <c r="C378" s="11" t="str">
        <f aca="false">B378&amp;":"&amp;A378</f>
        <v>att_faims_outer_temp:97c</v>
      </c>
      <c r="D378" s="14" t="s">
        <v>17</v>
      </c>
      <c r="E378" s="11" t="n">
        <v>97</v>
      </c>
      <c r="F378" s="14" t="s">
        <v>17</v>
      </c>
    </row>
    <row r="379" customFormat="false" ht="12.8" hidden="false" customHeight="false" outlineLevel="0" collapsed="false">
      <c r="A379" s="11" t="s">
        <v>1203</v>
      </c>
      <c r="B379" s="11" t="s">
        <v>123</v>
      </c>
      <c r="C379" s="11" t="str">
        <f aca="false">B379&amp;":"&amp;A379</f>
        <v>att_faims_outer_temp:98c</v>
      </c>
      <c r="D379" s="14" t="s">
        <v>17</v>
      </c>
      <c r="E379" s="11" t="n">
        <v>98</v>
      </c>
      <c r="F379" s="14" t="s">
        <v>17</v>
      </c>
    </row>
    <row r="380" customFormat="false" ht="12.8" hidden="false" customHeight="false" outlineLevel="0" collapsed="false">
      <c r="A380" s="11" t="s">
        <v>1204</v>
      </c>
      <c r="B380" s="11" t="s">
        <v>123</v>
      </c>
      <c r="C380" s="11" t="str">
        <f aca="false">B380&amp;":"&amp;A380</f>
        <v>att_faims_outer_temp:99c</v>
      </c>
      <c r="D380" s="14" t="s">
        <v>17</v>
      </c>
      <c r="E380" s="11" t="n">
        <v>99</v>
      </c>
      <c r="F380" s="14" t="s">
        <v>17</v>
      </c>
    </row>
    <row r="381" customFormat="false" ht="12.8" hidden="false" customHeight="false" outlineLevel="0" collapsed="false">
      <c r="A381" s="11" t="s">
        <v>1205</v>
      </c>
      <c r="B381" s="11" t="s">
        <v>1206</v>
      </c>
      <c r="C381" s="11" t="str">
        <f aca="false">B381&amp;":"&amp;A381</f>
        <v>att_fluid:bal</v>
      </c>
      <c r="D381" s="14" t="s">
        <v>17</v>
      </c>
      <c r="E381" s="11" t="s">
        <v>1207</v>
      </c>
      <c r="F381" s="11" t="s">
        <v>1208</v>
      </c>
    </row>
    <row r="382" customFormat="false" ht="12.8" hidden="false" customHeight="false" outlineLevel="0" collapsed="false">
      <c r="A382" s="11" t="s">
        <v>1209</v>
      </c>
      <c r="B382" s="11" t="s">
        <v>1206</v>
      </c>
      <c r="C382" s="11" t="str">
        <f aca="false">B382&amp;":"&amp;A382</f>
        <v>att_fluid:cerebrospinal</v>
      </c>
      <c r="D382" s="14" t="s">
        <v>17</v>
      </c>
      <c r="E382" s="11" t="s">
        <v>1210</v>
      </c>
      <c r="F382" s="11" t="s">
        <v>1211</v>
      </c>
    </row>
    <row r="383" customFormat="false" ht="12.8" hidden="false" customHeight="false" outlineLevel="0" collapsed="false">
      <c r="A383" s="11" t="s">
        <v>1212</v>
      </c>
      <c r="B383" s="11" t="s">
        <v>1206</v>
      </c>
      <c r="C383" s="11" t="str">
        <f aca="false">B383&amp;":"&amp;A383</f>
        <v>att_fluid:feces</v>
      </c>
      <c r="D383" s="14" t="s">
        <v>17</v>
      </c>
      <c r="E383" s="11" t="s">
        <v>1213</v>
      </c>
      <c r="F383" s="11" t="s">
        <v>1214</v>
      </c>
    </row>
    <row r="384" customFormat="false" ht="12.8" hidden="false" customHeight="false" outlineLevel="0" collapsed="false">
      <c r="A384" s="11" t="s">
        <v>1215</v>
      </c>
      <c r="B384" s="11" t="s">
        <v>1206</v>
      </c>
      <c r="C384" s="11" t="str">
        <f aca="false">B384&amp;":"&amp;A384</f>
        <v>att_fluid:interstitial</v>
      </c>
      <c r="D384" s="14" t="s">
        <v>17</v>
      </c>
      <c r="E384" s="11" t="s">
        <v>1216</v>
      </c>
      <c r="F384" s="11" t="s">
        <v>1217</v>
      </c>
    </row>
    <row r="385" customFormat="false" ht="12.8" hidden="false" customHeight="false" outlineLevel="0" collapsed="false">
      <c r="A385" s="11" t="s">
        <v>1218</v>
      </c>
      <c r="B385" s="11" t="s">
        <v>1206</v>
      </c>
      <c r="C385" s="11" t="str">
        <f aca="false">B385&amp;":"&amp;A385</f>
        <v>att_fluid:lymph</v>
      </c>
      <c r="D385" s="14" t="s">
        <v>17</v>
      </c>
      <c r="E385" s="11" t="s">
        <v>1219</v>
      </c>
      <c r="F385" s="11" t="s">
        <v>1220</v>
      </c>
    </row>
    <row r="386" customFormat="false" ht="12.8" hidden="false" customHeight="false" outlineLevel="0" collapsed="false">
      <c r="A386" s="11" t="s">
        <v>1221</v>
      </c>
      <c r="B386" s="11" t="s">
        <v>1206</v>
      </c>
      <c r="C386" s="11" t="str">
        <f aca="false">B386&amp;":"&amp;A386</f>
        <v>att_fluid:peritoneal</v>
      </c>
      <c r="D386" s="14" t="s">
        <v>17</v>
      </c>
      <c r="E386" s="11" t="s">
        <v>1222</v>
      </c>
      <c r="F386" s="11" t="s">
        <v>1223</v>
      </c>
    </row>
    <row r="387" customFormat="false" ht="12.8" hidden="false" customHeight="false" outlineLevel="0" collapsed="false">
      <c r="A387" s="11" t="s">
        <v>1224</v>
      </c>
      <c r="B387" s="11" t="s">
        <v>1206</v>
      </c>
      <c r="C387" s="11" t="str">
        <f aca="false">B387&amp;":"&amp;A387</f>
        <v>att_fluid:plasma</v>
      </c>
      <c r="D387" s="14" t="s">
        <v>17</v>
      </c>
      <c r="E387" s="11" t="s">
        <v>1225</v>
      </c>
      <c r="F387" s="11" t="s">
        <v>1226</v>
      </c>
    </row>
    <row r="388" customFormat="false" ht="12.8" hidden="false" customHeight="false" outlineLevel="0" collapsed="false">
      <c r="A388" s="11" t="s">
        <v>1227</v>
      </c>
      <c r="B388" s="11" t="s">
        <v>1206</v>
      </c>
      <c r="C388" s="11" t="str">
        <f aca="false">B388&amp;":"&amp;A388</f>
        <v>att_fluid:pleural</v>
      </c>
      <c r="D388" s="14" t="s">
        <v>17</v>
      </c>
      <c r="E388" s="11" t="s">
        <v>1228</v>
      </c>
      <c r="F388" s="11" t="s">
        <v>1229</v>
      </c>
    </row>
    <row r="389" customFormat="false" ht="12.8" hidden="false" customHeight="false" outlineLevel="0" collapsed="false">
      <c r="A389" s="11" t="s">
        <v>1230</v>
      </c>
      <c r="B389" s="11" t="s">
        <v>1206</v>
      </c>
      <c r="C389" s="11" t="str">
        <f aca="false">B389&amp;":"&amp;A389</f>
        <v>att_fluid:saliva</v>
      </c>
      <c r="D389" s="14" t="s">
        <v>17</v>
      </c>
      <c r="E389" s="11" t="s">
        <v>1231</v>
      </c>
      <c r="F389" s="11" t="s">
        <v>1232</v>
      </c>
    </row>
    <row r="390" customFormat="false" ht="12.8" hidden="false" customHeight="false" outlineLevel="0" collapsed="false">
      <c r="A390" s="11" t="s">
        <v>1233</v>
      </c>
      <c r="B390" s="11" t="s">
        <v>1206</v>
      </c>
      <c r="C390" s="11" t="str">
        <f aca="false">B390&amp;":"&amp;A390</f>
        <v>att_fluid:seminal</v>
      </c>
      <c r="D390" s="14" t="s">
        <v>17</v>
      </c>
      <c r="E390" s="11" t="s">
        <v>1234</v>
      </c>
      <c r="F390" s="11" t="s">
        <v>1235</v>
      </c>
    </row>
    <row r="391" customFormat="false" ht="12.8" hidden="false" customHeight="false" outlineLevel="0" collapsed="false">
      <c r="A391" s="11" t="s">
        <v>1236</v>
      </c>
      <c r="B391" s="11" t="s">
        <v>1206</v>
      </c>
      <c r="C391" s="11" t="str">
        <f aca="false">B391&amp;":"&amp;A391</f>
        <v>att_fluid:serum</v>
      </c>
      <c r="D391" s="14" t="s">
        <v>17</v>
      </c>
      <c r="E391" s="11" t="s">
        <v>1237</v>
      </c>
      <c r="F391" s="11" t="s">
        <v>1238</v>
      </c>
    </row>
    <row r="392" customFormat="false" ht="12.8" hidden="false" customHeight="false" outlineLevel="0" collapsed="false">
      <c r="A392" s="11" t="s">
        <v>1239</v>
      </c>
      <c r="B392" s="11" t="s">
        <v>1206</v>
      </c>
      <c r="C392" s="11" t="str">
        <f aca="false">B392&amp;":"&amp;A392</f>
        <v>att_fluid:urine</v>
      </c>
      <c r="D392" s="14" t="s">
        <v>17</v>
      </c>
      <c r="E392" s="11" t="s">
        <v>1240</v>
      </c>
      <c r="F392" s="11" t="s">
        <v>1241</v>
      </c>
    </row>
    <row r="393" customFormat="false" ht="12.8" hidden="false" customHeight="false" outlineLevel="0" collapsed="false">
      <c r="A393" s="11" t="s">
        <v>1242</v>
      </c>
      <c r="B393" s="11" t="s">
        <v>1243</v>
      </c>
      <c r="C393" s="11" t="str">
        <f aca="false">B393&amp;":"&amp;A393</f>
        <v>att_fraction:01k</v>
      </c>
      <c r="D393" s="11" t="s">
        <v>1242</v>
      </c>
      <c r="E393" s="11" t="s">
        <v>1242</v>
      </c>
      <c r="F393" s="11" t="s">
        <v>1244</v>
      </c>
    </row>
    <row r="394" customFormat="false" ht="12.8" hidden="false" customHeight="false" outlineLevel="0" collapsed="false">
      <c r="A394" s="11" t="s">
        <v>1245</v>
      </c>
      <c r="B394" s="11" t="s">
        <v>1243</v>
      </c>
      <c r="C394" s="11" t="str">
        <f aca="false">B394&amp;":"&amp;A394</f>
        <v>att_fraction:05k</v>
      </c>
      <c r="D394" s="11" t="s">
        <v>1245</v>
      </c>
      <c r="E394" s="11" t="s">
        <v>1245</v>
      </c>
      <c r="F394" s="11" t="s">
        <v>1246</v>
      </c>
    </row>
    <row r="395" customFormat="false" ht="12.8" hidden="false" customHeight="false" outlineLevel="0" collapsed="false">
      <c r="A395" s="11" t="s">
        <v>1247</v>
      </c>
      <c r="B395" s="11" t="s">
        <v>1243</v>
      </c>
      <c r="C395" s="11" t="str">
        <f aca="false">B395&amp;":"&amp;A395</f>
        <v>att_fraction:12k</v>
      </c>
      <c r="D395" s="11" t="s">
        <v>1247</v>
      </c>
      <c r="E395" s="11" t="s">
        <v>1247</v>
      </c>
      <c r="F395" s="11" t="s">
        <v>1248</v>
      </c>
    </row>
    <row r="396" customFormat="false" ht="12.8" hidden="false" customHeight="false" outlineLevel="0" collapsed="false">
      <c r="A396" s="11" t="s">
        <v>1249</v>
      </c>
      <c r="B396" s="11" t="s">
        <v>1243</v>
      </c>
      <c r="C396" s="11" t="str">
        <f aca="false">B396&amp;":"&amp;A396</f>
        <v>att_fraction:24k</v>
      </c>
      <c r="D396" s="11" t="s">
        <v>1249</v>
      </c>
      <c r="E396" s="11" t="s">
        <v>1249</v>
      </c>
      <c r="F396" s="11" t="s">
        <v>1250</v>
      </c>
    </row>
    <row r="397" customFormat="false" ht="12.8" hidden="false" customHeight="false" outlineLevel="0" collapsed="false">
      <c r="A397" s="11" t="s">
        <v>1251</v>
      </c>
      <c r="B397" s="11" t="s">
        <v>1243</v>
      </c>
      <c r="C397" s="11" t="str">
        <f aca="false">B397&amp;":"&amp;A397</f>
        <v>att_fraction:79k</v>
      </c>
      <c r="D397" s="11" t="s">
        <v>1251</v>
      </c>
      <c r="E397" s="11" t="s">
        <v>1251</v>
      </c>
      <c r="F397" s="11" t="s">
        <v>1252</v>
      </c>
    </row>
    <row r="398" customFormat="false" ht="12.8" hidden="false" customHeight="false" outlineLevel="0" collapsed="false">
      <c r="A398" s="11" t="s">
        <v>1253</v>
      </c>
      <c r="B398" s="11" t="s">
        <v>1243</v>
      </c>
      <c r="C398" s="11" t="str">
        <f aca="false">B398&amp;":"&amp;A398</f>
        <v>att_fraction:crude_mito</v>
      </c>
      <c r="D398" s="11" t="s">
        <v>1254</v>
      </c>
      <c r="E398" s="11" t="s">
        <v>1255</v>
      </c>
      <c r="F398" s="11" t="s">
        <v>1256</v>
      </c>
    </row>
    <row r="399" customFormat="false" ht="12.8" hidden="false" customHeight="false" outlineLevel="0" collapsed="false">
      <c r="A399" s="11" t="s">
        <v>1257</v>
      </c>
      <c r="B399" s="11" t="s">
        <v>1243</v>
      </c>
      <c r="C399" s="11" t="str">
        <f aca="false">B399&amp;":"&amp;A399</f>
        <v>att_fraction:cytosolic</v>
      </c>
      <c r="D399" s="11" t="s">
        <v>1257</v>
      </c>
      <c r="E399" s="11" t="s">
        <v>1258</v>
      </c>
      <c r="F399" s="11" t="s">
        <v>1259</v>
      </c>
    </row>
    <row r="400" customFormat="false" ht="12.8" hidden="false" customHeight="false" outlineLevel="0" collapsed="false">
      <c r="A400" s="11" t="s">
        <v>1260</v>
      </c>
      <c r="B400" s="11" t="s">
        <v>1243</v>
      </c>
      <c r="C400" s="11" t="str">
        <f aca="false">B400&amp;":"&amp;A400</f>
        <v>att_fraction:total</v>
      </c>
      <c r="D400" s="11" t="s">
        <v>1260</v>
      </c>
      <c r="E400" s="11" t="s">
        <v>1261</v>
      </c>
      <c r="F400" s="11" t="s">
        <v>1262</v>
      </c>
    </row>
    <row r="401" customFormat="false" ht="12.8" hidden="false" customHeight="false" outlineLevel="0" collapsed="false">
      <c r="A401" s="11" t="s">
        <v>1263</v>
      </c>
      <c r="B401" s="11" t="s">
        <v>130</v>
      </c>
      <c r="C401" s="11" t="str">
        <f aca="false">B401&amp;":"&amp;A401</f>
        <v>att_gene_editing_method:biggybac</v>
      </c>
      <c r="D401" s="14" t="s">
        <v>17</v>
      </c>
      <c r="E401" s="11" t="s">
        <v>1264</v>
      </c>
      <c r="F401" s="11" t="s">
        <v>1265</v>
      </c>
    </row>
    <row r="402" customFormat="false" ht="12.8" hidden="false" customHeight="false" outlineLevel="0" collapsed="false">
      <c r="A402" s="11" t="s">
        <v>1266</v>
      </c>
      <c r="B402" s="11" t="s">
        <v>130</v>
      </c>
      <c r="C402" s="11" t="str">
        <f aca="false">B402&amp;":"&amp;A402</f>
        <v>att_gene_editing_method:crispr</v>
      </c>
      <c r="D402" s="14" t="s">
        <v>17</v>
      </c>
      <c r="E402" s="11" t="s">
        <v>1267</v>
      </c>
      <c r="F402" s="11" t="s">
        <v>1268</v>
      </c>
    </row>
    <row r="403" customFormat="false" ht="12.8" hidden="false" customHeight="false" outlineLevel="0" collapsed="false">
      <c r="A403" s="11" t="s">
        <v>1269</v>
      </c>
      <c r="B403" s="11" t="s">
        <v>130</v>
      </c>
      <c r="C403" s="11" t="str">
        <f aca="false">B403&amp;":"&amp;A403</f>
        <v>att_gene_editing_method:crispr_hdr</v>
      </c>
      <c r="D403" s="14" t="s">
        <v>17</v>
      </c>
      <c r="E403" s="11" t="s">
        <v>1270</v>
      </c>
      <c r="F403" s="11" t="s">
        <v>1271</v>
      </c>
    </row>
    <row r="404" customFormat="false" ht="12.8" hidden="false" customHeight="false" outlineLevel="0" collapsed="false">
      <c r="A404" s="11" t="s">
        <v>1272</v>
      </c>
      <c r="B404" s="11" t="s">
        <v>130</v>
      </c>
      <c r="C404" s="11" t="str">
        <f aca="false">B404&amp;":"&amp;A404</f>
        <v>att_gene_editing_method:lentiviral</v>
      </c>
      <c r="D404" s="14" t="s">
        <v>17</v>
      </c>
      <c r="E404" s="11" t="s">
        <v>1273</v>
      </c>
      <c r="F404" s="11" t="s">
        <v>1274</v>
      </c>
    </row>
    <row r="405" customFormat="false" ht="12.8" hidden="false" customHeight="false" outlineLevel="0" collapsed="false">
      <c r="A405" s="11" t="s">
        <v>1275</v>
      </c>
      <c r="B405" s="11" t="s">
        <v>130</v>
      </c>
      <c r="C405" s="11" t="str">
        <f aca="false">B405&amp;":"&amp;A405</f>
        <v>att_gene_editing_method:talen</v>
      </c>
      <c r="D405" s="14" t="s">
        <v>17</v>
      </c>
      <c r="E405" s="11" t="s">
        <v>1276</v>
      </c>
      <c r="F405" s="11" t="s">
        <v>1277</v>
      </c>
    </row>
    <row r="406" customFormat="false" ht="12.8" hidden="false" customHeight="false" outlineLevel="0" collapsed="false">
      <c r="A406" s="11" t="s">
        <v>1278</v>
      </c>
      <c r="B406" s="11" t="s">
        <v>130</v>
      </c>
      <c r="C406" s="11" t="str">
        <f aca="false">B406&amp;":"&amp;A406</f>
        <v>att_gene_editing_method:zincfinger</v>
      </c>
      <c r="D406" s="14" t="s">
        <v>17</v>
      </c>
      <c r="E406" s="11" t="s">
        <v>1279</v>
      </c>
      <c r="F406" s="11" t="s">
        <v>1280</v>
      </c>
    </row>
    <row r="407" customFormat="false" ht="12.8" hidden="false" customHeight="false" outlineLevel="0" collapsed="false">
      <c r="A407" s="11" t="s">
        <v>1281</v>
      </c>
      <c r="B407" s="11" t="s">
        <v>134</v>
      </c>
      <c r="C407" s="11" t="str">
        <f aca="false">B407&amp;":"&amp;A407</f>
        <v>att_gene_engineering:deletion</v>
      </c>
      <c r="D407" s="14" t="s">
        <v>17</v>
      </c>
      <c r="E407" s="11" t="s">
        <v>1282</v>
      </c>
      <c r="F407" s="11" t="s">
        <v>1283</v>
      </c>
    </row>
    <row r="408" customFormat="false" ht="12.8" hidden="false" customHeight="false" outlineLevel="0" collapsed="false">
      <c r="A408" s="11" t="s">
        <v>1284</v>
      </c>
      <c r="B408" s="11" t="s">
        <v>134</v>
      </c>
      <c r="C408" s="11" t="str">
        <f aca="false">B408&amp;":"&amp;A408</f>
        <v>att_gene_engineering:inducible_expression</v>
      </c>
      <c r="D408" s="14" t="s">
        <v>17</v>
      </c>
      <c r="E408" s="11" t="s">
        <v>1285</v>
      </c>
      <c r="F408" s="11" t="s">
        <v>1286</v>
      </c>
    </row>
    <row r="409" customFormat="false" ht="12.8" hidden="false" customHeight="false" outlineLevel="0" collapsed="false">
      <c r="A409" s="11" t="s">
        <v>1287</v>
      </c>
      <c r="B409" s="11" t="s">
        <v>134</v>
      </c>
      <c r="C409" s="11" t="str">
        <f aca="false">B409&amp;":"&amp;A409</f>
        <v>att_gene_engineering:knockin</v>
      </c>
      <c r="D409" s="14" t="s">
        <v>17</v>
      </c>
      <c r="E409" s="11" t="s">
        <v>1288</v>
      </c>
      <c r="F409" s="11" t="s">
        <v>1289</v>
      </c>
    </row>
    <row r="410" customFormat="false" ht="12.8" hidden="false" customHeight="false" outlineLevel="0" collapsed="false">
      <c r="A410" s="11" t="s">
        <v>1290</v>
      </c>
      <c r="B410" s="11" t="s">
        <v>134</v>
      </c>
      <c r="C410" s="11" t="str">
        <f aca="false">B410&amp;":"&amp;A410</f>
        <v>att_gene_engineering:ko</v>
      </c>
      <c r="D410" s="14" t="s">
        <v>17</v>
      </c>
      <c r="E410" s="11" t="s">
        <v>1291</v>
      </c>
      <c r="F410" s="11" t="s">
        <v>1292</v>
      </c>
    </row>
    <row r="411" customFormat="false" ht="12.8" hidden="false" customHeight="false" outlineLevel="0" collapsed="false">
      <c r="A411" s="11" t="s">
        <v>1293</v>
      </c>
      <c r="B411" s="11" t="s">
        <v>134</v>
      </c>
      <c r="C411" s="11" t="str">
        <f aca="false">B411&amp;":"&amp;A411</f>
        <v>att_gene_engineering:stable_expression</v>
      </c>
      <c r="D411" s="14" t="s">
        <v>17</v>
      </c>
      <c r="E411" s="11" t="s">
        <v>1294</v>
      </c>
      <c r="F411" s="11" t="s">
        <v>1295</v>
      </c>
    </row>
    <row r="412" customFormat="false" ht="12.8" hidden="false" customHeight="false" outlineLevel="0" collapsed="false">
      <c r="A412" s="11" t="s">
        <v>1296</v>
      </c>
      <c r="B412" s="11" t="s">
        <v>131</v>
      </c>
      <c r="C412" s="11" t="str">
        <f aca="false">B412&amp;":"&amp;A412</f>
        <v>att_gene_zygosity:het</v>
      </c>
      <c r="D412" s="14" t="s">
        <v>17</v>
      </c>
      <c r="E412" s="11" t="s">
        <v>1297</v>
      </c>
      <c r="F412" s="11" t="s">
        <v>1298</v>
      </c>
    </row>
    <row r="413" customFormat="false" ht="12.8" hidden="false" customHeight="false" outlineLevel="0" collapsed="false">
      <c r="A413" s="11" t="s">
        <v>1299</v>
      </c>
      <c r="B413" s="11" t="s">
        <v>131</v>
      </c>
      <c r="C413" s="11" t="str">
        <f aca="false">B413&amp;":"&amp;A413</f>
        <v>att_gene_zygosity:hom</v>
      </c>
      <c r="D413" s="14" t="s">
        <v>17</v>
      </c>
      <c r="E413" s="11" t="s">
        <v>1300</v>
      </c>
      <c r="F413" s="11" t="s">
        <v>1301</v>
      </c>
    </row>
    <row r="414" customFormat="false" ht="12.8" hidden="false" customHeight="false" outlineLevel="0" collapsed="false">
      <c r="A414" s="11" t="s">
        <v>1302</v>
      </c>
      <c r="B414" s="11" t="s">
        <v>138</v>
      </c>
      <c r="C414" s="11" t="str">
        <f aca="false">B414&amp;":"&amp;A414</f>
        <v>att_isolation_width:14dia</v>
      </c>
      <c r="D414" s="14" t="s">
        <v>17</v>
      </c>
      <c r="E414" s="11" t="n">
        <v>14</v>
      </c>
      <c r="F414" s="11" t="s">
        <v>1303</v>
      </c>
    </row>
    <row r="415" customFormat="false" ht="12.8" hidden="false" customHeight="false" outlineLevel="0" collapsed="false">
      <c r="A415" s="11" t="s">
        <v>1304</v>
      </c>
      <c r="B415" s="11" t="s">
        <v>138</v>
      </c>
      <c r="C415" s="11" t="str">
        <f aca="false">B415&amp;":"&amp;A415</f>
        <v>att_isolation_width:onepointfour</v>
      </c>
      <c r="D415" s="14" t="s">
        <v>17</v>
      </c>
      <c r="E415" s="11" t="n">
        <v>1.4</v>
      </c>
      <c r="F415" s="11" t="s">
        <v>1305</v>
      </c>
    </row>
    <row r="416" customFormat="false" ht="12.8" hidden="false" customHeight="false" outlineLevel="0" collapsed="false">
      <c r="A416" s="11" t="s">
        <v>1306</v>
      </c>
      <c r="B416" s="11" t="s">
        <v>141</v>
      </c>
      <c r="C416" s="11" t="str">
        <f aca="false">B416&amp;":"&amp;A416</f>
        <v>att_knockdown_technique:esirna</v>
      </c>
      <c r="D416" s="11" t="s">
        <v>1306</v>
      </c>
      <c r="E416" s="11" t="s">
        <v>1307</v>
      </c>
      <c r="F416" s="11" t="s">
        <v>1308</v>
      </c>
    </row>
    <row r="417" customFormat="false" ht="12.8" hidden="false" customHeight="false" outlineLevel="0" collapsed="false">
      <c r="A417" s="11" t="s">
        <v>1309</v>
      </c>
      <c r="B417" s="11" t="s">
        <v>141</v>
      </c>
      <c r="C417" s="11" t="str">
        <f aca="false">B417&amp;":"&amp;A417</f>
        <v>att_knockdown_technique:grna</v>
      </c>
      <c r="D417" s="11" t="s">
        <v>1309</v>
      </c>
      <c r="E417" s="11" t="s">
        <v>1310</v>
      </c>
      <c r="F417" s="11" t="s">
        <v>1311</v>
      </c>
    </row>
    <row r="418" customFormat="false" ht="12.8" hidden="false" customHeight="false" outlineLevel="0" collapsed="false">
      <c r="A418" s="11" t="s">
        <v>1312</v>
      </c>
      <c r="B418" s="11" t="s">
        <v>141</v>
      </c>
      <c r="C418" s="11" t="str">
        <f aca="false">B418&amp;":"&amp;A418</f>
        <v>att_knockdown_technique:mirna</v>
      </c>
      <c r="D418" s="11" t="s">
        <v>1312</v>
      </c>
      <c r="E418" s="11" t="s">
        <v>1313</v>
      </c>
      <c r="F418" s="11" t="s">
        <v>1314</v>
      </c>
    </row>
    <row r="419" customFormat="false" ht="12.8" hidden="false" customHeight="false" outlineLevel="0" collapsed="false">
      <c r="A419" s="11" t="s">
        <v>1315</v>
      </c>
      <c r="B419" s="11" t="s">
        <v>141</v>
      </c>
      <c r="C419" s="11" t="str">
        <f aca="false">B419&amp;":"&amp;A419</f>
        <v>att_knockdown_technique:shrna</v>
      </c>
      <c r="D419" s="11" t="s">
        <v>1315</v>
      </c>
      <c r="E419" s="11" t="s">
        <v>1316</v>
      </c>
      <c r="F419" s="11" t="s">
        <v>1317</v>
      </c>
    </row>
    <row r="420" customFormat="false" ht="12.8" hidden="false" customHeight="false" outlineLevel="0" collapsed="false">
      <c r="A420" s="11" t="s">
        <v>1318</v>
      </c>
      <c r="B420" s="11" t="s">
        <v>141</v>
      </c>
      <c r="C420" s="11" t="str">
        <f aca="false">B420&amp;":"&amp;A420</f>
        <v>att_knockdown_technique:sirna</v>
      </c>
      <c r="D420" s="11" t="s">
        <v>1318</v>
      </c>
      <c r="E420" s="11" t="s">
        <v>1319</v>
      </c>
      <c r="F420" s="11" t="s">
        <v>1320</v>
      </c>
    </row>
    <row r="421" customFormat="false" ht="12.8" hidden="false" customHeight="false" outlineLevel="0" collapsed="false">
      <c r="A421" s="11" t="s">
        <v>1321</v>
      </c>
      <c r="B421" s="11" t="s">
        <v>145</v>
      </c>
      <c r="C421" s="11" t="str">
        <f aca="false">B421&amp;":"&amp;A421</f>
        <v>att_lc_flow_rate:200nlmin</v>
      </c>
      <c r="D421" s="14" t="s">
        <v>17</v>
      </c>
      <c r="E421" s="11" t="n">
        <v>200</v>
      </c>
      <c r="F421" s="11" t="s">
        <v>1322</v>
      </c>
    </row>
    <row r="422" customFormat="false" ht="12.8" hidden="false" customHeight="false" outlineLevel="0" collapsed="false">
      <c r="A422" s="11" t="s">
        <v>1323</v>
      </c>
      <c r="B422" s="11" t="s">
        <v>145</v>
      </c>
      <c r="C422" s="11" t="str">
        <f aca="false">B422&amp;":"&amp;A422</f>
        <v>att_lc_flow_rate:250nlmin</v>
      </c>
      <c r="D422" s="14" t="s">
        <v>17</v>
      </c>
      <c r="E422" s="11" t="n">
        <v>250</v>
      </c>
      <c r="F422" s="11" t="s">
        <v>1324</v>
      </c>
    </row>
    <row r="423" customFormat="false" ht="12.8" hidden="false" customHeight="false" outlineLevel="0" collapsed="false">
      <c r="A423" s="11" t="s">
        <v>1325</v>
      </c>
      <c r="B423" s="11" t="s">
        <v>145</v>
      </c>
      <c r="C423" s="11" t="str">
        <f aca="false">B423&amp;":"&amp;A423</f>
        <v>att_lc_flow_rate:500nlmin</v>
      </c>
      <c r="D423" s="14" t="s">
        <v>17</v>
      </c>
      <c r="E423" s="11" t="n">
        <v>500</v>
      </c>
      <c r="F423" s="11" t="s">
        <v>1326</v>
      </c>
    </row>
    <row r="424" customFormat="false" ht="12.8" hidden="false" customHeight="false" outlineLevel="0" collapsed="false">
      <c r="A424" s="11" t="s">
        <v>1327</v>
      </c>
      <c r="B424" s="11" t="s">
        <v>150</v>
      </c>
      <c r="C424" s="11" t="str">
        <f aca="false">B424&amp;":"&amp;A424</f>
        <v>att_lc_system:e1000</v>
      </c>
      <c r="D424" s="11" t="s">
        <v>1327</v>
      </c>
      <c r="E424" s="11" t="s">
        <v>1328</v>
      </c>
      <c r="F424" s="11" t="s">
        <v>1329</v>
      </c>
    </row>
    <row r="425" customFormat="false" ht="12.8" hidden="false" customHeight="false" outlineLevel="0" collapsed="false">
      <c r="A425" s="11" t="s">
        <v>1330</v>
      </c>
      <c r="B425" s="11" t="s">
        <v>150</v>
      </c>
      <c r="C425" s="11" t="str">
        <f aca="false">B425&amp;":"&amp;A425</f>
        <v>att_lc_system:e1200</v>
      </c>
      <c r="D425" s="11" t="s">
        <v>1330</v>
      </c>
      <c r="E425" s="11" t="s">
        <v>1331</v>
      </c>
      <c r="F425" s="11" t="s">
        <v>1332</v>
      </c>
    </row>
    <row r="426" customFormat="false" ht="12.8" hidden="false" customHeight="false" outlineLevel="0" collapsed="false">
      <c r="A426" s="11" t="s">
        <v>1333</v>
      </c>
      <c r="B426" s="11" t="s">
        <v>150</v>
      </c>
      <c r="C426" s="11" t="str">
        <f aca="false">B426&amp;":"&amp;A426</f>
        <v>att_lc_system:evosep</v>
      </c>
      <c r="D426" s="11" t="s">
        <v>1333</v>
      </c>
      <c r="E426" s="11" t="s">
        <v>1334</v>
      </c>
      <c r="F426" s="11" t="s">
        <v>1334</v>
      </c>
    </row>
    <row r="427" customFormat="false" ht="12.8" hidden="false" customHeight="false" outlineLevel="0" collapsed="false">
      <c r="A427" s="11" t="s">
        <v>1335</v>
      </c>
      <c r="B427" s="11" t="s">
        <v>150</v>
      </c>
      <c r="C427" s="11" t="str">
        <f aca="false">B427&amp;":"&amp;A427</f>
        <v>att_lc_system:nanoelute</v>
      </c>
      <c r="D427" s="11" t="s">
        <v>1335</v>
      </c>
      <c r="E427" s="11" t="s">
        <v>1336</v>
      </c>
      <c r="F427" s="11" t="s">
        <v>1337</v>
      </c>
    </row>
    <row r="428" customFormat="false" ht="12.8" hidden="false" customHeight="false" outlineLevel="0" collapsed="false">
      <c r="A428" s="11" t="s">
        <v>1338</v>
      </c>
      <c r="B428" s="11" t="s">
        <v>150</v>
      </c>
      <c r="C428" s="11" t="str">
        <f aca="false">B428&amp;":"&amp;A428</f>
        <v>att_lc_system:ultimate</v>
      </c>
      <c r="D428" s="11" t="s">
        <v>1338</v>
      </c>
      <c r="E428" s="11" t="s">
        <v>1339</v>
      </c>
      <c r="F428" s="11" t="s">
        <v>1340</v>
      </c>
    </row>
    <row r="429" customFormat="false" ht="12.8" hidden="false" customHeight="false" outlineLevel="0" collapsed="false">
      <c r="A429" s="11" t="s">
        <v>1341</v>
      </c>
      <c r="B429" s="11" t="s">
        <v>150</v>
      </c>
      <c r="C429" s="11" t="str">
        <f aca="false">B429&amp;":"&amp;A429</f>
        <v>att_lc_system:vanquish</v>
      </c>
      <c r="D429" s="11" t="s">
        <v>1341</v>
      </c>
      <c r="E429" s="11" t="s">
        <v>1342</v>
      </c>
      <c r="F429" s="11" t="s">
        <v>1343</v>
      </c>
    </row>
    <row r="430" customFormat="false" ht="12.8" hidden="false" customHeight="false" outlineLevel="0" collapsed="false">
      <c r="A430" s="11" t="s">
        <v>1344</v>
      </c>
      <c r="B430" s="11" t="s">
        <v>146</v>
      </c>
      <c r="C430" s="11" t="str">
        <f aca="false">B430&amp;":"&amp;A430</f>
        <v>att_lc_system_name:easylc1</v>
      </c>
      <c r="D430" s="14" t="s">
        <v>17</v>
      </c>
      <c r="E430" s="11" t="s">
        <v>1345</v>
      </c>
      <c r="F430" s="11" t="s">
        <v>1345</v>
      </c>
    </row>
    <row r="431" customFormat="false" ht="12.8" hidden="false" customHeight="false" outlineLevel="0" collapsed="false">
      <c r="A431" s="11" t="s">
        <v>1346</v>
      </c>
      <c r="B431" s="11" t="s">
        <v>146</v>
      </c>
      <c r="C431" s="11" t="str">
        <f aca="false">B431&amp;":"&amp;A431</f>
        <v>att_lc_system_name:easylc2</v>
      </c>
      <c r="D431" s="14" t="s">
        <v>17</v>
      </c>
      <c r="E431" s="11" t="s">
        <v>1347</v>
      </c>
      <c r="F431" s="11" t="s">
        <v>1347</v>
      </c>
    </row>
    <row r="432" customFormat="false" ht="12.8" hidden="false" customHeight="false" outlineLevel="0" collapsed="false">
      <c r="A432" s="11" t="s">
        <v>1348</v>
      </c>
      <c r="B432" s="11" t="s">
        <v>146</v>
      </c>
      <c r="C432" s="11" t="str">
        <f aca="false">B432&amp;":"&amp;A432</f>
        <v>att_lc_system_name:evosep1</v>
      </c>
      <c r="D432" s="14" t="s">
        <v>17</v>
      </c>
      <c r="E432" s="11" t="s">
        <v>1349</v>
      </c>
      <c r="F432" s="11" t="s">
        <v>1350</v>
      </c>
    </row>
    <row r="433" customFormat="false" ht="12.8" hidden="false" customHeight="false" outlineLevel="0" collapsed="false">
      <c r="A433" s="11" t="s">
        <v>1351</v>
      </c>
      <c r="B433" s="11" t="s">
        <v>146</v>
      </c>
      <c r="C433" s="11" t="str">
        <f aca="false">B433&amp;":"&amp;A433</f>
        <v>att_lc_system_name:vanquishneo1</v>
      </c>
      <c r="D433" s="14" t="s">
        <v>17</v>
      </c>
      <c r="E433" s="11" t="s">
        <v>1352</v>
      </c>
      <c r="F433" s="11" t="s">
        <v>1352</v>
      </c>
    </row>
    <row r="434" customFormat="false" ht="12.8" hidden="false" customHeight="false" outlineLevel="0" collapsed="false">
      <c r="A434" s="11" t="s">
        <v>1353</v>
      </c>
      <c r="B434" s="11" t="s">
        <v>153</v>
      </c>
      <c r="C434" s="11" t="str">
        <f aca="false">B434&amp;":"&amp;A434</f>
        <v>att_liquid_handler:bravo</v>
      </c>
      <c r="D434" s="11" t="s">
        <v>1353</v>
      </c>
      <c r="E434" s="11" t="s">
        <v>1354</v>
      </c>
      <c r="F434" s="11" t="s">
        <v>1355</v>
      </c>
    </row>
    <row r="435" customFormat="false" ht="12.8" hidden="false" customHeight="false" outlineLevel="0" collapsed="false">
      <c r="A435" s="11" t="s">
        <v>1356</v>
      </c>
      <c r="B435" s="11" t="s">
        <v>153</v>
      </c>
      <c r="C435" s="11" t="str">
        <f aca="false">B435&amp;":"&amp;A435</f>
        <v>att_liquid_handler:felix</v>
      </c>
      <c r="D435" s="11" t="s">
        <v>1356</v>
      </c>
      <c r="E435" s="11" t="s">
        <v>1357</v>
      </c>
      <c r="F435" s="11" t="s">
        <v>1358</v>
      </c>
    </row>
    <row r="436" customFormat="false" ht="12.8" hidden="false" customHeight="false" outlineLevel="0" collapsed="false">
      <c r="A436" s="11" t="s">
        <v>1359</v>
      </c>
      <c r="B436" s="11" t="s">
        <v>153</v>
      </c>
      <c r="C436" s="11" t="str">
        <f aca="false">B436&amp;":"&amp;A436</f>
        <v>att_liquid_handler:kingfisher</v>
      </c>
      <c r="D436" s="11" t="s">
        <v>1359</v>
      </c>
      <c r="E436" s="11" t="s">
        <v>1360</v>
      </c>
      <c r="F436" s="11" t="s">
        <v>1361</v>
      </c>
    </row>
    <row r="437" customFormat="false" ht="12.8" hidden="false" customHeight="false" outlineLevel="0" collapsed="false">
      <c r="A437" s="11" t="s">
        <v>1362</v>
      </c>
      <c r="B437" s="11" t="s">
        <v>153</v>
      </c>
      <c r="C437" s="11" t="str">
        <f aca="false">B437&amp;":"&amp;A437</f>
        <v>att_liquid_handler:microlabhamilton</v>
      </c>
      <c r="D437" s="11" t="s">
        <v>1362</v>
      </c>
      <c r="E437" s="11" t="s">
        <v>1363</v>
      </c>
      <c r="F437" s="11" t="s">
        <v>1364</v>
      </c>
    </row>
    <row r="438" customFormat="false" ht="12.8" hidden="false" customHeight="false" outlineLevel="0" collapsed="false">
      <c r="A438" s="11" t="s">
        <v>1365</v>
      </c>
      <c r="B438" s="11" t="s">
        <v>153</v>
      </c>
      <c r="C438" s="11" t="str">
        <f aca="false">B438&amp;":"&amp;A438</f>
        <v>att_liquid_handler:mosquitoHV</v>
      </c>
      <c r="D438" s="11" t="s">
        <v>1365</v>
      </c>
      <c r="E438" s="11" t="s">
        <v>1366</v>
      </c>
      <c r="F438" s="11" t="s">
        <v>1367</v>
      </c>
    </row>
    <row r="439" customFormat="false" ht="12.8" hidden="false" customHeight="false" outlineLevel="0" collapsed="false">
      <c r="A439" s="11" t="s">
        <v>1368</v>
      </c>
      <c r="B439" s="11" t="s">
        <v>153</v>
      </c>
      <c r="C439" s="11" t="str">
        <f aca="false">B439&amp;":"&amp;A439</f>
        <v>att_liquid_handler:mosquitoLV</v>
      </c>
      <c r="D439" s="11" t="s">
        <v>1368</v>
      </c>
      <c r="E439" s="11" t="s">
        <v>1369</v>
      </c>
      <c r="F439" s="11" t="s">
        <v>1370</v>
      </c>
    </row>
    <row r="440" customFormat="false" ht="12.8" hidden="false" customHeight="false" outlineLevel="0" collapsed="false">
      <c r="A440" s="11" t="s">
        <v>1371</v>
      </c>
      <c r="B440" s="11" t="s">
        <v>153</v>
      </c>
      <c r="C440" s="11" t="str">
        <f aca="false">B440&amp;":"&amp;A440</f>
        <v>att_liquid_handler:opentrons</v>
      </c>
      <c r="D440" s="11" t="s">
        <v>1371</v>
      </c>
      <c r="E440" s="11" t="s">
        <v>1372</v>
      </c>
      <c r="F440" s="11" t="s">
        <v>1372</v>
      </c>
    </row>
    <row r="441" customFormat="false" ht="12.8" hidden="false" customHeight="false" outlineLevel="0" collapsed="false">
      <c r="A441" s="11" t="s">
        <v>1373</v>
      </c>
      <c r="B441" s="11" t="s">
        <v>153</v>
      </c>
      <c r="C441" s="11" t="str">
        <f aca="false">B441&amp;":"&amp;A441</f>
        <v>att_liquid_handler:tecan</v>
      </c>
      <c r="D441" s="11" t="s">
        <v>1373</v>
      </c>
      <c r="E441" s="11" t="s">
        <v>1374</v>
      </c>
      <c r="F441" s="11" t="s">
        <v>1375</v>
      </c>
    </row>
    <row r="442" customFormat="false" ht="12.8" hidden="false" customHeight="false" outlineLevel="0" collapsed="false">
      <c r="A442" s="11" t="s">
        <v>1376</v>
      </c>
      <c r="B442" s="11" t="s">
        <v>155</v>
      </c>
      <c r="C442" s="11" t="str">
        <f aca="false">B442&amp;":"&amp;A442</f>
        <v>att_lysis_buffer:one_sdc</v>
      </c>
      <c r="D442" s="14" t="s">
        <v>17</v>
      </c>
      <c r="E442" s="11" t="s">
        <v>1377</v>
      </c>
      <c r="F442" s="11" t="s">
        <v>1378</v>
      </c>
    </row>
    <row r="443" customFormat="false" ht="12.8" hidden="false" customHeight="false" outlineLevel="0" collapsed="false">
      <c r="A443" s="11" t="s">
        <v>1023</v>
      </c>
      <c r="B443" s="11" t="s">
        <v>155</v>
      </c>
      <c r="C443" s="11" t="str">
        <f aca="false">B443&amp;":"&amp;A443</f>
        <v>att_lysis_buffer:sds</v>
      </c>
      <c r="D443" s="14" t="s">
        <v>17</v>
      </c>
      <c r="E443" s="11" t="s">
        <v>1379</v>
      </c>
      <c r="F443" s="11" t="s">
        <v>1380</v>
      </c>
    </row>
    <row r="444" customFormat="false" ht="12.8" hidden="false" customHeight="false" outlineLevel="0" collapsed="false">
      <c r="A444" s="11" t="s">
        <v>1381</v>
      </c>
      <c r="B444" s="11" t="s">
        <v>155</v>
      </c>
      <c r="C444" s="11" t="str">
        <f aca="false">B444&amp;":"&amp;A444</f>
        <v>att_lysis_buffer:two_sdc</v>
      </c>
      <c r="D444" s="14" t="s">
        <v>17</v>
      </c>
      <c r="E444" s="11" t="s">
        <v>1382</v>
      </c>
      <c r="F444" s="11" t="s">
        <v>1383</v>
      </c>
    </row>
    <row r="445" customFormat="false" ht="12.8" hidden="false" customHeight="false" outlineLevel="0" collapsed="false">
      <c r="A445" s="11" t="s">
        <v>1384</v>
      </c>
      <c r="B445" s="11" t="s">
        <v>155</v>
      </c>
      <c r="C445" s="11" t="str">
        <f aca="false">B445&amp;":"&amp;A445</f>
        <v>att_lysis_buffer:urea</v>
      </c>
      <c r="D445" s="14" t="s">
        <v>17</v>
      </c>
      <c r="E445" s="11" t="s">
        <v>1385</v>
      </c>
      <c r="F445" s="11" t="s">
        <v>1386</v>
      </c>
    </row>
    <row r="446" customFormat="false" ht="12.8" hidden="false" customHeight="false" outlineLevel="0" collapsed="false">
      <c r="A446" s="11" t="s">
        <v>1387</v>
      </c>
      <c r="B446" s="11" t="s">
        <v>91</v>
      </c>
      <c r="C446" s="11" t="str">
        <f aca="false">B446&amp;":"&amp;A446</f>
        <v>att_lysis_method:dounce</v>
      </c>
      <c r="D446" s="14" t="s">
        <v>17</v>
      </c>
      <c r="E446" s="11" t="s">
        <v>1388</v>
      </c>
      <c r="F446" s="11" t="s">
        <v>1389</v>
      </c>
    </row>
    <row r="447" customFormat="false" ht="12.8" hidden="false" customHeight="false" outlineLevel="0" collapsed="false">
      <c r="A447" s="11" t="s">
        <v>1390</v>
      </c>
      <c r="B447" s="11" t="s">
        <v>91</v>
      </c>
      <c r="C447" s="11" t="str">
        <f aca="false">B447&amp;":"&amp;A447</f>
        <v>att_lysis_method:motar_pestle</v>
      </c>
      <c r="D447" s="14" t="s">
        <v>17</v>
      </c>
      <c r="E447" s="11" t="s">
        <v>1391</v>
      </c>
      <c r="F447" s="11" t="s">
        <v>1392</v>
      </c>
    </row>
    <row r="448" customFormat="false" ht="12.8" hidden="false" customHeight="false" outlineLevel="0" collapsed="false">
      <c r="A448" s="11" t="s">
        <v>1393</v>
      </c>
      <c r="B448" s="11" t="s">
        <v>91</v>
      </c>
      <c r="C448" s="11" t="str">
        <f aca="false">B448&amp;":"&amp;A448</f>
        <v>att_lysis_method:paracyllus</v>
      </c>
      <c r="D448" s="14" t="s">
        <v>17</v>
      </c>
      <c r="E448" s="11" t="s">
        <v>1394</v>
      </c>
      <c r="F448" s="11" t="s">
        <v>1395</v>
      </c>
    </row>
    <row r="449" customFormat="false" ht="12.8" hidden="false" customHeight="false" outlineLevel="0" collapsed="false">
      <c r="A449" s="11" t="s">
        <v>1396</v>
      </c>
      <c r="B449" s="11" t="s">
        <v>158</v>
      </c>
      <c r="C449" s="11" t="str">
        <f aca="false">B449&amp;":"&amp;A449</f>
        <v>att_metabolic_label:arg0</v>
      </c>
      <c r="D449" s="14" t="s">
        <v>17</v>
      </c>
      <c r="E449" s="11" t="s">
        <v>1397</v>
      </c>
      <c r="F449" s="11" t="s">
        <v>1398</v>
      </c>
    </row>
    <row r="450" customFormat="false" ht="12.8" hidden="false" customHeight="false" outlineLevel="0" collapsed="false">
      <c r="A450" s="11" t="s">
        <v>1399</v>
      </c>
      <c r="B450" s="11" t="s">
        <v>158</v>
      </c>
      <c r="C450" s="11" t="str">
        <f aca="false">B450&amp;":"&amp;A450</f>
        <v>att_metabolic_label:arg10</v>
      </c>
      <c r="D450" s="14" t="s">
        <v>17</v>
      </c>
      <c r="E450" s="11" t="s">
        <v>1400</v>
      </c>
      <c r="F450" s="11" t="s">
        <v>1401</v>
      </c>
    </row>
    <row r="451" customFormat="false" ht="12.8" hidden="false" customHeight="false" outlineLevel="0" collapsed="false">
      <c r="A451" s="11" t="s">
        <v>1402</v>
      </c>
      <c r="B451" s="11" t="s">
        <v>158</v>
      </c>
      <c r="C451" s="11" t="str">
        <f aca="false">B451&amp;":"&amp;A451</f>
        <v>att_metabolic_label:arg6</v>
      </c>
      <c r="D451" s="14" t="s">
        <v>17</v>
      </c>
      <c r="E451" s="11" t="s">
        <v>1403</v>
      </c>
      <c r="F451" s="11" t="s">
        <v>1404</v>
      </c>
    </row>
    <row r="452" customFormat="false" ht="12.8" hidden="false" customHeight="false" outlineLevel="0" collapsed="false">
      <c r="A452" s="11" t="s">
        <v>1405</v>
      </c>
      <c r="B452" s="11" t="s">
        <v>158</v>
      </c>
      <c r="C452" s="11" t="str">
        <f aca="false">B452&amp;":"&amp;A452</f>
        <v>att_metabolic_label:lys0</v>
      </c>
      <c r="D452" s="14" t="s">
        <v>17</v>
      </c>
      <c r="E452" s="11" t="s">
        <v>1406</v>
      </c>
      <c r="F452" s="14" t="s">
        <v>17</v>
      </c>
    </row>
    <row r="453" customFormat="false" ht="12.8" hidden="false" customHeight="false" outlineLevel="0" collapsed="false">
      <c r="A453" s="11" t="s">
        <v>1407</v>
      </c>
      <c r="B453" s="11" t="s">
        <v>158</v>
      </c>
      <c r="C453" s="11" t="str">
        <f aca="false">B453&amp;":"&amp;A453</f>
        <v>att_metabolic_label:lys4</v>
      </c>
      <c r="D453" s="14" t="s">
        <v>17</v>
      </c>
      <c r="E453" s="11" t="s">
        <v>1408</v>
      </c>
      <c r="F453" s="11" t="s">
        <v>1409</v>
      </c>
    </row>
    <row r="454" customFormat="false" ht="12.8" hidden="false" customHeight="false" outlineLevel="0" collapsed="false">
      <c r="A454" s="11" t="s">
        <v>1410</v>
      </c>
      <c r="B454" s="11" t="s">
        <v>158</v>
      </c>
      <c r="C454" s="11" t="str">
        <f aca="false">B454&amp;":"&amp;A454</f>
        <v>att_metabolic_label:lys6</v>
      </c>
      <c r="D454" s="14" t="s">
        <v>17</v>
      </c>
      <c r="E454" s="11" t="s">
        <v>1411</v>
      </c>
      <c r="F454" s="11" t="s">
        <v>1412</v>
      </c>
    </row>
    <row r="455" customFormat="false" ht="12.8" hidden="false" customHeight="false" outlineLevel="0" collapsed="false">
      <c r="A455" s="11" t="s">
        <v>1413</v>
      </c>
      <c r="B455" s="11" t="s">
        <v>158</v>
      </c>
      <c r="C455" s="11" t="str">
        <f aca="false">B455&amp;":"&amp;A455</f>
        <v>att_metabolic_label:lys8</v>
      </c>
      <c r="D455" s="14" t="s">
        <v>17</v>
      </c>
      <c r="E455" s="11" t="s">
        <v>1414</v>
      </c>
      <c r="F455" s="11" t="s">
        <v>1415</v>
      </c>
    </row>
    <row r="456" customFormat="false" ht="12.8" hidden="false" customHeight="false" outlineLevel="0" collapsed="false">
      <c r="A456" s="11" t="s">
        <v>1416</v>
      </c>
      <c r="B456" s="11" t="s">
        <v>160</v>
      </c>
      <c r="C456" s="11" t="str">
        <f aca="false">B456&amp;":"&amp;A456</f>
        <v>att_mitocarta_pathway:abc_transporters</v>
      </c>
      <c r="D456" s="14" t="s">
        <v>17</v>
      </c>
      <c r="E456" s="11" t="s">
        <v>1417</v>
      </c>
      <c r="F456" s="11" t="s">
        <v>1418</v>
      </c>
    </row>
    <row r="457" customFormat="false" ht="12.8" hidden="false" customHeight="false" outlineLevel="0" collapsed="false">
      <c r="A457" s="11" t="s">
        <v>1419</v>
      </c>
      <c r="B457" s="11" t="s">
        <v>160</v>
      </c>
      <c r="C457" s="11" t="str">
        <f aca="false">B457&amp;":"&amp;A457</f>
        <v>att_mitocarta_pathway:amidoxime_reducing_complex</v>
      </c>
      <c r="D457" s="14" t="s">
        <v>17</v>
      </c>
      <c r="E457" s="11" t="s">
        <v>1420</v>
      </c>
      <c r="F457" s="11" t="s">
        <v>1421</v>
      </c>
    </row>
    <row r="458" customFormat="false" ht="12.8" hidden="false" customHeight="false" outlineLevel="0" collapsed="false">
      <c r="A458" s="11" t="s">
        <v>1422</v>
      </c>
      <c r="B458" s="11" t="s">
        <v>160</v>
      </c>
      <c r="C458" s="11" t="str">
        <f aca="false">B458&amp;":"&amp;A458</f>
        <v>att_mitocarta_pathway:amino_acid_metabolism</v>
      </c>
      <c r="D458" s="14" t="s">
        <v>17</v>
      </c>
      <c r="E458" s="11" t="s">
        <v>1423</v>
      </c>
      <c r="F458" s="11" t="s">
        <v>1424</v>
      </c>
    </row>
    <row r="459" customFormat="false" ht="12.8" hidden="false" customHeight="false" outlineLevel="0" collapsed="false">
      <c r="A459" s="11" t="s">
        <v>1425</v>
      </c>
      <c r="B459" s="11" t="s">
        <v>160</v>
      </c>
      <c r="C459" s="11" t="str">
        <f aca="false">B459&amp;":"&amp;A459</f>
        <v>att_mitocarta_pathway:apoptosis</v>
      </c>
      <c r="D459" s="14" t="s">
        <v>17</v>
      </c>
      <c r="E459" s="11" t="s">
        <v>1426</v>
      </c>
      <c r="F459" s="11" t="s">
        <v>1427</v>
      </c>
    </row>
    <row r="460" customFormat="false" ht="12.8" hidden="false" customHeight="false" outlineLevel="0" collapsed="false">
      <c r="A460" s="11" t="s">
        <v>1428</v>
      </c>
      <c r="B460" s="11" t="s">
        <v>160</v>
      </c>
      <c r="C460" s="11" t="str">
        <f aca="false">B460&amp;":"&amp;A460</f>
        <v>att_mitocarta_pathway:autophagy</v>
      </c>
      <c r="D460" s="14" t="s">
        <v>17</v>
      </c>
      <c r="E460" s="11" t="s">
        <v>1429</v>
      </c>
      <c r="F460" s="11" t="s">
        <v>1430</v>
      </c>
    </row>
    <row r="461" customFormat="false" ht="12.8" hidden="false" customHeight="false" outlineLevel="0" collapsed="false">
      <c r="A461" s="11" t="s">
        <v>1431</v>
      </c>
      <c r="B461" s="11" t="s">
        <v>160</v>
      </c>
      <c r="C461" s="11" t="str">
        <f aca="false">B461&amp;":"&amp;A461</f>
        <v>att_mitocarta_pathway:biotin_utilizing_proteins</v>
      </c>
      <c r="D461" s="14" t="s">
        <v>17</v>
      </c>
      <c r="E461" s="11" t="s">
        <v>1432</v>
      </c>
      <c r="F461" s="11" t="s">
        <v>1433</v>
      </c>
    </row>
    <row r="462" customFormat="false" ht="12.8" hidden="false" customHeight="false" outlineLevel="0" collapsed="false">
      <c r="A462" s="11" t="s">
        <v>1434</v>
      </c>
      <c r="B462" s="11" t="s">
        <v>160</v>
      </c>
      <c r="C462" s="11" t="str">
        <f aca="false">B462&amp;":"&amp;A462</f>
        <v>att_mitocarta_pathway:branched_chain_amino_acid_dehydrogenase_complex</v>
      </c>
      <c r="D462" s="14" t="s">
        <v>17</v>
      </c>
      <c r="E462" s="11" t="s">
        <v>1435</v>
      </c>
      <c r="F462" s="11" t="s">
        <v>1436</v>
      </c>
    </row>
    <row r="463" customFormat="false" ht="12.8" hidden="false" customHeight="false" outlineLevel="0" collapsed="false">
      <c r="A463" s="11" t="s">
        <v>1437</v>
      </c>
      <c r="B463" s="11" t="s">
        <v>160</v>
      </c>
      <c r="C463" s="11" t="str">
        <f aca="false">B463&amp;":"&amp;A463</f>
        <v>att_mitocarta_pathway:branched_chain_amino_acid_metabolism</v>
      </c>
      <c r="D463" s="14" t="s">
        <v>17</v>
      </c>
      <c r="E463" s="11" t="s">
        <v>1438</v>
      </c>
      <c r="F463" s="11" t="s">
        <v>1439</v>
      </c>
    </row>
    <row r="464" customFormat="false" ht="12.8" hidden="false" customHeight="false" outlineLevel="0" collapsed="false">
      <c r="A464" s="11" t="s">
        <v>1440</v>
      </c>
      <c r="B464" s="11" t="s">
        <v>160</v>
      </c>
      <c r="C464" s="11" t="str">
        <f aca="false">B464&amp;":"&amp;A464</f>
        <v>att_mitocarta_pathway:calcium_cycle</v>
      </c>
      <c r="D464" s="14" t="s">
        <v>17</v>
      </c>
      <c r="E464" s="11" t="s">
        <v>1441</v>
      </c>
      <c r="F464" s="11" t="s">
        <v>1442</v>
      </c>
    </row>
    <row r="465" customFormat="false" ht="12.8" hidden="false" customHeight="false" outlineLevel="0" collapsed="false">
      <c r="A465" s="11" t="s">
        <v>1443</v>
      </c>
      <c r="B465" s="11" t="s">
        <v>160</v>
      </c>
      <c r="C465" s="11" t="str">
        <f aca="false">B465&amp;":"&amp;A465</f>
        <v>att_mitocarta_pathway:calcium_homeostasis</v>
      </c>
      <c r="D465" s="14" t="s">
        <v>17</v>
      </c>
      <c r="E465" s="11" t="s">
        <v>1444</v>
      </c>
      <c r="F465" s="11" t="s">
        <v>1445</v>
      </c>
    </row>
    <row r="466" customFormat="false" ht="12.8" hidden="false" customHeight="false" outlineLevel="0" collapsed="false">
      <c r="A466" s="11" t="s">
        <v>1446</v>
      </c>
      <c r="B466" s="11" t="s">
        <v>160</v>
      </c>
      <c r="C466" s="11" t="str">
        <f aca="false">B466&amp;":"&amp;A466</f>
        <v>att_mitocarta_pathway:calcium_uniporter</v>
      </c>
      <c r="D466" s="14" t="s">
        <v>17</v>
      </c>
      <c r="E466" s="11" t="s">
        <v>1447</v>
      </c>
      <c r="F466" s="11" t="s">
        <v>1448</v>
      </c>
    </row>
    <row r="467" customFormat="false" ht="12.8" hidden="false" customHeight="false" outlineLevel="0" collapsed="false">
      <c r="A467" s="11" t="s">
        <v>1449</v>
      </c>
      <c r="B467" s="11" t="s">
        <v>160</v>
      </c>
      <c r="C467" s="11" t="str">
        <f aca="false">B467&amp;":"&amp;A467</f>
        <v>att_mitocarta_pathway:camp_pka_signaling</v>
      </c>
      <c r="D467" s="14" t="s">
        <v>17</v>
      </c>
      <c r="E467" s="11" t="s">
        <v>1450</v>
      </c>
      <c r="F467" s="11" t="s">
        <v>1451</v>
      </c>
    </row>
    <row r="468" customFormat="false" ht="12.8" hidden="false" customHeight="false" outlineLevel="0" collapsed="false">
      <c r="A468" s="11" t="s">
        <v>1452</v>
      </c>
      <c r="B468" s="11" t="s">
        <v>160</v>
      </c>
      <c r="C468" s="11" t="str">
        <f aca="false">B468&amp;":"&amp;A468</f>
        <v>att_mitocarta_pathway:carbohydrate_metabolism</v>
      </c>
      <c r="D468" s="14" t="s">
        <v>17</v>
      </c>
      <c r="E468" s="11" t="s">
        <v>1453</v>
      </c>
      <c r="F468" s="11" t="s">
        <v>1454</v>
      </c>
    </row>
    <row r="469" customFormat="false" ht="12.8" hidden="false" customHeight="false" outlineLevel="0" collapsed="false">
      <c r="A469" s="11" t="s">
        <v>1455</v>
      </c>
      <c r="B469" s="11" t="s">
        <v>160</v>
      </c>
      <c r="C469" s="11" t="str">
        <f aca="false">B469&amp;":"&amp;A469</f>
        <v>att_mitocarta_pathway:cardiolipin_synthesis</v>
      </c>
      <c r="D469" s="14" t="s">
        <v>17</v>
      </c>
      <c r="E469" s="11" t="s">
        <v>1456</v>
      </c>
      <c r="F469" s="11" t="s">
        <v>1457</v>
      </c>
    </row>
    <row r="470" customFormat="false" ht="12.8" hidden="false" customHeight="false" outlineLevel="0" collapsed="false">
      <c r="A470" s="11" t="s">
        <v>1458</v>
      </c>
      <c r="B470" s="11" t="s">
        <v>160</v>
      </c>
      <c r="C470" s="11" t="str">
        <f aca="false">B470&amp;":"&amp;A470</f>
        <v>att_mitocarta_pathway:carnitine_shuttle</v>
      </c>
      <c r="D470" s="14" t="s">
        <v>17</v>
      </c>
      <c r="E470" s="11" t="s">
        <v>1459</v>
      </c>
      <c r="F470" s="11" t="s">
        <v>1460</v>
      </c>
    </row>
    <row r="471" customFormat="false" ht="12.8" hidden="false" customHeight="false" outlineLevel="0" collapsed="false">
      <c r="A471" s="11" t="s">
        <v>1461</v>
      </c>
      <c r="B471" s="11" t="s">
        <v>160</v>
      </c>
      <c r="C471" s="11" t="str">
        <f aca="false">B471&amp;":"&amp;A471</f>
        <v>att_mitocarta_pathway:carnitine_synthesis_and_transport</v>
      </c>
      <c r="D471" s="14" t="s">
        <v>17</v>
      </c>
      <c r="E471" s="11" t="s">
        <v>1462</v>
      </c>
      <c r="F471" s="11" t="s">
        <v>1463</v>
      </c>
    </row>
    <row r="472" customFormat="false" ht="12.8" hidden="false" customHeight="false" outlineLevel="0" collapsed="false">
      <c r="A472" s="11" t="s">
        <v>1464</v>
      </c>
      <c r="B472" s="11" t="s">
        <v>160</v>
      </c>
      <c r="C472" s="11" t="str">
        <f aca="false">B472&amp;":"&amp;A472</f>
        <v>att_mitocarta_pathway:catechol_metabolism</v>
      </c>
      <c r="D472" s="14" t="s">
        <v>17</v>
      </c>
      <c r="E472" s="11" t="s">
        <v>1465</v>
      </c>
      <c r="F472" s="11" t="s">
        <v>1466</v>
      </c>
    </row>
    <row r="473" customFormat="false" ht="12.8" hidden="false" customHeight="false" outlineLevel="0" collapsed="false">
      <c r="A473" s="11" t="s">
        <v>1467</v>
      </c>
      <c r="B473" s="11" t="s">
        <v>160</v>
      </c>
      <c r="C473" s="11" t="str">
        <f aca="false">B473&amp;":"&amp;A473</f>
        <v>att_mitocarta_pathway:chaperones</v>
      </c>
      <c r="D473" s="14" t="s">
        <v>17</v>
      </c>
      <c r="E473" s="11" t="s">
        <v>1468</v>
      </c>
      <c r="F473" s="11" t="s">
        <v>1469</v>
      </c>
    </row>
    <row r="474" customFormat="false" ht="12.8" hidden="false" customHeight="false" outlineLevel="0" collapsed="false">
      <c r="A474" s="11" t="s">
        <v>1470</v>
      </c>
      <c r="B474" s="11" t="s">
        <v>160</v>
      </c>
      <c r="C474" s="11" t="str">
        <f aca="false">B474&amp;":"&amp;A474</f>
        <v>att_mitocarta_pathway:cholesterol_associated</v>
      </c>
      <c r="D474" s="14" t="s">
        <v>17</v>
      </c>
      <c r="E474" s="11" t="s">
        <v>1471</v>
      </c>
      <c r="F474" s="11" t="s">
        <v>1472</v>
      </c>
    </row>
    <row r="475" customFormat="false" ht="12.8" hidden="false" customHeight="false" outlineLevel="0" collapsed="false">
      <c r="A475" s="11" t="s">
        <v>1473</v>
      </c>
      <c r="B475" s="11" t="s">
        <v>160</v>
      </c>
      <c r="C475" s="11" t="str">
        <f aca="false">B475&amp;":"&amp;A475</f>
        <v>att_mitocarta_pathway:choline_and_betaine_metabolism</v>
      </c>
      <c r="D475" s="14" t="s">
        <v>17</v>
      </c>
      <c r="E475" s="11" t="s">
        <v>1474</v>
      </c>
      <c r="F475" s="11" t="s">
        <v>1475</v>
      </c>
    </row>
    <row r="476" customFormat="false" ht="12.8" hidden="false" customHeight="false" outlineLevel="0" collapsed="false">
      <c r="A476" s="11" t="s">
        <v>1476</v>
      </c>
      <c r="B476" s="11" t="s">
        <v>160</v>
      </c>
      <c r="C476" s="11" t="str">
        <f aca="false">B476&amp;":"&amp;A476</f>
        <v>att_mitocarta_pathway:ci_assembly_factors</v>
      </c>
      <c r="D476" s="14" t="s">
        <v>17</v>
      </c>
      <c r="E476" s="11" t="s">
        <v>1477</v>
      </c>
      <c r="F476" s="11" t="s">
        <v>1478</v>
      </c>
    </row>
    <row r="477" customFormat="false" ht="12.8" hidden="false" customHeight="false" outlineLevel="0" collapsed="false">
      <c r="A477" s="11" t="s">
        <v>1479</v>
      </c>
      <c r="B477" s="11" t="s">
        <v>160</v>
      </c>
      <c r="C477" s="11" t="str">
        <f aca="false">B477&amp;":"&amp;A477</f>
        <v>att_mitocarta_pathway:ci_subunits</v>
      </c>
      <c r="D477" s="14" t="s">
        <v>17</v>
      </c>
      <c r="E477" s="11" t="s">
        <v>1480</v>
      </c>
      <c r="F477" s="11" t="s">
        <v>1481</v>
      </c>
    </row>
    <row r="478" customFormat="false" ht="12.8" hidden="false" customHeight="false" outlineLevel="0" collapsed="false">
      <c r="A478" s="11" t="s">
        <v>1482</v>
      </c>
      <c r="B478" s="11" t="s">
        <v>160</v>
      </c>
      <c r="C478" s="11" t="str">
        <f aca="false">B478&amp;":"&amp;A478</f>
        <v>att_mitocarta_pathway:cii_assembly_factors</v>
      </c>
      <c r="D478" s="14" t="s">
        <v>17</v>
      </c>
      <c r="E478" s="11" t="s">
        <v>1483</v>
      </c>
      <c r="F478" s="11" t="s">
        <v>1484</v>
      </c>
    </row>
    <row r="479" customFormat="false" ht="12.8" hidden="false" customHeight="false" outlineLevel="0" collapsed="false">
      <c r="A479" s="11" t="s">
        <v>1485</v>
      </c>
      <c r="B479" s="11" t="s">
        <v>160</v>
      </c>
      <c r="C479" s="11" t="str">
        <f aca="false">B479&amp;":"&amp;A479</f>
        <v>att_mitocarta_pathway:cii_subunits</v>
      </c>
      <c r="D479" s="14" t="s">
        <v>17</v>
      </c>
      <c r="E479" s="11" t="s">
        <v>1486</v>
      </c>
      <c r="F479" s="11" t="s">
        <v>1487</v>
      </c>
    </row>
    <row r="480" customFormat="false" ht="12.8" hidden="false" customHeight="false" outlineLevel="0" collapsed="false">
      <c r="A480" s="11" t="s">
        <v>1488</v>
      </c>
      <c r="B480" s="11" t="s">
        <v>160</v>
      </c>
      <c r="C480" s="11" t="str">
        <f aca="false">B480&amp;":"&amp;A480</f>
        <v>att_mitocarta_pathway:ciii_assembly_factors</v>
      </c>
      <c r="D480" s="14" t="s">
        <v>17</v>
      </c>
      <c r="E480" s="11" t="s">
        <v>1489</v>
      </c>
      <c r="F480" s="11" t="s">
        <v>1490</v>
      </c>
    </row>
    <row r="481" customFormat="false" ht="12.8" hidden="false" customHeight="false" outlineLevel="0" collapsed="false">
      <c r="A481" s="11" t="s">
        <v>1491</v>
      </c>
      <c r="B481" s="11" t="s">
        <v>160</v>
      </c>
      <c r="C481" s="11" t="str">
        <f aca="false">B481&amp;":"&amp;A481</f>
        <v>att_mitocarta_pathway:ciii_subunits</v>
      </c>
      <c r="D481" s="14" t="s">
        <v>17</v>
      </c>
      <c r="E481" s="11" t="s">
        <v>1492</v>
      </c>
      <c r="F481" s="11" t="s">
        <v>1493</v>
      </c>
    </row>
    <row r="482" customFormat="false" ht="12.8" hidden="false" customHeight="false" outlineLevel="0" collapsed="false">
      <c r="A482" s="11" t="s">
        <v>1494</v>
      </c>
      <c r="B482" s="11" t="s">
        <v>160</v>
      </c>
      <c r="C482" s="11" t="str">
        <f aca="false">B482&amp;":"&amp;A482</f>
        <v>att_mitocarta_pathway:civ_assembly_factors</v>
      </c>
      <c r="D482" s="14" t="s">
        <v>17</v>
      </c>
      <c r="E482" s="11" t="s">
        <v>1495</v>
      </c>
      <c r="F482" s="11" t="s">
        <v>1496</v>
      </c>
    </row>
    <row r="483" customFormat="false" ht="12.8" hidden="false" customHeight="false" outlineLevel="0" collapsed="false">
      <c r="A483" s="11" t="s">
        <v>1497</v>
      </c>
      <c r="B483" s="11" t="s">
        <v>160</v>
      </c>
      <c r="C483" s="11" t="str">
        <f aca="false">B483&amp;":"&amp;A483</f>
        <v>att_mitocarta_pathway:civ_subunits</v>
      </c>
      <c r="D483" s="14" t="s">
        <v>17</v>
      </c>
      <c r="E483" s="11" t="s">
        <v>1498</v>
      </c>
      <c r="F483" s="11" t="s">
        <v>1499</v>
      </c>
    </row>
    <row r="484" customFormat="false" ht="12.8" hidden="false" customHeight="false" outlineLevel="0" collapsed="false">
      <c r="A484" s="11" t="s">
        <v>1500</v>
      </c>
      <c r="B484" s="11" t="s">
        <v>160</v>
      </c>
      <c r="C484" s="11" t="str">
        <f aca="false">B484&amp;":"&amp;A484</f>
        <v>att_mitocarta_pathway:coenzyme_a_metabolism</v>
      </c>
      <c r="D484" s="14" t="s">
        <v>17</v>
      </c>
      <c r="E484" s="11" t="s">
        <v>1501</v>
      </c>
      <c r="F484" s="11" t="s">
        <v>1502</v>
      </c>
    </row>
    <row r="485" customFormat="false" ht="12.8" hidden="false" customHeight="false" outlineLevel="0" collapsed="false">
      <c r="A485" s="11" t="s">
        <v>1503</v>
      </c>
      <c r="B485" s="11" t="s">
        <v>160</v>
      </c>
      <c r="C485" s="11" t="str">
        <f aca="false">B485&amp;":"&amp;A485</f>
        <v>att_mitocarta_pathway:coenzyme_q_metabolism</v>
      </c>
      <c r="D485" s="14" t="s">
        <v>17</v>
      </c>
      <c r="E485" s="11" t="s">
        <v>1504</v>
      </c>
      <c r="F485" s="11" t="s">
        <v>1505</v>
      </c>
    </row>
    <row r="486" customFormat="false" ht="12.8" hidden="false" customHeight="false" outlineLevel="0" collapsed="false">
      <c r="A486" s="11" t="s">
        <v>1506</v>
      </c>
      <c r="B486" s="11" t="s">
        <v>160</v>
      </c>
      <c r="C486" s="11" t="str">
        <f aca="false">B486&amp;":"&amp;A486</f>
        <v>att_mitocarta_pathway:complex_i</v>
      </c>
      <c r="D486" s="14" t="s">
        <v>17</v>
      </c>
      <c r="E486" s="11" t="s">
        <v>1507</v>
      </c>
      <c r="F486" s="11" t="s">
        <v>1508</v>
      </c>
    </row>
    <row r="487" customFormat="false" ht="12.8" hidden="false" customHeight="false" outlineLevel="0" collapsed="false">
      <c r="A487" s="11" t="s">
        <v>1509</v>
      </c>
      <c r="B487" s="11" t="s">
        <v>160</v>
      </c>
      <c r="C487" s="11" t="str">
        <f aca="false">B487&amp;":"&amp;A487</f>
        <v>att_mitocarta_pathway:complex_ii</v>
      </c>
      <c r="D487" s="14" t="s">
        <v>17</v>
      </c>
      <c r="E487" s="11" t="s">
        <v>1510</v>
      </c>
      <c r="F487" s="11" t="s">
        <v>1511</v>
      </c>
    </row>
    <row r="488" customFormat="false" ht="12.8" hidden="false" customHeight="false" outlineLevel="0" collapsed="false">
      <c r="A488" s="11" t="s">
        <v>1512</v>
      </c>
      <c r="B488" s="11" t="s">
        <v>160</v>
      </c>
      <c r="C488" s="11" t="str">
        <f aca="false">B488&amp;":"&amp;A488</f>
        <v>att_mitocarta_pathway:complex_iii</v>
      </c>
      <c r="D488" s="14" t="s">
        <v>17</v>
      </c>
      <c r="E488" s="11" t="s">
        <v>1513</v>
      </c>
      <c r="F488" s="11" t="s">
        <v>1514</v>
      </c>
    </row>
    <row r="489" customFormat="false" ht="12.8" hidden="false" customHeight="false" outlineLevel="0" collapsed="false">
      <c r="A489" s="11" t="s">
        <v>1515</v>
      </c>
      <c r="B489" s="11" t="s">
        <v>160</v>
      </c>
      <c r="C489" s="11" t="str">
        <f aca="false">B489&amp;":"&amp;A489</f>
        <v>att_mitocarta_pathway:complex_iv</v>
      </c>
      <c r="D489" s="14" t="s">
        <v>17</v>
      </c>
      <c r="E489" s="11" t="s">
        <v>1516</v>
      </c>
      <c r="F489" s="11" t="s">
        <v>1517</v>
      </c>
    </row>
    <row r="490" customFormat="false" ht="12.8" hidden="false" customHeight="false" outlineLevel="0" collapsed="false">
      <c r="A490" s="11" t="s">
        <v>1518</v>
      </c>
      <c r="B490" s="11" t="s">
        <v>160</v>
      </c>
      <c r="C490" s="11" t="str">
        <f aca="false">B490&amp;":"&amp;A490</f>
        <v>att_mitocarta_pathway:complex_v</v>
      </c>
      <c r="D490" s="14" t="s">
        <v>17</v>
      </c>
      <c r="E490" s="11" t="s">
        <v>1519</v>
      </c>
      <c r="F490" s="11" t="s">
        <v>1520</v>
      </c>
    </row>
    <row r="491" customFormat="false" ht="12.8" hidden="false" customHeight="false" outlineLevel="0" collapsed="false">
      <c r="A491" s="11" t="s">
        <v>1521</v>
      </c>
      <c r="B491" s="11" t="s">
        <v>160</v>
      </c>
      <c r="C491" s="11" t="str">
        <f aca="false">B491&amp;":"&amp;A491</f>
        <v>att_mitocarta_pathway:copper_metabolism</v>
      </c>
      <c r="D491" s="14" t="s">
        <v>17</v>
      </c>
      <c r="E491" s="11" t="s">
        <v>1522</v>
      </c>
      <c r="F491" s="11" t="s">
        <v>1523</v>
      </c>
    </row>
    <row r="492" customFormat="false" ht="12.8" hidden="false" customHeight="false" outlineLevel="0" collapsed="false">
      <c r="A492" s="11" t="s">
        <v>1524</v>
      </c>
      <c r="B492" s="11" t="s">
        <v>160</v>
      </c>
      <c r="C492" s="11" t="str">
        <f aca="false">B492&amp;":"&amp;A492</f>
        <v>att_mitocarta_pathway:creatine_metabolism</v>
      </c>
      <c r="D492" s="14" t="s">
        <v>17</v>
      </c>
      <c r="E492" s="11" t="s">
        <v>1525</v>
      </c>
      <c r="F492" s="11" t="s">
        <v>1526</v>
      </c>
    </row>
    <row r="493" customFormat="false" ht="12.8" hidden="false" customHeight="false" outlineLevel="0" collapsed="false">
      <c r="A493" s="11" t="s">
        <v>1527</v>
      </c>
      <c r="B493" s="11" t="s">
        <v>160</v>
      </c>
      <c r="C493" s="11" t="str">
        <f aca="false">B493&amp;":"&amp;A493</f>
        <v>att_mitocarta_pathway:cristae_formation</v>
      </c>
      <c r="D493" s="14" t="s">
        <v>17</v>
      </c>
      <c r="E493" s="11" t="s">
        <v>1528</v>
      </c>
      <c r="F493" s="11" t="s">
        <v>1529</v>
      </c>
    </row>
    <row r="494" customFormat="false" ht="12.8" hidden="false" customHeight="false" outlineLevel="0" collapsed="false">
      <c r="A494" s="11" t="s">
        <v>1530</v>
      </c>
      <c r="B494" s="11" t="s">
        <v>160</v>
      </c>
      <c r="C494" s="11" t="str">
        <f aca="false">B494&amp;":"&amp;A494</f>
        <v>att_mitocarta_pathway:cv_assembly_factors</v>
      </c>
      <c r="D494" s="14" t="s">
        <v>17</v>
      </c>
      <c r="E494" s="11" t="s">
        <v>1531</v>
      </c>
      <c r="F494" s="11" t="s">
        <v>1532</v>
      </c>
    </row>
    <row r="495" customFormat="false" ht="12.8" hidden="false" customHeight="false" outlineLevel="0" collapsed="false">
      <c r="A495" s="11" t="s">
        <v>1533</v>
      </c>
      <c r="B495" s="11" t="s">
        <v>160</v>
      </c>
      <c r="C495" s="11" t="str">
        <f aca="false">B495&amp;":"&amp;A495</f>
        <v>att_mitocarta_pathway:cv_subunits</v>
      </c>
      <c r="D495" s="14" t="s">
        <v>17</v>
      </c>
      <c r="E495" s="11" t="s">
        <v>1534</v>
      </c>
      <c r="F495" s="11" t="s">
        <v>1535</v>
      </c>
    </row>
    <row r="496" customFormat="false" ht="12.8" hidden="false" customHeight="false" outlineLevel="0" collapsed="false">
      <c r="A496" s="11" t="s">
        <v>1536</v>
      </c>
      <c r="B496" s="11" t="s">
        <v>160</v>
      </c>
      <c r="C496" s="11" t="str">
        <f aca="false">B496&amp;":"&amp;A496</f>
        <v>att_mitocarta_pathway:cytochrome_c</v>
      </c>
      <c r="D496" s="14" t="s">
        <v>17</v>
      </c>
      <c r="E496" s="11" t="s">
        <v>1537</v>
      </c>
      <c r="F496" s="11" t="s">
        <v>1538</v>
      </c>
    </row>
    <row r="497" customFormat="false" ht="12.8" hidden="false" customHeight="false" outlineLevel="0" collapsed="false">
      <c r="A497" s="11" t="s">
        <v>1539</v>
      </c>
      <c r="B497" s="11" t="s">
        <v>160</v>
      </c>
      <c r="C497" s="11" t="str">
        <f aca="false">B497&amp;":"&amp;A497</f>
        <v>att_mitocarta_pathway:cytochromes</v>
      </c>
      <c r="D497" s="14" t="s">
        <v>17</v>
      </c>
      <c r="E497" s="11" t="s">
        <v>1540</v>
      </c>
      <c r="F497" s="11" t="s">
        <v>1541</v>
      </c>
    </row>
    <row r="498" customFormat="false" ht="12.8" hidden="false" customHeight="false" outlineLevel="0" collapsed="false">
      <c r="A498" s="11" t="s">
        <v>1542</v>
      </c>
      <c r="B498" s="11" t="s">
        <v>160</v>
      </c>
      <c r="C498" s="11" t="str">
        <f aca="false">B498&amp;":"&amp;A498</f>
        <v>att_mitocarta_pathway:detoxification</v>
      </c>
      <c r="D498" s="14" t="s">
        <v>17</v>
      </c>
      <c r="E498" s="11" t="s">
        <v>1543</v>
      </c>
      <c r="F498" s="11" t="s">
        <v>1544</v>
      </c>
    </row>
    <row r="499" customFormat="false" ht="12.8" hidden="false" customHeight="false" outlineLevel="0" collapsed="false">
      <c r="A499" s="11" t="s">
        <v>1545</v>
      </c>
      <c r="B499" s="11" t="s">
        <v>160</v>
      </c>
      <c r="C499" s="11" t="str">
        <f aca="false">B499&amp;":"&amp;A499</f>
        <v>att_mitocarta_pathway:ef_hand_proteins</v>
      </c>
      <c r="D499" s="14" t="s">
        <v>17</v>
      </c>
      <c r="E499" s="11" t="s">
        <v>1546</v>
      </c>
      <c r="F499" s="11" t="s">
        <v>1547</v>
      </c>
    </row>
    <row r="500" customFormat="false" ht="12.8" hidden="false" customHeight="false" outlineLevel="0" collapsed="false">
      <c r="A500" s="11" t="s">
        <v>1548</v>
      </c>
      <c r="B500" s="11" t="s">
        <v>160</v>
      </c>
      <c r="C500" s="11" t="str">
        <f aca="false">B500&amp;":"&amp;A500</f>
        <v>att_mitocarta_pathway:eicosanoid_metabolism</v>
      </c>
      <c r="D500" s="14" t="s">
        <v>17</v>
      </c>
      <c r="E500" s="11" t="s">
        <v>1549</v>
      </c>
      <c r="F500" s="11" t="s">
        <v>1550</v>
      </c>
    </row>
    <row r="501" customFormat="false" ht="12.8" hidden="false" customHeight="false" outlineLevel="0" collapsed="false">
      <c r="A501" s="11" t="s">
        <v>1551</v>
      </c>
      <c r="B501" s="11" t="s">
        <v>160</v>
      </c>
      <c r="C501" s="11" t="str">
        <f aca="false">B501&amp;":"&amp;A501</f>
        <v>att_mitocarta_pathway:electron_carriers</v>
      </c>
      <c r="D501" s="14" t="s">
        <v>17</v>
      </c>
      <c r="E501" s="11" t="s">
        <v>1552</v>
      </c>
      <c r="F501" s="11" t="s">
        <v>1553</v>
      </c>
    </row>
    <row r="502" customFormat="false" ht="12.8" hidden="false" customHeight="false" outlineLevel="0" collapsed="false">
      <c r="A502" s="11" t="s">
        <v>1554</v>
      </c>
      <c r="B502" s="11" t="s">
        <v>160</v>
      </c>
      <c r="C502" s="11" t="str">
        <f aca="false">B502&amp;":"&amp;A502</f>
        <v>att_mitocarta_pathway:fatty_acid_oxidation</v>
      </c>
      <c r="D502" s="14" t="s">
        <v>17</v>
      </c>
      <c r="E502" s="11" t="s">
        <v>1555</v>
      </c>
      <c r="F502" s="11" t="s">
        <v>1556</v>
      </c>
    </row>
    <row r="503" customFormat="false" ht="12.8" hidden="false" customHeight="false" outlineLevel="0" collapsed="false">
      <c r="A503" s="11" t="s">
        <v>1557</v>
      </c>
      <c r="B503" s="11" t="s">
        <v>160</v>
      </c>
      <c r="C503" s="11" t="str">
        <f aca="false">B503&amp;":"&amp;A503</f>
        <v>att_mitocarta_pathway:fe_s_cluster_biosynthesis</v>
      </c>
      <c r="D503" s="14" t="s">
        <v>17</v>
      </c>
      <c r="E503" s="11" t="s">
        <v>1558</v>
      </c>
      <c r="F503" s="11" t="s">
        <v>1559</v>
      </c>
    </row>
    <row r="504" customFormat="false" ht="12.8" hidden="false" customHeight="false" outlineLevel="0" collapsed="false">
      <c r="A504" s="11" t="s">
        <v>1560</v>
      </c>
      <c r="B504" s="11" t="s">
        <v>160</v>
      </c>
      <c r="C504" s="11" t="str">
        <f aca="false">B504&amp;":"&amp;A504</f>
        <v>att_mitocarta_pathway:fe_s_containing_proteins</v>
      </c>
      <c r="D504" s="14" t="s">
        <v>17</v>
      </c>
      <c r="E504" s="11" t="s">
        <v>1561</v>
      </c>
      <c r="F504" s="11" t="s">
        <v>1562</v>
      </c>
    </row>
    <row r="505" customFormat="false" ht="12.8" hidden="false" customHeight="false" outlineLevel="0" collapsed="false">
      <c r="A505" s="11" t="s">
        <v>1563</v>
      </c>
      <c r="B505" s="11" t="s">
        <v>160</v>
      </c>
      <c r="C505" s="11" t="str">
        <f aca="false">B505&amp;":"&amp;A505</f>
        <v>att_mitocarta_pathway:fission</v>
      </c>
      <c r="D505" s="14" t="s">
        <v>17</v>
      </c>
      <c r="E505" s="11" t="s">
        <v>1564</v>
      </c>
      <c r="F505" s="11" t="s">
        <v>1565</v>
      </c>
    </row>
    <row r="506" customFormat="false" ht="12.8" hidden="false" customHeight="false" outlineLevel="0" collapsed="false">
      <c r="A506" s="11" t="s">
        <v>1566</v>
      </c>
      <c r="B506" s="11" t="s">
        <v>160</v>
      </c>
      <c r="C506" s="11" t="str">
        <f aca="false">B506&amp;":"&amp;A506</f>
        <v>att_mitocarta_pathway:fmet_processing</v>
      </c>
      <c r="D506" s="14" t="s">
        <v>17</v>
      </c>
      <c r="E506" s="11" t="s">
        <v>1567</v>
      </c>
      <c r="F506" s="11" t="s">
        <v>1568</v>
      </c>
    </row>
    <row r="507" customFormat="false" ht="12.8" hidden="false" customHeight="false" outlineLevel="0" collapsed="false">
      <c r="A507" s="11" t="s">
        <v>1569</v>
      </c>
      <c r="B507" s="11" t="s">
        <v>160</v>
      </c>
      <c r="C507" s="11" t="str">
        <f aca="false">B507&amp;":"&amp;A507</f>
        <v>att_mitocarta_pathway:folate_and_1_c_metabolism</v>
      </c>
      <c r="D507" s="14" t="s">
        <v>17</v>
      </c>
      <c r="E507" s="11" t="s">
        <v>1570</v>
      </c>
      <c r="F507" s="11" t="s">
        <v>1571</v>
      </c>
    </row>
    <row r="508" customFormat="false" ht="12.8" hidden="false" customHeight="false" outlineLevel="0" collapsed="false">
      <c r="A508" s="11" t="s">
        <v>1572</v>
      </c>
      <c r="B508" s="11" t="s">
        <v>160</v>
      </c>
      <c r="C508" s="11" t="str">
        <f aca="false">B508&amp;":"&amp;A508</f>
        <v>att_mitocarta_pathway:fusion</v>
      </c>
      <c r="D508" s="14" t="s">
        <v>17</v>
      </c>
      <c r="E508" s="11" t="s">
        <v>1573</v>
      </c>
      <c r="F508" s="11" t="s">
        <v>1574</v>
      </c>
    </row>
    <row r="509" customFormat="false" ht="12.8" hidden="false" customHeight="false" outlineLevel="0" collapsed="false">
      <c r="A509" s="11" t="s">
        <v>1575</v>
      </c>
      <c r="B509" s="11" t="s">
        <v>160</v>
      </c>
      <c r="C509" s="11" t="str">
        <f aca="false">B509&amp;":"&amp;A509</f>
        <v>att_mitocarta_pathway:gaba_metabolism</v>
      </c>
      <c r="D509" s="14" t="s">
        <v>17</v>
      </c>
      <c r="E509" s="11" t="s">
        <v>1576</v>
      </c>
      <c r="F509" s="11" t="s">
        <v>1577</v>
      </c>
    </row>
    <row r="510" customFormat="false" ht="12.8" hidden="false" customHeight="false" outlineLevel="0" collapsed="false">
      <c r="A510" s="11" t="s">
        <v>1578</v>
      </c>
      <c r="B510" s="11" t="s">
        <v>160</v>
      </c>
      <c r="C510" s="11" t="str">
        <f aca="false">B510&amp;":"&amp;A510</f>
        <v>att_mitocarta_pathway:gluconeogenesis</v>
      </c>
      <c r="D510" s="14" t="s">
        <v>17</v>
      </c>
      <c r="E510" s="11" t="s">
        <v>1579</v>
      </c>
      <c r="F510" s="11" t="s">
        <v>1580</v>
      </c>
    </row>
    <row r="511" customFormat="false" ht="12.8" hidden="false" customHeight="false" outlineLevel="0" collapsed="false">
      <c r="A511" s="11" t="s">
        <v>1581</v>
      </c>
      <c r="B511" s="11" t="s">
        <v>160</v>
      </c>
      <c r="C511" s="11" t="str">
        <f aca="false">B511&amp;":"&amp;A511</f>
        <v>att_mitocarta_pathway:glutamate_metabolism</v>
      </c>
      <c r="D511" s="14" t="s">
        <v>17</v>
      </c>
      <c r="E511" s="11" t="s">
        <v>1582</v>
      </c>
      <c r="F511" s="11" t="s">
        <v>1583</v>
      </c>
    </row>
    <row r="512" customFormat="false" ht="12.8" hidden="false" customHeight="false" outlineLevel="0" collapsed="false">
      <c r="A512" s="11" t="s">
        <v>1584</v>
      </c>
      <c r="B512" s="11" t="s">
        <v>160</v>
      </c>
      <c r="C512" s="11" t="str">
        <f aca="false">B512&amp;":"&amp;A512</f>
        <v>att_mitocarta_pathway:glycerol_phosphate_shuttle</v>
      </c>
      <c r="D512" s="14" t="s">
        <v>17</v>
      </c>
      <c r="E512" s="11" t="s">
        <v>1585</v>
      </c>
      <c r="F512" s="11" t="s">
        <v>1586</v>
      </c>
    </row>
    <row r="513" customFormat="false" ht="12.8" hidden="false" customHeight="false" outlineLevel="0" collapsed="false">
      <c r="A513" s="11" t="s">
        <v>1587</v>
      </c>
      <c r="B513" s="11" t="s">
        <v>160</v>
      </c>
      <c r="C513" s="11" t="str">
        <f aca="false">B513&amp;":"&amp;A513</f>
        <v>att_mitocarta_pathway:glycine_cleavage_system</v>
      </c>
      <c r="D513" s="14" t="s">
        <v>17</v>
      </c>
      <c r="E513" s="11" t="s">
        <v>1588</v>
      </c>
      <c r="F513" s="11" t="s">
        <v>1589</v>
      </c>
    </row>
    <row r="514" customFormat="false" ht="12.8" hidden="false" customHeight="false" outlineLevel="0" collapsed="false">
      <c r="A514" s="11" t="s">
        <v>1590</v>
      </c>
      <c r="B514" s="11" t="s">
        <v>160</v>
      </c>
      <c r="C514" s="11" t="str">
        <f aca="false">B514&amp;":"&amp;A514</f>
        <v>att_mitocarta_pathway:glycine_metabolism</v>
      </c>
      <c r="D514" s="14" t="s">
        <v>17</v>
      </c>
      <c r="E514" s="11" t="s">
        <v>1591</v>
      </c>
      <c r="F514" s="11" t="s">
        <v>1592</v>
      </c>
    </row>
    <row r="515" customFormat="false" ht="12.8" hidden="false" customHeight="false" outlineLevel="0" collapsed="false">
      <c r="A515" s="11" t="s">
        <v>1593</v>
      </c>
      <c r="B515" s="11" t="s">
        <v>160</v>
      </c>
      <c r="C515" s="11" t="str">
        <f aca="false">B515&amp;":"&amp;A515</f>
        <v>att_mitocarta_pathway:glyoxylate_metabolism</v>
      </c>
      <c r="D515" s="14" t="s">
        <v>17</v>
      </c>
      <c r="E515" s="11" t="s">
        <v>1594</v>
      </c>
      <c r="F515" s="11" t="s">
        <v>1595</v>
      </c>
    </row>
    <row r="516" customFormat="false" ht="12.8" hidden="false" customHeight="false" outlineLevel="0" collapsed="false">
      <c r="A516" s="11" t="s">
        <v>1596</v>
      </c>
      <c r="B516" s="11" t="s">
        <v>160</v>
      </c>
      <c r="C516" s="11" t="str">
        <f aca="false">B516&amp;":"&amp;A516</f>
        <v>att_mitocarta_pathway:heme_containing_proteins</v>
      </c>
      <c r="D516" s="14" t="s">
        <v>17</v>
      </c>
      <c r="E516" s="11" t="s">
        <v>1597</v>
      </c>
      <c r="F516" s="11" t="s">
        <v>1598</v>
      </c>
    </row>
    <row r="517" customFormat="false" ht="12.8" hidden="false" customHeight="false" outlineLevel="0" collapsed="false">
      <c r="A517" s="11" t="s">
        <v>1599</v>
      </c>
      <c r="B517" s="11" t="s">
        <v>160</v>
      </c>
      <c r="C517" s="11" t="str">
        <f aca="false">B517&amp;":"&amp;A517</f>
        <v>att_mitocarta_pathway:heme_synthesis_and_processing</v>
      </c>
      <c r="D517" s="14" t="s">
        <v>17</v>
      </c>
      <c r="E517" s="11" t="s">
        <v>1600</v>
      </c>
      <c r="F517" s="11" t="s">
        <v>1601</v>
      </c>
    </row>
    <row r="518" customFormat="false" ht="12.8" hidden="false" customHeight="false" outlineLevel="0" collapsed="false">
      <c r="A518" s="11" t="s">
        <v>1602</v>
      </c>
      <c r="B518" s="11" t="s">
        <v>160</v>
      </c>
      <c r="C518" s="11" t="str">
        <f aca="false">B518&amp;":"&amp;A518</f>
        <v>att_mitocarta_pathway:immune_response</v>
      </c>
      <c r="D518" s="14" t="s">
        <v>17</v>
      </c>
      <c r="E518" s="11" t="s">
        <v>1603</v>
      </c>
      <c r="F518" s="11" t="s">
        <v>1604</v>
      </c>
    </row>
    <row r="519" customFormat="false" ht="12.8" hidden="false" customHeight="false" outlineLevel="0" collapsed="false">
      <c r="A519" s="11" t="s">
        <v>1605</v>
      </c>
      <c r="B519" s="11" t="s">
        <v>160</v>
      </c>
      <c r="C519" s="11" t="str">
        <f aca="false">B519&amp;":"&amp;A519</f>
        <v>att_mitocarta_pathway:import_motor</v>
      </c>
      <c r="D519" s="14" t="s">
        <v>17</v>
      </c>
      <c r="E519" s="11" t="s">
        <v>1606</v>
      </c>
      <c r="F519" s="11" t="s">
        <v>1607</v>
      </c>
    </row>
    <row r="520" customFormat="false" ht="12.8" hidden="false" customHeight="false" outlineLevel="0" collapsed="false">
      <c r="A520" s="11" t="s">
        <v>1608</v>
      </c>
      <c r="B520" s="11" t="s">
        <v>160</v>
      </c>
      <c r="C520" s="11" t="str">
        <f aca="false">B520&amp;":"&amp;A520</f>
        <v>att_mitocarta_pathway:intramitochondrial_membrane_interactions</v>
      </c>
      <c r="D520" s="14" t="s">
        <v>17</v>
      </c>
      <c r="E520" s="11" t="s">
        <v>1609</v>
      </c>
      <c r="F520" s="11" t="s">
        <v>1610</v>
      </c>
    </row>
    <row r="521" customFormat="false" ht="12.8" hidden="false" customHeight="false" outlineLevel="0" collapsed="false">
      <c r="A521" s="11" t="s">
        <v>1611</v>
      </c>
      <c r="B521" s="11" t="s">
        <v>160</v>
      </c>
      <c r="C521" s="11" t="str">
        <f aca="false">B521&amp;":"&amp;A521</f>
        <v>att_mitocarta_pathway:iron_homeostasis</v>
      </c>
      <c r="D521" s="14" t="s">
        <v>17</v>
      </c>
      <c r="E521" s="11" t="s">
        <v>1612</v>
      </c>
      <c r="F521" s="11" t="s">
        <v>1613</v>
      </c>
    </row>
    <row r="522" customFormat="false" ht="12.8" hidden="false" customHeight="false" outlineLevel="0" collapsed="false">
      <c r="A522" s="11" t="s">
        <v>1614</v>
      </c>
      <c r="B522" s="11" t="s">
        <v>160</v>
      </c>
      <c r="C522" s="11" t="str">
        <f aca="false">B522&amp;":"&amp;A522</f>
        <v>att_mitocarta_pathway:itaconate_metabolism</v>
      </c>
      <c r="D522" s="14" t="s">
        <v>17</v>
      </c>
      <c r="E522" s="11" t="s">
        <v>1615</v>
      </c>
      <c r="F522" s="11" t="s">
        <v>1616</v>
      </c>
    </row>
    <row r="523" customFormat="false" ht="12.8" hidden="false" customHeight="false" outlineLevel="0" collapsed="false">
      <c r="A523" s="11" t="s">
        <v>1617</v>
      </c>
      <c r="B523" s="11" t="s">
        <v>160</v>
      </c>
      <c r="C523" s="11" t="str">
        <f aca="false">B523&amp;":"&amp;A523</f>
        <v>att_mitocarta_pathway:ketone_metabolism</v>
      </c>
      <c r="D523" s="14" t="s">
        <v>17</v>
      </c>
      <c r="E523" s="11" t="s">
        <v>1618</v>
      </c>
      <c r="F523" s="11" t="s">
        <v>1619</v>
      </c>
    </row>
    <row r="524" customFormat="false" ht="12.8" hidden="false" customHeight="false" outlineLevel="0" collapsed="false">
      <c r="A524" s="11" t="s">
        <v>1620</v>
      </c>
      <c r="B524" s="11" t="s">
        <v>160</v>
      </c>
      <c r="C524" s="11" t="str">
        <f aca="false">B524&amp;":"&amp;A524</f>
        <v>att_mitocarta_pathway:kynurenine_metabolism</v>
      </c>
      <c r="D524" s="14" t="s">
        <v>17</v>
      </c>
      <c r="E524" s="11" t="s">
        <v>1621</v>
      </c>
      <c r="F524" s="11" t="s">
        <v>1622</v>
      </c>
    </row>
    <row r="525" customFormat="false" ht="12.8" hidden="false" customHeight="false" outlineLevel="0" collapsed="false">
      <c r="A525" s="11" t="s">
        <v>1623</v>
      </c>
      <c r="B525" s="11" t="s">
        <v>160</v>
      </c>
      <c r="C525" s="11" t="str">
        <f aca="false">B525&amp;":"&amp;A525</f>
        <v>att_mitocarta_pathway:lipid_metabolism</v>
      </c>
      <c r="D525" s="14" t="s">
        <v>17</v>
      </c>
      <c r="E525" s="11" t="s">
        <v>1624</v>
      </c>
      <c r="F525" s="11" t="s">
        <v>1625</v>
      </c>
    </row>
    <row r="526" customFormat="false" ht="12.8" hidden="false" customHeight="false" outlineLevel="0" collapsed="false">
      <c r="A526" s="11" t="s">
        <v>1626</v>
      </c>
      <c r="B526" s="11" t="s">
        <v>160</v>
      </c>
      <c r="C526" s="11" t="str">
        <f aca="false">B526&amp;":"&amp;A526</f>
        <v>att_mitocarta_pathway:lipoate_insertion</v>
      </c>
      <c r="D526" s="14" t="s">
        <v>17</v>
      </c>
      <c r="E526" s="11" t="s">
        <v>1627</v>
      </c>
      <c r="F526" s="11" t="s">
        <v>1628</v>
      </c>
    </row>
    <row r="527" customFormat="false" ht="12.8" hidden="false" customHeight="false" outlineLevel="0" collapsed="false">
      <c r="A527" s="11" t="s">
        <v>1629</v>
      </c>
      <c r="B527" s="11" t="s">
        <v>160</v>
      </c>
      <c r="C527" s="11" t="str">
        <f aca="false">B527&amp;":"&amp;A527</f>
        <v>att_mitocarta_pathway:lysine_metabolism</v>
      </c>
      <c r="D527" s="14" t="s">
        <v>17</v>
      </c>
      <c r="E527" s="11" t="s">
        <v>1630</v>
      </c>
      <c r="F527" s="11" t="s">
        <v>1631</v>
      </c>
    </row>
    <row r="528" customFormat="false" ht="12.8" hidden="false" customHeight="false" outlineLevel="0" collapsed="false">
      <c r="A528" s="11" t="s">
        <v>1632</v>
      </c>
      <c r="B528" s="11" t="s">
        <v>160</v>
      </c>
      <c r="C528" s="11" t="str">
        <f aca="false">B528&amp;":"&amp;A528</f>
        <v>att_mitocarta_pathway:malate_aspartate_shuttle</v>
      </c>
      <c r="D528" s="14" t="s">
        <v>17</v>
      </c>
      <c r="E528" s="11" t="s">
        <v>1633</v>
      </c>
      <c r="F528" s="11" t="s">
        <v>1634</v>
      </c>
    </row>
    <row r="529" customFormat="false" ht="12.8" hidden="false" customHeight="false" outlineLevel="0" collapsed="false">
      <c r="A529" s="11" t="s">
        <v>1635</v>
      </c>
      <c r="B529" s="11" t="s">
        <v>160</v>
      </c>
      <c r="C529" s="11" t="str">
        <f aca="false">B529&amp;":"&amp;A529</f>
        <v>att_mitocarta_pathway:metabolism</v>
      </c>
      <c r="D529" s="14" t="s">
        <v>17</v>
      </c>
      <c r="E529" s="11" t="s">
        <v>1636</v>
      </c>
      <c r="F529" s="11" t="s">
        <v>1636</v>
      </c>
    </row>
    <row r="530" customFormat="false" ht="12.8" hidden="false" customHeight="false" outlineLevel="0" collapsed="false">
      <c r="A530" s="11" t="s">
        <v>1637</v>
      </c>
      <c r="B530" s="11" t="s">
        <v>160</v>
      </c>
      <c r="C530" s="11" t="str">
        <f aca="false">B530&amp;":"&amp;A530</f>
        <v>att_mitocarta_pathway:metals_and_cofactors</v>
      </c>
      <c r="D530" s="14" t="s">
        <v>17</v>
      </c>
      <c r="E530" s="11" t="s">
        <v>1638</v>
      </c>
      <c r="F530" s="11" t="s">
        <v>1639</v>
      </c>
    </row>
    <row r="531" customFormat="false" ht="12.8" hidden="false" customHeight="false" outlineLevel="0" collapsed="false">
      <c r="A531" s="11" t="s">
        <v>1640</v>
      </c>
      <c r="B531" s="11" t="s">
        <v>160</v>
      </c>
      <c r="C531" s="11" t="str">
        <f aca="false">B531&amp;":"&amp;A531</f>
        <v>att_mitocarta_pathway:mia40</v>
      </c>
      <c r="D531" s="14" t="s">
        <v>17</v>
      </c>
      <c r="E531" s="11" t="s">
        <v>1641</v>
      </c>
      <c r="F531" s="11" t="s">
        <v>1642</v>
      </c>
    </row>
    <row r="532" customFormat="false" ht="12.8" hidden="false" customHeight="false" outlineLevel="0" collapsed="false">
      <c r="A532" s="11" t="s">
        <v>1643</v>
      </c>
      <c r="B532" s="11" t="s">
        <v>160</v>
      </c>
      <c r="C532" s="11" t="str">
        <f aca="false">B532&amp;":"&amp;A532</f>
        <v>att_mitocarta_pathway:micos_complex</v>
      </c>
      <c r="D532" s="14" t="s">
        <v>17</v>
      </c>
      <c r="E532" s="11" t="s">
        <v>1644</v>
      </c>
      <c r="F532" s="11" t="s">
        <v>1645</v>
      </c>
    </row>
    <row r="533" customFormat="false" ht="12.8" hidden="false" customHeight="false" outlineLevel="0" collapsed="false">
      <c r="A533" s="11" t="s">
        <v>1646</v>
      </c>
      <c r="B533" s="11" t="s">
        <v>160</v>
      </c>
      <c r="C533" s="11" t="str">
        <f aca="false">B533&amp;":"&amp;A533</f>
        <v>att_mitocarta_pathway:mitochondrial_dynamics_and_surveillance</v>
      </c>
      <c r="D533" s="14" t="s">
        <v>17</v>
      </c>
      <c r="E533" s="11" t="s">
        <v>1647</v>
      </c>
      <c r="F533" s="11" t="s">
        <v>1647</v>
      </c>
    </row>
    <row r="534" customFormat="false" ht="12.8" hidden="false" customHeight="false" outlineLevel="0" collapsed="false">
      <c r="A534" s="11" t="s">
        <v>1648</v>
      </c>
      <c r="B534" s="11" t="s">
        <v>160</v>
      </c>
      <c r="C534" s="11" t="str">
        <f aca="false">B534&amp;":"&amp;A534</f>
        <v>att_mitocarta_pathway:mitochondrial_permeability_transition_pore</v>
      </c>
      <c r="D534" s="14" t="s">
        <v>17</v>
      </c>
      <c r="E534" s="11" t="s">
        <v>1649</v>
      </c>
      <c r="F534" s="11" t="s">
        <v>1650</v>
      </c>
    </row>
    <row r="535" customFormat="false" ht="12.8" hidden="false" customHeight="false" outlineLevel="0" collapsed="false">
      <c r="A535" s="11" t="s">
        <v>1651</v>
      </c>
      <c r="B535" s="11" t="s">
        <v>160</v>
      </c>
      <c r="C535" s="11" t="str">
        <f aca="false">B535&amp;":"&amp;A535</f>
        <v>att_mitocarta_pathway:mitochondrial_ribosome</v>
      </c>
      <c r="D535" s="14" t="s">
        <v>17</v>
      </c>
      <c r="E535" s="11" t="s">
        <v>1652</v>
      </c>
      <c r="F535" s="11" t="s">
        <v>1653</v>
      </c>
    </row>
    <row r="536" customFormat="false" ht="12.8" hidden="false" customHeight="false" outlineLevel="0" collapsed="false">
      <c r="A536" s="11" t="s">
        <v>1654</v>
      </c>
      <c r="B536" s="11" t="s">
        <v>160</v>
      </c>
      <c r="C536" s="11" t="str">
        <f aca="false">B536&amp;":"&amp;A536</f>
        <v>att_mitocarta_pathway:mitochondrial_ribosome_assembly</v>
      </c>
      <c r="D536" s="14" t="s">
        <v>17</v>
      </c>
      <c r="E536" s="11" t="s">
        <v>1655</v>
      </c>
      <c r="F536" s="11" t="s">
        <v>1656</v>
      </c>
    </row>
    <row r="537" customFormat="false" ht="12.8" hidden="false" customHeight="false" outlineLevel="0" collapsed="false">
      <c r="A537" s="11" t="s">
        <v>1657</v>
      </c>
      <c r="B537" s="11" t="s">
        <v>160</v>
      </c>
      <c r="C537" s="11" t="str">
        <f aca="false">B537&amp;":"&amp;A537</f>
        <v>att_mitocarta_pathway:mitophagy</v>
      </c>
      <c r="D537" s="14" t="s">
        <v>17</v>
      </c>
      <c r="E537" s="11" t="s">
        <v>1658</v>
      </c>
      <c r="F537" s="11" t="s">
        <v>1659</v>
      </c>
    </row>
    <row r="538" customFormat="false" ht="12.8" hidden="false" customHeight="false" outlineLevel="0" collapsed="false">
      <c r="A538" s="11" t="s">
        <v>1660</v>
      </c>
      <c r="B538" s="11" t="s">
        <v>160</v>
      </c>
      <c r="C538" s="11" t="str">
        <f aca="false">B538&amp;":"&amp;A538</f>
        <v>att_mitocarta_pathway:molybdenum_cofactor_synthesis_and_proteins</v>
      </c>
      <c r="D538" s="14" t="s">
        <v>17</v>
      </c>
      <c r="E538" s="11" t="s">
        <v>1661</v>
      </c>
      <c r="F538" s="11" t="s">
        <v>1662</v>
      </c>
    </row>
    <row r="539" customFormat="false" ht="12.8" hidden="false" customHeight="false" outlineLevel="0" collapsed="false">
      <c r="A539" s="11" t="s">
        <v>1663</v>
      </c>
      <c r="B539" s="11" t="s">
        <v>160</v>
      </c>
      <c r="C539" s="11" t="str">
        <f aca="false">B539&amp;":"&amp;A539</f>
        <v>att_mitocarta_pathway:mt_mrna_modifications</v>
      </c>
      <c r="D539" s="14" t="s">
        <v>17</v>
      </c>
      <c r="E539" s="11" t="s">
        <v>1664</v>
      </c>
      <c r="F539" s="11" t="s">
        <v>1665</v>
      </c>
    </row>
    <row r="540" customFormat="false" ht="12.8" hidden="false" customHeight="false" outlineLevel="0" collapsed="false">
      <c r="A540" s="11" t="s">
        <v>1666</v>
      </c>
      <c r="B540" s="11" t="s">
        <v>160</v>
      </c>
      <c r="C540" s="11" t="str">
        <f aca="false">B540&amp;":"&amp;A540</f>
        <v>att_mitocarta_pathway:mt_rrna_modifications</v>
      </c>
      <c r="D540" s="14" t="s">
        <v>17</v>
      </c>
      <c r="E540" s="11" t="s">
        <v>1667</v>
      </c>
      <c r="F540" s="11" t="s">
        <v>1668</v>
      </c>
    </row>
    <row r="541" customFormat="false" ht="12.8" hidden="false" customHeight="false" outlineLevel="0" collapsed="false">
      <c r="A541" s="11" t="s">
        <v>1669</v>
      </c>
      <c r="B541" s="11" t="s">
        <v>160</v>
      </c>
      <c r="C541" s="11" t="str">
        <f aca="false">B541&amp;":"&amp;A541</f>
        <v>att_mitocarta_pathway:mt_trna_modifications</v>
      </c>
      <c r="D541" s="14" t="s">
        <v>17</v>
      </c>
      <c r="E541" s="11" t="s">
        <v>1670</v>
      </c>
      <c r="F541" s="11" t="s">
        <v>1671</v>
      </c>
    </row>
    <row r="542" customFormat="false" ht="12.8" hidden="false" customHeight="false" outlineLevel="0" collapsed="false">
      <c r="A542" s="11" t="s">
        <v>1672</v>
      </c>
      <c r="B542" s="11" t="s">
        <v>160</v>
      </c>
      <c r="C542" s="11" t="str">
        <f aca="false">B542&amp;":"&amp;A542</f>
        <v>att_mitocarta_pathway:mt_trna_synthetases</v>
      </c>
      <c r="D542" s="14" t="s">
        <v>17</v>
      </c>
      <c r="E542" s="11" t="s">
        <v>1673</v>
      </c>
      <c r="F542" s="11" t="s">
        <v>1674</v>
      </c>
    </row>
    <row r="543" customFormat="false" ht="12.8" hidden="false" customHeight="false" outlineLevel="0" collapsed="false">
      <c r="A543" s="11" t="s">
        <v>1675</v>
      </c>
      <c r="B543" s="11" t="s">
        <v>160</v>
      </c>
      <c r="C543" s="11" t="str">
        <f aca="false">B543&amp;":"&amp;A543</f>
        <v>att_mitocarta_pathway:mtdna_maintenance</v>
      </c>
      <c r="D543" s="14" t="s">
        <v>17</v>
      </c>
      <c r="E543" s="11" t="s">
        <v>1676</v>
      </c>
      <c r="F543" s="11" t="s">
        <v>1677</v>
      </c>
    </row>
    <row r="544" customFormat="false" ht="12.8" hidden="false" customHeight="false" outlineLevel="0" collapsed="false">
      <c r="A544" s="11" t="s">
        <v>1678</v>
      </c>
      <c r="B544" s="11" t="s">
        <v>160</v>
      </c>
      <c r="C544" s="11" t="str">
        <f aca="false">B544&amp;":"&amp;A544</f>
        <v>att_mitocarta_pathway:mtdna_modifications</v>
      </c>
      <c r="D544" s="14" t="s">
        <v>17</v>
      </c>
      <c r="E544" s="11" t="s">
        <v>1679</v>
      </c>
      <c r="F544" s="11" t="s">
        <v>1680</v>
      </c>
    </row>
    <row r="545" customFormat="false" ht="12.8" hidden="false" customHeight="false" outlineLevel="0" collapsed="false">
      <c r="A545" s="11" t="s">
        <v>1681</v>
      </c>
      <c r="B545" s="11" t="s">
        <v>160</v>
      </c>
      <c r="C545" s="11" t="str">
        <f aca="false">B545&amp;":"&amp;A545</f>
        <v>att_mitocarta_pathway:mtdna_nucleoid</v>
      </c>
      <c r="D545" s="14" t="s">
        <v>17</v>
      </c>
      <c r="E545" s="11" t="s">
        <v>1682</v>
      </c>
      <c r="F545" s="11" t="s">
        <v>1683</v>
      </c>
    </row>
    <row r="546" customFormat="false" ht="12.8" hidden="false" customHeight="false" outlineLevel="0" collapsed="false">
      <c r="A546" s="11" t="s">
        <v>1684</v>
      </c>
      <c r="B546" s="11" t="s">
        <v>160</v>
      </c>
      <c r="C546" s="11" t="str">
        <f aca="false">B546&amp;":"&amp;A546</f>
        <v>att_mitocarta_pathway:mtdna_repair</v>
      </c>
      <c r="D546" s="14" t="s">
        <v>17</v>
      </c>
      <c r="E546" s="11" t="s">
        <v>1685</v>
      </c>
      <c r="F546" s="11" t="s">
        <v>1686</v>
      </c>
    </row>
    <row r="547" customFormat="false" ht="12.8" hidden="false" customHeight="false" outlineLevel="0" collapsed="false">
      <c r="A547" s="11" t="s">
        <v>1687</v>
      </c>
      <c r="B547" s="11" t="s">
        <v>160</v>
      </c>
      <c r="C547" s="11" t="str">
        <f aca="false">B547&amp;":"&amp;A547</f>
        <v>att_mitocarta_pathway:mtdna_replication</v>
      </c>
      <c r="D547" s="14" t="s">
        <v>17</v>
      </c>
      <c r="E547" s="11" t="s">
        <v>1688</v>
      </c>
      <c r="F547" s="11" t="s">
        <v>1689</v>
      </c>
    </row>
    <row r="548" customFormat="false" ht="12.8" hidden="false" customHeight="false" outlineLevel="0" collapsed="false">
      <c r="A548" s="11" t="s">
        <v>1690</v>
      </c>
      <c r="B548" s="11" t="s">
        <v>160</v>
      </c>
      <c r="C548" s="11" t="str">
        <f aca="false">B548&amp;":"&amp;A548</f>
        <v>att_mitocarta_pathway:mtdna_stability_and_decay</v>
      </c>
      <c r="D548" s="14" t="s">
        <v>17</v>
      </c>
      <c r="E548" s="11" t="s">
        <v>1691</v>
      </c>
      <c r="F548" s="11" t="s">
        <v>1692</v>
      </c>
    </row>
    <row r="549" customFormat="false" ht="12.8" hidden="false" customHeight="false" outlineLevel="0" collapsed="false">
      <c r="A549" s="11" t="s">
        <v>1693</v>
      </c>
      <c r="B549" s="11" t="s">
        <v>160</v>
      </c>
      <c r="C549" s="11" t="str">
        <f aca="false">B549&amp;":"&amp;A549</f>
        <v>att_mitocarta_pathway:mtrna_granules</v>
      </c>
      <c r="D549" s="14" t="s">
        <v>17</v>
      </c>
      <c r="E549" s="11" t="s">
        <v>1694</v>
      </c>
      <c r="F549" s="11" t="s">
        <v>1695</v>
      </c>
    </row>
    <row r="550" customFormat="false" ht="12.8" hidden="false" customHeight="false" outlineLevel="0" collapsed="false">
      <c r="A550" s="11" t="s">
        <v>1696</v>
      </c>
      <c r="B550" s="11" t="s">
        <v>160</v>
      </c>
      <c r="C550" s="11" t="str">
        <f aca="false">B550&amp;":"&amp;A550</f>
        <v>att_mitocarta_pathway:mtrna_metabolism</v>
      </c>
      <c r="D550" s="14" t="s">
        <v>17</v>
      </c>
      <c r="E550" s="11" t="s">
        <v>1697</v>
      </c>
      <c r="F550" s="11" t="s">
        <v>1698</v>
      </c>
    </row>
    <row r="551" customFormat="false" ht="12.8" hidden="false" customHeight="false" outlineLevel="0" collapsed="false">
      <c r="A551" s="11" t="s">
        <v>1699</v>
      </c>
      <c r="B551" s="11" t="s">
        <v>160</v>
      </c>
      <c r="C551" s="11" t="str">
        <f aca="false">B551&amp;":"&amp;A551</f>
        <v>att_mitocarta_pathway:mtrna_stability_and_decay</v>
      </c>
      <c r="D551" s="14" t="s">
        <v>17</v>
      </c>
      <c r="E551" s="11" t="s">
        <v>1700</v>
      </c>
      <c r="F551" s="11" t="s">
        <v>1701</v>
      </c>
    </row>
    <row r="552" customFormat="false" ht="12.8" hidden="false" customHeight="false" outlineLevel="0" collapsed="false">
      <c r="A552" s="11" t="s">
        <v>1702</v>
      </c>
      <c r="B552" s="11" t="s">
        <v>160</v>
      </c>
      <c r="C552" s="11" t="str">
        <f aca="false">B552&amp;":"&amp;A552</f>
        <v>att_mitocarta_pathway:nad_biosynthesis_and_metabolism</v>
      </c>
      <c r="D552" s="14" t="s">
        <v>17</v>
      </c>
      <c r="E552" s="11" t="s">
        <v>1703</v>
      </c>
      <c r="F552" s="11" t="s">
        <v>1704</v>
      </c>
    </row>
    <row r="553" customFormat="false" ht="12.8" hidden="false" customHeight="false" outlineLevel="0" collapsed="false">
      <c r="A553" s="11" t="s">
        <v>1705</v>
      </c>
      <c r="B553" s="11" t="s">
        <v>160</v>
      </c>
      <c r="C553" s="11" t="str">
        <f aca="false">B553&amp;":"&amp;A553</f>
        <v>att_mitocarta_pathway:nucleotide_import</v>
      </c>
      <c r="D553" s="14" t="s">
        <v>17</v>
      </c>
      <c r="E553" s="11" t="s">
        <v>1706</v>
      </c>
      <c r="F553" s="11" t="s">
        <v>1707</v>
      </c>
    </row>
    <row r="554" customFormat="false" ht="12.8" hidden="false" customHeight="false" outlineLevel="0" collapsed="false">
      <c r="A554" s="11" t="s">
        <v>1708</v>
      </c>
      <c r="B554" s="11" t="s">
        <v>160</v>
      </c>
      <c r="C554" s="11" t="str">
        <f aca="false">B554&amp;":"&amp;A554</f>
        <v>att_mitocarta_pathway:nucleotide_metabolism</v>
      </c>
      <c r="D554" s="14" t="s">
        <v>17</v>
      </c>
      <c r="E554" s="11" t="s">
        <v>1709</v>
      </c>
      <c r="F554" s="11" t="s">
        <v>1710</v>
      </c>
    </row>
    <row r="555" customFormat="false" ht="12.8" hidden="false" customHeight="false" outlineLevel="0" collapsed="false">
      <c r="A555" s="11" t="s">
        <v>1711</v>
      </c>
      <c r="B555" s="11" t="s">
        <v>160</v>
      </c>
      <c r="C555" s="11" t="str">
        <f aca="false">B555&amp;":"&amp;A555</f>
        <v>att_mitocarta_pathway:nucleotide_synthesis_and_processing</v>
      </c>
      <c r="D555" s="14" t="s">
        <v>17</v>
      </c>
      <c r="E555" s="11" t="s">
        <v>1712</v>
      </c>
      <c r="F555" s="11" t="s">
        <v>1713</v>
      </c>
    </row>
    <row r="556" customFormat="false" ht="12.8" hidden="false" customHeight="false" outlineLevel="0" collapsed="false">
      <c r="A556" s="11" t="s">
        <v>1714</v>
      </c>
      <c r="B556" s="11" t="s">
        <v>160</v>
      </c>
      <c r="C556" s="11" t="str">
        <f aca="false">B556&amp;":"&amp;A556</f>
        <v>att_mitocarta_pathway:organelle_contact_sites</v>
      </c>
      <c r="D556" s="14" t="s">
        <v>17</v>
      </c>
      <c r="E556" s="11" t="s">
        <v>1715</v>
      </c>
      <c r="F556" s="11" t="s">
        <v>1716</v>
      </c>
    </row>
    <row r="557" customFormat="false" ht="12.8" hidden="false" customHeight="false" outlineLevel="0" collapsed="false">
      <c r="A557" s="11" t="s">
        <v>1717</v>
      </c>
      <c r="B557" s="11" t="s">
        <v>160</v>
      </c>
      <c r="C557" s="11" t="str">
        <f aca="false">B557&amp;":"&amp;A557</f>
        <v>att_mitocarta_pathway:oxa</v>
      </c>
      <c r="D557" s="14" t="s">
        <v>17</v>
      </c>
      <c r="E557" s="11" t="s">
        <v>1718</v>
      </c>
      <c r="F557" s="11" t="s">
        <v>1719</v>
      </c>
    </row>
    <row r="558" customFormat="false" ht="12.8" hidden="false" customHeight="false" outlineLevel="0" collapsed="false">
      <c r="A558" s="11" t="s">
        <v>1720</v>
      </c>
      <c r="B558" s="11" t="s">
        <v>160</v>
      </c>
      <c r="C558" s="11" t="str">
        <f aca="false">B558&amp;":"&amp;A558</f>
        <v>att_mitocarta_pathway:oxphos</v>
      </c>
      <c r="D558" s="14" t="s">
        <v>17</v>
      </c>
      <c r="E558" s="11" t="s">
        <v>1721</v>
      </c>
      <c r="F558" s="11" t="s">
        <v>1721</v>
      </c>
    </row>
    <row r="559" customFormat="false" ht="12.8" hidden="false" customHeight="false" outlineLevel="0" collapsed="false">
      <c r="A559" s="11" t="s">
        <v>1722</v>
      </c>
      <c r="B559" s="11" t="s">
        <v>160</v>
      </c>
      <c r="C559" s="11" t="str">
        <f aca="false">B559&amp;":"&amp;A559</f>
        <v>att_mitocarta_pathway:oxphos_assembly_factors</v>
      </c>
      <c r="D559" s="14" t="s">
        <v>17</v>
      </c>
      <c r="E559" s="11" t="s">
        <v>1723</v>
      </c>
      <c r="F559" s="11" t="s">
        <v>1724</v>
      </c>
    </row>
    <row r="560" customFormat="false" ht="12.8" hidden="false" customHeight="false" outlineLevel="0" collapsed="false">
      <c r="A560" s="11" t="s">
        <v>1725</v>
      </c>
      <c r="B560" s="11" t="s">
        <v>160</v>
      </c>
      <c r="C560" s="11" t="str">
        <f aca="false">B560&amp;":"&amp;A560</f>
        <v>att_mitocarta_pathway:oxphos_subunits</v>
      </c>
      <c r="D560" s="14" t="s">
        <v>17</v>
      </c>
      <c r="E560" s="11" t="s">
        <v>1726</v>
      </c>
      <c r="F560" s="11" t="s">
        <v>1727</v>
      </c>
    </row>
    <row r="561" customFormat="false" ht="12.8" hidden="false" customHeight="false" outlineLevel="0" collapsed="false">
      <c r="A561" s="11" t="s">
        <v>1728</v>
      </c>
      <c r="B561" s="11" t="s">
        <v>160</v>
      </c>
      <c r="C561" s="11" t="str">
        <f aca="false">B561&amp;":"&amp;A561</f>
        <v>att_mitocarta_pathway:phospholipid_metabolism</v>
      </c>
      <c r="D561" s="14" t="s">
        <v>17</v>
      </c>
      <c r="E561" s="11" t="s">
        <v>1729</v>
      </c>
      <c r="F561" s="11" t="s">
        <v>1730</v>
      </c>
    </row>
    <row r="562" customFormat="false" ht="12.8" hidden="false" customHeight="false" outlineLevel="0" collapsed="false">
      <c r="A562" s="11" t="s">
        <v>1731</v>
      </c>
      <c r="B562" s="11" t="s">
        <v>160</v>
      </c>
      <c r="C562" s="11" t="str">
        <f aca="false">B562&amp;":"&amp;A562</f>
        <v>att_mitocarta_pathway:polycistronic_mtrna_processing</v>
      </c>
      <c r="D562" s="14" t="s">
        <v>17</v>
      </c>
      <c r="E562" s="11" t="s">
        <v>1732</v>
      </c>
      <c r="F562" s="11" t="s">
        <v>1733</v>
      </c>
    </row>
    <row r="563" customFormat="false" ht="12.8" hidden="false" customHeight="false" outlineLevel="0" collapsed="false">
      <c r="A563" s="11" t="s">
        <v>1734</v>
      </c>
      <c r="B563" s="11" t="s">
        <v>160</v>
      </c>
      <c r="C563" s="11" t="str">
        <f aca="false">B563&amp;":"&amp;A563</f>
        <v>att_mitocarta_pathway:preprotein_cleavage</v>
      </c>
      <c r="D563" s="14" t="s">
        <v>17</v>
      </c>
      <c r="E563" s="11" t="s">
        <v>1735</v>
      </c>
      <c r="F563" s="11" t="s">
        <v>1736</v>
      </c>
    </row>
    <row r="564" customFormat="false" ht="12.8" hidden="false" customHeight="false" outlineLevel="0" collapsed="false">
      <c r="A564" s="11" t="s">
        <v>1737</v>
      </c>
      <c r="B564" s="11" t="s">
        <v>160</v>
      </c>
      <c r="C564" s="11" t="str">
        <f aca="false">B564&amp;":"&amp;A564</f>
        <v>att_mitocarta_pathway:proline_metabolism</v>
      </c>
      <c r="D564" s="14" t="s">
        <v>17</v>
      </c>
      <c r="E564" s="11" t="s">
        <v>1738</v>
      </c>
      <c r="F564" s="11" t="s">
        <v>1739</v>
      </c>
    </row>
    <row r="565" customFormat="false" ht="12.8" hidden="false" customHeight="false" outlineLevel="0" collapsed="false">
      <c r="A565" s="11" t="s">
        <v>1740</v>
      </c>
      <c r="B565" s="11" t="s">
        <v>160</v>
      </c>
      <c r="C565" s="11" t="str">
        <f aca="false">B565&amp;":"&amp;A565</f>
        <v>att_mitocarta_pathway:propanoate_metabolism</v>
      </c>
      <c r="D565" s="14" t="s">
        <v>17</v>
      </c>
      <c r="E565" s="11" t="s">
        <v>1741</v>
      </c>
      <c r="F565" s="11" t="s">
        <v>1742</v>
      </c>
    </row>
    <row r="566" customFormat="false" ht="12.8" hidden="false" customHeight="false" outlineLevel="0" collapsed="false">
      <c r="A566" s="11" t="s">
        <v>1743</v>
      </c>
      <c r="B566" s="11" t="s">
        <v>160</v>
      </c>
      <c r="C566" s="11" t="str">
        <f aca="false">B566&amp;":"&amp;A566</f>
        <v>att_mitocarta_pathway:proteases</v>
      </c>
      <c r="D566" s="14" t="s">
        <v>17</v>
      </c>
      <c r="E566" s="11" t="s">
        <v>1744</v>
      </c>
      <c r="F566" s="11" t="s">
        <v>1745</v>
      </c>
    </row>
    <row r="567" customFormat="false" ht="12.8" hidden="false" customHeight="false" outlineLevel="0" collapsed="false">
      <c r="A567" s="11" t="s">
        <v>1746</v>
      </c>
      <c r="B567" s="11" t="s">
        <v>160</v>
      </c>
      <c r="C567" s="11" t="str">
        <f aca="false">B567&amp;":"&amp;A567</f>
        <v>att_mitocarta_pathway:protein_homeostasis</v>
      </c>
      <c r="D567" s="14" t="s">
        <v>17</v>
      </c>
      <c r="E567" s="11" t="s">
        <v>1747</v>
      </c>
      <c r="F567" s="11" t="s">
        <v>1748</v>
      </c>
    </row>
    <row r="568" customFormat="false" ht="12.8" hidden="false" customHeight="false" outlineLevel="0" collapsed="false">
      <c r="A568" s="11" t="s">
        <v>1749</v>
      </c>
      <c r="B568" s="11" t="s">
        <v>160</v>
      </c>
      <c r="C568" s="11" t="str">
        <f aca="false">B568&amp;":"&amp;A568</f>
        <v>att_mitocarta_pathway:protein_import_and_sorting</v>
      </c>
      <c r="D568" s="14" t="s">
        <v>17</v>
      </c>
      <c r="E568" s="11" t="s">
        <v>1750</v>
      </c>
      <c r="F568" s="11" t="s">
        <v>1751</v>
      </c>
    </row>
    <row r="569" customFormat="false" ht="12.8" hidden="false" customHeight="false" outlineLevel="0" collapsed="false">
      <c r="A569" s="11" t="s">
        <v>1752</v>
      </c>
      <c r="B569" s="11" t="s">
        <v>160</v>
      </c>
      <c r="C569" s="11" t="str">
        <f aca="false">B569&amp;":"&amp;A569</f>
        <v>att_mitocarta_pathway:pyruvate_metabolism</v>
      </c>
      <c r="D569" s="14" t="s">
        <v>17</v>
      </c>
      <c r="E569" s="11" t="s">
        <v>1753</v>
      </c>
      <c r="F569" s="11" t="s">
        <v>1754</v>
      </c>
    </row>
    <row r="570" customFormat="false" ht="12.8" hidden="false" customHeight="false" outlineLevel="0" collapsed="false">
      <c r="A570" s="11" t="s">
        <v>1755</v>
      </c>
      <c r="B570" s="11" t="s">
        <v>160</v>
      </c>
      <c r="C570" s="11" t="str">
        <f aca="false">B570&amp;":"&amp;A570</f>
        <v>att_mitocarta_pathway:respirasome_assembly</v>
      </c>
      <c r="D570" s="14" t="s">
        <v>17</v>
      </c>
      <c r="E570" s="11" t="s">
        <v>1756</v>
      </c>
      <c r="F570" s="11" t="s">
        <v>1757</v>
      </c>
    </row>
    <row r="571" customFormat="false" ht="12.8" hidden="false" customHeight="false" outlineLevel="0" collapsed="false">
      <c r="A571" s="11" t="s">
        <v>1758</v>
      </c>
      <c r="B571" s="11" t="s">
        <v>160</v>
      </c>
      <c r="C571" s="11" t="str">
        <f aca="false">B571&amp;":"&amp;A571</f>
        <v>att_mitocarta_pathway:ros_and_glutathione_metabolism</v>
      </c>
      <c r="D571" s="14" t="s">
        <v>17</v>
      </c>
      <c r="E571" s="11" t="s">
        <v>1759</v>
      </c>
      <c r="F571" s="11" t="s">
        <v>1760</v>
      </c>
    </row>
    <row r="572" customFormat="false" ht="12.8" hidden="false" customHeight="false" outlineLevel="0" collapsed="false">
      <c r="A572" s="11" t="s">
        <v>1761</v>
      </c>
      <c r="B572" s="11" t="s">
        <v>160</v>
      </c>
      <c r="C572" s="11" t="str">
        <f aca="false">B572&amp;":"&amp;A572</f>
        <v>att_mitocarta_pathway:sam</v>
      </c>
      <c r="D572" s="14" t="s">
        <v>17</v>
      </c>
      <c r="E572" s="11" t="s">
        <v>1762</v>
      </c>
      <c r="F572" s="11" t="s">
        <v>1763</v>
      </c>
    </row>
    <row r="573" customFormat="false" ht="12.8" hidden="false" customHeight="false" outlineLevel="0" collapsed="false">
      <c r="A573" s="11" t="s">
        <v>1764</v>
      </c>
      <c r="B573" s="11" t="s">
        <v>160</v>
      </c>
      <c r="C573" s="11" t="str">
        <f aca="false">B573&amp;":"&amp;A573</f>
        <v>att_mitocarta_pathway:selenoproteins</v>
      </c>
      <c r="D573" s="14" t="s">
        <v>17</v>
      </c>
      <c r="E573" s="11" t="s">
        <v>1765</v>
      </c>
      <c r="F573" s="11" t="s">
        <v>1766</v>
      </c>
    </row>
    <row r="574" customFormat="false" ht="12.8" hidden="false" customHeight="false" outlineLevel="0" collapsed="false">
      <c r="A574" s="11" t="s">
        <v>1767</v>
      </c>
      <c r="B574" s="11" t="s">
        <v>160</v>
      </c>
      <c r="C574" s="11" t="str">
        <f aca="false">B574&amp;":"&amp;A574</f>
        <v>att_mitocarta_pathway:serine_metabolism</v>
      </c>
      <c r="D574" s="14" t="s">
        <v>17</v>
      </c>
      <c r="E574" s="11" t="s">
        <v>1768</v>
      </c>
      <c r="F574" s="11" t="s">
        <v>1769</v>
      </c>
    </row>
    <row r="575" customFormat="false" ht="12.8" hidden="false" customHeight="false" outlineLevel="0" collapsed="false">
      <c r="A575" s="11" t="s">
        <v>1770</v>
      </c>
      <c r="B575" s="11" t="s">
        <v>160</v>
      </c>
      <c r="C575" s="11" t="str">
        <f aca="false">B575&amp;":"&amp;A575</f>
        <v>att_mitocarta_pathway:sideroflexins</v>
      </c>
      <c r="D575" s="14" t="s">
        <v>17</v>
      </c>
      <c r="E575" s="11" t="s">
        <v>1771</v>
      </c>
      <c r="F575" s="11" t="s">
        <v>1772</v>
      </c>
    </row>
    <row r="576" customFormat="false" ht="12.8" hidden="false" customHeight="false" outlineLevel="0" collapsed="false">
      <c r="A576" s="11" t="s">
        <v>1773</v>
      </c>
      <c r="B576" s="11" t="s">
        <v>160</v>
      </c>
      <c r="C576" s="11" t="str">
        <f aca="false">B576&amp;":"&amp;A576</f>
        <v>att_mitocarta_pathway:signaling</v>
      </c>
      <c r="D576" s="14" t="s">
        <v>17</v>
      </c>
      <c r="E576" s="11" t="s">
        <v>1774</v>
      </c>
      <c r="F576" s="11" t="s">
        <v>1774</v>
      </c>
    </row>
    <row r="577" customFormat="false" ht="12.8" hidden="false" customHeight="false" outlineLevel="0" collapsed="false">
      <c r="A577" s="11" t="s">
        <v>1775</v>
      </c>
      <c r="B577" s="11" t="s">
        <v>160</v>
      </c>
      <c r="C577" s="11" t="str">
        <f aca="false">B577&amp;":"&amp;A577</f>
        <v>att_mitocarta_pathway:slc25a_family</v>
      </c>
      <c r="D577" s="14" t="s">
        <v>17</v>
      </c>
      <c r="E577" s="11" t="s">
        <v>1776</v>
      </c>
      <c r="F577" s="11" t="s">
        <v>1777</v>
      </c>
    </row>
    <row r="578" customFormat="false" ht="12.8" hidden="false" customHeight="false" outlineLevel="0" collapsed="false">
      <c r="A578" s="11" t="s">
        <v>1778</v>
      </c>
      <c r="B578" s="11" t="s">
        <v>160</v>
      </c>
      <c r="C578" s="11" t="str">
        <f aca="false">B578&amp;":"&amp;A578</f>
        <v>att_mitocarta_pathway:small_molecule_transport</v>
      </c>
      <c r="D578" s="14" t="s">
        <v>17</v>
      </c>
      <c r="E578" s="11" t="s">
        <v>1779</v>
      </c>
      <c r="F578" s="11" t="s">
        <v>1779</v>
      </c>
    </row>
    <row r="579" customFormat="false" ht="12.8" hidden="false" customHeight="false" outlineLevel="0" collapsed="false">
      <c r="A579" s="11" t="s">
        <v>1780</v>
      </c>
      <c r="B579" s="11" t="s">
        <v>160</v>
      </c>
      <c r="C579" s="11" t="str">
        <f aca="false">B579&amp;":"&amp;A579</f>
        <v>att_mitocarta_pathway:sulfur_metabolism</v>
      </c>
      <c r="D579" s="14" t="s">
        <v>17</v>
      </c>
      <c r="E579" s="11" t="s">
        <v>1781</v>
      </c>
      <c r="F579" s="11" t="s">
        <v>1782</v>
      </c>
    </row>
    <row r="580" customFormat="false" ht="12.8" hidden="false" customHeight="false" outlineLevel="0" collapsed="false">
      <c r="A580" s="11" t="s">
        <v>1783</v>
      </c>
      <c r="B580" s="11" t="s">
        <v>160</v>
      </c>
      <c r="C580" s="11" t="str">
        <f aca="false">B580&amp;":"&amp;A580</f>
        <v>att_mitocarta_pathway:tca_associated</v>
      </c>
      <c r="D580" s="14" t="s">
        <v>17</v>
      </c>
      <c r="E580" s="11" t="s">
        <v>1784</v>
      </c>
      <c r="F580" s="11" t="s">
        <v>1785</v>
      </c>
    </row>
    <row r="581" customFormat="false" ht="12.8" hidden="false" customHeight="false" outlineLevel="0" collapsed="false">
      <c r="A581" s="11" t="s">
        <v>1786</v>
      </c>
      <c r="B581" s="11" t="s">
        <v>160</v>
      </c>
      <c r="C581" s="11" t="str">
        <f aca="false">B581&amp;":"&amp;A581</f>
        <v>att_mitocarta_pathway:tca_cycle</v>
      </c>
      <c r="D581" s="14" t="s">
        <v>17</v>
      </c>
      <c r="E581" s="11" t="s">
        <v>1787</v>
      </c>
      <c r="F581" s="11" t="s">
        <v>1788</v>
      </c>
    </row>
    <row r="582" customFormat="false" ht="12.8" hidden="false" customHeight="false" outlineLevel="0" collapsed="false">
      <c r="A582" s="11" t="s">
        <v>1789</v>
      </c>
      <c r="B582" s="11" t="s">
        <v>160</v>
      </c>
      <c r="C582" s="11" t="str">
        <f aca="false">B582&amp;":"&amp;A582</f>
        <v>att_mitocarta_pathway:tetrahydrobiopterin_synthesis</v>
      </c>
      <c r="D582" s="14" t="s">
        <v>17</v>
      </c>
      <c r="E582" s="11" t="s">
        <v>1790</v>
      </c>
      <c r="F582" s="11" t="s">
        <v>1791</v>
      </c>
    </row>
    <row r="583" customFormat="false" ht="12.8" hidden="false" customHeight="false" outlineLevel="0" collapsed="false">
      <c r="A583" s="11" t="s">
        <v>1792</v>
      </c>
      <c r="B583" s="11" t="s">
        <v>160</v>
      </c>
      <c r="C583" s="11" t="str">
        <f aca="false">B583&amp;":"&amp;A583</f>
        <v>att_mitocarta_pathway:tim22_carrier_pathway</v>
      </c>
      <c r="D583" s="14" t="s">
        <v>17</v>
      </c>
      <c r="E583" s="11" t="s">
        <v>1793</v>
      </c>
      <c r="F583" s="11" t="s">
        <v>1794</v>
      </c>
    </row>
    <row r="584" customFormat="false" ht="12.8" hidden="false" customHeight="false" outlineLevel="0" collapsed="false">
      <c r="A584" s="11" t="s">
        <v>1795</v>
      </c>
      <c r="B584" s="11" t="s">
        <v>160</v>
      </c>
      <c r="C584" s="11" t="str">
        <f aca="false">B584&amp;":"&amp;A584</f>
        <v>att_mitocarta_pathway:tim23_presequence_pathway</v>
      </c>
      <c r="D584" s="14" t="s">
        <v>17</v>
      </c>
      <c r="E584" s="11" t="s">
        <v>1796</v>
      </c>
      <c r="F584" s="11" t="s">
        <v>1797</v>
      </c>
    </row>
    <row r="585" customFormat="false" ht="12.8" hidden="false" customHeight="false" outlineLevel="0" collapsed="false">
      <c r="A585" s="11" t="s">
        <v>1798</v>
      </c>
      <c r="B585" s="11" t="s">
        <v>160</v>
      </c>
      <c r="C585" s="11" t="str">
        <f aca="false">B585&amp;":"&amp;A585</f>
        <v>att_mitocarta_pathway:tom</v>
      </c>
      <c r="D585" s="14" t="s">
        <v>17</v>
      </c>
      <c r="E585" s="11" t="s">
        <v>1799</v>
      </c>
      <c r="F585" s="11" t="s">
        <v>1800</v>
      </c>
    </row>
    <row r="586" customFormat="false" ht="12.8" hidden="false" customHeight="false" outlineLevel="0" collapsed="false">
      <c r="A586" s="11" t="s">
        <v>1801</v>
      </c>
      <c r="B586" s="11" t="s">
        <v>160</v>
      </c>
      <c r="C586" s="11" t="str">
        <f aca="false">B586&amp;":"&amp;A586</f>
        <v>att_mitocarta_pathway:trafficking</v>
      </c>
      <c r="D586" s="14" t="s">
        <v>17</v>
      </c>
      <c r="E586" s="11" t="s">
        <v>1802</v>
      </c>
      <c r="F586" s="11" t="s">
        <v>1803</v>
      </c>
    </row>
    <row r="587" customFormat="false" ht="12.8" hidden="false" customHeight="false" outlineLevel="0" collapsed="false">
      <c r="A587" s="11" t="s">
        <v>1804</v>
      </c>
      <c r="B587" s="11" t="s">
        <v>160</v>
      </c>
      <c r="C587" s="11" t="str">
        <f aca="false">B587&amp;":"&amp;A587</f>
        <v>att_mitocarta_pathway:transcription</v>
      </c>
      <c r="D587" s="14" t="s">
        <v>17</v>
      </c>
      <c r="E587" s="11" t="s">
        <v>1805</v>
      </c>
      <c r="F587" s="11" t="s">
        <v>1806</v>
      </c>
    </row>
    <row r="588" customFormat="false" ht="12.8" hidden="false" customHeight="false" outlineLevel="0" collapsed="false">
      <c r="A588" s="11" t="s">
        <v>1807</v>
      </c>
      <c r="B588" s="11" t="s">
        <v>160</v>
      </c>
      <c r="C588" s="11" t="str">
        <f aca="false">B588&amp;":"&amp;A588</f>
        <v>att_mitocarta_pathway:translation</v>
      </c>
      <c r="D588" s="14" t="s">
        <v>17</v>
      </c>
      <c r="E588" s="11" t="s">
        <v>1808</v>
      </c>
      <c r="F588" s="11" t="s">
        <v>1809</v>
      </c>
    </row>
    <row r="589" customFormat="false" ht="12.8" hidden="false" customHeight="false" outlineLevel="0" collapsed="false">
      <c r="A589" s="11" t="s">
        <v>1810</v>
      </c>
      <c r="B589" s="11" t="s">
        <v>160</v>
      </c>
      <c r="C589" s="11" t="str">
        <f aca="false">B589&amp;":"&amp;A589</f>
        <v>att_mitocarta_pathway:translation_factors</v>
      </c>
      <c r="D589" s="14" t="s">
        <v>17</v>
      </c>
      <c r="E589" s="11" t="s">
        <v>1811</v>
      </c>
      <c r="F589" s="11" t="s">
        <v>1812</v>
      </c>
    </row>
    <row r="590" customFormat="false" ht="12.8" hidden="false" customHeight="false" outlineLevel="0" collapsed="false">
      <c r="A590" s="11" t="s">
        <v>1813</v>
      </c>
      <c r="B590" s="11" t="s">
        <v>160</v>
      </c>
      <c r="C590" s="11" t="str">
        <f aca="false">B590&amp;":"&amp;A590</f>
        <v>att_mitocarta_pathway:type_ii_fatty_acid_synthesis</v>
      </c>
      <c r="D590" s="14" t="s">
        <v>17</v>
      </c>
      <c r="E590" s="11" t="s">
        <v>1814</v>
      </c>
      <c r="F590" s="11" t="s">
        <v>1815</v>
      </c>
    </row>
    <row r="591" customFormat="false" ht="12.8" hidden="false" customHeight="false" outlineLevel="0" collapsed="false">
      <c r="A591" s="11" t="s">
        <v>1816</v>
      </c>
      <c r="B591" s="11" t="s">
        <v>160</v>
      </c>
      <c r="C591" s="11" t="str">
        <f aca="false">B591&amp;":"&amp;A591</f>
        <v>att_mitocarta_pathway:urea_cycle</v>
      </c>
      <c r="D591" s="14" t="s">
        <v>17</v>
      </c>
      <c r="E591" s="11" t="s">
        <v>1817</v>
      </c>
      <c r="F591" s="11" t="s">
        <v>1818</v>
      </c>
    </row>
    <row r="592" customFormat="false" ht="12.8" hidden="false" customHeight="false" outlineLevel="0" collapsed="false">
      <c r="A592" s="11" t="s">
        <v>1819</v>
      </c>
      <c r="B592" s="11" t="s">
        <v>160</v>
      </c>
      <c r="C592" s="11" t="str">
        <f aca="false">B592&amp;":"&amp;A592</f>
        <v>att_mitocarta_pathway:vitamin_a_metabolism</v>
      </c>
      <c r="D592" s="14" t="s">
        <v>17</v>
      </c>
      <c r="E592" s="11" t="s">
        <v>1820</v>
      </c>
      <c r="F592" s="11" t="s">
        <v>1821</v>
      </c>
    </row>
    <row r="593" customFormat="false" ht="12.8" hidden="false" customHeight="false" outlineLevel="0" collapsed="false">
      <c r="A593" s="11" t="s">
        <v>1822</v>
      </c>
      <c r="B593" s="11" t="s">
        <v>160</v>
      </c>
      <c r="C593" s="11" t="str">
        <f aca="false">B593&amp;":"&amp;A593</f>
        <v>att_mitocarta_pathway:vitamin_b1_metabolism</v>
      </c>
      <c r="D593" s="14" t="s">
        <v>17</v>
      </c>
      <c r="E593" s="11" t="s">
        <v>1823</v>
      </c>
      <c r="F593" s="11" t="s">
        <v>1824</v>
      </c>
    </row>
    <row r="594" customFormat="false" ht="12.8" hidden="false" customHeight="false" outlineLevel="0" collapsed="false">
      <c r="A594" s="11" t="s">
        <v>1825</v>
      </c>
      <c r="B594" s="11" t="s">
        <v>160</v>
      </c>
      <c r="C594" s="11" t="str">
        <f aca="false">B594&amp;":"&amp;A594</f>
        <v>att_mitocarta_pathway:vitamin_b12_metabolism</v>
      </c>
      <c r="D594" s="14" t="s">
        <v>17</v>
      </c>
      <c r="E594" s="11" t="s">
        <v>1826</v>
      </c>
      <c r="F594" s="11" t="s">
        <v>1827</v>
      </c>
    </row>
    <row r="595" customFormat="false" ht="12.8" hidden="false" customHeight="false" outlineLevel="0" collapsed="false">
      <c r="A595" s="11" t="s">
        <v>1828</v>
      </c>
      <c r="B595" s="11" t="s">
        <v>160</v>
      </c>
      <c r="C595" s="11" t="str">
        <f aca="false">B595&amp;":"&amp;A595</f>
        <v>att_mitocarta_pathway:vitamin_b2_metabolism</v>
      </c>
      <c r="D595" s="14" t="s">
        <v>17</v>
      </c>
      <c r="E595" s="11" t="s">
        <v>1829</v>
      </c>
      <c r="F595" s="11" t="s">
        <v>1830</v>
      </c>
    </row>
    <row r="596" customFormat="false" ht="12.8" hidden="false" customHeight="false" outlineLevel="0" collapsed="false">
      <c r="A596" s="11" t="s">
        <v>1831</v>
      </c>
      <c r="B596" s="11" t="s">
        <v>160</v>
      </c>
      <c r="C596" s="11" t="str">
        <f aca="false">B596&amp;":"&amp;A596</f>
        <v>att_mitocarta_pathway:vitamin_b6_metabolism</v>
      </c>
      <c r="D596" s="14" t="s">
        <v>17</v>
      </c>
      <c r="E596" s="11" t="s">
        <v>1832</v>
      </c>
      <c r="F596" s="11" t="s">
        <v>1833</v>
      </c>
    </row>
    <row r="597" customFormat="false" ht="12.8" hidden="false" customHeight="false" outlineLevel="0" collapsed="false">
      <c r="A597" s="11" t="s">
        <v>1834</v>
      </c>
      <c r="B597" s="11" t="s">
        <v>160</v>
      </c>
      <c r="C597" s="11" t="str">
        <f aca="false">B597&amp;":"&amp;A597</f>
        <v>att_mitocarta_pathway:vitamin_c_metabolism</v>
      </c>
      <c r="D597" s="14" t="s">
        <v>17</v>
      </c>
      <c r="E597" s="11" t="s">
        <v>1835</v>
      </c>
      <c r="F597" s="11" t="s">
        <v>1836</v>
      </c>
    </row>
    <row r="598" customFormat="false" ht="12.8" hidden="false" customHeight="false" outlineLevel="0" collapsed="false">
      <c r="A598" s="11" t="s">
        <v>1837</v>
      </c>
      <c r="B598" s="11" t="s">
        <v>160</v>
      </c>
      <c r="C598" s="11" t="str">
        <f aca="false">B598&amp;":"&amp;A598</f>
        <v>att_mitocarta_pathway:vitamin_d_metabolism</v>
      </c>
      <c r="D598" s="14" t="s">
        <v>17</v>
      </c>
      <c r="E598" s="11" t="s">
        <v>1838</v>
      </c>
      <c r="F598" s="11" t="s">
        <v>1839</v>
      </c>
    </row>
    <row r="599" customFormat="false" ht="12.8" hidden="false" customHeight="false" outlineLevel="0" collapsed="false">
      <c r="A599" s="11" t="s">
        <v>1840</v>
      </c>
      <c r="B599" s="11" t="s">
        <v>160</v>
      </c>
      <c r="C599" s="11" t="str">
        <f aca="false">B599&amp;":"&amp;A599</f>
        <v>att_mitocarta_pathway:vitamin_metabolism</v>
      </c>
      <c r="D599" s="14" t="s">
        <v>17</v>
      </c>
      <c r="E599" s="11" t="s">
        <v>1841</v>
      </c>
      <c r="F599" s="11" t="s">
        <v>1842</v>
      </c>
    </row>
    <row r="600" customFormat="false" ht="12.8" hidden="false" customHeight="false" outlineLevel="0" collapsed="false">
      <c r="A600" s="11" t="s">
        <v>1843</v>
      </c>
      <c r="B600" s="11" t="s">
        <v>160</v>
      </c>
      <c r="C600" s="11" t="str">
        <f aca="false">B600&amp;":"&amp;A600</f>
        <v>att_mitocarta_pathway:xenobiotic_metabolism</v>
      </c>
      <c r="D600" s="14" t="s">
        <v>17</v>
      </c>
      <c r="E600" s="11" t="s">
        <v>1844</v>
      </c>
      <c r="F600" s="11" t="s">
        <v>1845</v>
      </c>
    </row>
    <row r="601" customFormat="false" ht="12.8" hidden="false" customHeight="false" outlineLevel="0" collapsed="false">
      <c r="A601" s="11" t="s">
        <v>1846</v>
      </c>
      <c r="B601" s="11" t="s">
        <v>1847</v>
      </c>
      <c r="C601" s="11" t="str">
        <f aca="false">B601&amp;":"&amp;A601</f>
        <v>att_mockup:arbitrary</v>
      </c>
      <c r="D601" s="14" t="s">
        <v>17</v>
      </c>
      <c r="E601" s="11" t="s">
        <v>1848</v>
      </c>
      <c r="F601" s="11" t="s">
        <v>1849</v>
      </c>
    </row>
    <row r="602" customFormat="false" ht="12.8" hidden="false" customHeight="false" outlineLevel="0" collapsed="false">
      <c r="A602" s="11" t="s">
        <v>1850</v>
      </c>
      <c r="B602" s="11" t="s">
        <v>1847</v>
      </c>
      <c r="C602" s="11" t="str">
        <f aca="false">B602&amp;":"&amp;A602</f>
        <v>att_mockup:random</v>
      </c>
      <c r="D602" s="14" t="s">
        <v>17</v>
      </c>
      <c r="E602" s="11" t="s">
        <v>1851</v>
      </c>
      <c r="F602" s="11" t="s">
        <v>1849</v>
      </c>
    </row>
    <row r="603" customFormat="false" ht="12.8" hidden="false" customHeight="false" outlineLevel="0" collapsed="false">
      <c r="A603" s="11" t="s">
        <v>1852</v>
      </c>
      <c r="B603" s="11" t="s">
        <v>163</v>
      </c>
      <c r="C603" s="11" t="str">
        <f aca="false">B603&amp;":"&amp;A603</f>
        <v>att_model:in_vitro</v>
      </c>
      <c r="D603" s="14" t="s">
        <v>17</v>
      </c>
      <c r="E603" s="11" t="s">
        <v>1853</v>
      </c>
      <c r="F603" s="11" t="s">
        <v>1854</v>
      </c>
    </row>
    <row r="604" customFormat="false" ht="12.8" hidden="false" customHeight="false" outlineLevel="0" collapsed="false">
      <c r="A604" s="11" t="s">
        <v>1855</v>
      </c>
      <c r="B604" s="11" t="s">
        <v>163</v>
      </c>
      <c r="C604" s="11" t="str">
        <f aca="false">B604&amp;":"&amp;A604</f>
        <v>att_model:in_vivo</v>
      </c>
      <c r="D604" s="14" t="s">
        <v>17</v>
      </c>
      <c r="E604" s="11" t="s">
        <v>1856</v>
      </c>
      <c r="F604" s="11" t="s">
        <v>1857</v>
      </c>
    </row>
    <row r="605" customFormat="false" ht="12.8" hidden="false" customHeight="false" outlineLevel="0" collapsed="false">
      <c r="A605" s="11" t="s">
        <v>1858</v>
      </c>
      <c r="B605" s="11" t="s">
        <v>163</v>
      </c>
      <c r="C605" s="11" t="str">
        <f aca="false">B605&amp;":"&amp;A605</f>
        <v>att_model:xenografts</v>
      </c>
      <c r="D605" s="14" t="s">
        <v>17</v>
      </c>
      <c r="E605" s="11" t="s">
        <v>1858</v>
      </c>
      <c r="F605" s="11" t="s">
        <v>1859</v>
      </c>
    </row>
    <row r="606" customFormat="false" ht="12.8" hidden="false" customHeight="false" outlineLevel="0" collapsed="false">
      <c r="A606" s="11" t="s">
        <v>1860</v>
      </c>
      <c r="B606" s="11" t="s">
        <v>23</v>
      </c>
      <c r="C606" s="11" t="str">
        <f aca="false">B606&amp;":"&amp;A606</f>
        <v>att_ms:eclips</v>
      </c>
      <c r="D606" s="14" t="s">
        <v>17</v>
      </c>
      <c r="E606" s="11" t="s">
        <v>1861</v>
      </c>
      <c r="F606" s="11" t="s">
        <v>1861</v>
      </c>
    </row>
    <row r="607" customFormat="false" ht="12.8" hidden="false" customHeight="false" outlineLevel="0" collapsed="false">
      <c r="A607" s="11" t="s">
        <v>1862</v>
      </c>
      <c r="B607" s="11" t="s">
        <v>23</v>
      </c>
      <c r="C607" s="11" t="str">
        <f aca="false">B607&amp;":"&amp;A607</f>
        <v>att_ms:exploris240</v>
      </c>
      <c r="D607" s="14" t="s">
        <v>17</v>
      </c>
      <c r="E607" s="11" t="s">
        <v>1863</v>
      </c>
      <c r="F607" s="11" t="s">
        <v>1864</v>
      </c>
    </row>
    <row r="608" customFormat="false" ht="12.8" hidden="false" customHeight="false" outlineLevel="0" collapsed="false">
      <c r="A608" s="11" t="s">
        <v>1865</v>
      </c>
      <c r="B608" s="11" t="s">
        <v>23</v>
      </c>
      <c r="C608" s="11" t="str">
        <f aca="false">B608&amp;":"&amp;A608</f>
        <v>att_ms:exploris480</v>
      </c>
      <c r="D608" s="14" t="s">
        <v>17</v>
      </c>
      <c r="E608" s="11" t="s">
        <v>1866</v>
      </c>
      <c r="F608" s="11" t="s">
        <v>1867</v>
      </c>
    </row>
    <row r="609" customFormat="false" ht="12.8" hidden="false" customHeight="false" outlineLevel="0" collapsed="false">
      <c r="A609" s="11" t="s">
        <v>1868</v>
      </c>
      <c r="B609" s="11" t="s">
        <v>23</v>
      </c>
      <c r="C609" s="11" t="str">
        <f aca="false">B609&amp;":"&amp;A609</f>
        <v>att_ms:qex</v>
      </c>
      <c r="D609" s="14" t="s">
        <v>17</v>
      </c>
      <c r="E609" s="11" t="s">
        <v>1869</v>
      </c>
      <c r="F609" s="11" t="s">
        <v>1870</v>
      </c>
    </row>
    <row r="610" customFormat="false" ht="12.8" hidden="false" customHeight="false" outlineLevel="0" collapsed="false">
      <c r="A610" s="11" t="s">
        <v>1871</v>
      </c>
      <c r="B610" s="11" t="s">
        <v>23</v>
      </c>
      <c r="C610" s="11" t="str">
        <f aca="false">B610&amp;":"&amp;A610</f>
        <v>att_ms:qexplus</v>
      </c>
      <c r="D610" s="14" t="s">
        <v>17</v>
      </c>
      <c r="E610" s="11" t="s">
        <v>1872</v>
      </c>
      <c r="F610" s="11" t="s">
        <v>1873</v>
      </c>
    </row>
    <row r="611" customFormat="false" ht="12.8" hidden="false" customHeight="false" outlineLevel="0" collapsed="false">
      <c r="A611" s="11" t="s">
        <v>1874</v>
      </c>
      <c r="B611" s="11" t="s">
        <v>23</v>
      </c>
      <c r="C611" s="11" t="str">
        <f aca="false">B611&amp;":"&amp;A611</f>
        <v>att_ms:ttofhct</v>
      </c>
      <c r="D611" s="14" t="s">
        <v>17</v>
      </c>
      <c r="E611" s="11" t="s">
        <v>1875</v>
      </c>
      <c r="F611" s="11" t="s">
        <v>1875</v>
      </c>
    </row>
    <row r="612" customFormat="false" ht="12.8" hidden="false" customHeight="false" outlineLevel="0" collapsed="false">
      <c r="A612" s="11" t="s">
        <v>1876</v>
      </c>
      <c r="B612" s="11" t="s">
        <v>23</v>
      </c>
      <c r="C612" s="11" t="str">
        <f aca="false">B612&amp;":"&amp;A612</f>
        <v>att_ms:ttofscp</v>
      </c>
      <c r="D612" s="14" t="s">
        <v>17</v>
      </c>
      <c r="E612" s="11" t="s">
        <v>1877</v>
      </c>
      <c r="F612" s="11" t="s">
        <v>1878</v>
      </c>
    </row>
    <row r="613" customFormat="false" ht="12.8" hidden="false" customHeight="false" outlineLevel="0" collapsed="false">
      <c r="A613" s="11" t="s">
        <v>1879</v>
      </c>
      <c r="B613" s="11" t="s">
        <v>117</v>
      </c>
      <c r="C613" s="11" t="str">
        <f aca="false">B613&amp;":"&amp;A613</f>
        <v>att_ms_interface:faims</v>
      </c>
      <c r="D613" s="14" t="s">
        <v>17</v>
      </c>
      <c r="E613" s="11" t="s">
        <v>1880</v>
      </c>
      <c r="F613" s="11" t="s">
        <v>1881</v>
      </c>
    </row>
    <row r="614" customFormat="false" ht="12.8" hidden="false" customHeight="false" outlineLevel="0" collapsed="false">
      <c r="A614" s="11" t="s">
        <v>348</v>
      </c>
      <c r="B614" s="11" t="s">
        <v>117</v>
      </c>
      <c r="C614" s="11" t="str">
        <f aca="false">B614&amp;":"&amp;A614</f>
        <v>att_ms_interface:none</v>
      </c>
      <c r="D614" s="14" t="s">
        <v>17</v>
      </c>
      <c r="E614" s="11" t="s">
        <v>1882</v>
      </c>
      <c r="F614" s="11" t="s">
        <v>1883</v>
      </c>
    </row>
    <row r="615" customFormat="false" ht="12.8" hidden="false" customHeight="false" outlineLevel="0" collapsed="false">
      <c r="A615" s="11" t="s">
        <v>1884</v>
      </c>
      <c r="B615" s="11" t="s">
        <v>38</v>
      </c>
      <c r="C615" s="11" t="str">
        <f aca="false">B615&amp;":"&amp;A615</f>
        <v>att_ms_ionsource:easy_spray</v>
      </c>
      <c r="D615" s="14" t="s">
        <v>17</v>
      </c>
      <c r="E615" s="11" t="s">
        <v>1885</v>
      </c>
      <c r="F615" s="11" t="s">
        <v>1886</v>
      </c>
    </row>
    <row r="616" customFormat="false" ht="12.8" hidden="false" customHeight="false" outlineLevel="0" collapsed="false">
      <c r="A616" s="11" t="s">
        <v>1887</v>
      </c>
      <c r="B616" s="11" t="s">
        <v>38</v>
      </c>
      <c r="C616" s="11" t="str">
        <f aca="false">B616&amp;":"&amp;A616</f>
        <v>att_ms_ionsource:flex</v>
      </c>
      <c r="D616" s="14" t="s">
        <v>17</v>
      </c>
      <c r="E616" s="11" t="s">
        <v>1888</v>
      </c>
      <c r="F616" s="11" t="s">
        <v>1889</v>
      </c>
    </row>
    <row r="617" customFormat="false" ht="12.8" hidden="false" customHeight="false" outlineLevel="0" collapsed="false">
      <c r="A617" s="11" t="s">
        <v>1890</v>
      </c>
      <c r="B617" s="11" t="s">
        <v>38</v>
      </c>
      <c r="C617" s="11" t="str">
        <f aca="false">B617&amp;":"&amp;A617</f>
        <v>att_ms_ionsource:ion_max</v>
      </c>
      <c r="D617" s="14" t="s">
        <v>17</v>
      </c>
      <c r="E617" s="11" t="s">
        <v>1891</v>
      </c>
      <c r="F617" s="11" t="s">
        <v>1892</v>
      </c>
    </row>
    <row r="618" customFormat="false" ht="12.8" hidden="false" customHeight="false" outlineLevel="0" collapsed="false">
      <c r="A618" s="11" t="s">
        <v>1893</v>
      </c>
      <c r="B618" s="11" t="s">
        <v>167</v>
      </c>
      <c r="C618" s="11" t="str">
        <f aca="false">B618&amp;":"&amp;A618</f>
        <v>att_ms_name:e1</v>
      </c>
      <c r="D618" s="11" t="s">
        <v>1893</v>
      </c>
      <c r="E618" s="11" t="s">
        <v>1894</v>
      </c>
      <c r="F618" s="11" t="s">
        <v>1895</v>
      </c>
    </row>
    <row r="619" customFormat="false" ht="12.8" hidden="false" customHeight="false" outlineLevel="0" collapsed="false">
      <c r="A619" s="11" t="s">
        <v>1896</v>
      </c>
      <c r="B619" s="11" t="s">
        <v>167</v>
      </c>
      <c r="C619" s="11" t="str">
        <f aca="false">B619&amp;":"&amp;A619</f>
        <v>att_ms_name:e2</v>
      </c>
      <c r="D619" s="11" t="s">
        <v>1896</v>
      </c>
      <c r="E619" s="11" t="s">
        <v>1897</v>
      </c>
      <c r="F619" s="11" t="s">
        <v>1898</v>
      </c>
    </row>
    <row r="620" customFormat="false" ht="12.8" hidden="false" customHeight="false" outlineLevel="0" collapsed="false">
      <c r="A620" s="11" t="s">
        <v>1899</v>
      </c>
      <c r="B620" s="11" t="s">
        <v>167</v>
      </c>
      <c r="C620" s="11" t="str">
        <f aca="false">B620&amp;":"&amp;A620</f>
        <v>att_ms_name:expl480</v>
      </c>
      <c r="D620" s="11" t="s">
        <v>1899</v>
      </c>
      <c r="E620" s="11" t="s">
        <v>1900</v>
      </c>
      <c r="F620" s="11" t="s">
        <v>1901</v>
      </c>
    </row>
    <row r="621" customFormat="false" ht="12.8" hidden="false" customHeight="false" outlineLevel="0" collapsed="false">
      <c r="A621" s="11" t="s">
        <v>1902</v>
      </c>
      <c r="B621" s="11" t="s">
        <v>167</v>
      </c>
      <c r="C621" s="11" t="str">
        <f aca="false">B621&amp;":"&amp;A621</f>
        <v>att_ms_name:ignarius</v>
      </c>
      <c r="D621" s="11" t="s">
        <v>1902</v>
      </c>
      <c r="E621" s="11" t="s">
        <v>1903</v>
      </c>
      <c r="F621" s="11" t="s">
        <v>1904</v>
      </c>
    </row>
    <row r="622" customFormat="false" ht="12.8" hidden="false" customHeight="false" outlineLevel="0" collapsed="false">
      <c r="A622" s="11" t="s">
        <v>1905</v>
      </c>
      <c r="B622" s="11" t="s">
        <v>167</v>
      </c>
      <c r="C622" s="11" t="str">
        <f aca="false">B622&amp;":"&amp;A622</f>
        <v>att_ms_name:timstof</v>
      </c>
      <c r="D622" s="11" t="s">
        <v>1905</v>
      </c>
      <c r="E622" s="11" t="s">
        <v>1906</v>
      </c>
      <c r="F622" s="11" t="s">
        <v>1907</v>
      </c>
    </row>
    <row r="623" customFormat="false" ht="12.8" hidden="false" customHeight="false" outlineLevel="0" collapsed="false">
      <c r="A623" s="11" t="s">
        <v>1908</v>
      </c>
      <c r="B623" s="11" t="s">
        <v>177</v>
      </c>
      <c r="C623" s="11" t="str">
        <f aca="false">B623&amp;":"&amp;A623</f>
        <v>att_ms2_resolution:120000res</v>
      </c>
      <c r="D623" s="14" t="s">
        <v>17</v>
      </c>
      <c r="E623" s="11" t="n">
        <v>120000</v>
      </c>
      <c r="F623" s="11" t="s">
        <v>1909</v>
      </c>
    </row>
    <row r="624" customFormat="false" ht="12.8" hidden="false" customHeight="false" outlineLevel="0" collapsed="false">
      <c r="A624" s="11" t="s">
        <v>1910</v>
      </c>
      <c r="B624" s="11" t="s">
        <v>177</v>
      </c>
      <c r="C624" s="11" t="str">
        <f aca="false">B624&amp;":"&amp;A624</f>
        <v>att_ms2_resolution:15000res</v>
      </c>
      <c r="D624" s="14" t="s">
        <v>17</v>
      </c>
      <c r="E624" s="11" t="n">
        <v>15000</v>
      </c>
      <c r="F624" s="11" t="s">
        <v>1909</v>
      </c>
    </row>
    <row r="625" customFormat="false" ht="12.8" hidden="false" customHeight="false" outlineLevel="0" collapsed="false">
      <c r="A625" s="11" t="s">
        <v>1911</v>
      </c>
      <c r="B625" s="11" t="s">
        <v>177</v>
      </c>
      <c r="C625" s="11" t="str">
        <f aca="false">B625&amp;":"&amp;A625</f>
        <v>att_ms2_resolution:17500res</v>
      </c>
      <c r="D625" s="14" t="s">
        <v>17</v>
      </c>
      <c r="E625" s="11" t="n">
        <v>17500</v>
      </c>
      <c r="F625" s="11" t="s">
        <v>1912</v>
      </c>
    </row>
    <row r="626" customFormat="false" ht="12.8" hidden="false" customHeight="false" outlineLevel="0" collapsed="false">
      <c r="A626" s="11" t="s">
        <v>1913</v>
      </c>
      <c r="B626" s="11" t="s">
        <v>177</v>
      </c>
      <c r="C626" s="11" t="str">
        <f aca="false">B626&amp;":"&amp;A626</f>
        <v>att_ms2_resolution:30000res</v>
      </c>
      <c r="D626" s="14" t="s">
        <v>17</v>
      </c>
      <c r="E626" s="11" t="n">
        <v>30000</v>
      </c>
      <c r="F626" s="11" t="s">
        <v>1909</v>
      </c>
    </row>
    <row r="627" customFormat="false" ht="12.8" hidden="false" customHeight="false" outlineLevel="0" collapsed="false">
      <c r="A627" s="11" t="s">
        <v>1914</v>
      </c>
      <c r="B627" s="11" t="s">
        <v>177</v>
      </c>
      <c r="C627" s="11" t="str">
        <f aca="false">B627&amp;":"&amp;A627</f>
        <v>att_ms2_resolution:35000res</v>
      </c>
      <c r="D627" s="14" t="s">
        <v>17</v>
      </c>
      <c r="E627" s="11" t="n">
        <v>35000</v>
      </c>
      <c r="F627" s="11" t="s">
        <v>1912</v>
      </c>
    </row>
    <row r="628" customFormat="false" ht="12.8" hidden="false" customHeight="false" outlineLevel="0" collapsed="false">
      <c r="A628" s="11" t="s">
        <v>1915</v>
      </c>
      <c r="B628" s="11" t="s">
        <v>177</v>
      </c>
      <c r="C628" s="11" t="str">
        <f aca="false">B628&amp;":"&amp;A628</f>
        <v>att_ms2_resolution:45000res</v>
      </c>
      <c r="D628" s="14" t="s">
        <v>17</v>
      </c>
      <c r="E628" s="11" t="n">
        <v>45000</v>
      </c>
      <c r="F628" s="11" t="s">
        <v>1909</v>
      </c>
    </row>
    <row r="629" customFormat="false" ht="12.8" hidden="false" customHeight="false" outlineLevel="0" collapsed="false">
      <c r="A629" s="11" t="s">
        <v>1916</v>
      </c>
      <c r="B629" s="11" t="s">
        <v>177</v>
      </c>
      <c r="C629" s="11" t="str">
        <f aca="false">B629&amp;":"&amp;A629</f>
        <v>att_ms2_resolution:60000res</v>
      </c>
      <c r="D629" s="14" t="s">
        <v>17</v>
      </c>
      <c r="E629" s="11" t="n">
        <v>60000</v>
      </c>
      <c r="F629" s="11" t="s">
        <v>1909</v>
      </c>
    </row>
    <row r="630" customFormat="false" ht="12.8" hidden="false" customHeight="false" outlineLevel="0" collapsed="false">
      <c r="A630" s="11" t="s">
        <v>1917</v>
      </c>
      <c r="B630" s="11" t="s">
        <v>177</v>
      </c>
      <c r="C630" s="11" t="str">
        <f aca="false">B630&amp;":"&amp;A630</f>
        <v>att_ms2_resolution:7500res</v>
      </c>
      <c r="D630" s="14" t="s">
        <v>17</v>
      </c>
      <c r="E630" s="11" t="n">
        <v>7500</v>
      </c>
      <c r="F630" s="11" t="s">
        <v>1909</v>
      </c>
    </row>
    <row r="631" customFormat="false" ht="12.8" hidden="false" customHeight="false" outlineLevel="0" collapsed="false">
      <c r="A631" s="11" t="s">
        <v>1918</v>
      </c>
      <c r="B631" s="11" t="s">
        <v>182</v>
      </c>
      <c r="C631" s="11" t="str">
        <f aca="false">B631&amp;":"&amp;A631</f>
        <v>att_muscle:ab</v>
      </c>
      <c r="D631" s="14" t="s">
        <v>17</v>
      </c>
      <c r="E631" s="11" t="s">
        <v>1919</v>
      </c>
      <c r="F631" s="11" t="s">
        <v>1920</v>
      </c>
    </row>
    <row r="632" customFormat="false" ht="12.8" hidden="false" customHeight="false" outlineLevel="0" collapsed="false">
      <c r="A632" s="11" t="s">
        <v>1921</v>
      </c>
      <c r="B632" s="11" t="s">
        <v>182</v>
      </c>
      <c r="C632" s="11" t="str">
        <f aca="false">B632&amp;":"&amp;A632</f>
        <v>att_muscle:al</v>
      </c>
      <c r="D632" s="14" t="s">
        <v>17</v>
      </c>
      <c r="E632" s="11" t="s">
        <v>1922</v>
      </c>
      <c r="F632" s="11" t="s">
        <v>1923</v>
      </c>
    </row>
    <row r="633" customFormat="false" ht="12.8" hidden="false" customHeight="false" outlineLevel="0" collapsed="false">
      <c r="A633" s="11" t="s">
        <v>1924</v>
      </c>
      <c r="B633" s="11" t="s">
        <v>182</v>
      </c>
      <c r="C633" s="11" t="str">
        <f aca="false">B633&amp;":"&amp;A633</f>
        <v>att_muscle:am</v>
      </c>
      <c r="D633" s="14" t="s">
        <v>17</v>
      </c>
      <c r="E633" s="11" t="s">
        <v>1925</v>
      </c>
      <c r="F633" s="11" t="s">
        <v>1926</v>
      </c>
    </row>
    <row r="634" customFormat="false" ht="12.8" hidden="false" customHeight="false" outlineLevel="0" collapsed="false">
      <c r="A634" s="11" t="s">
        <v>1927</v>
      </c>
      <c r="B634" s="11" t="s">
        <v>182</v>
      </c>
      <c r="C634" s="11" t="str">
        <f aca="false">B634&amp;":"&amp;A634</f>
        <v>att_muscle:an</v>
      </c>
      <c r="D634" s="14" t="s">
        <v>17</v>
      </c>
      <c r="E634" s="11" t="s">
        <v>1928</v>
      </c>
      <c r="F634" s="11" t="s">
        <v>1929</v>
      </c>
    </row>
    <row r="635" customFormat="false" ht="12.8" hidden="false" customHeight="false" outlineLevel="0" collapsed="false">
      <c r="A635" s="11" t="s">
        <v>1930</v>
      </c>
      <c r="B635" s="11" t="s">
        <v>182</v>
      </c>
      <c r="C635" s="11" t="str">
        <f aca="false">B635&amp;":"&amp;A635</f>
        <v>att_muscle:bbl</v>
      </c>
      <c r="D635" s="14" t="s">
        <v>17</v>
      </c>
      <c r="E635" s="11" t="s">
        <v>1931</v>
      </c>
      <c r="F635" s="11" t="s">
        <v>1932</v>
      </c>
    </row>
    <row r="636" customFormat="false" ht="12.8" hidden="false" customHeight="false" outlineLevel="0" collapsed="false">
      <c r="A636" s="11" t="s">
        <v>1933</v>
      </c>
      <c r="B636" s="11" t="s">
        <v>182</v>
      </c>
      <c r="C636" s="11" t="str">
        <f aca="false">B636&amp;":"&amp;A636</f>
        <v>att_muscle:bbs</v>
      </c>
      <c r="D636" s="14" t="s">
        <v>17</v>
      </c>
      <c r="E636" s="11" t="s">
        <v>1934</v>
      </c>
      <c r="F636" s="11" t="s">
        <v>1935</v>
      </c>
    </row>
    <row r="637" customFormat="false" ht="12.8" hidden="false" customHeight="false" outlineLevel="0" collapsed="false">
      <c r="A637" s="11" t="s">
        <v>1936</v>
      </c>
      <c r="B637" s="11" t="s">
        <v>182</v>
      </c>
      <c r="C637" s="11" t="str">
        <f aca="false">B637&amp;":"&amp;A637</f>
        <v>att_muscle:bfa</v>
      </c>
      <c r="D637" s="14" t="s">
        <v>17</v>
      </c>
      <c r="E637" s="11" t="s">
        <v>1937</v>
      </c>
      <c r="F637" s="11" t="s">
        <v>1938</v>
      </c>
    </row>
    <row r="638" customFormat="false" ht="12.8" hidden="false" customHeight="false" outlineLevel="0" collapsed="false">
      <c r="A638" s="11" t="s">
        <v>1939</v>
      </c>
      <c r="B638" s="11" t="s">
        <v>182</v>
      </c>
      <c r="C638" s="11" t="str">
        <f aca="false">B638&amp;":"&amp;A638</f>
        <v>att_muscle:bfp_ca</v>
      </c>
      <c r="D638" s="14" t="s">
        <v>17</v>
      </c>
      <c r="E638" s="11" t="s">
        <v>1940</v>
      </c>
      <c r="F638" s="11" t="s">
        <v>1941</v>
      </c>
    </row>
    <row r="639" customFormat="false" ht="12.8" hidden="false" customHeight="false" outlineLevel="0" collapsed="false">
      <c r="A639" s="11" t="s">
        <v>1942</v>
      </c>
      <c r="B639" s="11" t="s">
        <v>182</v>
      </c>
      <c r="C639" s="11" t="str">
        <f aca="false">B639&amp;":"&amp;A639</f>
        <v>att_muscle:bfp_cr</v>
      </c>
      <c r="D639" s="14" t="s">
        <v>17</v>
      </c>
      <c r="E639" s="11" t="s">
        <v>1943</v>
      </c>
      <c r="F639" s="11" t="s">
        <v>1944</v>
      </c>
    </row>
    <row r="640" customFormat="false" ht="12.8" hidden="false" customHeight="false" outlineLevel="0" collapsed="false">
      <c r="A640" s="11" t="s">
        <v>1945</v>
      </c>
      <c r="B640" s="11" t="s">
        <v>182</v>
      </c>
      <c r="C640" s="11" t="str">
        <f aca="false">B640&amp;":"&amp;A640</f>
        <v>att_muscle:bfp_mi</v>
      </c>
      <c r="D640" s="14" t="s">
        <v>17</v>
      </c>
      <c r="E640" s="11" t="s">
        <v>1946</v>
      </c>
      <c r="F640" s="11" t="s">
        <v>1947</v>
      </c>
    </row>
    <row r="641" customFormat="false" ht="12.8" hidden="false" customHeight="false" outlineLevel="0" collapsed="false">
      <c r="A641" s="11" t="s">
        <v>1948</v>
      </c>
      <c r="B641" s="11" t="s">
        <v>182</v>
      </c>
      <c r="C641" s="11" t="str">
        <f aca="false">B641&amp;":"&amp;A641</f>
        <v>att_muscle:bra</v>
      </c>
      <c r="D641" s="14" t="s">
        <v>17</v>
      </c>
      <c r="E641" s="11" t="s">
        <v>1949</v>
      </c>
      <c r="F641" s="11" t="s">
        <v>1950</v>
      </c>
    </row>
    <row r="642" customFormat="false" ht="12.8" hidden="false" customHeight="false" outlineLevel="0" collapsed="false">
      <c r="A642" s="11" t="s">
        <v>1951</v>
      </c>
      <c r="B642" s="11" t="s">
        <v>182</v>
      </c>
      <c r="C642" s="11" t="str">
        <f aca="false">B642&amp;":"&amp;A642</f>
        <v>att_muscle:cf</v>
      </c>
      <c r="D642" s="14" t="s">
        <v>17</v>
      </c>
      <c r="E642" s="11" t="s">
        <v>1952</v>
      </c>
      <c r="F642" s="11" t="s">
        <v>1953</v>
      </c>
    </row>
    <row r="643" customFormat="false" ht="12.8" hidden="false" customHeight="false" outlineLevel="0" collapsed="false">
      <c r="A643" s="11" t="s">
        <v>1954</v>
      </c>
      <c r="B643" s="11" t="s">
        <v>182</v>
      </c>
      <c r="C643" s="11" t="str">
        <f aca="false">B643&amp;":"&amp;A643</f>
        <v>att_muscle:cor</v>
      </c>
      <c r="D643" s="14" t="s">
        <v>17</v>
      </c>
      <c r="E643" s="11" t="s">
        <v>1955</v>
      </c>
      <c r="F643" s="11" t="s">
        <v>1956</v>
      </c>
    </row>
    <row r="644" customFormat="false" ht="12.8" hidden="false" customHeight="false" outlineLevel="0" collapsed="false">
      <c r="A644" s="11" t="s">
        <v>1957</v>
      </c>
      <c r="B644" s="11" t="s">
        <v>182</v>
      </c>
      <c r="C644" s="11" t="str">
        <f aca="false">B644&amp;":"&amp;A644</f>
        <v>att_muscle:ecrb</v>
      </c>
      <c r="D644" s="14" t="s">
        <v>17</v>
      </c>
      <c r="E644" s="11" t="s">
        <v>1958</v>
      </c>
      <c r="F644" s="11" t="s">
        <v>1959</v>
      </c>
    </row>
    <row r="645" customFormat="false" ht="12.8" hidden="false" customHeight="false" outlineLevel="0" collapsed="false">
      <c r="A645" s="11" t="s">
        <v>1960</v>
      </c>
      <c r="B645" s="11" t="s">
        <v>182</v>
      </c>
      <c r="C645" s="11" t="str">
        <f aca="false">B645&amp;":"&amp;A645</f>
        <v>att_muscle:ecrl</v>
      </c>
      <c r="D645" s="14" t="s">
        <v>17</v>
      </c>
      <c r="E645" s="11" t="s">
        <v>1961</v>
      </c>
      <c r="F645" s="11" t="s">
        <v>1962</v>
      </c>
    </row>
    <row r="646" customFormat="false" ht="12.8" hidden="false" customHeight="false" outlineLevel="0" collapsed="false">
      <c r="A646" s="11" t="s">
        <v>1963</v>
      </c>
      <c r="B646" s="11" t="s">
        <v>182</v>
      </c>
      <c r="C646" s="11" t="str">
        <f aca="false">B646&amp;":"&amp;A646</f>
        <v>att_muscle:ecu</v>
      </c>
      <c r="D646" s="14" t="s">
        <v>17</v>
      </c>
      <c r="E646" s="11" t="s">
        <v>1964</v>
      </c>
      <c r="F646" s="11" t="s">
        <v>1965</v>
      </c>
    </row>
    <row r="647" customFormat="false" ht="12.8" hidden="false" customHeight="false" outlineLevel="0" collapsed="false">
      <c r="A647" s="11" t="s">
        <v>1966</v>
      </c>
      <c r="B647" s="11" t="s">
        <v>182</v>
      </c>
      <c r="C647" s="11" t="str">
        <f aca="false">B647&amp;":"&amp;A647</f>
        <v>att_muscle:edl</v>
      </c>
      <c r="D647" s="14" t="s">
        <v>17</v>
      </c>
      <c r="E647" s="11" t="s">
        <v>1967</v>
      </c>
      <c r="F647" s="11" t="s">
        <v>1968</v>
      </c>
    </row>
    <row r="648" customFormat="false" ht="12.8" hidden="false" customHeight="false" outlineLevel="0" collapsed="false">
      <c r="A648" s="11" t="s">
        <v>1969</v>
      </c>
      <c r="B648" s="11" t="s">
        <v>182</v>
      </c>
      <c r="C648" s="11" t="str">
        <f aca="false">B648&amp;":"&amp;A648</f>
        <v>att_muscle:ehl</v>
      </c>
      <c r="D648" s="14" t="s">
        <v>17</v>
      </c>
      <c r="E648" s="11" t="s">
        <v>1970</v>
      </c>
      <c r="F648" s="11" t="s">
        <v>1971</v>
      </c>
    </row>
    <row r="649" customFormat="false" ht="12.8" hidden="false" customHeight="false" outlineLevel="0" collapsed="false">
      <c r="A649" s="11" t="s">
        <v>1972</v>
      </c>
      <c r="B649" s="11" t="s">
        <v>182</v>
      </c>
      <c r="C649" s="11" t="str">
        <f aca="false">B649&amp;":"&amp;A649</f>
        <v>att_muscle:eip1</v>
      </c>
      <c r="D649" s="14" t="s">
        <v>17</v>
      </c>
      <c r="E649" s="11" t="s">
        <v>1973</v>
      </c>
      <c r="F649" s="11" t="s">
        <v>1974</v>
      </c>
    </row>
    <row r="650" customFormat="false" ht="12.8" hidden="false" customHeight="false" outlineLevel="0" collapsed="false">
      <c r="A650" s="11" t="s">
        <v>1975</v>
      </c>
      <c r="B650" s="11" t="s">
        <v>182</v>
      </c>
      <c r="C650" s="11" t="str">
        <f aca="false">B650&amp;":"&amp;A650</f>
        <v>att_muscle:eip2</v>
      </c>
      <c r="D650" s="14" t="s">
        <v>17</v>
      </c>
      <c r="E650" s="11" t="s">
        <v>1976</v>
      </c>
      <c r="F650" s="11" t="s">
        <v>1977</v>
      </c>
    </row>
    <row r="651" customFormat="false" ht="12.8" hidden="false" customHeight="false" outlineLevel="0" collapsed="false">
      <c r="A651" s="11" t="s">
        <v>1978</v>
      </c>
      <c r="B651" s="11" t="s">
        <v>182</v>
      </c>
      <c r="C651" s="11" t="str">
        <f aca="false">B651&amp;":"&amp;A651</f>
        <v>att_muscle:fcr</v>
      </c>
      <c r="D651" s="14" t="s">
        <v>17</v>
      </c>
      <c r="E651" s="11" t="s">
        <v>1979</v>
      </c>
      <c r="F651" s="11" t="s">
        <v>1980</v>
      </c>
    </row>
    <row r="652" customFormat="false" ht="12.8" hidden="false" customHeight="false" outlineLevel="0" collapsed="false">
      <c r="A652" s="11" t="s">
        <v>1981</v>
      </c>
      <c r="B652" s="11" t="s">
        <v>182</v>
      </c>
      <c r="C652" s="11" t="str">
        <f aca="false">B652&amp;":"&amp;A652</f>
        <v>att_muscle:fcu</v>
      </c>
      <c r="D652" s="14" t="s">
        <v>17</v>
      </c>
      <c r="E652" s="11" t="s">
        <v>1982</v>
      </c>
      <c r="F652" s="11" t="s">
        <v>1983</v>
      </c>
    </row>
    <row r="653" customFormat="false" ht="12.8" hidden="false" customHeight="false" outlineLevel="0" collapsed="false">
      <c r="A653" s="11" t="s">
        <v>1984</v>
      </c>
      <c r="B653" s="11" t="s">
        <v>182</v>
      </c>
      <c r="C653" s="11" t="str">
        <f aca="false">B653&amp;":"&amp;A653</f>
        <v>att_muscle:fdl</v>
      </c>
      <c r="D653" s="14" t="s">
        <v>17</v>
      </c>
      <c r="E653" s="11" t="s">
        <v>1985</v>
      </c>
      <c r="F653" s="11" t="s">
        <v>1986</v>
      </c>
    </row>
    <row r="654" customFormat="false" ht="12.8" hidden="false" customHeight="false" outlineLevel="0" collapsed="false">
      <c r="A654" s="11" t="s">
        <v>1987</v>
      </c>
      <c r="B654" s="11" t="s">
        <v>182</v>
      </c>
      <c r="C654" s="11" t="str">
        <f aca="false">B654&amp;":"&amp;A654</f>
        <v>att_muscle:ga</v>
      </c>
      <c r="D654" s="14" t="s">
        <v>17</v>
      </c>
      <c r="E654" s="11" t="s">
        <v>1988</v>
      </c>
      <c r="F654" s="11" t="s">
        <v>1989</v>
      </c>
    </row>
    <row r="655" customFormat="false" ht="12.8" hidden="false" customHeight="false" outlineLevel="0" collapsed="false">
      <c r="A655" s="11" t="s">
        <v>1990</v>
      </c>
      <c r="B655" s="11" t="s">
        <v>182</v>
      </c>
      <c r="C655" s="11" t="str">
        <f aca="false">B655&amp;":"&amp;A655</f>
        <v>att_muscle:gem</v>
      </c>
      <c r="D655" s="14" t="s">
        <v>17</v>
      </c>
      <c r="E655" s="11" t="s">
        <v>1991</v>
      </c>
      <c r="F655" s="11" t="s">
        <v>1992</v>
      </c>
    </row>
    <row r="656" customFormat="false" ht="12.8" hidden="false" customHeight="false" outlineLevel="0" collapsed="false">
      <c r="A656" s="11" t="s">
        <v>1993</v>
      </c>
      <c r="B656" s="11" t="s">
        <v>182</v>
      </c>
      <c r="C656" s="11" t="str">
        <f aca="false">B656&amp;":"&amp;A656</f>
        <v>att_muscle:gm</v>
      </c>
      <c r="D656" s="14" t="s">
        <v>17</v>
      </c>
      <c r="E656" s="11" t="s">
        <v>1994</v>
      </c>
      <c r="F656" s="11" t="s">
        <v>1995</v>
      </c>
    </row>
    <row r="657" customFormat="false" ht="12.8" hidden="false" customHeight="false" outlineLevel="0" collapsed="false">
      <c r="A657" s="11" t="s">
        <v>1996</v>
      </c>
      <c r="B657" s="11" t="s">
        <v>182</v>
      </c>
      <c r="C657" s="11" t="str">
        <f aca="false">B657&amp;":"&amp;A657</f>
        <v>att_muscle:gm_dr</v>
      </c>
      <c r="D657" s="14" t="s">
        <v>17</v>
      </c>
      <c r="E657" s="11" t="s">
        <v>1997</v>
      </c>
      <c r="F657" s="11" t="s">
        <v>1998</v>
      </c>
    </row>
    <row r="658" customFormat="false" ht="12.8" hidden="false" customHeight="false" outlineLevel="0" collapsed="false">
      <c r="A658" s="11" t="s">
        <v>1999</v>
      </c>
      <c r="B658" s="11" t="s">
        <v>182</v>
      </c>
      <c r="C658" s="11" t="str">
        <f aca="false">B658&amp;":"&amp;A658</f>
        <v>att_muscle:gm_mi</v>
      </c>
      <c r="D658" s="14" t="s">
        <v>17</v>
      </c>
      <c r="E658" s="11" t="s">
        <v>2000</v>
      </c>
      <c r="F658" s="11" t="s">
        <v>2001</v>
      </c>
    </row>
    <row r="659" customFormat="false" ht="12.8" hidden="false" customHeight="false" outlineLevel="0" collapsed="false">
      <c r="A659" s="11" t="s">
        <v>2002</v>
      </c>
      <c r="B659" s="11" t="s">
        <v>182</v>
      </c>
      <c r="C659" s="11" t="str">
        <f aca="false">B659&amp;":"&amp;A659</f>
        <v>att_muscle:gm_ve</v>
      </c>
      <c r="D659" s="14" t="s">
        <v>17</v>
      </c>
      <c r="E659" s="11" t="s">
        <v>2003</v>
      </c>
      <c r="F659" s="11" t="s">
        <v>2004</v>
      </c>
    </row>
    <row r="660" customFormat="false" ht="12.8" hidden="false" customHeight="false" outlineLevel="0" collapsed="false">
      <c r="A660" s="11" t="s">
        <v>2005</v>
      </c>
      <c r="B660" s="11" t="s">
        <v>182</v>
      </c>
      <c r="C660" s="11" t="str">
        <f aca="false">B660&amp;":"&amp;A660</f>
        <v>att_muscle:gp</v>
      </c>
      <c r="D660" s="14" t="s">
        <v>17</v>
      </c>
      <c r="E660" s="11" t="s">
        <v>2006</v>
      </c>
      <c r="F660" s="11" t="s">
        <v>2007</v>
      </c>
    </row>
    <row r="661" customFormat="false" ht="12.8" hidden="false" customHeight="false" outlineLevel="0" collapsed="false">
      <c r="A661" s="11" t="s">
        <v>2008</v>
      </c>
      <c r="B661" s="11" t="s">
        <v>182</v>
      </c>
      <c r="C661" s="11" t="str">
        <f aca="false">B661&amp;":"&amp;A661</f>
        <v>att_muscle:ili</v>
      </c>
      <c r="D661" s="14" t="s">
        <v>17</v>
      </c>
      <c r="E661" s="11" t="s">
        <v>2009</v>
      </c>
      <c r="F661" s="11" t="s">
        <v>2010</v>
      </c>
    </row>
    <row r="662" customFormat="false" ht="12.8" hidden="false" customHeight="false" outlineLevel="0" collapsed="false">
      <c r="A662" s="11" t="s">
        <v>2011</v>
      </c>
      <c r="B662" s="11" t="s">
        <v>182</v>
      </c>
      <c r="C662" s="11" t="str">
        <f aca="false">B662&amp;":"&amp;A662</f>
        <v>att_muscle:lg</v>
      </c>
      <c r="D662" s="14" t="s">
        <v>17</v>
      </c>
      <c r="E662" s="11" t="s">
        <v>2012</v>
      </c>
      <c r="F662" s="11" t="s">
        <v>2013</v>
      </c>
    </row>
    <row r="663" customFormat="false" ht="12.8" hidden="false" customHeight="false" outlineLevel="0" collapsed="false">
      <c r="A663" s="11" t="s">
        <v>2014</v>
      </c>
      <c r="B663" s="11" t="s">
        <v>182</v>
      </c>
      <c r="C663" s="11" t="str">
        <f aca="false">B663&amp;":"&amp;A663</f>
        <v>att_muscle:mg</v>
      </c>
      <c r="D663" s="14" t="s">
        <v>17</v>
      </c>
      <c r="E663" s="11" t="s">
        <v>2015</v>
      </c>
      <c r="F663" s="11" t="s">
        <v>2016</v>
      </c>
    </row>
    <row r="664" customFormat="false" ht="12.8" hidden="false" customHeight="false" outlineLevel="0" collapsed="false">
      <c r="A664" s="11" t="s">
        <v>2017</v>
      </c>
      <c r="B664" s="11" t="s">
        <v>182</v>
      </c>
      <c r="C664" s="11" t="str">
        <f aca="false">B664&amp;":"&amp;A664</f>
        <v>att_muscle:oe</v>
      </c>
      <c r="D664" s="14" t="s">
        <v>17</v>
      </c>
      <c r="E664" s="11" t="s">
        <v>2018</v>
      </c>
      <c r="F664" s="11" t="s">
        <v>2019</v>
      </c>
    </row>
    <row r="665" customFormat="false" ht="12.8" hidden="false" customHeight="false" outlineLevel="0" collapsed="false">
      <c r="A665" s="11" t="s">
        <v>2020</v>
      </c>
      <c r="B665" s="11" t="s">
        <v>182</v>
      </c>
      <c r="C665" s="11" t="str">
        <f aca="false">B665&amp;":"&amp;A665</f>
        <v>att_muscle:oi</v>
      </c>
      <c r="D665" s="14" t="s">
        <v>17</v>
      </c>
      <c r="E665" s="11" t="s">
        <v>2021</v>
      </c>
      <c r="F665" s="11" t="s">
        <v>2022</v>
      </c>
    </row>
    <row r="666" customFormat="false" ht="12.8" hidden="false" customHeight="false" outlineLevel="0" collapsed="false">
      <c r="A666" s="11" t="s">
        <v>2023</v>
      </c>
      <c r="B666" s="11" t="s">
        <v>182</v>
      </c>
      <c r="C666" s="11" t="str">
        <f aca="false">B666&amp;":"&amp;A666</f>
        <v>att_muscle:pb</v>
      </c>
      <c r="D666" s="14" t="s">
        <v>17</v>
      </c>
      <c r="E666" s="11" t="s">
        <v>2024</v>
      </c>
      <c r="F666" s="11" t="s">
        <v>2025</v>
      </c>
    </row>
    <row r="667" customFormat="false" ht="12.8" hidden="false" customHeight="false" outlineLevel="0" collapsed="false">
      <c r="A667" s="11" t="s">
        <v>2026</v>
      </c>
      <c r="B667" s="11" t="s">
        <v>182</v>
      </c>
      <c r="C667" s="11" t="str">
        <f aca="false">B667&amp;":"&amp;A667</f>
        <v>att_muscle:pdqa</v>
      </c>
      <c r="D667" s="14" t="s">
        <v>17</v>
      </c>
      <c r="E667" s="11" t="s">
        <v>2027</v>
      </c>
      <c r="F667" s="11" t="s">
        <v>2028</v>
      </c>
    </row>
    <row r="668" customFormat="false" ht="12.8" hidden="false" customHeight="false" outlineLevel="0" collapsed="false">
      <c r="A668" s="11" t="s">
        <v>2029</v>
      </c>
      <c r="B668" s="11" t="s">
        <v>182</v>
      </c>
      <c r="C668" s="11" t="str">
        <f aca="false">B668&amp;":"&amp;A668</f>
        <v>att_muscle:pdqi</v>
      </c>
      <c r="D668" s="14" t="s">
        <v>17</v>
      </c>
      <c r="E668" s="11" t="s">
        <v>2030</v>
      </c>
      <c r="F668" s="11" t="s">
        <v>2031</v>
      </c>
    </row>
    <row r="669" customFormat="false" ht="12.8" hidden="false" customHeight="false" outlineLevel="0" collapsed="false">
      <c r="A669" s="11" t="s">
        <v>2032</v>
      </c>
      <c r="B669" s="11" t="s">
        <v>182</v>
      </c>
      <c r="C669" s="11" t="str">
        <f aca="false">B669&amp;":"&amp;A669</f>
        <v>att_muscle:pect</v>
      </c>
      <c r="D669" s="14" t="s">
        <v>17</v>
      </c>
      <c r="E669" s="11" t="s">
        <v>2033</v>
      </c>
      <c r="F669" s="11" t="s">
        <v>2034</v>
      </c>
    </row>
    <row r="670" customFormat="false" ht="12.8" hidden="false" customHeight="false" outlineLevel="0" collapsed="false">
      <c r="A670" s="11" t="s">
        <v>2035</v>
      </c>
      <c r="B670" s="11" t="s">
        <v>182</v>
      </c>
      <c r="C670" s="11" t="str">
        <f aca="false">B670&amp;":"&amp;A670</f>
        <v>att_muscle:pl</v>
      </c>
      <c r="D670" s="14" t="s">
        <v>17</v>
      </c>
      <c r="E670" s="11" t="s">
        <v>2036</v>
      </c>
      <c r="F670" s="11" t="s">
        <v>2037</v>
      </c>
    </row>
    <row r="671" customFormat="false" ht="12.8" hidden="false" customHeight="false" outlineLevel="0" collapsed="false">
      <c r="A671" s="11" t="s">
        <v>2038</v>
      </c>
      <c r="B671" s="11" t="s">
        <v>182</v>
      </c>
      <c r="C671" s="11" t="str">
        <f aca="false">B671&amp;":"&amp;A671</f>
        <v>att_muscle:plant</v>
      </c>
      <c r="D671" s="14" t="s">
        <v>17</v>
      </c>
      <c r="E671" s="11" t="s">
        <v>2039</v>
      </c>
      <c r="F671" s="11" t="s">
        <v>2040</v>
      </c>
    </row>
    <row r="672" customFormat="false" ht="12.8" hidden="false" customHeight="false" outlineLevel="0" collapsed="false">
      <c r="A672" s="11" t="s">
        <v>2041</v>
      </c>
      <c r="B672" s="11" t="s">
        <v>182</v>
      </c>
      <c r="C672" s="11" t="str">
        <f aca="false">B672&amp;":"&amp;A672</f>
        <v>att_muscle:plo</v>
      </c>
      <c r="D672" s="14" t="s">
        <v>17</v>
      </c>
      <c r="E672" s="11" t="s">
        <v>2042</v>
      </c>
      <c r="F672" s="11" t="s">
        <v>2043</v>
      </c>
    </row>
    <row r="673" customFormat="false" ht="12.8" hidden="false" customHeight="false" outlineLevel="0" collapsed="false">
      <c r="A673" s="11" t="s">
        <v>2044</v>
      </c>
      <c r="B673" s="11" t="s">
        <v>182</v>
      </c>
      <c r="C673" s="11" t="str">
        <f aca="false">B673&amp;":"&amp;A673</f>
        <v>att_muscle:pma</v>
      </c>
      <c r="D673" s="14" t="s">
        <v>17</v>
      </c>
      <c r="E673" s="11" t="s">
        <v>2045</v>
      </c>
      <c r="F673" s="11" t="s">
        <v>2046</v>
      </c>
    </row>
    <row r="674" customFormat="false" ht="12.8" hidden="false" customHeight="false" outlineLevel="0" collapsed="false">
      <c r="A674" s="11" t="s">
        <v>2047</v>
      </c>
      <c r="B674" s="11" t="s">
        <v>182</v>
      </c>
      <c r="C674" s="11" t="str">
        <f aca="false">B674&amp;":"&amp;A674</f>
        <v>att_muscle:pmi</v>
      </c>
      <c r="D674" s="14" t="s">
        <v>17</v>
      </c>
      <c r="E674" s="11" t="s">
        <v>2048</v>
      </c>
      <c r="F674" s="11" t="s">
        <v>2049</v>
      </c>
    </row>
    <row r="675" customFormat="false" ht="12.8" hidden="false" customHeight="false" outlineLevel="0" collapsed="false">
      <c r="A675" s="11" t="s">
        <v>2050</v>
      </c>
      <c r="B675" s="11" t="s">
        <v>182</v>
      </c>
      <c r="C675" s="11" t="str">
        <f aca="false">B675&amp;":"&amp;A675</f>
        <v>att_muscle:pop</v>
      </c>
      <c r="D675" s="14" t="s">
        <v>17</v>
      </c>
      <c r="E675" s="11" t="s">
        <v>2051</v>
      </c>
      <c r="F675" s="11" t="s">
        <v>2052</v>
      </c>
    </row>
    <row r="676" customFormat="false" ht="12.8" hidden="false" customHeight="false" outlineLevel="0" collapsed="false">
      <c r="A676" s="11" t="s">
        <v>2053</v>
      </c>
      <c r="B676" s="11" t="s">
        <v>182</v>
      </c>
      <c r="C676" s="11" t="str">
        <f aca="false">B676&amp;":"&amp;A676</f>
        <v>att_muscle:pt</v>
      </c>
      <c r="D676" s="14" t="s">
        <v>17</v>
      </c>
      <c r="E676" s="11" t="s">
        <v>2054</v>
      </c>
      <c r="F676" s="11" t="s">
        <v>2055</v>
      </c>
    </row>
    <row r="677" customFormat="false" ht="12.8" hidden="false" customHeight="false" outlineLevel="0" collapsed="false">
      <c r="A677" s="11" t="s">
        <v>2056</v>
      </c>
      <c r="B677" s="11" t="s">
        <v>182</v>
      </c>
      <c r="C677" s="11" t="str">
        <f aca="false">B677&amp;":"&amp;A677</f>
        <v>att_muscle:pte</v>
      </c>
      <c r="D677" s="14" t="s">
        <v>17</v>
      </c>
      <c r="E677" s="11" t="s">
        <v>2057</v>
      </c>
      <c r="F677" s="11" t="s">
        <v>2058</v>
      </c>
    </row>
    <row r="678" customFormat="false" ht="12.8" hidden="false" customHeight="false" outlineLevel="0" collapsed="false">
      <c r="A678" s="11" t="s">
        <v>2059</v>
      </c>
      <c r="B678" s="11" t="s">
        <v>182</v>
      </c>
      <c r="C678" s="11" t="str">
        <f aca="false">B678&amp;":"&amp;A678</f>
        <v>att_muscle:qf</v>
      </c>
      <c r="D678" s="14" t="s">
        <v>17</v>
      </c>
      <c r="E678" s="11" t="s">
        <v>2060</v>
      </c>
      <c r="F678" s="11" t="s">
        <v>2061</v>
      </c>
    </row>
    <row r="679" customFormat="false" ht="12.8" hidden="false" customHeight="false" outlineLevel="0" collapsed="false">
      <c r="A679" s="11" t="s">
        <v>2062</v>
      </c>
      <c r="B679" s="11" t="s">
        <v>182</v>
      </c>
      <c r="C679" s="11" t="str">
        <f aca="false">B679&amp;":"&amp;A679</f>
        <v>att_muscle:rf</v>
      </c>
      <c r="D679" s="14" t="s">
        <v>17</v>
      </c>
      <c r="E679" s="11" t="s">
        <v>2063</v>
      </c>
      <c r="F679" s="11" t="s">
        <v>2064</v>
      </c>
    </row>
    <row r="680" customFormat="false" ht="12.8" hidden="false" customHeight="false" outlineLevel="0" collapsed="false">
      <c r="A680" s="11" t="s">
        <v>2065</v>
      </c>
      <c r="B680" s="11" t="s">
        <v>182</v>
      </c>
      <c r="C680" s="11" t="str">
        <f aca="false">B680&amp;":"&amp;A680</f>
        <v>att_muscle:sm</v>
      </c>
      <c r="D680" s="14" t="s">
        <v>17</v>
      </c>
      <c r="E680" s="11" t="s">
        <v>2066</v>
      </c>
      <c r="F680" s="11" t="s">
        <v>2067</v>
      </c>
    </row>
    <row r="681" customFormat="false" ht="12.8" hidden="false" customHeight="false" outlineLevel="0" collapsed="false">
      <c r="A681" s="11" t="s">
        <v>2068</v>
      </c>
      <c r="B681" s="11" t="s">
        <v>182</v>
      </c>
      <c r="C681" s="11" t="str">
        <f aca="false">B681&amp;":"&amp;A681</f>
        <v>att_muscle:sol</v>
      </c>
      <c r="D681" s="14" t="s">
        <v>17</v>
      </c>
      <c r="E681" s="11" t="s">
        <v>2069</v>
      </c>
      <c r="F681" s="11" t="s">
        <v>2070</v>
      </c>
    </row>
    <row r="682" customFormat="false" ht="12.8" hidden="false" customHeight="false" outlineLevel="0" collapsed="false">
      <c r="A682" s="11" t="s">
        <v>2071</v>
      </c>
      <c r="B682" s="11" t="s">
        <v>182</v>
      </c>
      <c r="C682" s="11" t="str">
        <f aca="false">B682&amp;":"&amp;A682</f>
        <v>att_muscle:st</v>
      </c>
      <c r="D682" s="14" t="s">
        <v>17</v>
      </c>
      <c r="E682" s="11" t="s">
        <v>2072</v>
      </c>
      <c r="F682" s="11" t="s">
        <v>2073</v>
      </c>
    </row>
    <row r="683" customFormat="false" ht="12.8" hidden="false" customHeight="false" outlineLevel="0" collapsed="false">
      <c r="A683" s="11" t="s">
        <v>2074</v>
      </c>
      <c r="B683" s="11" t="s">
        <v>182</v>
      </c>
      <c r="C683" s="11" t="str">
        <f aca="false">B683&amp;":"&amp;A683</f>
        <v>att_muscle:ta</v>
      </c>
      <c r="D683" s="14" t="s">
        <v>17</v>
      </c>
      <c r="E683" s="11" t="s">
        <v>2075</v>
      </c>
      <c r="F683" s="11" t="s">
        <v>2076</v>
      </c>
    </row>
    <row r="684" customFormat="false" ht="12.8" hidden="false" customHeight="false" outlineLevel="0" collapsed="false">
      <c r="A684" s="11" t="s">
        <v>2077</v>
      </c>
      <c r="B684" s="11" t="s">
        <v>182</v>
      </c>
      <c r="C684" s="11" t="str">
        <f aca="false">B684&amp;":"&amp;A684</f>
        <v>att_muscle:tbl</v>
      </c>
      <c r="D684" s="14" t="s">
        <v>17</v>
      </c>
      <c r="E684" s="11" t="s">
        <v>2078</v>
      </c>
      <c r="F684" s="11" t="s">
        <v>2079</v>
      </c>
    </row>
    <row r="685" customFormat="false" ht="12.8" hidden="false" customHeight="false" outlineLevel="0" collapsed="false">
      <c r="A685" s="11" t="s">
        <v>2080</v>
      </c>
      <c r="B685" s="11" t="s">
        <v>182</v>
      </c>
      <c r="C685" s="11" t="str">
        <f aca="false">B685&amp;":"&amp;A685</f>
        <v>att_muscle:tbm</v>
      </c>
      <c r="D685" s="14" t="s">
        <v>17</v>
      </c>
      <c r="E685" s="11" t="s">
        <v>2081</v>
      </c>
      <c r="F685" s="11" t="s">
        <v>2082</v>
      </c>
    </row>
    <row r="686" customFormat="false" ht="12.8" hidden="false" customHeight="false" outlineLevel="0" collapsed="false">
      <c r="A686" s="11" t="s">
        <v>2083</v>
      </c>
      <c r="B686" s="11" t="s">
        <v>182</v>
      </c>
      <c r="C686" s="11" t="str">
        <f aca="false">B686&amp;":"&amp;A686</f>
        <v>att_muscle:tbo</v>
      </c>
      <c r="D686" s="14" t="s">
        <v>17</v>
      </c>
      <c r="E686" s="11" t="s">
        <v>2084</v>
      </c>
      <c r="F686" s="11" t="s">
        <v>2085</v>
      </c>
    </row>
    <row r="687" customFormat="false" ht="12.8" hidden="false" customHeight="false" outlineLevel="0" collapsed="false">
      <c r="A687" s="11" t="s">
        <v>2086</v>
      </c>
      <c r="B687" s="11" t="s">
        <v>182</v>
      </c>
      <c r="C687" s="11" t="str">
        <f aca="false">B687&amp;":"&amp;A687</f>
        <v>att_muscle:tp</v>
      </c>
      <c r="D687" s="14" t="s">
        <v>17</v>
      </c>
      <c r="E687" s="11" t="s">
        <v>2087</v>
      </c>
      <c r="F687" s="11" t="s">
        <v>2088</v>
      </c>
    </row>
    <row r="688" customFormat="false" ht="12.8" hidden="false" customHeight="false" outlineLevel="0" collapsed="false">
      <c r="A688" s="11" t="s">
        <v>2089</v>
      </c>
      <c r="B688" s="11" t="s">
        <v>182</v>
      </c>
      <c r="C688" s="11" t="str">
        <f aca="false">B688&amp;":"&amp;A688</f>
        <v>att_muscle:vi</v>
      </c>
      <c r="D688" s="14" t="s">
        <v>17</v>
      </c>
      <c r="E688" s="11" t="s">
        <v>2090</v>
      </c>
      <c r="F688" s="11" t="s">
        <v>2091</v>
      </c>
    </row>
    <row r="689" customFormat="false" ht="12.8" hidden="false" customHeight="false" outlineLevel="0" collapsed="false">
      <c r="A689" s="11" t="s">
        <v>2092</v>
      </c>
      <c r="B689" s="11" t="s">
        <v>182</v>
      </c>
      <c r="C689" s="11" t="str">
        <f aca="false">B689&amp;":"&amp;A689</f>
        <v>att_muscle:vl</v>
      </c>
      <c r="D689" s="14" t="s">
        <v>17</v>
      </c>
      <c r="E689" s="11" t="s">
        <v>2093</v>
      </c>
      <c r="F689" s="11" t="s">
        <v>2094</v>
      </c>
    </row>
    <row r="690" customFormat="false" ht="12.8" hidden="false" customHeight="false" outlineLevel="0" collapsed="false">
      <c r="A690" s="11" t="s">
        <v>2095</v>
      </c>
      <c r="B690" s="11" t="s">
        <v>182</v>
      </c>
      <c r="C690" s="11" t="str">
        <f aca="false">B690&amp;":"&amp;A690</f>
        <v>att_muscle:vm</v>
      </c>
      <c r="D690" s="14" t="s">
        <v>17</v>
      </c>
      <c r="E690" s="11" t="s">
        <v>2096</v>
      </c>
      <c r="F690" s="11" t="s">
        <v>2097</v>
      </c>
    </row>
    <row r="691" customFormat="false" ht="12.8" hidden="false" customHeight="false" outlineLevel="0" collapsed="false">
      <c r="A691" s="11" t="s">
        <v>2098</v>
      </c>
      <c r="B691" s="11" t="s">
        <v>185</v>
      </c>
      <c r="C691" s="11" t="str">
        <f aca="false">B691&amp;":"&amp;A691</f>
        <v>att_offline_frac_instrument:zirconium</v>
      </c>
      <c r="D691" s="14" t="s">
        <v>17</v>
      </c>
      <c r="E691" s="11" t="s">
        <v>2099</v>
      </c>
      <c r="F691" s="11" t="s">
        <v>2100</v>
      </c>
    </row>
    <row r="692" customFormat="false" ht="12.8" hidden="false" customHeight="false" outlineLevel="0" collapsed="false">
      <c r="A692" s="11" t="s">
        <v>2101</v>
      </c>
      <c r="B692" s="11" t="s">
        <v>186</v>
      </c>
      <c r="C692" s="11" t="str">
        <f aca="false">B692&amp;":"&amp;A692</f>
        <v>att_offline_fractionation:bgpage</v>
      </c>
      <c r="D692" s="14" t="s">
        <v>17</v>
      </c>
      <c r="E692" s="11" t="s">
        <v>2102</v>
      </c>
      <c r="F692" s="11" t="s">
        <v>2103</v>
      </c>
    </row>
    <row r="693" customFormat="false" ht="12.8" hidden="false" customHeight="false" outlineLevel="0" collapsed="false">
      <c r="A693" s="11" t="s">
        <v>2104</v>
      </c>
      <c r="B693" s="11" t="s">
        <v>186</v>
      </c>
      <c r="C693" s="11" t="str">
        <f aca="false">B693&amp;":"&amp;A693</f>
        <v>att_offline_fractionation:highph_hplc</v>
      </c>
      <c r="D693" s="14" t="s">
        <v>17</v>
      </c>
      <c r="E693" s="11" t="s">
        <v>2105</v>
      </c>
      <c r="F693" s="11" t="s">
        <v>2106</v>
      </c>
    </row>
    <row r="694" customFormat="false" ht="12.8" hidden="false" customHeight="false" outlineLevel="0" collapsed="false">
      <c r="A694" s="11" t="s">
        <v>2107</v>
      </c>
      <c r="B694" s="11" t="s">
        <v>186</v>
      </c>
      <c r="C694" s="11" t="str">
        <f aca="false">B694&amp;":"&amp;A694</f>
        <v>att_offline_fractionation:highph_tip</v>
      </c>
      <c r="D694" s="14" t="s">
        <v>17</v>
      </c>
      <c r="E694" s="11" t="s">
        <v>2108</v>
      </c>
      <c r="F694" s="11" t="s">
        <v>2109</v>
      </c>
    </row>
    <row r="695" customFormat="false" ht="12.8" hidden="false" customHeight="false" outlineLevel="0" collapsed="false">
      <c r="A695" s="11" t="s">
        <v>2110</v>
      </c>
      <c r="B695" s="11" t="s">
        <v>186</v>
      </c>
      <c r="C695" s="11" t="str">
        <f aca="false">B695&amp;":"&amp;A695</f>
        <v>att_offline_fractionation:sax</v>
      </c>
      <c r="D695" s="14" t="s">
        <v>17</v>
      </c>
      <c r="E695" s="11" t="s">
        <v>2111</v>
      </c>
      <c r="F695" s="11" t="s">
        <v>2112</v>
      </c>
    </row>
    <row r="696" customFormat="false" ht="12.8" hidden="false" customHeight="false" outlineLevel="0" collapsed="false">
      <c r="A696" s="11" t="s">
        <v>2113</v>
      </c>
      <c r="B696" s="11" t="s">
        <v>186</v>
      </c>
      <c r="C696" s="11" t="str">
        <f aca="false">B696&amp;":"&amp;A696</f>
        <v>att_offline_fractionation:scx</v>
      </c>
      <c r="D696" s="14" t="s">
        <v>17</v>
      </c>
      <c r="E696" s="11" t="s">
        <v>2114</v>
      </c>
      <c r="F696" s="11" t="s">
        <v>2115</v>
      </c>
    </row>
    <row r="697" customFormat="false" ht="12.8" hidden="false" customHeight="false" outlineLevel="0" collapsed="false">
      <c r="A697" s="11" t="s">
        <v>2116</v>
      </c>
      <c r="B697" s="11" t="s">
        <v>186</v>
      </c>
      <c r="C697" s="11" t="str">
        <f aca="false">B697&amp;":"&amp;A697</f>
        <v>att_offline_fractionation:sdspage</v>
      </c>
      <c r="D697" s="14" t="s">
        <v>17</v>
      </c>
      <c r="E697" s="11" t="s">
        <v>2117</v>
      </c>
      <c r="F697" s="11" t="s">
        <v>2118</v>
      </c>
    </row>
    <row r="698" customFormat="false" ht="12.8" hidden="false" customHeight="false" outlineLevel="0" collapsed="false">
      <c r="A698" s="11" t="s">
        <v>2119</v>
      </c>
      <c r="B698" s="11" t="s">
        <v>197</v>
      </c>
      <c r="C698" s="11" t="str">
        <f aca="false">B698&amp;":"&amp;A698</f>
        <v>att_omics_type:proteomics</v>
      </c>
      <c r="D698" s="14" t="s">
        <v>17</v>
      </c>
      <c r="E698" s="11" t="s">
        <v>2120</v>
      </c>
      <c r="F698" s="11" t="s">
        <v>2121</v>
      </c>
    </row>
    <row r="699" customFormat="false" ht="12.8" hidden="false" customHeight="false" outlineLevel="0" collapsed="false">
      <c r="A699" s="11" t="s">
        <v>2122</v>
      </c>
      <c r="B699" s="11" t="s">
        <v>183</v>
      </c>
      <c r="C699" s="11" t="str">
        <f aca="false">B699&amp;":"&amp;A699</f>
        <v>att_organ:appendix</v>
      </c>
      <c r="D699" s="11" t="s">
        <v>2122</v>
      </c>
      <c r="E699" s="11" t="s">
        <v>2123</v>
      </c>
      <c r="F699" s="11" t="s">
        <v>2123</v>
      </c>
    </row>
    <row r="700" customFormat="false" ht="12.8" hidden="false" customHeight="false" outlineLevel="0" collapsed="false">
      <c r="A700" s="11" t="s">
        <v>2124</v>
      </c>
      <c r="B700" s="11" t="s">
        <v>183</v>
      </c>
      <c r="C700" s="11" t="str">
        <f aca="false">B700&amp;":"&amp;A700</f>
        <v>att_organ:arteries</v>
      </c>
      <c r="D700" s="11" t="s">
        <v>2124</v>
      </c>
      <c r="E700" s="11" t="s">
        <v>2125</v>
      </c>
      <c r="F700" s="11" t="s">
        <v>2125</v>
      </c>
    </row>
    <row r="701" customFormat="false" ht="12.8" hidden="false" customHeight="false" outlineLevel="0" collapsed="false">
      <c r="A701" s="11" t="s">
        <v>2126</v>
      </c>
      <c r="B701" s="11" t="s">
        <v>183</v>
      </c>
      <c r="C701" s="11" t="str">
        <f aca="false">B701&amp;":"&amp;A701</f>
        <v>att_organ:bladder</v>
      </c>
      <c r="D701" s="11" t="s">
        <v>2126</v>
      </c>
      <c r="E701" s="11" t="s">
        <v>2127</v>
      </c>
      <c r="F701" s="11" t="s">
        <v>2127</v>
      </c>
    </row>
    <row r="702" customFormat="false" ht="12.8" hidden="false" customHeight="false" outlineLevel="0" collapsed="false">
      <c r="A702" s="11" t="s">
        <v>2128</v>
      </c>
      <c r="B702" s="11" t="s">
        <v>183</v>
      </c>
      <c r="C702" s="11" t="str">
        <f aca="false">B702&amp;":"&amp;A702</f>
        <v>att_organ:bone_marrow</v>
      </c>
      <c r="D702" s="11" t="s">
        <v>2128</v>
      </c>
      <c r="E702" s="11" t="s">
        <v>2129</v>
      </c>
      <c r="F702" s="11" t="s">
        <v>2129</v>
      </c>
    </row>
    <row r="703" customFormat="false" ht="12.8" hidden="false" customHeight="false" outlineLevel="0" collapsed="false">
      <c r="A703" s="11" t="s">
        <v>2130</v>
      </c>
      <c r="B703" s="11" t="s">
        <v>183</v>
      </c>
      <c r="C703" s="11" t="str">
        <f aca="false">B703&amp;":"&amp;A703</f>
        <v>att_organ:brain</v>
      </c>
      <c r="D703" s="11" t="s">
        <v>2130</v>
      </c>
      <c r="E703" s="11" t="s">
        <v>2131</v>
      </c>
      <c r="F703" s="11" t="s">
        <v>2131</v>
      </c>
    </row>
    <row r="704" customFormat="false" ht="12.8" hidden="false" customHeight="false" outlineLevel="0" collapsed="false">
      <c r="A704" s="11" t="s">
        <v>2132</v>
      </c>
      <c r="B704" s="11" t="s">
        <v>183</v>
      </c>
      <c r="C704" s="11" t="str">
        <f aca="false">B704&amp;":"&amp;A704</f>
        <v>att_organ:bronchi</v>
      </c>
      <c r="D704" s="11" t="s">
        <v>2132</v>
      </c>
      <c r="E704" s="11" t="s">
        <v>2133</v>
      </c>
      <c r="F704" s="11" t="s">
        <v>2133</v>
      </c>
    </row>
    <row r="705" customFormat="false" ht="12.8" hidden="false" customHeight="false" outlineLevel="0" collapsed="false">
      <c r="A705" s="11" t="s">
        <v>2134</v>
      </c>
      <c r="B705" s="11" t="s">
        <v>183</v>
      </c>
      <c r="C705" s="11" t="str">
        <f aca="false">B705&amp;":"&amp;A705</f>
        <v>att_organ:cecum</v>
      </c>
      <c r="D705" s="11" t="s">
        <v>2134</v>
      </c>
      <c r="E705" s="11" t="s">
        <v>2135</v>
      </c>
      <c r="F705" s="11" t="s">
        <v>2135</v>
      </c>
    </row>
    <row r="706" customFormat="false" ht="12.8" hidden="false" customHeight="false" outlineLevel="0" collapsed="false">
      <c r="A706" s="11" t="s">
        <v>2136</v>
      </c>
      <c r="B706" s="11" t="s">
        <v>183</v>
      </c>
      <c r="C706" s="11" t="str">
        <f aca="false">B706&amp;":"&amp;A706</f>
        <v>att_organ:cerebellum</v>
      </c>
      <c r="D706" s="11" t="s">
        <v>2136</v>
      </c>
      <c r="E706" s="11" t="s">
        <v>2137</v>
      </c>
      <c r="F706" s="11" t="s">
        <v>2137</v>
      </c>
    </row>
    <row r="707" customFormat="false" ht="12.8" hidden="false" customHeight="false" outlineLevel="0" collapsed="false">
      <c r="A707" s="11" t="s">
        <v>2138</v>
      </c>
      <c r="B707" s="11" t="s">
        <v>183</v>
      </c>
      <c r="C707" s="11" t="str">
        <f aca="false">B707&amp;":"&amp;A707</f>
        <v>att_organ:cerebrum</v>
      </c>
      <c r="D707" s="11" t="s">
        <v>2138</v>
      </c>
      <c r="E707" s="11" t="s">
        <v>2139</v>
      </c>
      <c r="F707" s="11" t="s">
        <v>2139</v>
      </c>
    </row>
    <row r="708" customFormat="false" ht="12.8" hidden="false" customHeight="false" outlineLevel="0" collapsed="false">
      <c r="A708" s="11" t="s">
        <v>2140</v>
      </c>
      <c r="B708" s="11" t="s">
        <v>183</v>
      </c>
      <c r="C708" s="11" t="str">
        <f aca="false">B708&amp;":"&amp;A708</f>
        <v>att_organ:ear</v>
      </c>
      <c r="D708" s="11" t="s">
        <v>2140</v>
      </c>
      <c r="E708" s="11" t="s">
        <v>2141</v>
      </c>
      <c r="F708" s="11" t="s">
        <v>2141</v>
      </c>
    </row>
    <row r="709" customFormat="false" ht="12.8" hidden="false" customHeight="false" outlineLevel="0" collapsed="false">
      <c r="A709" s="11" t="s">
        <v>2142</v>
      </c>
      <c r="B709" s="11" t="s">
        <v>183</v>
      </c>
      <c r="C709" s="11" t="str">
        <f aca="false">B709&amp;":"&amp;A709</f>
        <v>att_organ:esophagus</v>
      </c>
      <c r="D709" s="11" t="s">
        <v>2142</v>
      </c>
      <c r="E709" s="11" t="s">
        <v>2143</v>
      </c>
      <c r="F709" s="11" t="s">
        <v>2143</v>
      </c>
    </row>
    <row r="710" customFormat="false" ht="12.8" hidden="false" customHeight="false" outlineLevel="0" collapsed="false">
      <c r="A710" s="11" t="s">
        <v>2144</v>
      </c>
      <c r="B710" s="11" t="s">
        <v>183</v>
      </c>
      <c r="C710" s="11" t="str">
        <f aca="false">B710&amp;":"&amp;A710</f>
        <v>att_organ:eye</v>
      </c>
      <c r="D710" s="11" t="s">
        <v>2144</v>
      </c>
      <c r="E710" s="11" t="s">
        <v>2145</v>
      </c>
      <c r="F710" s="11" t="s">
        <v>2145</v>
      </c>
    </row>
    <row r="711" customFormat="false" ht="12.8" hidden="false" customHeight="false" outlineLevel="0" collapsed="false">
      <c r="A711" s="11" t="s">
        <v>2146</v>
      </c>
      <c r="B711" s="11" t="s">
        <v>183</v>
      </c>
      <c r="C711" s="11" t="str">
        <f aca="false">B711&amp;":"&amp;A711</f>
        <v>att_organ:gallbladder</v>
      </c>
      <c r="D711" s="11" t="s">
        <v>2146</v>
      </c>
      <c r="E711" s="11" t="s">
        <v>2147</v>
      </c>
      <c r="F711" s="11" t="s">
        <v>2147</v>
      </c>
    </row>
    <row r="712" customFormat="false" ht="12.8" hidden="false" customHeight="false" outlineLevel="0" collapsed="false">
      <c r="A712" s="11" t="s">
        <v>2148</v>
      </c>
      <c r="B712" s="11" t="s">
        <v>183</v>
      </c>
      <c r="C712" s="11" t="str">
        <f aca="false">B712&amp;":"&amp;A712</f>
        <v>att_organ:ganglia</v>
      </c>
      <c r="D712" s="11" t="s">
        <v>2148</v>
      </c>
      <c r="E712" s="11" t="s">
        <v>2149</v>
      </c>
      <c r="F712" s="11" t="s">
        <v>2149</v>
      </c>
    </row>
    <row r="713" customFormat="false" ht="12.8" hidden="false" customHeight="false" outlineLevel="0" collapsed="false">
      <c r="A713" s="11" t="s">
        <v>2150</v>
      </c>
      <c r="B713" s="11" t="s">
        <v>183</v>
      </c>
      <c r="C713" s="11" t="str">
        <f aca="false">B713&amp;":"&amp;A713</f>
        <v>att_organ:heart</v>
      </c>
      <c r="D713" s="11" t="s">
        <v>2150</v>
      </c>
      <c r="E713" s="11" t="s">
        <v>2151</v>
      </c>
      <c r="F713" s="11" t="s">
        <v>2151</v>
      </c>
    </row>
    <row r="714" customFormat="false" ht="12.8" hidden="false" customHeight="false" outlineLevel="0" collapsed="false">
      <c r="A714" s="11" t="s">
        <v>2152</v>
      </c>
      <c r="B714" s="11" t="s">
        <v>183</v>
      </c>
      <c r="C714" s="11" t="str">
        <f aca="false">B714&amp;":"&amp;A714</f>
        <v>att_organ:hypothalamus</v>
      </c>
      <c r="D714" s="11" t="s">
        <v>2152</v>
      </c>
      <c r="E714" s="11" t="s">
        <v>2153</v>
      </c>
      <c r="F714" s="11" t="s">
        <v>2153</v>
      </c>
    </row>
    <row r="715" customFormat="false" ht="12.8" hidden="false" customHeight="false" outlineLevel="0" collapsed="false">
      <c r="A715" s="11" t="s">
        <v>2154</v>
      </c>
      <c r="B715" s="11" t="s">
        <v>183</v>
      </c>
      <c r="C715" s="11" t="str">
        <f aca="false">B715&amp;":"&amp;A715</f>
        <v>att_organ:kidney</v>
      </c>
      <c r="D715" s="11" t="s">
        <v>2154</v>
      </c>
      <c r="E715" s="11" t="s">
        <v>2155</v>
      </c>
      <c r="F715" s="11" t="s">
        <v>2155</v>
      </c>
    </row>
    <row r="716" customFormat="false" ht="12.8" hidden="false" customHeight="false" outlineLevel="0" collapsed="false">
      <c r="A716" s="11" t="s">
        <v>2156</v>
      </c>
      <c r="B716" s="11" t="s">
        <v>183</v>
      </c>
      <c r="C716" s="11" t="str">
        <f aca="false">B716&amp;":"&amp;A716</f>
        <v>att_organ:large_intestine</v>
      </c>
      <c r="D716" s="11" t="s">
        <v>2157</v>
      </c>
      <c r="E716" s="11" t="s">
        <v>2158</v>
      </c>
      <c r="F716" s="11" t="s">
        <v>2159</v>
      </c>
    </row>
    <row r="717" customFormat="false" ht="12.8" hidden="false" customHeight="false" outlineLevel="0" collapsed="false">
      <c r="A717" s="11" t="s">
        <v>2160</v>
      </c>
      <c r="B717" s="11" t="s">
        <v>183</v>
      </c>
      <c r="C717" s="11" t="str">
        <f aca="false">B717&amp;":"&amp;A717</f>
        <v>att_organ:liver</v>
      </c>
      <c r="D717" s="11" t="s">
        <v>2160</v>
      </c>
      <c r="E717" s="11" t="s">
        <v>2161</v>
      </c>
      <c r="F717" s="11" t="s">
        <v>2161</v>
      </c>
    </row>
    <row r="718" customFormat="false" ht="12.8" hidden="false" customHeight="false" outlineLevel="0" collapsed="false">
      <c r="A718" s="11" t="s">
        <v>2162</v>
      </c>
      <c r="B718" s="11" t="s">
        <v>183</v>
      </c>
      <c r="C718" s="11" t="str">
        <f aca="false">B718&amp;":"&amp;A718</f>
        <v>att_organ:lung</v>
      </c>
      <c r="D718" s="11" t="s">
        <v>2162</v>
      </c>
      <c r="E718" s="11" t="s">
        <v>2163</v>
      </c>
      <c r="F718" s="11" t="s">
        <v>2163</v>
      </c>
    </row>
    <row r="719" customFormat="false" ht="12.8" hidden="false" customHeight="false" outlineLevel="0" collapsed="false">
      <c r="A719" s="11" t="s">
        <v>2164</v>
      </c>
      <c r="B719" s="11" t="s">
        <v>183</v>
      </c>
      <c r="C719" s="11" t="str">
        <f aca="false">B719&amp;":"&amp;A719</f>
        <v>att_organ:lymph_node</v>
      </c>
      <c r="D719" s="11" t="s">
        <v>1218</v>
      </c>
      <c r="E719" s="11" t="s">
        <v>2165</v>
      </c>
      <c r="F719" s="11" t="s">
        <v>2165</v>
      </c>
    </row>
    <row r="720" customFormat="false" ht="12.8" hidden="false" customHeight="false" outlineLevel="0" collapsed="false">
      <c r="A720" s="11" t="s">
        <v>2166</v>
      </c>
      <c r="B720" s="11" t="s">
        <v>183</v>
      </c>
      <c r="C720" s="11" t="str">
        <f aca="false">B720&amp;":"&amp;A720</f>
        <v>att_organ:medulla</v>
      </c>
      <c r="D720" s="11" t="s">
        <v>2166</v>
      </c>
      <c r="E720" s="11" t="s">
        <v>2167</v>
      </c>
      <c r="F720" s="11" t="s">
        <v>2167</v>
      </c>
    </row>
    <row r="721" customFormat="false" ht="12.8" hidden="false" customHeight="false" outlineLevel="0" collapsed="false">
      <c r="A721" s="11" t="s">
        <v>2168</v>
      </c>
      <c r="B721" s="11" t="s">
        <v>183</v>
      </c>
      <c r="C721" s="11" t="str">
        <f aca="false">B721&amp;":"&amp;A721</f>
        <v>att_organ:mesentery</v>
      </c>
      <c r="D721" s="11" t="s">
        <v>2168</v>
      </c>
      <c r="E721" s="11" t="s">
        <v>2169</v>
      </c>
      <c r="F721" s="11" t="s">
        <v>2169</v>
      </c>
    </row>
    <row r="722" customFormat="false" ht="12.8" hidden="false" customHeight="false" outlineLevel="0" collapsed="false">
      <c r="A722" s="11" t="s">
        <v>2170</v>
      </c>
      <c r="B722" s="11" t="s">
        <v>183</v>
      </c>
      <c r="C722" s="11" t="str">
        <f aca="false">B722&amp;":"&amp;A722</f>
        <v>att_organ:midbrain</v>
      </c>
      <c r="D722" s="11" t="s">
        <v>2170</v>
      </c>
      <c r="E722" s="11" t="s">
        <v>2171</v>
      </c>
      <c r="F722" s="11" t="s">
        <v>2171</v>
      </c>
    </row>
    <row r="723" customFormat="false" ht="12.8" hidden="false" customHeight="false" outlineLevel="0" collapsed="false">
      <c r="A723" s="11" t="s">
        <v>2172</v>
      </c>
      <c r="B723" s="11" t="s">
        <v>183</v>
      </c>
      <c r="C723" s="11" t="str">
        <f aca="false">B723&amp;":"&amp;A723</f>
        <v>att_organ:ovaries</v>
      </c>
      <c r="D723" s="11" t="s">
        <v>2172</v>
      </c>
      <c r="E723" s="11" t="s">
        <v>2173</v>
      </c>
      <c r="F723" s="11" t="s">
        <v>2173</v>
      </c>
    </row>
    <row r="724" customFormat="false" ht="12.8" hidden="false" customHeight="false" outlineLevel="0" collapsed="false">
      <c r="A724" s="11" t="s">
        <v>2174</v>
      </c>
      <c r="B724" s="11" t="s">
        <v>183</v>
      </c>
      <c r="C724" s="11" t="str">
        <f aca="false">B724&amp;":"&amp;A724</f>
        <v>att_organ:pancreas</v>
      </c>
      <c r="D724" s="11" t="s">
        <v>2174</v>
      </c>
      <c r="E724" s="11" t="s">
        <v>2175</v>
      </c>
      <c r="F724" s="11" t="s">
        <v>2175</v>
      </c>
    </row>
    <row r="725" customFormat="false" ht="12.8" hidden="false" customHeight="false" outlineLevel="0" collapsed="false">
      <c r="A725" s="11" t="s">
        <v>2176</v>
      </c>
      <c r="B725" s="11" t="s">
        <v>183</v>
      </c>
      <c r="C725" s="11" t="str">
        <f aca="false">B725&amp;":"&amp;A725</f>
        <v>att_organ:pons</v>
      </c>
      <c r="D725" s="11" t="s">
        <v>2176</v>
      </c>
      <c r="E725" s="11" t="s">
        <v>2177</v>
      </c>
      <c r="F725" s="11" t="s">
        <v>2177</v>
      </c>
    </row>
    <row r="726" customFormat="false" ht="12.8" hidden="false" customHeight="false" outlineLevel="0" collapsed="false">
      <c r="A726" s="11" t="s">
        <v>2178</v>
      </c>
      <c r="B726" s="11" t="s">
        <v>183</v>
      </c>
      <c r="C726" s="11" t="str">
        <f aca="false">B726&amp;":"&amp;A726</f>
        <v>att_organ:prostate</v>
      </c>
      <c r="D726" s="11" t="s">
        <v>2178</v>
      </c>
      <c r="E726" s="11" t="s">
        <v>2179</v>
      </c>
      <c r="F726" s="11" t="s">
        <v>2179</v>
      </c>
    </row>
    <row r="727" customFormat="false" ht="12.8" hidden="false" customHeight="false" outlineLevel="0" collapsed="false">
      <c r="A727" s="11" t="s">
        <v>2180</v>
      </c>
      <c r="B727" s="11" t="s">
        <v>183</v>
      </c>
      <c r="C727" s="11" t="str">
        <f aca="false">B727&amp;":"&amp;A727</f>
        <v>att_organ:rectum</v>
      </c>
      <c r="D727" s="11" t="s">
        <v>2180</v>
      </c>
      <c r="E727" s="11" t="s">
        <v>2181</v>
      </c>
      <c r="F727" s="11" t="s">
        <v>2181</v>
      </c>
    </row>
    <row r="728" customFormat="false" ht="12.8" hidden="false" customHeight="false" outlineLevel="0" collapsed="false">
      <c r="A728" s="11" t="s">
        <v>2182</v>
      </c>
      <c r="B728" s="11" t="s">
        <v>183</v>
      </c>
      <c r="C728" s="11" t="str">
        <f aca="false">B728&amp;":"&amp;A728</f>
        <v>att_organ:small_intestine</v>
      </c>
      <c r="D728" s="11" t="s">
        <v>2183</v>
      </c>
      <c r="E728" s="11" t="s">
        <v>2184</v>
      </c>
      <c r="F728" s="11" t="s">
        <v>2185</v>
      </c>
    </row>
    <row r="729" customFormat="false" ht="12.8" hidden="false" customHeight="false" outlineLevel="0" collapsed="false">
      <c r="A729" s="11" t="s">
        <v>2186</v>
      </c>
      <c r="B729" s="11" t="s">
        <v>183</v>
      </c>
      <c r="C729" s="11" t="str">
        <f aca="false">B729&amp;":"&amp;A729</f>
        <v>att_organ:spinal_cord</v>
      </c>
      <c r="D729" s="11" t="s">
        <v>2186</v>
      </c>
      <c r="E729" s="11" t="s">
        <v>2187</v>
      </c>
      <c r="F729" s="11" t="s">
        <v>2188</v>
      </c>
    </row>
    <row r="730" customFormat="false" ht="12.8" hidden="false" customHeight="false" outlineLevel="0" collapsed="false">
      <c r="A730" s="11" t="s">
        <v>2189</v>
      </c>
      <c r="B730" s="11" t="s">
        <v>183</v>
      </c>
      <c r="C730" s="11" t="str">
        <f aca="false">B730&amp;":"&amp;A730</f>
        <v>att_organ:spleen</v>
      </c>
      <c r="D730" s="11" t="s">
        <v>2189</v>
      </c>
      <c r="E730" s="11" t="s">
        <v>2190</v>
      </c>
      <c r="F730" s="11" t="s">
        <v>2190</v>
      </c>
    </row>
    <row r="731" customFormat="false" ht="12.8" hidden="false" customHeight="false" outlineLevel="0" collapsed="false">
      <c r="A731" s="11" t="s">
        <v>2191</v>
      </c>
      <c r="B731" s="11" t="s">
        <v>183</v>
      </c>
      <c r="C731" s="11" t="str">
        <f aca="false">B731&amp;":"&amp;A731</f>
        <v>att_organ:stomach</v>
      </c>
      <c r="D731" s="11" t="s">
        <v>2191</v>
      </c>
      <c r="E731" s="11" t="s">
        <v>2192</v>
      </c>
      <c r="F731" s="11" t="s">
        <v>2192</v>
      </c>
    </row>
    <row r="732" customFormat="false" ht="12.8" hidden="false" customHeight="false" outlineLevel="0" collapsed="false">
      <c r="A732" s="11" t="s">
        <v>2193</v>
      </c>
      <c r="B732" s="11" t="s">
        <v>183</v>
      </c>
      <c r="C732" s="11" t="str">
        <f aca="false">B732&amp;":"&amp;A732</f>
        <v>att_organ:testicles</v>
      </c>
      <c r="D732" s="11" t="s">
        <v>2193</v>
      </c>
      <c r="E732" s="11" t="s">
        <v>2194</v>
      </c>
      <c r="F732" s="11" t="s">
        <v>2194</v>
      </c>
    </row>
    <row r="733" customFormat="false" ht="12.8" hidden="false" customHeight="false" outlineLevel="0" collapsed="false">
      <c r="A733" s="11" t="s">
        <v>2195</v>
      </c>
      <c r="B733" s="11" t="s">
        <v>183</v>
      </c>
      <c r="C733" s="11" t="str">
        <f aca="false">B733&amp;":"&amp;A733</f>
        <v>att_organ:thalamus</v>
      </c>
      <c r="D733" s="11" t="s">
        <v>2195</v>
      </c>
      <c r="E733" s="11" t="s">
        <v>2196</v>
      </c>
      <c r="F733" s="11" t="s">
        <v>2196</v>
      </c>
    </row>
    <row r="734" customFormat="false" ht="12.8" hidden="false" customHeight="false" outlineLevel="0" collapsed="false">
      <c r="A734" s="11" t="s">
        <v>2197</v>
      </c>
      <c r="B734" s="11" t="s">
        <v>183</v>
      </c>
      <c r="C734" s="11" t="str">
        <f aca="false">B734&amp;":"&amp;A734</f>
        <v>att_organ:thymus</v>
      </c>
      <c r="D734" s="11" t="s">
        <v>2197</v>
      </c>
      <c r="E734" s="11" t="s">
        <v>2198</v>
      </c>
      <c r="F734" s="11" t="s">
        <v>2198</v>
      </c>
    </row>
    <row r="735" customFormat="false" ht="12.8" hidden="false" customHeight="false" outlineLevel="0" collapsed="false">
      <c r="A735" s="11" t="s">
        <v>2199</v>
      </c>
      <c r="B735" s="11" t="s">
        <v>183</v>
      </c>
      <c r="C735" s="11" t="str">
        <f aca="false">B735&amp;":"&amp;A735</f>
        <v>att_organ:tongue</v>
      </c>
      <c r="D735" s="11" t="s">
        <v>2199</v>
      </c>
      <c r="E735" s="11" t="s">
        <v>2200</v>
      </c>
      <c r="F735" s="11" t="s">
        <v>2200</v>
      </c>
    </row>
    <row r="736" customFormat="false" ht="12.8" hidden="false" customHeight="false" outlineLevel="0" collapsed="false">
      <c r="A736" s="11" t="s">
        <v>2201</v>
      </c>
      <c r="B736" s="11" t="s">
        <v>183</v>
      </c>
      <c r="C736" s="11" t="str">
        <f aca="false">B736&amp;":"&amp;A736</f>
        <v>att_organ:tonsils</v>
      </c>
      <c r="D736" s="11" t="s">
        <v>2201</v>
      </c>
      <c r="E736" s="11" t="s">
        <v>2202</v>
      </c>
      <c r="F736" s="11" t="s">
        <v>2202</v>
      </c>
    </row>
    <row r="737" customFormat="false" ht="12.8" hidden="false" customHeight="false" outlineLevel="0" collapsed="false">
      <c r="A737" s="11" t="s">
        <v>2203</v>
      </c>
      <c r="B737" s="11" t="s">
        <v>183</v>
      </c>
      <c r="C737" s="11" t="str">
        <f aca="false">B737&amp;":"&amp;A737</f>
        <v>att_organ:uterus</v>
      </c>
      <c r="D737" s="11" t="s">
        <v>2203</v>
      </c>
      <c r="E737" s="11" t="s">
        <v>2204</v>
      </c>
      <c r="F737" s="11" t="s">
        <v>2204</v>
      </c>
    </row>
    <row r="738" customFormat="false" ht="12.8" hidden="false" customHeight="false" outlineLevel="0" collapsed="false">
      <c r="A738" s="11" t="s">
        <v>2205</v>
      </c>
      <c r="B738" s="11" t="s">
        <v>183</v>
      </c>
      <c r="C738" s="11" t="str">
        <f aca="false">B738&amp;":"&amp;A738</f>
        <v>att_organ:veins</v>
      </c>
      <c r="D738" s="11" t="s">
        <v>2205</v>
      </c>
      <c r="E738" s="11" t="s">
        <v>2206</v>
      </c>
      <c r="F738" s="11" t="s">
        <v>2206</v>
      </c>
    </row>
    <row r="739" customFormat="false" ht="12.8" hidden="false" customHeight="false" outlineLevel="0" collapsed="false">
      <c r="A739" s="11" t="s">
        <v>2207</v>
      </c>
      <c r="B739" s="11" t="s">
        <v>200</v>
      </c>
      <c r="C739" s="11" t="str">
        <f aca="false">B739&amp;":"&amp;A739</f>
        <v>att_organism:UP000000589</v>
      </c>
      <c r="D739" s="11" t="s">
        <v>2208</v>
      </c>
      <c r="E739" s="11" t="s">
        <v>2209</v>
      </c>
      <c r="F739" s="11" t="s">
        <v>2210</v>
      </c>
    </row>
    <row r="740" customFormat="false" ht="12.8" hidden="false" customHeight="false" outlineLevel="0" collapsed="false">
      <c r="A740" s="11" t="s">
        <v>2211</v>
      </c>
      <c r="B740" s="11" t="s">
        <v>200</v>
      </c>
      <c r="C740" s="11" t="str">
        <f aca="false">B740&amp;":"&amp;A740</f>
        <v>att_organism:UP000001940</v>
      </c>
      <c r="D740" s="11" t="s">
        <v>2212</v>
      </c>
      <c r="E740" s="11" t="s">
        <v>2213</v>
      </c>
      <c r="F740" s="11" t="s">
        <v>2214</v>
      </c>
    </row>
    <row r="741" customFormat="false" ht="12.8" hidden="false" customHeight="false" outlineLevel="0" collapsed="false">
      <c r="A741" s="11" t="s">
        <v>2215</v>
      </c>
      <c r="B741" s="11" t="s">
        <v>200</v>
      </c>
      <c r="C741" s="11" t="str">
        <f aca="false">B741&amp;":"&amp;A741</f>
        <v>att_organism:UP000002311</v>
      </c>
      <c r="D741" s="11" t="s">
        <v>2216</v>
      </c>
      <c r="E741" s="11" t="s">
        <v>2217</v>
      </c>
      <c r="F741" s="11" t="s">
        <v>2218</v>
      </c>
    </row>
    <row r="742" customFormat="false" ht="12.8" hidden="false" customHeight="false" outlineLevel="0" collapsed="false">
      <c r="A742" s="11" t="s">
        <v>2219</v>
      </c>
      <c r="B742" s="11" t="s">
        <v>200</v>
      </c>
      <c r="C742" s="11" t="str">
        <f aca="false">B742&amp;":"&amp;A742</f>
        <v>att_organism:UP000002494</v>
      </c>
      <c r="D742" s="11" t="s">
        <v>2220</v>
      </c>
      <c r="E742" s="11" t="s">
        <v>2221</v>
      </c>
      <c r="F742" s="11" t="s">
        <v>2222</v>
      </c>
    </row>
    <row r="743" customFormat="false" ht="12.8" hidden="false" customHeight="false" outlineLevel="0" collapsed="false">
      <c r="A743" s="11" t="s">
        <v>2223</v>
      </c>
      <c r="B743" s="11" t="s">
        <v>200</v>
      </c>
      <c r="C743" s="11" t="str">
        <f aca="false">B743&amp;":"&amp;A743</f>
        <v>att_organism:UP000005640</v>
      </c>
      <c r="D743" s="11" t="s">
        <v>2224</v>
      </c>
      <c r="E743" s="11" t="s">
        <v>2225</v>
      </c>
      <c r="F743" s="11" t="s">
        <v>2226</v>
      </c>
    </row>
    <row r="744" customFormat="false" ht="12.8" hidden="false" customHeight="false" outlineLevel="0" collapsed="false">
      <c r="A744" s="11" t="s">
        <v>2227</v>
      </c>
      <c r="B744" s="11" t="s">
        <v>2228</v>
      </c>
      <c r="C744" s="11" t="str">
        <f aca="false">B744&amp;":"&amp;A744</f>
        <v>att_organsystem:cardiovascular</v>
      </c>
      <c r="D744" s="14" t="s">
        <v>17</v>
      </c>
      <c r="E744" s="11" t="s">
        <v>2229</v>
      </c>
      <c r="F744" s="11" t="s">
        <v>2230</v>
      </c>
    </row>
    <row r="745" customFormat="false" ht="12.8" hidden="false" customHeight="false" outlineLevel="0" collapsed="false">
      <c r="A745" s="11" t="s">
        <v>2231</v>
      </c>
      <c r="B745" s="11" t="s">
        <v>2228</v>
      </c>
      <c r="C745" s="11" t="str">
        <f aca="false">B745&amp;":"&amp;A745</f>
        <v>att_organsystem:digestive</v>
      </c>
      <c r="D745" s="14" t="s">
        <v>17</v>
      </c>
      <c r="E745" s="11" t="s">
        <v>2232</v>
      </c>
      <c r="F745" s="11" t="s">
        <v>2233</v>
      </c>
    </row>
    <row r="746" customFormat="false" ht="12.8" hidden="false" customHeight="false" outlineLevel="0" collapsed="false">
      <c r="A746" s="11" t="s">
        <v>2234</v>
      </c>
      <c r="B746" s="11" t="s">
        <v>2228</v>
      </c>
      <c r="C746" s="11" t="str">
        <f aca="false">B746&amp;":"&amp;A746</f>
        <v>att_organsystem:endocrine</v>
      </c>
      <c r="D746" s="14" t="s">
        <v>17</v>
      </c>
      <c r="E746" s="11" t="s">
        <v>2235</v>
      </c>
      <c r="F746" s="11" t="s">
        <v>2236</v>
      </c>
    </row>
    <row r="747" customFormat="false" ht="12.8" hidden="false" customHeight="false" outlineLevel="0" collapsed="false">
      <c r="A747" s="11" t="s">
        <v>2237</v>
      </c>
      <c r="B747" s="11" t="s">
        <v>2228</v>
      </c>
      <c r="C747" s="11" t="str">
        <f aca="false">B747&amp;":"&amp;A747</f>
        <v>att_organsystem:excretory</v>
      </c>
      <c r="D747" s="14" t="s">
        <v>17</v>
      </c>
      <c r="E747" s="11" t="s">
        <v>2238</v>
      </c>
      <c r="F747" s="11" t="s">
        <v>2239</v>
      </c>
    </row>
    <row r="748" customFormat="false" ht="12.8" hidden="false" customHeight="false" outlineLevel="0" collapsed="false">
      <c r="A748" s="11" t="s">
        <v>2240</v>
      </c>
      <c r="B748" s="11" t="s">
        <v>2228</v>
      </c>
      <c r="C748" s="11" t="str">
        <f aca="false">B748&amp;":"&amp;A748</f>
        <v>att_organsystem:integumentary</v>
      </c>
      <c r="D748" s="14" t="s">
        <v>17</v>
      </c>
      <c r="E748" s="11" t="s">
        <v>2241</v>
      </c>
      <c r="F748" s="11" t="s">
        <v>2242</v>
      </c>
    </row>
    <row r="749" customFormat="false" ht="12.8" hidden="false" customHeight="false" outlineLevel="0" collapsed="false">
      <c r="A749" s="11" t="s">
        <v>2243</v>
      </c>
      <c r="B749" s="11" t="s">
        <v>2228</v>
      </c>
      <c r="C749" s="11" t="str">
        <f aca="false">B749&amp;":"&amp;A749</f>
        <v>att_organsystem:lymphatic</v>
      </c>
      <c r="D749" s="14" t="s">
        <v>17</v>
      </c>
      <c r="E749" s="11" t="s">
        <v>2244</v>
      </c>
      <c r="F749" s="11" t="s">
        <v>2245</v>
      </c>
    </row>
    <row r="750" customFormat="false" ht="12.8" hidden="false" customHeight="false" outlineLevel="0" collapsed="false">
      <c r="A750" s="11" t="s">
        <v>2246</v>
      </c>
      <c r="B750" s="11" t="s">
        <v>2228</v>
      </c>
      <c r="C750" s="11" t="str">
        <f aca="false">B750&amp;":"&amp;A750</f>
        <v>att_organsystem:muscular</v>
      </c>
      <c r="D750" s="14" t="s">
        <v>17</v>
      </c>
      <c r="E750" s="11" t="s">
        <v>2247</v>
      </c>
      <c r="F750" s="11" t="s">
        <v>2248</v>
      </c>
    </row>
    <row r="751" customFormat="false" ht="12.8" hidden="false" customHeight="false" outlineLevel="0" collapsed="false">
      <c r="A751" s="11" t="s">
        <v>2249</v>
      </c>
      <c r="B751" s="11" t="s">
        <v>2228</v>
      </c>
      <c r="C751" s="11" t="str">
        <f aca="false">B751&amp;":"&amp;A751</f>
        <v>att_organsystem:nervous_system</v>
      </c>
      <c r="D751" s="14" t="s">
        <v>17</v>
      </c>
      <c r="E751" s="11" t="s">
        <v>2250</v>
      </c>
      <c r="F751" s="11" t="s">
        <v>2251</v>
      </c>
    </row>
    <row r="752" customFormat="false" ht="12.8" hidden="false" customHeight="false" outlineLevel="0" collapsed="false">
      <c r="A752" s="11" t="s">
        <v>2252</v>
      </c>
      <c r="B752" s="11" t="s">
        <v>2228</v>
      </c>
      <c r="C752" s="11" t="str">
        <f aca="false">B752&amp;":"&amp;A752</f>
        <v>att_organsystem:reproductive</v>
      </c>
      <c r="D752" s="14" t="s">
        <v>17</v>
      </c>
      <c r="E752" s="11" t="s">
        <v>2253</v>
      </c>
      <c r="F752" s="11" t="s">
        <v>2254</v>
      </c>
    </row>
    <row r="753" customFormat="false" ht="12.8" hidden="false" customHeight="false" outlineLevel="0" collapsed="false">
      <c r="A753" s="11" t="s">
        <v>2255</v>
      </c>
      <c r="B753" s="11" t="s">
        <v>2228</v>
      </c>
      <c r="C753" s="11" t="str">
        <f aca="false">B753&amp;":"&amp;A753</f>
        <v>att_organsystem:respiratory</v>
      </c>
      <c r="D753" s="14" t="s">
        <v>17</v>
      </c>
      <c r="E753" s="11" t="s">
        <v>2256</v>
      </c>
      <c r="F753" s="11" t="s">
        <v>2257</v>
      </c>
    </row>
    <row r="754" customFormat="false" ht="12.8" hidden="false" customHeight="false" outlineLevel="0" collapsed="false">
      <c r="A754" s="11" t="s">
        <v>2258</v>
      </c>
      <c r="B754" s="11" t="s">
        <v>2228</v>
      </c>
      <c r="C754" s="11" t="str">
        <f aca="false">B754&amp;":"&amp;A754</f>
        <v>att_organsystem:skeletal</v>
      </c>
      <c r="D754" s="14" t="s">
        <v>17</v>
      </c>
      <c r="E754" s="11" t="s">
        <v>2259</v>
      </c>
      <c r="F754" s="11" t="s">
        <v>2260</v>
      </c>
    </row>
    <row r="755" customFormat="false" ht="12.8" hidden="false" customHeight="false" outlineLevel="0" collapsed="false">
      <c r="A755" s="11" t="s">
        <v>2261</v>
      </c>
      <c r="B755" s="11" t="s">
        <v>2228</v>
      </c>
      <c r="C755" s="11" t="str">
        <f aca="false">B755&amp;":"&amp;A755</f>
        <v>att_organsystem:urinary</v>
      </c>
      <c r="D755" s="14" t="s">
        <v>17</v>
      </c>
      <c r="E755" s="11" t="s">
        <v>2262</v>
      </c>
      <c r="F755" s="11" t="s">
        <v>2263</v>
      </c>
    </row>
    <row r="756" customFormat="false" ht="12.8" hidden="false" customHeight="false" outlineLevel="0" collapsed="false">
      <c r="A756" s="11" t="s">
        <v>2264</v>
      </c>
      <c r="B756" s="11" t="s">
        <v>202</v>
      </c>
      <c r="C756" s="11" t="str">
        <f aca="false">B756&amp;":"&amp;A756</f>
        <v>att_phystraining:intervalcardio</v>
      </c>
      <c r="D756" s="14" t="s">
        <v>17</v>
      </c>
      <c r="E756" s="11" t="s">
        <v>2265</v>
      </c>
      <c r="F756" s="11" t="s">
        <v>2266</v>
      </c>
    </row>
    <row r="757" customFormat="false" ht="12.8" hidden="false" customHeight="false" outlineLevel="0" collapsed="false">
      <c r="A757" s="11" t="s">
        <v>2267</v>
      </c>
      <c r="B757" s="11" t="s">
        <v>202</v>
      </c>
      <c r="C757" s="11" t="str">
        <f aca="false">B757&amp;":"&amp;A757</f>
        <v>att_phystraining:steadycardio</v>
      </c>
      <c r="D757" s="14" t="s">
        <v>17</v>
      </c>
      <c r="E757" s="11" t="s">
        <v>2268</v>
      </c>
      <c r="F757" s="11" t="s">
        <v>2269</v>
      </c>
    </row>
    <row r="758" customFormat="false" ht="12.8" hidden="false" customHeight="false" outlineLevel="0" collapsed="false">
      <c r="A758" s="11" t="s">
        <v>2270</v>
      </c>
      <c r="B758" s="11" t="s">
        <v>202</v>
      </c>
      <c r="C758" s="11" t="str">
        <f aca="false">B758&amp;":"&amp;A758</f>
        <v>att_phystraining:strength</v>
      </c>
      <c r="D758" s="14" t="s">
        <v>17</v>
      </c>
      <c r="E758" s="11" t="s">
        <v>2271</v>
      </c>
      <c r="F758" s="11" t="s">
        <v>2272</v>
      </c>
    </row>
    <row r="759" customFormat="false" ht="12.8" hidden="false" customHeight="false" outlineLevel="0" collapsed="false">
      <c r="A759" s="11" t="s">
        <v>2273</v>
      </c>
      <c r="B759" s="11" t="s">
        <v>207</v>
      </c>
      <c r="C759" s="11" t="str">
        <f aca="false">B759&amp;":"&amp;A759</f>
        <v>att_protease:argc</v>
      </c>
      <c r="D759" s="14" t="s">
        <v>17</v>
      </c>
      <c r="E759" s="11" t="s">
        <v>2274</v>
      </c>
      <c r="F759" s="11" t="s">
        <v>2275</v>
      </c>
    </row>
    <row r="760" customFormat="false" ht="12.8" hidden="false" customHeight="false" outlineLevel="0" collapsed="false">
      <c r="A760" s="11" t="s">
        <v>2276</v>
      </c>
      <c r="B760" s="11" t="s">
        <v>207</v>
      </c>
      <c r="C760" s="11" t="str">
        <f aca="false">B760&amp;":"&amp;A760</f>
        <v>att_protease:aspn</v>
      </c>
      <c r="D760" s="14" t="s">
        <v>17</v>
      </c>
      <c r="E760" s="11" t="s">
        <v>2277</v>
      </c>
      <c r="F760" s="11" t="s">
        <v>2278</v>
      </c>
    </row>
    <row r="761" customFormat="false" ht="12.8" hidden="false" customHeight="false" outlineLevel="0" collapsed="false">
      <c r="A761" s="11" t="s">
        <v>2279</v>
      </c>
      <c r="B761" s="11" t="s">
        <v>207</v>
      </c>
      <c r="C761" s="11" t="str">
        <f aca="false">B761&amp;":"&amp;A761</f>
        <v>att_protease:chymotrypsin</v>
      </c>
      <c r="D761" s="14" t="s">
        <v>17</v>
      </c>
      <c r="E761" s="11" t="s">
        <v>2280</v>
      </c>
      <c r="F761" s="11" t="s">
        <v>2281</v>
      </c>
    </row>
    <row r="762" customFormat="false" ht="12.8" hidden="false" customHeight="false" outlineLevel="0" collapsed="false">
      <c r="A762" s="11" t="s">
        <v>2282</v>
      </c>
      <c r="B762" s="11" t="s">
        <v>207</v>
      </c>
      <c r="C762" s="11" t="str">
        <f aca="false">B762&amp;":"&amp;A762</f>
        <v>att_protease:elastase</v>
      </c>
      <c r="D762" s="14" t="s">
        <v>17</v>
      </c>
      <c r="E762" s="11" t="s">
        <v>2283</v>
      </c>
      <c r="F762" s="11" t="s">
        <v>2284</v>
      </c>
    </row>
    <row r="763" customFormat="false" ht="12.8" hidden="false" customHeight="false" outlineLevel="0" collapsed="false">
      <c r="A763" s="11" t="s">
        <v>2285</v>
      </c>
      <c r="B763" s="11" t="s">
        <v>207</v>
      </c>
      <c r="C763" s="11" t="str">
        <f aca="false">B763&amp;":"&amp;A763</f>
        <v>att_protease:gluc</v>
      </c>
      <c r="D763" s="14" t="s">
        <v>17</v>
      </c>
      <c r="E763" s="11" t="s">
        <v>2286</v>
      </c>
      <c r="F763" s="11" t="s">
        <v>2287</v>
      </c>
    </row>
    <row r="764" customFormat="false" ht="12.8" hidden="false" customHeight="false" outlineLevel="0" collapsed="false">
      <c r="A764" s="11" t="s">
        <v>2288</v>
      </c>
      <c r="B764" s="11" t="s">
        <v>207</v>
      </c>
      <c r="C764" s="11" t="str">
        <f aca="false">B764&amp;":"&amp;A764</f>
        <v>att_protease:lysc</v>
      </c>
      <c r="D764" s="14" t="s">
        <v>17</v>
      </c>
      <c r="E764" s="11" t="s">
        <v>2289</v>
      </c>
      <c r="F764" s="11" t="s">
        <v>2290</v>
      </c>
    </row>
    <row r="765" customFormat="false" ht="12.8" hidden="false" customHeight="false" outlineLevel="0" collapsed="false">
      <c r="A765" s="11" t="s">
        <v>2291</v>
      </c>
      <c r="B765" s="11" t="s">
        <v>207</v>
      </c>
      <c r="C765" s="11" t="str">
        <f aca="false">B765&amp;":"&amp;A765</f>
        <v>att_protease:raspn</v>
      </c>
      <c r="D765" s="14" t="s">
        <v>17</v>
      </c>
      <c r="E765" s="11" t="s">
        <v>2292</v>
      </c>
      <c r="F765" s="11" t="s">
        <v>2293</v>
      </c>
    </row>
    <row r="766" customFormat="false" ht="12.8" hidden="false" customHeight="false" outlineLevel="0" collapsed="false">
      <c r="A766" s="11" t="s">
        <v>2294</v>
      </c>
      <c r="B766" s="11" t="s">
        <v>207</v>
      </c>
      <c r="C766" s="11" t="str">
        <f aca="false">B766&amp;":"&amp;A766</f>
        <v>att_protease:trypsin</v>
      </c>
      <c r="D766" s="14" t="s">
        <v>17</v>
      </c>
      <c r="E766" s="11" t="s">
        <v>2295</v>
      </c>
      <c r="F766" s="11" t="s">
        <v>2296</v>
      </c>
    </row>
    <row r="767" customFormat="false" ht="12.8" hidden="false" customHeight="false" outlineLevel="0" collapsed="false">
      <c r="A767" s="11" t="s">
        <v>1281</v>
      </c>
      <c r="B767" s="11" t="s">
        <v>210</v>
      </c>
      <c r="C767" s="11" t="str">
        <f aca="false">B767&amp;":"&amp;A767</f>
        <v>att_protein_mutation:deletion</v>
      </c>
      <c r="D767" s="14" t="s">
        <v>17</v>
      </c>
      <c r="E767" s="11" t="s">
        <v>2297</v>
      </c>
      <c r="F767" s="11" t="s">
        <v>2298</v>
      </c>
    </row>
    <row r="768" customFormat="false" ht="12.8" hidden="false" customHeight="false" outlineLevel="0" collapsed="false">
      <c r="A768" s="11" t="s">
        <v>2299</v>
      </c>
      <c r="B768" s="11" t="s">
        <v>210</v>
      </c>
      <c r="C768" s="11" t="str">
        <f aca="false">B768&amp;":"&amp;A768</f>
        <v>att_protein_mutation:flag</v>
      </c>
      <c r="D768" s="14" t="s">
        <v>17</v>
      </c>
      <c r="E768" s="11" t="s">
        <v>2300</v>
      </c>
      <c r="F768" s="11" t="s">
        <v>2301</v>
      </c>
    </row>
    <row r="769" customFormat="false" ht="12.8" hidden="false" customHeight="false" outlineLevel="0" collapsed="false">
      <c r="A769" s="11" t="s">
        <v>2302</v>
      </c>
      <c r="B769" s="11" t="s">
        <v>210</v>
      </c>
      <c r="C769" s="11" t="str">
        <f aca="false">B769&amp;":"&amp;A769</f>
        <v>att_protein_mutation:frameshift</v>
      </c>
      <c r="D769" s="14" t="s">
        <v>17</v>
      </c>
      <c r="E769" s="11" t="s">
        <v>2303</v>
      </c>
      <c r="F769" s="11" t="s">
        <v>2304</v>
      </c>
    </row>
    <row r="770" customFormat="false" ht="12.8" hidden="false" customHeight="false" outlineLevel="0" collapsed="false">
      <c r="A770" s="11" t="s">
        <v>2305</v>
      </c>
      <c r="B770" s="11" t="s">
        <v>210</v>
      </c>
      <c r="C770" s="11" t="str">
        <f aca="false">B770&amp;":"&amp;A770</f>
        <v>att_protein_mutation:gfp</v>
      </c>
      <c r="D770" s="14" t="s">
        <v>17</v>
      </c>
      <c r="E770" s="11" t="s">
        <v>2306</v>
      </c>
      <c r="F770" s="11" t="s">
        <v>2307</v>
      </c>
    </row>
    <row r="771" customFormat="false" ht="12.8" hidden="false" customHeight="false" outlineLevel="0" collapsed="false">
      <c r="A771" s="11" t="s">
        <v>2308</v>
      </c>
      <c r="B771" s="11" t="s">
        <v>210</v>
      </c>
      <c r="C771" s="11" t="str">
        <f aca="false">B771&amp;":"&amp;A771</f>
        <v>att_protein_mutation:ha</v>
      </c>
      <c r="D771" s="14" t="s">
        <v>17</v>
      </c>
      <c r="E771" s="11" t="s">
        <v>2309</v>
      </c>
      <c r="F771" s="11" t="s">
        <v>2310</v>
      </c>
    </row>
    <row r="772" customFormat="false" ht="12.8" hidden="false" customHeight="false" outlineLevel="0" collapsed="false">
      <c r="A772" s="11" t="s">
        <v>2311</v>
      </c>
      <c r="B772" s="11" t="s">
        <v>210</v>
      </c>
      <c r="C772" s="11" t="str">
        <f aca="false">B772&amp;":"&amp;A772</f>
        <v>att_protein_mutation:his</v>
      </c>
      <c r="D772" s="14" t="s">
        <v>17</v>
      </c>
      <c r="E772" s="11" t="s">
        <v>2312</v>
      </c>
      <c r="F772" s="11" t="s">
        <v>2313</v>
      </c>
    </row>
    <row r="773" customFormat="false" ht="12.8" hidden="false" customHeight="false" outlineLevel="0" collapsed="false">
      <c r="A773" s="11" t="s">
        <v>2314</v>
      </c>
      <c r="B773" s="11" t="s">
        <v>210</v>
      </c>
      <c r="C773" s="11" t="str">
        <f aca="false">B773&amp;":"&amp;A773</f>
        <v>att_protein_mutation:insertion</v>
      </c>
      <c r="D773" s="14" t="s">
        <v>17</v>
      </c>
      <c r="E773" s="11" t="s">
        <v>2315</v>
      </c>
      <c r="F773" s="11" t="s">
        <v>2316</v>
      </c>
    </row>
    <row r="774" customFormat="false" ht="12.8" hidden="false" customHeight="false" outlineLevel="0" collapsed="false">
      <c r="A774" s="11" t="s">
        <v>2317</v>
      </c>
      <c r="B774" s="11" t="s">
        <v>210</v>
      </c>
      <c r="C774" s="11" t="str">
        <f aca="false">B774&amp;":"&amp;A774</f>
        <v>att_protein_mutation:myc</v>
      </c>
      <c r="D774" s="14" t="s">
        <v>17</v>
      </c>
      <c r="E774" s="11" t="s">
        <v>2318</v>
      </c>
      <c r="F774" s="11" t="s">
        <v>2319</v>
      </c>
    </row>
    <row r="775" customFormat="false" ht="12.8" hidden="false" customHeight="false" outlineLevel="0" collapsed="false">
      <c r="A775" s="11" t="s">
        <v>2320</v>
      </c>
      <c r="B775" s="11" t="s">
        <v>210</v>
      </c>
      <c r="C775" s="11" t="str">
        <f aca="false">B775&amp;":"&amp;A775</f>
        <v>att_protein_mutation:pep86</v>
      </c>
      <c r="D775" s="14" t="s">
        <v>17</v>
      </c>
      <c r="F775" s="11" t="s">
        <v>2321</v>
      </c>
    </row>
    <row r="776" customFormat="false" ht="12.8" hidden="false" customHeight="false" outlineLevel="0" collapsed="false">
      <c r="A776" s="11" t="s">
        <v>2322</v>
      </c>
      <c r="B776" s="11" t="s">
        <v>210</v>
      </c>
      <c r="C776" s="11" t="str">
        <f aca="false">B776&amp;":"&amp;A776</f>
        <v>att_protein_mutation:substitution</v>
      </c>
      <c r="D776" s="14" t="s">
        <v>17</v>
      </c>
      <c r="E776" s="11" t="s">
        <v>2323</v>
      </c>
      <c r="F776" s="11" t="s">
        <v>2324</v>
      </c>
    </row>
    <row r="777" customFormat="false" ht="12.8" hidden="false" customHeight="false" outlineLevel="0" collapsed="false">
      <c r="A777" s="11" t="s">
        <v>2325</v>
      </c>
      <c r="B777" s="11" t="s">
        <v>210</v>
      </c>
      <c r="C777" s="11" t="str">
        <f aca="false">B777&amp;":"&amp;A777</f>
        <v>att_protein_mutation:truncation</v>
      </c>
      <c r="D777" s="14" t="s">
        <v>17</v>
      </c>
      <c r="E777" s="11" t="s">
        <v>2326</v>
      </c>
      <c r="F777" s="11" t="s">
        <v>2327</v>
      </c>
    </row>
    <row r="778" customFormat="false" ht="12.8" hidden="false" customHeight="false" outlineLevel="0" collapsed="false">
      <c r="A778" s="11" t="s">
        <v>2328</v>
      </c>
      <c r="B778" s="11" t="s">
        <v>212</v>
      </c>
      <c r="C778" s="11" t="str">
        <f aca="false">B778&amp;":"&amp;A778</f>
        <v>att_protein_position:aa</v>
      </c>
      <c r="D778" s="14" t="s">
        <v>17</v>
      </c>
      <c r="E778" s="11" t="s">
        <v>2329</v>
      </c>
      <c r="F778" s="11" t="s">
        <v>2330</v>
      </c>
    </row>
    <row r="779" customFormat="false" ht="12.8" hidden="false" customHeight="false" outlineLevel="0" collapsed="false">
      <c r="A779" s="11" t="s">
        <v>2331</v>
      </c>
      <c r="B779" s="11" t="s">
        <v>212</v>
      </c>
      <c r="C779" s="11" t="str">
        <f aca="false">B779&amp;":"&amp;A779</f>
        <v>att_protein_position:cterm</v>
      </c>
      <c r="D779" s="14" t="s">
        <v>17</v>
      </c>
      <c r="E779" s="11" t="s">
        <v>2332</v>
      </c>
      <c r="F779" s="11" t="s">
        <v>2333</v>
      </c>
    </row>
    <row r="780" customFormat="false" ht="12.8" hidden="false" customHeight="false" outlineLevel="0" collapsed="false">
      <c r="A780" s="11" t="s">
        <v>2334</v>
      </c>
      <c r="B780" s="11" t="s">
        <v>212</v>
      </c>
      <c r="C780" s="11" t="str">
        <f aca="false">B780&amp;":"&amp;A780</f>
        <v>att_protein_position:nterm</v>
      </c>
      <c r="D780" s="14" t="s">
        <v>17</v>
      </c>
      <c r="E780" s="11" t="s">
        <v>2335</v>
      </c>
      <c r="F780" s="11" t="s">
        <v>2336</v>
      </c>
    </row>
    <row r="781" customFormat="false" ht="12.8" hidden="false" customHeight="false" outlineLevel="0" collapsed="false">
      <c r="A781" s="11" t="s">
        <v>2337</v>
      </c>
      <c r="B781" s="11" t="s">
        <v>212</v>
      </c>
      <c r="C781" s="11" t="str">
        <f aca="false">B781&amp;":"&amp;A781</f>
        <v>att_protein_position:region</v>
      </c>
      <c r="D781" s="14" t="s">
        <v>17</v>
      </c>
      <c r="E781" s="11" t="s">
        <v>2338</v>
      </c>
      <c r="F781" s="11" t="s">
        <v>2339</v>
      </c>
    </row>
    <row r="782" customFormat="false" ht="12.8" hidden="false" customHeight="false" outlineLevel="0" collapsed="false">
      <c r="A782" s="11" t="s">
        <v>2340</v>
      </c>
      <c r="B782" s="11" t="s">
        <v>214</v>
      </c>
      <c r="C782" s="11" t="str">
        <f aca="false">B782&amp;":"&amp;A782</f>
        <v>att_quant_algorithm:directlfq</v>
      </c>
      <c r="D782" s="14" t="s">
        <v>17</v>
      </c>
      <c r="E782" s="11" t="s">
        <v>2341</v>
      </c>
      <c r="F782" s="14" t="s">
        <v>17</v>
      </c>
    </row>
    <row r="783" customFormat="false" ht="12.8" hidden="false" customHeight="false" outlineLevel="0" collapsed="false">
      <c r="A783" s="11" t="s">
        <v>2342</v>
      </c>
      <c r="B783" s="11" t="s">
        <v>214</v>
      </c>
      <c r="C783" s="11" t="str">
        <f aca="false">B783&amp;":"&amp;A783</f>
        <v>att_quant_algorithm:maxlfq</v>
      </c>
      <c r="D783" s="14" t="s">
        <v>17</v>
      </c>
      <c r="E783" s="11" t="s">
        <v>2343</v>
      </c>
      <c r="F783" s="14" t="s">
        <v>17</v>
      </c>
    </row>
    <row r="784" customFormat="false" ht="12.8" hidden="false" customHeight="false" outlineLevel="0" collapsed="false">
      <c r="A784" s="11" t="s">
        <v>2344</v>
      </c>
      <c r="B784" s="11" t="s">
        <v>214</v>
      </c>
      <c r="C784" s="11" t="str">
        <f aca="false">B784&amp;":"&amp;A784</f>
        <v>att_quant_algorithm:speccount</v>
      </c>
      <c r="D784" s="14" t="s">
        <v>17</v>
      </c>
      <c r="E784" s="11" t="s">
        <v>2345</v>
      </c>
      <c r="F784" s="14" t="s">
        <v>17</v>
      </c>
    </row>
    <row r="785" customFormat="false" ht="12.8" hidden="false" customHeight="false" outlineLevel="0" collapsed="false">
      <c r="A785" s="11" t="s">
        <v>2346</v>
      </c>
      <c r="B785" s="11" t="s">
        <v>215</v>
      </c>
      <c r="C785" s="11" t="str">
        <f aca="false">B785&amp;":"&amp;A785</f>
        <v>att_quantification:isobaric</v>
      </c>
      <c r="D785" s="14" t="s">
        <v>17</v>
      </c>
      <c r="E785" s="11" t="s">
        <v>2346</v>
      </c>
      <c r="F785" s="11" t="s">
        <v>2347</v>
      </c>
    </row>
    <row r="786" customFormat="false" ht="12.8" hidden="false" customHeight="false" outlineLevel="0" collapsed="false">
      <c r="A786" s="11" t="s">
        <v>2348</v>
      </c>
      <c r="B786" s="11" t="s">
        <v>215</v>
      </c>
      <c r="C786" s="11" t="str">
        <f aca="false">B786&amp;":"&amp;A786</f>
        <v>att_quantification:istopic</v>
      </c>
      <c r="D786" s="14" t="s">
        <v>17</v>
      </c>
      <c r="E786" s="11" t="s">
        <v>2348</v>
      </c>
      <c r="F786" s="11" t="s">
        <v>2349</v>
      </c>
    </row>
    <row r="787" customFormat="false" ht="12.8" hidden="false" customHeight="false" outlineLevel="0" collapsed="false">
      <c r="A787" s="11" t="s">
        <v>2350</v>
      </c>
      <c r="B787" s="11" t="s">
        <v>215</v>
      </c>
      <c r="C787" s="11" t="str">
        <f aca="false">B787&amp;":"&amp;A787</f>
        <v>att_quantification:label_free</v>
      </c>
      <c r="D787" s="14" t="s">
        <v>17</v>
      </c>
      <c r="E787" s="11" t="s">
        <v>2351</v>
      </c>
      <c r="F787" s="11" t="s">
        <v>2352</v>
      </c>
    </row>
    <row r="788" customFormat="false" ht="12.8" hidden="false" customHeight="false" outlineLevel="0" collapsed="false">
      <c r="A788" s="11" t="s">
        <v>2353</v>
      </c>
      <c r="B788" s="11" t="s">
        <v>215</v>
      </c>
      <c r="C788" s="11" t="str">
        <f aca="false">B788&amp;":"&amp;A788</f>
        <v>att_quantification:silac</v>
      </c>
      <c r="D788" s="14" t="s">
        <v>17</v>
      </c>
      <c r="E788" s="11" t="s">
        <v>2353</v>
      </c>
      <c r="F788" s="11" t="s">
        <v>2354</v>
      </c>
    </row>
    <row r="789" customFormat="false" ht="12.8" hidden="false" customHeight="false" outlineLevel="0" collapsed="false">
      <c r="A789" s="11" t="s">
        <v>2355</v>
      </c>
      <c r="B789" s="11" t="s">
        <v>218</v>
      </c>
      <c r="C789" s="11" t="str">
        <f aca="false">B789&amp;":"&amp;A789</f>
        <v>att_reduction:dtt</v>
      </c>
      <c r="D789" s="14" t="s">
        <v>17</v>
      </c>
      <c r="E789" s="11" t="s">
        <v>2356</v>
      </c>
      <c r="F789" s="11" t="s">
        <v>2357</v>
      </c>
    </row>
    <row r="790" customFormat="false" ht="12.8" hidden="false" customHeight="false" outlineLevel="0" collapsed="false">
      <c r="A790" s="11" t="s">
        <v>348</v>
      </c>
      <c r="B790" s="11" t="s">
        <v>218</v>
      </c>
      <c r="C790" s="11" t="str">
        <f aca="false">B790&amp;":"&amp;A790</f>
        <v>att_reduction:none</v>
      </c>
      <c r="D790" s="14" t="s">
        <v>17</v>
      </c>
      <c r="E790" s="11" t="s">
        <v>349</v>
      </c>
      <c r="F790" s="11" t="s">
        <v>2358</v>
      </c>
    </row>
    <row r="791" customFormat="false" ht="12.8" hidden="false" customHeight="false" outlineLevel="0" collapsed="false">
      <c r="A791" s="11" t="s">
        <v>2359</v>
      </c>
      <c r="B791" s="11" t="s">
        <v>218</v>
      </c>
      <c r="C791" s="11" t="str">
        <f aca="false">B791&amp;":"&amp;A791</f>
        <v>att_reduction:tcep</v>
      </c>
      <c r="D791" s="14" t="s">
        <v>17</v>
      </c>
      <c r="E791" s="11" t="s">
        <v>2360</v>
      </c>
      <c r="F791" s="11" t="s">
        <v>2361</v>
      </c>
    </row>
    <row r="792" customFormat="false" ht="12.8" hidden="false" customHeight="false" outlineLevel="0" collapsed="false">
      <c r="A792" s="11" t="s">
        <v>1425</v>
      </c>
      <c r="B792" s="11" t="s">
        <v>2362</v>
      </c>
      <c r="C792" s="11" t="str">
        <f aca="false">B792&amp;":"&amp;A792</f>
        <v>att_signalling:apoptosis</v>
      </c>
      <c r="D792" s="14" t="s">
        <v>17</v>
      </c>
      <c r="E792" s="11" t="s">
        <v>1426</v>
      </c>
      <c r="F792" s="11" t="s">
        <v>2363</v>
      </c>
    </row>
    <row r="793" customFormat="false" ht="12.8" hidden="false" customHeight="false" outlineLevel="0" collapsed="false">
      <c r="A793" s="11" t="s">
        <v>2364</v>
      </c>
      <c r="B793" s="11" t="s">
        <v>2362</v>
      </c>
      <c r="C793" s="11" t="str">
        <f aca="false">B793&amp;":"&amp;A793</f>
        <v>att_signalling:autocrine</v>
      </c>
      <c r="D793" s="14" t="s">
        <v>17</v>
      </c>
      <c r="E793" s="11" t="s">
        <v>2365</v>
      </c>
      <c r="F793" s="11" t="s">
        <v>2366</v>
      </c>
    </row>
    <row r="794" customFormat="false" ht="12.8" hidden="false" customHeight="false" outlineLevel="0" collapsed="false">
      <c r="A794" s="11" t="s">
        <v>2367</v>
      </c>
      <c r="B794" s="11" t="s">
        <v>2362</v>
      </c>
      <c r="C794" s="11" t="str">
        <f aca="false">B794&amp;":"&amp;A794</f>
        <v>att_signalling:complement</v>
      </c>
      <c r="D794" s="14" t="s">
        <v>17</v>
      </c>
      <c r="E794" s="11" t="s">
        <v>2368</v>
      </c>
      <c r="F794" s="11" t="s">
        <v>2369</v>
      </c>
    </row>
    <row r="795" customFormat="false" ht="12.8" hidden="false" customHeight="false" outlineLevel="0" collapsed="false">
      <c r="A795" s="11" t="s">
        <v>2370</v>
      </c>
      <c r="B795" s="11" t="s">
        <v>2362</v>
      </c>
      <c r="C795" s="11" t="str">
        <f aca="false">B795&amp;":"&amp;A795</f>
        <v>att_signalling:cytokines</v>
      </c>
      <c r="D795" s="14" t="s">
        <v>17</v>
      </c>
      <c r="E795" s="11" t="s">
        <v>2371</v>
      </c>
      <c r="F795" s="11" t="s">
        <v>2372</v>
      </c>
    </row>
    <row r="796" customFormat="false" ht="12.8" hidden="false" customHeight="false" outlineLevel="0" collapsed="false">
      <c r="A796" s="11" t="s">
        <v>2373</v>
      </c>
      <c r="B796" s="11" t="s">
        <v>2362</v>
      </c>
      <c r="C796" s="11" t="str">
        <f aca="false">B796&amp;":"&amp;A796</f>
        <v>att_signalling:inflammation</v>
      </c>
      <c r="D796" s="14" t="s">
        <v>17</v>
      </c>
      <c r="E796" s="11" t="s">
        <v>2374</v>
      </c>
      <c r="F796" s="11" t="s">
        <v>2375</v>
      </c>
    </row>
    <row r="797" customFormat="false" ht="12.8" hidden="false" customHeight="false" outlineLevel="0" collapsed="false">
      <c r="A797" s="11" t="s">
        <v>2376</v>
      </c>
      <c r="B797" s="11" t="s">
        <v>2362</v>
      </c>
      <c r="C797" s="11" t="str">
        <f aca="false">B797&amp;":"&amp;A797</f>
        <v>att_signalling:insulin</v>
      </c>
      <c r="D797" s="14" t="s">
        <v>17</v>
      </c>
      <c r="E797" s="11" t="s">
        <v>2377</v>
      </c>
      <c r="F797" s="11" t="s">
        <v>2378</v>
      </c>
    </row>
    <row r="798" customFormat="false" ht="12.8" hidden="false" customHeight="false" outlineLevel="0" collapsed="false">
      <c r="A798" s="11" t="s">
        <v>2379</v>
      </c>
      <c r="B798" s="11" t="s">
        <v>2362</v>
      </c>
      <c r="C798" s="11" t="str">
        <f aca="false">B798&amp;":"&amp;A798</f>
        <v>att_signalling:juxtacrine</v>
      </c>
      <c r="D798" s="14" t="s">
        <v>17</v>
      </c>
      <c r="E798" s="11" t="s">
        <v>2380</v>
      </c>
      <c r="F798" s="11" t="s">
        <v>2381</v>
      </c>
    </row>
    <row r="799" customFormat="false" ht="12.8" hidden="false" customHeight="false" outlineLevel="0" collapsed="false">
      <c r="A799" s="11" t="s">
        <v>2382</v>
      </c>
      <c r="B799" s="11" t="s">
        <v>2362</v>
      </c>
      <c r="C799" s="11" t="str">
        <f aca="false">B799&amp;":"&amp;A799</f>
        <v>att_signalling:necrosis</v>
      </c>
      <c r="D799" s="14" t="s">
        <v>17</v>
      </c>
      <c r="E799" s="11" t="s">
        <v>2383</v>
      </c>
      <c r="F799" s="11" t="s">
        <v>2384</v>
      </c>
    </row>
    <row r="800" customFormat="false" ht="12.8" hidden="false" customHeight="false" outlineLevel="0" collapsed="false">
      <c r="A800" s="11" t="s">
        <v>2385</v>
      </c>
      <c r="B800" s="11" t="s">
        <v>2362</v>
      </c>
      <c r="C800" s="11" t="str">
        <f aca="false">B800&amp;":"&amp;A800</f>
        <v>att_signalling:paracrine</v>
      </c>
      <c r="D800" s="14" t="s">
        <v>17</v>
      </c>
      <c r="E800" s="11" t="s">
        <v>2386</v>
      </c>
      <c r="F800" s="11" t="s">
        <v>2387</v>
      </c>
    </row>
    <row r="801" customFormat="false" ht="12.8" hidden="false" customHeight="false" outlineLevel="0" collapsed="false">
      <c r="A801" s="11" t="s">
        <v>1773</v>
      </c>
      <c r="B801" s="11" t="s">
        <v>2362</v>
      </c>
      <c r="C801" s="11" t="str">
        <f aca="false">B801&amp;":"&amp;A801</f>
        <v>att_signalling:signaling</v>
      </c>
      <c r="D801" s="14" t="s">
        <v>17</v>
      </c>
      <c r="E801" s="11" t="s">
        <v>1774</v>
      </c>
      <c r="F801" s="11" t="s">
        <v>2388</v>
      </c>
    </row>
    <row r="802" customFormat="false" ht="12.8" hidden="false" customHeight="false" outlineLevel="0" collapsed="false">
      <c r="A802" s="11" t="s">
        <v>2389</v>
      </c>
      <c r="B802" s="11" t="s">
        <v>31</v>
      </c>
      <c r="C802" s="11" t="str">
        <f aca="false">B802&amp;":"&amp;A802</f>
        <v>att_software:diann</v>
      </c>
      <c r="D802" s="14" t="s">
        <v>17</v>
      </c>
      <c r="E802" s="11" t="s">
        <v>2390</v>
      </c>
      <c r="F802" s="11" t="s">
        <v>2391</v>
      </c>
    </row>
    <row r="803" customFormat="false" ht="12.8" hidden="false" customHeight="false" outlineLevel="0" collapsed="false">
      <c r="A803" s="11" t="s">
        <v>2392</v>
      </c>
      <c r="B803" s="11" t="s">
        <v>31</v>
      </c>
      <c r="C803" s="11" t="str">
        <f aca="false">B803&amp;":"&amp;A803</f>
        <v>att_software:maxquant</v>
      </c>
      <c r="D803" s="14" t="s">
        <v>17</v>
      </c>
      <c r="E803" s="11" t="s">
        <v>2393</v>
      </c>
      <c r="F803" s="11" t="s">
        <v>2394</v>
      </c>
    </row>
    <row r="804" customFormat="false" ht="12.8" hidden="false" customHeight="false" outlineLevel="0" collapsed="false">
      <c r="A804" s="11" t="s">
        <v>2395</v>
      </c>
      <c r="B804" s="11" t="s">
        <v>31</v>
      </c>
      <c r="C804" s="11" t="str">
        <f aca="false">B804&amp;":"&amp;A804</f>
        <v>att_software:metamorpheus</v>
      </c>
      <c r="D804" s="14" t="s">
        <v>17</v>
      </c>
      <c r="E804" s="11" t="s">
        <v>2396</v>
      </c>
      <c r="F804" s="11" t="s">
        <v>2397</v>
      </c>
    </row>
    <row r="805" customFormat="false" ht="12.8" hidden="false" customHeight="false" outlineLevel="0" collapsed="false">
      <c r="A805" s="11" t="s">
        <v>2398</v>
      </c>
      <c r="B805" s="11" t="s">
        <v>31</v>
      </c>
      <c r="C805" s="11" t="str">
        <f aca="false">B805&amp;":"&amp;A805</f>
        <v>att_software:minora</v>
      </c>
      <c r="D805" s="14" t="s">
        <v>17</v>
      </c>
      <c r="E805" s="11" t="s">
        <v>2399</v>
      </c>
      <c r="F805" s="11" t="s">
        <v>2400</v>
      </c>
    </row>
    <row r="806" customFormat="false" ht="12.8" hidden="false" customHeight="false" outlineLevel="0" collapsed="false">
      <c r="A806" s="11" t="s">
        <v>2401</v>
      </c>
      <c r="B806" s="11" t="s">
        <v>31</v>
      </c>
      <c r="C806" s="11" t="str">
        <f aca="false">B806&amp;":"&amp;A806</f>
        <v>att_software:msfragger</v>
      </c>
      <c r="D806" s="14" t="s">
        <v>17</v>
      </c>
      <c r="E806" s="11" t="s">
        <v>2402</v>
      </c>
      <c r="F806" s="11" t="s">
        <v>2403</v>
      </c>
    </row>
    <row r="807" customFormat="false" ht="12.8" hidden="false" customHeight="false" outlineLevel="0" collapsed="false">
      <c r="A807" s="11" t="s">
        <v>2404</v>
      </c>
      <c r="B807" s="11" t="s">
        <v>31</v>
      </c>
      <c r="C807" s="11" t="str">
        <f aca="false">B807&amp;":"&amp;A807</f>
        <v>att_software:msgf</v>
      </c>
      <c r="D807" s="14" t="s">
        <v>17</v>
      </c>
      <c r="E807" s="11" t="s">
        <v>2405</v>
      </c>
      <c r="F807" s="11" t="s">
        <v>2406</v>
      </c>
    </row>
    <row r="808" customFormat="false" ht="12.8" hidden="false" customHeight="false" outlineLevel="0" collapsed="false">
      <c r="A808" s="11" t="s">
        <v>2407</v>
      </c>
      <c r="B808" s="11" t="s">
        <v>31</v>
      </c>
      <c r="C808" s="11" t="str">
        <f aca="false">B808&amp;":"&amp;A808</f>
        <v>att_software:spectronaut</v>
      </c>
      <c r="D808" s="14" t="s">
        <v>17</v>
      </c>
      <c r="E808" s="11" t="s">
        <v>2408</v>
      </c>
      <c r="F808" s="11" t="s">
        <v>2409</v>
      </c>
    </row>
    <row r="809" customFormat="false" ht="12.8" hidden="false" customHeight="false" outlineLevel="0" collapsed="false">
      <c r="A809" s="11" t="s">
        <v>2410</v>
      </c>
      <c r="B809" s="11" t="s">
        <v>242</v>
      </c>
      <c r="C809" s="11" t="str">
        <f aca="false">B809&amp;":"&amp;A809</f>
        <v>att_tissue:adipose</v>
      </c>
      <c r="D809" s="11" t="s">
        <v>2410</v>
      </c>
      <c r="E809" s="11" t="s">
        <v>2411</v>
      </c>
      <c r="F809" s="11" t="s">
        <v>2412</v>
      </c>
    </row>
    <row r="810" customFormat="false" ht="12.8" hidden="false" customHeight="false" outlineLevel="0" collapsed="false">
      <c r="A810" s="11" t="s">
        <v>2413</v>
      </c>
      <c r="B810" s="11" t="s">
        <v>242</v>
      </c>
      <c r="C810" s="11" t="str">
        <f aca="false">B810&amp;":"&amp;A810</f>
        <v>att_tissue:areolar</v>
      </c>
      <c r="D810" s="11" t="s">
        <v>2413</v>
      </c>
      <c r="E810" s="11" t="s">
        <v>2414</v>
      </c>
      <c r="F810" s="11" t="s">
        <v>2415</v>
      </c>
    </row>
    <row r="811" customFormat="false" ht="12.8" hidden="false" customHeight="false" outlineLevel="0" collapsed="false">
      <c r="A811" s="11" t="s">
        <v>2416</v>
      </c>
      <c r="B811" s="11" t="s">
        <v>242</v>
      </c>
      <c r="C811" s="11" t="str">
        <f aca="false">B811&amp;":"&amp;A811</f>
        <v>att_tissue:blood</v>
      </c>
      <c r="D811" s="11" t="s">
        <v>2416</v>
      </c>
      <c r="E811" s="11" t="s">
        <v>2417</v>
      </c>
      <c r="F811" s="11" t="s">
        <v>2417</v>
      </c>
    </row>
    <row r="812" customFormat="false" ht="12.8" hidden="false" customHeight="false" outlineLevel="0" collapsed="false">
      <c r="A812" s="11" t="s">
        <v>2418</v>
      </c>
      <c r="B812" s="11" t="s">
        <v>242</v>
      </c>
      <c r="C812" s="11" t="str">
        <f aca="false">B812&amp;":"&amp;A812</f>
        <v>att_tissue:connective</v>
      </c>
      <c r="D812" s="11" t="s">
        <v>2418</v>
      </c>
      <c r="E812" s="11" t="s">
        <v>2419</v>
      </c>
      <c r="F812" s="11" t="s">
        <v>2420</v>
      </c>
    </row>
    <row r="813" customFormat="false" ht="12.8" hidden="false" customHeight="false" outlineLevel="0" collapsed="false">
      <c r="A813" s="11" t="s">
        <v>2421</v>
      </c>
      <c r="B813" s="11" t="s">
        <v>242</v>
      </c>
      <c r="C813" s="11" t="str">
        <f aca="false">B813&amp;":"&amp;A813</f>
        <v>att_tissue:dermis</v>
      </c>
      <c r="D813" s="11" t="s">
        <v>2421</v>
      </c>
      <c r="E813" s="11" t="s">
        <v>2422</v>
      </c>
      <c r="F813" s="11" t="s">
        <v>2422</v>
      </c>
    </row>
    <row r="814" customFormat="false" ht="12.8" hidden="false" customHeight="false" outlineLevel="0" collapsed="false">
      <c r="A814" s="11" t="s">
        <v>2423</v>
      </c>
      <c r="B814" s="11" t="s">
        <v>242</v>
      </c>
      <c r="C814" s="11" t="str">
        <f aca="false">B814&amp;":"&amp;A814</f>
        <v>att_tissue:epidermis</v>
      </c>
      <c r="D814" s="11" t="s">
        <v>2423</v>
      </c>
      <c r="E814" s="11" t="s">
        <v>2424</v>
      </c>
      <c r="F814" s="11" t="s">
        <v>2424</v>
      </c>
    </row>
    <row r="815" customFormat="false" ht="12.8" hidden="false" customHeight="false" outlineLevel="0" collapsed="false">
      <c r="A815" s="11" t="s">
        <v>2425</v>
      </c>
      <c r="B815" s="11" t="s">
        <v>242</v>
      </c>
      <c r="C815" s="11" t="str">
        <f aca="false">B815&amp;":"&amp;A815</f>
        <v>att_tissue:epithelial</v>
      </c>
      <c r="D815" s="11" t="s">
        <v>2425</v>
      </c>
      <c r="E815" s="11" t="s">
        <v>2426</v>
      </c>
      <c r="F815" s="11" t="s">
        <v>2427</v>
      </c>
    </row>
    <row r="816" customFormat="false" ht="12.8" hidden="false" customHeight="false" outlineLevel="0" collapsed="false">
      <c r="A816" s="11" t="s">
        <v>2428</v>
      </c>
      <c r="B816" s="11" t="s">
        <v>242</v>
      </c>
      <c r="C816" s="11" t="str">
        <f aca="false">B816&amp;":"&amp;A816</f>
        <v>att_tissue:hypodermis</v>
      </c>
      <c r="D816" s="11" t="s">
        <v>2428</v>
      </c>
      <c r="E816" s="11" t="s">
        <v>2429</v>
      </c>
      <c r="F816" s="11" t="s">
        <v>2429</v>
      </c>
    </row>
    <row r="817" customFormat="false" ht="12.8" hidden="false" customHeight="false" outlineLevel="0" collapsed="false">
      <c r="A817" s="11" t="s">
        <v>2430</v>
      </c>
      <c r="B817" s="11" t="s">
        <v>242</v>
      </c>
      <c r="C817" s="11" t="str">
        <f aca="false">B817&amp;":"&amp;A817</f>
        <v>att_tissue:muscle</v>
      </c>
      <c r="D817" s="11" t="s">
        <v>2430</v>
      </c>
      <c r="E817" s="11" t="s">
        <v>184</v>
      </c>
      <c r="F817" s="11" t="s">
        <v>2431</v>
      </c>
    </row>
    <row r="818" customFormat="false" ht="12.8" hidden="false" customHeight="false" outlineLevel="0" collapsed="false">
      <c r="A818" s="11" t="s">
        <v>2432</v>
      </c>
      <c r="B818" s="11" t="s">
        <v>242</v>
      </c>
      <c r="C818" s="11" t="str">
        <f aca="false">B818&amp;":"&amp;A818</f>
        <v>att_tissue:nervous</v>
      </c>
      <c r="D818" s="11" t="s">
        <v>2432</v>
      </c>
      <c r="E818" s="11" t="s">
        <v>2250</v>
      </c>
      <c r="F818" s="11" t="s">
        <v>2433</v>
      </c>
    </row>
    <row r="819" customFormat="false" ht="12.8" hidden="false" customHeight="false" outlineLevel="0" collapsed="false">
      <c r="A819" s="11" t="s">
        <v>2434</v>
      </c>
      <c r="B819" s="11" t="s">
        <v>242</v>
      </c>
      <c r="C819" s="11" t="str">
        <f aca="false">B819&amp;":"&amp;A819</f>
        <v>att_tissue:reticular</v>
      </c>
      <c r="D819" s="11" t="s">
        <v>2434</v>
      </c>
      <c r="E819" s="11" t="s">
        <v>2435</v>
      </c>
      <c r="F819" s="11" t="s">
        <v>2436</v>
      </c>
    </row>
    <row r="820" customFormat="false" ht="12.8" hidden="false" customHeight="false" outlineLevel="0" collapsed="false">
      <c r="A820" s="11" t="s">
        <v>2437</v>
      </c>
      <c r="B820" s="11" t="s">
        <v>242</v>
      </c>
      <c r="C820" s="11" t="str">
        <f aca="false">B820&amp;":"&amp;A820</f>
        <v>att_tissue:stromal</v>
      </c>
      <c r="D820" s="11" t="s">
        <v>2437</v>
      </c>
      <c r="E820" s="11" t="s">
        <v>2438</v>
      </c>
      <c r="F820" s="11" t="s">
        <v>2439</v>
      </c>
    </row>
    <row r="821" customFormat="false" ht="12.8" hidden="false" customHeight="false" outlineLevel="0" collapsed="false">
      <c r="A821" s="11" t="s">
        <v>2440</v>
      </c>
      <c r="B821" s="11" t="s">
        <v>244</v>
      </c>
      <c r="C821" s="11" t="str">
        <f aca="false">B821&amp;":"&amp;A821</f>
        <v>att_tmt_channel:tmt10_126</v>
      </c>
      <c r="D821" s="14" t="s">
        <v>17</v>
      </c>
      <c r="E821" s="11" t="n">
        <v>126</v>
      </c>
      <c r="F821" s="14" t="s">
        <v>17</v>
      </c>
    </row>
    <row r="822" customFormat="false" ht="12.8" hidden="false" customHeight="false" outlineLevel="0" collapsed="false">
      <c r="A822" s="11" t="s">
        <v>2441</v>
      </c>
      <c r="B822" s="11" t="s">
        <v>244</v>
      </c>
      <c r="C822" s="11" t="str">
        <f aca="false">B822&amp;":"&amp;A822</f>
        <v>att_tmt_channel:tmt10_127C</v>
      </c>
      <c r="D822" s="14" t="s">
        <v>17</v>
      </c>
      <c r="E822" s="11" t="s">
        <v>2442</v>
      </c>
      <c r="F822" s="14" t="s">
        <v>17</v>
      </c>
    </row>
    <row r="823" customFormat="false" ht="12.8" hidden="false" customHeight="false" outlineLevel="0" collapsed="false">
      <c r="A823" s="11" t="s">
        <v>2443</v>
      </c>
      <c r="B823" s="11" t="s">
        <v>244</v>
      </c>
      <c r="C823" s="11" t="str">
        <f aca="false">B823&amp;":"&amp;A823</f>
        <v>att_tmt_channel:tmt10_127N</v>
      </c>
      <c r="D823" s="14" t="s">
        <v>17</v>
      </c>
      <c r="E823" s="11" t="s">
        <v>2444</v>
      </c>
      <c r="F823" s="14" t="s">
        <v>17</v>
      </c>
    </row>
    <row r="824" customFormat="false" ht="12.8" hidden="false" customHeight="false" outlineLevel="0" collapsed="false">
      <c r="A824" s="11" t="s">
        <v>2445</v>
      </c>
      <c r="B824" s="11" t="s">
        <v>244</v>
      </c>
      <c r="C824" s="11" t="str">
        <f aca="false">B824&amp;":"&amp;A824</f>
        <v>att_tmt_channel:tmt10_128C</v>
      </c>
      <c r="D824" s="14" t="s">
        <v>17</v>
      </c>
      <c r="E824" s="11" t="s">
        <v>2446</v>
      </c>
      <c r="F824" s="14" t="s">
        <v>17</v>
      </c>
    </row>
    <row r="825" customFormat="false" ht="12.8" hidden="false" customHeight="false" outlineLevel="0" collapsed="false">
      <c r="A825" s="11" t="s">
        <v>2447</v>
      </c>
      <c r="B825" s="11" t="s">
        <v>244</v>
      </c>
      <c r="C825" s="11" t="str">
        <f aca="false">B825&amp;":"&amp;A825</f>
        <v>att_tmt_channel:tmt10_128N</v>
      </c>
      <c r="D825" s="14" t="s">
        <v>17</v>
      </c>
      <c r="E825" s="11" t="s">
        <v>2448</v>
      </c>
      <c r="F825" s="14" t="s">
        <v>17</v>
      </c>
    </row>
    <row r="826" customFormat="false" ht="12.8" hidden="false" customHeight="false" outlineLevel="0" collapsed="false">
      <c r="A826" s="11" t="s">
        <v>2449</v>
      </c>
      <c r="B826" s="11" t="s">
        <v>244</v>
      </c>
      <c r="C826" s="11" t="str">
        <f aca="false">B826&amp;":"&amp;A826</f>
        <v>att_tmt_channel:tmt10_129C</v>
      </c>
      <c r="D826" s="14" t="s">
        <v>17</v>
      </c>
      <c r="E826" s="11" t="s">
        <v>2450</v>
      </c>
      <c r="F826" s="14" t="s">
        <v>17</v>
      </c>
    </row>
    <row r="827" customFormat="false" ht="12.8" hidden="false" customHeight="false" outlineLevel="0" collapsed="false">
      <c r="A827" s="11" t="s">
        <v>2451</v>
      </c>
      <c r="B827" s="11" t="s">
        <v>244</v>
      </c>
      <c r="C827" s="11" t="str">
        <f aca="false">B827&amp;":"&amp;A827</f>
        <v>att_tmt_channel:tmt10_129N</v>
      </c>
      <c r="D827" s="14" t="s">
        <v>17</v>
      </c>
      <c r="E827" s="11" t="s">
        <v>2452</v>
      </c>
      <c r="F827" s="14" t="s">
        <v>17</v>
      </c>
    </row>
    <row r="828" customFormat="false" ht="12.8" hidden="false" customHeight="false" outlineLevel="0" collapsed="false">
      <c r="A828" s="11" t="s">
        <v>2453</v>
      </c>
      <c r="B828" s="11" t="s">
        <v>244</v>
      </c>
      <c r="C828" s="11" t="str">
        <f aca="false">B828&amp;":"&amp;A828</f>
        <v>att_tmt_channel:tmt10_130C</v>
      </c>
      <c r="D828" s="14" t="s">
        <v>17</v>
      </c>
      <c r="E828" s="11" t="s">
        <v>2454</v>
      </c>
      <c r="F828" s="14" t="s">
        <v>17</v>
      </c>
    </row>
    <row r="829" customFormat="false" ht="12.8" hidden="false" customHeight="false" outlineLevel="0" collapsed="false">
      <c r="A829" s="11" t="s">
        <v>2455</v>
      </c>
      <c r="B829" s="11" t="s">
        <v>244</v>
      </c>
      <c r="C829" s="11" t="str">
        <f aca="false">B829&amp;":"&amp;A829</f>
        <v>att_tmt_channel:tmt10_130N</v>
      </c>
      <c r="D829" s="14" t="s">
        <v>17</v>
      </c>
      <c r="E829" s="11" t="s">
        <v>2456</v>
      </c>
      <c r="F829" s="14" t="s">
        <v>17</v>
      </c>
    </row>
    <row r="830" customFormat="false" ht="12.8" hidden="false" customHeight="false" outlineLevel="0" collapsed="false">
      <c r="A830" s="11" t="s">
        <v>2457</v>
      </c>
      <c r="B830" s="11" t="s">
        <v>244</v>
      </c>
      <c r="C830" s="11" t="str">
        <f aca="false">B830&amp;":"&amp;A830</f>
        <v>att_tmt_channel:tmt10_131</v>
      </c>
      <c r="D830" s="14" t="s">
        <v>17</v>
      </c>
      <c r="E830" s="11" t="n">
        <v>131</v>
      </c>
      <c r="F830" s="14" t="s">
        <v>17</v>
      </c>
    </row>
    <row r="831" customFormat="false" ht="12.8" hidden="false" customHeight="false" outlineLevel="0" collapsed="false">
      <c r="A831" s="11" t="s">
        <v>2458</v>
      </c>
      <c r="B831" s="11" t="s">
        <v>244</v>
      </c>
      <c r="C831" s="11" t="str">
        <f aca="false">B831&amp;":"&amp;A831</f>
        <v>att_tmt_channel:tmt11_126</v>
      </c>
      <c r="D831" s="14" t="s">
        <v>17</v>
      </c>
      <c r="E831" s="11" t="n">
        <v>126</v>
      </c>
      <c r="F831" s="14" t="s">
        <v>17</v>
      </c>
    </row>
    <row r="832" customFormat="false" ht="12.8" hidden="false" customHeight="false" outlineLevel="0" collapsed="false">
      <c r="A832" s="11" t="s">
        <v>2459</v>
      </c>
      <c r="B832" s="11" t="s">
        <v>244</v>
      </c>
      <c r="C832" s="11" t="str">
        <f aca="false">B832&amp;":"&amp;A832</f>
        <v>att_tmt_channel:tmt11_127C</v>
      </c>
      <c r="D832" s="14" t="s">
        <v>17</v>
      </c>
      <c r="E832" s="11" t="s">
        <v>2442</v>
      </c>
      <c r="F832" s="14" t="s">
        <v>17</v>
      </c>
    </row>
    <row r="833" customFormat="false" ht="12.8" hidden="false" customHeight="false" outlineLevel="0" collapsed="false">
      <c r="A833" s="11" t="s">
        <v>2460</v>
      </c>
      <c r="B833" s="11" t="s">
        <v>244</v>
      </c>
      <c r="C833" s="11" t="str">
        <f aca="false">B833&amp;":"&amp;A833</f>
        <v>att_tmt_channel:tmt11_127N</v>
      </c>
      <c r="D833" s="14" t="s">
        <v>17</v>
      </c>
      <c r="E833" s="11" t="s">
        <v>2444</v>
      </c>
      <c r="F833" s="14" t="s">
        <v>17</v>
      </c>
    </row>
    <row r="834" customFormat="false" ht="12.8" hidden="false" customHeight="false" outlineLevel="0" collapsed="false">
      <c r="A834" s="11" t="s">
        <v>2461</v>
      </c>
      <c r="B834" s="11" t="s">
        <v>244</v>
      </c>
      <c r="C834" s="11" t="str">
        <f aca="false">B834&amp;":"&amp;A834</f>
        <v>att_tmt_channel:tmt11_128C</v>
      </c>
      <c r="D834" s="14" t="s">
        <v>17</v>
      </c>
      <c r="E834" s="11" t="s">
        <v>2446</v>
      </c>
      <c r="F834" s="14" t="s">
        <v>17</v>
      </c>
    </row>
    <row r="835" customFormat="false" ht="12.8" hidden="false" customHeight="false" outlineLevel="0" collapsed="false">
      <c r="A835" s="11" t="s">
        <v>2462</v>
      </c>
      <c r="B835" s="11" t="s">
        <v>244</v>
      </c>
      <c r="C835" s="11" t="str">
        <f aca="false">B835&amp;":"&amp;A835</f>
        <v>att_tmt_channel:tmt11_128N</v>
      </c>
      <c r="D835" s="14" t="s">
        <v>17</v>
      </c>
      <c r="E835" s="11" t="s">
        <v>2448</v>
      </c>
      <c r="F835" s="14" t="s">
        <v>17</v>
      </c>
    </row>
    <row r="836" customFormat="false" ht="12.8" hidden="false" customHeight="false" outlineLevel="0" collapsed="false">
      <c r="A836" s="11" t="s">
        <v>2463</v>
      </c>
      <c r="B836" s="11" t="s">
        <v>244</v>
      </c>
      <c r="C836" s="11" t="str">
        <f aca="false">B836&amp;":"&amp;A836</f>
        <v>att_tmt_channel:tmt11_129C</v>
      </c>
      <c r="D836" s="14" t="s">
        <v>17</v>
      </c>
      <c r="E836" s="11" t="s">
        <v>2450</v>
      </c>
      <c r="F836" s="14" t="s">
        <v>17</v>
      </c>
    </row>
    <row r="837" customFormat="false" ht="12.8" hidden="false" customHeight="false" outlineLevel="0" collapsed="false">
      <c r="A837" s="11" t="s">
        <v>2464</v>
      </c>
      <c r="B837" s="11" t="s">
        <v>244</v>
      </c>
      <c r="C837" s="11" t="str">
        <f aca="false">B837&amp;":"&amp;A837</f>
        <v>att_tmt_channel:tmt11_129N</v>
      </c>
      <c r="D837" s="14" t="s">
        <v>17</v>
      </c>
      <c r="E837" s="11" t="s">
        <v>2452</v>
      </c>
      <c r="F837" s="14" t="s">
        <v>17</v>
      </c>
    </row>
    <row r="838" customFormat="false" ht="12.8" hidden="false" customHeight="false" outlineLevel="0" collapsed="false">
      <c r="A838" s="11" t="s">
        <v>2465</v>
      </c>
      <c r="B838" s="11" t="s">
        <v>244</v>
      </c>
      <c r="C838" s="11" t="str">
        <f aca="false">B838&amp;":"&amp;A838</f>
        <v>att_tmt_channel:tmt11_130C</v>
      </c>
      <c r="D838" s="14" t="s">
        <v>17</v>
      </c>
      <c r="E838" s="11" t="s">
        <v>2454</v>
      </c>
      <c r="F838" s="14" t="s">
        <v>17</v>
      </c>
    </row>
    <row r="839" customFormat="false" ht="12.8" hidden="false" customHeight="false" outlineLevel="0" collapsed="false">
      <c r="A839" s="11" t="s">
        <v>2466</v>
      </c>
      <c r="B839" s="11" t="s">
        <v>244</v>
      </c>
      <c r="C839" s="11" t="str">
        <f aca="false">B839&amp;":"&amp;A839</f>
        <v>att_tmt_channel:tmt11_130N</v>
      </c>
      <c r="D839" s="14" t="s">
        <v>17</v>
      </c>
      <c r="E839" s="11" t="s">
        <v>2456</v>
      </c>
      <c r="F839" s="14" t="s">
        <v>17</v>
      </c>
    </row>
    <row r="840" customFormat="false" ht="12.8" hidden="false" customHeight="false" outlineLevel="0" collapsed="false">
      <c r="A840" s="11" t="s">
        <v>2467</v>
      </c>
      <c r="B840" s="11" t="s">
        <v>244</v>
      </c>
      <c r="C840" s="11" t="str">
        <f aca="false">B840&amp;":"&amp;A840</f>
        <v>att_tmt_channel:tmt11_131C</v>
      </c>
      <c r="D840" s="14" t="s">
        <v>17</v>
      </c>
      <c r="E840" s="11" t="s">
        <v>2468</v>
      </c>
      <c r="F840" s="14" t="s">
        <v>17</v>
      </c>
    </row>
    <row r="841" customFormat="false" ht="12.8" hidden="false" customHeight="false" outlineLevel="0" collapsed="false">
      <c r="A841" s="11" t="s">
        <v>2469</v>
      </c>
      <c r="B841" s="11" t="s">
        <v>244</v>
      </c>
      <c r="C841" s="11" t="str">
        <f aca="false">B841&amp;":"&amp;A841</f>
        <v>att_tmt_channel:tmt11_131N</v>
      </c>
      <c r="D841" s="14" t="s">
        <v>17</v>
      </c>
      <c r="E841" s="11" t="s">
        <v>2470</v>
      </c>
      <c r="F841" s="14" t="s">
        <v>17</v>
      </c>
    </row>
    <row r="842" customFormat="false" ht="12.8" hidden="false" customHeight="false" outlineLevel="0" collapsed="false">
      <c r="A842" s="11" t="s">
        <v>2471</v>
      </c>
      <c r="B842" s="11" t="s">
        <v>244</v>
      </c>
      <c r="C842" s="11" t="str">
        <f aca="false">B842&amp;":"&amp;A842</f>
        <v>att_tmt_channel:tmt18_126</v>
      </c>
      <c r="D842" s="14" t="s">
        <v>17</v>
      </c>
      <c r="E842" s="11" t="n">
        <v>126</v>
      </c>
      <c r="F842" s="14" t="s">
        <v>17</v>
      </c>
    </row>
    <row r="843" customFormat="false" ht="12.8" hidden="false" customHeight="false" outlineLevel="0" collapsed="false">
      <c r="A843" s="11" t="s">
        <v>2472</v>
      </c>
      <c r="B843" s="11" t="s">
        <v>244</v>
      </c>
      <c r="C843" s="11" t="str">
        <f aca="false">B843&amp;":"&amp;A843</f>
        <v>att_tmt_channel:tmt18_127C</v>
      </c>
      <c r="D843" s="14" t="s">
        <v>17</v>
      </c>
      <c r="E843" s="11" t="s">
        <v>2442</v>
      </c>
      <c r="F843" s="14" t="s">
        <v>17</v>
      </c>
    </row>
    <row r="844" customFormat="false" ht="12.8" hidden="false" customHeight="false" outlineLevel="0" collapsed="false">
      <c r="A844" s="11" t="s">
        <v>2473</v>
      </c>
      <c r="B844" s="11" t="s">
        <v>244</v>
      </c>
      <c r="C844" s="11" t="str">
        <f aca="false">B844&amp;":"&amp;A844</f>
        <v>att_tmt_channel:tmt18_127N</v>
      </c>
      <c r="D844" s="14" t="s">
        <v>17</v>
      </c>
      <c r="E844" s="11" t="s">
        <v>2444</v>
      </c>
      <c r="F844" s="14" t="s">
        <v>17</v>
      </c>
    </row>
    <row r="845" customFormat="false" ht="12.8" hidden="false" customHeight="false" outlineLevel="0" collapsed="false">
      <c r="A845" s="11" t="s">
        <v>2474</v>
      </c>
      <c r="B845" s="11" t="s">
        <v>244</v>
      </c>
      <c r="C845" s="11" t="str">
        <f aca="false">B845&amp;":"&amp;A845</f>
        <v>att_tmt_channel:tmt18_128C</v>
      </c>
      <c r="D845" s="14" t="s">
        <v>17</v>
      </c>
      <c r="E845" s="11" t="s">
        <v>2446</v>
      </c>
      <c r="F845" s="14" t="s">
        <v>17</v>
      </c>
    </row>
    <row r="846" customFormat="false" ht="12.8" hidden="false" customHeight="false" outlineLevel="0" collapsed="false">
      <c r="A846" s="11" t="s">
        <v>2475</v>
      </c>
      <c r="B846" s="11" t="s">
        <v>244</v>
      </c>
      <c r="C846" s="11" t="str">
        <f aca="false">B846&amp;":"&amp;A846</f>
        <v>att_tmt_channel:tmt18_128N</v>
      </c>
      <c r="D846" s="14" t="s">
        <v>17</v>
      </c>
      <c r="E846" s="11" t="s">
        <v>2448</v>
      </c>
      <c r="F846" s="14" t="s">
        <v>17</v>
      </c>
    </row>
    <row r="847" customFormat="false" ht="12.8" hidden="false" customHeight="false" outlineLevel="0" collapsed="false">
      <c r="A847" s="11" t="s">
        <v>2476</v>
      </c>
      <c r="B847" s="11" t="s">
        <v>244</v>
      </c>
      <c r="C847" s="11" t="str">
        <f aca="false">B847&amp;":"&amp;A847</f>
        <v>att_tmt_channel:tmt18_129C</v>
      </c>
      <c r="D847" s="14" t="s">
        <v>17</v>
      </c>
      <c r="E847" s="11" t="s">
        <v>2450</v>
      </c>
      <c r="F847" s="14" t="s">
        <v>17</v>
      </c>
    </row>
    <row r="848" customFormat="false" ht="12.8" hidden="false" customHeight="false" outlineLevel="0" collapsed="false">
      <c r="A848" s="11" t="s">
        <v>2477</v>
      </c>
      <c r="B848" s="11" t="s">
        <v>244</v>
      </c>
      <c r="C848" s="11" t="str">
        <f aca="false">B848&amp;":"&amp;A848</f>
        <v>att_tmt_channel:tmt18_129N</v>
      </c>
      <c r="D848" s="14" t="s">
        <v>17</v>
      </c>
      <c r="E848" s="11" t="s">
        <v>2452</v>
      </c>
      <c r="F848" s="14" t="s">
        <v>17</v>
      </c>
    </row>
    <row r="849" customFormat="false" ht="12.8" hidden="false" customHeight="false" outlineLevel="0" collapsed="false">
      <c r="A849" s="11" t="s">
        <v>2478</v>
      </c>
      <c r="B849" s="11" t="s">
        <v>244</v>
      </c>
      <c r="C849" s="11" t="str">
        <f aca="false">B849&amp;":"&amp;A849</f>
        <v>att_tmt_channel:tmt18_130C</v>
      </c>
      <c r="D849" s="14" t="s">
        <v>17</v>
      </c>
      <c r="E849" s="11" t="s">
        <v>2454</v>
      </c>
      <c r="F849" s="14" t="s">
        <v>17</v>
      </c>
    </row>
    <row r="850" customFormat="false" ht="12.8" hidden="false" customHeight="false" outlineLevel="0" collapsed="false">
      <c r="A850" s="11" t="s">
        <v>2479</v>
      </c>
      <c r="B850" s="11" t="s">
        <v>244</v>
      </c>
      <c r="C850" s="11" t="str">
        <f aca="false">B850&amp;":"&amp;A850</f>
        <v>att_tmt_channel:tmt18_130N</v>
      </c>
      <c r="D850" s="14" t="s">
        <v>17</v>
      </c>
      <c r="E850" s="11" t="s">
        <v>2456</v>
      </c>
      <c r="F850" s="14" t="s">
        <v>17</v>
      </c>
    </row>
    <row r="851" customFormat="false" ht="12.8" hidden="false" customHeight="false" outlineLevel="0" collapsed="false">
      <c r="A851" s="11" t="s">
        <v>2480</v>
      </c>
      <c r="B851" s="11" t="s">
        <v>244</v>
      </c>
      <c r="C851" s="11" t="str">
        <f aca="false">B851&amp;":"&amp;A851</f>
        <v>att_tmt_channel:tmt18_131C</v>
      </c>
      <c r="D851" s="14" t="s">
        <v>17</v>
      </c>
      <c r="E851" s="11" t="s">
        <v>2468</v>
      </c>
      <c r="F851" s="14" t="s">
        <v>17</v>
      </c>
    </row>
    <row r="852" customFormat="false" ht="12.8" hidden="false" customHeight="false" outlineLevel="0" collapsed="false">
      <c r="A852" s="11" t="s">
        <v>2481</v>
      </c>
      <c r="B852" s="11" t="s">
        <v>244</v>
      </c>
      <c r="C852" s="11" t="str">
        <f aca="false">B852&amp;":"&amp;A852</f>
        <v>att_tmt_channel:tmt18_131N</v>
      </c>
      <c r="D852" s="14" t="s">
        <v>17</v>
      </c>
      <c r="E852" s="11" t="s">
        <v>2470</v>
      </c>
      <c r="F852" s="14" t="s">
        <v>17</v>
      </c>
    </row>
    <row r="853" customFormat="false" ht="12.8" hidden="false" customHeight="false" outlineLevel="0" collapsed="false">
      <c r="A853" s="11" t="s">
        <v>2482</v>
      </c>
      <c r="B853" s="11" t="s">
        <v>244</v>
      </c>
      <c r="C853" s="11" t="str">
        <f aca="false">B853&amp;":"&amp;A853</f>
        <v>att_tmt_channel:tmt18_132C</v>
      </c>
      <c r="D853" s="14" t="s">
        <v>17</v>
      </c>
      <c r="E853" s="11" t="s">
        <v>2483</v>
      </c>
      <c r="F853" s="14" t="s">
        <v>17</v>
      </c>
    </row>
    <row r="854" customFormat="false" ht="12.8" hidden="false" customHeight="false" outlineLevel="0" collapsed="false">
      <c r="A854" s="11" t="s">
        <v>2484</v>
      </c>
      <c r="B854" s="11" t="s">
        <v>244</v>
      </c>
      <c r="C854" s="11" t="str">
        <f aca="false">B854&amp;":"&amp;A854</f>
        <v>att_tmt_channel:tmt18_132N</v>
      </c>
      <c r="D854" s="14" t="s">
        <v>17</v>
      </c>
      <c r="E854" s="11" t="s">
        <v>2485</v>
      </c>
      <c r="F854" s="14" t="s">
        <v>17</v>
      </c>
    </row>
    <row r="855" customFormat="false" ht="12.8" hidden="false" customHeight="false" outlineLevel="0" collapsed="false">
      <c r="A855" s="11" t="s">
        <v>2486</v>
      </c>
      <c r="B855" s="11" t="s">
        <v>244</v>
      </c>
      <c r="C855" s="11" t="str">
        <f aca="false">B855&amp;":"&amp;A855</f>
        <v>att_tmt_channel:tmt18_133C</v>
      </c>
      <c r="D855" s="14" t="s">
        <v>17</v>
      </c>
      <c r="E855" s="11" t="s">
        <v>2487</v>
      </c>
      <c r="F855" s="14" t="s">
        <v>17</v>
      </c>
    </row>
    <row r="856" customFormat="false" ht="12.8" hidden="false" customHeight="false" outlineLevel="0" collapsed="false">
      <c r="A856" s="11" t="s">
        <v>2488</v>
      </c>
      <c r="B856" s="11" t="s">
        <v>244</v>
      </c>
      <c r="C856" s="11" t="str">
        <f aca="false">B856&amp;":"&amp;A856</f>
        <v>att_tmt_channel:tmt18_133N</v>
      </c>
      <c r="D856" s="14" t="s">
        <v>17</v>
      </c>
      <c r="E856" s="11" t="s">
        <v>2489</v>
      </c>
      <c r="F856" s="14" t="s">
        <v>17</v>
      </c>
    </row>
    <row r="857" customFormat="false" ht="12.8" hidden="false" customHeight="false" outlineLevel="0" collapsed="false">
      <c r="A857" s="11" t="s">
        <v>2490</v>
      </c>
      <c r="B857" s="11" t="s">
        <v>244</v>
      </c>
      <c r="C857" s="11" t="str">
        <f aca="false">B857&amp;":"&amp;A857</f>
        <v>att_tmt_channel:tmt18_134C</v>
      </c>
      <c r="D857" s="14" t="s">
        <v>17</v>
      </c>
      <c r="E857" s="11" t="s">
        <v>2491</v>
      </c>
      <c r="F857" s="14" t="s">
        <v>17</v>
      </c>
    </row>
    <row r="858" customFormat="false" ht="12.8" hidden="false" customHeight="false" outlineLevel="0" collapsed="false">
      <c r="A858" s="11" t="s">
        <v>2492</v>
      </c>
      <c r="B858" s="11" t="s">
        <v>244</v>
      </c>
      <c r="C858" s="11" t="str">
        <f aca="false">B858&amp;":"&amp;A858</f>
        <v>att_tmt_channel:tmt18_134N</v>
      </c>
      <c r="D858" s="14" t="s">
        <v>17</v>
      </c>
      <c r="E858" s="11" t="s">
        <v>2493</v>
      </c>
      <c r="F858" s="14" t="s">
        <v>17</v>
      </c>
    </row>
    <row r="859" customFormat="false" ht="12.8" hidden="false" customHeight="false" outlineLevel="0" collapsed="false">
      <c r="A859" s="11" t="s">
        <v>2494</v>
      </c>
      <c r="B859" s="11" t="s">
        <v>244</v>
      </c>
      <c r="C859" s="11" t="str">
        <f aca="false">B859&amp;":"&amp;A859</f>
        <v>att_tmt_channel:tmt18_135N</v>
      </c>
      <c r="D859" s="14" t="s">
        <v>17</v>
      </c>
      <c r="E859" s="11" t="s">
        <v>2495</v>
      </c>
      <c r="F859" s="14" t="s">
        <v>17</v>
      </c>
    </row>
    <row r="860" customFormat="false" ht="12.8" hidden="false" customHeight="false" outlineLevel="0" collapsed="false">
      <c r="A860" s="11" t="s">
        <v>2496</v>
      </c>
      <c r="B860" s="11" t="s">
        <v>244</v>
      </c>
      <c r="C860" s="11" t="str">
        <f aca="false">B860&amp;":"&amp;A860</f>
        <v>att_tmt_channel:tmt6_126</v>
      </c>
      <c r="D860" s="14" t="s">
        <v>17</v>
      </c>
      <c r="E860" s="11" t="n">
        <v>126</v>
      </c>
      <c r="F860" s="14" t="s">
        <v>17</v>
      </c>
    </row>
    <row r="861" customFormat="false" ht="12.8" hidden="false" customHeight="false" outlineLevel="0" collapsed="false">
      <c r="A861" s="11" t="s">
        <v>2497</v>
      </c>
      <c r="B861" s="11" t="s">
        <v>244</v>
      </c>
      <c r="C861" s="11" t="str">
        <f aca="false">B861&amp;":"&amp;A861</f>
        <v>att_tmt_channel:tmt6_127</v>
      </c>
      <c r="D861" s="14" t="s">
        <v>17</v>
      </c>
      <c r="E861" s="11" t="n">
        <v>127</v>
      </c>
      <c r="F861" s="14" t="s">
        <v>17</v>
      </c>
    </row>
    <row r="862" customFormat="false" ht="12.8" hidden="false" customHeight="false" outlineLevel="0" collapsed="false">
      <c r="A862" s="11" t="s">
        <v>2498</v>
      </c>
      <c r="B862" s="11" t="s">
        <v>244</v>
      </c>
      <c r="C862" s="11" t="str">
        <f aca="false">B862&amp;":"&amp;A862</f>
        <v>att_tmt_channel:tmt6_128</v>
      </c>
      <c r="D862" s="14" t="s">
        <v>17</v>
      </c>
      <c r="E862" s="11" t="n">
        <v>128</v>
      </c>
      <c r="F862" s="14" t="s">
        <v>17</v>
      </c>
    </row>
    <row r="863" customFormat="false" ht="12.8" hidden="false" customHeight="false" outlineLevel="0" collapsed="false">
      <c r="A863" s="11" t="s">
        <v>2499</v>
      </c>
      <c r="B863" s="11" t="s">
        <v>244</v>
      </c>
      <c r="C863" s="11" t="str">
        <f aca="false">B863&amp;":"&amp;A863</f>
        <v>att_tmt_channel:tmt6_129</v>
      </c>
      <c r="D863" s="14" t="s">
        <v>17</v>
      </c>
      <c r="E863" s="11" t="n">
        <v>129</v>
      </c>
      <c r="F863" s="14" t="s">
        <v>17</v>
      </c>
    </row>
    <row r="864" customFormat="false" ht="12.8" hidden="false" customHeight="false" outlineLevel="0" collapsed="false">
      <c r="A864" s="11" t="s">
        <v>2500</v>
      </c>
      <c r="B864" s="11" t="s">
        <v>244</v>
      </c>
      <c r="C864" s="11" t="str">
        <f aca="false">B864&amp;":"&amp;A864</f>
        <v>att_tmt_channel:tmt6_130</v>
      </c>
      <c r="D864" s="14" t="s">
        <v>17</v>
      </c>
      <c r="E864" s="11" t="n">
        <v>130</v>
      </c>
      <c r="F864" s="14" t="s">
        <v>17</v>
      </c>
    </row>
    <row r="865" customFormat="false" ht="12.8" hidden="false" customHeight="false" outlineLevel="0" collapsed="false">
      <c r="A865" s="11" t="s">
        <v>2501</v>
      </c>
      <c r="B865" s="11" t="s">
        <v>244</v>
      </c>
      <c r="C865" s="11" t="str">
        <f aca="false">B865&amp;":"&amp;A865</f>
        <v>att_tmt_channel:tmt6_131</v>
      </c>
      <c r="D865" s="14" t="s">
        <v>17</v>
      </c>
      <c r="E865" s="11" t="n">
        <v>131</v>
      </c>
      <c r="F865" s="14" t="s">
        <v>17</v>
      </c>
    </row>
    <row r="866" customFormat="false" ht="12.8" hidden="false" customHeight="false" outlineLevel="0" collapsed="false">
      <c r="A866" s="11" t="s">
        <v>2502</v>
      </c>
      <c r="B866" s="11" t="s">
        <v>253</v>
      </c>
      <c r="C866" s="11" t="str">
        <f aca="false">B866&amp;":"&amp;A866</f>
        <v>att_user_institute:biochem</v>
      </c>
      <c r="D866" s="14" t="s">
        <v>17</v>
      </c>
      <c r="E866" s="11" t="s">
        <v>2503</v>
      </c>
      <c r="F866" s="11" t="s">
        <v>2504</v>
      </c>
    </row>
    <row r="867" customFormat="false" ht="12.8" hidden="false" customHeight="false" outlineLevel="0" collapsed="false">
      <c r="A867" s="11" t="s">
        <v>2505</v>
      </c>
      <c r="B867" s="11" t="s">
        <v>253</v>
      </c>
      <c r="C867" s="11" t="str">
        <f aca="false">B867&amp;":"&amp;A867</f>
        <v>att_user_institute:cecad</v>
      </c>
      <c r="D867" s="14" t="s">
        <v>17</v>
      </c>
      <c r="E867" s="11" t="s">
        <v>2506</v>
      </c>
      <c r="F867" s="11" t="s">
        <v>2507</v>
      </c>
    </row>
    <row r="868" customFormat="false" ht="12.8" hidden="false" customHeight="false" outlineLevel="0" collapsed="false">
      <c r="A868" s="11" t="s">
        <v>2508</v>
      </c>
      <c r="B868" s="11" t="s">
        <v>253</v>
      </c>
      <c r="C868" s="11" t="str">
        <f aca="false">B868&amp;":"&amp;A868</f>
        <v>att_user_institute:mpiage</v>
      </c>
      <c r="D868" s="14" t="s">
        <v>17</v>
      </c>
      <c r="E868" s="11" t="s">
        <v>2509</v>
      </c>
      <c r="F868" s="11" t="s">
        <v>2510</v>
      </c>
    </row>
    <row r="869" customFormat="false" ht="12.8" hidden="false" customHeight="false" outlineLevel="0" collapsed="false">
      <c r="A869" s="11" t="s">
        <v>2511</v>
      </c>
      <c r="B869" s="11" t="s">
        <v>253</v>
      </c>
      <c r="C869" s="11" t="str">
        <f aca="false">B869&amp;":"&amp;A869</f>
        <v>att_user_institute:mpimetab</v>
      </c>
      <c r="D869" s="14" t="s">
        <v>17</v>
      </c>
      <c r="E869" s="11" t="s">
        <v>2512</v>
      </c>
      <c r="F869" s="11" t="s">
        <v>2513</v>
      </c>
    </row>
    <row r="870" customFormat="false" ht="12.8" hidden="false" customHeight="false" outlineLevel="0" collapsed="false">
      <c r="A870" s="11" t="s">
        <v>2514</v>
      </c>
      <c r="B870" s="11" t="s">
        <v>257</v>
      </c>
      <c r="C870" s="11" t="str">
        <f aca="false">B870&amp;":"&amp;A870</f>
        <v>att_user_research_group:mitoprotea</v>
      </c>
      <c r="D870" s="14" t="s">
        <v>17</v>
      </c>
      <c r="E870" s="11" t="s">
        <v>2515</v>
      </c>
      <c r="F870" s="11" t="s">
        <v>2516</v>
      </c>
    </row>
    <row r="871" customFormat="false" ht="12.8" hidden="false" customHeight="false" outlineLevel="0" collapsed="false">
      <c r="A871" s="11" t="s">
        <v>2517</v>
      </c>
      <c r="B871" s="11" t="s">
        <v>257</v>
      </c>
      <c r="C871" s="11" t="str">
        <f aca="false">B871&amp;":"&amp;A871</f>
        <v>att_user_research_group:molageing</v>
      </c>
      <c r="D871" s="14" t="s">
        <v>17</v>
      </c>
      <c r="E871" s="11" t="s">
        <v>2518</v>
      </c>
      <c r="F871" s="11" t="s">
        <v>2519</v>
      </c>
    </row>
  </sheetData>
  <conditionalFormatting sqref="F329:F337 F9:F327 E238">
    <cfRule type="cellIs" priority="2" operator="equal" aboveAverage="0" equalAverage="0" bottom="0" percent="0" rank="0" text="" dxfId="7">
      <formula>INDIRECT(ADDRESS(ROW()-1,COLUMN()))</formula>
    </cfRule>
  </conditionalFormatting>
  <conditionalFormatting sqref="F367">
    <cfRule type="cellIs" priority="3" operator="equal" aboveAverage="0" equalAverage="0" bottom="0" percent="0" rank="0" text="" dxfId="8">
      <formula>INDIRECT(ADDRESS(ROW()-1,COLUMN()))</formula>
    </cfRule>
  </conditionalFormatting>
  <conditionalFormatting sqref="F158">
    <cfRule type="cellIs" priority="4" operator="equal" aboveAverage="0" equalAverage="0" bottom="0" percent="0" rank="0" text="" dxfId="9">
      <formula>INDIRECT(ADDRESS(ROW()-1,COLUMN()))</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569"/>
  <sheetViews>
    <sheetView showFormulas="false" showGridLines="true" showRowColHeaders="true" showZeros="true" rightToLeft="false" tabSelected="false" showOutlineSymbols="true" defaultGridColor="true" view="normal" topLeftCell="A556" colorId="64" zoomScale="100" zoomScaleNormal="100" zoomScalePageLayoutView="100" workbookViewId="0">
      <selection pane="topLeft" activeCell="F40" activeCellId="0" sqref="F40"/>
    </sheetView>
  </sheetViews>
  <sheetFormatPr defaultColWidth="11.515625" defaultRowHeight="12.75" zeroHeight="false" outlineLevelRow="0" outlineLevelCol="0"/>
  <cols>
    <col collapsed="false" customWidth="true" hidden="false" outlineLevel="0" max="1" min="1" style="8" width="20.33"/>
    <col collapsed="false" customWidth="true" hidden="false" outlineLevel="0" max="2" min="2" style="8" width="11.99"/>
    <col collapsed="false" customWidth="true" hidden="false" outlineLevel="0" max="4" min="3" style="8" width="20.33"/>
    <col collapsed="false" customWidth="true" hidden="false" outlineLevel="0" max="5" min="5" style="8" width="5.16"/>
    <col collapsed="false" customWidth="true" hidden="false" outlineLevel="0" max="6" min="6" style="8" width="23.83"/>
    <col collapsed="false" customWidth="true" hidden="false" outlineLevel="0" max="7" min="7" style="8" width="15.66"/>
    <col collapsed="false" customWidth="true" hidden="false" outlineLevel="0" max="8" min="8" style="8" width="18.85"/>
    <col collapsed="false" customWidth="true" hidden="false" outlineLevel="0" max="9" min="9" style="8" width="21.5"/>
    <col collapsed="false" customWidth="true" hidden="false" outlineLevel="0" max="10" min="10" style="8" width="33"/>
    <col collapsed="false" customWidth="true" hidden="false" outlineLevel="0" max="11" min="11" style="8" width="8.52"/>
    <col collapsed="false" customWidth="true" hidden="false" outlineLevel="0" max="12" min="12" style="8" width="78.99"/>
    <col collapsed="false" customWidth="true" hidden="false" outlineLevel="0" max="13" min="13" style="8" width="15.15"/>
    <col collapsed="false" customWidth="true" hidden="false" outlineLevel="0" max="15" min="14" style="8" width="35.16"/>
    <col collapsed="false" customWidth="false" hidden="false" outlineLevel="0" max="1024" min="16" style="8" width="11.5"/>
  </cols>
  <sheetData>
    <row r="1" s="15" customFormat="true" ht="12.75" hidden="false" customHeight="false" outlineLevel="0" collapsed="false">
      <c r="A1" s="15" t="s">
        <v>2520</v>
      </c>
      <c r="B1" s="15" t="s">
        <v>2521</v>
      </c>
      <c r="C1" s="15" t="s">
        <v>2522</v>
      </c>
      <c r="D1" s="15" t="s">
        <v>2523</v>
      </c>
      <c r="E1" s="15" t="s">
        <v>2524</v>
      </c>
      <c r="F1" s="15" t="s">
        <v>2525</v>
      </c>
      <c r="G1" s="15" t="s">
        <v>2526</v>
      </c>
      <c r="H1" s="15" t="s">
        <v>2527</v>
      </c>
      <c r="I1" s="15" t="s">
        <v>2528</v>
      </c>
      <c r="J1" s="15" t="s">
        <v>2529</v>
      </c>
      <c r="K1" s="15" t="s">
        <v>2530</v>
      </c>
      <c r="L1" s="15" t="s">
        <v>2531</v>
      </c>
      <c r="M1" s="15" t="s">
        <v>2532</v>
      </c>
      <c r="N1" s="15" t="s">
        <v>2533</v>
      </c>
      <c r="O1" s="15" t="s">
        <v>2534</v>
      </c>
    </row>
    <row r="2" customFormat="false" ht="12.75" hidden="false" customHeight="false" outlineLevel="0" collapsed="false">
      <c r="A2" s="16" t="s">
        <v>21</v>
      </c>
      <c r="B2" s="16"/>
      <c r="C2" s="8" t="s">
        <v>333</v>
      </c>
      <c r="D2" s="8" t="s">
        <v>334</v>
      </c>
      <c r="E2" s="8" t="s">
        <v>17</v>
      </c>
      <c r="F2" s="8" t="s">
        <v>24</v>
      </c>
      <c r="G2" s="8" t="s">
        <v>2535</v>
      </c>
      <c r="H2" s="8" t="str">
        <f aca="false">"att_"&amp;G2</f>
        <v>att_acquisition</v>
      </c>
      <c r="I2" s="8" t="s">
        <v>333</v>
      </c>
      <c r="J2" s="8" t="str">
        <f aca="false">H2&amp;":"&amp;I2</f>
        <v>att_acquisition:dda</v>
      </c>
      <c r="K2" s="16" t="s">
        <v>21</v>
      </c>
      <c r="L2" s="8" t="s">
        <v>335</v>
      </c>
      <c r="M2" s="8" t="s">
        <v>17</v>
      </c>
      <c r="N2" s="8" t="str">
        <f aca="false">"INSERT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8" t="str">
        <f aca="false">"INSERT INTO attribute_values (attribute_id, tag, name, details) VALUES ((SELECT id FROM attributes WHERE tag = '"&amp;H2&amp;"' LIMIT 1),  '"&amp;J2&amp;"',  '"&amp;D2&amp;"',  '"&amp;L2&amp;"'); "</f>
        <v>INSERT INTO attribute_values (attribute_id, tag, name, details) VALUES ((SELECT id FROM attributes WHERE tag = 'att_acquisition' LIMIT 1),  'att_acquisition:dda',  'DDA',  'Data-dependent acquisition ');</v>
      </c>
    </row>
    <row r="3" customFormat="false" ht="12.75" hidden="false" customHeight="false" outlineLevel="0" collapsed="false">
      <c r="A3" s="16" t="s">
        <v>21</v>
      </c>
      <c r="B3" s="16"/>
      <c r="C3" s="8" t="s">
        <v>336</v>
      </c>
      <c r="D3" s="8" t="s">
        <v>337</v>
      </c>
      <c r="E3" s="8" t="s">
        <v>17</v>
      </c>
      <c r="F3" s="8" t="s">
        <v>24</v>
      </c>
      <c r="G3" s="8" t="s">
        <v>2535</v>
      </c>
      <c r="H3" s="8" t="str">
        <f aca="false">"att_"&amp;G3</f>
        <v>att_acquisition</v>
      </c>
      <c r="I3" s="8" t="s">
        <v>336</v>
      </c>
      <c r="J3" s="8" t="str">
        <f aca="false">H3&amp;":"&amp;I3</f>
        <v>att_acquisition:dia</v>
      </c>
      <c r="K3" s="16" t="s">
        <v>21</v>
      </c>
      <c r="L3" s="8" t="s">
        <v>338</v>
      </c>
      <c r="M3" s="8" t="s">
        <v>17</v>
      </c>
      <c r="N3" s="8" t="str">
        <f aca="false">"INSERT INTO attributes (parent_id, tag, name, priority, allow_as_filter, allow_for_dataset, allow_for_measurement, allow_for_users, allow_for_qc) VALUES (NULL, '"&amp;H3&amp;"',  '"&amp;F3&amp;"',  500,  TRUE, TRUE, TRUE, FALSE, FALSE);"</f>
        <v>INSERT INTO attributes (parent_id, tag, name, priority, allow_as_filter, allow_for_dataset, allow_for_measurement, allow_for_users, allow_for_qc) VALUES (NULL, 'att_acquisition',  'Acquisition',  500,  TRUE, TRUE, TRUE, FALSE, FALSE);</v>
      </c>
      <c r="O3" s="8" t="str">
        <f aca="false">"INSERT INTO attribute_values (attribute_id, tag, name, details) VALUES ((SELECT id FROM attributes WHERE tag = '"&amp;H3&amp;"' LIMIT 1),  '"&amp;J3&amp;"',  '"&amp;D3&amp;"',  '"&amp;L3&amp;"'); "</f>
        <v>INSERT INTO attribute_values (attribute_id, tag, name, details) VALUES ((SELECT id FROM attributes WHERE tag = 'att_acquisition' LIMIT 1),  'att_acquisition:dia',  'DIA',  'Data-independent acquisition');</v>
      </c>
    </row>
    <row r="4" customFormat="false" ht="12.75" hidden="false" customHeight="false" outlineLevel="0" collapsed="false">
      <c r="A4" s="16" t="s">
        <v>21</v>
      </c>
      <c r="B4" s="16"/>
      <c r="C4" s="8" t="s">
        <v>339</v>
      </c>
      <c r="D4" s="8" t="s">
        <v>340</v>
      </c>
      <c r="E4" s="8" t="s">
        <v>17</v>
      </c>
      <c r="F4" s="8" t="s">
        <v>24</v>
      </c>
      <c r="G4" s="8" t="s">
        <v>2535</v>
      </c>
      <c r="H4" s="8" t="str">
        <f aca="false">"att_"&amp;G4</f>
        <v>att_acquisition</v>
      </c>
      <c r="I4" s="8" t="s">
        <v>339</v>
      </c>
      <c r="J4" s="8" t="str">
        <f aca="false">H4&amp;":"&amp;I4</f>
        <v>att_acquisition:srm</v>
      </c>
      <c r="K4" s="16" t="s">
        <v>21</v>
      </c>
      <c r="L4" s="8" t="s">
        <v>341</v>
      </c>
      <c r="M4" s="8" t="s">
        <v>17</v>
      </c>
      <c r="N4" s="8" t="str">
        <f aca="false">"INSERT INTO attributes (parent_id, tag, name, priority, allow_as_filter, allow_for_dataset, allow_for_measurement, allow_for_users, allow_for_qc) VALUES (NULL, '"&amp;H4&amp;"',  '"&amp;F4&amp;"',  500,  TRUE, TRUE, TRUE, FALSE, FALSE);"</f>
        <v>INSERT INTO attributes (parent_id, tag, name, priority, allow_as_filter, allow_for_dataset, allow_for_measurement, allow_for_users, allow_for_qc) VALUES (NULL, 'att_acquisition',  'Acquisition',  500,  TRUE, TRUE, TRUE, FALSE, FALSE);</v>
      </c>
      <c r="O4" s="8" t="str">
        <f aca="false">"INSERT INTO attribute_values (attribute_id, tag, name, details) VALUES ((SELECT id FROM attributes WHERE tag = '"&amp;H4&amp;"' LIMIT 1),  '"&amp;J4&amp;"',  '"&amp;D4&amp;"',  '"&amp;L4&amp;"'); "</f>
        <v>INSERT INTO attribute_values (attribute_id, tag, name, details) VALUES ((SELECT id FROM attributes WHERE tag = 'att_acquisition' LIMIT 1),  'att_acquisition:srm',  'SRM / MRM',  'Selected reaction monitoring / Multiple reaction monitoring');</v>
      </c>
    </row>
    <row r="5" customFormat="false" ht="12.75" hidden="false" customHeight="false" outlineLevel="0" collapsed="false">
      <c r="A5" s="17" t="n">
        <f aca="false">FALSE()</f>
        <v>0</v>
      </c>
      <c r="B5" s="17"/>
      <c r="C5" s="8" t="s">
        <v>2536</v>
      </c>
      <c r="D5" s="8" t="s">
        <v>359</v>
      </c>
      <c r="E5" s="8" t="s">
        <v>17</v>
      </c>
      <c r="F5" s="8" t="s">
        <v>2537</v>
      </c>
      <c r="G5" s="8" t="s">
        <v>2538</v>
      </c>
      <c r="H5" s="8" t="str">
        <f aca="false">"att_"&amp;G5</f>
        <v>att_animal_model</v>
      </c>
      <c r="I5" s="8" t="s">
        <v>357</v>
      </c>
      <c r="J5" s="8" t="str">
        <f aca="false">H5&amp;":"&amp;I5</f>
        <v>att_animal_model:adipoq_cre</v>
      </c>
      <c r="K5" s="16" t="s">
        <v>21</v>
      </c>
      <c r="L5" s="8" t="s">
        <v>360</v>
      </c>
      <c r="M5" s="8" t="s">
        <v>17</v>
      </c>
      <c r="N5" s="8" t="str">
        <f aca="false">"INSERT INTO attributes (parent_id, tag, name, priority, allow_as_filter, allow_for_dataset, allow_for_measurement, allow_for_users, allow_for_qc) VALUES (NULL, '"&amp;H5&amp;"',  '"&amp;F5&amp;"',  500,  TRUE, TRUE, TRUE, FALSE, FALSE);"</f>
        <v>INSERT INTO attributes (parent_id, tag, name, priority, allow_as_filter, allow_for_dataset, allow_for_measurement, allow_for_users, allow_for_qc) VALUES (NULL, 'att_animal_model',  'Animal Model',  500,  TRUE, TRUE, TRUE, FALSE, FALSE);</v>
      </c>
      <c r="O5" s="8" t="str">
        <f aca="false">"INSERT INTO attribute_values (attribute_id, tag, name, details) VALUES ((SELECT id FROM attributes WHERE tag = '"&amp;H5&amp;"' LIMIT 1),  '"&amp;J5&amp;"',  '"&amp;D5&amp;"',  '"&amp;L5&amp;"'); "</f>
        <v>INSERT INTO attribute_values (attribute_id, tag, name, details) VALUES ((SELECT id FROM attributes WHERE tag = 'att_animal_model' LIMIT 1),  'att_animal_model:adipoq_cre',  'Adipoq-Cre',  'white adipose tissue');</v>
      </c>
    </row>
    <row r="6" customFormat="false" ht="12.75" hidden="false" customHeight="false" outlineLevel="0" collapsed="false">
      <c r="A6" s="17" t="n">
        <f aca="false">FALSE()</f>
        <v>0</v>
      </c>
      <c r="B6" s="17"/>
      <c r="C6" s="8" t="s">
        <v>2539</v>
      </c>
      <c r="D6" s="8" t="s">
        <v>362</v>
      </c>
      <c r="E6" s="8" t="s">
        <v>17</v>
      </c>
      <c r="F6" s="8" t="s">
        <v>2537</v>
      </c>
      <c r="G6" s="8" t="s">
        <v>2538</v>
      </c>
      <c r="H6" s="8" t="str">
        <f aca="false">"att_"&amp;G6</f>
        <v>att_animal_model</v>
      </c>
      <c r="I6" s="8" t="s">
        <v>361</v>
      </c>
      <c r="J6" s="8" t="str">
        <f aca="false">H6&amp;":"&amp;I6</f>
        <v>att_animal_model:alb_cre</v>
      </c>
      <c r="K6" s="16" t="s">
        <v>21</v>
      </c>
      <c r="L6" s="8" t="s">
        <v>363</v>
      </c>
      <c r="M6" s="8" t="s">
        <v>17</v>
      </c>
      <c r="N6" s="8" t="str">
        <f aca="false">"INSERT INTO attributes (parent_id, tag, name, priority, allow_as_filter, allow_for_dataset, allow_for_measurement, allow_for_users, allow_for_qc) VALUES (NULL, '"&amp;H6&amp;"',  '"&amp;F6&amp;"',  500,  TRUE, TRUE, TRUE, FALSE, FALSE);"</f>
        <v>INSERT INTO attributes (parent_id, tag, name, priority, allow_as_filter, allow_for_dataset, allow_for_measurement, allow_for_users, allow_for_qc) VALUES (NULL, 'att_animal_model',  'Animal Model',  500,  TRUE, TRUE, TRUE, FALSE, FALSE);</v>
      </c>
      <c r="O6" s="8" t="str">
        <f aca="false">"INSERT INTO attribute_values (attribute_id, tag, name, details) VALUES ((SELECT id FROM attributes WHERE tag = '"&amp;H6&amp;"' LIMIT 1),  '"&amp;J6&amp;"',  '"&amp;D6&amp;"',  '"&amp;L6&amp;"'); "</f>
        <v>INSERT INTO attribute_values (attribute_id, tag, name, details) VALUES ((SELECT id FROM attributes WHERE tag = 'att_animal_model' LIMIT 1),  'att_animal_model:alb_cre',  'Alb-Cre',  'Hepatocytes');</v>
      </c>
    </row>
    <row r="7" customFormat="false" ht="12.75" hidden="false" customHeight="false" outlineLevel="0" collapsed="false">
      <c r="A7" s="17" t="n">
        <f aca="false">FALSE()</f>
        <v>0</v>
      </c>
      <c r="B7" s="17"/>
      <c r="C7" s="8" t="s">
        <v>2540</v>
      </c>
      <c r="D7" s="8" t="s">
        <v>365</v>
      </c>
      <c r="E7" s="8" t="s">
        <v>17</v>
      </c>
      <c r="F7" s="8" t="s">
        <v>2537</v>
      </c>
      <c r="G7" s="8" t="s">
        <v>2538</v>
      </c>
      <c r="H7" s="8" t="str">
        <f aca="false">"att_"&amp;G7</f>
        <v>att_animal_model</v>
      </c>
      <c r="I7" s="8" t="s">
        <v>364</v>
      </c>
      <c r="J7" s="8" t="str">
        <f aca="false">H7&amp;":"&amp;I7</f>
        <v>att_animal_model:asc_ko</v>
      </c>
      <c r="K7" s="16" t="s">
        <v>21</v>
      </c>
      <c r="L7" s="8" t="s">
        <v>365</v>
      </c>
      <c r="M7" s="8" t="s">
        <v>17</v>
      </c>
      <c r="N7" s="8" t="str">
        <f aca="false">"INSERT INTO attributes (parent_id, tag, name, priority, allow_as_filter, allow_for_dataset, allow_for_measurement, allow_for_users, allow_for_qc) VALUES (NULL, '"&amp;H7&amp;"',  '"&amp;F7&amp;"',  500,  TRUE, TRUE, TRUE, FALSE, FALSE);"</f>
        <v>INSERT INTO attributes (parent_id, tag, name, priority, allow_as_filter, allow_for_dataset, allow_for_measurement, allow_for_users, allow_for_qc) VALUES (NULL, 'att_animal_model',  'Animal Model',  500,  TRUE, TRUE, TRUE, FALSE, FALSE);</v>
      </c>
      <c r="O7" s="8" t="str">
        <f aca="false">"INSERT INTO attribute_values (attribute_id, tag, name, details) VALUES ((SELECT id FROM attributes WHERE tag = '"&amp;H7&amp;"' LIMIT 1),  '"&amp;J7&amp;"',  '"&amp;D7&amp;"',  '"&amp;L7&amp;"'); "</f>
        <v>INSERT INTO attribute_values (attribute_id, tag, name, details) VALUES ((SELECT id FROM attributes WHERE tag = 'att_animal_model' LIMIT 1),  'att_animal_model:asc_ko',  'ASC ko',  'ASC ko');</v>
      </c>
    </row>
    <row r="8" customFormat="false" ht="12.75" hidden="false" customHeight="false" outlineLevel="0" collapsed="false">
      <c r="A8" s="17" t="n">
        <f aca="false">FALSE()</f>
        <v>0</v>
      </c>
      <c r="B8" s="17"/>
      <c r="C8" s="8" t="s">
        <v>2541</v>
      </c>
      <c r="D8" s="8" t="s">
        <v>367</v>
      </c>
      <c r="E8" s="8" t="s">
        <v>17</v>
      </c>
      <c r="F8" s="8" t="s">
        <v>2537</v>
      </c>
      <c r="G8" s="8" t="s">
        <v>2538</v>
      </c>
      <c r="H8" s="8" t="str">
        <f aca="false">"att_"&amp;G8</f>
        <v>att_animal_model</v>
      </c>
      <c r="I8" s="8" t="s">
        <v>366</v>
      </c>
      <c r="J8" s="8" t="str">
        <f aca="false">H8&amp;":"&amp;I8</f>
        <v>att_animal_model:baf53b_cre</v>
      </c>
      <c r="K8" s="16" t="s">
        <v>21</v>
      </c>
      <c r="L8" s="8" t="s">
        <v>368</v>
      </c>
      <c r="M8" s="8" t="s">
        <v>17</v>
      </c>
      <c r="N8" s="8" t="str">
        <f aca="false">"INSERT INTO attributes (parent_id, tag, name, priority, allow_as_filter, allow_for_dataset, allow_for_measurement, allow_for_users, allow_for_qc) VALUES (NULL, '"&amp;H8&amp;"',  '"&amp;F8&amp;"',  500,  TRUE, TRUE, TRUE, FALSE, FALSE);"</f>
        <v>INSERT INTO attributes (parent_id, tag, name, priority, allow_as_filter, allow_for_dataset, allow_for_measurement, allow_for_users, allow_for_qc) VALUES (NULL, 'att_animal_model',  'Animal Model',  500,  TRUE, TRUE, TRUE, FALSE, FALSE);</v>
      </c>
      <c r="O8" s="8" t="str">
        <f aca="false">"INSERT INTO attribute_values (attribute_id, tag, name, details) VALUES ((SELECT id FROM attributes WHERE tag = '"&amp;H8&amp;"' LIMIT 1),  '"&amp;J8&amp;"',  '"&amp;D8&amp;"',  '"&amp;L8&amp;"'); "</f>
        <v>INSERT INTO attribute_values (attribute_id, tag, name, details) VALUES ((SELECT id FROM attributes WHERE tag = 'att_animal_model' LIMIT 1),  'att_animal_model:baf53b_cre',  'Baf53b-Cre',  'Neurons');</v>
      </c>
    </row>
    <row r="9" customFormat="false" ht="12.75" hidden="false" customHeight="false" outlineLevel="0" collapsed="false">
      <c r="A9" s="17" t="n">
        <f aca="false">FALSE()</f>
        <v>0</v>
      </c>
      <c r="B9" s="17"/>
      <c r="C9" s="8" t="s">
        <v>2542</v>
      </c>
      <c r="D9" s="8" t="s">
        <v>370</v>
      </c>
      <c r="E9" s="8" t="s">
        <v>17</v>
      </c>
      <c r="F9" s="8" t="s">
        <v>2537</v>
      </c>
      <c r="G9" s="8" t="s">
        <v>2538</v>
      </c>
      <c r="H9" s="8" t="str">
        <f aca="false">"att_"&amp;G9</f>
        <v>att_animal_model</v>
      </c>
      <c r="I9" s="8" t="s">
        <v>369</v>
      </c>
      <c r="J9" s="8" t="str">
        <f aca="false">H9&amp;":"&amp;I9</f>
        <v>att_animal_model:c57_bl6j</v>
      </c>
      <c r="K9" s="16" t="s">
        <v>21</v>
      </c>
      <c r="L9" s="8" t="s">
        <v>370</v>
      </c>
      <c r="M9" s="8" t="s">
        <v>17</v>
      </c>
      <c r="N9" s="8" t="str">
        <f aca="false">"INSERT INTO attributes (parent_id, tag, name, priority, allow_as_filter, allow_for_dataset, allow_for_measurement, allow_for_users, allow_for_qc) VALUES (NULL, '"&amp;H9&amp;"',  '"&amp;F9&amp;"',  500,  TRUE, TRUE, TRUE, FALSE, FALSE);"</f>
        <v>INSERT INTO attributes (parent_id, tag, name, priority, allow_as_filter, allow_for_dataset, allow_for_measurement, allow_for_users, allow_for_qc) VALUES (NULL, 'att_animal_model',  'Animal Model',  500,  TRUE, TRUE, TRUE, FALSE, FALSE);</v>
      </c>
      <c r="O9" s="8" t="str">
        <f aca="false">"INSERT INTO attribute_values (attribute_id, tag, name, details) VALUES ((SELECT id FROM attributes WHERE tag = '"&amp;H9&amp;"' LIMIT 1),  '"&amp;J9&amp;"',  '"&amp;D9&amp;"',  '"&amp;L9&amp;"'); "</f>
        <v>INSERT INTO attribute_values (attribute_id, tag, name, details) VALUES ((SELECT id FROM attributes WHERE tag = 'att_animal_model' LIMIT 1),  'att_animal_model:c57_bl6j',  'C57/Bl6J',  'C57/Bl6J');</v>
      </c>
    </row>
    <row r="10" customFormat="false" ht="12.75" hidden="false" customHeight="false" outlineLevel="0" collapsed="false">
      <c r="A10" s="17" t="n">
        <f aca="false">FALSE()</f>
        <v>0</v>
      </c>
      <c r="B10" s="17"/>
      <c r="C10" s="8" t="s">
        <v>2543</v>
      </c>
      <c r="D10" s="8" t="s">
        <v>372</v>
      </c>
      <c r="E10" s="8" t="s">
        <v>17</v>
      </c>
      <c r="F10" s="8" t="s">
        <v>2537</v>
      </c>
      <c r="G10" s="8" t="s">
        <v>2538</v>
      </c>
      <c r="H10" s="8" t="str">
        <f aca="false">"att_"&amp;G10</f>
        <v>att_animal_model</v>
      </c>
      <c r="I10" s="8" t="s">
        <v>371</v>
      </c>
      <c r="J10" s="8" t="str">
        <f aca="false">H10&amp;":"&amp;I10</f>
        <v>att_animal_model:clec4f_cre</v>
      </c>
      <c r="K10" s="16" t="s">
        <v>21</v>
      </c>
      <c r="L10" s="8" t="s">
        <v>373</v>
      </c>
      <c r="M10" s="8" t="s">
        <v>17</v>
      </c>
      <c r="N10" s="8" t="str">
        <f aca="false">"INSERT INTO attributes (parent_id, tag, name, priority, allow_as_filter, allow_for_dataset, allow_for_measurement, allow_for_users, allow_for_qc) VALUES (NULL, '"&amp;H10&amp;"',  '"&amp;F10&amp;"',  500,  TRUE, TRUE, TRUE, FALSE, FALSE);"</f>
        <v>INSERT INTO attributes (parent_id, tag, name, priority, allow_as_filter, allow_for_dataset, allow_for_measurement, allow_for_users, allow_for_qc) VALUES (NULL, 'att_animal_model',  'Animal Model',  500,  TRUE, TRUE, TRUE, FALSE, FALSE);</v>
      </c>
      <c r="O10" s="8" t="str">
        <f aca="false">"INSERT INTO attribute_values (attribute_id, tag, name, details) VALUES ((SELECT id FROM attributes WHERE tag = '"&amp;H10&amp;"' LIMIT 1),  '"&amp;J10&amp;"',  '"&amp;D10&amp;"',  '"&amp;L10&amp;"'); "</f>
        <v>INSERT INTO attribute_values (attribute_id, tag, name, details) VALUES ((SELECT id FROM attributes WHERE tag = 'att_animal_model' LIMIT 1),  'att_animal_model:clec4f_cre',  'Clec4f-Cre',  'Kupffer cells');</v>
      </c>
    </row>
    <row r="11" customFormat="false" ht="12.75" hidden="false" customHeight="false" outlineLevel="0" collapsed="false">
      <c r="A11" s="17" t="n">
        <f aca="false">FALSE()</f>
        <v>0</v>
      </c>
      <c r="B11" s="17"/>
      <c r="C11" s="8" t="s">
        <v>2544</v>
      </c>
      <c r="D11" s="8" t="s">
        <v>375</v>
      </c>
      <c r="E11" s="8" t="s">
        <v>17</v>
      </c>
      <c r="F11" s="8" t="s">
        <v>2537</v>
      </c>
      <c r="G11" s="8" t="s">
        <v>2538</v>
      </c>
      <c r="H11" s="8" t="str">
        <f aca="false">"att_"&amp;G11</f>
        <v>att_animal_model</v>
      </c>
      <c r="I11" s="8" t="s">
        <v>374</v>
      </c>
      <c r="J11" s="8" t="str">
        <f aca="false">H11&amp;":"&amp;I11</f>
        <v>att_animal_model:cx3cr1_cre</v>
      </c>
      <c r="K11" s="16" t="s">
        <v>21</v>
      </c>
      <c r="L11" s="8" t="s">
        <v>376</v>
      </c>
      <c r="M11" s="8" t="s">
        <v>17</v>
      </c>
      <c r="N11" s="8" t="str">
        <f aca="false">"INSERT INTO attributes (parent_id, tag, name, priority, allow_as_filter, allow_for_dataset, allow_for_measurement, allow_for_users, allow_for_qc) VALUES (NULL, '"&amp;H11&amp;"',  '"&amp;F11&amp;"',  500,  TRUE, TRUE, TRUE, FALSE, FALSE);"</f>
        <v>INSERT INTO attributes (parent_id, tag, name, priority, allow_as_filter, allow_for_dataset, allow_for_measurement, allow_for_users, allow_for_qc) VALUES (NULL, 'att_animal_model',  'Animal Model',  500,  TRUE, TRUE, TRUE, FALSE, FALSE);</v>
      </c>
      <c r="O11" s="8" t="str">
        <f aca="false">"INSERT INTO attribute_values (attribute_id, tag, name, details) VALUES ((SELECT id FROM attributes WHERE tag = '"&amp;H11&amp;"' LIMIT 1),  '"&amp;J11&amp;"',  '"&amp;D11&amp;"',  '"&amp;L11&amp;"'); "</f>
        <v>INSERT INTO attribute_values (attribute_id, tag, name, details) VALUES ((SELECT id FROM attributes WHERE tag = 'att_animal_model' LIMIT 1),  'att_animal_model:cx3cr1_cre',  'Cx3cr1-Cre',  '(Yalk sac) Macrophages');</v>
      </c>
    </row>
    <row r="12" customFormat="false" ht="12.75" hidden="false" customHeight="false" outlineLevel="0" collapsed="false">
      <c r="A12" s="17" t="n">
        <f aca="false">FALSE()</f>
        <v>0</v>
      </c>
      <c r="B12" s="17"/>
      <c r="C12" s="8" t="s">
        <v>377</v>
      </c>
      <c r="D12" s="8" t="s">
        <v>378</v>
      </c>
      <c r="E12" s="8" t="s">
        <v>17</v>
      </c>
      <c r="F12" s="8" t="s">
        <v>2537</v>
      </c>
      <c r="G12" s="8" t="s">
        <v>2538</v>
      </c>
      <c r="H12" s="8" t="str">
        <f aca="false">"att_"&amp;G12</f>
        <v>att_animal_model</v>
      </c>
      <c r="I12" s="8" t="s">
        <v>377</v>
      </c>
      <c r="J12" s="8" t="str">
        <f aca="false">H12&amp;":"&amp;I12</f>
        <v>att_animal_model:cxcr4creert2</v>
      </c>
      <c r="K12" s="16" t="s">
        <v>21</v>
      </c>
      <c r="L12" s="8" t="s">
        <v>378</v>
      </c>
      <c r="M12" s="8" t="s">
        <v>17</v>
      </c>
      <c r="N12" s="8" t="str">
        <f aca="false">"INSERT INTO attributes (parent_id, tag, name, priority, allow_as_filter, allow_for_dataset, allow_for_measurement, allow_for_users, allow_for_qc) VALUES (NULL, '"&amp;H12&amp;"',  '"&amp;F12&amp;"',  500,  TRUE, TRUE, TRUE, FALSE, FALSE);"</f>
        <v>INSERT INTO attributes (parent_id, tag, name, priority, allow_as_filter, allow_for_dataset, allow_for_measurement, allow_for_users, allow_for_qc) VALUES (NULL, 'att_animal_model',  'Animal Model',  500,  TRUE, TRUE, TRUE, FALSE, FALSE);</v>
      </c>
      <c r="O12" s="8" t="str">
        <f aca="false">"INSERT INTO attribute_values (attribute_id, tag, name, details) VALUES ((SELECT id FROM attributes WHERE tag = '"&amp;H12&amp;"' LIMIT 1),  '"&amp;J12&amp;"',  '"&amp;D12&amp;"',  '"&amp;L12&amp;"'); "</f>
        <v>INSERT INTO attribute_values (attribute_id, tag, name, details) VALUES ((SELECT id FROM attributes WHERE tag = 'att_animal_model' LIMIT 1),  'att_animal_model:cxcr4creert2',  'Cxcr4CreERT2',  'Cxcr4CreERT2');</v>
      </c>
    </row>
    <row r="13" customFormat="false" ht="12.75" hidden="false" customHeight="false" outlineLevel="0" collapsed="false">
      <c r="A13" s="17" t="n">
        <f aca="false">FALSE()</f>
        <v>0</v>
      </c>
      <c r="B13" s="17"/>
      <c r="C13" s="8" t="s">
        <v>2545</v>
      </c>
      <c r="D13" s="8" t="s">
        <v>380</v>
      </c>
      <c r="E13" s="8" t="s">
        <v>17</v>
      </c>
      <c r="F13" s="8" t="s">
        <v>2537</v>
      </c>
      <c r="G13" s="8" t="s">
        <v>2538</v>
      </c>
      <c r="H13" s="8" t="str">
        <f aca="false">"att_"&amp;G13</f>
        <v>att_animal_model</v>
      </c>
      <c r="I13" s="8" t="s">
        <v>379</v>
      </c>
      <c r="J13" s="8" t="str">
        <f aca="false">H13&amp;":"&amp;I13</f>
        <v>att_animal_model:glast_cre</v>
      </c>
      <c r="K13" s="16" t="s">
        <v>21</v>
      </c>
      <c r="L13" s="8" t="s">
        <v>381</v>
      </c>
      <c r="M13" s="8" t="s">
        <v>17</v>
      </c>
      <c r="N13" s="8" t="str">
        <f aca="false">"INSERT INTO attributes (parent_id, tag, name, priority, allow_as_filter, allow_for_dataset, allow_for_measurement, allow_for_users, allow_for_qc) VALUES (NULL, '"&amp;H13&amp;"',  '"&amp;F13&amp;"',  500,  TRUE, TRUE, TRUE, FALSE, FALSE);"</f>
        <v>INSERT INTO attributes (parent_id, tag, name, priority, allow_as_filter, allow_for_dataset, allow_for_measurement, allow_for_users, allow_for_qc) VALUES (NULL, 'att_animal_model',  'Animal Model',  500,  TRUE, TRUE, TRUE, FALSE, FALSE);</v>
      </c>
      <c r="O13" s="8" t="str">
        <f aca="false">"INSERT INTO attribute_values (attribute_id, tag, name, details) VALUES ((SELECT id FROM attributes WHERE tag = '"&amp;H13&amp;"' LIMIT 1),  '"&amp;J13&amp;"',  '"&amp;D13&amp;"',  '"&amp;L13&amp;"'); "</f>
        <v>INSERT INTO attribute_values (attribute_id, tag, name, details) VALUES ((SELECT id FROM attributes WHERE tag = 'att_animal_model' LIMIT 1),  'att_animal_model:glast_cre',  'Glast-Cre',  'Astrocytes');</v>
      </c>
    </row>
    <row r="14" customFormat="false" ht="12.75" hidden="false" customHeight="false" outlineLevel="0" collapsed="false">
      <c r="A14" s="17" t="n">
        <f aca="false">FALSE()</f>
        <v>0</v>
      </c>
      <c r="B14" s="17"/>
      <c r="C14" s="8" t="s">
        <v>2546</v>
      </c>
      <c r="D14" s="8" t="s">
        <v>383</v>
      </c>
      <c r="E14" s="8" t="s">
        <v>17</v>
      </c>
      <c r="F14" s="8" t="s">
        <v>2537</v>
      </c>
      <c r="G14" s="8" t="s">
        <v>2538</v>
      </c>
      <c r="H14" s="8" t="str">
        <f aca="false">"att_"&amp;G14</f>
        <v>att_animal_model</v>
      </c>
      <c r="I14" s="8" t="s">
        <v>382</v>
      </c>
      <c r="J14" s="8" t="str">
        <f aca="false">H14&amp;":"&amp;I14</f>
        <v>att_animal_model:lrat_cre</v>
      </c>
      <c r="K14" s="16" t="s">
        <v>21</v>
      </c>
      <c r="L14" s="8" t="s">
        <v>384</v>
      </c>
      <c r="M14" s="8" t="s">
        <v>17</v>
      </c>
      <c r="N14" s="8" t="str">
        <f aca="false">"INSERT INTO attributes (parent_id, tag, name, priority, allow_as_filter, allow_for_dataset, allow_for_measurement, allow_for_users, allow_for_qc) VALUES (NULL, '"&amp;H14&amp;"',  '"&amp;F14&amp;"',  500,  TRUE, TRUE, TRUE, FALSE, FALSE);"</f>
        <v>INSERT INTO attributes (parent_id, tag, name, priority, allow_as_filter, allow_for_dataset, allow_for_measurement, allow_for_users, allow_for_qc) VALUES (NULL, 'att_animal_model',  'Animal Model',  500,  TRUE, TRUE, TRUE, FALSE, FALSE);</v>
      </c>
      <c r="O14" s="8" t="str">
        <f aca="false">"INSERT INTO attribute_values (attribute_id, tag, name, details) VALUES ((SELECT id FROM attributes WHERE tag = '"&amp;H14&amp;"' LIMIT 1),  '"&amp;J14&amp;"',  '"&amp;D14&amp;"',  '"&amp;L14&amp;"'); "</f>
        <v>INSERT INTO attribute_values (attribute_id, tag, name, details) VALUES ((SELECT id FROM attributes WHERE tag = 'att_animal_model' LIMIT 1),  'att_animal_model:lrat_cre',  'Lrat-Cre',  'Hepatic stellate cells');</v>
      </c>
    </row>
    <row r="15" customFormat="false" ht="12.75" hidden="false" customHeight="false" outlineLevel="0" collapsed="false">
      <c r="A15" s="17" t="n">
        <f aca="false">FALSE()</f>
        <v>0</v>
      </c>
      <c r="B15" s="17"/>
      <c r="C15" s="8" t="s">
        <v>2547</v>
      </c>
      <c r="D15" s="8" t="s">
        <v>386</v>
      </c>
      <c r="E15" s="8" t="s">
        <v>17</v>
      </c>
      <c r="F15" s="8" t="s">
        <v>2537</v>
      </c>
      <c r="G15" s="8" t="s">
        <v>2538</v>
      </c>
      <c r="H15" s="8" t="str">
        <f aca="false">"att_"&amp;G15</f>
        <v>att_animal_model</v>
      </c>
      <c r="I15" s="8" t="s">
        <v>385</v>
      </c>
      <c r="J15" s="8" t="str">
        <f aca="false">H15&amp;":"&amp;I15</f>
        <v>att_animal_model:lysm_cre</v>
      </c>
      <c r="K15" s="16" t="s">
        <v>21</v>
      </c>
      <c r="L15" s="8" t="s">
        <v>387</v>
      </c>
      <c r="M15" s="8" t="s">
        <v>17</v>
      </c>
      <c r="N15" s="8" t="str">
        <f aca="false">"INSERT INTO attributes (parent_id, tag, name, priority, allow_as_filter, allow_for_dataset, allow_for_measurement, allow_for_users, allow_for_qc) VALUES (NULL, '"&amp;H15&amp;"',  '"&amp;F15&amp;"',  500,  TRUE, TRUE, TRUE, FALSE, FALSE);"</f>
        <v>INSERT INTO attributes (parent_id, tag, name, priority, allow_as_filter, allow_for_dataset, allow_for_measurement, allow_for_users, allow_for_qc) VALUES (NULL, 'att_animal_model',  'Animal Model',  500,  TRUE, TRUE, TRUE, FALSE, FALSE);</v>
      </c>
      <c r="O15" s="8" t="str">
        <f aca="false">"INSERT INTO attribute_values (attribute_id, tag, name, details) VALUES ((SELECT id FROM attributes WHERE tag = '"&amp;H15&amp;"' LIMIT 1),  '"&amp;J15&amp;"',  '"&amp;D15&amp;"',  '"&amp;L15&amp;"'); "</f>
        <v>INSERT INTO attribute_values (attribute_id, tag, name, details) VALUES ((SELECT id FROM attributes WHERE tag = 'att_animal_model' LIMIT 1),  'att_animal_model:lysm_cre',  'LysM-Cre',  'Macrophages/Neutrophils');</v>
      </c>
    </row>
    <row r="16" customFormat="false" ht="12.75" hidden="false" customHeight="false" outlineLevel="0" collapsed="false">
      <c r="A16" s="17" t="n">
        <f aca="false">FALSE()</f>
        <v>0</v>
      </c>
      <c r="B16" s="17"/>
      <c r="C16" s="8" t="s">
        <v>2548</v>
      </c>
      <c r="D16" s="8" t="s">
        <v>389</v>
      </c>
      <c r="E16" s="8" t="s">
        <v>17</v>
      </c>
      <c r="F16" s="8" t="s">
        <v>2537</v>
      </c>
      <c r="G16" s="8" t="s">
        <v>2538</v>
      </c>
      <c r="H16" s="8" t="str">
        <f aca="false">"att_"&amp;G16</f>
        <v>att_animal_model</v>
      </c>
      <c r="I16" s="8" t="s">
        <v>388</v>
      </c>
      <c r="J16" s="8" t="str">
        <f aca="false">H16&amp;":"&amp;I16</f>
        <v>att_animal_model:ms4a3_cre</v>
      </c>
      <c r="K16" s="16" t="s">
        <v>21</v>
      </c>
      <c r="L16" s="8" t="s">
        <v>390</v>
      </c>
      <c r="M16" s="8" t="s">
        <v>17</v>
      </c>
      <c r="N16" s="8" t="str">
        <f aca="false">"INSERT INTO attributes (parent_id, tag, name, priority, allow_as_filter, allow_for_dataset, allow_for_measurement, allow_for_users, allow_for_qc) VALUES (NULL, '"&amp;H16&amp;"',  '"&amp;F16&amp;"',  500,  TRUE, TRUE, TRUE, FALSE, FALSE);"</f>
        <v>INSERT INTO attributes (parent_id, tag, name, priority, allow_as_filter, allow_for_dataset, allow_for_measurement, allow_for_users, allow_for_qc) VALUES (NULL, 'att_animal_model',  'Animal Model',  500,  TRUE, TRUE, TRUE, FALSE, FALSE);</v>
      </c>
      <c r="O16" s="8" t="str">
        <f aca="false">"INSERT INTO attribute_values (attribute_id, tag, name, details) VALUES ((SELECT id FROM attributes WHERE tag = '"&amp;H16&amp;"' LIMIT 1),  '"&amp;J16&amp;"',  '"&amp;D16&amp;"',  '"&amp;L16&amp;"'); "</f>
        <v>INSERT INTO attribute_values (attribute_id, tag, name, details) VALUES ((SELECT id FROM attributes WHERE tag = 'att_animal_model' LIMIT 1),  'att_animal_model:ms4a3_cre',  'Ms4a3-Cre',  'Monocytes');</v>
      </c>
    </row>
    <row r="17" customFormat="false" ht="12.75" hidden="false" customHeight="false" outlineLevel="0" collapsed="false">
      <c r="A17" s="17" t="n">
        <f aca="false">FALSE()</f>
        <v>0</v>
      </c>
      <c r="B17" s="17"/>
      <c r="C17" s="8" t="s">
        <v>2549</v>
      </c>
      <c r="D17" s="8" t="s">
        <v>392</v>
      </c>
      <c r="E17" s="8" t="s">
        <v>17</v>
      </c>
      <c r="F17" s="8" t="s">
        <v>2537</v>
      </c>
      <c r="G17" s="8" t="s">
        <v>2538</v>
      </c>
      <c r="H17" s="8" t="str">
        <f aca="false">"att_"&amp;G17</f>
        <v>att_animal_model</v>
      </c>
      <c r="I17" s="8" t="s">
        <v>391</v>
      </c>
      <c r="J17" s="8" t="str">
        <f aca="false">H17&amp;":"&amp;I17</f>
        <v>att_animal_model:mt_nlrp3_cre</v>
      </c>
      <c r="K17" s="16" t="s">
        <v>21</v>
      </c>
      <c r="L17" s="8" t="s">
        <v>393</v>
      </c>
      <c r="M17" s="8" t="s">
        <v>17</v>
      </c>
      <c r="N17" s="8" t="str">
        <f aca="false">"INSERT INTO attributes (parent_id, tag, name, priority, allow_as_filter, allow_for_dataset, allow_for_measurement, allow_for_users, allow_for_qc) VALUES (NULL, '"&amp;H17&amp;"',  '"&amp;F17&amp;"',  500,  TRUE, TRUE, TRUE, FALSE, FALSE);"</f>
        <v>INSERT INTO attributes (parent_id, tag, name, priority, allow_as_filter, allow_for_dataset, allow_for_measurement, allow_for_users, allow_for_qc) VALUES (NULL, 'att_animal_model',  'Animal Model',  500,  TRUE, TRUE, TRUE, FALSE, FALSE);</v>
      </c>
      <c r="O17" s="8" t="str">
        <f aca="false">"INSERT INTO attribute_values (attribute_id, tag, name, details) VALUES ((SELECT id FROM attributes WHERE tag = '"&amp;H17&amp;"' LIMIT 1),  '"&amp;J17&amp;"',  '"&amp;D17&amp;"',  '"&amp;L17&amp;"'); "</f>
        <v>INSERT INTO attribute_values (attribute_id, tag, name, details) VALUES ((SELECT id FROM attributes WHERE tag = 'att_animal_model' LIMIT 1),  'att_animal_model:mt_nlrp3_cre',  'MT-Nlrp3-Cre',  'CAPS R26ERtCreNlrp3A350V ');</v>
      </c>
    </row>
    <row r="18" customFormat="false" ht="12.75" hidden="false" customHeight="false" outlineLevel="0" collapsed="false">
      <c r="A18" s="17" t="n">
        <f aca="false">FALSE()</f>
        <v>0</v>
      </c>
      <c r="B18" s="17"/>
      <c r="C18" s="8" t="s">
        <v>2550</v>
      </c>
      <c r="D18" s="8" t="s">
        <v>395</v>
      </c>
      <c r="E18" s="8" t="s">
        <v>17</v>
      </c>
      <c r="F18" s="8" t="s">
        <v>2537</v>
      </c>
      <c r="G18" s="8" t="s">
        <v>2538</v>
      </c>
      <c r="H18" s="8" t="str">
        <f aca="false">"att_"&amp;G18</f>
        <v>att_animal_model</v>
      </c>
      <c r="I18" s="8" t="s">
        <v>394</v>
      </c>
      <c r="J18" s="8" t="str">
        <f aca="false">H18&amp;":"&amp;I18</f>
        <v>att_animal_model:nlrp3_flox</v>
      </c>
      <c r="K18" s="16" t="s">
        <v>21</v>
      </c>
      <c r="L18" s="8" t="s">
        <v>395</v>
      </c>
      <c r="M18" s="8" t="s">
        <v>17</v>
      </c>
      <c r="N18" s="8" t="str">
        <f aca="false">"INSERT INTO attributes (parent_id, tag, name, priority, allow_as_filter, allow_for_dataset, allow_for_measurement, allow_for_users, allow_for_qc) VALUES (NULL, '"&amp;H18&amp;"',  '"&amp;F18&amp;"',  500,  TRUE, TRUE, TRUE, FALSE, FALSE);"</f>
        <v>INSERT INTO attributes (parent_id, tag, name, priority, allow_as_filter, allow_for_dataset, allow_for_measurement, allow_for_users, allow_for_qc) VALUES (NULL, 'att_animal_model',  'Animal Model',  500,  TRUE, TRUE, TRUE, FALSE, FALSE);</v>
      </c>
      <c r="O18" s="8" t="str">
        <f aca="false">"INSERT INTO attribute_values (attribute_id, tag, name, details) VALUES ((SELECT id FROM attributes WHERE tag = '"&amp;H18&amp;"' LIMIT 1),  '"&amp;J18&amp;"',  '"&amp;D18&amp;"',  '"&amp;L18&amp;"'); "</f>
        <v>INSERT INTO attribute_values (attribute_id, tag, name, details) VALUES ((SELECT id FROM attributes WHERE tag = 'att_animal_model' LIMIT 1),  'att_animal_model:nlrp3_flox',  'Nlrp3-flox',  'Nlrp3-flox');</v>
      </c>
    </row>
    <row r="19" customFormat="false" ht="12.75" hidden="false" customHeight="false" outlineLevel="0" collapsed="false">
      <c r="A19" s="17" t="n">
        <f aca="false">FALSE()</f>
        <v>0</v>
      </c>
      <c r="B19" s="17"/>
      <c r="C19" s="8" t="s">
        <v>2551</v>
      </c>
      <c r="D19" s="8" t="s">
        <v>397</v>
      </c>
      <c r="E19" s="8" t="s">
        <v>17</v>
      </c>
      <c r="F19" s="8" t="s">
        <v>2537</v>
      </c>
      <c r="G19" s="8" t="s">
        <v>2538</v>
      </c>
      <c r="H19" s="8" t="str">
        <f aca="false">"att_"&amp;G19</f>
        <v>att_animal_model</v>
      </c>
      <c r="I19" s="8" t="s">
        <v>396</v>
      </c>
      <c r="J19" s="8" t="str">
        <f aca="false">H19&amp;":"&amp;I19</f>
        <v>att_animal_model:nlrp3_ko</v>
      </c>
      <c r="K19" s="16" t="s">
        <v>21</v>
      </c>
      <c r="L19" s="8" t="s">
        <v>397</v>
      </c>
      <c r="M19" s="8" t="s">
        <v>17</v>
      </c>
      <c r="N19" s="8" t="str">
        <f aca="false">"INSERT INTO attributes (parent_id, tag, name, priority, allow_as_filter, allow_for_dataset, allow_for_measurement, allow_for_users, allow_for_qc) VALUES (NULL, '"&amp;H19&amp;"',  '"&amp;F19&amp;"',  500,  TRUE, TRUE, TRUE, FALSE, FALSE);"</f>
        <v>INSERT INTO attributes (parent_id, tag, name, priority, allow_as_filter, allow_for_dataset, allow_for_measurement, allow_for_users, allow_for_qc) VALUES (NULL, 'att_animal_model',  'Animal Model',  500,  TRUE, TRUE, TRUE, FALSE, FALSE);</v>
      </c>
      <c r="O19" s="8" t="str">
        <f aca="false">"INSERT INTO attribute_values (attribute_id, tag, name, details) VALUES ((SELECT id FROM attributes WHERE tag = '"&amp;H19&amp;"' LIMIT 1),  '"&amp;J19&amp;"',  '"&amp;D19&amp;"',  '"&amp;L19&amp;"'); "</f>
        <v>INSERT INTO attribute_values (attribute_id, tag, name, details) VALUES ((SELECT id FROM attributes WHERE tag = 'att_animal_model' LIMIT 1),  'att_animal_model:nlrp3_ko',  'Nlrp3 ko',  'Nlrp3 ko');</v>
      </c>
    </row>
    <row r="20" customFormat="false" ht="12.75" hidden="false" customHeight="false" outlineLevel="0" collapsed="false">
      <c r="A20" s="17" t="n">
        <f aca="false">FALSE()</f>
        <v>0</v>
      </c>
      <c r="B20" s="17"/>
      <c r="C20" s="8" t="s">
        <v>398</v>
      </c>
      <c r="D20" s="8" t="s">
        <v>399</v>
      </c>
      <c r="E20" s="8" t="s">
        <v>17</v>
      </c>
      <c r="F20" s="8" t="s">
        <v>2537</v>
      </c>
      <c r="G20" s="8" t="s">
        <v>2538</v>
      </c>
      <c r="H20" s="8" t="str">
        <f aca="false">"att_"&amp;G20</f>
        <v>att_animal_model</v>
      </c>
      <c r="I20" s="8" t="s">
        <v>398</v>
      </c>
      <c r="J20" s="8" t="str">
        <f aca="false">H20&amp;":"&amp;I20</f>
        <v>att_animal_model:oaf</v>
      </c>
      <c r="K20" s="16" t="s">
        <v>21</v>
      </c>
      <c r="L20" s="8" t="s">
        <v>399</v>
      </c>
      <c r="M20" s="8" t="s">
        <v>17</v>
      </c>
      <c r="N20" s="8" t="str">
        <f aca="false">"INSERT INTO attributes (parent_id, tag, name, priority, allow_as_filter, allow_for_dataset, allow_for_measurement, allow_for_users, allow_for_qc) VALUES (NULL, '"&amp;H20&amp;"',  '"&amp;F20&amp;"',  500,  TRUE, TRUE, TRUE, FALSE, FALSE);"</f>
        <v>INSERT INTO attributes (parent_id, tag, name, priority, allow_as_filter, allow_for_dataset, allow_for_measurement, allow_for_users, allow_for_qc) VALUES (NULL, 'att_animal_model',  'Animal Model',  500,  TRUE, TRUE, TRUE, FALSE, FALSE);</v>
      </c>
      <c r="O20" s="8" t="str">
        <f aca="false">"INSERT INTO attribute_values (attribute_id, tag, name, details) VALUES ((SELECT id FROM attributes WHERE tag = '"&amp;H20&amp;"' LIMIT 1),  '"&amp;J20&amp;"',  '"&amp;D20&amp;"',  '"&amp;L20&amp;"'); "</f>
        <v>INSERT INTO attribute_values (attribute_id, tag, name, details) VALUES ((SELECT id FROM attributes WHERE tag = 'att_animal_model' LIMIT 1),  'att_animal_model:oaf',  'OAF',  'OAF');</v>
      </c>
    </row>
    <row r="21" customFormat="false" ht="12.75" hidden="false" customHeight="false" outlineLevel="0" collapsed="false">
      <c r="A21" s="17" t="n">
        <f aca="false">FALSE()</f>
        <v>0</v>
      </c>
      <c r="B21" s="17"/>
      <c r="C21" s="8" t="s">
        <v>2552</v>
      </c>
      <c r="D21" s="8" t="s">
        <v>401</v>
      </c>
      <c r="E21" s="8" t="s">
        <v>17</v>
      </c>
      <c r="F21" s="8" t="s">
        <v>2537</v>
      </c>
      <c r="G21" s="8" t="s">
        <v>2538</v>
      </c>
      <c r="H21" s="8" t="str">
        <f aca="false">"att_"&amp;G21</f>
        <v>att_animal_model</v>
      </c>
      <c r="I21" s="8" t="s">
        <v>400</v>
      </c>
      <c r="J21" s="8" t="str">
        <f aca="false">H21&amp;":"&amp;I21</f>
        <v>att_animal_model:r26_ert2cre</v>
      </c>
      <c r="K21" s="16" t="s">
        <v>21</v>
      </c>
      <c r="L21" s="8" t="s">
        <v>402</v>
      </c>
      <c r="M21" s="8" t="s">
        <v>17</v>
      </c>
      <c r="N21" s="8" t="str">
        <f aca="false">"INSERT INTO attributes (parent_id, tag, name, priority, allow_as_filter, allow_for_dataset, allow_for_measurement, allow_for_users, allow_for_qc) VALUES (NULL, '"&amp;H21&amp;"',  '"&amp;F21&amp;"',  500,  TRUE, TRUE, TRUE, FALSE, FALSE);"</f>
        <v>INSERT INTO attributes (parent_id, tag, name, priority, allow_as_filter, allow_for_dataset, allow_for_measurement, allow_for_users, allow_for_qc) VALUES (NULL, 'att_animal_model',  'Animal Model',  500,  TRUE, TRUE, TRUE, FALSE, FALSE);</v>
      </c>
      <c r="O21" s="8" t="str">
        <f aca="false">"INSERT INTO attribute_values (attribute_id, tag, name, details) VALUES ((SELECT id FROM attributes WHERE tag = '"&amp;H21&amp;"' LIMIT 1),  '"&amp;J21&amp;"',  '"&amp;D21&amp;"',  '"&amp;L21&amp;"'); "</f>
        <v>INSERT INTO attribute_values (attribute_id, tag, name, details) VALUES ((SELECT id FROM attributes WHERE tag = 'att_animal_model' LIMIT 1),  'att_animal_model:r26_ert2cre',  'R26 ERt2Cre',  'R26 Ert2Cre');</v>
      </c>
    </row>
    <row r="22" customFormat="false" ht="12.75" hidden="false" customHeight="false" outlineLevel="0" collapsed="false">
      <c r="A22" s="17" t="n">
        <f aca="false">FALSE()</f>
        <v>0</v>
      </c>
      <c r="B22" s="17"/>
      <c r="C22" s="8" t="s">
        <v>2553</v>
      </c>
      <c r="D22" s="17" t="s">
        <v>404</v>
      </c>
      <c r="E22" s="8" t="s">
        <v>17</v>
      </c>
      <c r="F22" s="8" t="s">
        <v>2537</v>
      </c>
      <c r="G22" s="8" t="s">
        <v>2538</v>
      </c>
      <c r="H22" s="8" t="str">
        <f aca="false">"att_"&amp;G22</f>
        <v>att_animal_model</v>
      </c>
      <c r="I22" s="8" t="s">
        <v>403</v>
      </c>
      <c r="J22" s="8" t="str">
        <f aca="false">H22&amp;":"&amp;I22</f>
        <v>att_animal_model:r26_metrs_flox</v>
      </c>
      <c r="K22" s="16" t="s">
        <v>21</v>
      </c>
      <c r="L22" s="8" t="s">
        <v>405</v>
      </c>
      <c r="M22" s="8" t="s">
        <v>17</v>
      </c>
      <c r="N22" s="8" t="str">
        <f aca="false">"INSERT INTO attributes (parent_id, tag, name, priority, allow_as_filter, allow_for_dataset, allow_for_measurement, allow_for_users, allow_for_qc) VALUES (NULL, '"&amp;H22&amp;"',  '"&amp;F22&amp;"',  500,  TRUE, TRUE, TRUE, FALSE, FALSE);"</f>
        <v>INSERT INTO attributes (parent_id, tag, name, priority, allow_as_filter, allow_for_dataset, allow_for_measurement, allow_for_users, allow_for_qc) VALUES (NULL, 'att_animal_model',  'Animal Model',  500,  TRUE, TRUE, TRUE, FALSE, FALSE);</v>
      </c>
      <c r="O22" s="8" t="str">
        <f aca="false">"INSERT INTO attribute_values (attribute_id, tag, name, details) VALUES ((SELECT id FROM attributes WHERE tag = '"&amp;H22&amp;"' LIMIT 1),  '"&amp;J22&amp;"',  '"&amp;D22&amp;"',  '"&amp;L22&amp;"'); "</f>
        <v>INSERT INTO attribute_values (attribute_id, tag, name, details) VALUES ((SELECT id FROM attributes WHERE tag = 'att_animal_model' LIMIT 1),  'att_animal_model:r26_metrs_flox',  'R26 MetRS*-flox',  'Cell-type specific labelling');</v>
      </c>
    </row>
    <row r="23" customFormat="false" ht="12.75" hidden="false" customHeight="false" outlineLevel="0" collapsed="false">
      <c r="A23" s="17" t="n">
        <f aca="false">FALSE()</f>
        <v>0</v>
      </c>
      <c r="B23" s="17"/>
      <c r="C23" s="8" t="s">
        <v>2554</v>
      </c>
      <c r="D23" s="8" t="s">
        <v>407</v>
      </c>
      <c r="E23" s="8" t="s">
        <v>17</v>
      </c>
      <c r="F23" s="8" t="s">
        <v>2537</v>
      </c>
      <c r="G23" s="8" t="s">
        <v>2538</v>
      </c>
      <c r="H23" s="8" t="str">
        <f aca="false">"att_"&amp;G23</f>
        <v>att_animal_model</v>
      </c>
      <c r="I23" s="8" t="s">
        <v>406</v>
      </c>
      <c r="J23" s="8" t="str">
        <f aca="false">H23&amp;":"&amp;I23</f>
        <v>att_animal_model:r26_nlrp3_flox</v>
      </c>
      <c r="K23" s="16" t="s">
        <v>21</v>
      </c>
      <c r="L23" s="8" t="s">
        <v>407</v>
      </c>
      <c r="M23" s="8" t="s">
        <v>17</v>
      </c>
      <c r="N23" s="8" t="str">
        <f aca="false">"INSERT INTO attributes (parent_id, tag, name, priority, allow_as_filter, allow_for_dataset, allow_for_measurement, allow_for_users, allow_for_qc) VALUES (NULL, '"&amp;H23&amp;"',  '"&amp;F23&amp;"',  500,  TRUE, TRUE, TRUE, FALSE, FALSE);"</f>
        <v>INSERT INTO attributes (parent_id, tag, name, priority, allow_as_filter, allow_for_dataset, allow_for_measurement, allow_for_users, allow_for_qc) VALUES (NULL, 'att_animal_model',  'Animal Model',  500,  TRUE, TRUE, TRUE, FALSE, FALSE);</v>
      </c>
      <c r="O23" s="8" t="str">
        <f aca="false">"INSERT INTO attribute_values (attribute_id, tag, name, details) VALUES ((SELECT id FROM attributes WHERE tag = '"&amp;H23&amp;"' LIMIT 1),  '"&amp;J23&amp;"',  '"&amp;D23&amp;"',  '"&amp;L23&amp;"'); "</f>
        <v>INSERT INTO attribute_values (attribute_id, tag, name, details) VALUES ((SELECT id FROM attributes WHERE tag = 'att_animal_model' LIMIT 1),  'att_animal_model:r26_nlrp3_flox',  'R26 Nlrp3-flox',  'R26 Nlrp3-flox');</v>
      </c>
    </row>
    <row r="24" customFormat="false" ht="12.75" hidden="false" customHeight="false" outlineLevel="0" collapsed="false">
      <c r="A24" s="17" t="n">
        <f aca="false">FALSE()</f>
        <v>0</v>
      </c>
      <c r="B24" s="17"/>
      <c r="C24" s="8" t="s">
        <v>2555</v>
      </c>
      <c r="D24" s="8" t="s">
        <v>409</v>
      </c>
      <c r="E24" s="8" t="s">
        <v>17</v>
      </c>
      <c r="F24" s="8" t="s">
        <v>2537</v>
      </c>
      <c r="G24" s="8" t="s">
        <v>2538</v>
      </c>
      <c r="H24" s="8" t="str">
        <f aca="false">"att_"&amp;G24</f>
        <v>att_animal_model</v>
      </c>
      <c r="I24" s="8" t="s">
        <v>408</v>
      </c>
      <c r="J24" s="8" t="str">
        <f aca="false">H24&amp;":"&amp;I24</f>
        <v>att_animal_model:ribotag_lox</v>
      </c>
      <c r="K24" s="16" t="s">
        <v>21</v>
      </c>
      <c r="L24" s="8" t="s">
        <v>402</v>
      </c>
      <c r="M24" s="8" t="s">
        <v>17</v>
      </c>
      <c r="N24" s="8" t="str">
        <f aca="false">"INSERT INTO attributes (parent_id, tag, name, priority, allow_as_filter, allow_for_dataset, allow_for_measurement, allow_for_users, allow_for_qc) VALUES (NULL, '"&amp;H24&amp;"',  '"&amp;F24&amp;"',  500,  TRUE, TRUE, TRUE, FALSE, FALSE);"</f>
        <v>INSERT INTO attributes (parent_id, tag, name, priority, allow_as_filter, allow_for_dataset, allow_for_measurement, allow_for_users, allow_for_qc) VALUES (NULL, 'att_animal_model',  'Animal Model',  500,  TRUE, TRUE, TRUE, FALSE, FALSE);</v>
      </c>
      <c r="O24" s="8" t="str">
        <f aca="false">"INSERT INTO attribute_values (attribute_id, tag, name, details) VALUES ((SELECT id FROM attributes WHERE tag = '"&amp;H24&amp;"' LIMIT 1),  '"&amp;J24&amp;"',  '"&amp;D24&amp;"',  '"&amp;L24&amp;"'); "</f>
        <v>INSERT INTO attribute_values (attribute_id, tag, name, details) VALUES ((SELECT id FROM attributes WHERE tag = 'att_animal_model' LIMIT 1),  'att_animal_model:ribotag_lox',  'Ribotag-lox',  'R26 Ert2Cre');</v>
      </c>
    </row>
    <row r="25" customFormat="false" ht="12.75" hidden="false" customHeight="false" outlineLevel="0" collapsed="false">
      <c r="A25" s="17" t="n">
        <f aca="false">FALSE()</f>
        <v>0</v>
      </c>
      <c r="B25" s="17"/>
      <c r="C25" s="8" t="s">
        <v>2556</v>
      </c>
      <c r="D25" s="8" t="s">
        <v>411</v>
      </c>
      <c r="E25" s="8" t="s">
        <v>17</v>
      </c>
      <c r="F25" s="8" t="s">
        <v>2537</v>
      </c>
      <c r="G25" s="8" t="s">
        <v>2538</v>
      </c>
      <c r="H25" s="8" t="str">
        <f aca="false">"att_"&amp;G25</f>
        <v>att_animal_model</v>
      </c>
      <c r="I25" s="8" t="s">
        <v>410</v>
      </c>
      <c r="J25" s="8" t="str">
        <f aca="false">H25&amp;":"&amp;I25</f>
        <v>att_animal_model:sox10_cre</v>
      </c>
      <c r="K25" s="16" t="s">
        <v>21</v>
      </c>
      <c r="L25" s="8" t="s">
        <v>412</v>
      </c>
      <c r="M25" s="8" t="s">
        <v>17</v>
      </c>
      <c r="N25" s="8" t="str">
        <f aca="false">"INSERT INTO attributes (parent_id, tag, name, priority, allow_as_filter, allow_for_dataset, allow_for_measurement, allow_for_users, allow_for_qc) VALUES (NULL, '"&amp;H25&amp;"',  '"&amp;F25&amp;"',  500,  TRUE, TRUE, TRUE, FALSE, FALSE);"</f>
        <v>INSERT INTO attributes (parent_id, tag, name, priority, allow_as_filter, allow_for_dataset, allow_for_measurement, allow_for_users, allow_for_qc) VALUES (NULL, 'att_animal_model',  'Animal Model',  500,  TRUE, TRUE, TRUE, FALSE, FALSE);</v>
      </c>
      <c r="O25" s="8" t="str">
        <f aca="false">"INSERT INTO attribute_values (attribute_id, tag, name, details) VALUES ((SELECT id FROM attributes WHERE tag = '"&amp;H25&amp;"' LIMIT 1),  '"&amp;J25&amp;"',  '"&amp;D25&amp;"',  '"&amp;L25&amp;"'); "</f>
        <v>INSERT INTO attribute_values (attribute_id, tag, name, details) VALUES ((SELECT id FROM attributes WHERE tag = 'att_animal_model' LIMIT 1),  'att_animal_model:sox10_cre',  'Sox10-Cre',  'Neural crest ?');</v>
      </c>
    </row>
    <row r="26" customFormat="false" ht="12.75" hidden="false" customHeight="false" outlineLevel="0" collapsed="false">
      <c r="A26" s="17" t="n">
        <f aca="false">FALSE()</f>
        <v>0</v>
      </c>
      <c r="B26" s="17"/>
      <c r="C26" s="8" t="s">
        <v>2557</v>
      </c>
      <c r="D26" s="8" t="s">
        <v>414</v>
      </c>
      <c r="E26" s="8" t="s">
        <v>17</v>
      </c>
      <c r="F26" s="8" t="s">
        <v>2537</v>
      </c>
      <c r="G26" s="8" t="s">
        <v>2538</v>
      </c>
      <c r="H26" s="8" t="str">
        <f aca="false">"att_"&amp;G26</f>
        <v>att_animal_model</v>
      </c>
      <c r="I26" s="8" t="s">
        <v>413</v>
      </c>
      <c r="J26" s="8" t="str">
        <f aca="false">H26&amp;":"&amp;I26</f>
        <v>att_animal_model:ucp1_cre</v>
      </c>
      <c r="K26" s="16" t="s">
        <v>21</v>
      </c>
      <c r="L26" s="8" t="s">
        <v>415</v>
      </c>
      <c r="M26" s="8" t="s">
        <v>17</v>
      </c>
      <c r="N26" s="8" t="str">
        <f aca="false">"INSERT INTO attributes (parent_id, tag, name, priority, allow_as_filter, allow_for_dataset, allow_for_measurement, allow_for_users, allow_for_qc) VALUES (NULL, '"&amp;H26&amp;"',  '"&amp;F26&amp;"',  500,  TRUE, TRUE, TRUE, FALSE, FALSE);"</f>
        <v>INSERT INTO attributes (parent_id, tag, name, priority, allow_as_filter, allow_for_dataset, allow_for_measurement, allow_for_users, allow_for_qc) VALUES (NULL, 'att_animal_model',  'Animal Model',  500,  TRUE, TRUE, TRUE, FALSE, FALSE);</v>
      </c>
      <c r="O26" s="8" t="str">
        <f aca="false">"INSERT INTO attribute_values (attribute_id, tag, name, details) VALUES ((SELECT id FROM attributes WHERE tag = '"&amp;H26&amp;"' LIMIT 1),  '"&amp;J26&amp;"',  '"&amp;D26&amp;"',  '"&amp;L26&amp;"'); "</f>
        <v>INSERT INTO attribute_values (attribute_id, tag, name, details) VALUES ((SELECT id FROM attributes WHERE tag = 'att_animal_model' LIMIT 1),  'att_animal_model:ucp1_cre',  'UCP1-Cre',  'brown adipose tissue');</v>
      </c>
    </row>
    <row r="27" customFormat="false" ht="12.75" hidden="false" customHeight="false" outlineLevel="0" collapsed="false">
      <c r="A27" s="17" t="n">
        <f aca="false">FALSE()</f>
        <v>0</v>
      </c>
      <c r="B27" s="17"/>
      <c r="C27" s="8" t="s">
        <v>2558</v>
      </c>
      <c r="D27" s="8" t="s">
        <v>417</v>
      </c>
      <c r="E27" s="8" t="s">
        <v>17</v>
      </c>
      <c r="F27" s="8" t="s">
        <v>2537</v>
      </c>
      <c r="G27" s="8" t="s">
        <v>2538</v>
      </c>
      <c r="H27" s="8" t="str">
        <f aca="false">"att_"&amp;G27</f>
        <v>att_animal_model</v>
      </c>
      <c r="I27" s="8" t="s">
        <v>416</v>
      </c>
      <c r="J27" s="8" t="str">
        <f aca="false">H27&amp;":"&amp;I27</f>
        <v>att_animal_model:vil_cre</v>
      </c>
      <c r="K27" s="16" t="s">
        <v>21</v>
      </c>
      <c r="L27" s="8" t="s">
        <v>418</v>
      </c>
      <c r="M27" s="8" t="s">
        <v>17</v>
      </c>
      <c r="N27" s="8" t="str">
        <f aca="false">"INSERT INTO attributes (parent_id, tag, name, priority, allow_as_filter, allow_for_dataset, allow_for_measurement, allow_for_users, allow_for_qc) VALUES (NULL, '"&amp;H27&amp;"',  '"&amp;F27&amp;"',  500,  TRUE, TRUE, TRUE, FALSE, FALSE);"</f>
        <v>INSERT INTO attributes (parent_id, tag, name, priority, allow_as_filter, allow_for_dataset, allow_for_measurement, allow_for_users, allow_for_qc) VALUES (NULL, 'att_animal_model',  'Animal Model',  500,  TRUE, TRUE, TRUE, FALSE, FALSE);</v>
      </c>
      <c r="O27" s="8" t="str">
        <f aca="false">"INSERT INTO attribute_values (attribute_id, tag, name, details) VALUES ((SELECT id FROM attributes WHERE tag = '"&amp;H27&amp;"' LIMIT 1),  '"&amp;J27&amp;"',  '"&amp;D27&amp;"',  '"&amp;L27&amp;"'); "</f>
        <v>INSERT INTO attribute_values (attribute_id, tag, name, details) VALUES ((SELECT id FROM attributes WHERE tag = 'att_animal_model' LIMIT 1),  'att_animal_model:vil_cre',  'Vil-Cre',  'Intestinal epithelium');</v>
      </c>
    </row>
    <row r="28" customFormat="false" ht="12.75" hidden="false" customHeight="false" outlineLevel="0" collapsed="false">
      <c r="A28" s="17" t="n">
        <f aca="false">FALSE()</f>
        <v>0</v>
      </c>
      <c r="B28" s="17"/>
      <c r="C28" s="8" t="n">
        <v>7860</v>
      </c>
      <c r="D28" s="8" t="s">
        <v>507</v>
      </c>
      <c r="E28" s="8" t="s">
        <v>17</v>
      </c>
      <c r="F28" s="8" t="s">
        <v>2559</v>
      </c>
      <c r="G28" s="8" t="s">
        <v>2560</v>
      </c>
      <c r="H28" s="8" t="str">
        <f aca="false">"att_"&amp;G28</f>
        <v>att_celllines</v>
      </c>
      <c r="I28" s="8" t="s">
        <v>506</v>
      </c>
      <c r="J28" s="8" t="str">
        <f aca="false">H28&amp;":"&amp;I28</f>
        <v>att_celllines:786_0</v>
      </c>
      <c r="K28" s="16" t="s">
        <v>21</v>
      </c>
      <c r="L28" s="8" t="s">
        <v>508</v>
      </c>
      <c r="M28" s="8" t="s">
        <v>2561</v>
      </c>
      <c r="N28" s="8" t="str">
        <f aca="false">"INSERT INTO attributes (parent_id, tag, name, priority, allow_as_filter, allow_for_dataset, allow_for_measurement, allow_for_users, allow_for_qc) VALUES (NULL, '"&amp;H28&amp;"',  '"&amp;F28&amp;"',  500,  TRUE, TRUE, TRUE, FALSE, FALSE);"</f>
        <v>INSERT INTO attributes (parent_id, tag, name, priority, allow_as_filter, allow_for_dataset, allow_for_measurement, allow_for_users, allow_for_qc) VALUES (NULL, 'att_celllines',  'Celllines',  500,  TRUE, TRUE, TRUE, FALSE, FALSE);</v>
      </c>
      <c r="O28" s="8" t="str">
        <f aca="false">"INSERT INTO attribute_values (attribute_id, tag, name, details) VALUES ((SELECT id FROM attributes WHERE tag = '"&amp;H28&amp;"' LIMIT 1),  '"&amp;J28&amp;"',  '"&amp;D28&amp;"',  '"&amp;L28&amp;"'); "</f>
        <v>INSERT INTO attribute_values (attribute_id, tag, name, details) VALUES ((SELECT id FROM attributes WHERE tag = 'att_celllines' LIMIT 1),  'att_celllines:786_0',  '786-0',  'Human NCI-60 cell line; Renal Cancer');</v>
      </c>
    </row>
    <row r="29" customFormat="false" ht="12.75" hidden="false" customHeight="false" outlineLevel="0" collapsed="false">
      <c r="A29" s="17" t="n">
        <f aca="false">FALSE()</f>
        <v>0</v>
      </c>
      <c r="B29" s="17"/>
      <c r="C29" s="8" t="s">
        <v>509</v>
      </c>
      <c r="D29" s="8" t="s">
        <v>510</v>
      </c>
      <c r="E29" s="8" t="s">
        <v>17</v>
      </c>
      <c r="F29" s="8" t="s">
        <v>2559</v>
      </c>
      <c r="G29" s="8" t="s">
        <v>2560</v>
      </c>
      <c r="H29" s="8" t="str">
        <f aca="false">"att_"&amp;G29</f>
        <v>att_celllines</v>
      </c>
      <c r="I29" s="8" t="s">
        <v>509</v>
      </c>
      <c r="J29" s="8" t="str">
        <f aca="false">H29&amp;":"&amp;I29</f>
        <v>att_celllines:a498</v>
      </c>
      <c r="K29" s="16" t="s">
        <v>21</v>
      </c>
      <c r="L29" s="8" t="s">
        <v>508</v>
      </c>
      <c r="M29" s="8" t="s">
        <v>2561</v>
      </c>
      <c r="N29" s="8" t="str">
        <f aca="false">"INSERT INTO attributes (parent_id, tag, name, priority, allow_as_filter, allow_for_dataset, allow_for_measurement, allow_for_users, allow_for_qc) VALUES (NULL, '"&amp;H29&amp;"',  '"&amp;F29&amp;"',  500,  TRUE, TRUE, TRUE, FALSE, FALSE);"</f>
        <v>INSERT INTO attributes (parent_id, tag, name, priority, allow_as_filter, allow_for_dataset, allow_for_measurement, allow_for_users, allow_for_qc) VALUES (NULL, 'att_celllines',  'Celllines',  500,  TRUE, TRUE, TRUE, FALSE, FALSE);</v>
      </c>
      <c r="O29" s="8" t="str">
        <f aca="false">"INSERT INTO attribute_values (attribute_id, tag, name, details) VALUES ((SELECT id FROM attributes WHERE tag = '"&amp;H29&amp;"' LIMIT 1),  '"&amp;J29&amp;"',  '"&amp;D29&amp;"',  '"&amp;L29&amp;"'); "</f>
        <v>INSERT INTO attribute_values (attribute_id, tag, name, details) VALUES ((SELECT id FROM attributes WHERE tag = 'att_celllines' LIMIT 1),  'att_celllines:a498',  'A498',  'Human NCI-60 cell line; Renal Cancer');</v>
      </c>
    </row>
    <row r="30" customFormat="false" ht="12.75" hidden="false" customHeight="false" outlineLevel="0" collapsed="false">
      <c r="A30" s="17" t="n">
        <f aca="false">FALSE()</f>
        <v>0</v>
      </c>
      <c r="B30" s="17"/>
      <c r="C30" s="8" t="s">
        <v>511</v>
      </c>
      <c r="D30" s="8" t="s">
        <v>512</v>
      </c>
      <c r="E30" s="8" t="s">
        <v>17</v>
      </c>
      <c r="F30" s="8" t="s">
        <v>2559</v>
      </c>
      <c r="G30" s="8" t="s">
        <v>2560</v>
      </c>
      <c r="H30" s="8" t="str">
        <f aca="false">"att_"&amp;G30</f>
        <v>att_celllines</v>
      </c>
      <c r="I30" s="8" t="s">
        <v>511</v>
      </c>
      <c r="J30" s="8" t="str">
        <f aca="false">H30&amp;":"&amp;I30</f>
        <v>att_celllines:a549</v>
      </c>
      <c r="K30" s="16" t="s">
        <v>21</v>
      </c>
      <c r="L30" s="8" t="s">
        <v>513</v>
      </c>
      <c r="M30" s="8" t="s">
        <v>2561</v>
      </c>
      <c r="N30" s="8" t="str">
        <f aca="false">"INSERT INTO attributes (parent_id, tag, name, priority, allow_as_filter, allow_for_dataset, allow_for_measurement, allow_for_users, allow_for_qc) VALUES (NULL, '"&amp;H30&amp;"',  '"&amp;F30&amp;"',  500,  TRUE, TRUE, TRUE, FALSE, FALSE);"</f>
        <v>INSERT INTO attributes (parent_id, tag, name, priority, allow_as_filter, allow_for_dataset, allow_for_measurement, allow_for_users, allow_for_qc) VALUES (NULL, 'att_celllines',  'Celllines',  500,  TRUE, TRUE, TRUE, FALSE, FALSE);</v>
      </c>
      <c r="O30" s="8" t="str">
        <f aca="false">"INSERT INTO attribute_values (attribute_id, tag, name, details) VALUES ((SELECT id FROM attributes WHERE tag = '"&amp;H30&amp;"' LIMIT 1),  '"&amp;J30&amp;"',  '"&amp;D30&amp;"',  '"&amp;L30&amp;"'); "</f>
        <v>INSERT INTO attribute_values (attribute_id, tag, name, details) VALUES ((SELECT id FROM attributes WHERE tag = 'att_celllines' LIMIT 1),  'att_celllines:a549',  'A549',  'Human NCI-60 cell line; Non-Small Cell Lung cancer');</v>
      </c>
    </row>
    <row r="31" customFormat="false" ht="12.75" hidden="false" customHeight="false" outlineLevel="0" collapsed="false">
      <c r="A31" s="17" t="n">
        <f aca="false">FALSE()</f>
        <v>0</v>
      </c>
      <c r="B31" s="17"/>
      <c r="C31" s="8" t="s">
        <v>514</v>
      </c>
      <c r="D31" s="8" t="s">
        <v>515</v>
      </c>
      <c r="E31" s="8" t="s">
        <v>17</v>
      </c>
      <c r="F31" s="8" t="s">
        <v>2559</v>
      </c>
      <c r="G31" s="8" t="s">
        <v>2560</v>
      </c>
      <c r="H31" s="8" t="str">
        <f aca="false">"att_"&amp;G31</f>
        <v>att_celllines</v>
      </c>
      <c r="I31" s="8" t="s">
        <v>514</v>
      </c>
      <c r="J31" s="8" t="str">
        <f aca="false">H31&amp;":"&amp;I31</f>
        <v>att_celllines:achn</v>
      </c>
      <c r="K31" s="16" t="s">
        <v>21</v>
      </c>
      <c r="L31" s="8" t="s">
        <v>508</v>
      </c>
      <c r="M31" s="8" t="s">
        <v>2561</v>
      </c>
      <c r="N31" s="8" t="str">
        <f aca="false">"INSERT INTO attributes (parent_id, tag, name, priority, allow_as_filter, allow_for_dataset, allow_for_measurement, allow_for_users, allow_for_qc) VALUES (NULL, '"&amp;H31&amp;"',  '"&amp;F31&amp;"',  500,  TRUE, TRUE, TRUE, FALSE, FALSE);"</f>
        <v>INSERT INTO attributes (parent_id, tag, name, priority, allow_as_filter, allow_for_dataset, allow_for_measurement, allow_for_users, allow_for_qc) VALUES (NULL, 'att_celllines',  'Celllines',  500,  TRUE, TRUE, TRUE, FALSE, FALSE);</v>
      </c>
      <c r="O31" s="8" t="str">
        <f aca="false">"INSERT INTO attribute_values (attribute_id, tag, name, details) VALUES ((SELECT id FROM attributes WHERE tag = '"&amp;H31&amp;"' LIMIT 1),  '"&amp;J31&amp;"',  '"&amp;D31&amp;"',  '"&amp;L31&amp;"'); "</f>
        <v>INSERT INTO attribute_values (attribute_id, tag, name, details) VALUES ((SELECT id FROM attributes WHERE tag = 'att_celllines' LIMIT 1),  'att_celllines:achn',  'ACHN',  'Human NCI-60 cell line; Renal Cancer');</v>
      </c>
    </row>
    <row r="32" customFormat="false" ht="12.75" hidden="false" customHeight="false" outlineLevel="0" collapsed="false">
      <c r="A32" s="17" t="n">
        <f aca="false">FALSE()</f>
        <v>0</v>
      </c>
      <c r="B32" s="17"/>
      <c r="C32" s="8" t="s">
        <v>516</v>
      </c>
      <c r="D32" s="8" t="s">
        <v>517</v>
      </c>
      <c r="E32" s="8" t="s">
        <v>17</v>
      </c>
      <c r="F32" s="8" t="s">
        <v>2559</v>
      </c>
      <c r="G32" s="8" t="s">
        <v>2560</v>
      </c>
      <c r="H32" s="8" t="str">
        <f aca="false">"att_"&amp;G32</f>
        <v>att_celllines</v>
      </c>
      <c r="I32" s="8" t="s">
        <v>516</v>
      </c>
      <c r="J32" s="8" t="str">
        <f aca="false">H32&amp;":"&amp;I32</f>
        <v>att_celllines:bmdc</v>
      </c>
      <c r="K32" s="16" t="s">
        <v>21</v>
      </c>
      <c r="L32" s="8" t="s">
        <v>517</v>
      </c>
      <c r="M32" s="8" t="s">
        <v>17</v>
      </c>
      <c r="N32" s="8" t="str">
        <f aca="false">"INSERT INTO attributes (parent_id, tag, name, priority, allow_as_filter, allow_for_dataset, allow_for_measurement, allow_for_users, allow_for_qc) VALUES (NULL, '"&amp;H32&amp;"',  '"&amp;F32&amp;"',  500,  TRUE, TRUE, TRUE, FALSE, FALSE);"</f>
        <v>INSERT INTO attributes (parent_id, tag, name, priority, allow_as_filter, allow_for_dataset, allow_for_measurement, allow_for_users, allow_for_qc) VALUES (NULL, 'att_celllines',  'Celllines',  500,  TRUE, TRUE, TRUE, FALSE, FALSE);</v>
      </c>
      <c r="O32" s="8" t="str">
        <f aca="false">"INSERT INTO attribute_values (attribute_id, tag, name, details) VALUES ((SELECT id FROM attributes WHERE tag = '"&amp;H32&amp;"' LIMIT 1),  '"&amp;J32&amp;"',  '"&amp;D32&amp;"',  '"&amp;L32&amp;"'); "</f>
        <v>INSERT INTO attribute_values (attribute_id, tag, name, details) VALUES ((SELECT id FROM attributes WHERE tag = 'att_celllines' LIMIT 1),  'att_celllines:bmdc',  'BMDC',  'BMDC');</v>
      </c>
    </row>
    <row r="33" customFormat="false" ht="12.75" hidden="false" customHeight="false" outlineLevel="0" collapsed="false">
      <c r="A33" s="17" t="n">
        <f aca="false">FALSE()</f>
        <v>0</v>
      </c>
      <c r="B33" s="17"/>
      <c r="C33" s="8" t="s">
        <v>518</v>
      </c>
      <c r="D33" s="8" t="s">
        <v>519</v>
      </c>
      <c r="E33" s="8" t="s">
        <v>17</v>
      </c>
      <c r="F33" s="8" t="s">
        <v>2559</v>
      </c>
      <c r="G33" s="8" t="s">
        <v>2560</v>
      </c>
      <c r="H33" s="8" t="str">
        <f aca="false">"att_"&amp;G33</f>
        <v>att_celllines</v>
      </c>
      <c r="I33" s="8" t="s">
        <v>518</v>
      </c>
      <c r="J33" s="8" t="str">
        <f aca="false">H33&amp;":"&amp;I33</f>
        <v>att_celllines:bmm</v>
      </c>
      <c r="K33" s="16" t="s">
        <v>21</v>
      </c>
      <c r="L33" s="8" t="s">
        <v>520</v>
      </c>
      <c r="M33" s="8" t="s">
        <v>17</v>
      </c>
      <c r="N33" s="8" t="str">
        <f aca="false">"INSERT INTO attributes (parent_id, tag, name, priority, allow_as_filter, allow_for_dataset, allow_for_measurement, allow_for_users, allow_for_qc) VALUES (NULL, '"&amp;H33&amp;"',  '"&amp;F33&amp;"',  500,  TRUE, TRUE, TRUE, FALSE, FALSE);"</f>
        <v>INSERT INTO attributes (parent_id, tag, name, priority, allow_as_filter, allow_for_dataset, allow_for_measurement, allow_for_users, allow_for_qc) VALUES (NULL, 'att_celllines',  'Celllines',  500,  TRUE, TRUE, TRUE, FALSE, FALSE);</v>
      </c>
      <c r="O33" s="8" t="str">
        <f aca="false">"INSERT INTO attribute_values (attribute_id, tag, name, details) VALUES ((SELECT id FROM attributes WHERE tag = '"&amp;H33&amp;"' LIMIT 1),  '"&amp;J33&amp;"',  '"&amp;D33&amp;"',  '"&amp;L33&amp;"'); "</f>
        <v>INSERT INTO attribute_values (attribute_id, tag, name, details) VALUES ((SELECT id FROM attributes WHERE tag = 'att_celllines' LIMIT 1),  'att_celllines:bmm',  'BMM',  'Bone-marrow-derived macrophages');</v>
      </c>
    </row>
    <row r="34" customFormat="false" ht="12.75" hidden="false" customHeight="false" outlineLevel="0" collapsed="false">
      <c r="A34" s="17" t="n">
        <f aca="false">FALSE()</f>
        <v>0</v>
      </c>
      <c r="B34" s="17"/>
      <c r="C34" s="8" t="s">
        <v>521</v>
      </c>
      <c r="D34" s="8" t="s">
        <v>522</v>
      </c>
      <c r="E34" s="8" t="s">
        <v>17</v>
      </c>
      <c r="F34" s="8" t="s">
        <v>2559</v>
      </c>
      <c r="G34" s="8" t="s">
        <v>2560</v>
      </c>
      <c r="H34" s="8" t="str">
        <f aca="false">"att_"&amp;G34</f>
        <v>att_celllines</v>
      </c>
      <c r="I34" s="8" t="s">
        <v>521</v>
      </c>
      <c r="J34" s="8" t="str">
        <f aca="false">H34&amp;":"&amp;I34</f>
        <v>att_celllines:bt549</v>
      </c>
      <c r="K34" s="16" t="s">
        <v>21</v>
      </c>
      <c r="L34" s="8" t="s">
        <v>523</v>
      </c>
      <c r="M34" s="8" t="s">
        <v>2561</v>
      </c>
      <c r="N34" s="8" t="str">
        <f aca="false">"INSERT INTO attributes (parent_id, tag, name, priority, allow_as_filter, allow_for_dataset, allow_for_measurement, allow_for_users, allow_for_qc) VALUES (NULL, '"&amp;H34&amp;"',  '"&amp;F34&amp;"',  500,  TRUE, TRUE, TRUE, FALSE, FALSE);"</f>
        <v>INSERT INTO attributes (parent_id, tag, name, priority, allow_as_filter, allow_for_dataset, allow_for_measurement, allow_for_users, allow_for_qc) VALUES (NULL, 'att_celllines',  'Celllines',  500,  TRUE, TRUE, TRUE, FALSE, FALSE);</v>
      </c>
      <c r="O34" s="8" t="str">
        <f aca="false">"INSERT INTO attribute_values (attribute_id, tag, name, details) VALUES ((SELECT id FROM attributes WHERE tag = '"&amp;H34&amp;"' LIMIT 1),  '"&amp;J34&amp;"',  '"&amp;D34&amp;"',  '"&amp;L34&amp;"'); "</f>
        <v>INSERT INTO attribute_values (attribute_id, tag, name, details) VALUES ((SELECT id FROM attributes WHERE tag = 'att_celllines' LIMIT 1),  'att_celllines:bt549',  'BT-549',  'Human NCI-60 cell line; Breast Cancer');</v>
      </c>
    </row>
    <row r="35" customFormat="false" ht="12.75" hidden="false" customHeight="false" outlineLevel="0" collapsed="false">
      <c r="A35" s="17" t="n">
        <f aca="false">FALSE()</f>
        <v>0</v>
      </c>
      <c r="B35" s="17"/>
      <c r="C35" s="8" t="s">
        <v>524</v>
      </c>
      <c r="D35" s="8" t="s">
        <v>525</v>
      </c>
      <c r="E35" s="8" t="s">
        <v>17</v>
      </c>
      <c r="F35" s="8" t="s">
        <v>2559</v>
      </c>
      <c r="G35" s="8" t="s">
        <v>2560</v>
      </c>
      <c r="H35" s="8" t="str">
        <f aca="false">"att_"&amp;G35</f>
        <v>att_celllines</v>
      </c>
      <c r="I35" s="8" t="s">
        <v>524</v>
      </c>
      <c r="J35" s="8" t="str">
        <f aca="false">H35&amp;":"&amp;I35</f>
        <v>att_celllines:caki1</v>
      </c>
      <c r="K35" s="16" t="s">
        <v>21</v>
      </c>
      <c r="L35" s="8" t="s">
        <v>508</v>
      </c>
      <c r="M35" s="8" t="s">
        <v>2561</v>
      </c>
      <c r="N35" s="8" t="str">
        <f aca="false">"INSERT INTO attributes (parent_id, tag, name, priority, allow_as_filter, allow_for_dataset, allow_for_measurement, allow_for_users, allow_for_qc) VALUES (NULL, '"&amp;H35&amp;"',  '"&amp;F35&amp;"',  500,  TRUE, TRUE, TRUE, FALSE, FALSE);"</f>
        <v>INSERT INTO attributes (parent_id, tag, name, priority, allow_as_filter, allow_for_dataset, allow_for_measurement, allow_for_users, allow_for_qc) VALUES (NULL, 'att_celllines',  'Celllines',  500,  TRUE, TRUE, TRUE, FALSE, FALSE);</v>
      </c>
      <c r="O35" s="8" t="str">
        <f aca="false">"INSERT INTO attribute_values (attribute_id, tag, name, details) VALUES ((SELECT id FROM attributes WHERE tag = '"&amp;H35&amp;"' LIMIT 1),  '"&amp;J35&amp;"',  '"&amp;D35&amp;"',  '"&amp;L35&amp;"'); "</f>
        <v>INSERT INTO attribute_values (attribute_id, tag, name, details) VALUES ((SELECT id FROM attributes WHERE tag = 'att_celllines' LIMIT 1),  'att_celllines:caki1',  'CAKI-1',  'Human NCI-60 cell line; Renal Cancer');</v>
      </c>
    </row>
    <row r="36" customFormat="false" ht="12.75" hidden="false" customHeight="false" outlineLevel="0" collapsed="false">
      <c r="A36" s="17" t="n">
        <f aca="false">FALSE()</f>
        <v>0</v>
      </c>
      <c r="B36" s="17"/>
      <c r="C36" s="8" t="s">
        <v>526</v>
      </c>
      <c r="D36" s="8" t="s">
        <v>527</v>
      </c>
      <c r="E36" s="8" t="s">
        <v>17</v>
      </c>
      <c r="F36" s="8" t="s">
        <v>2559</v>
      </c>
      <c r="G36" s="8" t="s">
        <v>2560</v>
      </c>
      <c r="H36" s="8" t="str">
        <f aca="false">"att_"&amp;G36</f>
        <v>att_celllines</v>
      </c>
      <c r="I36" s="8" t="s">
        <v>526</v>
      </c>
      <c r="J36" s="8" t="str">
        <f aca="false">H36&amp;":"&amp;I36</f>
        <v>att_celllines:cho</v>
      </c>
      <c r="K36" s="16" t="s">
        <v>21</v>
      </c>
      <c r="L36" s="8" t="s">
        <v>528</v>
      </c>
      <c r="M36" s="8" t="s">
        <v>2562</v>
      </c>
      <c r="N36" s="8" t="str">
        <f aca="false">"INSERT INTO attributes (parent_id, tag, name, priority, allow_as_filter, allow_for_dataset, allow_for_measurement, allow_for_users, allow_for_qc) VALUES (NULL, '"&amp;H36&amp;"',  '"&amp;F36&amp;"',  500,  TRUE, TRUE, TRUE, FALSE, FALSE);"</f>
        <v>INSERT INTO attributes (parent_id, tag, name, priority, allow_as_filter, allow_for_dataset, allow_for_measurement, allow_for_users, allow_for_qc) VALUES (NULL, 'att_celllines',  'Celllines',  500,  TRUE, TRUE, TRUE, FALSE, FALSE);</v>
      </c>
      <c r="O36" s="8" t="str">
        <f aca="false">"INSERT INTO attribute_values (attribute_id, tag, name, details) VALUES ((SELECT id FROM attributes WHERE tag = '"&amp;H36&amp;"' LIMIT 1),  '"&amp;J36&amp;"',  '"&amp;D36&amp;"',  '"&amp;L36&amp;"'); "</f>
        <v>INSERT INTO attribute_values (attribute_id, tag, name, details) VALUES ((SELECT id FROM attributes WHERE tag = 'att_celllines' LIMIT 1),  'att_celllines:cho',  'CHO',  'Chinese hamster ovary');</v>
      </c>
    </row>
    <row r="37" customFormat="false" ht="12.75" hidden="false" customHeight="false" outlineLevel="0" collapsed="false">
      <c r="A37" s="17" t="n">
        <f aca="false">FALSE()</f>
        <v>0</v>
      </c>
      <c r="B37" s="17"/>
      <c r="C37" s="8" t="s">
        <v>529</v>
      </c>
      <c r="D37" s="8" t="s">
        <v>530</v>
      </c>
      <c r="E37" s="8" t="s">
        <v>17</v>
      </c>
      <c r="F37" s="8" t="s">
        <v>2559</v>
      </c>
      <c r="G37" s="8" t="s">
        <v>2560</v>
      </c>
      <c r="H37" s="8" t="str">
        <f aca="false">"att_"&amp;G37</f>
        <v>att_celllines</v>
      </c>
      <c r="I37" s="8" t="s">
        <v>529</v>
      </c>
      <c r="J37" s="8" t="str">
        <f aca="false">H37&amp;":"&amp;I37</f>
        <v>att_celllines:colo205</v>
      </c>
      <c r="K37" s="16" t="s">
        <v>21</v>
      </c>
      <c r="L37" s="8" t="s">
        <v>531</v>
      </c>
      <c r="M37" s="8" t="s">
        <v>2561</v>
      </c>
      <c r="N37" s="8" t="str">
        <f aca="false">"INSERT INTO attributes (parent_id, tag, name, priority, allow_as_filter, allow_for_dataset, allow_for_measurement, allow_for_users, allow_for_qc) VALUES (NULL, '"&amp;H37&amp;"',  '"&amp;F37&amp;"',  500,  TRUE, TRUE, TRUE, FALSE, FALSE);"</f>
        <v>INSERT INTO attributes (parent_id, tag, name, priority, allow_as_filter, allow_for_dataset, allow_for_measurement, allow_for_users, allow_for_qc) VALUES (NULL, 'att_celllines',  'Celllines',  500,  TRUE, TRUE, TRUE, FALSE, FALSE);</v>
      </c>
      <c r="O37" s="8" t="str">
        <f aca="false">"INSERT INTO attribute_values (attribute_id, tag, name, details) VALUES ((SELECT id FROM attributes WHERE tag = '"&amp;H37&amp;"' LIMIT 1),  '"&amp;J37&amp;"',  '"&amp;D37&amp;"',  '"&amp;L37&amp;"'); "</f>
        <v>INSERT INTO attribute_values (attribute_id, tag, name, details) VALUES ((SELECT id FROM attributes WHERE tag = 'att_celllines' LIMIT 1),  'att_celllines:colo205',  'COLO205',  'Human NCI-60 cell line; Colon cancer');</v>
      </c>
    </row>
    <row r="38" customFormat="false" ht="12.75" hidden="false" customHeight="false" outlineLevel="0" collapsed="false">
      <c r="A38" s="17" t="n">
        <f aca="false">FALSE()</f>
        <v>0</v>
      </c>
      <c r="B38" s="17"/>
      <c r="C38" s="8" t="s">
        <v>532</v>
      </c>
      <c r="D38" s="8" t="s">
        <v>533</v>
      </c>
      <c r="E38" s="8" t="s">
        <v>17</v>
      </c>
      <c r="F38" s="8" t="s">
        <v>2559</v>
      </c>
      <c r="G38" s="8" t="s">
        <v>2560</v>
      </c>
      <c r="H38" s="8" t="str">
        <f aca="false">"att_"&amp;G38</f>
        <v>att_celllines</v>
      </c>
      <c r="I38" s="8" t="s">
        <v>532</v>
      </c>
      <c r="J38" s="8" t="str">
        <f aca="false">H38&amp;":"&amp;I38</f>
        <v>att_celllines:crfcem</v>
      </c>
      <c r="K38" s="16" t="s">
        <v>21</v>
      </c>
      <c r="L38" s="8" t="s">
        <v>534</v>
      </c>
      <c r="M38" s="8" t="s">
        <v>2561</v>
      </c>
      <c r="N38" s="8" t="str">
        <f aca="false">"INSERT INTO attributes (parent_id, tag, name, priority, allow_as_filter, allow_for_dataset, allow_for_measurement, allow_for_users, allow_for_qc) VALUES (NULL, '"&amp;H38&amp;"',  '"&amp;F38&amp;"',  500,  TRUE, TRUE, TRUE, FALSE, FALSE);"</f>
        <v>INSERT INTO attributes (parent_id, tag, name, priority, allow_as_filter, allow_for_dataset, allow_for_measurement, allow_for_users, allow_for_qc) VALUES (NULL, 'att_celllines',  'Celllines',  500,  TRUE, TRUE, TRUE, FALSE, FALSE);</v>
      </c>
      <c r="O38" s="8" t="str">
        <f aca="false">"INSERT INTO attribute_values (attribute_id, tag, name, details) VALUES ((SELECT id FROM attributes WHERE tag = '"&amp;H38&amp;"' LIMIT 1),  '"&amp;J38&amp;"',  '"&amp;D38&amp;"',  '"&amp;L38&amp;"'); "</f>
        <v>INSERT INTO attribute_values (attribute_id, tag, name, details) VALUES ((SELECT id FROM attributes WHERE tag = 'att_celllines' LIMIT 1),  'att_celllines:crfcem',  'CRF-CEM',  'Human NCI-60 cell line; Leukemia');</v>
      </c>
    </row>
    <row r="39" customFormat="false" ht="12.75" hidden="false" customHeight="false" outlineLevel="0" collapsed="false">
      <c r="A39" s="17" t="n">
        <f aca="false">FALSE()</f>
        <v>0</v>
      </c>
      <c r="B39" s="17"/>
      <c r="C39" s="8" t="s">
        <v>535</v>
      </c>
      <c r="D39" s="8" t="s">
        <v>536</v>
      </c>
      <c r="E39" s="8" t="s">
        <v>17</v>
      </c>
      <c r="F39" s="8" t="s">
        <v>2559</v>
      </c>
      <c r="G39" s="8" t="s">
        <v>2560</v>
      </c>
      <c r="H39" s="8" t="str">
        <f aca="false">"att_"&amp;G39</f>
        <v>att_celllines</v>
      </c>
      <c r="I39" s="8" t="s">
        <v>535</v>
      </c>
      <c r="J39" s="8" t="str">
        <f aca="false">H39&amp;":"&amp;I39</f>
        <v>att_celllines:du145</v>
      </c>
      <c r="K39" s="16" t="s">
        <v>21</v>
      </c>
      <c r="L39" s="8" t="s">
        <v>537</v>
      </c>
      <c r="M39" s="8" t="s">
        <v>2561</v>
      </c>
      <c r="N39" s="8" t="str">
        <f aca="false">"INSERT INTO attributes (parent_id, tag, name, priority, allow_as_filter, allow_for_dataset, allow_for_measurement, allow_for_users, allow_for_qc) VALUES (NULL, '"&amp;H39&amp;"',  '"&amp;F39&amp;"',  500,  TRUE, TRUE, TRUE, FALSE, FALSE);"</f>
        <v>INSERT INTO attributes (parent_id, tag, name, priority, allow_as_filter, allow_for_dataset, allow_for_measurement, allow_for_users, allow_for_qc) VALUES (NULL, 'att_celllines',  'Celllines',  500,  TRUE, TRUE, TRUE, FALSE, FALSE);</v>
      </c>
      <c r="O39" s="8" t="str">
        <f aca="false">"INSERT INTO attribute_values (attribute_id, tag, name, details) VALUES ((SELECT id FROM attributes WHERE tag = '"&amp;H39&amp;"' LIMIT 1),  '"&amp;J39&amp;"',  '"&amp;D39&amp;"',  '"&amp;L39&amp;"'); "</f>
        <v>INSERT INTO attribute_values (attribute_id, tag, name, details) VALUES ((SELECT id FROM attributes WHERE tag = 'att_celllines' LIMIT 1),  'att_celllines:du145',  'DU-145',  'Human NCI-60 cell line; Prostate Cancer');</v>
      </c>
    </row>
    <row r="40" customFormat="false" ht="12.75" hidden="false" customHeight="false" outlineLevel="0" collapsed="false">
      <c r="A40" s="17" t="n">
        <f aca="false">FALSE()</f>
        <v>0</v>
      </c>
      <c r="B40" s="17"/>
      <c r="C40" s="8" t="s">
        <v>538</v>
      </c>
      <c r="D40" s="8" t="s">
        <v>539</v>
      </c>
      <c r="E40" s="8" t="s">
        <v>17</v>
      </c>
      <c r="F40" s="8" t="s">
        <v>2559</v>
      </c>
      <c r="G40" s="8" t="s">
        <v>2560</v>
      </c>
      <c r="H40" s="8" t="str">
        <f aca="false">"att_"&amp;G40</f>
        <v>att_celllines</v>
      </c>
      <c r="I40" s="8" t="s">
        <v>538</v>
      </c>
      <c r="J40" s="8" t="str">
        <f aca="false">H40&amp;":"&amp;I40</f>
        <v>att_celllines:ekvx</v>
      </c>
      <c r="K40" s="16" t="s">
        <v>21</v>
      </c>
      <c r="L40" s="8" t="s">
        <v>513</v>
      </c>
      <c r="M40" s="8" t="s">
        <v>2561</v>
      </c>
      <c r="N40" s="8" t="str">
        <f aca="false">"INSERT INTO attributes (parent_id, tag, name, priority, allow_as_filter, allow_for_dataset, allow_for_measurement, allow_for_users, allow_for_qc) VALUES (NULL, '"&amp;H40&amp;"',  '"&amp;F40&amp;"',  500,  TRUE, TRUE, TRUE, FALSE, FALSE);"</f>
        <v>INSERT INTO attributes (parent_id, tag, name, priority, allow_as_filter, allow_for_dataset, allow_for_measurement, allow_for_users, allow_for_qc) VALUES (NULL, 'att_celllines',  'Celllines',  500,  TRUE, TRUE, TRUE, FALSE, FALSE);</v>
      </c>
      <c r="O40" s="8" t="str">
        <f aca="false">"INSERT INTO attribute_values (attribute_id, tag, name, details) VALUES ((SELECT id FROM attributes WHERE tag = '"&amp;H40&amp;"' LIMIT 1),  '"&amp;J40&amp;"',  '"&amp;D40&amp;"',  '"&amp;L40&amp;"'); "</f>
        <v>INSERT INTO attribute_values (attribute_id, tag, name, details) VALUES ((SELECT id FROM attributes WHERE tag = 'att_celllines' LIMIT 1),  'att_celllines:ekvx',  'EKVX',  'Human NCI-60 cell line; Non-Small Cell Lung cancer');</v>
      </c>
    </row>
    <row r="41" customFormat="false" ht="12.75" hidden="false" customHeight="false" outlineLevel="0" collapsed="false">
      <c r="A41" s="17" t="n">
        <f aca="false">FALSE()</f>
        <v>0</v>
      </c>
      <c r="B41" s="17"/>
      <c r="C41" s="8" t="s">
        <v>540</v>
      </c>
      <c r="D41" s="8" t="s">
        <v>541</v>
      </c>
      <c r="E41" s="8" t="s">
        <v>17</v>
      </c>
      <c r="F41" s="8" t="s">
        <v>2559</v>
      </c>
      <c r="G41" s="8" t="s">
        <v>2560</v>
      </c>
      <c r="H41" s="8" t="str">
        <f aca="false">"att_"&amp;G41</f>
        <v>att_celllines</v>
      </c>
      <c r="I41" s="8" t="s">
        <v>540</v>
      </c>
      <c r="J41" s="8" t="str">
        <f aca="false">H41&amp;":"&amp;I41</f>
        <v>att_celllines:hcc2998</v>
      </c>
      <c r="K41" s="16" t="s">
        <v>21</v>
      </c>
      <c r="L41" s="8" t="s">
        <v>531</v>
      </c>
      <c r="M41" s="8" t="s">
        <v>2561</v>
      </c>
      <c r="N41" s="8" t="str">
        <f aca="false">"INSERT INTO attributes (parent_id, tag, name, priority, allow_as_filter, allow_for_dataset, allow_for_measurement, allow_for_users, allow_for_qc) VALUES (NULL, '"&amp;H41&amp;"',  '"&amp;F41&amp;"',  500,  TRUE, TRUE, TRUE, FALSE, FALSE);"</f>
        <v>INSERT INTO attributes (parent_id, tag, name, priority, allow_as_filter, allow_for_dataset, allow_for_measurement, allow_for_users, allow_for_qc) VALUES (NULL, 'att_celllines',  'Celllines',  500,  TRUE, TRUE, TRUE, FALSE, FALSE);</v>
      </c>
      <c r="O41" s="8" t="str">
        <f aca="false">"INSERT INTO attribute_values (attribute_id, tag, name, details) VALUES ((SELECT id FROM attributes WHERE tag = '"&amp;H41&amp;"' LIMIT 1),  '"&amp;J41&amp;"',  '"&amp;D41&amp;"',  '"&amp;L41&amp;"'); "</f>
        <v>INSERT INTO attribute_values (attribute_id, tag, name, details) VALUES ((SELECT id FROM attributes WHERE tag = 'att_celllines' LIMIT 1),  'att_celllines:hcc2998',  'HCC-2998',  'Human NCI-60 cell line; Colon cancer');</v>
      </c>
    </row>
    <row r="42" customFormat="false" ht="12.75" hidden="false" customHeight="false" outlineLevel="0" collapsed="false">
      <c r="A42" s="17" t="n">
        <f aca="false">FALSE()</f>
        <v>0</v>
      </c>
      <c r="B42" s="17"/>
      <c r="C42" s="8" t="s">
        <v>542</v>
      </c>
      <c r="D42" s="8" t="s">
        <v>543</v>
      </c>
      <c r="E42" s="8" t="s">
        <v>17</v>
      </c>
      <c r="F42" s="8" t="s">
        <v>2559</v>
      </c>
      <c r="G42" s="8" t="s">
        <v>2560</v>
      </c>
      <c r="H42" s="8" t="str">
        <f aca="false">"att_"&amp;G42</f>
        <v>att_celllines</v>
      </c>
      <c r="I42" s="8" t="s">
        <v>542</v>
      </c>
      <c r="J42" s="8" t="str">
        <f aca="false">H42&amp;":"&amp;I42</f>
        <v>att_celllines:hct116</v>
      </c>
      <c r="K42" s="16" t="s">
        <v>21</v>
      </c>
      <c r="L42" s="8" t="s">
        <v>531</v>
      </c>
      <c r="M42" s="8" t="s">
        <v>2561</v>
      </c>
      <c r="N42" s="8" t="str">
        <f aca="false">"INSERT INTO attributes (parent_id, tag, name, priority, allow_as_filter, allow_for_dataset, allow_for_measurement, allow_for_users, allow_for_qc) VALUES (NULL, '"&amp;H42&amp;"',  '"&amp;F42&amp;"',  500,  TRUE, TRUE, TRUE, FALSE, FALSE);"</f>
        <v>INSERT INTO attributes (parent_id, tag, name, priority, allow_as_filter, allow_for_dataset, allow_for_measurement, allow_for_users, allow_for_qc) VALUES (NULL, 'att_celllines',  'Celllines',  500,  TRUE, TRUE, TRUE, FALSE, FALSE);</v>
      </c>
      <c r="O42" s="8" t="str">
        <f aca="false">"INSERT INTO attribute_values (attribute_id, tag, name, details) VALUES ((SELECT id FROM attributes WHERE tag = '"&amp;H42&amp;"' LIMIT 1),  '"&amp;J42&amp;"',  '"&amp;D42&amp;"',  '"&amp;L42&amp;"'); "</f>
        <v>INSERT INTO attribute_values (attribute_id, tag, name, details) VALUES ((SELECT id FROM attributes WHERE tag = 'att_celllines' LIMIT 1),  'att_celllines:hct116',  'HCT-116',  'Human NCI-60 cell line; Colon cancer');</v>
      </c>
    </row>
    <row r="43" customFormat="false" ht="12.75" hidden="false" customHeight="false" outlineLevel="0" collapsed="false">
      <c r="A43" s="17" t="n">
        <f aca="false">FALSE()</f>
        <v>0</v>
      </c>
      <c r="B43" s="17"/>
      <c r="C43" s="8" t="s">
        <v>544</v>
      </c>
      <c r="D43" s="8" t="s">
        <v>545</v>
      </c>
      <c r="E43" s="8" t="s">
        <v>17</v>
      </c>
      <c r="F43" s="8" t="s">
        <v>2559</v>
      </c>
      <c r="G43" s="8" t="s">
        <v>2560</v>
      </c>
      <c r="H43" s="8" t="str">
        <f aca="false">"att_"&amp;G43</f>
        <v>att_celllines</v>
      </c>
      <c r="I43" s="8" t="s">
        <v>544</v>
      </c>
      <c r="J43" s="8" t="str">
        <f aca="false">H43&amp;":"&amp;I43</f>
        <v>att_celllines:hct15</v>
      </c>
      <c r="K43" s="16" t="s">
        <v>21</v>
      </c>
      <c r="L43" s="8" t="s">
        <v>531</v>
      </c>
      <c r="M43" s="8" t="s">
        <v>2561</v>
      </c>
      <c r="N43" s="8" t="str">
        <f aca="false">"INSERT INTO attributes (parent_id, tag, name, priority, allow_as_filter, allow_for_dataset, allow_for_measurement, allow_for_users, allow_for_qc) VALUES (NULL, '"&amp;H43&amp;"',  '"&amp;F43&amp;"',  500,  TRUE, TRUE, TRUE, FALSE, FALSE);"</f>
        <v>INSERT INTO attributes (parent_id, tag, name, priority, allow_as_filter, allow_for_dataset, allow_for_measurement, allow_for_users, allow_for_qc) VALUES (NULL, 'att_celllines',  'Celllines',  500,  TRUE, TRUE, TRUE, FALSE, FALSE);</v>
      </c>
      <c r="O43" s="8" t="str">
        <f aca="false">"INSERT INTO attribute_values (attribute_id, tag, name, details) VALUES ((SELECT id FROM attributes WHERE tag = '"&amp;H43&amp;"' LIMIT 1),  '"&amp;J43&amp;"',  '"&amp;D43&amp;"',  '"&amp;L43&amp;"'); "</f>
        <v>INSERT INTO attribute_values (attribute_id, tag, name, details) VALUES ((SELECT id FROM attributes WHERE tag = 'att_celllines' LIMIT 1),  'att_celllines:hct15',  'HCT-15',  'Human NCI-60 cell line; Colon cancer');</v>
      </c>
    </row>
    <row r="44" customFormat="false" ht="12.75" hidden="false" customHeight="false" outlineLevel="0" collapsed="false">
      <c r="A44" s="17" t="n">
        <f aca="false">FALSE()</f>
        <v>0</v>
      </c>
      <c r="B44" s="17"/>
      <c r="C44" s="8" t="s">
        <v>546</v>
      </c>
      <c r="D44" s="8" t="s">
        <v>547</v>
      </c>
      <c r="E44" s="8" t="s">
        <v>17</v>
      </c>
      <c r="F44" s="8" t="s">
        <v>2559</v>
      </c>
      <c r="G44" s="8" t="s">
        <v>2560</v>
      </c>
      <c r="H44" s="8" t="str">
        <f aca="false">"att_"&amp;G44</f>
        <v>att_celllines</v>
      </c>
      <c r="I44" s="8" t="s">
        <v>546</v>
      </c>
      <c r="J44" s="8" t="str">
        <f aca="false">H44&amp;":"&amp;I44</f>
        <v>att_celllines:hek293</v>
      </c>
      <c r="K44" s="16" t="s">
        <v>21</v>
      </c>
      <c r="L44" s="8" t="s">
        <v>548</v>
      </c>
      <c r="M44" s="8" t="s">
        <v>2562</v>
      </c>
      <c r="N44" s="8" t="str">
        <f aca="false">"INSERT INTO attributes (parent_id, tag, name, priority, allow_as_filter, allow_for_dataset, allow_for_measurement, allow_for_users, allow_for_qc) VALUES (NULL, '"&amp;H44&amp;"',  '"&amp;F44&amp;"',  500,  TRUE, TRUE, TRUE, FALSE, FALSE);"</f>
        <v>INSERT INTO attributes (parent_id, tag, name, priority, allow_as_filter, allow_for_dataset, allow_for_measurement, allow_for_users, allow_for_qc) VALUES (NULL, 'att_celllines',  'Celllines',  500,  TRUE, TRUE, TRUE, FALSE, FALSE);</v>
      </c>
      <c r="O44" s="8" t="str">
        <f aca="false">"INSERT INTO attribute_values (attribute_id, tag, name, details) VALUES ((SELECT id FROM attributes WHERE tag = '"&amp;H44&amp;"' LIMIT 1),  '"&amp;J44&amp;"',  '"&amp;D44&amp;"',  '"&amp;L44&amp;"'); "</f>
        <v>INSERT INTO attribute_values (attribute_id, tag, name, details) VALUES ((SELECT id FROM attributes WHERE tag = 'att_celllines' LIMIT 1),  'att_celllines:hek293',  'HEK293',  'Human Embryonic Kidney cancer cells; epithelial');</v>
      </c>
    </row>
    <row r="45" customFormat="false" ht="12.75" hidden="false" customHeight="false" outlineLevel="0" collapsed="false">
      <c r="A45" s="17" t="n">
        <f aca="false">FALSE()</f>
        <v>0</v>
      </c>
      <c r="B45" s="17"/>
      <c r="C45" s="8" t="s">
        <v>549</v>
      </c>
      <c r="D45" s="8" t="s">
        <v>550</v>
      </c>
      <c r="E45" s="8" t="s">
        <v>17</v>
      </c>
      <c r="F45" s="8" t="s">
        <v>2559</v>
      </c>
      <c r="G45" s="8" t="s">
        <v>2560</v>
      </c>
      <c r="H45" s="8" t="str">
        <f aca="false">"att_"&amp;G45</f>
        <v>att_celllines</v>
      </c>
      <c r="I45" s="8" t="s">
        <v>549</v>
      </c>
      <c r="J45" s="8" t="str">
        <f aca="false">H45&amp;":"&amp;I45</f>
        <v>att_celllines:hek293t</v>
      </c>
      <c r="K45" s="16" t="s">
        <v>21</v>
      </c>
      <c r="L45" s="8" t="s">
        <v>551</v>
      </c>
      <c r="M45" s="8" t="s">
        <v>2562</v>
      </c>
      <c r="N45" s="8" t="str">
        <f aca="false">"INSERT INTO attributes (parent_id, tag, name, priority, allow_as_filter, allow_for_dataset, allow_for_measurement, allow_for_users, allow_for_qc) VALUES (NULL, '"&amp;H45&amp;"',  '"&amp;F45&amp;"',  500,  TRUE, TRUE, TRUE, FALSE, FALSE);"</f>
        <v>INSERT INTO attributes (parent_id, tag, name, priority, allow_as_filter, allow_for_dataset, allow_for_measurement, allow_for_users, allow_for_qc) VALUES (NULL, 'att_celllines',  'Celllines',  500,  TRUE, TRUE, TRUE, FALSE, FALSE);</v>
      </c>
      <c r="O45" s="8" t="str">
        <f aca="false">"INSERT INTO attribute_values (attribute_id, tag, name, details) VALUES ((SELECT id FROM attributes WHERE tag = '"&amp;H45&amp;"' LIMIT 1),  '"&amp;J45&amp;"',  '"&amp;D45&amp;"',  '"&amp;L45&amp;"'); "</f>
        <v>INSERT INTO attribute_values (attribute_id, tag, name, details) VALUES ((SELECT id FROM attributes WHERE tag = 'att_celllines' LIMIT 1),  'att_celllines:hek293t',  'HEK293T',  'Human Embryonic Kidney cancer cells; epithelial; derivates from HEK293');</v>
      </c>
    </row>
    <row r="46" customFormat="false" ht="12.75" hidden="false" customHeight="false" outlineLevel="0" collapsed="false">
      <c r="A46" s="17" t="n">
        <f aca="false">FALSE()</f>
        <v>0</v>
      </c>
      <c r="B46" s="17"/>
      <c r="C46" s="8" t="s">
        <v>552</v>
      </c>
      <c r="D46" s="8" t="s">
        <v>553</v>
      </c>
      <c r="E46" s="8" t="s">
        <v>17</v>
      </c>
      <c r="F46" s="8" t="s">
        <v>2559</v>
      </c>
      <c r="G46" s="8" t="s">
        <v>2560</v>
      </c>
      <c r="H46" s="8" t="str">
        <f aca="false">"att_"&amp;G46</f>
        <v>att_celllines</v>
      </c>
      <c r="I46" s="8" t="s">
        <v>552</v>
      </c>
      <c r="J46" s="8" t="str">
        <f aca="false">H46&amp;":"&amp;I46</f>
        <v>att_celllines:hela</v>
      </c>
      <c r="K46" s="16" t="s">
        <v>21</v>
      </c>
      <c r="L46" s="8" t="s">
        <v>554</v>
      </c>
      <c r="M46" s="8" t="s">
        <v>2562</v>
      </c>
      <c r="N46" s="8" t="str">
        <f aca="false">"INSERT INTO attributes (parent_id, tag, name, priority, allow_as_filter, allow_for_dataset, allow_for_measurement, allow_for_users, allow_for_qc) VALUES (NULL, '"&amp;H46&amp;"',  '"&amp;F46&amp;"',  500,  TRUE, TRUE, TRUE, FALSE, FALSE);"</f>
        <v>INSERT INTO attributes (parent_id, tag, name, priority, allow_as_filter, allow_for_dataset, allow_for_measurement, allow_for_users, allow_for_qc) VALUES (NULL, 'att_celllines',  'Celllines',  500,  TRUE, TRUE, TRUE, FALSE, FALSE);</v>
      </c>
      <c r="O46" s="8" t="str">
        <f aca="false">"INSERT INTO attribute_values (attribute_id, tag, name, details) VALUES ((SELECT id FROM attributes WHERE tag = '"&amp;H46&amp;"' LIMIT 1),  '"&amp;J46&amp;"',  '"&amp;D46&amp;"',  '"&amp;L46&amp;"'); "</f>
        <v>INSERT INTO attribute_values (attribute_id, tag, name, details) VALUES ((SELECT id FROM attributes WHERE tag = 'att_celllines' LIMIT 1),  'att_celllines:hela',  'HeLa',  'Human epithelial cell; cervical cancer; Henrietta Lacks');</v>
      </c>
    </row>
    <row r="47" customFormat="false" ht="12.75" hidden="false" customHeight="false" outlineLevel="0" collapsed="false">
      <c r="A47" s="17" t="n">
        <f aca="false">FALSE()</f>
        <v>0</v>
      </c>
      <c r="B47" s="17"/>
      <c r="C47" s="8" t="s">
        <v>555</v>
      </c>
      <c r="D47" s="8" t="s">
        <v>556</v>
      </c>
      <c r="E47" s="8" t="s">
        <v>17</v>
      </c>
      <c r="F47" s="8" t="s">
        <v>2559</v>
      </c>
      <c r="G47" s="8" t="s">
        <v>2560</v>
      </c>
      <c r="H47" s="8" t="str">
        <f aca="false">"att_"&amp;G47</f>
        <v>att_celllines</v>
      </c>
      <c r="I47" s="8" t="s">
        <v>555</v>
      </c>
      <c r="J47" s="8" t="str">
        <f aca="false">H47&amp;":"&amp;I47</f>
        <v>att_celllines:hl60</v>
      </c>
      <c r="K47" s="16" t="s">
        <v>21</v>
      </c>
      <c r="L47" s="8" t="s">
        <v>534</v>
      </c>
      <c r="M47" s="8" t="s">
        <v>2561</v>
      </c>
      <c r="N47" s="8" t="str">
        <f aca="false">"INSERT INTO attributes (parent_id, tag, name, priority, allow_as_filter, allow_for_dataset, allow_for_measurement, allow_for_users, allow_for_qc) VALUES (NULL, '"&amp;H47&amp;"',  '"&amp;F47&amp;"',  500,  TRUE, TRUE, TRUE, FALSE, FALSE);"</f>
        <v>INSERT INTO attributes (parent_id, tag, name, priority, allow_as_filter, allow_for_dataset, allow_for_measurement, allow_for_users, allow_for_qc) VALUES (NULL, 'att_celllines',  'Celllines',  500,  TRUE, TRUE, TRUE, FALSE, FALSE);</v>
      </c>
      <c r="O47" s="8" t="str">
        <f aca="false">"INSERT INTO attribute_values (attribute_id, tag, name, details) VALUES ((SELECT id FROM attributes WHERE tag = '"&amp;H47&amp;"' LIMIT 1),  '"&amp;J47&amp;"',  '"&amp;D47&amp;"',  '"&amp;L47&amp;"'); "</f>
        <v>INSERT INTO attribute_values (attribute_id, tag, name, details) VALUES ((SELECT id FROM attributes WHERE tag = 'att_celllines' LIMIT 1),  'att_celllines:hl60',  'HL-60',  'Human NCI-60 cell line; Leukemia');</v>
      </c>
    </row>
    <row r="48" customFormat="false" ht="12.75" hidden="false" customHeight="false" outlineLevel="0" collapsed="false">
      <c r="A48" s="17" t="n">
        <f aca="false">FALSE()</f>
        <v>0</v>
      </c>
      <c r="B48" s="17"/>
      <c r="C48" s="8" t="s">
        <v>557</v>
      </c>
      <c r="D48" s="8" t="s">
        <v>558</v>
      </c>
      <c r="E48" s="8" t="s">
        <v>17</v>
      </c>
      <c r="F48" s="8" t="s">
        <v>2559</v>
      </c>
      <c r="G48" s="8" t="s">
        <v>2560</v>
      </c>
      <c r="H48" s="8" t="str">
        <f aca="false">"att_"&amp;G48</f>
        <v>att_celllines</v>
      </c>
      <c r="I48" s="8" t="s">
        <v>557</v>
      </c>
      <c r="J48" s="8" t="str">
        <f aca="false">H48&amp;":"&amp;I48</f>
        <v>att_celllines:hop62</v>
      </c>
      <c r="K48" s="16" t="s">
        <v>21</v>
      </c>
      <c r="L48" s="8" t="s">
        <v>513</v>
      </c>
      <c r="M48" s="8" t="s">
        <v>2561</v>
      </c>
      <c r="N48" s="8" t="str">
        <f aca="false">"INSERT INTO attributes (parent_id, tag, name, priority, allow_as_filter, allow_for_dataset, allow_for_measurement, allow_for_users, allow_for_qc) VALUES (NULL, '"&amp;H48&amp;"',  '"&amp;F48&amp;"',  500,  TRUE, TRUE, TRUE, FALSE, FALSE);"</f>
        <v>INSERT INTO attributes (parent_id, tag, name, priority, allow_as_filter, allow_for_dataset, allow_for_measurement, allow_for_users, allow_for_qc) VALUES (NULL, 'att_celllines',  'Celllines',  500,  TRUE, TRUE, TRUE, FALSE, FALSE);</v>
      </c>
      <c r="O48" s="8" t="str">
        <f aca="false">"INSERT INTO attribute_values (attribute_id, tag, name, details) VALUES ((SELECT id FROM attributes WHERE tag = '"&amp;H48&amp;"' LIMIT 1),  '"&amp;J48&amp;"',  '"&amp;D48&amp;"',  '"&amp;L48&amp;"'); "</f>
        <v>INSERT INTO attribute_values (attribute_id, tag, name, details) VALUES ((SELECT id FROM attributes WHERE tag = 'att_celllines' LIMIT 1),  'att_celllines:hop62',  'HOP-62',  'Human NCI-60 cell line; Non-Small Cell Lung cancer');</v>
      </c>
    </row>
    <row r="49" customFormat="false" ht="12.75" hidden="false" customHeight="false" outlineLevel="0" collapsed="false">
      <c r="A49" s="17" t="n">
        <f aca="false">FALSE()</f>
        <v>0</v>
      </c>
      <c r="B49" s="17"/>
      <c r="C49" s="8" t="s">
        <v>559</v>
      </c>
      <c r="D49" s="8" t="s">
        <v>560</v>
      </c>
      <c r="E49" s="8" t="s">
        <v>17</v>
      </c>
      <c r="F49" s="8" t="s">
        <v>2559</v>
      </c>
      <c r="G49" s="8" t="s">
        <v>2560</v>
      </c>
      <c r="H49" s="8" t="str">
        <f aca="false">"att_"&amp;G49</f>
        <v>att_celllines</v>
      </c>
      <c r="I49" s="8" t="s">
        <v>559</v>
      </c>
      <c r="J49" s="8" t="str">
        <f aca="false">H49&amp;":"&amp;I49</f>
        <v>att_celllines:hop92</v>
      </c>
      <c r="K49" s="16" t="s">
        <v>21</v>
      </c>
      <c r="L49" s="8" t="s">
        <v>513</v>
      </c>
      <c r="M49" s="8" t="s">
        <v>2561</v>
      </c>
      <c r="N49" s="8" t="str">
        <f aca="false">"INSERT INTO attributes (parent_id, tag, name, priority, allow_as_filter, allow_for_dataset, allow_for_measurement, allow_for_users, allow_for_qc) VALUES (NULL, '"&amp;H49&amp;"',  '"&amp;F49&amp;"',  500,  TRUE, TRUE, TRUE, FALSE, FALSE);"</f>
        <v>INSERT INTO attributes (parent_id, tag, name, priority, allow_as_filter, allow_for_dataset, allow_for_measurement, allow_for_users, allow_for_qc) VALUES (NULL, 'att_celllines',  'Celllines',  500,  TRUE, TRUE, TRUE, FALSE, FALSE);</v>
      </c>
      <c r="O49" s="8" t="str">
        <f aca="false">"INSERT INTO attribute_values (attribute_id, tag, name, details) VALUES ((SELECT id FROM attributes WHERE tag = '"&amp;H49&amp;"' LIMIT 1),  '"&amp;J49&amp;"',  '"&amp;D49&amp;"',  '"&amp;L49&amp;"'); "</f>
        <v>INSERT INTO attribute_values (attribute_id, tag, name, details) VALUES ((SELECT id FROM attributes WHERE tag = 'att_celllines' LIMIT 1),  'att_celllines:hop92',  'HOP-92',  'Human NCI-60 cell line; Non-Small Cell Lung cancer');</v>
      </c>
    </row>
    <row r="50" customFormat="false" ht="12.75" hidden="false" customHeight="false" outlineLevel="0" collapsed="false">
      <c r="A50" s="17" t="n">
        <f aca="false">FALSE()</f>
        <v>0</v>
      </c>
      <c r="B50" s="17"/>
      <c r="C50" s="8" t="s">
        <v>561</v>
      </c>
      <c r="D50" s="8" t="s">
        <v>562</v>
      </c>
      <c r="E50" s="8" t="s">
        <v>17</v>
      </c>
      <c r="F50" s="8" t="s">
        <v>2559</v>
      </c>
      <c r="G50" s="8" t="s">
        <v>2560</v>
      </c>
      <c r="H50" s="8" t="str">
        <f aca="false">"att_"&amp;G50</f>
        <v>att_celllines</v>
      </c>
      <c r="I50" s="8" t="s">
        <v>561</v>
      </c>
      <c r="J50" s="8" t="str">
        <f aca="false">H50&amp;":"&amp;I50</f>
        <v>att_celllines:hs578t</v>
      </c>
      <c r="K50" s="16" t="s">
        <v>21</v>
      </c>
      <c r="L50" s="8" t="s">
        <v>523</v>
      </c>
      <c r="M50" s="8" t="s">
        <v>2561</v>
      </c>
      <c r="N50" s="8" t="str">
        <f aca="false">"INSERT INTO attributes (parent_id, tag, name, priority, allow_as_filter, allow_for_dataset, allow_for_measurement, allow_for_users, allow_for_qc) VALUES (NULL, '"&amp;H50&amp;"',  '"&amp;F50&amp;"',  500,  TRUE, TRUE, TRUE, FALSE, FALSE);"</f>
        <v>INSERT INTO attributes (parent_id, tag, name, priority, allow_as_filter, allow_for_dataset, allow_for_measurement, allow_for_users, allow_for_qc) VALUES (NULL, 'att_celllines',  'Celllines',  500,  TRUE, TRUE, TRUE, FALSE, FALSE);</v>
      </c>
      <c r="O50" s="8" t="str">
        <f aca="false">"INSERT INTO attribute_values (attribute_id, tag, name, details) VALUES ((SELECT id FROM attributes WHERE tag = '"&amp;H50&amp;"' LIMIT 1),  '"&amp;J50&amp;"',  '"&amp;D50&amp;"',  '"&amp;L50&amp;"'); "</f>
        <v>INSERT INTO attribute_values (attribute_id, tag, name, details) VALUES ((SELECT id FROM attributes WHERE tag = 'att_celllines' LIMIT 1),  'att_celllines:hs578t',  'HS 578T',  'Human NCI-60 cell line; Breast Cancer');</v>
      </c>
    </row>
    <row r="51" customFormat="false" ht="12.75" hidden="false" customHeight="false" outlineLevel="0" collapsed="false">
      <c r="A51" s="17" t="n">
        <f aca="false">FALSE()</f>
        <v>0</v>
      </c>
      <c r="B51" s="17"/>
      <c r="C51" s="8" t="s">
        <v>563</v>
      </c>
      <c r="D51" s="8" t="s">
        <v>564</v>
      </c>
      <c r="E51" s="8" t="s">
        <v>17</v>
      </c>
      <c r="F51" s="8" t="s">
        <v>2559</v>
      </c>
      <c r="G51" s="8" t="s">
        <v>2560</v>
      </c>
      <c r="H51" s="8" t="str">
        <f aca="false">"att_"&amp;G51</f>
        <v>att_celllines</v>
      </c>
      <c r="I51" s="8" t="s">
        <v>563</v>
      </c>
      <c r="J51" s="8" t="str">
        <f aca="false">H51&amp;":"&amp;I51</f>
        <v>att_celllines:ht29</v>
      </c>
      <c r="K51" s="16" t="s">
        <v>21</v>
      </c>
      <c r="L51" s="8" t="s">
        <v>531</v>
      </c>
      <c r="M51" s="8" t="s">
        <v>2561</v>
      </c>
      <c r="N51" s="8" t="str">
        <f aca="false">"INSERT INTO attributes (parent_id, tag, name, priority, allow_as_filter, allow_for_dataset, allow_for_measurement, allow_for_users, allow_for_qc) VALUES (NULL, '"&amp;H51&amp;"',  '"&amp;F51&amp;"',  500,  TRUE, TRUE, TRUE, FALSE, FALSE);"</f>
        <v>INSERT INTO attributes (parent_id, tag, name, priority, allow_as_filter, allow_for_dataset, allow_for_measurement, allow_for_users, allow_for_qc) VALUES (NULL, 'att_celllines',  'Celllines',  500,  TRUE, TRUE, TRUE, FALSE, FALSE);</v>
      </c>
      <c r="O51" s="8" t="str">
        <f aca="false">"INSERT INTO attribute_values (attribute_id, tag, name, details) VALUES ((SELECT id FROM attributes WHERE tag = '"&amp;H51&amp;"' LIMIT 1),  '"&amp;J51&amp;"',  '"&amp;D51&amp;"',  '"&amp;L51&amp;"'); "</f>
        <v>INSERT INTO attribute_values (attribute_id, tag, name, details) VALUES ((SELECT id FROM attributes WHERE tag = 'att_celllines' LIMIT 1),  'att_celllines:ht29',  'HT29',  'Human NCI-60 cell line; Colon cancer');</v>
      </c>
    </row>
    <row r="52" customFormat="false" ht="12.75" hidden="false" customHeight="false" outlineLevel="0" collapsed="false">
      <c r="A52" s="17" t="n">
        <f aca="false">FALSE()</f>
        <v>0</v>
      </c>
      <c r="B52" s="17"/>
      <c r="C52" s="8" t="s">
        <v>565</v>
      </c>
      <c r="D52" s="8" t="s">
        <v>566</v>
      </c>
      <c r="E52" s="8" t="s">
        <v>17</v>
      </c>
      <c r="F52" s="8" t="s">
        <v>2559</v>
      </c>
      <c r="G52" s="8" t="s">
        <v>2560</v>
      </c>
      <c r="H52" s="8" t="str">
        <f aca="false">"att_"&amp;G52</f>
        <v>att_celllines</v>
      </c>
      <c r="I52" s="8" t="s">
        <v>565</v>
      </c>
      <c r="J52" s="8" t="str">
        <f aca="false">H52&amp;":"&amp;I52</f>
        <v>att_celllines:igrov1</v>
      </c>
      <c r="K52" s="16" t="s">
        <v>21</v>
      </c>
      <c r="L52" s="8" t="s">
        <v>567</v>
      </c>
      <c r="M52" s="8" t="s">
        <v>2561</v>
      </c>
      <c r="N52" s="8" t="str">
        <f aca="false">"INSERT INTO attributes (parent_id, tag, name, priority, allow_as_filter, allow_for_dataset, allow_for_measurement, allow_for_users, allow_for_qc) VALUES (NULL, '"&amp;H52&amp;"',  '"&amp;F52&amp;"',  500,  TRUE, TRUE, TRUE, FALSE, FALSE);"</f>
        <v>INSERT INTO attributes (parent_id, tag, name, priority, allow_as_filter, allow_for_dataset, allow_for_measurement, allow_for_users, allow_for_qc) VALUES (NULL, 'att_celllines',  'Celllines',  500,  TRUE, TRUE, TRUE, FALSE, FALSE);</v>
      </c>
      <c r="O52" s="8" t="str">
        <f aca="false">"INSERT INTO attribute_values (attribute_id, tag, name, details) VALUES ((SELECT id FROM attributes WHERE tag = '"&amp;H52&amp;"' LIMIT 1),  '"&amp;J52&amp;"',  '"&amp;D52&amp;"',  '"&amp;L52&amp;"'); "</f>
        <v>INSERT INTO attribute_values (attribute_id, tag, name, details) VALUES ((SELECT id FROM attributes WHERE tag = 'att_celllines' LIMIT 1),  'att_celllines:igrov1',  'IGR-OV1',  'Human NCI-60 cell line; Ovarian Cancer');</v>
      </c>
    </row>
    <row r="53" customFormat="false" ht="12.75" hidden="false" customHeight="false" outlineLevel="0" collapsed="false">
      <c r="A53" s="17" t="n">
        <f aca="false">FALSE()</f>
        <v>0</v>
      </c>
      <c r="B53" s="17"/>
      <c r="C53" s="8" t="s">
        <v>571</v>
      </c>
      <c r="D53" s="8" t="s">
        <v>572</v>
      </c>
      <c r="E53" s="8" t="s">
        <v>17</v>
      </c>
      <c r="F53" s="8" t="s">
        <v>2559</v>
      </c>
      <c r="G53" s="8" t="s">
        <v>2560</v>
      </c>
      <c r="H53" s="8" t="str">
        <f aca="false">"att_"&amp;G53</f>
        <v>att_celllines</v>
      </c>
      <c r="I53" s="8" t="s">
        <v>571</v>
      </c>
      <c r="J53" s="8" t="str">
        <f aca="false">H53&amp;":"&amp;I53</f>
        <v>att_celllines:jeko1</v>
      </c>
      <c r="K53" s="16" t="s">
        <v>21</v>
      </c>
      <c r="L53" s="8" t="s">
        <v>573</v>
      </c>
      <c r="M53" s="8" t="s">
        <v>17</v>
      </c>
      <c r="N53" s="8" t="str">
        <f aca="false">"INSERT INTO attributes (parent_id, tag, name, priority, allow_as_filter, allow_for_dataset, allow_for_measurement, allow_for_users, allow_for_qc) VALUES (NULL, '"&amp;H53&amp;"',  '"&amp;F53&amp;"',  500,  TRUE, TRUE, TRUE, FALSE, FALSE);"</f>
        <v>INSERT INTO attributes (parent_id, tag, name, priority, allow_as_filter, allow_for_dataset, allow_for_measurement, allow_for_users, allow_for_qc) VALUES (NULL, 'att_celllines',  'Celllines',  500,  TRUE, TRUE, TRUE, FALSE, FALSE);</v>
      </c>
      <c r="O53" s="8" t="str">
        <f aca="false">"INSERT INTO attribute_values (attribute_id, tag, name, details) VALUES ((SELECT id FROM attributes WHERE tag = '"&amp;H53&amp;"' LIMIT 1),  '"&amp;J53&amp;"',  '"&amp;D53&amp;"',  '"&amp;L53&amp;"'); "</f>
        <v>INSERT INTO attribute_values (attribute_id, tag, name, details) VALUES ((SELECT id FROM attributes WHERE tag = 'att_celllines' LIMIT 1),  'att_celllines:jeko1',  'JeKo-1',  'Human Mantle cell lymphoma');</v>
      </c>
    </row>
    <row r="54" customFormat="false" ht="12.75" hidden="false" customHeight="false" outlineLevel="0" collapsed="false">
      <c r="A54" s="17" t="n">
        <f aca="false">FALSE()</f>
        <v>0</v>
      </c>
      <c r="B54" s="17"/>
      <c r="C54" s="8" t="s">
        <v>574</v>
      </c>
      <c r="D54" s="8" t="s">
        <v>575</v>
      </c>
      <c r="E54" s="8" t="s">
        <v>17</v>
      </c>
      <c r="F54" s="8" t="s">
        <v>2559</v>
      </c>
      <c r="G54" s="8" t="s">
        <v>2560</v>
      </c>
      <c r="H54" s="8" t="str">
        <f aca="false">"att_"&amp;G54</f>
        <v>att_celllines</v>
      </c>
      <c r="I54" s="8" t="s">
        <v>574</v>
      </c>
      <c r="J54" s="8" t="str">
        <f aca="false">H54&amp;":"&amp;I54</f>
        <v>att_celllines:jurkat</v>
      </c>
      <c r="K54" s="16" t="s">
        <v>21</v>
      </c>
      <c r="L54" s="8" t="s">
        <v>576</v>
      </c>
      <c r="M54" s="8" t="s">
        <v>17</v>
      </c>
      <c r="N54" s="8" t="str">
        <f aca="false">"INSERT INTO attributes (parent_id, tag, name, priority, allow_as_filter, allow_for_dataset, allow_for_measurement, allow_for_users, allow_for_qc) VALUES (NULL, '"&amp;H54&amp;"',  '"&amp;F54&amp;"',  500,  TRUE, TRUE, TRUE, FALSE, FALSE);"</f>
        <v>INSERT INTO attributes (parent_id, tag, name, priority, allow_as_filter, allow_for_dataset, allow_for_measurement, allow_for_users, allow_for_qc) VALUES (NULL, 'att_celllines',  'Celllines',  500,  TRUE, TRUE, TRUE, FALSE, FALSE);</v>
      </c>
      <c r="O54" s="8" t="str">
        <f aca="false">"INSERT INTO attribute_values (attribute_id, tag, name, details) VALUES ((SELECT id FROM attributes WHERE tag = '"&amp;H54&amp;"' LIMIT 1),  '"&amp;J54&amp;"',  '"&amp;D54&amp;"',  '"&amp;L54&amp;"'); "</f>
        <v>INSERT INTO attribute_values (attribute_id, tag, name, details) VALUES ((SELECT id FROM attributes WHERE tag = 'att_celllines' LIMIT 1),  'att_celllines:jurkat',  'JURKAT',  'Acute T cell leukemia; human T lymphocytes');</v>
      </c>
    </row>
    <row r="55" customFormat="false" ht="12.75" hidden="false" customHeight="false" outlineLevel="0" collapsed="false">
      <c r="A55" s="17" t="n">
        <f aca="false">FALSE()</f>
        <v>0</v>
      </c>
      <c r="B55" s="17"/>
      <c r="C55" s="8" t="s">
        <v>577</v>
      </c>
      <c r="D55" s="8" t="s">
        <v>578</v>
      </c>
      <c r="E55" s="8" t="s">
        <v>17</v>
      </c>
      <c r="F55" s="8" t="s">
        <v>2559</v>
      </c>
      <c r="G55" s="8" t="s">
        <v>2560</v>
      </c>
      <c r="H55" s="8" t="str">
        <f aca="false">"att_"&amp;G55</f>
        <v>att_celllines</v>
      </c>
      <c r="I55" s="8" t="s">
        <v>577</v>
      </c>
      <c r="J55" s="8" t="str">
        <f aca="false">H55&amp;":"&amp;I55</f>
        <v>att_celllines:jvm13</v>
      </c>
      <c r="K55" s="16" t="s">
        <v>21</v>
      </c>
      <c r="L55" s="8" t="s">
        <v>573</v>
      </c>
      <c r="M55" s="8" t="s">
        <v>17</v>
      </c>
      <c r="N55" s="8" t="str">
        <f aca="false">"INSERT INTO attributes (parent_id, tag, name, priority, allow_as_filter, allow_for_dataset, allow_for_measurement, allow_for_users, allow_for_qc) VALUES (NULL, '"&amp;H55&amp;"',  '"&amp;F55&amp;"',  500,  TRUE, TRUE, TRUE, FALSE, FALSE);"</f>
        <v>INSERT INTO attributes (parent_id, tag, name, priority, allow_as_filter, allow_for_dataset, allow_for_measurement, allow_for_users, allow_for_qc) VALUES (NULL, 'att_celllines',  'Celllines',  500,  TRUE, TRUE, TRUE, FALSE, FALSE);</v>
      </c>
      <c r="O55" s="8" t="str">
        <f aca="false">"INSERT INTO attribute_values (attribute_id, tag, name, details) VALUES ((SELECT id FROM attributes WHERE tag = '"&amp;H55&amp;"' LIMIT 1),  '"&amp;J55&amp;"',  '"&amp;D55&amp;"',  '"&amp;L55&amp;"'); "</f>
        <v>INSERT INTO attribute_values (attribute_id, tag, name, details) VALUES ((SELECT id FROM attributes WHERE tag = 'att_celllines' LIMIT 1),  'att_celllines:jvm13',  'JVM-13',  'Human Mantle cell lymphoma');</v>
      </c>
    </row>
    <row r="56" customFormat="false" ht="12.75" hidden="false" customHeight="false" outlineLevel="0" collapsed="false">
      <c r="A56" s="17" t="n">
        <f aca="false">FALSE()</f>
        <v>0</v>
      </c>
      <c r="B56" s="17"/>
      <c r="C56" s="8" t="s">
        <v>579</v>
      </c>
      <c r="D56" s="8" t="s">
        <v>580</v>
      </c>
      <c r="E56" s="8" t="s">
        <v>17</v>
      </c>
      <c r="F56" s="8" t="s">
        <v>2559</v>
      </c>
      <c r="G56" s="8" t="s">
        <v>2560</v>
      </c>
      <c r="H56" s="8" t="str">
        <f aca="false">"att_"&amp;G56</f>
        <v>att_celllines</v>
      </c>
      <c r="I56" s="8" t="s">
        <v>579</v>
      </c>
      <c r="J56" s="8" t="str">
        <f aca="false">H56&amp;":"&amp;I56</f>
        <v>att_celllines:jvm2</v>
      </c>
      <c r="K56" s="16" t="s">
        <v>21</v>
      </c>
      <c r="L56" s="8" t="s">
        <v>573</v>
      </c>
      <c r="M56" s="8" t="s">
        <v>17</v>
      </c>
      <c r="N56" s="8" t="str">
        <f aca="false">"INSERT INTO attributes (parent_id, tag, name, priority, allow_as_filter, allow_for_dataset, allow_for_measurement, allow_for_users, allow_for_qc) VALUES (NULL, '"&amp;H56&amp;"',  '"&amp;F56&amp;"',  500,  TRUE, TRUE, TRUE, FALSE, FALSE);"</f>
        <v>INSERT INTO attributes (parent_id, tag, name, priority, allow_as_filter, allow_for_dataset, allow_for_measurement, allow_for_users, allow_for_qc) VALUES (NULL, 'att_celllines',  'Celllines',  500,  TRUE, TRUE, TRUE, FALSE, FALSE);</v>
      </c>
      <c r="O56" s="8" t="str">
        <f aca="false">"INSERT INTO attribute_values (attribute_id, tag, name, details) VALUES ((SELECT id FROM attributes WHERE tag = '"&amp;H56&amp;"' LIMIT 1),  '"&amp;J56&amp;"',  '"&amp;D56&amp;"',  '"&amp;L56&amp;"'); "</f>
        <v>INSERT INTO attribute_values (attribute_id, tag, name, details) VALUES ((SELECT id FROM attributes WHERE tag = 'att_celllines' LIMIT 1),  'att_celllines:jvm2',  'JVM-2',  'Human Mantle cell lymphoma');</v>
      </c>
    </row>
    <row r="57" customFormat="false" ht="12.75" hidden="false" customHeight="false" outlineLevel="0" collapsed="false">
      <c r="A57" s="17" t="n">
        <f aca="false">FALSE()</f>
        <v>0</v>
      </c>
      <c r="B57" s="17"/>
      <c r="C57" s="8" t="s">
        <v>581</v>
      </c>
      <c r="D57" s="8" t="s">
        <v>582</v>
      </c>
      <c r="E57" s="8" t="s">
        <v>17</v>
      </c>
      <c r="F57" s="8" t="s">
        <v>2559</v>
      </c>
      <c r="G57" s="8" t="s">
        <v>2560</v>
      </c>
      <c r="H57" s="8" t="str">
        <f aca="false">"att_"&amp;G57</f>
        <v>att_celllines</v>
      </c>
      <c r="I57" s="8" t="s">
        <v>581</v>
      </c>
      <c r="J57" s="8" t="str">
        <f aca="false">H57&amp;":"&amp;I57</f>
        <v>att_celllines:k562</v>
      </c>
      <c r="K57" s="16" t="s">
        <v>21</v>
      </c>
      <c r="L57" s="8" t="s">
        <v>534</v>
      </c>
      <c r="M57" s="8" t="s">
        <v>2561</v>
      </c>
      <c r="N57" s="8" t="str">
        <f aca="false">"INSERT INTO attributes (parent_id, tag, name, priority, allow_as_filter, allow_for_dataset, allow_for_measurement, allow_for_users, allow_for_qc) VALUES (NULL, '"&amp;H57&amp;"',  '"&amp;F57&amp;"',  500,  TRUE, TRUE, TRUE, FALSE, FALSE);"</f>
        <v>INSERT INTO attributes (parent_id, tag, name, priority, allow_as_filter, allow_for_dataset, allow_for_measurement, allow_for_users, allow_for_qc) VALUES (NULL, 'att_celllines',  'Celllines',  500,  TRUE, TRUE, TRUE, FALSE, FALSE);</v>
      </c>
      <c r="O57" s="8" t="str">
        <f aca="false">"INSERT INTO attribute_values (attribute_id, tag, name, details) VALUES ((SELECT id FROM attributes WHERE tag = '"&amp;H57&amp;"' LIMIT 1),  '"&amp;J57&amp;"',  '"&amp;D57&amp;"',  '"&amp;L57&amp;"'); "</f>
        <v>INSERT INTO attribute_values (attribute_id, tag, name, details) VALUES ((SELECT id FROM attributes WHERE tag = 'att_celllines' LIMIT 1),  'att_celllines:k562',  'K-562',  'Human NCI-60 cell line; Leukemia');</v>
      </c>
    </row>
    <row r="58" customFormat="false" ht="12.75" hidden="false" customHeight="false" outlineLevel="0" collapsed="false">
      <c r="A58" s="17" t="n">
        <f aca="false">FALSE()</f>
        <v>0</v>
      </c>
      <c r="B58" s="17"/>
      <c r="C58" s="8" t="s">
        <v>583</v>
      </c>
      <c r="D58" s="8" t="s">
        <v>584</v>
      </c>
      <c r="E58" s="8" t="s">
        <v>17</v>
      </c>
      <c r="F58" s="8" t="s">
        <v>2559</v>
      </c>
      <c r="G58" s="8" t="s">
        <v>2560</v>
      </c>
      <c r="H58" s="8" t="str">
        <f aca="false">"att_"&amp;G58</f>
        <v>att_celllines</v>
      </c>
      <c r="I58" s="8" t="s">
        <v>583</v>
      </c>
      <c r="J58" s="8" t="str">
        <f aca="false">H58&amp;":"&amp;I58</f>
        <v>att_celllines:km12</v>
      </c>
      <c r="K58" s="16" t="s">
        <v>21</v>
      </c>
      <c r="L58" s="8" t="s">
        <v>531</v>
      </c>
      <c r="M58" s="8" t="s">
        <v>2561</v>
      </c>
      <c r="N58" s="8" t="str">
        <f aca="false">"INSERT INTO attributes (parent_id, tag, name, priority, allow_as_filter, allow_for_dataset, allow_for_measurement, allow_for_users, allow_for_qc) VALUES (NULL, '"&amp;H58&amp;"',  '"&amp;F58&amp;"',  500,  TRUE, TRUE, TRUE, FALSE, FALSE);"</f>
        <v>INSERT INTO attributes (parent_id, tag, name, priority, allow_as_filter, allow_for_dataset, allow_for_measurement, allow_for_users, allow_for_qc) VALUES (NULL, 'att_celllines',  'Celllines',  500,  TRUE, TRUE, TRUE, FALSE, FALSE);</v>
      </c>
      <c r="O58" s="8" t="str">
        <f aca="false">"INSERT INTO attribute_values (attribute_id, tag, name, details) VALUES ((SELECT id FROM attributes WHERE tag = '"&amp;H58&amp;"' LIMIT 1),  '"&amp;J58&amp;"',  '"&amp;D58&amp;"',  '"&amp;L58&amp;"'); "</f>
        <v>INSERT INTO attribute_values (attribute_id, tag, name, details) VALUES ((SELECT id FROM attributes WHERE tag = 'att_celllines' LIMIT 1),  'att_celllines:km12',  'KM12',  'Human NCI-60 cell line; Colon cancer');</v>
      </c>
    </row>
    <row r="59" customFormat="false" ht="12.75" hidden="false" customHeight="false" outlineLevel="0" collapsed="false">
      <c r="A59" s="17" t="n">
        <f aca="false">FALSE()</f>
        <v>0</v>
      </c>
      <c r="B59" s="17"/>
      <c r="C59" s="8" t="s">
        <v>585</v>
      </c>
      <c r="D59" s="8" t="s">
        <v>586</v>
      </c>
      <c r="E59" s="8" t="s">
        <v>17</v>
      </c>
      <c r="F59" s="8" t="s">
        <v>2559</v>
      </c>
      <c r="G59" s="8" t="s">
        <v>2560</v>
      </c>
      <c r="H59" s="8" t="str">
        <f aca="false">"att_"&amp;G59</f>
        <v>att_celllines</v>
      </c>
      <c r="I59" s="8" t="s">
        <v>585</v>
      </c>
      <c r="J59" s="8" t="str">
        <f aca="false">H59&amp;":"&amp;I59</f>
        <v>att_celllines:lox_imvi</v>
      </c>
      <c r="K59" s="16" t="s">
        <v>21</v>
      </c>
      <c r="L59" s="8" t="s">
        <v>587</v>
      </c>
      <c r="M59" s="8" t="s">
        <v>2561</v>
      </c>
      <c r="N59" s="8" t="str">
        <f aca="false">"INSERT INTO attributes (parent_id, tag, name, priority, allow_as_filter, allow_for_dataset, allow_for_measurement, allow_for_users, allow_for_qc) VALUES (NULL, '"&amp;H59&amp;"',  '"&amp;F59&amp;"',  500,  TRUE, TRUE, TRUE, FALSE, FALSE);"</f>
        <v>INSERT INTO attributes (parent_id, tag, name, priority, allow_as_filter, allow_for_dataset, allow_for_measurement, allow_for_users, allow_for_qc) VALUES (NULL, 'att_celllines',  'Celllines',  500,  TRUE, TRUE, TRUE, FALSE, FALSE);</v>
      </c>
      <c r="O59" s="8" t="str">
        <f aca="false">"INSERT INTO attribute_values (attribute_id, tag, name, details) VALUES ((SELECT id FROM attributes WHERE tag = '"&amp;H59&amp;"' LIMIT 1),  '"&amp;J59&amp;"',  '"&amp;D59&amp;"',  '"&amp;L59&amp;"'); "</f>
        <v>INSERT INTO attribute_values (attribute_id, tag, name, details) VALUES ((SELECT id FROM attributes WHERE tag = 'att_celllines' LIMIT 1),  'att_celllines:lox_imvi',  'LOX IMVI',  'Human NCI-60 cell line; Melanoma');</v>
      </c>
    </row>
    <row r="60" customFormat="false" ht="12.75" hidden="false" customHeight="false" outlineLevel="0" collapsed="false">
      <c r="A60" s="17" t="n">
        <f aca="false">FALSE()</f>
        <v>0</v>
      </c>
      <c r="B60" s="17"/>
      <c r="C60" s="8" t="s">
        <v>588</v>
      </c>
      <c r="D60" s="8" t="s">
        <v>589</v>
      </c>
      <c r="E60" s="8" t="s">
        <v>17</v>
      </c>
      <c r="F60" s="8" t="s">
        <v>2559</v>
      </c>
      <c r="G60" s="8" t="s">
        <v>2560</v>
      </c>
      <c r="H60" s="8" t="str">
        <f aca="false">"att_"&amp;G60</f>
        <v>att_celllines</v>
      </c>
      <c r="I60" s="8" t="s">
        <v>588</v>
      </c>
      <c r="J60" s="8" t="str">
        <f aca="false">H60&amp;":"&amp;I60</f>
        <v>att_celllines:m14</v>
      </c>
      <c r="K60" s="16" t="s">
        <v>21</v>
      </c>
      <c r="L60" s="8" t="s">
        <v>587</v>
      </c>
      <c r="M60" s="8" t="s">
        <v>2561</v>
      </c>
      <c r="N60" s="8" t="str">
        <f aca="false">"INSERT INTO attributes (parent_id, tag, name, priority, allow_as_filter, allow_for_dataset, allow_for_measurement, allow_for_users, allow_for_qc) VALUES (NULL, '"&amp;H60&amp;"',  '"&amp;F60&amp;"',  500,  TRUE, TRUE, TRUE, FALSE, FALSE);"</f>
        <v>INSERT INTO attributes (parent_id, tag, name, priority, allow_as_filter, allow_for_dataset, allow_for_measurement, allow_for_users, allow_for_qc) VALUES (NULL, 'att_celllines',  'Celllines',  500,  TRUE, TRUE, TRUE, FALSE, FALSE);</v>
      </c>
      <c r="O60" s="8" t="str">
        <f aca="false">"INSERT INTO attribute_values (attribute_id, tag, name, details) VALUES ((SELECT id FROM attributes WHERE tag = '"&amp;H60&amp;"' LIMIT 1),  '"&amp;J60&amp;"',  '"&amp;D60&amp;"',  '"&amp;L60&amp;"'); "</f>
        <v>INSERT INTO attribute_values (attribute_id, tag, name, details) VALUES ((SELECT id FROM attributes WHERE tag = 'att_celllines' LIMIT 1),  'att_celllines:m14',  'M14',  'Human NCI-60 cell line; Melanoma');</v>
      </c>
    </row>
    <row r="61" customFormat="false" ht="12.75" hidden="false" customHeight="false" outlineLevel="0" collapsed="false">
      <c r="A61" s="17" t="n">
        <f aca="false">FALSE()</f>
        <v>0</v>
      </c>
      <c r="B61" s="17"/>
      <c r="C61" s="8" t="s">
        <v>590</v>
      </c>
      <c r="D61" s="8" t="s">
        <v>591</v>
      </c>
      <c r="E61" s="8" t="s">
        <v>17</v>
      </c>
      <c r="F61" s="8" t="s">
        <v>2559</v>
      </c>
      <c r="G61" s="8" t="s">
        <v>2560</v>
      </c>
      <c r="H61" s="8" t="str">
        <f aca="false">"att_"&amp;G61</f>
        <v>att_celllines</v>
      </c>
      <c r="I61" s="8" t="s">
        <v>590</v>
      </c>
      <c r="J61" s="8" t="str">
        <f aca="false">H61&amp;":"&amp;I61</f>
        <v>att_celllines:malme3m</v>
      </c>
      <c r="K61" s="16" t="s">
        <v>21</v>
      </c>
      <c r="L61" s="8" t="s">
        <v>587</v>
      </c>
      <c r="M61" s="8" t="s">
        <v>2561</v>
      </c>
      <c r="N61" s="8" t="str">
        <f aca="false">"INSERT INTO attributes (parent_id, tag, name, priority, allow_as_filter, allow_for_dataset, allow_for_measurement, allow_for_users, allow_for_qc) VALUES (NULL, '"&amp;H61&amp;"',  '"&amp;F61&amp;"',  500,  TRUE, TRUE, TRUE, FALSE, FALSE);"</f>
        <v>INSERT INTO attributes (parent_id, tag, name, priority, allow_as_filter, allow_for_dataset, allow_for_measurement, allow_for_users, allow_for_qc) VALUES (NULL, 'att_celllines',  'Celllines',  500,  TRUE, TRUE, TRUE, FALSE, FALSE);</v>
      </c>
      <c r="O61" s="8" t="str">
        <f aca="false">"INSERT INTO attribute_values (attribute_id, tag, name, details) VALUES ((SELECT id FROM attributes WHERE tag = '"&amp;H61&amp;"' LIMIT 1),  '"&amp;J61&amp;"',  '"&amp;D61&amp;"',  '"&amp;L61&amp;"'); "</f>
        <v>INSERT INTO attribute_values (attribute_id, tag, name, details) VALUES ((SELECT id FROM attributes WHERE tag = 'att_celllines' LIMIT 1),  'att_celllines:malme3m',  'MALME-3M',  'Human NCI-60 cell line; Melanoma');</v>
      </c>
    </row>
    <row r="62" customFormat="false" ht="12.75" hidden="false" customHeight="false" outlineLevel="0" collapsed="false">
      <c r="A62" s="17" t="n">
        <f aca="false">FALSE()</f>
        <v>0</v>
      </c>
      <c r="B62" s="17"/>
      <c r="C62" s="8" t="s">
        <v>592</v>
      </c>
      <c r="D62" s="8" t="s">
        <v>593</v>
      </c>
      <c r="E62" s="8" t="s">
        <v>17</v>
      </c>
      <c r="F62" s="8" t="s">
        <v>2559</v>
      </c>
      <c r="G62" s="8" t="s">
        <v>2560</v>
      </c>
      <c r="H62" s="8" t="str">
        <f aca="false">"att_"&amp;G62</f>
        <v>att_celllines</v>
      </c>
      <c r="I62" s="8" t="s">
        <v>592</v>
      </c>
      <c r="J62" s="8" t="str">
        <f aca="false">H62&amp;":"&amp;I62</f>
        <v>att_celllines:maver1</v>
      </c>
      <c r="K62" s="16" t="s">
        <v>21</v>
      </c>
      <c r="L62" s="8" t="s">
        <v>573</v>
      </c>
      <c r="M62" s="8" t="s">
        <v>17</v>
      </c>
      <c r="N62" s="8" t="str">
        <f aca="false">"INSERT INTO attributes (parent_id, tag, name, priority, allow_as_filter, allow_for_dataset, allow_for_measurement, allow_for_users, allow_for_qc) VALUES (NULL, '"&amp;H62&amp;"',  '"&amp;F62&amp;"',  500,  TRUE, TRUE, TRUE, FALSE, FALSE);"</f>
        <v>INSERT INTO attributes (parent_id, tag, name, priority, allow_as_filter, allow_for_dataset, allow_for_measurement, allow_for_users, allow_for_qc) VALUES (NULL, 'att_celllines',  'Celllines',  500,  TRUE, TRUE, TRUE, FALSE, FALSE);</v>
      </c>
      <c r="O62" s="8" t="str">
        <f aca="false">"INSERT INTO attribute_values (attribute_id, tag, name, details) VALUES ((SELECT id FROM attributes WHERE tag = '"&amp;H62&amp;"' LIMIT 1),  '"&amp;J62&amp;"',  '"&amp;D62&amp;"',  '"&amp;L62&amp;"'); "</f>
        <v>INSERT INTO attribute_values (attribute_id, tag, name, details) VALUES ((SELECT id FROM attributes WHERE tag = 'att_celllines' LIMIT 1),  'att_celllines:maver1',  'MAVER-1',  'Human Mantle cell lymphoma');</v>
      </c>
    </row>
    <row r="63" customFormat="false" ht="12.75" hidden="false" customHeight="false" outlineLevel="0" collapsed="false">
      <c r="A63" s="17" t="n">
        <f aca="false">FALSE()</f>
        <v>0</v>
      </c>
      <c r="B63" s="17"/>
      <c r="C63" s="8" t="s">
        <v>594</v>
      </c>
      <c r="D63" s="8" t="s">
        <v>595</v>
      </c>
      <c r="E63" s="8" t="s">
        <v>17</v>
      </c>
      <c r="F63" s="8" t="s">
        <v>2559</v>
      </c>
      <c r="G63" s="8" t="s">
        <v>2560</v>
      </c>
      <c r="H63" s="8" t="str">
        <f aca="false">"att_"&amp;G63</f>
        <v>att_celllines</v>
      </c>
      <c r="I63" s="8" t="s">
        <v>594</v>
      </c>
      <c r="J63" s="8" t="str">
        <f aca="false">H63&amp;":"&amp;I63</f>
        <v>att_celllines:mcf7</v>
      </c>
      <c r="K63" s="16" t="s">
        <v>21</v>
      </c>
      <c r="L63" s="8" t="s">
        <v>523</v>
      </c>
      <c r="M63" s="8" t="s">
        <v>2561</v>
      </c>
      <c r="N63" s="8" t="str">
        <f aca="false">"INSERT INTO attributes (parent_id, tag, name, priority, allow_as_filter, allow_for_dataset, allow_for_measurement, allow_for_users, allow_for_qc) VALUES (NULL, '"&amp;H63&amp;"',  '"&amp;F63&amp;"',  500,  TRUE, TRUE, TRUE, FALSE, FALSE);"</f>
        <v>INSERT INTO attributes (parent_id, tag, name, priority, allow_as_filter, allow_for_dataset, allow_for_measurement, allow_for_users, allow_for_qc) VALUES (NULL, 'att_celllines',  'Celllines',  500,  TRUE, TRUE, TRUE, FALSE, FALSE);</v>
      </c>
      <c r="O63" s="8" t="str">
        <f aca="false">"INSERT INTO attribute_values (attribute_id, tag, name, details) VALUES ((SELECT id FROM attributes WHERE tag = '"&amp;H63&amp;"' LIMIT 1),  '"&amp;J63&amp;"',  '"&amp;D63&amp;"',  '"&amp;L63&amp;"'); "</f>
        <v>INSERT INTO attribute_values (attribute_id, tag, name, details) VALUES ((SELECT id FROM attributes WHERE tag = 'att_celllines' LIMIT 1),  'att_celllines:mcf7',  'MCF7',  'Human NCI-60 cell line; Breast Cancer');</v>
      </c>
    </row>
    <row r="64" customFormat="false" ht="12.75" hidden="false" customHeight="false" outlineLevel="0" collapsed="false">
      <c r="A64" s="17" t="n">
        <f aca="false">FALSE()</f>
        <v>0</v>
      </c>
      <c r="B64" s="17"/>
      <c r="C64" s="8" t="s">
        <v>596</v>
      </c>
      <c r="D64" s="8" t="s">
        <v>597</v>
      </c>
      <c r="E64" s="8" t="s">
        <v>17</v>
      </c>
      <c r="F64" s="8" t="s">
        <v>2559</v>
      </c>
      <c r="G64" s="8" t="s">
        <v>2560</v>
      </c>
      <c r="H64" s="8" t="str">
        <f aca="false">"att_"&amp;G64</f>
        <v>att_celllines</v>
      </c>
      <c r="I64" s="8" t="s">
        <v>596</v>
      </c>
      <c r="J64" s="8" t="str">
        <f aca="false">H64&amp;":"&amp;I64</f>
        <v>att_celllines:mdamb231</v>
      </c>
      <c r="K64" s="16" t="s">
        <v>21</v>
      </c>
      <c r="L64" s="8" t="s">
        <v>523</v>
      </c>
      <c r="M64" s="8" t="s">
        <v>2561</v>
      </c>
      <c r="N64" s="8" t="str">
        <f aca="false">"INSERT INTO attributes (parent_id, tag, name, priority, allow_as_filter, allow_for_dataset, allow_for_measurement, allow_for_users, allow_for_qc) VALUES (NULL, '"&amp;H64&amp;"',  '"&amp;F64&amp;"',  500,  TRUE, TRUE, TRUE, FALSE, FALSE);"</f>
        <v>INSERT INTO attributes (parent_id, tag, name, priority, allow_as_filter, allow_for_dataset, allow_for_measurement, allow_for_users, allow_for_qc) VALUES (NULL, 'att_celllines',  'Celllines',  500,  TRUE, TRUE, TRUE, FALSE, FALSE);</v>
      </c>
      <c r="O64" s="8" t="str">
        <f aca="false">"INSERT INTO attribute_values (attribute_id, tag, name, details) VALUES ((SELECT id FROM attributes WHERE tag = '"&amp;H64&amp;"' LIMIT 1),  '"&amp;J64&amp;"',  '"&amp;D64&amp;"',  '"&amp;L64&amp;"'); "</f>
        <v>INSERT INTO attribute_values (attribute_id, tag, name, details) VALUES ((SELECT id FROM attributes WHERE tag = 'att_celllines' LIMIT 1),  'att_celllines:mdamb231',  'MDA-MB-231',  'Human NCI-60 cell line; Breast Cancer');</v>
      </c>
    </row>
    <row r="65" customFormat="false" ht="12.75" hidden="false" customHeight="false" outlineLevel="0" collapsed="false">
      <c r="A65" s="17" t="n">
        <f aca="false">FALSE()</f>
        <v>0</v>
      </c>
      <c r="B65" s="17"/>
      <c r="C65" s="8" t="s">
        <v>598</v>
      </c>
      <c r="D65" s="8" t="s">
        <v>599</v>
      </c>
      <c r="E65" s="8" t="s">
        <v>17</v>
      </c>
      <c r="F65" s="8" t="s">
        <v>2559</v>
      </c>
      <c r="G65" s="8" t="s">
        <v>2560</v>
      </c>
      <c r="H65" s="8" t="str">
        <f aca="false">"att_"&amp;G65</f>
        <v>att_celllines</v>
      </c>
      <c r="I65" s="8" t="s">
        <v>598</v>
      </c>
      <c r="J65" s="8" t="str">
        <f aca="false">H65&amp;":"&amp;I65</f>
        <v>att_celllines:mdamb435</v>
      </c>
      <c r="K65" s="16" t="s">
        <v>21</v>
      </c>
      <c r="L65" s="8" t="s">
        <v>587</v>
      </c>
      <c r="M65" s="8" t="s">
        <v>2561</v>
      </c>
      <c r="N65" s="8" t="str">
        <f aca="false">"INSERT INTO attributes (parent_id, tag, name, priority, allow_as_filter, allow_for_dataset, allow_for_measurement, allow_for_users, allow_for_qc) VALUES (NULL, '"&amp;H65&amp;"',  '"&amp;F65&amp;"',  500,  TRUE, TRUE, TRUE, FALSE, FALSE);"</f>
        <v>INSERT INTO attributes (parent_id, tag, name, priority, allow_as_filter, allow_for_dataset, allow_for_measurement, allow_for_users, allow_for_qc) VALUES (NULL, 'att_celllines',  'Celllines',  500,  TRUE, TRUE, TRUE, FALSE, FALSE);</v>
      </c>
      <c r="O65" s="8" t="str">
        <f aca="false">"INSERT INTO attribute_values (attribute_id, tag, name, details) VALUES ((SELECT id FROM attributes WHERE tag = '"&amp;H65&amp;"' LIMIT 1),  '"&amp;J65&amp;"',  '"&amp;D65&amp;"',  '"&amp;L65&amp;"'); "</f>
        <v>INSERT INTO attribute_values (attribute_id, tag, name, details) VALUES ((SELECT id FROM attributes WHERE tag = 'att_celllines' LIMIT 1),  'att_celllines:mdamb435',  'MDA-MB-435',  'Human NCI-60 cell line; Melanoma');</v>
      </c>
    </row>
    <row r="66" customFormat="false" ht="12.75" hidden="false" customHeight="false" outlineLevel="0" collapsed="false">
      <c r="A66" s="17" t="n">
        <f aca="false">FALSE()</f>
        <v>0</v>
      </c>
      <c r="B66" s="17"/>
      <c r="C66" s="8" t="s">
        <v>600</v>
      </c>
      <c r="D66" s="8" t="s">
        <v>601</v>
      </c>
      <c r="E66" s="8" t="s">
        <v>17</v>
      </c>
      <c r="F66" s="8" t="s">
        <v>2559</v>
      </c>
      <c r="G66" s="8" t="s">
        <v>2560</v>
      </c>
      <c r="H66" s="8" t="str">
        <f aca="false">"att_"&amp;G66</f>
        <v>att_celllines</v>
      </c>
      <c r="I66" s="8" t="s">
        <v>600</v>
      </c>
      <c r="J66" s="8" t="str">
        <f aca="false">H66&amp;":"&amp;I66</f>
        <v>att_celllines:mdamb468</v>
      </c>
      <c r="K66" s="16" t="s">
        <v>21</v>
      </c>
      <c r="L66" s="8" t="s">
        <v>523</v>
      </c>
      <c r="M66" s="8" t="s">
        <v>2561</v>
      </c>
      <c r="N66" s="8" t="str">
        <f aca="false">"INSERT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8" t="str">
        <f aca="false">"INSERT INTO attribute_values (attribute_id, tag, name, details) VALUES ((SELECT id FROM attributes WHERE tag = '"&amp;H66&amp;"' LIMIT 1),  '"&amp;J66&amp;"',  '"&amp;D66&amp;"',  '"&amp;L66&amp;"'); "</f>
        <v>INSERT INTO attribute_values (attribute_id, tag, name, details) VALUES ((SELECT id FROM attributes WHERE tag = 'att_celllines' LIMIT 1),  'att_celllines:mdamb468',  'MDA-MB-468',  'Human NCI-60 cell line; Breast Cancer');</v>
      </c>
    </row>
    <row r="67" customFormat="false" ht="12.75" hidden="false" customHeight="false" outlineLevel="0" collapsed="false">
      <c r="A67" s="17" t="n">
        <f aca="false">FALSE()</f>
        <v>0</v>
      </c>
      <c r="B67" s="17"/>
      <c r="C67" s="8" t="s">
        <v>605</v>
      </c>
      <c r="D67" s="8" t="s">
        <v>606</v>
      </c>
      <c r="E67" s="8" t="s">
        <v>17</v>
      </c>
      <c r="F67" s="8" t="s">
        <v>2559</v>
      </c>
      <c r="G67" s="8" t="s">
        <v>2560</v>
      </c>
      <c r="H67" s="8" t="str">
        <f aca="false">"att_"&amp;G67</f>
        <v>att_celllines</v>
      </c>
      <c r="I67" s="8" t="s">
        <v>605</v>
      </c>
      <c r="J67" s="8" t="str">
        <f aca="false">H67&amp;":"&amp;I67</f>
        <v>att_celllines:mino</v>
      </c>
      <c r="K67" s="16" t="s">
        <v>21</v>
      </c>
      <c r="L67" s="8" t="s">
        <v>573</v>
      </c>
      <c r="M67" s="8" t="s">
        <v>17</v>
      </c>
      <c r="N67" s="8" t="str">
        <f aca="false">"INSERT INTO attributes (parent_id, tag, name, priority, allow_as_filter, allow_for_dataset, allow_for_measurement, allow_for_users, allow_for_qc) VALUES (NULL, '"&amp;H67&amp;"',  '"&amp;F67&amp;"',  500,  TRUE, TRUE, TRUE, FALSE, FALSE);"</f>
        <v>INSERT INTO attributes (parent_id, tag, name, priority, allow_as_filter, allow_for_dataset, allow_for_measurement, allow_for_users, allow_for_qc) VALUES (NULL, 'att_celllines',  'Celllines',  500,  TRUE, TRUE, TRUE, FALSE, FALSE);</v>
      </c>
      <c r="O67" s="8" t="str">
        <f aca="false">"INSERT INTO attribute_values (attribute_id, tag, name, details) VALUES ((SELECT id FROM attributes WHERE tag = '"&amp;H67&amp;"' LIMIT 1),  '"&amp;J67&amp;"',  '"&amp;D67&amp;"',  '"&amp;L67&amp;"'); "</f>
        <v>INSERT INTO attribute_values (attribute_id, tag, name, details) VALUES ((SELECT id FROM attributes WHERE tag = 'att_celllines' LIMIT 1),  'att_celllines:mino',  'Mino',  'Human Mantle cell lymphoma');</v>
      </c>
    </row>
    <row r="68" customFormat="false" ht="12.75" hidden="false" customHeight="false" outlineLevel="0" collapsed="false">
      <c r="A68" s="17" t="n">
        <f aca="false">FALSE()</f>
        <v>0</v>
      </c>
      <c r="B68" s="17"/>
      <c r="C68" s="8" t="s">
        <v>607</v>
      </c>
      <c r="D68" s="8" t="s">
        <v>608</v>
      </c>
      <c r="E68" s="8" t="s">
        <v>17</v>
      </c>
      <c r="F68" s="8" t="s">
        <v>2559</v>
      </c>
      <c r="G68" s="8" t="s">
        <v>2560</v>
      </c>
      <c r="H68" s="8" t="str">
        <f aca="false">"att_"&amp;G68</f>
        <v>att_celllines</v>
      </c>
      <c r="I68" s="8" t="s">
        <v>607</v>
      </c>
      <c r="J68" s="8" t="str">
        <f aca="false">H68&amp;":"&amp;I68</f>
        <v>att_celllines:molt4</v>
      </c>
      <c r="K68" s="16" t="s">
        <v>21</v>
      </c>
      <c r="L68" s="8" t="s">
        <v>534</v>
      </c>
      <c r="M68" s="8" t="s">
        <v>2561</v>
      </c>
      <c r="N68" s="8" t="str">
        <f aca="false">"INSERT INTO attributes (parent_id, tag, name, priority, allow_as_filter, allow_for_dataset, allow_for_measurement, allow_for_users, allow_for_qc) VALUES (NULL, '"&amp;H68&amp;"',  '"&amp;F68&amp;"',  500,  TRUE, TRUE, TRUE, FALSE, FALSE);"</f>
        <v>INSERT INTO attributes (parent_id, tag, name, priority, allow_as_filter, allow_for_dataset, allow_for_measurement, allow_for_users, allow_for_qc) VALUES (NULL, 'att_celllines',  'Celllines',  500,  TRUE, TRUE, TRUE, FALSE, FALSE);</v>
      </c>
      <c r="O68" s="8" t="str">
        <f aca="false">"INSERT INTO attribute_values (attribute_id, tag, name, details) VALUES ((SELECT id FROM attributes WHERE tag = '"&amp;H68&amp;"' LIMIT 1),  '"&amp;J68&amp;"',  '"&amp;D68&amp;"',  '"&amp;L68&amp;"'); "</f>
        <v>INSERT INTO attribute_values (attribute_id, tag, name, details) VALUES ((SELECT id FROM attributes WHERE tag = 'att_celllines' LIMIT 1),  'att_celllines:molt4',  'MOLT-4',  'Human NCI-60 cell line; Leukemia');</v>
      </c>
    </row>
    <row r="69" customFormat="false" ht="12.75" hidden="false" customHeight="false" outlineLevel="0" collapsed="false">
      <c r="A69" s="17" t="n">
        <f aca="false">FALSE()</f>
        <v>0</v>
      </c>
      <c r="B69" s="17"/>
      <c r="C69" s="8" t="s">
        <v>609</v>
      </c>
      <c r="D69" s="8" t="s">
        <v>610</v>
      </c>
      <c r="E69" s="8" t="s">
        <v>17</v>
      </c>
      <c r="F69" s="8" t="s">
        <v>2559</v>
      </c>
      <c r="G69" s="8" t="s">
        <v>2560</v>
      </c>
      <c r="H69" s="8" t="str">
        <f aca="false">"att_"&amp;G69</f>
        <v>att_celllines</v>
      </c>
      <c r="I69" s="8" t="s">
        <v>609</v>
      </c>
      <c r="J69" s="8" t="str">
        <f aca="false">H69&amp;":"&amp;I69</f>
        <v>att_celllines:nceb1</v>
      </c>
      <c r="K69" s="16" t="s">
        <v>21</v>
      </c>
      <c r="L69" s="8" t="s">
        <v>573</v>
      </c>
      <c r="M69" s="8" t="s">
        <v>17</v>
      </c>
      <c r="N69" s="8" t="str">
        <f aca="false">"INSERT INTO attributes (parent_id, tag, name, priority, allow_as_filter, allow_for_dataset, allow_for_measurement, allow_for_users, allow_for_qc) VALUES (NULL, '"&amp;H69&amp;"',  '"&amp;F69&amp;"',  500,  TRUE, TRUE, TRUE, FALSE, FALSE);"</f>
        <v>INSERT INTO attributes (parent_id, tag, name, priority, allow_as_filter, allow_for_dataset, allow_for_measurement, allow_for_users, allow_for_qc) VALUES (NULL, 'att_celllines',  'Celllines',  500,  TRUE, TRUE, TRUE, FALSE, FALSE);</v>
      </c>
      <c r="O69" s="8" t="str">
        <f aca="false">"INSERT INTO attribute_values (attribute_id, tag, name, details) VALUES ((SELECT id FROM attributes WHERE tag = '"&amp;H69&amp;"' LIMIT 1),  '"&amp;J69&amp;"',  '"&amp;D69&amp;"',  '"&amp;L69&amp;"'); "</f>
        <v>INSERT INTO attribute_values (attribute_id, tag, name, details) VALUES ((SELECT id FROM attributes WHERE tag = 'att_celllines' LIMIT 1),  'att_celllines:nceb1',  'NCEB-1',  'Human Mantle cell lymphoma');</v>
      </c>
    </row>
    <row r="70" customFormat="false" ht="12.75" hidden="false" customHeight="false" outlineLevel="0" collapsed="false">
      <c r="A70" s="17" t="n">
        <f aca="false">FALSE()</f>
        <v>0</v>
      </c>
      <c r="B70" s="17"/>
      <c r="C70" s="8" t="s">
        <v>612</v>
      </c>
      <c r="D70" s="8" t="s">
        <v>613</v>
      </c>
      <c r="E70" s="8" t="s">
        <v>17</v>
      </c>
      <c r="F70" s="8" t="s">
        <v>2559</v>
      </c>
      <c r="G70" s="8" t="s">
        <v>2560</v>
      </c>
      <c r="H70" s="8" t="str">
        <f aca="false">"att_"&amp;G70</f>
        <v>att_celllines</v>
      </c>
      <c r="I70" s="8" t="s">
        <v>611</v>
      </c>
      <c r="J70" s="8" t="str">
        <f aca="false">H70&amp;":"&amp;I70</f>
        <v>att_celllines:nci_adrres</v>
      </c>
      <c r="K70" s="16" t="s">
        <v>21</v>
      </c>
      <c r="L70" s="8" t="s">
        <v>567</v>
      </c>
      <c r="M70" s="8" t="s">
        <v>2561</v>
      </c>
      <c r="N70" s="8" t="str">
        <f aca="false">"INSERT INTO attributes (parent_id, tag, name, priority, allow_as_filter, allow_for_dataset, allow_for_measurement, allow_for_users, allow_for_qc) VALUES (NULL, '"&amp;H70&amp;"',  '"&amp;F70&amp;"',  500,  TRUE, TRUE, TRUE, FALSE, FALSE);"</f>
        <v>INSERT INTO attributes (parent_id, tag, name, priority, allow_as_filter, allow_for_dataset, allow_for_measurement, allow_for_users, allow_for_qc) VALUES (NULL, 'att_celllines',  'Celllines',  500,  TRUE, TRUE, TRUE, FALSE, FALSE);</v>
      </c>
      <c r="O70" s="8" t="str">
        <f aca="false">"INSERT INTO attribute_values (attribute_id, tag, name, details) VALUES ((SELECT id FROM attributes WHERE tag = '"&amp;H70&amp;"' LIMIT 1),  '"&amp;J70&amp;"',  '"&amp;D70&amp;"',  '"&amp;L70&amp;"'); "</f>
        <v>INSERT INTO attribute_values (attribute_id, tag, name, details) VALUES ((SELECT id FROM attributes WHERE tag = 'att_celllines' LIMIT 1),  'att_celllines:nci_adrres',  'NCI ADR-RES',  'Human NCI-60 cell line; Ovarian Cancer');</v>
      </c>
    </row>
    <row r="71" customFormat="false" ht="12.75" hidden="false" customHeight="false" outlineLevel="0" collapsed="false">
      <c r="A71" s="17" t="n">
        <f aca="false">FALSE()</f>
        <v>0</v>
      </c>
      <c r="B71" s="17"/>
      <c r="C71" s="8" t="s">
        <v>615</v>
      </c>
      <c r="D71" s="8" t="s">
        <v>616</v>
      </c>
      <c r="E71" s="8" t="s">
        <v>17</v>
      </c>
      <c r="F71" s="8" t="s">
        <v>2559</v>
      </c>
      <c r="G71" s="8" t="s">
        <v>2560</v>
      </c>
      <c r="H71" s="8" t="str">
        <f aca="false">"att_"&amp;G71</f>
        <v>att_celllines</v>
      </c>
      <c r="I71" s="8" t="s">
        <v>614</v>
      </c>
      <c r="J71" s="8" t="str">
        <f aca="false">H71&amp;":"&amp;I71</f>
        <v>att_celllines:nci_h226</v>
      </c>
      <c r="K71" s="16" t="s">
        <v>21</v>
      </c>
      <c r="L71" s="8" t="s">
        <v>513</v>
      </c>
      <c r="M71" s="8" t="s">
        <v>2561</v>
      </c>
      <c r="N71" s="8" t="str">
        <f aca="false">"INSERT INTO attributes (parent_id, tag, name, priority, allow_as_filter, allow_for_dataset, allow_for_measurement, allow_for_users, allow_for_qc) VALUES (NULL, '"&amp;H71&amp;"',  '"&amp;F71&amp;"',  500,  TRUE, TRUE, TRUE, FALSE, FALSE);"</f>
        <v>INSERT INTO attributes (parent_id, tag, name, priority, allow_as_filter, allow_for_dataset, allow_for_measurement, allow_for_users, allow_for_qc) VALUES (NULL, 'att_celllines',  'Celllines',  500,  TRUE, TRUE, TRUE, FALSE, FALSE);</v>
      </c>
      <c r="O71" s="8" t="str">
        <f aca="false">"INSERT INTO attribute_values (attribute_id, tag, name, details) VALUES ((SELECT id FROM attributes WHERE tag = '"&amp;H71&amp;"' LIMIT 1),  '"&amp;J71&amp;"',  '"&amp;D71&amp;"',  '"&amp;L71&amp;"'); "</f>
        <v>INSERT INTO attribute_values (attribute_id, tag, name, details) VALUES ((SELECT id FROM attributes WHERE tag = 'att_celllines' LIMIT 1),  'att_celllines:nci_h226',  'NCI-H226',  'Human NCI-60 cell line; Non-Small Cell Lung cancer');</v>
      </c>
    </row>
    <row r="72" customFormat="false" ht="12.75" hidden="false" customHeight="false" outlineLevel="0" collapsed="false">
      <c r="A72" s="17" t="n">
        <f aca="false">FALSE()</f>
        <v>0</v>
      </c>
      <c r="B72" s="17"/>
      <c r="C72" s="8" t="s">
        <v>618</v>
      </c>
      <c r="D72" s="8" t="s">
        <v>619</v>
      </c>
      <c r="E72" s="8" t="s">
        <v>17</v>
      </c>
      <c r="F72" s="8" t="s">
        <v>2559</v>
      </c>
      <c r="G72" s="8" t="s">
        <v>2560</v>
      </c>
      <c r="H72" s="8" t="str">
        <f aca="false">"att_"&amp;G72</f>
        <v>att_celllines</v>
      </c>
      <c r="I72" s="8" t="s">
        <v>617</v>
      </c>
      <c r="J72" s="8" t="str">
        <f aca="false">H72&amp;":"&amp;I72</f>
        <v>att_celllines:nci_h23</v>
      </c>
      <c r="K72" s="16" t="s">
        <v>21</v>
      </c>
      <c r="L72" s="8" t="s">
        <v>513</v>
      </c>
      <c r="M72" s="8" t="s">
        <v>2561</v>
      </c>
      <c r="N72" s="8" t="str">
        <f aca="false">"INSERT INTO attributes (parent_id, tag, name, priority, allow_as_filter, allow_for_dataset, allow_for_measurement, allow_for_users, allow_for_qc) VALUES (NULL, '"&amp;H72&amp;"',  '"&amp;F72&amp;"',  500,  TRUE, TRUE, TRUE, FALSE, FALSE);"</f>
        <v>INSERT INTO attributes (parent_id, tag, name, priority, allow_as_filter, allow_for_dataset, allow_for_measurement, allow_for_users, allow_for_qc) VALUES (NULL, 'att_celllines',  'Celllines',  500,  TRUE, TRUE, TRUE, FALSE, FALSE);</v>
      </c>
      <c r="O72" s="8" t="str">
        <f aca="false">"INSERT INTO attribute_values (attribute_id, tag, name, details) VALUES ((SELECT id FROM attributes WHERE tag = '"&amp;H72&amp;"' LIMIT 1),  '"&amp;J72&amp;"',  '"&amp;D72&amp;"',  '"&amp;L72&amp;"'); "</f>
        <v>INSERT INTO attribute_values (attribute_id, tag, name, details) VALUES ((SELECT id FROM attributes WHERE tag = 'att_celllines' LIMIT 1),  'att_celllines:nci_h23',  'NCI-H23',  'Human NCI-60 cell line; Non-Small Cell Lung cancer');</v>
      </c>
    </row>
    <row r="73" customFormat="false" ht="12.75" hidden="false" customHeight="false" outlineLevel="0" collapsed="false">
      <c r="A73" s="17" t="n">
        <f aca="false">FALSE()</f>
        <v>0</v>
      </c>
      <c r="B73" s="17"/>
      <c r="C73" s="8" t="s">
        <v>621</v>
      </c>
      <c r="D73" s="8" t="s">
        <v>622</v>
      </c>
      <c r="E73" s="8" t="s">
        <v>17</v>
      </c>
      <c r="F73" s="8" t="s">
        <v>2559</v>
      </c>
      <c r="G73" s="8" t="s">
        <v>2560</v>
      </c>
      <c r="H73" s="8" t="str">
        <f aca="false">"att_"&amp;G73</f>
        <v>att_celllines</v>
      </c>
      <c r="I73" s="8" t="s">
        <v>620</v>
      </c>
      <c r="J73" s="8" t="str">
        <f aca="false">H73&amp;":"&amp;I73</f>
        <v>att_celllines:nci_h322m</v>
      </c>
      <c r="K73" s="16" t="s">
        <v>21</v>
      </c>
      <c r="L73" s="8" t="s">
        <v>513</v>
      </c>
      <c r="M73" s="8" t="s">
        <v>2561</v>
      </c>
      <c r="N73" s="8" t="str">
        <f aca="false">"INSERT INTO attributes (parent_id, tag, name, priority, allow_as_filter, allow_for_dataset, allow_for_measurement, allow_for_users, allow_for_qc) VALUES (NULL, '"&amp;H73&amp;"',  '"&amp;F73&amp;"',  500,  TRUE, TRUE, TRUE, FALSE, FALSE);"</f>
        <v>INSERT INTO attributes (parent_id, tag, name, priority, allow_as_filter, allow_for_dataset, allow_for_measurement, allow_for_users, allow_for_qc) VALUES (NULL, 'att_celllines',  'Celllines',  500,  TRUE, TRUE, TRUE, FALSE, FALSE);</v>
      </c>
      <c r="O73" s="8" t="str">
        <f aca="false">"INSERT INTO attribute_values (attribute_id, tag, name, details) VALUES ((SELECT id FROM attributes WHERE tag = '"&amp;H73&amp;"' LIMIT 1),  '"&amp;J73&amp;"',  '"&amp;D73&amp;"',  '"&amp;L73&amp;"'); "</f>
        <v>INSERT INTO attribute_values (attribute_id, tag, name, details) VALUES ((SELECT id FROM attributes WHERE tag = 'att_celllines' LIMIT 1),  'att_celllines:nci_h322m',  'NCI-H322M',  'Human NCI-60 cell line; Non-Small Cell Lung cancer');</v>
      </c>
    </row>
    <row r="74" customFormat="false" ht="12.75" hidden="false" customHeight="false" outlineLevel="0" collapsed="false">
      <c r="A74" s="17" t="n">
        <f aca="false">FALSE()</f>
        <v>0</v>
      </c>
      <c r="B74" s="17"/>
      <c r="C74" s="8" t="s">
        <v>624</v>
      </c>
      <c r="D74" s="8" t="s">
        <v>625</v>
      </c>
      <c r="E74" s="8" t="s">
        <v>17</v>
      </c>
      <c r="F74" s="8" t="s">
        <v>2559</v>
      </c>
      <c r="G74" s="8" t="s">
        <v>2560</v>
      </c>
      <c r="H74" s="8" t="str">
        <f aca="false">"att_"&amp;G74</f>
        <v>att_celllines</v>
      </c>
      <c r="I74" s="8" t="s">
        <v>623</v>
      </c>
      <c r="J74" s="8" t="str">
        <f aca="false">H74&amp;":"&amp;I74</f>
        <v>att_celllines:nci_h460</v>
      </c>
      <c r="K74" s="16" t="s">
        <v>21</v>
      </c>
      <c r="L74" s="8" t="s">
        <v>513</v>
      </c>
      <c r="M74" s="8" t="s">
        <v>2561</v>
      </c>
      <c r="N74" s="8" t="str">
        <f aca="false">"INSERT INTO attributes (parent_id, tag, name, priority, allow_as_filter, allow_for_dataset, allow_for_measurement, allow_for_users, allow_for_qc) VALUES (NULL, '"&amp;H74&amp;"',  '"&amp;F74&amp;"',  500,  TRUE, TRUE, TRUE, FALSE, FALSE);"</f>
        <v>INSERT INTO attributes (parent_id, tag, name, priority, allow_as_filter, allow_for_dataset, allow_for_measurement, allow_for_users, allow_for_qc) VALUES (NULL, 'att_celllines',  'Celllines',  500,  TRUE, TRUE, TRUE, FALSE, FALSE);</v>
      </c>
      <c r="O74" s="8" t="str">
        <f aca="false">"INSERT INTO attribute_values (attribute_id, tag, name, details) VALUES ((SELECT id FROM attributes WHERE tag = '"&amp;H74&amp;"' LIMIT 1),  '"&amp;J74&amp;"',  '"&amp;D74&amp;"',  '"&amp;L74&amp;"'); "</f>
        <v>INSERT INTO attribute_values (attribute_id, tag, name, details) VALUES ((SELECT id FROM attributes WHERE tag = 'att_celllines' LIMIT 1),  'att_celllines:nci_h460',  'NCI-H460',  'Human NCI-60 cell line; Non-Small Cell Lung cancer');</v>
      </c>
    </row>
    <row r="75" customFormat="false" ht="12.75" hidden="false" customHeight="false" outlineLevel="0" collapsed="false">
      <c r="A75" s="17" t="n">
        <f aca="false">FALSE()</f>
        <v>0</v>
      </c>
      <c r="B75" s="17"/>
      <c r="C75" s="8" t="s">
        <v>627</v>
      </c>
      <c r="D75" s="8" t="s">
        <v>628</v>
      </c>
      <c r="E75" s="8" t="s">
        <v>17</v>
      </c>
      <c r="F75" s="8" t="s">
        <v>2559</v>
      </c>
      <c r="G75" s="8" t="s">
        <v>2560</v>
      </c>
      <c r="H75" s="8" t="str">
        <f aca="false">"att_"&amp;G75</f>
        <v>att_celllines</v>
      </c>
      <c r="I75" s="8" t="s">
        <v>626</v>
      </c>
      <c r="J75" s="8" t="str">
        <f aca="false">H75&amp;":"&amp;I75</f>
        <v>att_celllines:nci_h522</v>
      </c>
      <c r="K75" s="16" t="s">
        <v>21</v>
      </c>
      <c r="L75" s="8" t="s">
        <v>513</v>
      </c>
      <c r="M75" s="8" t="s">
        <v>2561</v>
      </c>
      <c r="N75" s="8" t="str">
        <f aca="false">"INSERT INTO attributes (parent_id, tag, name, priority, allow_as_filter, allow_for_dataset, allow_for_measurement, allow_for_users, allow_for_qc) VALUES (NULL, '"&amp;H75&amp;"',  '"&amp;F75&amp;"',  500,  TRUE, TRUE, TRUE, FALSE, FALSE);"</f>
        <v>INSERT INTO attributes (parent_id, tag, name, priority, allow_as_filter, allow_for_dataset, allow_for_measurement, allow_for_users, allow_for_qc) VALUES (NULL, 'att_celllines',  'Celllines',  500,  TRUE, TRUE, TRUE, FALSE, FALSE);</v>
      </c>
      <c r="O75" s="8" t="str">
        <f aca="false">"INSERT INTO attribute_values (attribute_id, tag, name, details) VALUES ((SELECT id FROM attributes WHERE tag = '"&amp;H75&amp;"' LIMIT 1),  '"&amp;J75&amp;"',  '"&amp;D75&amp;"',  '"&amp;L75&amp;"'); "</f>
        <v>INSERT INTO attribute_values (attribute_id, tag, name, details) VALUES ((SELECT id FROM attributes WHERE tag = 'att_celllines' LIMIT 1),  'att_celllines:nci_h522',  'NCI-H522',  'Human NCI-60 cell line; Non-Small Cell Lung cancer');</v>
      </c>
    </row>
    <row r="76" customFormat="false" ht="12.75" hidden="false" customHeight="false" outlineLevel="0" collapsed="false">
      <c r="A76" s="17" t="n">
        <f aca="false">FALSE()</f>
        <v>0</v>
      </c>
      <c r="B76" s="17"/>
      <c r="C76" s="8" t="s">
        <v>629</v>
      </c>
      <c r="D76" s="8" t="s">
        <v>630</v>
      </c>
      <c r="E76" s="8" t="s">
        <v>17</v>
      </c>
      <c r="F76" s="8" t="s">
        <v>2559</v>
      </c>
      <c r="G76" s="8" t="s">
        <v>2560</v>
      </c>
      <c r="H76" s="8" t="str">
        <f aca="false">"att_"&amp;G76</f>
        <v>att_celllines</v>
      </c>
      <c r="I76" s="8" t="s">
        <v>629</v>
      </c>
      <c r="J76" s="8" t="str">
        <f aca="false">H76&amp;":"&amp;I76</f>
        <v>att_celllines:ovcar3</v>
      </c>
      <c r="K76" s="16" t="s">
        <v>21</v>
      </c>
      <c r="L76" s="8" t="s">
        <v>567</v>
      </c>
      <c r="M76" s="8" t="s">
        <v>2561</v>
      </c>
      <c r="N76" s="8" t="str">
        <f aca="false">"INSERT INTO attributes (parent_id, tag, name, priority, allow_as_filter, allow_for_dataset, allow_for_measurement, allow_for_users, allow_for_qc) VALUES (NULL, '"&amp;H76&amp;"',  '"&amp;F76&amp;"',  500,  TRUE, TRUE, TRUE, FALSE, FALSE);"</f>
        <v>INSERT INTO attributes (parent_id, tag, name, priority, allow_as_filter, allow_for_dataset, allow_for_measurement, allow_for_users, allow_for_qc) VALUES (NULL, 'att_celllines',  'Celllines',  500,  TRUE, TRUE, TRUE, FALSE, FALSE);</v>
      </c>
      <c r="O76" s="8" t="str">
        <f aca="false">"INSERT INTO attribute_values (attribute_id, tag, name, details) VALUES ((SELECT id FROM attributes WHERE tag = '"&amp;H76&amp;"' LIMIT 1),  '"&amp;J76&amp;"',  '"&amp;D76&amp;"',  '"&amp;L76&amp;"'); "</f>
        <v>INSERT INTO attribute_values (attribute_id, tag, name, details) VALUES ((SELECT id FROM attributes WHERE tag = 'att_celllines' LIMIT 1),  'att_celllines:ovcar3',  'OVCAR-3',  'Human NCI-60 cell line; Ovarian Cancer');</v>
      </c>
    </row>
    <row r="77" customFormat="false" ht="12.75" hidden="false" customHeight="false" outlineLevel="0" collapsed="false">
      <c r="A77" s="17" t="n">
        <f aca="false">FALSE()</f>
        <v>0</v>
      </c>
      <c r="B77" s="17"/>
      <c r="C77" s="8" t="s">
        <v>631</v>
      </c>
      <c r="D77" s="8" t="s">
        <v>632</v>
      </c>
      <c r="E77" s="8" t="s">
        <v>17</v>
      </c>
      <c r="F77" s="8" t="s">
        <v>2559</v>
      </c>
      <c r="G77" s="8" t="s">
        <v>2560</v>
      </c>
      <c r="H77" s="8" t="str">
        <f aca="false">"att_"&amp;G77</f>
        <v>att_celllines</v>
      </c>
      <c r="I77" s="8" t="s">
        <v>631</v>
      </c>
      <c r="J77" s="8" t="str">
        <f aca="false">H77&amp;":"&amp;I77</f>
        <v>att_celllines:ovcar4</v>
      </c>
      <c r="K77" s="16" t="s">
        <v>21</v>
      </c>
      <c r="L77" s="8" t="s">
        <v>567</v>
      </c>
      <c r="M77" s="8" t="s">
        <v>2561</v>
      </c>
      <c r="N77" s="8" t="str">
        <f aca="false">"INSERT INTO attributes (parent_id, tag, name, priority, allow_as_filter, allow_for_dataset, allow_for_measurement, allow_for_users, allow_for_qc) VALUES (NULL, '"&amp;H77&amp;"',  '"&amp;F77&amp;"',  500,  TRUE, TRUE, TRUE, FALSE, FALSE);"</f>
        <v>INSERT INTO attributes (parent_id, tag, name, priority, allow_as_filter, allow_for_dataset, allow_for_measurement, allow_for_users, allow_for_qc) VALUES (NULL, 'att_celllines',  'Celllines',  500,  TRUE, TRUE, TRUE, FALSE, FALSE);</v>
      </c>
      <c r="O77" s="8" t="str">
        <f aca="false">"INSERT INTO attribute_values (attribute_id, tag, name, details) VALUES ((SELECT id FROM attributes WHERE tag = '"&amp;H77&amp;"' LIMIT 1),  '"&amp;J77&amp;"',  '"&amp;D77&amp;"',  '"&amp;L77&amp;"'); "</f>
        <v>INSERT INTO attribute_values (attribute_id, tag, name, details) VALUES ((SELECT id FROM attributes WHERE tag = 'att_celllines' LIMIT 1),  'att_celllines:ovcar4',  'OVCAR-4',  'Human NCI-60 cell line; Ovarian Cancer');</v>
      </c>
    </row>
    <row r="78" customFormat="false" ht="12.75" hidden="false" customHeight="false" outlineLevel="0" collapsed="false">
      <c r="A78" s="17" t="n">
        <f aca="false">FALSE()</f>
        <v>0</v>
      </c>
      <c r="B78" s="17"/>
      <c r="C78" s="8" t="s">
        <v>633</v>
      </c>
      <c r="D78" s="8" t="s">
        <v>634</v>
      </c>
      <c r="E78" s="8" t="s">
        <v>17</v>
      </c>
      <c r="F78" s="8" t="s">
        <v>2559</v>
      </c>
      <c r="G78" s="8" t="s">
        <v>2560</v>
      </c>
      <c r="H78" s="8" t="str">
        <f aca="false">"att_"&amp;G78</f>
        <v>att_celllines</v>
      </c>
      <c r="I78" s="8" t="s">
        <v>633</v>
      </c>
      <c r="J78" s="8" t="str">
        <f aca="false">H78&amp;":"&amp;I78</f>
        <v>att_celllines:ovcar5</v>
      </c>
      <c r="K78" s="16" t="s">
        <v>21</v>
      </c>
      <c r="L78" s="8" t="s">
        <v>567</v>
      </c>
      <c r="M78" s="8" t="s">
        <v>2561</v>
      </c>
      <c r="N78" s="8" t="str">
        <f aca="false">"INSERT INTO attributes (parent_id, tag, name, priority, allow_as_filter, allow_for_dataset, allow_for_measurement, allow_for_users, allow_for_qc) VALUES (NULL, '"&amp;H78&amp;"',  '"&amp;F78&amp;"',  500,  TRUE, TRUE, TRUE, FALSE, FALSE);"</f>
        <v>INSERT INTO attributes (parent_id, tag, name, priority, allow_as_filter, allow_for_dataset, allow_for_measurement, allow_for_users, allow_for_qc) VALUES (NULL, 'att_celllines',  'Celllines',  500,  TRUE, TRUE, TRUE, FALSE, FALSE);</v>
      </c>
      <c r="O78" s="8" t="str">
        <f aca="false">"INSERT INTO attribute_values (attribute_id, tag, name, details) VALUES ((SELECT id FROM attributes WHERE tag = '"&amp;H78&amp;"' LIMIT 1),  '"&amp;J78&amp;"',  '"&amp;D78&amp;"',  '"&amp;L78&amp;"'); "</f>
        <v>INSERT INTO attribute_values (attribute_id, tag, name, details) VALUES ((SELECT id FROM attributes WHERE tag = 'att_celllines' LIMIT 1),  'att_celllines:ovcar5',  'OVCAR-5',  'Human NCI-60 cell line; Ovarian Cancer');</v>
      </c>
    </row>
    <row r="79" customFormat="false" ht="12.75" hidden="false" customHeight="false" outlineLevel="0" collapsed="false">
      <c r="A79" s="17" t="n">
        <f aca="false">FALSE()</f>
        <v>0</v>
      </c>
      <c r="B79" s="17"/>
      <c r="C79" s="8" t="s">
        <v>635</v>
      </c>
      <c r="D79" s="8" t="s">
        <v>636</v>
      </c>
      <c r="E79" s="8" t="s">
        <v>17</v>
      </c>
      <c r="F79" s="8" t="s">
        <v>2559</v>
      </c>
      <c r="G79" s="8" t="s">
        <v>2560</v>
      </c>
      <c r="H79" s="8" t="str">
        <f aca="false">"att_"&amp;G79</f>
        <v>att_celllines</v>
      </c>
      <c r="I79" s="8" t="s">
        <v>635</v>
      </c>
      <c r="J79" s="8" t="str">
        <f aca="false">H79&amp;":"&amp;I79</f>
        <v>att_celllines:ovcar8</v>
      </c>
      <c r="K79" s="16" t="s">
        <v>21</v>
      </c>
      <c r="L79" s="8" t="s">
        <v>567</v>
      </c>
      <c r="M79" s="8" t="s">
        <v>2561</v>
      </c>
      <c r="N79" s="8" t="str">
        <f aca="false">"INSERT INTO attributes (parent_id, tag, name, priority, allow_as_filter, allow_for_dataset, allow_for_measurement, allow_for_users, allow_for_qc) VALUES (NULL, '"&amp;H79&amp;"',  '"&amp;F79&amp;"',  500,  TRUE, TRUE, TRUE, FALSE, FALSE);"</f>
        <v>INSERT INTO attributes (parent_id, tag, name, priority, allow_as_filter, allow_for_dataset, allow_for_measurement, allow_for_users, allow_for_qc) VALUES (NULL, 'att_celllines',  'Celllines',  500,  TRUE, TRUE, TRUE, FALSE, FALSE);</v>
      </c>
      <c r="O79" s="8" t="str">
        <f aca="false">"INSERT INTO attribute_values (attribute_id, tag, name, details) VALUES ((SELECT id FROM attributes WHERE tag = '"&amp;H79&amp;"' LIMIT 1),  '"&amp;J79&amp;"',  '"&amp;D79&amp;"',  '"&amp;L79&amp;"'); "</f>
        <v>INSERT INTO attribute_values (attribute_id, tag, name, details) VALUES ((SELECT id FROM attributes WHERE tag = 'att_celllines' LIMIT 1),  'att_celllines:ovcar8',  'OVCAR-8',  'Human NCI-60 cell line; Ovarian Cancer');</v>
      </c>
    </row>
    <row r="80" customFormat="false" ht="12.75" hidden="false" customHeight="false" outlineLevel="0" collapsed="false">
      <c r="A80" s="17" t="n">
        <f aca="false">FALSE()</f>
        <v>0</v>
      </c>
      <c r="B80" s="17"/>
      <c r="C80" s="8" t="s">
        <v>637</v>
      </c>
      <c r="D80" s="8" t="s">
        <v>638</v>
      </c>
      <c r="E80" s="8" t="s">
        <v>17</v>
      </c>
      <c r="F80" s="8" t="s">
        <v>2559</v>
      </c>
      <c r="G80" s="8" t="s">
        <v>2560</v>
      </c>
      <c r="H80" s="8" t="str">
        <f aca="false">"att_"&amp;G80</f>
        <v>att_celllines</v>
      </c>
      <c r="I80" s="8" t="s">
        <v>637</v>
      </c>
      <c r="J80" s="8" t="str">
        <f aca="false">H80&amp;":"&amp;I80</f>
        <v>att_celllines:p388</v>
      </c>
      <c r="K80" s="16" t="s">
        <v>21</v>
      </c>
      <c r="L80" s="8" t="s">
        <v>639</v>
      </c>
      <c r="M80" s="8" t="s">
        <v>17</v>
      </c>
      <c r="N80" s="8" t="str">
        <f aca="false">"INSERT INTO attributes (parent_id, tag, name, priority, allow_as_filter, allow_for_dataset, allow_for_measurement, allow_for_users, allow_for_qc) VALUES (NULL, '"&amp;H80&amp;"',  '"&amp;F80&amp;"',  500,  TRUE, TRUE, TRUE, FALSE, FALSE);"</f>
        <v>INSERT INTO attributes (parent_id, tag, name, priority, allow_as_filter, allow_for_dataset, allow_for_measurement, allow_for_users, allow_for_qc) VALUES (NULL, 'att_celllines',  'Celllines',  500,  TRUE, TRUE, TRUE, FALSE, FALSE);</v>
      </c>
      <c r="O80" s="8" t="str">
        <f aca="false">"INSERT INTO attribute_values (attribute_id, tag, name, details) VALUES ((SELECT id FROM attributes WHERE tag = '"&amp;H80&amp;"' LIMIT 1),  '"&amp;J80&amp;"',  '"&amp;D80&amp;"',  '"&amp;L80&amp;"'); "</f>
        <v>INSERT INTO attribute_values (attribute_id, tag, name, details) VALUES ((SELECT id FROM attributes WHERE tag = 'att_celllines' LIMIT 1),  'att_celllines:p388',  'P388',  'Leukemia');</v>
      </c>
    </row>
    <row r="81" customFormat="false" ht="12.75" hidden="false" customHeight="false" outlineLevel="0" collapsed="false">
      <c r="A81" s="17" t="n">
        <f aca="false">FALSE()</f>
        <v>0</v>
      </c>
      <c r="B81" s="17"/>
      <c r="C81" s="8" t="s">
        <v>640</v>
      </c>
      <c r="D81" s="8" t="s">
        <v>641</v>
      </c>
      <c r="E81" s="8" t="s">
        <v>17</v>
      </c>
      <c r="F81" s="8" t="s">
        <v>2559</v>
      </c>
      <c r="G81" s="8" t="s">
        <v>2560</v>
      </c>
      <c r="H81" s="8" t="str">
        <f aca="false">"att_"&amp;G81</f>
        <v>att_celllines</v>
      </c>
      <c r="I81" s="8" t="s">
        <v>640</v>
      </c>
      <c r="J81" s="8" t="str">
        <f aca="false">H81&amp;":"&amp;I81</f>
        <v>att_celllines:pc3</v>
      </c>
      <c r="K81" s="16" t="s">
        <v>21</v>
      </c>
      <c r="L81" s="8" t="s">
        <v>537</v>
      </c>
      <c r="M81" s="8" t="s">
        <v>2561</v>
      </c>
      <c r="N81" s="8" t="str">
        <f aca="false">"INSERT INTO attributes (parent_id, tag, name, priority, allow_as_filter, allow_for_dataset, allow_for_measurement, allow_for_users, allow_for_qc) VALUES (NULL, '"&amp;H81&amp;"',  '"&amp;F81&amp;"',  500,  TRUE, TRUE, TRUE, FALSE, FALSE);"</f>
        <v>INSERT INTO attributes (parent_id, tag, name, priority, allow_as_filter, allow_for_dataset, allow_for_measurement, allow_for_users, allow_for_qc) VALUES (NULL, 'att_celllines',  'Celllines',  500,  TRUE, TRUE, TRUE, FALSE, FALSE);</v>
      </c>
      <c r="O81" s="8" t="str">
        <f aca="false">"INSERT INTO attribute_values (attribute_id, tag, name, details) VALUES ((SELECT id FROM attributes WHERE tag = '"&amp;H81&amp;"' LIMIT 1),  '"&amp;J81&amp;"',  '"&amp;D81&amp;"',  '"&amp;L81&amp;"'); "</f>
        <v>INSERT INTO attribute_values (attribute_id, tag, name, details) VALUES ((SELECT id FROM attributes WHERE tag = 'att_celllines' LIMIT 1),  'att_celllines:pc3',  'PC-3',  'Human NCI-60 cell line; Prostate Cancer');</v>
      </c>
    </row>
    <row r="82" customFormat="false" ht="12.75" hidden="false" customHeight="false" outlineLevel="0" collapsed="false">
      <c r="A82" s="17" t="n">
        <f aca="false">FALSE()</f>
        <v>0</v>
      </c>
      <c r="B82" s="17"/>
      <c r="C82" s="8" t="s">
        <v>642</v>
      </c>
      <c r="D82" s="8" t="s">
        <v>643</v>
      </c>
      <c r="E82" s="8" t="s">
        <v>17</v>
      </c>
      <c r="F82" s="8" t="s">
        <v>2559</v>
      </c>
      <c r="G82" s="8" t="s">
        <v>2560</v>
      </c>
      <c r="H82" s="8" t="str">
        <f aca="false">"att_"&amp;G82</f>
        <v>att_celllines</v>
      </c>
      <c r="I82" s="8" t="s">
        <v>642</v>
      </c>
      <c r="J82" s="8" t="str">
        <f aca="false">H82&amp;":"&amp;I82</f>
        <v>att_celllines:rec1</v>
      </c>
      <c r="K82" s="16" t="s">
        <v>21</v>
      </c>
      <c r="L82" s="8" t="s">
        <v>573</v>
      </c>
      <c r="M82" s="8" t="s">
        <v>17</v>
      </c>
      <c r="N82" s="8" t="str">
        <f aca="false">"INSERT INTO attributes (parent_id, tag, name, priority, allow_as_filter, allow_for_dataset, allow_for_measurement, allow_for_users, allow_for_qc) VALUES (NULL, '"&amp;H82&amp;"',  '"&amp;F82&amp;"',  500,  TRUE, TRUE, TRUE, FALSE, FALSE);"</f>
        <v>INSERT INTO attributes (parent_id, tag, name, priority, allow_as_filter, allow_for_dataset, allow_for_measurement, allow_for_users, allow_for_qc) VALUES (NULL, 'att_celllines',  'Celllines',  500,  TRUE, TRUE, TRUE, FALSE, FALSE);</v>
      </c>
      <c r="O82" s="8" t="str">
        <f aca="false">"INSERT INTO attribute_values (attribute_id, tag, name, details) VALUES ((SELECT id FROM attributes WHERE tag = '"&amp;H82&amp;"' LIMIT 1),  '"&amp;J82&amp;"',  '"&amp;D82&amp;"',  '"&amp;L82&amp;"'); "</f>
        <v>INSERT INTO attribute_values (attribute_id, tag, name, details) VALUES ((SELECT id FROM attributes WHERE tag = 'att_celllines' LIMIT 1),  'att_celllines:rec1',  'REC-1',  'Human Mantle cell lymphoma');</v>
      </c>
    </row>
    <row r="83" customFormat="false" ht="12.75" hidden="false" customHeight="false" outlineLevel="0" collapsed="false">
      <c r="A83" s="17" t="n">
        <f aca="false">FALSE()</f>
        <v>0</v>
      </c>
      <c r="B83" s="17"/>
      <c r="C83" s="8" t="s">
        <v>644</v>
      </c>
      <c r="D83" s="8" t="s">
        <v>645</v>
      </c>
      <c r="E83" s="8" t="s">
        <v>17</v>
      </c>
      <c r="F83" s="8" t="s">
        <v>2559</v>
      </c>
      <c r="G83" s="8" t="s">
        <v>2560</v>
      </c>
      <c r="H83" s="8" t="str">
        <f aca="false">"att_"&amp;G83</f>
        <v>att_celllines</v>
      </c>
      <c r="I83" s="8" t="s">
        <v>644</v>
      </c>
      <c r="J83" s="8" t="str">
        <f aca="false">H83&amp;":"&amp;I83</f>
        <v>att_celllines:rpmi8226</v>
      </c>
      <c r="K83" s="16" t="s">
        <v>21</v>
      </c>
      <c r="L83" s="8" t="s">
        <v>534</v>
      </c>
      <c r="M83" s="8" t="s">
        <v>2561</v>
      </c>
      <c r="N83" s="8" t="str">
        <f aca="false">"INSERT INTO attributes (parent_id, tag, name, priority, allow_as_filter, allow_for_dataset, allow_for_measurement, allow_for_users, allow_for_qc) VALUES (NULL, '"&amp;H83&amp;"',  '"&amp;F83&amp;"',  500,  TRUE, TRUE, TRUE, FALSE, FALSE);"</f>
        <v>INSERT INTO attributes (parent_id, tag, name, priority, allow_as_filter, allow_for_dataset, allow_for_measurement, allow_for_users, allow_for_qc) VALUES (NULL, 'att_celllines',  'Celllines',  500,  TRUE, TRUE, TRUE, FALSE, FALSE);</v>
      </c>
      <c r="O83" s="8" t="str">
        <f aca="false">"INSERT INTO attribute_values (attribute_id, tag, name, details) VALUES ((SELECT id FROM attributes WHERE tag = '"&amp;H83&amp;"' LIMIT 1),  '"&amp;J83&amp;"',  '"&amp;D83&amp;"',  '"&amp;L83&amp;"'); "</f>
        <v>INSERT INTO attribute_values (attribute_id, tag, name, details) VALUES ((SELECT id FROM attributes WHERE tag = 'att_celllines' LIMIT 1),  'att_celllines:rpmi8226',  'RPMI-8226',  'Human NCI-60 cell line; Leukemia');</v>
      </c>
    </row>
    <row r="84" customFormat="false" ht="12.75" hidden="false" customHeight="false" outlineLevel="0" collapsed="false">
      <c r="A84" s="17" t="n">
        <f aca="false">FALSE()</f>
        <v>0</v>
      </c>
      <c r="B84" s="17"/>
      <c r="C84" s="8" t="s">
        <v>646</v>
      </c>
      <c r="D84" s="8" t="s">
        <v>647</v>
      </c>
      <c r="E84" s="8" t="s">
        <v>17</v>
      </c>
      <c r="F84" s="8" t="s">
        <v>2559</v>
      </c>
      <c r="G84" s="8" t="s">
        <v>2560</v>
      </c>
      <c r="H84" s="8" t="str">
        <f aca="false">"att_"&amp;G84</f>
        <v>att_celllines</v>
      </c>
      <c r="I84" s="8" t="s">
        <v>646</v>
      </c>
      <c r="J84" s="8" t="str">
        <f aca="false">H84&amp;":"&amp;I84</f>
        <v>att_celllines:rxf393</v>
      </c>
      <c r="K84" s="16" t="s">
        <v>21</v>
      </c>
      <c r="L84" s="8" t="s">
        <v>508</v>
      </c>
      <c r="M84" s="8" t="s">
        <v>2561</v>
      </c>
      <c r="N84" s="8" t="str">
        <f aca="false">"INSERT INTO attributes (parent_id, tag, name, priority, allow_as_filter, allow_for_dataset, allow_for_measurement, allow_for_users, allow_for_qc) VALUES (NULL, '"&amp;H84&amp;"',  '"&amp;F84&amp;"',  500,  TRUE, TRUE, TRUE, FALSE, FALSE);"</f>
        <v>INSERT INTO attributes (parent_id, tag, name, priority, allow_as_filter, allow_for_dataset, allow_for_measurement, allow_for_users, allow_for_qc) VALUES (NULL, 'att_celllines',  'Celllines',  500,  TRUE, TRUE, TRUE, FALSE, FALSE);</v>
      </c>
      <c r="O84" s="8" t="str">
        <f aca="false">"INSERT INTO attribute_values (attribute_id, tag, name, details) VALUES ((SELECT id FROM attributes WHERE tag = '"&amp;H84&amp;"' LIMIT 1),  '"&amp;J84&amp;"',  '"&amp;D84&amp;"',  '"&amp;L84&amp;"'); "</f>
        <v>INSERT INTO attribute_values (attribute_id, tag, name, details) VALUES ((SELECT id FROM attributes WHERE tag = 'att_celllines' LIMIT 1),  'att_celllines:rxf393',  'RXF 393',  'Human NCI-60 cell line; Renal Cancer');</v>
      </c>
    </row>
    <row r="85" customFormat="false" ht="12.75" hidden="false" customHeight="false" outlineLevel="0" collapsed="false">
      <c r="A85" s="17" t="n">
        <f aca="false">FALSE()</f>
        <v>0</v>
      </c>
      <c r="B85" s="17"/>
      <c r="C85" s="8" t="s">
        <v>648</v>
      </c>
      <c r="D85" s="8" t="s">
        <v>649</v>
      </c>
      <c r="E85" s="8" t="s">
        <v>17</v>
      </c>
      <c r="F85" s="8" t="s">
        <v>2559</v>
      </c>
      <c r="G85" s="8" t="s">
        <v>2560</v>
      </c>
      <c r="H85" s="8" t="str">
        <f aca="false">"att_"&amp;G85</f>
        <v>att_celllines</v>
      </c>
      <c r="I85" s="8" t="s">
        <v>648</v>
      </c>
      <c r="J85" s="8" t="str">
        <f aca="false">H85&amp;":"&amp;I85</f>
        <v>att_celllines:sf268</v>
      </c>
      <c r="K85" s="16" t="s">
        <v>21</v>
      </c>
      <c r="L85" s="8" t="s">
        <v>650</v>
      </c>
      <c r="M85" s="8" t="s">
        <v>2561</v>
      </c>
      <c r="N85" s="8" t="str">
        <f aca="false">"INSERT INTO attributes (parent_id, tag, name, priority, allow_as_filter, allow_for_dataset, allow_for_measurement, allow_for_users, allow_for_qc) VALUES (NULL, '"&amp;H85&amp;"',  '"&amp;F85&amp;"',  500,  TRUE, TRUE, TRUE, FALSE, FALSE);"</f>
        <v>INSERT INTO attributes (parent_id, tag, name, priority, allow_as_filter, allow_for_dataset, allow_for_measurement, allow_for_users, allow_for_qc) VALUES (NULL, 'att_celllines',  'Celllines',  500,  TRUE, TRUE, TRUE, FALSE, FALSE);</v>
      </c>
      <c r="O85" s="8" t="str">
        <f aca="false">"INSERT INTO attribute_values (attribute_id, tag, name, details) VALUES ((SELECT id FROM attributes WHERE tag = '"&amp;H85&amp;"' LIMIT 1),  '"&amp;J85&amp;"',  '"&amp;D85&amp;"',  '"&amp;L85&amp;"'); "</f>
        <v>INSERT INTO attribute_values (attribute_id, tag, name, details) VALUES ((SELECT id FROM attributes WHERE tag = 'att_celllines' LIMIT 1),  'att_celllines:sf268',  'SF-268',  'Human NCI-60 cell line; central nervous system (CNS) tumor ');</v>
      </c>
    </row>
    <row r="86" customFormat="false" ht="12.75" hidden="false" customHeight="false" outlineLevel="0" collapsed="false">
      <c r="A86" s="17" t="n">
        <f aca="false">FALSE()</f>
        <v>0</v>
      </c>
      <c r="B86" s="17"/>
      <c r="C86" s="8" t="s">
        <v>651</v>
      </c>
      <c r="D86" s="8" t="s">
        <v>652</v>
      </c>
      <c r="E86" s="8" t="s">
        <v>17</v>
      </c>
      <c r="F86" s="8" t="s">
        <v>2559</v>
      </c>
      <c r="G86" s="8" t="s">
        <v>2560</v>
      </c>
      <c r="H86" s="8" t="str">
        <f aca="false">"att_"&amp;G86</f>
        <v>att_celllines</v>
      </c>
      <c r="I86" s="8" t="s">
        <v>651</v>
      </c>
      <c r="J86" s="8" t="str">
        <f aca="false">H86&amp;":"&amp;I86</f>
        <v>att_celllines:sf295</v>
      </c>
      <c r="K86" s="16" t="s">
        <v>21</v>
      </c>
      <c r="L86" s="8" t="s">
        <v>650</v>
      </c>
      <c r="M86" s="8" t="s">
        <v>2561</v>
      </c>
      <c r="N86" s="8" t="str">
        <f aca="false">"INSERT INTO attributes (parent_id, tag, name, priority, allow_as_filter, allow_for_dataset, allow_for_measurement, allow_for_users, allow_for_qc) VALUES (NULL, '"&amp;H86&amp;"',  '"&amp;F86&amp;"',  500,  TRUE, TRUE, TRUE, FALSE, FALSE);"</f>
        <v>INSERT INTO attributes (parent_id, tag, name, priority, allow_as_filter, allow_for_dataset, allow_for_measurement, allow_for_users, allow_for_qc) VALUES (NULL, 'att_celllines',  'Celllines',  500,  TRUE, TRUE, TRUE, FALSE, FALSE);</v>
      </c>
      <c r="O86" s="8" t="str">
        <f aca="false">"INSERT INTO attribute_values (attribute_id, tag, name, details) VALUES ((SELECT id FROM attributes WHERE tag = '"&amp;H86&amp;"' LIMIT 1),  '"&amp;J86&amp;"',  '"&amp;D86&amp;"',  '"&amp;L86&amp;"'); "</f>
        <v>INSERT INTO attribute_values (attribute_id, tag, name, details) VALUES ((SELECT id FROM attributes WHERE tag = 'att_celllines' LIMIT 1),  'att_celllines:sf295',  'SF-295',  'Human NCI-60 cell line; central nervous system (CNS) tumor ');</v>
      </c>
    </row>
    <row r="87" customFormat="false" ht="12.75" hidden="false" customHeight="false" outlineLevel="0" collapsed="false">
      <c r="A87" s="17" t="n">
        <f aca="false">FALSE()</f>
        <v>0</v>
      </c>
      <c r="B87" s="17"/>
      <c r="C87" s="8" t="s">
        <v>653</v>
      </c>
      <c r="D87" s="8" t="s">
        <v>654</v>
      </c>
      <c r="E87" s="8" t="s">
        <v>17</v>
      </c>
      <c r="F87" s="8" t="s">
        <v>2559</v>
      </c>
      <c r="G87" s="8" t="s">
        <v>2560</v>
      </c>
      <c r="H87" s="8" t="str">
        <f aca="false">"att_"&amp;G87</f>
        <v>att_celllines</v>
      </c>
      <c r="I87" s="8" t="s">
        <v>653</v>
      </c>
      <c r="J87" s="8" t="str">
        <f aca="false">H87&amp;":"&amp;I87</f>
        <v>att_celllines:sf539</v>
      </c>
      <c r="K87" s="16" t="s">
        <v>21</v>
      </c>
      <c r="L87" s="8" t="s">
        <v>650</v>
      </c>
      <c r="M87" s="8" t="s">
        <v>2561</v>
      </c>
      <c r="N87" s="8" t="str">
        <f aca="false">"INSERT INTO attributes (parent_id, tag, name, priority, allow_as_filter, allow_for_dataset, allow_for_measurement, allow_for_users, allow_for_qc) VALUES (NULL, '"&amp;H87&amp;"',  '"&amp;F87&amp;"',  500,  TRUE, TRUE, TRUE, FALSE, FALSE);"</f>
        <v>INSERT INTO attributes (parent_id, tag, name, priority, allow_as_filter, allow_for_dataset, allow_for_measurement, allow_for_users, allow_for_qc) VALUES (NULL, 'att_celllines',  'Celllines',  500,  TRUE, TRUE, TRUE, FALSE, FALSE);</v>
      </c>
      <c r="O87" s="8" t="str">
        <f aca="false">"INSERT INTO attribute_values (attribute_id, tag, name, details) VALUES ((SELECT id FROM attributes WHERE tag = '"&amp;H87&amp;"' LIMIT 1),  '"&amp;J87&amp;"',  '"&amp;D87&amp;"',  '"&amp;L87&amp;"'); "</f>
        <v>INSERT INTO attribute_values (attribute_id, tag, name, details) VALUES ((SELECT id FROM attributes WHERE tag = 'att_celllines' LIMIT 1),  'att_celllines:sf539',  'SF-539',  'Human NCI-60 cell line; central nervous system (CNS) tumor ');</v>
      </c>
    </row>
    <row r="88" customFormat="false" ht="12.75" hidden="false" customHeight="false" outlineLevel="0" collapsed="false">
      <c r="A88" s="17" t="n">
        <f aca="false">FALSE()</f>
        <v>0</v>
      </c>
      <c r="B88" s="17"/>
      <c r="C88" s="8" t="s">
        <v>655</v>
      </c>
      <c r="D88" s="8" t="s">
        <v>656</v>
      </c>
      <c r="E88" s="8" t="s">
        <v>17</v>
      </c>
      <c r="F88" s="8" t="s">
        <v>2559</v>
      </c>
      <c r="G88" s="8" t="s">
        <v>2560</v>
      </c>
      <c r="H88" s="8" t="str">
        <f aca="false">"att_"&amp;G88</f>
        <v>att_celllines</v>
      </c>
      <c r="I88" s="8" t="s">
        <v>655</v>
      </c>
      <c r="J88" s="8" t="str">
        <f aca="false">H88&amp;":"&amp;I88</f>
        <v>att_celllines:skmel2</v>
      </c>
      <c r="K88" s="16" t="s">
        <v>21</v>
      </c>
      <c r="L88" s="8" t="s">
        <v>587</v>
      </c>
      <c r="M88" s="8" t="s">
        <v>2561</v>
      </c>
      <c r="N88" s="8" t="str">
        <f aca="false">"INSERT INTO attributes (parent_id, tag, name, priority, allow_as_filter, allow_for_dataset, allow_for_measurement, allow_for_users, allow_for_qc) VALUES (NULL, '"&amp;H88&amp;"',  '"&amp;F88&amp;"',  500,  TRUE, TRUE, TRUE, FALSE, FALSE);"</f>
        <v>INSERT INTO attributes (parent_id, tag, name, priority, allow_as_filter, allow_for_dataset, allow_for_measurement, allow_for_users, allow_for_qc) VALUES (NULL, 'att_celllines',  'Celllines',  500,  TRUE, TRUE, TRUE, FALSE, FALSE);</v>
      </c>
      <c r="O88" s="8" t="str">
        <f aca="false">"INSERT INTO attribute_values (attribute_id, tag, name, details) VALUES ((SELECT id FROM attributes WHERE tag = '"&amp;H88&amp;"' LIMIT 1),  '"&amp;J88&amp;"',  '"&amp;D88&amp;"',  '"&amp;L88&amp;"'); "</f>
        <v>INSERT INTO attribute_values (attribute_id, tag, name, details) VALUES ((SELECT id FROM attributes WHERE tag = 'att_celllines' LIMIT 1),  'att_celllines:skmel2',  'SK-MEL-2',  'Human NCI-60 cell line; Melanoma');</v>
      </c>
    </row>
    <row r="89" customFormat="false" ht="12.75" hidden="false" customHeight="false" outlineLevel="0" collapsed="false">
      <c r="A89" s="17" t="n">
        <f aca="false">FALSE()</f>
        <v>0</v>
      </c>
      <c r="B89" s="17"/>
      <c r="C89" s="8" t="s">
        <v>657</v>
      </c>
      <c r="D89" s="8" t="s">
        <v>658</v>
      </c>
      <c r="E89" s="8" t="s">
        <v>17</v>
      </c>
      <c r="F89" s="8" t="s">
        <v>2559</v>
      </c>
      <c r="G89" s="8" t="s">
        <v>2560</v>
      </c>
      <c r="H89" s="8" t="str">
        <f aca="false">"att_"&amp;G89</f>
        <v>att_celllines</v>
      </c>
      <c r="I89" s="8" t="s">
        <v>657</v>
      </c>
      <c r="J89" s="8" t="str">
        <f aca="false">H89&amp;":"&amp;I89</f>
        <v>att_celllines:skmel28</v>
      </c>
      <c r="K89" s="16" t="s">
        <v>21</v>
      </c>
      <c r="L89" s="8" t="s">
        <v>587</v>
      </c>
      <c r="M89" s="8" t="s">
        <v>2561</v>
      </c>
      <c r="N89" s="8" t="str">
        <f aca="false">"INSERT INTO attributes (parent_id, tag, name, priority, allow_as_filter, allow_for_dataset, allow_for_measurement, allow_for_users, allow_for_qc) VALUES (NULL, '"&amp;H89&amp;"',  '"&amp;F89&amp;"',  500,  TRUE, TRUE, TRUE, FALSE, FALSE);"</f>
        <v>INSERT INTO attributes (parent_id, tag, name, priority, allow_as_filter, allow_for_dataset, allow_for_measurement, allow_for_users, allow_for_qc) VALUES (NULL, 'att_celllines',  'Celllines',  500,  TRUE, TRUE, TRUE, FALSE, FALSE);</v>
      </c>
      <c r="O89" s="8" t="str">
        <f aca="false">"INSERT INTO attribute_values (attribute_id, tag, name, details) VALUES ((SELECT id FROM attributes WHERE tag = '"&amp;H89&amp;"' LIMIT 1),  '"&amp;J89&amp;"',  '"&amp;D89&amp;"',  '"&amp;L89&amp;"'); "</f>
        <v>INSERT INTO attribute_values (attribute_id, tag, name, details) VALUES ((SELECT id FROM attributes WHERE tag = 'att_celllines' LIMIT 1),  'att_celllines:skmel28',  'SK-MEL-28',  'Human NCI-60 cell line; Melanoma');</v>
      </c>
    </row>
    <row r="90" customFormat="false" ht="12.75" hidden="false" customHeight="false" outlineLevel="0" collapsed="false">
      <c r="A90" s="17" t="n">
        <f aca="false">FALSE()</f>
        <v>0</v>
      </c>
      <c r="B90" s="17"/>
      <c r="C90" s="8" t="s">
        <v>659</v>
      </c>
      <c r="D90" s="8" t="s">
        <v>660</v>
      </c>
      <c r="E90" s="8" t="s">
        <v>17</v>
      </c>
      <c r="F90" s="8" t="s">
        <v>2559</v>
      </c>
      <c r="G90" s="8" t="s">
        <v>2560</v>
      </c>
      <c r="H90" s="8" t="str">
        <f aca="false">"att_"&amp;G90</f>
        <v>att_celllines</v>
      </c>
      <c r="I90" s="8" t="s">
        <v>659</v>
      </c>
      <c r="J90" s="8" t="str">
        <f aca="false">H90&amp;":"&amp;I90</f>
        <v>att_celllines:skmel5</v>
      </c>
      <c r="K90" s="16" t="s">
        <v>21</v>
      </c>
      <c r="L90" s="8" t="s">
        <v>587</v>
      </c>
      <c r="M90" s="8" t="s">
        <v>2561</v>
      </c>
      <c r="N90" s="8" t="str">
        <f aca="false">"INSERT INTO attributes (parent_id, tag, name, priority, allow_as_filter, allow_for_dataset, allow_for_measurement, allow_for_users, allow_for_qc) VALUES (NULL, '"&amp;H90&amp;"',  '"&amp;F90&amp;"',  500,  TRUE, TRUE, TRUE, FALSE, FALSE);"</f>
        <v>INSERT INTO attributes (parent_id, tag, name, priority, allow_as_filter, allow_for_dataset, allow_for_measurement, allow_for_users, allow_for_qc) VALUES (NULL, 'att_celllines',  'Celllines',  500,  TRUE, TRUE, TRUE, FALSE, FALSE);</v>
      </c>
      <c r="O90" s="8" t="str">
        <f aca="false">"INSERT INTO attribute_values (attribute_id, tag, name, details) VALUES ((SELECT id FROM attributes WHERE tag = '"&amp;H90&amp;"' LIMIT 1),  '"&amp;J90&amp;"',  '"&amp;D90&amp;"',  '"&amp;L90&amp;"'); "</f>
        <v>INSERT INTO attribute_values (attribute_id, tag, name, details) VALUES ((SELECT id FROM attributes WHERE tag = 'att_celllines' LIMIT 1),  'att_celllines:skmel5',  'SK-MEL-5',  'Human NCI-60 cell line; Melanoma');</v>
      </c>
    </row>
    <row r="91" customFormat="false" ht="12.75" hidden="false" customHeight="false" outlineLevel="0" collapsed="false">
      <c r="A91" s="17" t="n">
        <f aca="false">FALSE()</f>
        <v>0</v>
      </c>
      <c r="B91" s="17"/>
      <c r="C91" s="8" t="s">
        <v>661</v>
      </c>
      <c r="D91" s="8" t="s">
        <v>662</v>
      </c>
      <c r="E91" s="8" t="s">
        <v>17</v>
      </c>
      <c r="F91" s="8" t="s">
        <v>2559</v>
      </c>
      <c r="G91" s="8" t="s">
        <v>2560</v>
      </c>
      <c r="H91" s="8" t="str">
        <f aca="false">"att_"&amp;G91</f>
        <v>att_celllines</v>
      </c>
      <c r="I91" s="8" t="s">
        <v>661</v>
      </c>
      <c r="J91" s="8" t="str">
        <f aca="false">H91&amp;":"&amp;I91</f>
        <v>att_celllines:skov3</v>
      </c>
      <c r="K91" s="16" t="s">
        <v>21</v>
      </c>
      <c r="L91" s="8" t="s">
        <v>567</v>
      </c>
      <c r="M91" s="8" t="s">
        <v>2561</v>
      </c>
      <c r="N91" s="8" t="str">
        <f aca="false">"INSERT INTO attributes (parent_id, tag, name, priority, allow_as_filter, allow_for_dataset, allow_for_measurement, allow_for_users, allow_for_qc) VALUES (NULL, '"&amp;H91&amp;"',  '"&amp;F91&amp;"',  500,  TRUE, TRUE, TRUE, FALSE, FALSE);"</f>
        <v>INSERT INTO attributes (parent_id, tag, name, priority, allow_as_filter, allow_for_dataset, allow_for_measurement, allow_for_users, allow_for_qc) VALUES (NULL, 'att_celllines',  'Celllines',  500,  TRUE, TRUE, TRUE, FALSE, FALSE);</v>
      </c>
      <c r="O91" s="8" t="str">
        <f aca="false">"INSERT INTO attribute_values (attribute_id, tag, name, details) VALUES ((SELECT id FROM attributes WHERE tag = '"&amp;H91&amp;"' LIMIT 1),  '"&amp;J91&amp;"',  '"&amp;D91&amp;"',  '"&amp;L91&amp;"'); "</f>
        <v>INSERT INTO attribute_values (attribute_id, tag, name, details) VALUES ((SELECT id FROM attributes WHERE tag = 'att_celllines' LIMIT 1),  'att_celllines:skov3',  'SK-OV-3',  'Human NCI-60 cell line; Ovarian Cancer');</v>
      </c>
    </row>
    <row r="92" customFormat="false" ht="12.75" hidden="false" customHeight="false" outlineLevel="0" collapsed="false">
      <c r="A92" s="17" t="n">
        <f aca="false">FALSE()</f>
        <v>0</v>
      </c>
      <c r="B92" s="17"/>
      <c r="C92" s="8" t="s">
        <v>663</v>
      </c>
      <c r="D92" s="8" t="s">
        <v>664</v>
      </c>
      <c r="E92" s="8" t="s">
        <v>17</v>
      </c>
      <c r="F92" s="8" t="s">
        <v>2559</v>
      </c>
      <c r="G92" s="8" t="s">
        <v>2560</v>
      </c>
      <c r="H92" s="8" t="str">
        <f aca="false">"att_"&amp;G92</f>
        <v>att_celllines</v>
      </c>
      <c r="I92" s="8" t="s">
        <v>663</v>
      </c>
      <c r="J92" s="8" t="str">
        <f aca="false">H92&amp;":"&amp;I92</f>
        <v>att_celllines:sn12c</v>
      </c>
      <c r="K92" s="16" t="s">
        <v>21</v>
      </c>
      <c r="L92" s="8" t="s">
        <v>508</v>
      </c>
      <c r="M92" s="8" t="s">
        <v>2561</v>
      </c>
      <c r="N92" s="8" t="str">
        <f aca="false">"INSERT INTO attributes (parent_id, tag, name, priority, allow_as_filter, allow_for_dataset, allow_for_measurement, allow_for_users, allow_for_qc) VALUES (NULL, '"&amp;H92&amp;"',  '"&amp;F92&amp;"',  500,  TRUE, TRUE, TRUE, FALSE, FALSE);"</f>
        <v>INSERT INTO attributes (parent_id, tag, name, priority, allow_as_filter, allow_for_dataset, allow_for_measurement, allow_for_users, allow_for_qc) VALUES (NULL, 'att_celllines',  'Celllines',  500,  TRUE, TRUE, TRUE, FALSE, FALSE);</v>
      </c>
      <c r="O92" s="8" t="str">
        <f aca="false">"INSERT INTO attribute_values (attribute_id, tag, name, details) VALUES ((SELECT id FROM attributes WHERE tag = '"&amp;H92&amp;"' LIMIT 1),  '"&amp;J92&amp;"',  '"&amp;D92&amp;"',  '"&amp;L92&amp;"'); "</f>
        <v>INSERT INTO attribute_values (attribute_id, tag, name, details) VALUES ((SELECT id FROM attributes WHERE tag = 'att_celllines' LIMIT 1),  'att_celllines:sn12c',  'SN12C',  'Human NCI-60 cell line; Renal Cancer');</v>
      </c>
    </row>
    <row r="93" customFormat="false" ht="12.75" hidden="false" customHeight="false" outlineLevel="0" collapsed="false">
      <c r="A93" s="17" t="n">
        <f aca="false">FALSE()</f>
        <v>0</v>
      </c>
      <c r="B93" s="17"/>
      <c r="C93" s="8" t="s">
        <v>665</v>
      </c>
      <c r="D93" s="8" t="s">
        <v>666</v>
      </c>
      <c r="E93" s="8" t="s">
        <v>17</v>
      </c>
      <c r="F93" s="8" t="s">
        <v>2559</v>
      </c>
      <c r="G93" s="8" t="s">
        <v>2560</v>
      </c>
      <c r="H93" s="8" t="str">
        <f aca="false">"att_"&amp;G93</f>
        <v>att_celllines</v>
      </c>
      <c r="I93" s="8" t="s">
        <v>665</v>
      </c>
      <c r="J93" s="8" t="str">
        <f aca="false">H93&amp;":"&amp;I93</f>
        <v>att_celllines:snb19</v>
      </c>
      <c r="K93" s="16" t="s">
        <v>21</v>
      </c>
      <c r="L93" s="8" t="s">
        <v>650</v>
      </c>
      <c r="M93" s="8" t="s">
        <v>2561</v>
      </c>
      <c r="N93" s="8" t="str">
        <f aca="false">"INSERT INTO attributes (parent_id, tag, name, priority, allow_as_filter, allow_for_dataset, allow_for_measurement, allow_for_users, allow_for_qc) VALUES (NULL, '"&amp;H93&amp;"',  '"&amp;F93&amp;"',  500,  TRUE, TRUE, TRUE, FALSE, FALSE);"</f>
        <v>INSERT INTO attributes (parent_id, tag, name, priority, allow_as_filter, allow_for_dataset, allow_for_measurement, allow_for_users, allow_for_qc) VALUES (NULL, 'att_celllines',  'Celllines',  500,  TRUE, TRUE, TRUE, FALSE, FALSE);</v>
      </c>
      <c r="O93" s="8" t="str">
        <f aca="false">"INSERT INTO attribute_values (attribute_id, tag, name, details) VALUES ((SELECT id FROM attributes WHERE tag = '"&amp;H93&amp;"' LIMIT 1),  '"&amp;J93&amp;"',  '"&amp;D93&amp;"',  '"&amp;L93&amp;"'); "</f>
        <v>INSERT INTO attribute_values (attribute_id, tag, name, details) VALUES ((SELECT id FROM attributes WHERE tag = 'att_celllines' LIMIT 1),  'att_celllines:snb19',  'SNB-19',  'Human NCI-60 cell line; central nervous system (CNS) tumor ');</v>
      </c>
    </row>
    <row r="94" customFormat="false" ht="12.75" hidden="false" customHeight="false" outlineLevel="0" collapsed="false">
      <c r="A94" s="17" t="n">
        <f aca="false">FALSE()</f>
        <v>0</v>
      </c>
      <c r="B94" s="17"/>
      <c r="C94" s="8" t="s">
        <v>667</v>
      </c>
      <c r="D94" s="8" t="s">
        <v>668</v>
      </c>
      <c r="E94" s="8" t="s">
        <v>17</v>
      </c>
      <c r="F94" s="8" t="s">
        <v>2559</v>
      </c>
      <c r="G94" s="8" t="s">
        <v>2560</v>
      </c>
      <c r="H94" s="8" t="str">
        <f aca="false">"att_"&amp;G94</f>
        <v>att_celllines</v>
      </c>
      <c r="I94" s="8" t="s">
        <v>667</v>
      </c>
      <c r="J94" s="8" t="str">
        <f aca="false">H94&amp;":"&amp;I94</f>
        <v>att_celllines:snb75</v>
      </c>
      <c r="K94" s="16" t="s">
        <v>21</v>
      </c>
      <c r="L94" s="8" t="s">
        <v>650</v>
      </c>
      <c r="M94" s="8" t="s">
        <v>2561</v>
      </c>
      <c r="N94" s="8" t="str">
        <f aca="false">"INSERT INTO attributes (parent_id, tag, name, priority, allow_as_filter, allow_for_dataset, allow_for_measurement, allow_for_users, allow_for_qc) VALUES (NULL, '"&amp;H94&amp;"',  '"&amp;F94&amp;"',  500,  TRUE, TRUE, TRUE, FALSE, FALSE);"</f>
        <v>INSERT INTO attributes (parent_id, tag, name, priority, allow_as_filter, allow_for_dataset, allow_for_measurement, allow_for_users, allow_for_qc) VALUES (NULL, 'att_celllines',  'Celllines',  500,  TRUE, TRUE, TRUE, FALSE, FALSE);</v>
      </c>
      <c r="O94" s="8" t="str">
        <f aca="false">"INSERT INTO attribute_values (attribute_id, tag, name, details) VALUES ((SELECT id FROM attributes WHERE tag = '"&amp;H94&amp;"' LIMIT 1),  '"&amp;J94&amp;"',  '"&amp;D94&amp;"',  '"&amp;L94&amp;"'); "</f>
        <v>INSERT INTO attribute_values (attribute_id, tag, name, details) VALUES ((SELECT id FROM attributes WHERE tag = 'att_celllines' LIMIT 1),  'att_celllines:snb75',  'SNB-75',  'Human NCI-60 cell line; central nervous system (CNS) tumor ');</v>
      </c>
    </row>
    <row r="95" customFormat="false" ht="12.75" hidden="false" customHeight="false" outlineLevel="0" collapsed="false">
      <c r="A95" s="17" t="n">
        <f aca="false">FALSE()</f>
        <v>0</v>
      </c>
      <c r="B95" s="17"/>
      <c r="C95" s="8" t="s">
        <v>669</v>
      </c>
      <c r="D95" s="8" t="s">
        <v>670</v>
      </c>
      <c r="E95" s="8" t="s">
        <v>17</v>
      </c>
      <c r="F95" s="8" t="s">
        <v>2559</v>
      </c>
      <c r="G95" s="8" t="s">
        <v>2560</v>
      </c>
      <c r="H95" s="8" t="str">
        <f aca="false">"att_"&amp;G95</f>
        <v>att_celllines</v>
      </c>
      <c r="I95" s="8" t="s">
        <v>669</v>
      </c>
      <c r="J95" s="8" t="str">
        <f aca="false">H95&amp;":"&amp;I95</f>
        <v>att_celllines:sr</v>
      </c>
      <c r="K95" s="16" t="s">
        <v>21</v>
      </c>
      <c r="L95" s="8" t="s">
        <v>534</v>
      </c>
      <c r="M95" s="8" t="s">
        <v>2561</v>
      </c>
      <c r="N95" s="8" t="str">
        <f aca="false">"INSERT INTO attributes (parent_id, tag, name, priority, allow_as_filter, allow_for_dataset, allow_for_measurement, allow_for_users, allow_for_qc) VALUES (NULL, '"&amp;H95&amp;"',  '"&amp;F95&amp;"',  500,  TRUE, TRUE, TRUE, FALSE, FALSE);"</f>
        <v>INSERT INTO attributes (parent_id, tag, name, priority, allow_as_filter, allow_for_dataset, allow_for_measurement, allow_for_users, allow_for_qc) VALUES (NULL, 'att_celllines',  'Celllines',  500,  TRUE, TRUE, TRUE, FALSE, FALSE);</v>
      </c>
      <c r="O95" s="8" t="str">
        <f aca="false">"INSERT INTO attribute_values (attribute_id, tag, name, details) VALUES ((SELECT id FROM attributes WHERE tag = '"&amp;H95&amp;"' LIMIT 1),  '"&amp;J95&amp;"',  '"&amp;D95&amp;"',  '"&amp;L95&amp;"'); "</f>
        <v>INSERT INTO attribute_values (attribute_id, tag, name, details) VALUES ((SELECT id FROM attributes WHERE tag = 'att_celllines' LIMIT 1),  'att_celllines:sr',  'SR',  'Human NCI-60 cell line; Leukemia');</v>
      </c>
    </row>
    <row r="96" customFormat="false" ht="12.75" hidden="false" customHeight="false" outlineLevel="0" collapsed="false">
      <c r="A96" s="17" t="n">
        <f aca="false">FALSE()</f>
        <v>0</v>
      </c>
      <c r="B96" s="17"/>
      <c r="C96" s="8" t="s">
        <v>671</v>
      </c>
      <c r="D96" s="8" t="s">
        <v>672</v>
      </c>
      <c r="E96" s="8" t="s">
        <v>17</v>
      </c>
      <c r="F96" s="8" t="s">
        <v>2559</v>
      </c>
      <c r="G96" s="8" t="s">
        <v>2560</v>
      </c>
      <c r="H96" s="8" t="str">
        <f aca="false">"att_"&amp;G96</f>
        <v>att_celllines</v>
      </c>
      <c r="I96" s="8" t="s">
        <v>671</v>
      </c>
      <c r="J96" s="8" t="str">
        <f aca="false">H96&amp;":"&amp;I96</f>
        <v>att_celllines:sw620</v>
      </c>
      <c r="K96" s="16" t="s">
        <v>21</v>
      </c>
      <c r="L96" s="8" t="s">
        <v>531</v>
      </c>
      <c r="M96" s="8" t="s">
        <v>2561</v>
      </c>
      <c r="N96" s="8" t="str">
        <f aca="false">"INSERT INTO attributes (parent_id, tag, name, priority, allow_as_filter, allow_for_dataset, allow_for_measurement, allow_for_users, allow_for_qc) VALUES (NULL, '"&amp;H96&amp;"',  '"&amp;F96&amp;"',  500,  TRUE, TRUE, TRUE, FALSE, FALSE);"</f>
        <v>INSERT INTO attributes (parent_id, tag, name, priority, allow_as_filter, allow_for_dataset, allow_for_measurement, allow_for_users, allow_for_qc) VALUES (NULL, 'att_celllines',  'Celllines',  500,  TRUE, TRUE, TRUE, FALSE, FALSE);</v>
      </c>
      <c r="O96" s="8" t="str">
        <f aca="false">"INSERT INTO attribute_values (attribute_id, tag, name, details) VALUES ((SELECT id FROM attributes WHERE tag = '"&amp;H96&amp;"' LIMIT 1),  '"&amp;J96&amp;"',  '"&amp;D96&amp;"',  '"&amp;L96&amp;"'); "</f>
        <v>INSERT INTO attribute_values (attribute_id, tag, name, details) VALUES ((SELECT id FROM attributes WHERE tag = 'att_celllines' LIMIT 1),  'att_celllines:sw620',  'SW-620',  'Human NCI-60 cell line; Colon cancer');</v>
      </c>
    </row>
    <row r="97" customFormat="false" ht="12.75" hidden="false" customHeight="false" outlineLevel="0" collapsed="false">
      <c r="A97" s="17" t="n">
        <f aca="false">FALSE()</f>
        <v>0</v>
      </c>
      <c r="B97" s="17"/>
      <c r="C97" s="8" t="s">
        <v>673</v>
      </c>
      <c r="D97" s="8" t="s">
        <v>674</v>
      </c>
      <c r="E97" s="8" t="s">
        <v>17</v>
      </c>
      <c r="F97" s="8" t="s">
        <v>2559</v>
      </c>
      <c r="G97" s="8" t="s">
        <v>2560</v>
      </c>
      <c r="H97" s="8" t="str">
        <f aca="false">"att_"&amp;G97</f>
        <v>att_celllines</v>
      </c>
      <c r="I97" s="8" t="s">
        <v>673</v>
      </c>
      <c r="J97" s="8" t="str">
        <f aca="false">H97&amp;":"&amp;I97</f>
        <v>att_celllines:t47d</v>
      </c>
      <c r="K97" s="16" t="s">
        <v>21</v>
      </c>
      <c r="L97" s="8" t="s">
        <v>523</v>
      </c>
      <c r="M97" s="8" t="s">
        <v>2561</v>
      </c>
      <c r="N97" s="8" t="str">
        <f aca="false">"INSERT INTO attributes (parent_id, tag, name, priority, allow_as_filter, allow_for_dataset, allow_for_measurement, allow_for_users, allow_for_qc) VALUES (NULL, '"&amp;H97&amp;"',  '"&amp;F97&amp;"',  500,  TRUE, TRUE, TRUE, FALSE, FALSE);"</f>
        <v>INSERT INTO attributes (parent_id, tag, name, priority, allow_as_filter, allow_for_dataset, allow_for_measurement, allow_for_users, allow_for_qc) VALUES (NULL, 'att_celllines',  'Celllines',  500,  TRUE, TRUE, TRUE, FALSE, FALSE);</v>
      </c>
      <c r="O97" s="8" t="str">
        <f aca="false">"INSERT INTO attribute_values (attribute_id, tag, name, details) VALUES ((SELECT id FROM attributes WHERE tag = '"&amp;H97&amp;"' LIMIT 1),  '"&amp;J97&amp;"',  '"&amp;D97&amp;"',  '"&amp;L97&amp;"'); "</f>
        <v>INSERT INTO attribute_values (attribute_id, tag, name, details) VALUES ((SELECT id FROM attributes WHERE tag = 'att_celllines' LIMIT 1),  'att_celllines:t47d',  'T-47D',  'Human NCI-60 cell line; Breast Cancer');</v>
      </c>
    </row>
    <row r="98" customFormat="false" ht="12.75" hidden="false" customHeight="false" outlineLevel="0" collapsed="false">
      <c r="A98" s="17" t="n">
        <f aca="false">FALSE()</f>
        <v>0</v>
      </c>
      <c r="B98" s="17"/>
      <c r="C98" s="8" t="s">
        <v>675</v>
      </c>
      <c r="D98" s="8" t="s">
        <v>676</v>
      </c>
      <c r="E98" s="8" t="s">
        <v>17</v>
      </c>
      <c r="F98" s="8" t="s">
        <v>2559</v>
      </c>
      <c r="G98" s="8" t="s">
        <v>2560</v>
      </c>
      <c r="H98" s="8" t="str">
        <f aca="false">"att_"&amp;G98</f>
        <v>att_celllines</v>
      </c>
      <c r="I98" s="8" t="s">
        <v>675</v>
      </c>
      <c r="J98" s="8" t="str">
        <f aca="false">H98&amp;":"&amp;I98</f>
        <v>att_celllines:thp1</v>
      </c>
      <c r="K98" s="16" t="s">
        <v>21</v>
      </c>
      <c r="L98" s="8" t="s">
        <v>677</v>
      </c>
      <c r="M98" s="8" t="s">
        <v>17</v>
      </c>
      <c r="N98" s="8" t="str">
        <f aca="false">"INSERT INTO attributes (parent_id, tag, name, priority, allow_as_filter, allow_for_dataset, allow_for_measurement, allow_for_users, allow_for_qc) VALUES (NULL, '"&amp;H98&amp;"',  '"&amp;F98&amp;"',  500,  TRUE, TRUE, TRUE, FALSE, FALSE);"</f>
        <v>INSERT INTO attributes (parent_id, tag, name, priority, allow_as_filter, allow_for_dataset, allow_for_measurement, allow_for_users, allow_for_qc) VALUES (NULL, 'att_celllines',  'Celllines',  500,  TRUE, TRUE, TRUE, FALSE, FALSE);</v>
      </c>
      <c r="O98" s="8" t="str">
        <f aca="false">"INSERT INTO attribute_values (attribute_id, tag, name, details) VALUES ((SELECT id FROM attributes WHERE tag = '"&amp;H98&amp;"' LIMIT 1),  '"&amp;J98&amp;"',  '"&amp;D98&amp;"',  '"&amp;L98&amp;"'); "</f>
        <v>INSERT INTO attribute_values (attribute_id, tag, name, details) VALUES ((SELECT id FROM attributes WHERE tag = 'att_celllines' LIMIT 1),  'att_celllines:thp1',  'THP1',  'Human acute monocytic leukemia cell line');</v>
      </c>
    </row>
    <row r="99" customFormat="false" ht="12.75" hidden="false" customHeight="false" outlineLevel="0" collapsed="false">
      <c r="A99" s="17" t="n">
        <f aca="false">FALSE()</f>
        <v>0</v>
      </c>
      <c r="B99" s="17"/>
      <c r="C99" s="8" t="s">
        <v>678</v>
      </c>
      <c r="D99" s="8" t="s">
        <v>679</v>
      </c>
      <c r="E99" s="8" t="s">
        <v>17</v>
      </c>
      <c r="F99" s="8" t="s">
        <v>2559</v>
      </c>
      <c r="G99" s="8" t="s">
        <v>2560</v>
      </c>
      <c r="H99" s="8" t="str">
        <f aca="false">"att_"&amp;G99</f>
        <v>att_celllines</v>
      </c>
      <c r="I99" s="8" t="s">
        <v>678</v>
      </c>
      <c r="J99" s="8" t="str">
        <f aca="false">H99&amp;":"&amp;I99</f>
        <v>att_celllines:tk10</v>
      </c>
      <c r="K99" s="16" t="s">
        <v>21</v>
      </c>
      <c r="L99" s="8" t="s">
        <v>508</v>
      </c>
      <c r="M99" s="8" t="s">
        <v>2561</v>
      </c>
      <c r="N99" s="8" t="str">
        <f aca="false">"INSERT INTO attributes (parent_id, tag, name, priority, allow_as_filter, allow_for_dataset, allow_for_measurement, allow_for_users, allow_for_qc) VALUES (NULL, '"&amp;H99&amp;"',  '"&amp;F99&amp;"',  500,  TRUE, TRUE, TRUE, FALSE, FALSE);"</f>
        <v>INSERT INTO attributes (parent_id, tag, name, priority, allow_as_filter, allow_for_dataset, allow_for_measurement, allow_for_users, allow_for_qc) VALUES (NULL, 'att_celllines',  'Celllines',  500,  TRUE, TRUE, TRUE, FALSE, FALSE);</v>
      </c>
      <c r="O99" s="8" t="str">
        <f aca="false">"INSERT INTO attribute_values (attribute_id, tag, name, details) VALUES ((SELECT id FROM attributes WHERE tag = '"&amp;H99&amp;"' LIMIT 1),  '"&amp;J99&amp;"',  '"&amp;D99&amp;"',  '"&amp;L99&amp;"'); "</f>
        <v>INSERT INTO attribute_values (attribute_id, tag, name, details) VALUES ((SELECT id FROM attributes WHERE tag = 'att_celllines' LIMIT 1),  'att_celllines:tk10',  'TK-10',  'Human NCI-60 cell line; Renal Cancer');</v>
      </c>
    </row>
    <row r="100" customFormat="false" ht="12.75" hidden="false" customHeight="false" outlineLevel="0" collapsed="false">
      <c r="A100" s="17" t="n">
        <f aca="false">FALSE()</f>
        <v>0</v>
      </c>
      <c r="B100" s="17"/>
      <c r="C100" s="8" t="s">
        <v>680</v>
      </c>
      <c r="D100" s="8" t="s">
        <v>681</v>
      </c>
      <c r="E100" s="8" t="s">
        <v>17</v>
      </c>
      <c r="F100" s="8" t="s">
        <v>2559</v>
      </c>
      <c r="G100" s="8" t="s">
        <v>2560</v>
      </c>
      <c r="H100" s="8" t="str">
        <f aca="false">"att_"&amp;G100</f>
        <v>att_celllines</v>
      </c>
      <c r="I100" s="8" t="s">
        <v>680</v>
      </c>
      <c r="J100" s="8" t="str">
        <f aca="false">H100&amp;":"&amp;I100</f>
        <v>att_celllines:u251</v>
      </c>
      <c r="K100" s="16" t="s">
        <v>21</v>
      </c>
      <c r="L100" s="8" t="s">
        <v>650</v>
      </c>
      <c r="M100" s="8" t="s">
        <v>2561</v>
      </c>
      <c r="N100" s="8" t="str">
        <f aca="false">"INSERT INTO attributes (parent_id, tag, name, priority, allow_as_filter, allow_for_dataset, allow_for_measurement, allow_for_users, allow_for_qc) VALUES (NULL, '"&amp;H100&amp;"',  '"&amp;F100&amp;"',  500,  TRUE, TRUE, TRUE, FALSE, FALSE);"</f>
        <v>INSERT INTO attributes (parent_id, tag, name, priority, allow_as_filter, allow_for_dataset, allow_for_measurement, allow_for_users, allow_for_qc) VALUES (NULL, 'att_celllines',  'Celllines',  500,  TRUE, TRUE, TRUE, FALSE, FALSE);</v>
      </c>
      <c r="O100" s="8" t="str">
        <f aca="false">"INSERT INTO attribute_values (attribute_id, tag, name, details) VALUES ((SELECT id FROM attributes WHERE tag = '"&amp;H100&amp;"' LIMIT 1),  '"&amp;J100&amp;"',  '"&amp;D100&amp;"',  '"&amp;L100&amp;"'); "</f>
        <v>INSERT INTO attribute_values (attribute_id, tag, name, details) VALUES ((SELECT id FROM attributes WHERE tag = 'att_celllines' LIMIT 1),  'att_celllines:u251',  'U251',  'Human NCI-60 cell line; central nervous system (CNS) tumor ');</v>
      </c>
    </row>
    <row r="101" customFormat="false" ht="12.75" hidden="false" customHeight="false" outlineLevel="0" collapsed="false">
      <c r="A101" s="17" t="n">
        <f aca="false">FALSE()</f>
        <v>0</v>
      </c>
      <c r="B101" s="17"/>
      <c r="C101" s="8" t="s">
        <v>682</v>
      </c>
      <c r="D101" s="8" t="s">
        <v>683</v>
      </c>
      <c r="E101" s="8" t="s">
        <v>17</v>
      </c>
      <c r="F101" s="8" t="s">
        <v>2559</v>
      </c>
      <c r="G101" s="8" t="s">
        <v>2560</v>
      </c>
      <c r="H101" s="8" t="str">
        <f aca="false">"att_"&amp;G101</f>
        <v>att_celllines</v>
      </c>
      <c r="I101" s="8" t="s">
        <v>682</v>
      </c>
      <c r="J101" s="8" t="str">
        <f aca="false">H101&amp;":"&amp;I101</f>
        <v>att_celllines:u937</v>
      </c>
      <c r="K101" s="16" t="s">
        <v>21</v>
      </c>
      <c r="L101" s="8" t="s">
        <v>684</v>
      </c>
      <c r="M101" s="8" t="s">
        <v>17</v>
      </c>
      <c r="N101" s="8" t="str">
        <f aca="false">"INSERT INTO attributes (parent_id, tag, name, priority, allow_as_filter, allow_for_dataset, allow_for_measurement, allow_for_users, allow_for_qc) VALUES (NULL, '"&amp;H101&amp;"',  '"&amp;F101&amp;"',  500,  TRUE, TRUE, TRUE, FALSE, FALSE);"</f>
        <v>INSERT INTO attributes (parent_id, tag, name, priority, allow_as_filter, allow_for_dataset, allow_for_measurement, allow_for_users, allow_for_qc) VALUES (NULL, 'att_celllines',  'Celllines',  500,  TRUE, TRUE, TRUE, FALSE, FALSE);</v>
      </c>
      <c r="O101" s="8" t="str">
        <f aca="false">"INSERT INTO attribute_values (attribute_id, tag, name, details) VALUES ((SELECT id FROM attributes WHERE tag = '"&amp;H101&amp;"' LIMIT 1),  '"&amp;J101&amp;"',  '"&amp;D101&amp;"',  '"&amp;L101&amp;"'); "</f>
        <v>INSERT INTO attribute_values (attribute_id, tag, name, details) VALUES ((SELECT id FROM attributes WHERE tag = 'att_celllines' LIMIT 1),  'att_celllines:u937',  'U937',  'Pro-monocytic model cell line isolated from histiocytic lymphoma');</v>
      </c>
    </row>
    <row r="102" customFormat="false" ht="12.75" hidden="false" customHeight="false" outlineLevel="0" collapsed="false">
      <c r="A102" s="17" t="n">
        <f aca="false">FALSE()</f>
        <v>0</v>
      </c>
      <c r="B102" s="17"/>
      <c r="C102" s="8" t="s">
        <v>685</v>
      </c>
      <c r="D102" s="8" t="s">
        <v>686</v>
      </c>
      <c r="E102" s="8" t="s">
        <v>17</v>
      </c>
      <c r="F102" s="8" t="s">
        <v>2559</v>
      </c>
      <c r="G102" s="8" t="s">
        <v>2560</v>
      </c>
      <c r="H102" s="8" t="str">
        <f aca="false">"att_"&amp;G102</f>
        <v>att_celllines</v>
      </c>
      <c r="I102" s="8" t="s">
        <v>685</v>
      </c>
      <c r="J102" s="8" t="str">
        <f aca="false">H102&amp;":"&amp;I102</f>
        <v>att_celllines:uacc257</v>
      </c>
      <c r="K102" s="16" t="s">
        <v>21</v>
      </c>
      <c r="L102" s="8" t="s">
        <v>587</v>
      </c>
      <c r="M102" s="8" t="s">
        <v>2561</v>
      </c>
      <c r="N102" s="8" t="str">
        <f aca="false">"INSERT INTO attributes (parent_id, tag, name, priority, allow_as_filter, allow_for_dataset, allow_for_measurement, allow_for_users, allow_for_qc) VALUES (NULL, '"&amp;H102&amp;"',  '"&amp;F102&amp;"',  500,  TRUE, TRUE, TRUE, FALSE, FALSE);"</f>
        <v>INSERT INTO attributes (parent_id, tag, name, priority, allow_as_filter, allow_for_dataset, allow_for_measurement, allow_for_users, allow_for_qc) VALUES (NULL, 'att_celllines',  'Celllines',  500,  TRUE, TRUE, TRUE, FALSE, FALSE);</v>
      </c>
      <c r="O102" s="8" t="str">
        <f aca="false">"INSERT INTO attribute_values (attribute_id, tag, name, details) VALUES ((SELECT id FROM attributes WHERE tag = '"&amp;H102&amp;"' LIMIT 1),  '"&amp;J102&amp;"',  '"&amp;D102&amp;"',  '"&amp;L102&amp;"'); "</f>
        <v>INSERT INTO attribute_values (attribute_id, tag, name, details) VALUES ((SELECT id FROM attributes WHERE tag = 'att_celllines' LIMIT 1),  'att_celllines:uacc257',  'UACC-257',  'Human NCI-60 cell line; Melanoma');</v>
      </c>
    </row>
    <row r="103" customFormat="false" ht="12.75" hidden="false" customHeight="false" outlineLevel="0" collapsed="false">
      <c r="A103" s="17" t="n">
        <f aca="false">FALSE()</f>
        <v>0</v>
      </c>
      <c r="B103" s="17"/>
      <c r="C103" s="8" t="s">
        <v>687</v>
      </c>
      <c r="D103" s="8" t="s">
        <v>688</v>
      </c>
      <c r="E103" s="8" t="s">
        <v>17</v>
      </c>
      <c r="F103" s="8" t="s">
        <v>2559</v>
      </c>
      <c r="G103" s="8" t="s">
        <v>2560</v>
      </c>
      <c r="H103" s="8" t="str">
        <f aca="false">"att_"&amp;G103</f>
        <v>att_celllines</v>
      </c>
      <c r="I103" s="8" t="s">
        <v>687</v>
      </c>
      <c r="J103" s="8" t="str">
        <f aca="false">H103&amp;":"&amp;I103</f>
        <v>att_celllines:uacc62</v>
      </c>
      <c r="K103" s="16" t="s">
        <v>21</v>
      </c>
      <c r="L103" s="8" t="s">
        <v>587</v>
      </c>
      <c r="M103" s="8" t="s">
        <v>2561</v>
      </c>
      <c r="N103" s="8" t="str">
        <f aca="false">"INSERT INTO attributes (parent_id, tag, name, priority, allow_as_filter, allow_for_dataset, allow_for_measurement, allow_for_users, allow_for_qc) VALUES (NULL, '"&amp;H103&amp;"',  '"&amp;F103&amp;"',  500,  TRUE, TRUE, TRUE, FALSE, FALSE);"</f>
        <v>INSERT INTO attributes (parent_id, tag, name, priority, allow_as_filter, allow_for_dataset, allow_for_measurement, allow_for_users, allow_for_qc) VALUES (NULL, 'att_celllines',  'Celllines',  500,  TRUE, TRUE, TRUE, FALSE, FALSE);</v>
      </c>
      <c r="O103" s="8" t="str">
        <f aca="false">"INSERT INTO attribute_values (attribute_id, tag, name, details) VALUES ((SELECT id FROM attributes WHERE tag = '"&amp;H103&amp;"' LIMIT 1),  '"&amp;J103&amp;"',  '"&amp;D103&amp;"',  '"&amp;L103&amp;"'); "</f>
        <v>INSERT INTO attribute_values (attribute_id, tag, name, details) VALUES ((SELECT id FROM attributes WHERE tag = 'att_celllines' LIMIT 1),  'att_celllines:uacc62',  'UACC-62',  'Human NCI-60 cell line; Melanoma');</v>
      </c>
    </row>
    <row r="104" customFormat="false" ht="12.75" hidden="false" customHeight="false" outlineLevel="0" collapsed="false">
      <c r="A104" s="17" t="n">
        <f aca="false">FALSE()</f>
        <v>0</v>
      </c>
      <c r="B104" s="17"/>
      <c r="C104" s="8" t="s">
        <v>689</v>
      </c>
      <c r="D104" s="8" t="s">
        <v>690</v>
      </c>
      <c r="E104" s="8" t="s">
        <v>17</v>
      </c>
      <c r="F104" s="8" t="s">
        <v>2559</v>
      </c>
      <c r="G104" s="8" t="s">
        <v>2560</v>
      </c>
      <c r="H104" s="8" t="str">
        <f aca="false">"att_"&amp;G104</f>
        <v>att_celllines</v>
      </c>
      <c r="I104" s="8" t="s">
        <v>689</v>
      </c>
      <c r="J104" s="8" t="str">
        <f aca="false">H104&amp;":"&amp;I104</f>
        <v>att_celllines:uo31</v>
      </c>
      <c r="K104" s="16" t="s">
        <v>21</v>
      </c>
      <c r="L104" s="8" t="s">
        <v>508</v>
      </c>
      <c r="M104" s="8" t="s">
        <v>2561</v>
      </c>
      <c r="N104" s="8" t="str">
        <f aca="false">"INSERT INTO attributes (parent_id, tag, name, priority, allow_as_filter, allow_for_dataset, allow_for_measurement, allow_for_users, allow_for_qc) VALUES (NULL, '"&amp;H104&amp;"',  '"&amp;F104&amp;"',  500,  TRUE, TRUE, TRUE, FALSE, FALSE);"</f>
        <v>INSERT INTO attributes (parent_id, tag, name, priority, allow_as_filter, allow_for_dataset, allow_for_measurement, allow_for_users, allow_for_qc) VALUES (NULL, 'att_celllines',  'Celllines',  500,  TRUE, TRUE, TRUE, FALSE, FALSE);</v>
      </c>
      <c r="O104" s="8" t="str">
        <f aca="false">"INSERT INTO attribute_values (attribute_id, tag, name, details) VALUES ((SELECT id FROM attributes WHERE tag = '"&amp;H104&amp;"' LIMIT 1),  '"&amp;J104&amp;"',  '"&amp;D104&amp;"',  '"&amp;L104&amp;"'); "</f>
        <v>INSERT INTO attribute_values (attribute_id, tag, name, details) VALUES ((SELECT id FROM attributes WHERE tag = 'att_celllines' LIMIT 1),  'att_celllines:uo31',  'UO-31',  'Human NCI-60 cell line; Renal Cancer');</v>
      </c>
    </row>
    <row r="105" customFormat="false" ht="12.75" hidden="false" customHeight="false" outlineLevel="0" collapsed="false">
      <c r="A105" s="17" t="n">
        <f aca="false">FALSE()</f>
        <v>0</v>
      </c>
      <c r="B105" s="17"/>
      <c r="C105" s="8" t="s">
        <v>691</v>
      </c>
      <c r="D105" s="8" t="s">
        <v>692</v>
      </c>
      <c r="E105" s="8" t="s">
        <v>17</v>
      </c>
      <c r="F105" s="8" t="s">
        <v>2559</v>
      </c>
      <c r="G105" s="8" t="s">
        <v>2560</v>
      </c>
      <c r="H105" s="8" t="str">
        <f aca="false">"att_"&amp;G105</f>
        <v>att_celllines</v>
      </c>
      <c r="I105" s="8" t="s">
        <v>691</v>
      </c>
      <c r="J105" s="8" t="str">
        <f aca="false">H105&amp;":"&amp;I105</f>
        <v>att_celllines:z138</v>
      </c>
      <c r="K105" s="16" t="s">
        <v>21</v>
      </c>
      <c r="L105" s="8" t="s">
        <v>573</v>
      </c>
      <c r="M105" s="8" t="s">
        <v>17</v>
      </c>
      <c r="N105" s="8" t="str">
        <f aca="false">"INSERT INTO attributes (parent_id, tag, name, priority, allow_as_filter, allow_for_dataset, allow_for_measurement, allow_for_users, allow_for_qc) VALUES (NULL, '"&amp;H105&amp;"',  '"&amp;F105&amp;"',  500,  TRUE, TRUE, TRUE, FALSE, FALSE);"</f>
        <v>INSERT INTO attributes (parent_id, tag, name, priority, allow_as_filter, allow_for_dataset, allow_for_measurement, allow_for_users, allow_for_qc) VALUES (NULL, 'att_celllines',  'Celllines',  500,  TRUE, TRUE, TRUE, FALSE, FALSE);</v>
      </c>
      <c r="O105" s="8" t="str">
        <f aca="false">"INSERT INTO attribute_values (attribute_id, tag, name, details) VALUES ((SELECT id FROM attributes WHERE tag = '"&amp;H105&amp;"' LIMIT 1),  '"&amp;J105&amp;"',  '"&amp;D105&amp;"',  '"&amp;L105&amp;"'); "</f>
        <v>INSERT INTO attribute_values (attribute_id, tag, name, details) VALUES ((SELECT id FROM attributes WHERE tag = 'att_celllines' LIMIT 1),  'att_celllines:z138',  'Z-138',  'Human Mantle cell lymphoma');</v>
      </c>
    </row>
    <row r="106" customFormat="false" ht="12.75" hidden="false" customHeight="false" outlineLevel="0" collapsed="false">
      <c r="A106" s="17" t="n">
        <f aca="false">FALSE()</f>
        <v>0</v>
      </c>
      <c r="B106" s="17"/>
      <c r="C106" s="8" t="s">
        <v>420</v>
      </c>
      <c r="D106" s="8" t="s">
        <v>421</v>
      </c>
      <c r="E106" s="8" t="s">
        <v>17</v>
      </c>
      <c r="F106" s="8" t="s">
        <v>2563</v>
      </c>
      <c r="G106" s="8" t="s">
        <v>2564</v>
      </c>
      <c r="H106" s="8" t="str">
        <f aca="false">"att_"&amp;G106</f>
        <v>att_cells</v>
      </c>
      <c r="I106" s="8" t="s">
        <v>419</v>
      </c>
      <c r="J106" s="8" t="str">
        <f aca="false">H106&amp;":"&amp;I106</f>
        <v>att_cells:adipose_macrophages</v>
      </c>
      <c r="K106" s="16" t="s">
        <v>21</v>
      </c>
      <c r="L106" s="8" t="s">
        <v>422</v>
      </c>
      <c r="M106" s="8" t="s">
        <v>17</v>
      </c>
      <c r="N106" s="8" t="str">
        <f aca="false">"INSERT INTO attributes (parent_id, tag, name, priority, allow_as_filter, allow_for_dataset, allow_for_measurement, allow_for_users, allow_for_qc) VALUES (NULL, '"&amp;H106&amp;"',  '"&amp;F106&amp;"',  500,  TRUE, TRUE, TRUE, FALSE, FALSE);"</f>
        <v>INSERT INTO attributes (parent_id, tag, name, priority, allow_as_filter, allow_for_dataset, allow_for_measurement, allow_for_users, allow_for_qc) VALUES (NULL, 'att_cells',  'Cells',  500,  TRUE, TRUE, TRUE, FALSE, FALSE);</v>
      </c>
      <c r="O106" s="8" t="str">
        <f aca="false">"INSERT INTO attribute_values (attribute_id, tag, name, details) VALUES ((SELECT id FROM attributes WHERE tag = '"&amp;H106&amp;"' LIMIT 1),  '"&amp;J106&amp;"',  '"&amp;D106&amp;"',  '"&amp;L106&amp;"'); "</f>
        <v>INSERT INTO attribute_values (attribute_id, tag, name, details) VALUES ((SELECT id FROM attributes WHERE tag = 'att_cells' LIMIT 1),  'att_cells:adipose_macrophages',  'Adipose Macrophages',  'Adipose tissue macrophages');</v>
      </c>
    </row>
    <row r="107" customFormat="false" ht="12.75" hidden="false" customHeight="false" outlineLevel="0" collapsed="false">
      <c r="A107" s="17" t="n">
        <f aca="false">FALSE()</f>
        <v>0</v>
      </c>
      <c r="B107" s="17"/>
      <c r="C107" s="8" t="s">
        <v>423</v>
      </c>
      <c r="D107" s="8" t="s">
        <v>381</v>
      </c>
      <c r="E107" s="8" t="s">
        <v>17</v>
      </c>
      <c r="F107" s="8" t="s">
        <v>2563</v>
      </c>
      <c r="G107" s="8" t="s">
        <v>2564</v>
      </c>
      <c r="H107" s="8" t="str">
        <f aca="false">"att_"&amp;G107</f>
        <v>att_cells</v>
      </c>
      <c r="I107" s="8" t="s">
        <v>423</v>
      </c>
      <c r="J107" s="8" t="str">
        <f aca="false">H107&amp;":"&amp;I107</f>
        <v>att_cells:astrocytes</v>
      </c>
      <c r="K107" s="16" t="s">
        <v>21</v>
      </c>
      <c r="L107" s="8" t="s">
        <v>381</v>
      </c>
      <c r="M107" s="8" t="s">
        <v>17</v>
      </c>
      <c r="N107" s="8" t="str">
        <f aca="false">"INSERT INTO attributes (parent_id, tag, name, priority, allow_as_filter, allow_for_dataset, allow_for_measurement, allow_for_users, allow_for_qc) VALUES (NULL, '"&amp;H107&amp;"',  '"&amp;F107&amp;"',  500,  TRUE, TRUE, TRUE, FALSE, FALSE);"</f>
        <v>INSERT INTO attributes (parent_id, tag, name, priority, allow_as_filter, allow_for_dataset, allow_for_measurement, allow_for_users, allow_for_qc) VALUES (NULL, 'att_cells',  'Cells',  500,  TRUE, TRUE, TRUE, FALSE, FALSE);</v>
      </c>
      <c r="O107" s="8" t="str">
        <f aca="false">"INSERT INTO attribute_values (attribute_id, tag, name, details) VALUES ((SELECT id FROM attributes WHERE tag = '"&amp;H107&amp;"' LIMIT 1),  '"&amp;J107&amp;"',  '"&amp;D107&amp;"',  '"&amp;L107&amp;"'); "</f>
        <v>INSERT INTO attribute_values (attribute_id, tag, name, details) VALUES ((SELECT id FROM attributes WHERE tag = 'att_cells' LIMIT 1),  'att_cells:astrocytes',  'Astrocytes',  'Astrocytes');</v>
      </c>
    </row>
    <row r="108" customFormat="false" ht="12.75" hidden="false" customHeight="false" outlineLevel="0" collapsed="false">
      <c r="A108" s="17" t="n">
        <f aca="false">FALSE()</f>
        <v>0</v>
      </c>
      <c r="B108" s="17"/>
      <c r="C108" s="8" t="s">
        <v>424</v>
      </c>
      <c r="D108" s="8" t="s">
        <v>425</v>
      </c>
      <c r="E108" s="8" t="s">
        <v>17</v>
      </c>
      <c r="F108" s="8" t="s">
        <v>2563</v>
      </c>
      <c r="G108" s="8" t="s">
        <v>2564</v>
      </c>
      <c r="H108" s="8" t="str">
        <f aca="false">"att_"&amp;G108</f>
        <v>att_cells</v>
      </c>
      <c r="I108" s="8" t="s">
        <v>424</v>
      </c>
      <c r="J108" s="8" t="str">
        <f aca="false">H108&amp;":"&amp;I108</f>
        <v>att_cells:basophils</v>
      </c>
      <c r="K108" s="16" t="s">
        <v>21</v>
      </c>
      <c r="L108" s="8" t="s">
        <v>426</v>
      </c>
      <c r="M108" s="8" t="s">
        <v>17</v>
      </c>
      <c r="N108" s="8" t="str">
        <f aca="false">"INSERT INTO attributes (parent_id, tag, name, priority, allow_as_filter, allow_for_dataset, allow_for_measurement, allow_for_users, allow_for_qc) VALUES (NULL, '"&amp;H108&amp;"',  '"&amp;F108&amp;"',  500,  TRUE, TRUE, TRUE, FALSE, FALSE);"</f>
        <v>INSERT INTO attributes (parent_id, tag, name, priority, allow_as_filter, allow_for_dataset, allow_for_measurement, allow_for_users, allow_for_qc) VALUES (NULL, 'att_cells',  'Cells',  500,  TRUE, TRUE, TRUE, FALSE, FALSE);</v>
      </c>
      <c r="O108" s="8" t="str">
        <f aca="false">"INSERT INTO attribute_values (attribute_id, tag, name, details) VALUES ((SELECT id FROM attributes WHERE tag = '"&amp;H108&amp;"' LIMIT 1),  '"&amp;J108&amp;"',  '"&amp;D108&amp;"',  '"&amp;L108&amp;"'); "</f>
        <v>INSERT INTO attribute_values (attribute_id, tag, name, details) VALUES ((SELECT id FROM attributes WHERE tag = 'att_cells' LIMIT 1),  'att_cells:basophils',  'Basophils',  '&lt; 1% of leukocytes');</v>
      </c>
    </row>
    <row r="109" customFormat="false" ht="12.75" hidden="false" customHeight="false" outlineLevel="0" collapsed="false">
      <c r="A109" s="17" t="n">
        <f aca="false">FALSE()</f>
        <v>0</v>
      </c>
      <c r="B109" s="17"/>
      <c r="C109" s="8" t="s">
        <v>427</v>
      </c>
      <c r="D109" s="8" t="s">
        <v>428</v>
      </c>
      <c r="E109" s="8" t="s">
        <v>17</v>
      </c>
      <c r="F109" s="8" t="s">
        <v>2563</v>
      </c>
      <c r="G109" s="8" t="s">
        <v>2564</v>
      </c>
      <c r="H109" s="8" t="str">
        <f aca="false">"att_"&amp;G109</f>
        <v>att_cells</v>
      </c>
      <c r="I109" s="8" t="s">
        <v>427</v>
      </c>
      <c r="J109" s="8" t="str">
        <f aca="false">H109&amp;":"&amp;I109</f>
        <v>att_cells:bcells</v>
      </c>
      <c r="K109" s="16" t="s">
        <v>21</v>
      </c>
      <c r="L109" s="8" t="s">
        <v>428</v>
      </c>
      <c r="M109" s="8" t="s">
        <v>17</v>
      </c>
      <c r="N109" s="8" t="str">
        <f aca="false">"INSERT INTO attributes (parent_id, tag, name, priority, allow_as_filter, allow_for_dataset, allow_for_measurement, allow_for_users, allow_for_qc) VALUES (NULL, '"&amp;H109&amp;"',  '"&amp;F109&amp;"',  500,  TRUE, TRUE, TRUE, FALSE, FALSE);"</f>
        <v>INSERT INTO attributes (parent_id, tag, name, priority, allow_as_filter, allow_for_dataset, allow_for_measurement, allow_for_users, allow_for_qc) VALUES (NULL, 'att_cells',  'Cells',  500,  TRUE, TRUE, TRUE, FALSE, FALSE);</v>
      </c>
      <c r="O109" s="8" t="str">
        <f aca="false">"INSERT INTO attribute_values (attribute_id, tag, name, details) VALUES ((SELECT id FROM attributes WHERE tag = '"&amp;H109&amp;"' LIMIT 1),  '"&amp;J109&amp;"',  '"&amp;D109&amp;"',  '"&amp;L109&amp;"'); "</f>
        <v>INSERT INTO attribute_values (attribute_id, tag, name, details) VALUES ((SELECT id FROM attributes WHERE tag = 'att_cells' LIMIT 1),  'att_cells:bcells',  'B cells',  'B cells');</v>
      </c>
    </row>
    <row r="110" customFormat="false" ht="12.75" hidden="false" customHeight="false" outlineLevel="0" collapsed="false">
      <c r="A110" s="17" t="n">
        <f aca="false">FALSE()</f>
        <v>0</v>
      </c>
      <c r="B110" s="17"/>
      <c r="C110" s="8" t="s">
        <v>429</v>
      </c>
      <c r="D110" s="8" t="s">
        <v>430</v>
      </c>
      <c r="E110" s="8" t="s">
        <v>17</v>
      </c>
      <c r="F110" s="8" t="s">
        <v>2563</v>
      </c>
      <c r="G110" s="8" t="s">
        <v>2564</v>
      </c>
      <c r="H110" s="8" t="str">
        <f aca="false">"att_"&amp;G110</f>
        <v>att_cells</v>
      </c>
      <c r="I110" s="8" t="s">
        <v>429</v>
      </c>
      <c r="J110" s="8" t="str">
        <f aca="false">H110&amp;":"&amp;I110</f>
        <v>att_cells:cytotoxict</v>
      </c>
      <c r="K110" s="16" t="s">
        <v>21</v>
      </c>
      <c r="L110" s="8" t="s">
        <v>431</v>
      </c>
      <c r="M110" s="8" t="s">
        <v>17</v>
      </c>
      <c r="N110" s="8" t="str">
        <f aca="false">"INSERT INTO attributes (parent_id, tag, name, priority, allow_as_filter, allow_for_dataset, allow_for_measurement, allow_for_users, allow_for_qc) VALUES (NULL, '"&amp;H110&amp;"',  '"&amp;F110&amp;"',  500,  TRUE, TRUE, TRUE, FALSE, FALSE);"</f>
        <v>INSERT INTO attributes (parent_id, tag, name, priority, allow_as_filter, allow_for_dataset, allow_for_measurement, allow_for_users, allow_for_qc) VALUES (NULL, 'att_cells',  'Cells',  500,  TRUE, TRUE, TRUE, FALSE, FALSE);</v>
      </c>
      <c r="O110" s="8" t="str">
        <f aca="false">"INSERT INTO attribute_values (attribute_id, tag, name, details) VALUES ((SELECT id FROM attributes WHERE tag = '"&amp;H110&amp;"' LIMIT 1),  '"&amp;J110&amp;"',  '"&amp;D110&amp;"',  '"&amp;L110&amp;"'); "</f>
        <v>INSERT INTO attribute_values (attribute_id, tag, name, details) VALUES ((SELECT id FROM attributes WHERE tag = 'att_cells' LIMIT 1),  'att_cells:cytotoxict',  'Cytotoxic T cells',  'CD8+ cytotoxic T cells');</v>
      </c>
    </row>
    <row r="111" customFormat="false" ht="12.75" hidden="false" customHeight="false" outlineLevel="0" collapsed="false">
      <c r="A111" s="17" t="n">
        <f aca="false">FALSE()</f>
        <v>0</v>
      </c>
      <c r="B111" s="17"/>
      <c r="C111" s="8" t="s">
        <v>432</v>
      </c>
      <c r="D111" s="8" t="s">
        <v>433</v>
      </c>
      <c r="E111" s="8" t="s">
        <v>17</v>
      </c>
      <c r="F111" s="8" t="s">
        <v>2563</v>
      </c>
      <c r="G111" s="8" t="s">
        <v>2564</v>
      </c>
      <c r="H111" s="8" t="str">
        <f aca="false">"att_"&amp;G111</f>
        <v>att_cells</v>
      </c>
      <c r="I111" s="8" t="s">
        <v>432</v>
      </c>
      <c r="J111" s="8" t="str">
        <f aca="false">H111&amp;":"&amp;I111</f>
        <v>att_cells:endothelial</v>
      </c>
      <c r="K111" s="16" t="s">
        <v>21</v>
      </c>
      <c r="L111" s="8" t="s">
        <v>434</v>
      </c>
      <c r="M111" s="8" t="s">
        <v>17</v>
      </c>
      <c r="N111" s="8" t="str">
        <f aca="false">"INSERT INTO attributes (parent_id, tag, name, priority, allow_as_filter, allow_for_dataset, allow_for_measurement, allow_for_users, allow_for_qc) VALUES (NULL, '"&amp;H111&amp;"',  '"&amp;F111&amp;"',  500,  TRUE, TRUE, TRUE, FALSE, FALSE);"</f>
        <v>INSERT INTO attributes (parent_id, tag, name, priority, allow_as_filter, allow_for_dataset, allow_for_measurement, allow_for_users, allow_for_qc) VALUES (NULL, 'att_cells',  'Cells',  500,  TRUE, TRUE, TRUE, FALSE, FALSE);</v>
      </c>
      <c r="O111" s="8" t="str">
        <f aca="false">"INSERT INTO attribute_values (attribute_id, tag, name, details) VALUES ((SELECT id FROM attributes WHERE tag = '"&amp;H111&amp;"' LIMIT 1),  '"&amp;J111&amp;"',  '"&amp;D111&amp;"',  '"&amp;L111&amp;"'); "</f>
        <v>INSERT INTO attribute_values (attribute_id, tag, name, details) VALUES ((SELECT id FROM attributes WHERE tag = 'att_cells' LIMIT 1),  'att_cells:endothelial',  'Endothelial',  'Interior surface cells of blood vessels and lymphatic vessels');</v>
      </c>
    </row>
    <row r="112" customFormat="false" ht="12.75" hidden="false" customHeight="false" outlineLevel="0" collapsed="false">
      <c r="A112" s="17" t="n">
        <f aca="false">FALSE()</f>
        <v>0</v>
      </c>
      <c r="B112" s="17"/>
      <c r="C112" s="8" t="s">
        <v>435</v>
      </c>
      <c r="D112" s="8" t="s">
        <v>436</v>
      </c>
      <c r="E112" s="8" t="s">
        <v>17</v>
      </c>
      <c r="F112" s="8" t="s">
        <v>2563</v>
      </c>
      <c r="G112" s="8" t="s">
        <v>2564</v>
      </c>
      <c r="H112" s="8" t="str">
        <f aca="false">"att_"&amp;G112</f>
        <v>att_cells</v>
      </c>
      <c r="I112" s="8" t="s">
        <v>435</v>
      </c>
      <c r="J112" s="8" t="str">
        <f aca="false">H112&amp;":"&amp;I112</f>
        <v>att_cells:eosinophils</v>
      </c>
      <c r="K112" s="16" t="s">
        <v>21</v>
      </c>
      <c r="L112" s="8" t="s">
        <v>437</v>
      </c>
      <c r="M112" s="8" t="s">
        <v>17</v>
      </c>
      <c r="N112" s="8" t="str">
        <f aca="false">"INSERT INTO attributes (parent_id, tag, name, priority, allow_as_filter, allow_for_dataset, allow_for_measurement, allow_for_users, allow_for_qc) VALUES (NULL, '"&amp;H112&amp;"',  '"&amp;F112&amp;"',  500,  TRUE, TRUE, TRUE, FALSE, FALSE);"</f>
        <v>INSERT INTO attributes (parent_id, tag, name, priority, allow_as_filter, allow_for_dataset, allow_for_measurement, allow_for_users, allow_for_qc) VALUES (NULL, 'att_cells',  'Cells',  500,  TRUE, TRUE, TRUE, FALSE, FALSE);</v>
      </c>
      <c r="O112" s="8" t="str">
        <f aca="false">"INSERT INTO attribute_values (attribute_id, tag, name, details) VALUES ((SELECT id FROM attributes WHERE tag = '"&amp;H112&amp;"' LIMIT 1),  '"&amp;J112&amp;"',  '"&amp;D112&amp;"',  '"&amp;L112&amp;"'); "</f>
        <v>INSERT INTO attribute_values (attribute_id, tag, name, details) VALUES ((SELECT id FROM attributes WHERE tag = 'att_cells' LIMIT 1),  'att_cells:eosinophils',  'Eosinophils',  '2% of leukocytes');</v>
      </c>
    </row>
    <row r="113" customFormat="false" ht="12.75" hidden="false" customHeight="false" outlineLevel="0" collapsed="false">
      <c r="A113" s="17" t="n">
        <f aca="false">FALSE()</f>
        <v>0</v>
      </c>
      <c r="B113" s="17"/>
      <c r="C113" s="8" t="s">
        <v>438</v>
      </c>
      <c r="D113" s="8" t="s">
        <v>439</v>
      </c>
      <c r="E113" s="8" t="s">
        <v>17</v>
      </c>
      <c r="F113" s="8" t="s">
        <v>2563</v>
      </c>
      <c r="G113" s="8" t="s">
        <v>2564</v>
      </c>
      <c r="H113" s="8" t="str">
        <f aca="false">"att_"&amp;G113</f>
        <v>att_cells</v>
      </c>
      <c r="I113" s="8" t="s">
        <v>438</v>
      </c>
      <c r="J113" s="8" t="str">
        <f aca="false">H113&amp;":"&amp;I113</f>
        <v>att_cells:epithelioid</v>
      </c>
      <c r="K113" s="16" t="s">
        <v>21</v>
      </c>
      <c r="L113" s="8" t="s">
        <v>440</v>
      </c>
      <c r="M113" s="8" t="s">
        <v>17</v>
      </c>
      <c r="N113" s="8" t="str">
        <f aca="false">"INSERT INTO attributes (parent_id, tag, name, priority, allow_as_filter, allow_for_dataset, allow_for_measurement, allow_for_users, allow_for_qc) VALUES (NULL, '"&amp;H113&amp;"',  '"&amp;F113&amp;"',  500,  TRUE, TRUE, TRUE, FALSE, FALSE);"</f>
        <v>INSERT INTO attributes (parent_id, tag, name, priority, allow_as_filter, allow_for_dataset, allow_for_measurement, allow_for_users, allow_for_qc) VALUES (NULL, 'att_cells',  'Cells',  500,  TRUE, TRUE, TRUE, FALSE, FALSE);</v>
      </c>
      <c r="O113" s="8" t="str">
        <f aca="false">"INSERT INTO attribute_values (attribute_id, tag, name, details) VALUES ((SELECT id FROM attributes WHERE tag = '"&amp;H113&amp;"' LIMIT 1),  '"&amp;J113&amp;"',  '"&amp;D113&amp;"',  '"&amp;L113&amp;"'); "</f>
        <v>INSERT INTO attribute_values (attribute_id, tag, name, details) VALUES ((SELECT id FROM attributes WHERE tag = 'att_cells' LIMIT 1),  'att_cells:epithelioid',  'Epithelioid',  'Granulomas');</v>
      </c>
    </row>
    <row r="114" customFormat="false" ht="12.75" hidden="false" customHeight="false" outlineLevel="0" collapsed="false">
      <c r="A114" s="17" t="n">
        <f aca="false">FALSE()</f>
        <v>0</v>
      </c>
      <c r="B114" s="17"/>
      <c r="C114" s="8" t="s">
        <v>441</v>
      </c>
      <c r="D114" s="8" t="s">
        <v>442</v>
      </c>
      <c r="E114" s="8" t="s">
        <v>17</v>
      </c>
      <c r="F114" s="8" t="s">
        <v>2563</v>
      </c>
      <c r="G114" s="8" t="s">
        <v>2564</v>
      </c>
      <c r="H114" s="8" t="str">
        <f aca="false">"att_"&amp;G114</f>
        <v>att_cells</v>
      </c>
      <c r="I114" s="8" t="s">
        <v>441</v>
      </c>
      <c r="J114" s="8" t="str">
        <f aca="false">H114&amp;":"&amp;I114</f>
        <v>att_cells:erythrocytes</v>
      </c>
      <c r="K114" s="16" t="s">
        <v>21</v>
      </c>
      <c r="L114" s="8" t="s">
        <v>443</v>
      </c>
      <c r="M114" s="8" t="s">
        <v>17</v>
      </c>
      <c r="N114" s="8" t="str">
        <f aca="false">"INSERT INTO attributes (parent_id, tag, name, priority, allow_as_filter, allow_for_dataset, allow_for_measurement, allow_for_users, allow_for_qc) VALUES (NULL, '"&amp;H114&amp;"',  '"&amp;F114&amp;"',  500,  TRUE, TRUE, TRUE, FALSE, FALSE);"</f>
        <v>INSERT INTO attributes (parent_id, tag, name, priority, allow_as_filter, allow_for_dataset, allow_for_measurement, allow_for_users, allow_for_qc) VALUES (NULL, 'att_cells',  'Cells',  500,  TRUE, TRUE, TRUE, FALSE, FALSE);</v>
      </c>
      <c r="O114" s="8" t="str">
        <f aca="false">"INSERT INTO attribute_values (attribute_id, tag, name, details) VALUES ((SELECT id FROM attributes WHERE tag = '"&amp;H114&amp;"' LIMIT 1),  '"&amp;J114&amp;"',  '"&amp;D114&amp;"',  '"&amp;L114&amp;"'); "</f>
        <v>INSERT INTO attribute_values (attribute_id, tag, name, details) VALUES ((SELECT id FROM attributes WHERE tag = 'att_cells' LIMIT 1),  'att_cells:erythrocytes',  'Erythrocytes',  'Red blood cells');</v>
      </c>
    </row>
    <row r="115" customFormat="false" ht="12.75" hidden="false" customHeight="false" outlineLevel="0" collapsed="false">
      <c r="A115" s="17" t="n">
        <f aca="false">FALSE()</f>
        <v>0</v>
      </c>
      <c r="B115" s="17"/>
      <c r="C115" s="8" t="s">
        <v>444</v>
      </c>
      <c r="D115" s="8" t="s">
        <v>445</v>
      </c>
      <c r="E115" s="8" t="s">
        <v>17</v>
      </c>
      <c r="F115" s="8" t="s">
        <v>2563</v>
      </c>
      <c r="G115" s="8" t="s">
        <v>2564</v>
      </c>
      <c r="H115" s="8" t="str">
        <f aca="false">"att_"&amp;G115</f>
        <v>att_cells</v>
      </c>
      <c r="I115" s="8" t="s">
        <v>444</v>
      </c>
      <c r="J115" s="8" t="str">
        <f aca="false">H115&amp;":"&amp;I115</f>
        <v>att_cells:gammadeltat</v>
      </c>
      <c r="K115" s="16" t="s">
        <v>21</v>
      </c>
      <c r="L115" s="8" t="s">
        <v>446</v>
      </c>
      <c r="M115" s="8" t="s">
        <v>17</v>
      </c>
      <c r="N115" s="8" t="str">
        <f aca="false">"INSERT INTO attributes (parent_id, tag, name, priority, allow_as_filter, allow_for_dataset, allow_for_measurement, allow_for_users, allow_for_qc) VALUES (NULL, '"&amp;H115&amp;"',  '"&amp;F115&amp;"',  500,  TRUE, TRUE, TRUE, FALSE, FALSE);"</f>
        <v>INSERT INTO attributes (parent_id, tag, name, priority, allow_as_filter, allow_for_dataset, allow_for_measurement, allow_for_users, allow_for_qc) VALUES (NULL, 'att_cells',  'Cells',  500,  TRUE, TRUE, TRUE, FALSE, FALSE);</v>
      </c>
      <c r="O115" s="8" t="str">
        <f aca="false">"INSERT INTO attribute_values (attribute_id, tag, name, details) VALUES ((SELECT id FROM attributes WHERE tag = '"&amp;H115&amp;"' LIMIT 1),  '"&amp;J115&amp;"',  '"&amp;D115&amp;"',  '"&amp;L115&amp;"'); "</f>
        <v>INSERT INTO attribute_values (attribute_id, tag, name, details) VALUES ((SELECT id FROM attributes WHERE tag = 'att_cells' LIMIT 1),  'att_cells:gammadeltat',  'Gamma Delta T cells',  'Gamma delta T cells');</v>
      </c>
    </row>
    <row r="116" customFormat="false" ht="12.75" hidden="false" customHeight="false" outlineLevel="0" collapsed="false">
      <c r="A116" s="17" t="n">
        <f aca="false">FALSE()</f>
        <v>0</v>
      </c>
      <c r="B116" s="17"/>
      <c r="C116" s="8" t="s">
        <v>447</v>
      </c>
      <c r="D116" s="8" t="s">
        <v>448</v>
      </c>
      <c r="E116" s="8" t="s">
        <v>17</v>
      </c>
      <c r="F116" s="8" t="s">
        <v>2563</v>
      </c>
      <c r="G116" s="8" t="s">
        <v>2564</v>
      </c>
      <c r="H116" s="8" t="str">
        <f aca="false">"att_"&amp;G116</f>
        <v>att_cells</v>
      </c>
      <c r="I116" s="8" t="s">
        <v>447</v>
      </c>
      <c r="J116" s="8" t="str">
        <f aca="false">H116&amp;":"&amp;I116</f>
        <v>att_cells:hofbauer</v>
      </c>
      <c r="K116" s="16" t="s">
        <v>21</v>
      </c>
      <c r="L116" s="8" t="s">
        <v>449</v>
      </c>
      <c r="M116" s="8" t="s">
        <v>17</v>
      </c>
      <c r="N116" s="8" t="str">
        <f aca="false">"INSERT INTO attributes (parent_id, tag, name, priority, allow_as_filter, allow_for_dataset, allow_for_measurement, allow_for_users, allow_for_qc) VALUES (NULL, '"&amp;H116&amp;"',  '"&amp;F116&amp;"',  500,  TRUE, TRUE, TRUE, FALSE, FALSE);"</f>
        <v>INSERT INTO attributes (parent_id, tag, name, priority, allow_as_filter, allow_for_dataset, allow_for_measurement, allow_for_users, allow_for_qc) VALUES (NULL, 'att_cells',  'Cells',  500,  TRUE, TRUE, TRUE, FALSE, FALSE);</v>
      </c>
      <c r="O116" s="8" t="str">
        <f aca="false">"INSERT INTO attribute_values (attribute_id, tag, name, details) VALUES ((SELECT id FROM attributes WHERE tag = '"&amp;H116&amp;"' LIMIT 1),  '"&amp;J116&amp;"',  '"&amp;D116&amp;"',  '"&amp;L116&amp;"'); "</f>
        <v>INSERT INTO attribute_values (attribute_id, tag, name, details) VALUES ((SELECT id FROM attributes WHERE tag = 'att_cells' LIMIT 1),  'att_cells:hofbauer',  'Hofbauer',  'Hofbauer cells; Placenta');</v>
      </c>
    </row>
    <row r="117" customFormat="false" ht="12.75" hidden="false" customHeight="false" outlineLevel="0" collapsed="false">
      <c r="A117" s="17" t="n">
        <f aca="false">FALSE()</f>
        <v>0</v>
      </c>
      <c r="B117" s="17"/>
      <c r="C117" s="8" t="s">
        <v>450</v>
      </c>
      <c r="D117" s="8" t="s">
        <v>451</v>
      </c>
      <c r="E117" s="8" t="s">
        <v>17</v>
      </c>
      <c r="F117" s="8" t="s">
        <v>2563</v>
      </c>
      <c r="G117" s="8" t="s">
        <v>2564</v>
      </c>
      <c r="H117" s="8" t="str">
        <f aca="false">"att_"&amp;G117</f>
        <v>att_cells</v>
      </c>
      <c r="I117" s="8" t="s">
        <v>450</v>
      </c>
      <c r="J117" s="8" t="str">
        <f aca="false">H117&amp;":"&amp;I117</f>
        <v>att_cells:keratinocytes</v>
      </c>
      <c r="K117" s="16" t="s">
        <v>21</v>
      </c>
      <c r="L117" s="8" t="s">
        <v>452</v>
      </c>
      <c r="M117" s="8" t="s">
        <v>17</v>
      </c>
      <c r="N117" s="8" t="str">
        <f aca="false">"INSERT INTO attributes (parent_id, tag, name, priority, allow_as_filter, allow_for_dataset, allow_for_measurement, allow_for_users, allow_for_qc) VALUES (NULL, '"&amp;H117&amp;"',  '"&amp;F117&amp;"',  500,  TRUE, TRUE, TRUE, FALSE, FALSE);"</f>
        <v>INSERT INTO attributes (parent_id, tag, name, priority, allow_as_filter, allow_for_dataset, allow_for_measurement, allow_for_users, allow_for_qc) VALUES (NULL, 'att_cells',  'Cells',  500,  TRUE, TRUE, TRUE, FALSE, FALSE);</v>
      </c>
      <c r="O117" s="8" t="str">
        <f aca="false">"INSERT INTO attribute_values (attribute_id, tag, name, details) VALUES ((SELECT id FROM attributes WHERE tag = '"&amp;H117&amp;"' LIMIT 1),  '"&amp;J117&amp;"',  '"&amp;D117&amp;"',  '"&amp;L117&amp;"'); "</f>
        <v>INSERT INTO attribute_values (attribute_id, tag, name, details) VALUES ((SELECT id FROM attributes WHERE tag = 'att_cells' LIMIT 1),  'att_cells:keratinocytes',  'Keratinocytes',  'Most prominent cell within the epidermis.');</v>
      </c>
    </row>
    <row r="118" customFormat="false" ht="12.75" hidden="false" customHeight="false" outlineLevel="0" collapsed="false">
      <c r="A118" s="17" t="n">
        <f aca="false">FALSE()</f>
        <v>0</v>
      </c>
      <c r="B118" s="17"/>
      <c r="C118" s="8" t="s">
        <v>453</v>
      </c>
      <c r="D118" s="8" t="s">
        <v>454</v>
      </c>
      <c r="E118" s="8" t="s">
        <v>17</v>
      </c>
      <c r="F118" s="8" t="s">
        <v>2563</v>
      </c>
      <c r="G118" s="8" t="s">
        <v>2564</v>
      </c>
      <c r="H118" s="8" t="str">
        <f aca="false">"att_"&amp;G118</f>
        <v>att_cells</v>
      </c>
      <c r="I118" s="8" t="s">
        <v>453</v>
      </c>
      <c r="J118" s="8" t="str">
        <f aca="false">H118&amp;":"&amp;I118</f>
        <v>att_cells:kupffer</v>
      </c>
      <c r="K118" s="16" t="s">
        <v>21</v>
      </c>
      <c r="L118" s="8" t="s">
        <v>455</v>
      </c>
      <c r="M118" s="8" t="s">
        <v>17</v>
      </c>
      <c r="N118" s="8" t="str">
        <f aca="false">"INSERT INTO attributes (parent_id, tag, name, priority, allow_as_filter, allow_for_dataset, allow_for_measurement, allow_for_users, allow_for_qc) VALUES (NULL, '"&amp;H118&amp;"',  '"&amp;F118&amp;"',  500,  TRUE, TRUE, TRUE, FALSE, FALSE);"</f>
        <v>INSERT INTO attributes (parent_id, tag, name, priority, allow_as_filter, allow_for_dataset, allow_for_measurement, allow_for_users, allow_for_qc) VALUES (NULL, 'att_cells',  'Cells',  500,  TRUE, TRUE, TRUE, FALSE, FALSE);</v>
      </c>
      <c r="O118" s="8" t="str">
        <f aca="false">"INSERT INTO attribute_values (attribute_id, tag, name, details) VALUES ((SELECT id FROM attributes WHERE tag = '"&amp;H118&amp;"' LIMIT 1),  '"&amp;J118&amp;"',  '"&amp;D118&amp;"',  '"&amp;L118&amp;"'); "</f>
        <v>INSERT INTO attribute_values (attribute_id, tag, name, details) VALUES ((SELECT id FROM attributes WHERE tag = 'att_cells' LIMIT 1),  'att_cells:kupffer',  'Kupffer',  'Kupffer cells; Liver');</v>
      </c>
    </row>
    <row r="119" customFormat="false" ht="12.75" hidden="false" customHeight="false" outlineLevel="0" collapsed="false">
      <c r="A119" s="17" t="n">
        <f aca="false">FALSE()</f>
        <v>0</v>
      </c>
      <c r="B119" s="17"/>
      <c r="C119" s="8" t="s">
        <v>456</v>
      </c>
      <c r="D119" s="8" t="s">
        <v>457</v>
      </c>
      <c r="E119" s="8" t="s">
        <v>17</v>
      </c>
      <c r="F119" s="8" t="s">
        <v>2563</v>
      </c>
      <c r="G119" s="8" t="s">
        <v>2564</v>
      </c>
      <c r="H119" s="8" t="str">
        <f aca="false">"att_"&amp;G119</f>
        <v>att_cells</v>
      </c>
      <c r="I119" s="8" t="s">
        <v>456</v>
      </c>
      <c r="J119" s="8" t="str">
        <f aca="false">H119&amp;":"&amp;I119</f>
        <v>att_cells:langerhans</v>
      </c>
      <c r="K119" s="16" t="s">
        <v>21</v>
      </c>
      <c r="L119" s="8" t="s">
        <v>458</v>
      </c>
      <c r="M119" s="8" t="s">
        <v>17</v>
      </c>
      <c r="N119" s="8" t="str">
        <f aca="false">"INSERT INTO attributes (parent_id, tag, name, priority, allow_as_filter, allow_for_dataset, allow_for_measurement, allow_for_users, allow_for_qc) VALUES (NULL, '"&amp;H119&amp;"',  '"&amp;F119&amp;"',  500,  TRUE, TRUE, TRUE, FALSE, FALSE);"</f>
        <v>INSERT INTO attributes (parent_id, tag, name, priority, allow_as_filter, allow_for_dataset, allow_for_measurement, allow_for_users, allow_for_qc) VALUES (NULL, 'att_cells',  'Cells',  500,  TRUE, TRUE, TRUE, FALSE, FALSE);</v>
      </c>
      <c r="O119" s="8" t="str">
        <f aca="false">"INSERT INTO attribute_values (attribute_id, tag, name, details) VALUES ((SELECT id FROM attributes WHERE tag = '"&amp;H119&amp;"' LIMIT 1),  '"&amp;J119&amp;"',  '"&amp;D119&amp;"',  '"&amp;L119&amp;"'); "</f>
        <v>INSERT INTO attribute_values (attribute_id, tag, name, details) VALUES ((SELECT id FROM attributes WHERE tag = 'att_cells' LIMIT 1),  'att_cells:langerhans',  'Langerhans',  'Langerhans cells; Skin');</v>
      </c>
    </row>
    <row r="120" customFormat="false" ht="12.75" hidden="false" customHeight="false" outlineLevel="0" collapsed="false">
      <c r="A120" s="17" t="n">
        <f aca="false">FALSE()</f>
        <v>0</v>
      </c>
      <c r="B120" s="17"/>
      <c r="C120" s="8" t="s">
        <v>459</v>
      </c>
      <c r="D120" s="8" t="s">
        <v>460</v>
      </c>
      <c r="E120" s="8" t="s">
        <v>17</v>
      </c>
      <c r="F120" s="8" t="s">
        <v>2563</v>
      </c>
      <c r="G120" s="8" t="s">
        <v>2564</v>
      </c>
      <c r="H120" s="8" t="str">
        <f aca="false">"att_"&amp;G120</f>
        <v>att_cells</v>
      </c>
      <c r="I120" s="8" t="s">
        <v>459</v>
      </c>
      <c r="J120" s="8" t="str">
        <f aca="false">H120&amp;":"&amp;I120</f>
        <v>att_cells:leukocytes</v>
      </c>
      <c r="K120" s="16" t="s">
        <v>21</v>
      </c>
      <c r="L120" s="8" t="s">
        <v>461</v>
      </c>
      <c r="M120" s="8" t="s">
        <v>17</v>
      </c>
      <c r="N120" s="8" t="str">
        <f aca="false">"INSERT INTO attributes (parent_id, tag, name, priority, allow_as_filter, allow_for_dataset, allow_for_measurement, allow_for_users, allow_for_qc) VALUES (NULL, '"&amp;H120&amp;"',  '"&amp;F120&amp;"',  500,  TRUE, TRUE, TRUE, FALSE, FALSE);"</f>
        <v>INSERT INTO attributes (parent_id, tag, name, priority, allow_as_filter, allow_for_dataset, allow_for_measurement, allow_for_users, allow_for_qc) VALUES (NULL, 'att_cells',  'Cells',  500,  TRUE, TRUE, TRUE, FALSE, FALSE);</v>
      </c>
      <c r="O120" s="8" t="str">
        <f aca="false">"INSERT INTO attribute_values (attribute_id, tag, name, details) VALUES ((SELECT id FROM attributes WHERE tag = '"&amp;H120&amp;"' LIMIT 1),  '"&amp;J120&amp;"',  '"&amp;D120&amp;"',  '"&amp;L120&amp;"'); "</f>
        <v>INSERT INTO attribute_values (attribute_id, tag, name, details) VALUES ((SELECT id FROM attributes WHERE tag = 'att_cells' LIMIT 1),  'att_cells:leukocytes',  'Leukocytes',  'White blood cells');</v>
      </c>
    </row>
    <row r="121" customFormat="false" ht="12.75" hidden="false" customHeight="false" outlineLevel="0" collapsed="false">
      <c r="A121" s="17" t="n">
        <f aca="false">FALSE()</f>
        <v>0</v>
      </c>
      <c r="B121" s="17"/>
      <c r="C121" s="8" t="s">
        <v>462</v>
      </c>
      <c r="D121" s="8" t="s">
        <v>463</v>
      </c>
      <c r="E121" s="8" t="s">
        <v>17</v>
      </c>
      <c r="F121" s="8" t="s">
        <v>2563</v>
      </c>
      <c r="G121" s="8" t="s">
        <v>2564</v>
      </c>
      <c r="H121" s="8" t="str">
        <f aca="false">"att_"&amp;G121</f>
        <v>att_cells</v>
      </c>
      <c r="I121" s="8" t="s">
        <v>462</v>
      </c>
      <c r="J121" s="8" t="str">
        <f aca="false">H121&amp;":"&amp;I121</f>
        <v>att_cells:lymphocytes</v>
      </c>
      <c r="K121" s="16" t="s">
        <v>21</v>
      </c>
      <c r="L121" s="8" t="s">
        <v>464</v>
      </c>
      <c r="M121" s="8" t="s">
        <v>17</v>
      </c>
      <c r="N121" s="8" t="str">
        <f aca="false">"INSERT INTO attributes (parent_id, tag, name, priority, allow_as_filter, allow_for_dataset, allow_for_measurement, allow_for_users, allow_for_qc) VALUES (NULL, '"&amp;H121&amp;"',  '"&amp;F121&amp;"',  500,  TRUE, TRUE, TRUE, FALSE, FALSE);"</f>
        <v>INSERT INTO attributes (parent_id, tag, name, priority, allow_as_filter, allow_for_dataset, allow_for_measurement, allow_for_users, allow_for_qc) VALUES (NULL, 'att_cells',  'Cells',  500,  TRUE, TRUE, TRUE, FALSE, FALSE);</v>
      </c>
      <c r="O121" s="8" t="str">
        <f aca="false">"INSERT INTO attribute_values (attribute_id, tag, name, details) VALUES ((SELECT id FROM attributes WHERE tag = '"&amp;H121&amp;"' LIMIT 1),  '"&amp;J121&amp;"',  '"&amp;D121&amp;"',  '"&amp;L121&amp;"'); "</f>
        <v>INSERT INTO attribute_values (attribute_id, tag, name, details) VALUES ((SELECT id FROM attributes WHERE tag = 'att_cells' LIMIT 1),  'att_cells:lymphocytes',  'Lymphocytes',  '30% of leukocytes; includes B cells and T cells');</v>
      </c>
    </row>
    <row r="122" customFormat="false" ht="12.75" hidden="false" customHeight="false" outlineLevel="0" collapsed="false">
      <c r="A122" s="17" t="n">
        <f aca="false">FALSE()</f>
        <v>0</v>
      </c>
      <c r="B122" s="17"/>
      <c r="C122" s="8" t="s">
        <v>465</v>
      </c>
      <c r="D122" s="8" t="s">
        <v>466</v>
      </c>
      <c r="E122" s="8" t="s">
        <v>17</v>
      </c>
      <c r="F122" s="8" t="s">
        <v>2563</v>
      </c>
      <c r="G122" s="8" t="s">
        <v>2564</v>
      </c>
      <c r="H122" s="8" t="str">
        <f aca="false">"att_"&amp;G122</f>
        <v>att_cells</v>
      </c>
      <c r="I122" s="8" t="s">
        <v>465</v>
      </c>
      <c r="J122" s="8" t="str">
        <f aca="false">H122&amp;":"&amp;I122</f>
        <v>att_cells:macrophage</v>
      </c>
      <c r="K122" s="16" t="s">
        <v>21</v>
      </c>
      <c r="L122" s="8" t="s">
        <v>466</v>
      </c>
      <c r="M122" s="8" t="s">
        <v>17</v>
      </c>
      <c r="N122" s="8" t="str">
        <f aca="false">"INSERT INTO attributes (parent_id, tag, name, priority, allow_as_filter, allow_for_dataset, allow_for_measurement, allow_for_users, allow_for_qc) VALUES (NULL, '"&amp;H122&amp;"',  '"&amp;F122&amp;"',  500,  TRUE, TRUE, TRUE, FALSE, FALSE);"</f>
        <v>INSERT INTO attributes (parent_id, tag, name, priority, allow_as_filter, allow_for_dataset, allow_for_measurement, allow_for_users, allow_for_qc) VALUES (NULL, 'att_cells',  'Cells',  500,  TRUE, TRUE, TRUE, FALSE, FALSE);</v>
      </c>
      <c r="O122" s="8" t="str">
        <f aca="false">"INSERT INTO attribute_values (attribute_id, tag, name, details) VALUES ((SELECT id FROM attributes WHERE tag = '"&amp;H122&amp;"' LIMIT 1),  '"&amp;J122&amp;"',  '"&amp;D122&amp;"',  '"&amp;L122&amp;"'); "</f>
        <v>INSERT INTO attribute_values (attribute_id, tag, name, details) VALUES ((SELECT id FROM attributes WHERE tag = 'att_cells' LIMIT 1),  'att_cells:macrophage',  'Macrophage',  'Macrophage');</v>
      </c>
    </row>
    <row r="123" customFormat="false" ht="12.75" hidden="false" customHeight="false" outlineLevel="0" collapsed="false">
      <c r="A123" s="17" t="n">
        <f aca="false">FALSE()</f>
        <v>0</v>
      </c>
      <c r="B123" s="17"/>
      <c r="C123" s="8" t="s">
        <v>467</v>
      </c>
      <c r="D123" s="8" t="s">
        <v>468</v>
      </c>
      <c r="E123" s="8" t="s">
        <v>17</v>
      </c>
      <c r="F123" s="8" t="s">
        <v>2563</v>
      </c>
      <c r="G123" s="8" t="s">
        <v>2564</v>
      </c>
      <c r="H123" s="8" t="str">
        <f aca="false">"att_"&amp;G123</f>
        <v>att_cells</v>
      </c>
      <c r="I123" s="8" t="s">
        <v>467</v>
      </c>
      <c r="J123" s="8" t="str">
        <f aca="false">H123&amp;":"&amp;I123</f>
        <v>att_cells:microglia</v>
      </c>
      <c r="K123" s="16" t="s">
        <v>21</v>
      </c>
      <c r="L123" s="8" t="s">
        <v>469</v>
      </c>
      <c r="M123" s="8" t="s">
        <v>17</v>
      </c>
      <c r="N123" s="8" t="str">
        <f aca="false">"INSERT INTO attributes (parent_id, tag, name, priority, allow_as_filter, allow_for_dataset, allow_for_measurement, allow_for_users, allow_for_qc) VALUES (NULL, '"&amp;H123&amp;"',  '"&amp;F123&amp;"',  500,  TRUE, TRUE, TRUE, FALSE, FALSE);"</f>
        <v>INSERT INTO attributes (parent_id, tag, name, priority, allow_as_filter, allow_for_dataset, allow_for_measurement, allow_for_users, allow_for_qc) VALUES (NULL, 'att_cells',  'Cells',  500,  TRUE, TRUE, TRUE, FALSE, FALSE);</v>
      </c>
      <c r="O123" s="8" t="str">
        <f aca="false">"INSERT INTO attribute_values (attribute_id, tag, name, details) VALUES ((SELECT id FROM attributes WHERE tag = '"&amp;H123&amp;"' LIMIT 1),  '"&amp;J123&amp;"',  '"&amp;D123&amp;"',  '"&amp;L123&amp;"'); "</f>
        <v>INSERT INTO attribute_values (attribute_id, tag, name, details) VALUES ((SELECT id FROM attributes WHERE tag = 'att_cells' LIMIT 1),  'att_cells:microglia',  'Microglia',  'Microglia; Central nervous system');</v>
      </c>
    </row>
    <row r="124" customFormat="false" ht="12.75" hidden="false" customHeight="false" outlineLevel="0" collapsed="false">
      <c r="A124" s="17" t="n">
        <f aca="false">FALSE()</f>
        <v>0</v>
      </c>
      <c r="B124" s="17"/>
      <c r="C124" s="8" t="s">
        <v>470</v>
      </c>
      <c r="D124" s="8" t="s">
        <v>471</v>
      </c>
      <c r="E124" s="8" t="s">
        <v>17</v>
      </c>
      <c r="F124" s="8" t="s">
        <v>2563</v>
      </c>
      <c r="G124" s="8" t="s">
        <v>2564</v>
      </c>
      <c r="H124" s="8" t="str">
        <f aca="false">"att_"&amp;G124</f>
        <v>att_cells</v>
      </c>
      <c r="I124" s="8" t="s">
        <v>470</v>
      </c>
      <c r="J124" s="8" t="str">
        <f aca="false">H124&amp;":"&amp;I124</f>
        <v>att_cells:monoblast</v>
      </c>
      <c r="K124" s="16" t="s">
        <v>21</v>
      </c>
      <c r="L124" s="8" t="s">
        <v>471</v>
      </c>
      <c r="M124" s="8" t="s">
        <v>17</v>
      </c>
      <c r="N124" s="8" t="str">
        <f aca="false">"INSERT INTO attributes (parent_id, tag, name, priority, allow_as_filter, allow_for_dataset, allow_for_measurement, allow_for_users, allow_for_qc) VALUES (NULL, '"&amp;H124&amp;"',  '"&amp;F124&amp;"',  500,  TRUE, TRUE, TRUE, FALSE, FALSE);"</f>
        <v>INSERT INTO attributes (parent_id, tag, name, priority, allow_as_filter, allow_for_dataset, allow_for_measurement, allow_for_users, allow_for_qc) VALUES (NULL, 'att_cells',  'Cells',  500,  TRUE, TRUE, TRUE, FALSE, FALSE);</v>
      </c>
      <c r="O124" s="8" t="str">
        <f aca="false">"INSERT INTO attribute_values (attribute_id, tag, name, details) VALUES ((SELECT id FROM attributes WHERE tag = '"&amp;H124&amp;"' LIMIT 1),  '"&amp;J124&amp;"',  '"&amp;D124&amp;"',  '"&amp;L124&amp;"'); "</f>
        <v>INSERT INTO attribute_values (attribute_id, tag, name, details) VALUES ((SELECT id FROM attributes WHERE tag = 'att_cells' LIMIT 1),  'att_cells:monoblast',  'Monoblast',  'Monoblast');</v>
      </c>
    </row>
    <row r="125" customFormat="false" ht="12.75" hidden="false" customHeight="false" outlineLevel="0" collapsed="false">
      <c r="A125" s="17" t="n">
        <f aca="false">FALSE()</f>
        <v>0</v>
      </c>
      <c r="B125" s="17"/>
      <c r="C125" s="8" t="s">
        <v>472</v>
      </c>
      <c r="D125" s="8" t="s">
        <v>390</v>
      </c>
      <c r="E125" s="8" t="s">
        <v>17</v>
      </c>
      <c r="F125" s="8" t="s">
        <v>2563</v>
      </c>
      <c r="G125" s="8" t="s">
        <v>2564</v>
      </c>
      <c r="H125" s="8" t="str">
        <f aca="false">"att_"&amp;G125</f>
        <v>att_cells</v>
      </c>
      <c r="I125" s="8" t="s">
        <v>472</v>
      </c>
      <c r="J125" s="8" t="str">
        <f aca="false">H125&amp;":"&amp;I125</f>
        <v>att_cells:monocytes</v>
      </c>
      <c r="K125" s="16" t="s">
        <v>21</v>
      </c>
      <c r="L125" s="8" t="s">
        <v>473</v>
      </c>
      <c r="M125" s="8" t="s">
        <v>17</v>
      </c>
      <c r="N125" s="8" t="str">
        <f aca="false">"INSERT INTO attributes (parent_id, tag, name, priority, allow_as_filter, allow_for_dataset, allow_for_measurement, allow_for_users, allow_for_qc) VALUES (NULL, '"&amp;H125&amp;"',  '"&amp;F125&amp;"',  500,  TRUE, TRUE, TRUE, FALSE, FALSE);"</f>
        <v>INSERT INTO attributes (parent_id, tag, name, priority, allow_as_filter, allow_for_dataset, allow_for_measurement, allow_for_users, allow_for_qc) VALUES (NULL, 'att_cells',  'Cells',  500,  TRUE, TRUE, TRUE, FALSE, FALSE);</v>
      </c>
      <c r="O125" s="8" t="str">
        <f aca="false">"INSERT INTO attribute_values (attribute_id, tag, name, details) VALUES ((SELECT id FROM attributes WHERE tag = '"&amp;H125&amp;"' LIMIT 1),  '"&amp;J125&amp;"',  '"&amp;D125&amp;"',  '"&amp;L125&amp;"'); "</f>
        <v>INSERT INTO attribute_values (attribute_id, tag, name, details) VALUES ((SELECT id FROM attributes WHERE tag = 'att_cells' LIMIT 1),  'att_cells:monocytes',  'Monocytes',  '5% of leukocytes');</v>
      </c>
    </row>
    <row r="126" customFormat="false" ht="12.75" hidden="false" customHeight="false" outlineLevel="0" collapsed="false">
      <c r="A126" s="17" t="n">
        <f aca="false">FALSE()</f>
        <v>0</v>
      </c>
      <c r="B126" s="17"/>
      <c r="C126" s="8" t="s">
        <v>474</v>
      </c>
      <c r="D126" s="8" t="s">
        <v>475</v>
      </c>
      <c r="E126" s="8" t="s">
        <v>17</v>
      </c>
      <c r="F126" s="8" t="s">
        <v>2563</v>
      </c>
      <c r="G126" s="8" t="s">
        <v>2564</v>
      </c>
      <c r="H126" s="8" t="str">
        <f aca="false">"att_"&amp;G126</f>
        <v>att_cells</v>
      </c>
      <c r="I126" s="8" t="s">
        <v>474</v>
      </c>
      <c r="J126" s="8" t="str">
        <f aca="false">H126&amp;":"&amp;I126</f>
        <v>att_cells:neutrophils</v>
      </c>
      <c r="K126" s="16" t="s">
        <v>21</v>
      </c>
      <c r="L126" s="8" t="s">
        <v>476</v>
      </c>
      <c r="M126" s="8" t="s">
        <v>17</v>
      </c>
      <c r="N126" s="8" t="str">
        <f aca="false">"INSERT INTO attributes (parent_id, tag, name, priority, allow_as_filter, allow_for_dataset, allow_for_measurement, allow_for_users, allow_for_qc) VALUES (NULL, '"&amp;H126&amp;"',  '"&amp;F126&amp;"',  500,  TRUE, TRUE, TRUE, FALSE, FALSE);"</f>
        <v>INSERT INTO attributes (parent_id, tag, name, priority, allow_as_filter, allow_for_dataset, allow_for_measurement, allow_for_users, allow_for_qc) VALUES (NULL, 'att_cells',  'Cells',  500,  TRUE, TRUE, TRUE, FALSE, FALSE);</v>
      </c>
      <c r="O126" s="8" t="str">
        <f aca="false">"INSERT INTO attribute_values (attribute_id, tag, name, details) VALUES ((SELECT id FROM attributes WHERE tag = '"&amp;H126&amp;"' LIMIT 1),  '"&amp;J126&amp;"',  '"&amp;D126&amp;"',  '"&amp;L126&amp;"'); "</f>
        <v>INSERT INTO attribute_values (attribute_id, tag, name, details) VALUES ((SELECT id FROM attributes WHERE tag = 'att_cells' LIMIT 1),  'att_cells:neutrophils',  'Neutrophils',  '62% of leukocytes');</v>
      </c>
    </row>
    <row r="127" customFormat="false" ht="12.75" hidden="false" customHeight="false" outlineLevel="0" collapsed="false">
      <c r="A127" s="17" t="n">
        <f aca="false">FALSE()</f>
        <v>0</v>
      </c>
      <c r="B127" s="17"/>
      <c r="C127" s="8" t="s">
        <v>477</v>
      </c>
      <c r="D127" s="8" t="s">
        <v>478</v>
      </c>
      <c r="E127" s="8" t="s">
        <v>17</v>
      </c>
      <c r="F127" s="8" t="s">
        <v>2563</v>
      </c>
      <c r="G127" s="8" t="s">
        <v>2564</v>
      </c>
      <c r="H127" s="8" t="str">
        <f aca="false">"att_"&amp;G127</f>
        <v>att_cells</v>
      </c>
      <c r="I127" s="8" t="s">
        <v>477</v>
      </c>
      <c r="J127" s="8" t="str">
        <f aca="false">H127&amp;":"&amp;I127</f>
        <v>att_cells:nk</v>
      </c>
      <c r="K127" s="16" t="s">
        <v>21</v>
      </c>
      <c r="L127" s="8" t="s">
        <v>479</v>
      </c>
      <c r="M127" s="8" t="s">
        <v>17</v>
      </c>
      <c r="N127" s="8" t="str">
        <f aca="false">"INSERT INTO attributes (parent_id, tag, name, priority, allow_as_filter, allow_for_dataset, allow_for_measurement, allow_for_users, allow_for_qc) VALUES (NULL, '"&amp;H127&amp;"',  '"&amp;F127&amp;"',  500,  TRUE, TRUE, TRUE, FALSE, FALSE);"</f>
        <v>INSERT INTO attributes (parent_id, tag, name, priority, allow_as_filter, allow_for_dataset, allow_for_measurement, allow_for_users, allow_for_qc) VALUES (NULL, 'att_cells',  'Cells',  500,  TRUE, TRUE, TRUE, FALSE, FALSE);</v>
      </c>
      <c r="O127" s="8" t="str">
        <f aca="false">"INSERT INTO attribute_values (attribute_id, tag, name, details) VALUES ((SELECT id FROM attributes WHERE tag = '"&amp;H127&amp;"' LIMIT 1),  '"&amp;J127&amp;"',  '"&amp;D127&amp;"',  '"&amp;L127&amp;"'); "</f>
        <v>INSERT INTO attribute_values (attribute_id, tag, name, details) VALUES ((SELECT id FROM attributes WHERE tag = 'att_cells' LIMIT 1),  'att_cells:nk',  'Natural Killer cells (NK)',  'Natural killer cells');</v>
      </c>
    </row>
    <row r="128" customFormat="false" ht="12.75" hidden="false" customHeight="false" outlineLevel="0" collapsed="false">
      <c r="A128" s="17" t="n">
        <f aca="false">FALSE()</f>
        <v>0</v>
      </c>
      <c r="B128" s="17"/>
      <c r="C128" s="8" t="s">
        <v>480</v>
      </c>
      <c r="D128" s="8" t="s">
        <v>481</v>
      </c>
      <c r="E128" s="8" t="s">
        <v>17</v>
      </c>
      <c r="F128" s="8" t="s">
        <v>2563</v>
      </c>
      <c r="G128" s="8" t="s">
        <v>2564</v>
      </c>
      <c r="H128" s="8" t="str">
        <f aca="false">"att_"&amp;G128</f>
        <v>att_cells</v>
      </c>
      <c r="I128" s="8" t="s">
        <v>480</v>
      </c>
      <c r="J128" s="8" t="str">
        <f aca="false">H128&amp;":"&amp;I128</f>
        <v>att_cells:osteoblast</v>
      </c>
      <c r="K128" s="16" t="s">
        <v>21</v>
      </c>
      <c r="L128" s="8" t="s">
        <v>482</v>
      </c>
      <c r="M128" s="8" t="s">
        <v>17</v>
      </c>
      <c r="N128" s="8" t="str">
        <f aca="false">"INSERT INTO attributes (parent_id, tag, name, priority, allow_as_filter, allow_for_dataset, allow_for_measurement, allow_for_users, allow_for_qc) VALUES (NULL, '"&amp;H128&amp;"',  '"&amp;F128&amp;"',  500,  TRUE, TRUE, TRUE, FALSE, FALSE);"</f>
        <v>INSERT INTO attributes (parent_id, tag, name, priority, allow_as_filter, allow_for_dataset, allow_for_measurement, allow_for_users, allow_for_qc) VALUES (NULL, 'att_cells',  'Cells',  500,  TRUE, TRUE, TRUE, FALSE, FALSE);</v>
      </c>
      <c r="O128" s="8" t="str">
        <f aca="false">"INSERT INTO attribute_values (attribute_id, tag, name, details) VALUES ((SELECT id FROM attributes WHERE tag = '"&amp;H128&amp;"' LIMIT 1),  '"&amp;J128&amp;"',  '"&amp;D128&amp;"',  '"&amp;L128&amp;"'); "</f>
        <v>INSERT INTO attribute_values (attribute_id, tag, name, details) VALUES ((SELECT id FROM attributes WHERE tag = 'att_cells' LIMIT 1),  'att_cells:osteoblast',  'Osteoblast',  'forms bone matrix');</v>
      </c>
    </row>
    <row r="129" customFormat="false" ht="12.75" hidden="false" customHeight="false" outlineLevel="0" collapsed="false">
      <c r="A129" s="17" t="n">
        <f aca="false">FALSE()</f>
        <v>0</v>
      </c>
      <c r="B129" s="17"/>
      <c r="C129" s="8" t="s">
        <v>483</v>
      </c>
      <c r="D129" s="8" t="s">
        <v>484</v>
      </c>
      <c r="E129" s="8" t="s">
        <v>17</v>
      </c>
      <c r="F129" s="8" t="s">
        <v>2563</v>
      </c>
      <c r="G129" s="8" t="s">
        <v>2564</v>
      </c>
      <c r="H129" s="8" t="str">
        <f aca="false">"att_"&amp;G129</f>
        <v>att_cells</v>
      </c>
      <c r="I129" s="8" t="s">
        <v>483</v>
      </c>
      <c r="J129" s="8" t="str">
        <f aca="false">H129&amp;":"&amp;I129</f>
        <v>att_cells:osteoclast</v>
      </c>
      <c r="K129" s="16" t="s">
        <v>21</v>
      </c>
      <c r="L129" s="8" t="s">
        <v>485</v>
      </c>
      <c r="M129" s="8" t="s">
        <v>17</v>
      </c>
      <c r="N129" s="8" t="str">
        <f aca="false">"INSERT INTO attributes (parent_id, tag, name, priority, allow_as_filter, allow_for_dataset, allow_for_measurement, allow_for_users, allow_for_qc) VALUES (NULL, '"&amp;H129&amp;"',  '"&amp;F129&amp;"',  500,  TRUE, TRUE, TRUE, FALSE, FALSE);"</f>
        <v>INSERT INTO attributes (parent_id, tag, name, priority, allow_as_filter, allow_for_dataset, allow_for_measurement, allow_for_users, allow_for_qc) VALUES (NULL, 'att_cells',  'Cells',  500,  TRUE, TRUE, TRUE, FALSE, FALSE);</v>
      </c>
      <c r="O129" s="8" t="str">
        <f aca="false">"INSERT INTO attribute_values (attribute_id, tag, name, details) VALUES ((SELECT id FROM attributes WHERE tag = '"&amp;H129&amp;"' LIMIT 1),  '"&amp;J129&amp;"',  '"&amp;D129&amp;"',  '"&amp;L129&amp;"'); "</f>
        <v>INSERT INTO attribute_values (attribute_id, tag, name, details) VALUES ((SELECT id FROM attributes WHERE tag = 'att_cells' LIMIT 1),  'att_cells:osteoclast',  'Osteoclast',  'resorbs bone');</v>
      </c>
    </row>
    <row r="130" customFormat="false" ht="12.75" hidden="false" customHeight="false" outlineLevel="0" collapsed="false">
      <c r="A130" s="17" t="n">
        <f aca="false">FALSE()</f>
        <v>0</v>
      </c>
      <c r="B130" s="17"/>
      <c r="C130" s="8" t="s">
        <v>486</v>
      </c>
      <c r="D130" s="8" t="s">
        <v>487</v>
      </c>
      <c r="E130" s="8" t="s">
        <v>17</v>
      </c>
      <c r="F130" s="8" t="s">
        <v>2563</v>
      </c>
      <c r="G130" s="8" t="s">
        <v>2564</v>
      </c>
      <c r="H130" s="8" t="str">
        <f aca="false">"att_"&amp;G130</f>
        <v>att_cells</v>
      </c>
      <c r="I130" s="8" t="s">
        <v>486</v>
      </c>
      <c r="J130" s="8" t="str">
        <f aca="false">H130&amp;":"&amp;I130</f>
        <v>att_cells:osteocytes</v>
      </c>
      <c r="K130" s="16" t="s">
        <v>21</v>
      </c>
      <c r="L130" s="8" t="s">
        <v>488</v>
      </c>
      <c r="M130" s="8" t="s">
        <v>17</v>
      </c>
      <c r="N130" s="8" t="str">
        <f aca="false">"INSERT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8" t="str">
        <f aca="false">"INSERT INTO attribute_values (attribute_id, tag, name, details) VALUES ((SELECT id FROM attributes WHERE tag = '"&amp;H130&amp;"' LIMIT 1),  '"&amp;J130&amp;"',  '"&amp;D130&amp;"',  '"&amp;L130&amp;"'); "</f>
        <v>INSERT INTO attribute_values (attribute_id, tag, name, details) VALUES ((SELECT id FROM attributes WHERE tag = 'att_cells' LIMIT 1),  'att_cells:osteocytes',  'Osteocytes',  'maintains bone tissue');</v>
      </c>
    </row>
    <row r="131" customFormat="false" ht="12.75" hidden="false" customHeight="false" outlineLevel="0" collapsed="false">
      <c r="A131" s="17" t="n">
        <f aca="false">FALSE()</f>
        <v>0</v>
      </c>
      <c r="B131" s="17"/>
      <c r="C131" s="8" t="s">
        <v>489</v>
      </c>
      <c r="D131" s="8" t="s">
        <v>490</v>
      </c>
      <c r="E131" s="8" t="s">
        <v>17</v>
      </c>
      <c r="F131" s="8" t="s">
        <v>2563</v>
      </c>
      <c r="G131" s="8" t="s">
        <v>2564</v>
      </c>
      <c r="H131" s="8" t="str">
        <f aca="false">"att_"&amp;G131</f>
        <v>att_cells</v>
      </c>
      <c r="I131" s="8" t="s">
        <v>489</v>
      </c>
      <c r="J131" s="8" t="str">
        <f aca="false">H131&amp;":"&amp;I131</f>
        <v>att_cells:osteogenic</v>
      </c>
      <c r="K131" s="16" t="s">
        <v>21</v>
      </c>
      <c r="L131" s="8" t="s">
        <v>491</v>
      </c>
      <c r="M131" s="8" t="s">
        <v>17</v>
      </c>
      <c r="N131" s="8" t="str">
        <f aca="false">"INSERT INTO attributes (parent_id, tag, name, priority, allow_as_filter, allow_for_dataset, allow_for_measurement, allow_for_users, allow_for_qc) VALUES (NULL, '"&amp;H131&amp;"',  '"&amp;F131&amp;"',  500,  TRUE, TRUE, TRUE, FALSE, FALSE);"</f>
        <v>INSERT INTO attributes (parent_id, tag, name, priority, allow_as_filter, allow_for_dataset, allow_for_measurement, allow_for_users, allow_for_qc) VALUES (NULL, 'att_cells',  'Cells',  500,  TRUE, TRUE, TRUE, FALSE, FALSE);</v>
      </c>
      <c r="O131" s="8" t="str">
        <f aca="false">"INSERT INTO attribute_values (attribute_id, tag, name, details) VALUES ((SELECT id FROM attributes WHERE tag = '"&amp;H131&amp;"' LIMIT 1),  '"&amp;J131&amp;"',  '"&amp;D131&amp;"',  '"&amp;L131&amp;"'); "</f>
        <v>INSERT INTO attribute_values (attribute_id, tag, name, details) VALUES ((SELECT id FROM attributes WHERE tag = 'att_cells' LIMIT 1),  'att_cells:osteogenic',  'Osteogenic',  'Stem cell');</v>
      </c>
    </row>
    <row r="132" customFormat="false" ht="12.75" hidden="false" customHeight="false" outlineLevel="0" collapsed="false">
      <c r="A132" s="17" t="n">
        <f aca="false">FALSE()</f>
        <v>0</v>
      </c>
      <c r="B132" s="17"/>
      <c r="C132" s="8" t="s">
        <v>492</v>
      </c>
      <c r="D132" s="8" t="s">
        <v>493</v>
      </c>
      <c r="E132" s="8" t="s">
        <v>17</v>
      </c>
      <c r="F132" s="8" t="s">
        <v>2563</v>
      </c>
      <c r="G132" s="8" t="s">
        <v>2564</v>
      </c>
      <c r="H132" s="8" t="str">
        <f aca="false">"att_"&amp;G132</f>
        <v>att_cells</v>
      </c>
      <c r="I132" s="8" t="s">
        <v>492</v>
      </c>
      <c r="J132" s="8" t="str">
        <f aca="false">H132&amp;":"&amp;I132</f>
        <v>att_cells:regt</v>
      </c>
      <c r="K132" s="16" t="s">
        <v>21</v>
      </c>
      <c r="L132" s="8" t="s">
        <v>494</v>
      </c>
      <c r="M132" s="8" t="s">
        <v>17</v>
      </c>
      <c r="N132" s="8" t="str">
        <f aca="false">"INSERT INTO attributes (parent_id, tag, name, priority, allow_as_filter, allow_for_dataset, allow_for_measurement, allow_for_users, allow_for_qc) VALUES (NULL, '"&amp;H132&amp;"',  '"&amp;F132&amp;"',  500,  TRUE, TRUE, TRUE, FALSE, FALSE);"</f>
        <v>INSERT INTO attributes (parent_id, tag, name, priority, allow_as_filter, allow_for_dataset, allow_for_measurement, allow_for_users, allow_for_qc) VALUES (NULL, 'att_cells',  'Cells',  500,  TRUE, TRUE, TRUE, FALSE, FALSE);</v>
      </c>
      <c r="O132" s="8" t="str">
        <f aca="false">"INSERT INTO attribute_values (attribute_id, tag, name, details) VALUES ((SELECT id FROM attributes WHERE tag = '"&amp;H132&amp;"' LIMIT 1),  '"&amp;J132&amp;"',  '"&amp;D132&amp;"',  '"&amp;L132&amp;"'); "</f>
        <v>INSERT INTO attribute_values (attribute_id, tag, name, details) VALUES ((SELECT id FROM attributes WHERE tag = 'att_cells' LIMIT 1),  'att_cells:regt',  'Regulatory T cells (RegT)',  'Regulatory T Cell');</v>
      </c>
    </row>
    <row r="133" customFormat="false" ht="12.75" hidden="false" customHeight="false" outlineLevel="0" collapsed="false">
      <c r="A133" s="17" t="n">
        <f aca="false">FALSE()</f>
        <v>0</v>
      </c>
      <c r="B133" s="17"/>
      <c r="C133" s="8" t="s">
        <v>495</v>
      </c>
      <c r="D133" s="8" t="s">
        <v>496</v>
      </c>
      <c r="E133" s="8" t="s">
        <v>17</v>
      </c>
      <c r="F133" s="8" t="s">
        <v>2563</v>
      </c>
      <c r="G133" s="8" t="s">
        <v>2564</v>
      </c>
      <c r="H133" s="8" t="str">
        <f aca="false">"att_"&amp;G133</f>
        <v>att_cells</v>
      </c>
      <c r="I133" s="8" t="s">
        <v>495</v>
      </c>
      <c r="J133" s="8" t="str">
        <f aca="false">H133&amp;":"&amp;I133</f>
        <v>att_cells:stemcells</v>
      </c>
      <c r="K133" s="16" t="s">
        <v>21</v>
      </c>
      <c r="L133" s="8" t="s">
        <v>497</v>
      </c>
      <c r="M133" s="8" t="s">
        <v>17</v>
      </c>
      <c r="N133" s="8" t="str">
        <f aca="false">"INSERT INTO attributes (parent_id, tag, name, priority, allow_as_filter, allow_for_dataset, allow_for_measurement, allow_for_users, allow_for_qc) VALUES (NULL, '"&amp;H133&amp;"',  '"&amp;F133&amp;"',  500,  TRUE, TRUE, TRUE, FALSE, FALSE);"</f>
        <v>INSERT INTO attributes (parent_id, tag, name, priority, allow_as_filter, allow_for_dataset, allow_for_measurement, allow_for_users, allow_for_qc) VALUES (NULL, 'att_cells',  'Cells',  500,  TRUE, TRUE, TRUE, FALSE, FALSE);</v>
      </c>
      <c r="O133" s="8" t="str">
        <f aca="false">"INSERT INTO attribute_values (attribute_id, tag, name, details) VALUES ((SELECT id FROM attributes WHERE tag = '"&amp;H133&amp;"' LIMIT 1),  '"&amp;J133&amp;"',  '"&amp;D133&amp;"',  '"&amp;L133&amp;"'); "</f>
        <v>INSERT INTO attribute_values (attribute_id, tag, name, details) VALUES ((SELECT id FROM attributes WHERE tag = 'att_cells' LIMIT 1),  'att_cells:stemcells',  'Stem Cells',  'Stem or Blast cells');</v>
      </c>
    </row>
    <row r="134" customFormat="false" ht="12.75" hidden="false" customHeight="false" outlineLevel="0" collapsed="false">
      <c r="A134" s="17" t="n">
        <f aca="false">FALSE()</f>
        <v>0</v>
      </c>
      <c r="B134" s="17"/>
      <c r="C134" s="8" t="s">
        <v>498</v>
      </c>
      <c r="D134" s="8" t="s">
        <v>499</v>
      </c>
      <c r="E134" s="8" t="s">
        <v>17</v>
      </c>
      <c r="F134" s="8" t="s">
        <v>2563</v>
      </c>
      <c r="G134" s="8" t="s">
        <v>2564</v>
      </c>
      <c r="H134" s="8" t="str">
        <f aca="false">"att_"&amp;G134</f>
        <v>att_cells</v>
      </c>
      <c r="I134" s="8" t="s">
        <v>498</v>
      </c>
      <c r="J134" s="8" t="str">
        <f aca="false">H134&amp;":"&amp;I134</f>
        <v>att_cells:tcells</v>
      </c>
      <c r="K134" s="16" t="s">
        <v>21</v>
      </c>
      <c r="L134" s="8" t="s">
        <v>499</v>
      </c>
      <c r="M134" s="8" t="s">
        <v>17</v>
      </c>
      <c r="N134" s="8" t="str">
        <f aca="false">"INSERT INTO attributes (parent_id, tag, name, priority, allow_as_filter, allow_for_dataset, allow_for_measurement, allow_for_users, allow_for_qc) VALUES (NULL, '"&amp;H134&amp;"',  '"&amp;F134&amp;"',  500,  TRUE, TRUE, TRUE, FALSE, FALSE);"</f>
        <v>INSERT INTO attributes (parent_id, tag, name, priority, allow_as_filter, allow_for_dataset, allow_for_measurement, allow_for_users, allow_for_qc) VALUES (NULL, 'att_cells',  'Cells',  500,  TRUE, TRUE, TRUE, FALSE, FALSE);</v>
      </c>
      <c r="O134" s="8" t="str">
        <f aca="false">"INSERT INTO attribute_values (attribute_id, tag, name, details) VALUES ((SELECT id FROM attributes WHERE tag = '"&amp;H134&amp;"' LIMIT 1),  '"&amp;J134&amp;"',  '"&amp;D134&amp;"',  '"&amp;L134&amp;"'); "</f>
        <v>INSERT INTO attribute_values (attribute_id, tag, name, details) VALUES ((SELECT id FROM attributes WHERE tag = 'att_cells' LIMIT 1),  'att_cells:tcells',  'T cells',  'T cells');</v>
      </c>
    </row>
    <row r="135" customFormat="false" ht="12.75" hidden="false" customHeight="false" outlineLevel="0" collapsed="false">
      <c r="A135" s="17" t="n">
        <f aca="false">FALSE()</f>
        <v>0</v>
      </c>
      <c r="B135" s="17"/>
      <c r="C135" s="8" t="s">
        <v>500</v>
      </c>
      <c r="D135" s="8" t="s">
        <v>501</v>
      </c>
      <c r="E135" s="8" t="s">
        <v>17</v>
      </c>
      <c r="F135" s="8" t="s">
        <v>2563</v>
      </c>
      <c r="G135" s="8" t="s">
        <v>2564</v>
      </c>
      <c r="H135" s="8" t="str">
        <f aca="false">"att_"&amp;G135</f>
        <v>att_cells</v>
      </c>
      <c r="I135" s="8" t="s">
        <v>500</v>
      </c>
      <c r="J135" s="8" t="str">
        <f aca="false">H135&amp;":"&amp;I135</f>
        <v>att_cells:thelper</v>
      </c>
      <c r="K135" s="16" t="s">
        <v>21</v>
      </c>
      <c r="L135" s="8" t="s">
        <v>502</v>
      </c>
      <c r="M135" s="8" t="s">
        <v>17</v>
      </c>
      <c r="N135" s="8" t="str">
        <f aca="false">"INSERT INTO attributes (parent_id, tag, name, priority, allow_as_filter, allow_for_dataset, allow_for_measurement, allow_for_users, allow_for_qc) VALUES (NULL, '"&amp;H135&amp;"',  '"&amp;F135&amp;"',  500,  TRUE, TRUE, TRUE, FALSE, FALSE);"</f>
        <v>INSERT INTO attributes (parent_id, tag, name, priority, allow_as_filter, allow_for_dataset, allow_for_measurement, allow_for_users, allow_for_qc) VALUES (NULL, 'att_cells',  'Cells',  500,  TRUE, TRUE, TRUE, FALSE, FALSE);</v>
      </c>
      <c r="O135" s="8" t="str">
        <f aca="false">"INSERT INTO attribute_values (attribute_id, tag, name, details) VALUES ((SELECT id FROM attributes WHERE tag = '"&amp;H135&amp;"' LIMIT 1),  '"&amp;J135&amp;"',  '"&amp;D135&amp;"',  '"&amp;L135&amp;"'); "</f>
        <v>INSERT INTO attribute_values (attribute_id, tag, name, details) VALUES ((SELECT id FROM attributes WHERE tag = 'att_cells' LIMIT 1),  'att_cells:thelper',  'T Helper cells (Th)',  'CD4+ T helper cells');</v>
      </c>
    </row>
    <row r="136" customFormat="false" ht="12.75" hidden="false" customHeight="false" outlineLevel="0" collapsed="false">
      <c r="A136" s="17" t="n">
        <f aca="false">FALSE()</f>
        <v>0</v>
      </c>
      <c r="B136" s="17"/>
      <c r="C136" s="8" t="s">
        <v>503</v>
      </c>
      <c r="D136" s="8" t="s">
        <v>504</v>
      </c>
      <c r="E136" s="8" t="s">
        <v>17</v>
      </c>
      <c r="F136" s="8" t="s">
        <v>2563</v>
      </c>
      <c r="G136" s="8" t="s">
        <v>2564</v>
      </c>
      <c r="H136" s="8" t="str">
        <f aca="false">"att_"&amp;G136</f>
        <v>att_cells</v>
      </c>
      <c r="I136" s="8" t="s">
        <v>503</v>
      </c>
      <c r="J136" s="8" t="str">
        <f aca="false">H136&amp;":"&amp;I136</f>
        <v>att_cells:thrombocytes</v>
      </c>
      <c r="K136" s="16" t="s">
        <v>21</v>
      </c>
      <c r="L136" s="8" t="s">
        <v>505</v>
      </c>
      <c r="M136" s="8" t="s">
        <v>17</v>
      </c>
      <c r="N136" s="8" t="str">
        <f aca="false">"INSERT INTO attributes (parent_id, tag, name, priority, allow_as_filter, allow_for_dataset, allow_for_measurement, allow_for_users, allow_for_qc) VALUES (NULL, '"&amp;H136&amp;"',  '"&amp;F136&amp;"',  500,  TRUE, TRUE, TRUE, FALSE, FALSE);"</f>
        <v>INSERT INTO attributes (parent_id, tag, name, priority, allow_as_filter, allow_for_dataset, allow_for_measurement, allow_for_users, allow_for_qc) VALUES (NULL, 'att_cells',  'Cells',  500,  TRUE, TRUE, TRUE, FALSE, FALSE);</v>
      </c>
      <c r="O136" s="8" t="str">
        <f aca="false">"INSERT INTO attribute_values (attribute_id, tag, name, details) VALUES ((SELECT id FROM attributes WHERE tag = '"&amp;H136&amp;"' LIMIT 1),  '"&amp;J136&amp;"',  '"&amp;D136&amp;"',  '"&amp;L136&amp;"'); "</f>
        <v>INSERT INTO attribute_values (attribute_id, tag, name, details) VALUES ((SELECT id FROM attributes WHERE tag = 'att_cells' LIMIT 1),  'att_cells:thrombocytes',  'Thrombocytes',  'Platelets');</v>
      </c>
    </row>
    <row r="137" customFormat="false" ht="12.75" hidden="false" customHeight="false" outlineLevel="0" collapsed="false">
      <c r="A137" s="17" t="n">
        <f aca="false">FALSE()</f>
        <v>0</v>
      </c>
      <c r="B137" s="17"/>
      <c r="C137" s="8" t="s">
        <v>737</v>
      </c>
      <c r="D137" s="8" t="s">
        <v>738</v>
      </c>
      <c r="E137" s="8" t="s">
        <v>17</v>
      </c>
      <c r="F137" s="8" t="s">
        <v>2565</v>
      </c>
      <c r="G137" s="8" t="s">
        <v>2566</v>
      </c>
      <c r="H137" s="8" t="str">
        <f aca="false">"att_"&amp;G137</f>
        <v>att_compound</v>
      </c>
      <c r="I137" s="8" t="s">
        <v>737</v>
      </c>
      <c r="J137" s="8" t="str">
        <f aca="false">H137&amp;":"&amp;I137</f>
        <v>att_compound:anisomycin</v>
      </c>
      <c r="K137" s="16" t="s">
        <v>21</v>
      </c>
      <c r="L137" s="8" t="s">
        <v>738</v>
      </c>
      <c r="M137" s="8" t="s">
        <v>17</v>
      </c>
      <c r="N137" s="8" t="str">
        <f aca="false">"INSERT INTO attributes (parent_id, tag, name, priority, allow_as_filter, allow_for_dataset, allow_for_measurement, allow_for_users, allow_for_qc) VALUES (NULL, '"&amp;H137&amp;"',  '"&amp;F137&amp;"',  500,  TRUE, TRUE, TRUE, FALSE, FALSE);"</f>
        <v>INSERT INTO attributes (parent_id, tag, name, priority, allow_as_filter, allow_for_dataset, allow_for_measurement, allow_for_users, allow_for_qc) VALUES (NULL, 'att_compound',  'Compound',  500,  TRUE, TRUE, TRUE, FALSE, FALSE);</v>
      </c>
      <c r="O137" s="8" t="str">
        <f aca="false">"INSERT INTO attribute_values (attribute_id, tag, name, details) VALUES ((SELECT id FROM attributes WHERE tag = '"&amp;H137&amp;"' LIMIT 1),  '"&amp;J137&amp;"',  '"&amp;D137&amp;"',  '"&amp;L137&amp;"'); "</f>
        <v>INSERT INTO attribute_values (attribute_id, tag, name, details) VALUES ((SELECT id FROM attributes WHERE tag = 'att_compound' LIMIT 1),  'att_compound:anisomycin',  'Anisomycin',  'Anisomycin');</v>
      </c>
    </row>
    <row r="138" customFormat="false" ht="12.75" hidden="false" customHeight="false" outlineLevel="0" collapsed="false">
      <c r="A138" s="17" t="n">
        <f aca="false">FALSE()</f>
        <v>0</v>
      </c>
      <c r="B138" s="17"/>
      <c r="C138" s="8" t="s">
        <v>742</v>
      </c>
      <c r="D138" s="8" t="s">
        <v>743</v>
      </c>
      <c r="E138" s="8" t="s">
        <v>17</v>
      </c>
      <c r="F138" s="8" t="s">
        <v>2565</v>
      </c>
      <c r="G138" s="8" t="s">
        <v>2566</v>
      </c>
      <c r="H138" s="8" t="str">
        <f aca="false">"att_"&amp;G138</f>
        <v>att_compound</v>
      </c>
      <c r="I138" s="8" t="s">
        <v>742</v>
      </c>
      <c r="J138" s="8" t="str">
        <f aca="false">H138&amp;":"&amp;I138</f>
        <v>att_compound:atp</v>
      </c>
      <c r="K138" s="16" t="s">
        <v>21</v>
      </c>
      <c r="L138" s="8" t="s">
        <v>744</v>
      </c>
      <c r="M138" s="8" t="s">
        <v>17</v>
      </c>
      <c r="N138" s="8" t="str">
        <f aca="false">"INSERT INTO attributes (parent_id, tag, name, priority, allow_as_filter, allow_for_dataset, allow_for_measurement, allow_for_users, allow_for_qc) VALUES (NULL, '"&amp;H138&amp;"',  '"&amp;F138&amp;"',  500,  TRUE, TRUE, TRUE, FALSE, FALSE);"</f>
        <v>INSERT INTO attributes (parent_id, tag, name, priority, allow_as_filter, allow_for_dataset, allow_for_measurement, allow_for_users, allow_for_qc) VALUES (NULL, 'att_compound',  'Compound',  500,  TRUE, TRUE, TRUE, FALSE, FALSE);</v>
      </c>
      <c r="O138" s="8" t="str">
        <f aca="false">"INSERT INTO attribute_values (attribute_id, tag, name, details) VALUES ((SELECT id FROM attributes WHERE tag = '"&amp;H138&amp;"' LIMIT 1),  '"&amp;J138&amp;"',  '"&amp;D138&amp;"',  '"&amp;L138&amp;"'); "</f>
        <v>INSERT INTO attribute_values (attribute_id, tag, name, details) VALUES ((SELECT id FROM attributes WHERE tag = 'att_compound' LIMIT 1),  'att_compound:atp',  'ATP',  'Adenosine triphosphate');</v>
      </c>
    </row>
    <row r="139" customFormat="false" ht="12.75" hidden="false" customHeight="false" outlineLevel="0" collapsed="false">
      <c r="A139" s="17" t="n">
        <f aca="false">FALSE()</f>
        <v>0</v>
      </c>
      <c r="B139" s="17"/>
      <c r="C139" s="8" t="s">
        <v>745</v>
      </c>
      <c r="D139" s="8" t="s">
        <v>745</v>
      </c>
      <c r="E139" s="8" t="s">
        <v>17</v>
      </c>
      <c r="F139" s="8" t="s">
        <v>2565</v>
      </c>
      <c r="G139" s="8" t="s">
        <v>2566</v>
      </c>
      <c r="H139" s="8" t="str">
        <f aca="false">"att_"&amp;G139</f>
        <v>att_compound</v>
      </c>
      <c r="I139" s="8" t="s">
        <v>745</v>
      </c>
      <c r="J139" s="8" t="str">
        <f aca="false">H139&amp;":"&amp;I139</f>
        <v>att_compound:berzosertib</v>
      </c>
      <c r="K139" s="16" t="s">
        <v>21</v>
      </c>
      <c r="L139" s="8" t="s">
        <v>746</v>
      </c>
      <c r="M139" s="8" t="s">
        <v>17</v>
      </c>
      <c r="N139" s="8" t="str">
        <f aca="false">"INSERT INTO attributes (parent_id, tag, name, priority, allow_as_filter, allow_for_dataset, allow_for_measurement, allow_for_users, allow_for_qc) VALUES (NULL, '"&amp;H139&amp;"',  '"&amp;F139&amp;"',  500,  TRUE, TRUE, TRUE, FALSE, FALSE);"</f>
        <v>INSERT INTO attributes (parent_id, tag, name, priority, allow_as_filter, allow_for_dataset, allow_for_measurement, allow_for_users, allow_for_qc) VALUES (NULL, 'att_compound',  'Compound',  500,  TRUE, TRUE, TRUE, FALSE, FALSE);</v>
      </c>
      <c r="O139" s="8" t="str">
        <f aca="false">"INSERT INTO attribute_values (attribute_id, tag, name, details) VALUES ((SELECT id FROM attributes WHERE tag = '"&amp;H139&amp;"' LIMIT 1),  '"&amp;J139&amp;"',  '"&amp;D139&amp;"',  '"&amp;L139&amp;"'); "</f>
        <v>INSERT INTO attribute_values (attribute_id, tag, name, details) VALUES ((SELECT id FROM attributes WHERE tag = 'att_compound' LIMIT 1),  'att_compound:berzosertib',  'berzosertib',  'Berzosertib');</v>
      </c>
    </row>
    <row r="140" customFormat="false" ht="12.75" hidden="false" customHeight="false" outlineLevel="0" collapsed="false">
      <c r="A140" s="17" t="n">
        <f aca="false">FALSE()</f>
        <v>0</v>
      </c>
      <c r="B140" s="17"/>
      <c r="C140" s="8" t="s">
        <v>747</v>
      </c>
      <c r="D140" s="8" t="s">
        <v>747</v>
      </c>
      <c r="E140" s="8" t="s">
        <v>17</v>
      </c>
      <c r="F140" s="8" t="s">
        <v>2565</v>
      </c>
      <c r="G140" s="8" t="s">
        <v>2566</v>
      </c>
      <c r="H140" s="8" t="str">
        <f aca="false">"att_"&amp;G140</f>
        <v>att_compound</v>
      </c>
      <c r="I140" s="8" t="s">
        <v>747</v>
      </c>
      <c r="J140" s="8" t="str">
        <f aca="false">H140&amp;":"&amp;I140</f>
        <v>att_compound:bortezomib</v>
      </c>
      <c r="K140" s="16" t="s">
        <v>21</v>
      </c>
      <c r="L140" s="8" t="s">
        <v>748</v>
      </c>
      <c r="M140" s="8" t="s">
        <v>17</v>
      </c>
      <c r="N140" s="8" t="str">
        <f aca="false">"INSERT INTO attributes (parent_id, tag, name, priority, allow_as_filter, allow_for_dataset, allow_for_measurement, allow_for_users, allow_for_qc) VALUES (NULL, '"&amp;H140&amp;"',  '"&amp;F140&amp;"',  500,  TRUE, TRUE, TRUE, FALSE, FALSE);"</f>
        <v>INSERT INTO attributes (parent_id, tag, name, priority, allow_as_filter, allow_for_dataset, allow_for_measurement, allow_for_users, allow_for_qc) VALUES (NULL, 'att_compound',  'Compound',  500,  TRUE, TRUE, TRUE, FALSE, FALSE);</v>
      </c>
      <c r="O140" s="8" t="str">
        <f aca="false">"INSERT INTO attribute_values (attribute_id, tag, name, details) VALUES ((SELECT id FROM attributes WHERE tag = '"&amp;H140&amp;"' LIMIT 1),  '"&amp;J140&amp;"',  '"&amp;D140&amp;"',  '"&amp;L140&amp;"'); "</f>
        <v>INSERT INTO attribute_values (attribute_id, tag, name, details) VALUES ((SELECT id FROM attributes WHERE tag = 'att_compound' LIMIT 1),  'att_compound:bortezomib',  'bortezomib',  'Bortezomib');</v>
      </c>
    </row>
    <row r="141" s="19" customFormat="true" ht="12.75" hidden="false" customHeight="false" outlineLevel="0" collapsed="false">
      <c r="A141" s="18" t="n">
        <f aca="false">FALSE()</f>
        <v>0</v>
      </c>
      <c r="B141" s="18"/>
      <c r="C141" s="19" t="s">
        <v>2567</v>
      </c>
      <c r="D141" s="19" t="s">
        <v>2568</v>
      </c>
      <c r="E141" s="19" t="s">
        <v>17</v>
      </c>
      <c r="F141" s="19" t="s">
        <v>2565</v>
      </c>
      <c r="G141" s="19" t="s">
        <v>2566</v>
      </c>
      <c r="H141" s="19" t="str">
        <f aca="false">"att_"&amp;G141</f>
        <v>att_compound</v>
      </c>
      <c r="I141" s="19" t="s">
        <v>2567</v>
      </c>
      <c r="J141" s="19" t="str">
        <f aca="false">H141&amp;":"&amp;I141</f>
        <v>att_compound:cgas</v>
      </c>
      <c r="K141" s="20" t="s">
        <v>21</v>
      </c>
      <c r="L141" s="19" t="s">
        <v>2568</v>
      </c>
      <c r="M141" s="19" t="s">
        <v>17</v>
      </c>
      <c r="N141" s="19" t="str">
        <f aca="false">"INSERT INTO attributes (parent_id, tag, name, priority, allow_as_filter, allow_for_dataset, allow_for_measurement, allow_for_users, allow_for_qc) VALUES (NULL, '"&amp;H141&amp;"',  '"&amp;F141&amp;"',  500,  TRUE, TRUE, TRUE, FALSE, FALSE);"</f>
        <v>INSERT INTO attributes (parent_id, tag, name, priority, allow_as_filter, allow_for_dataset, allow_for_measurement, allow_for_users, allow_for_qc) VALUES (NULL, 'att_compound',  'Compound',  500,  TRUE, TRUE, TRUE, FALSE, FALSE);</v>
      </c>
      <c r="O141" s="19" t="str">
        <f aca="false">"INSERT INTO attribute_values (attribute_id, tag, name, details) VALUES ((SELECT id FROM attributes WHERE tag = '"&amp;H141&amp;"' LIMIT 1),  '"&amp;J141&amp;"',  '"&amp;D141&amp;"',  '"&amp;L141&amp;"'); "</f>
        <v>INSERT INTO attribute_values (attribute_id, tag, name, details) VALUES ((SELECT id FROM attributes WHERE tag = 'att_compound' LIMIT 1),  'att_compound:cgas',  'cGAS',  'cGAS');</v>
      </c>
    </row>
    <row r="142" customFormat="false" ht="12.75" hidden="false" customHeight="false" outlineLevel="0" collapsed="false">
      <c r="A142" s="17" t="n">
        <f aca="false">FALSE()</f>
        <v>0</v>
      </c>
      <c r="B142" s="17"/>
      <c r="C142" s="8" t="s">
        <v>752</v>
      </c>
      <c r="D142" s="8" t="s">
        <v>752</v>
      </c>
      <c r="E142" s="8" t="s">
        <v>17</v>
      </c>
      <c r="F142" s="8" t="s">
        <v>2565</v>
      </c>
      <c r="G142" s="8" t="s">
        <v>2566</v>
      </c>
      <c r="H142" s="8" t="str">
        <f aca="false">"att_"&amp;G142</f>
        <v>att_compound</v>
      </c>
      <c r="I142" s="8" t="s">
        <v>752</v>
      </c>
      <c r="J142" s="8" t="str">
        <f aca="false">H142&amp;":"&amp;I142</f>
        <v>att_compound:cycloheximide</v>
      </c>
      <c r="K142" s="16" t="s">
        <v>21</v>
      </c>
      <c r="L142" s="8" t="s">
        <v>753</v>
      </c>
      <c r="M142" s="8" t="s">
        <v>17</v>
      </c>
      <c r="N142" s="8" t="str">
        <f aca="false">"INSERT INTO attributes (parent_id, tag, name, priority, allow_as_filter, allow_for_dataset, allow_for_measurement, allow_for_users, allow_for_qc) VALUES (NULL, '"&amp;H142&amp;"',  '"&amp;F142&amp;"',  500,  TRUE, TRUE, TRUE, FALSE, FALSE);"</f>
        <v>INSERT INTO attributes (parent_id, tag, name, priority, allow_as_filter, allow_for_dataset, allow_for_measurement, allow_for_users, allow_for_qc) VALUES (NULL, 'att_compound',  'Compound',  500,  TRUE, TRUE, TRUE, FALSE, FALSE);</v>
      </c>
      <c r="O142" s="8" t="str">
        <f aca="false">"INSERT INTO attribute_values (attribute_id, tag, name, details) VALUES ((SELECT id FROM attributes WHERE tag = '"&amp;H142&amp;"' LIMIT 1),  '"&amp;J142&amp;"',  '"&amp;D142&amp;"',  '"&amp;L142&amp;"'); "</f>
        <v>INSERT INTO attribute_values (attribute_id, tag, name, details) VALUES ((SELECT id FROM attributes WHERE tag = 'att_compound' LIMIT 1),  'att_compound:cycloheximide',  'cycloheximide',  'Cycloheximide');</v>
      </c>
    </row>
    <row r="143" customFormat="false" ht="12.75" hidden="false" customHeight="false" outlineLevel="0" collapsed="false">
      <c r="A143" s="17" t="n">
        <f aca="false">FALSE()</f>
        <v>0</v>
      </c>
      <c r="B143" s="17"/>
      <c r="C143" s="8" t="s">
        <v>2569</v>
      </c>
      <c r="D143" s="8" t="s">
        <v>2570</v>
      </c>
      <c r="E143" s="8" t="s">
        <v>17</v>
      </c>
      <c r="F143" s="8" t="s">
        <v>2565</v>
      </c>
      <c r="G143" s="8" t="s">
        <v>2566</v>
      </c>
      <c r="H143" s="8" t="str">
        <f aca="false">"att_"&amp;G143</f>
        <v>att_compound</v>
      </c>
      <c r="I143" s="8" t="s">
        <v>2569</v>
      </c>
      <c r="J143" s="8" t="str">
        <f aca="false">H143&amp;":"&amp;I143</f>
        <v>att_compound:diabzi</v>
      </c>
      <c r="K143" s="16" t="s">
        <v>21</v>
      </c>
      <c r="L143" s="8" t="s">
        <v>2570</v>
      </c>
      <c r="M143" s="8" t="s">
        <v>17</v>
      </c>
      <c r="N143" s="8" t="str">
        <f aca="false">"INSERT INTO attributes (parent_id, tag, name, priority, allow_as_filter, allow_for_dataset, allow_for_measurement, allow_for_users, allow_for_qc) VALUES (NULL, '"&amp;H143&amp;"',  '"&amp;F143&amp;"',  500,  TRUE, TRUE, TRUE, FALSE, FALSE);"</f>
        <v>INSERT INTO attributes (parent_id, tag, name, priority, allow_as_filter, allow_for_dataset, allow_for_measurement, allow_for_users, allow_for_qc) VALUES (NULL, 'att_compound',  'Compound',  500,  TRUE, TRUE, TRUE, FALSE, FALSE);</v>
      </c>
      <c r="O143" s="8" t="str">
        <f aca="false">"INSERT INTO attribute_values (attribute_id, tag, name, details) VALUES ((SELECT id FROM attributes WHERE tag = '"&amp;H143&amp;"' LIMIT 1),  '"&amp;J143&amp;"',  '"&amp;D143&amp;"',  '"&amp;L143&amp;"'); "</f>
        <v>INSERT INTO attribute_values (attribute_id, tag, name, details) VALUES ((SELECT id FROM attributes WHERE tag = 'att_compound' LIMIT 1),  'att_compound:diabzi',  'diABZI',  'diABZI');</v>
      </c>
    </row>
    <row r="144" customFormat="false" ht="12.75" hidden="false" customHeight="false" outlineLevel="0" collapsed="false">
      <c r="A144" s="17" t="n">
        <f aca="false">FALSE()</f>
        <v>0</v>
      </c>
      <c r="B144" s="17"/>
      <c r="C144" s="8" t="s">
        <v>754</v>
      </c>
      <c r="D144" s="8" t="s">
        <v>755</v>
      </c>
      <c r="E144" s="8" t="s">
        <v>17</v>
      </c>
      <c r="F144" s="8" t="s">
        <v>2565</v>
      </c>
      <c r="G144" s="8" t="s">
        <v>2566</v>
      </c>
      <c r="H144" s="8" t="str">
        <f aca="false">"att_"&amp;G144</f>
        <v>att_compound</v>
      </c>
      <c r="I144" s="8" t="s">
        <v>754</v>
      </c>
      <c r="J144" s="8" t="str">
        <f aca="false">H144&amp;":"&amp;I144</f>
        <v>att_compound:dmso</v>
      </c>
      <c r="K144" s="16" t="s">
        <v>21</v>
      </c>
      <c r="L144" s="8" t="s">
        <v>2571</v>
      </c>
      <c r="M144" s="8" t="s">
        <v>17</v>
      </c>
      <c r="N144" s="8" t="str">
        <f aca="false">"INSERT INTO attributes (parent_id, tag, name, priority, allow_as_filter, allow_for_dataset, allow_for_measurement, allow_for_users, allow_for_qc) VALUES (NULL, '"&amp;H144&amp;"',  '"&amp;F144&amp;"',  500,  TRUE, TRUE, TRUE, FALSE, FALSE);"</f>
        <v>INSERT INTO attributes (parent_id, tag, name, priority, allow_as_filter, allow_for_dataset, allow_for_measurement, allow_for_users, allow_for_qc) VALUES (NULL, 'att_compound',  'Compound',  500,  TRUE, TRUE, TRUE, FALSE, FALSE);</v>
      </c>
      <c r="O144" s="8" t="str">
        <f aca="false">"INSERT INTO attribute_values (attribute_id, tag, name, details) VALUES ((SELECT id FROM attributes WHERE tag = '"&amp;H144&amp;"' LIMIT 1),  '"&amp;J144&amp;"',  '"&amp;D144&amp;"',  '"&amp;L144&amp;"'); "</f>
        <v>INSERT INTO attribute_values (attribute_id, tag, name, details) VALUES ((SELECT id FROM attributes WHERE tag = 'att_compound' LIMIT 1),  'att_compound:dmso',  'DMSO',  'Dimethyl Sulfoxide');</v>
      </c>
    </row>
    <row r="145" customFormat="false" ht="12.75" hidden="false" customHeight="false" outlineLevel="0" collapsed="false">
      <c r="A145" s="17" t="n">
        <f aca="false">FALSE()</f>
        <v>0</v>
      </c>
      <c r="B145" s="17"/>
      <c r="C145" s="8" t="s">
        <v>757</v>
      </c>
      <c r="D145" s="8" t="s">
        <v>757</v>
      </c>
      <c r="E145" s="8" t="s">
        <v>17</v>
      </c>
      <c r="F145" s="8" t="s">
        <v>2565</v>
      </c>
      <c r="G145" s="8" t="s">
        <v>2566</v>
      </c>
      <c r="H145" s="8" t="str">
        <f aca="false">"att_"&amp;G145</f>
        <v>att_compound</v>
      </c>
      <c r="I145" s="8" t="s">
        <v>757</v>
      </c>
      <c r="J145" s="8" t="str">
        <f aca="false">H145&amp;":"&amp;I145</f>
        <v>att_compound:doxorubicin</v>
      </c>
      <c r="K145" s="16" t="s">
        <v>21</v>
      </c>
      <c r="L145" s="8" t="s">
        <v>758</v>
      </c>
      <c r="M145" s="8" t="s">
        <v>17</v>
      </c>
      <c r="N145" s="8" t="str">
        <f aca="false">"INSERT INTO attributes (parent_id, tag, name, priority, allow_as_filter, allow_for_dataset, allow_for_measurement, allow_for_users, allow_for_qc) VALUES (NULL, '"&amp;H145&amp;"',  '"&amp;F145&amp;"',  500,  TRUE, TRUE, TRUE, FALSE, FALSE);"</f>
        <v>INSERT INTO attributes (parent_id, tag, name, priority, allow_as_filter, allow_for_dataset, allow_for_measurement, allow_for_users, allow_for_qc) VALUES (NULL, 'att_compound',  'Compound',  500,  TRUE, TRUE, TRUE, FALSE, FALSE);</v>
      </c>
      <c r="O145" s="8" t="str">
        <f aca="false">"INSERT INTO attribute_values (attribute_id, tag, name, details) VALUES ((SELECT id FROM attributes WHERE tag = '"&amp;H145&amp;"' LIMIT 1),  '"&amp;J145&amp;"',  '"&amp;D145&amp;"',  '"&amp;L145&amp;"'); "</f>
        <v>INSERT INTO attribute_values (attribute_id, tag, name, details) VALUES ((SELECT id FROM attributes WHERE tag = 'att_compound' LIMIT 1),  'att_compound:doxorubicin',  'doxorubicin',  'Doxorubicin');</v>
      </c>
    </row>
    <row r="146" customFormat="false" ht="12.75" hidden="false" customHeight="false" outlineLevel="0" collapsed="false">
      <c r="A146" s="17" t="n">
        <f aca="false">FALSE()</f>
        <v>0</v>
      </c>
      <c r="B146" s="17"/>
      <c r="C146" s="8" t="s">
        <v>760</v>
      </c>
      <c r="D146" s="8" t="s">
        <v>760</v>
      </c>
      <c r="E146" s="8" t="s">
        <v>17</v>
      </c>
      <c r="F146" s="8" t="s">
        <v>2565</v>
      </c>
      <c r="G146" s="8" t="s">
        <v>2566</v>
      </c>
      <c r="H146" s="8" t="str">
        <f aca="false">"att_"&amp;G146</f>
        <v>att_compound</v>
      </c>
      <c r="I146" s="8" t="s">
        <v>760</v>
      </c>
      <c r="J146" s="8" t="str">
        <f aca="false">H146&amp;":"&amp;I146</f>
        <v>att_compound:doxycycline</v>
      </c>
      <c r="K146" s="16" t="s">
        <v>21</v>
      </c>
      <c r="L146" s="8" t="s">
        <v>761</v>
      </c>
      <c r="M146" s="8" t="s">
        <v>17</v>
      </c>
      <c r="N146" s="8" t="str">
        <f aca="false">"INSERT INTO attributes (parent_id, tag, name, priority, allow_as_filter, allow_for_dataset, allow_for_measurement, allow_for_users, allow_for_qc) VALUES (NULL, '"&amp;H146&amp;"',  '"&amp;F146&amp;"',  500,  TRUE, TRUE, TRUE, FALSE, FALSE);"</f>
        <v>INSERT INTO attributes (parent_id, tag, name, priority, allow_as_filter, allow_for_dataset, allow_for_measurement, allow_for_users, allow_for_qc) VALUES (NULL, 'att_compound',  'Compound',  500,  TRUE, TRUE, TRUE, FALSE, FALSE);</v>
      </c>
      <c r="O146" s="8" t="str">
        <f aca="false">"INSERT INTO attribute_values (attribute_id, tag, name, details) VALUES ((SELECT id FROM attributes WHERE tag = '"&amp;H146&amp;"' LIMIT 1),  '"&amp;J146&amp;"',  '"&amp;D146&amp;"',  '"&amp;L146&amp;"'); "</f>
        <v>INSERT INTO attribute_values (attribute_id, tag, name, details) VALUES ((SELECT id FROM attributes WHERE tag = 'att_compound' LIMIT 1),  'att_compound:doxycycline',  'doxycycline',  'Doxycycline');</v>
      </c>
    </row>
    <row r="147" customFormat="false" ht="12.75" hidden="false" customHeight="false" outlineLevel="0" collapsed="false">
      <c r="A147" s="17" t="n">
        <f aca="false">FALSE()</f>
        <v>0</v>
      </c>
      <c r="B147" s="17"/>
      <c r="C147" s="8" t="s">
        <v>763</v>
      </c>
      <c r="D147" s="8" t="s">
        <v>763</v>
      </c>
      <c r="E147" s="8" t="s">
        <v>17</v>
      </c>
      <c r="F147" s="8" t="s">
        <v>2565</v>
      </c>
      <c r="G147" s="8" t="s">
        <v>2566</v>
      </c>
      <c r="H147" s="8" t="str">
        <f aca="false">"att_"&amp;G147</f>
        <v>att_compound</v>
      </c>
      <c r="I147" s="8" t="s">
        <v>763</v>
      </c>
      <c r="J147" s="8" t="str">
        <f aca="false">H147&amp;":"&amp;I147</f>
        <v>att_compound:etoposide</v>
      </c>
      <c r="K147" s="16" t="s">
        <v>21</v>
      </c>
      <c r="L147" s="8" t="s">
        <v>763</v>
      </c>
      <c r="M147" s="8" t="s">
        <v>17</v>
      </c>
      <c r="N147" s="8" t="str">
        <f aca="false">"INSERT INTO attributes (parent_id, tag, name, priority, allow_as_filter, allow_for_dataset, allow_for_measurement, allow_for_users, allow_for_qc) VALUES (NULL, '"&amp;H147&amp;"',  '"&amp;F147&amp;"',  500,  TRUE, TRUE, TRUE, FALSE, FALSE);"</f>
        <v>INSERT INTO attributes (parent_id, tag, name, priority, allow_as_filter, allow_for_dataset, allow_for_measurement, allow_for_users, allow_for_qc) VALUES (NULL, 'att_compound',  'Compound',  500,  TRUE, TRUE, TRUE, FALSE, FALSE);</v>
      </c>
      <c r="O147" s="8" t="str">
        <f aca="false">"INSERT INTO attribute_values (attribute_id, tag, name, details) VALUES ((SELECT id FROM attributes WHERE tag = '"&amp;H147&amp;"' LIMIT 1),  '"&amp;J147&amp;"',  '"&amp;D147&amp;"',  '"&amp;L147&amp;"'); "</f>
        <v>INSERT INTO attribute_values (attribute_id, tag, name, details) VALUES ((SELECT id FROM attributes WHERE tag = 'att_compound' LIMIT 1),  'att_compound:etoposide',  'etoposide',  'etoposide');</v>
      </c>
    </row>
    <row r="148" customFormat="false" ht="12.75" hidden="false" customHeight="false" outlineLevel="0" collapsed="false">
      <c r="A148" s="17" t="n">
        <f aca="false">FALSE()</f>
        <v>0</v>
      </c>
      <c r="B148" s="17"/>
      <c r="C148" s="8" t="s">
        <v>2572</v>
      </c>
      <c r="D148" s="8" t="s">
        <v>2572</v>
      </c>
      <c r="E148" s="8" t="s">
        <v>17</v>
      </c>
      <c r="F148" s="8" t="s">
        <v>2565</v>
      </c>
      <c r="G148" s="8" t="s">
        <v>2566</v>
      </c>
      <c r="H148" s="8" t="str">
        <f aca="false">"att_"&amp;G148</f>
        <v>att_compound</v>
      </c>
      <c r="I148" s="8" t="s">
        <v>2572</v>
      </c>
      <c r="J148" s="8" t="str">
        <f aca="false">H148&amp;":"&amp;I148</f>
        <v>att_compound:lactimidomycin</v>
      </c>
      <c r="K148" s="16" t="s">
        <v>21</v>
      </c>
      <c r="L148" s="8" t="s">
        <v>2573</v>
      </c>
      <c r="M148" s="8" t="s">
        <v>17</v>
      </c>
      <c r="N148" s="8" t="str">
        <f aca="false">"INSERT INTO attributes (parent_id, tag, name, priority, allow_as_filter, allow_for_dataset, allow_for_measurement, allow_for_users, allow_for_qc) VALUES (NULL, '"&amp;H148&amp;"',  '"&amp;F148&amp;"',  500,  TRUE, TRUE, TRUE, FALSE, FALSE);"</f>
        <v>INSERT INTO attributes (parent_id, tag, name, priority, allow_as_filter, allow_for_dataset, allow_for_measurement, allow_for_users, allow_for_qc) VALUES (NULL, 'att_compound',  'Compound',  500,  TRUE, TRUE, TRUE, FALSE, FALSE);</v>
      </c>
      <c r="O148" s="8" t="str">
        <f aca="false">"INSERT INTO attribute_values (attribute_id, tag, name, details) VALUES ((SELECT id FROM attributes WHERE tag = '"&amp;H148&amp;"' LIMIT 1),  '"&amp;J148&amp;"',  '"&amp;D148&amp;"',  '"&amp;L148&amp;"'); "</f>
        <v>INSERT INTO attribute_values (attribute_id, tag, name, details) VALUES ((SELECT id FROM attributes WHERE tag = 'att_compound' LIMIT 1),  'att_compound:lactimidomycin',  'lactimidomycin',  'Lactimidomycin');</v>
      </c>
    </row>
    <row r="149" customFormat="false" ht="12.75" hidden="false" customHeight="false" outlineLevel="0" collapsed="false">
      <c r="A149" s="17" t="n">
        <f aca="false">FALSE()</f>
        <v>0</v>
      </c>
      <c r="B149" s="17"/>
      <c r="C149" s="8" t="s">
        <v>2574</v>
      </c>
      <c r="D149" s="8" t="s">
        <v>2575</v>
      </c>
      <c r="E149" s="8" t="s">
        <v>17</v>
      </c>
      <c r="F149" s="8" t="s">
        <v>2565</v>
      </c>
      <c r="G149" s="8" t="s">
        <v>2566</v>
      </c>
      <c r="H149" s="8" t="str">
        <f aca="false">"att_"&amp;G149</f>
        <v>att_compound</v>
      </c>
      <c r="I149" s="8" t="s">
        <v>2574</v>
      </c>
      <c r="J149" s="8" t="str">
        <f aca="false">H149&amp;":"&amp;I149</f>
        <v>att_compound:lps</v>
      </c>
      <c r="K149" s="16" t="s">
        <v>21</v>
      </c>
      <c r="L149" s="8" t="s">
        <v>2576</v>
      </c>
      <c r="M149" s="8" t="s">
        <v>17</v>
      </c>
      <c r="N149" s="8" t="str">
        <f aca="false">"INSERT INTO attributes (parent_id, tag, name, priority, allow_as_filter, allow_for_dataset, allow_for_measurement, allow_for_users, allow_for_qc) VALUES (NULL, '"&amp;H149&amp;"',  '"&amp;F149&amp;"',  500,  TRUE, TRUE, TRUE, FALSE, FALSE);"</f>
        <v>INSERT INTO attributes (parent_id, tag, name, priority, allow_as_filter, allow_for_dataset, allow_for_measurement, allow_for_users, allow_for_qc) VALUES (NULL, 'att_compound',  'Compound',  500,  TRUE, TRUE, TRUE, FALSE, FALSE);</v>
      </c>
      <c r="O149" s="8" t="str">
        <f aca="false">"INSERT INTO attribute_values (attribute_id, tag, name, details) VALUES ((SELECT id FROM attributes WHERE tag = '"&amp;H149&amp;"' LIMIT 1),  '"&amp;J149&amp;"',  '"&amp;D149&amp;"',  '"&amp;L149&amp;"'); "</f>
        <v>INSERT INTO attribute_values (attribute_id, tag, name, details) VALUES ((SELECT id FROM attributes WHERE tag = 'att_compound' LIMIT 1),  'att_compound:lps',  'LPS',  'Lipopolysaccharide');</v>
      </c>
    </row>
    <row r="150" customFormat="false" ht="12.75" hidden="false" customHeight="false" outlineLevel="0" collapsed="false">
      <c r="A150" s="17" t="n">
        <f aca="false">FALSE()</f>
        <v>0</v>
      </c>
      <c r="B150" s="17"/>
      <c r="C150" s="8" t="s">
        <v>2577</v>
      </c>
      <c r="D150" s="8" t="s">
        <v>2578</v>
      </c>
      <c r="E150" s="8" t="s">
        <v>17</v>
      </c>
      <c r="F150" s="8" t="s">
        <v>2565</v>
      </c>
      <c r="G150" s="8" t="s">
        <v>2566</v>
      </c>
      <c r="H150" s="8" t="str">
        <f aca="false">"att_"&amp;G150</f>
        <v>att_compound</v>
      </c>
      <c r="I150" s="8" t="s">
        <v>2577</v>
      </c>
      <c r="J150" s="8" t="str">
        <f aca="false">H150&amp;":"&amp;I150</f>
        <v>att_compound:niap</v>
      </c>
      <c r="K150" s="16" t="s">
        <v>21</v>
      </c>
      <c r="L150" s="8" t="s">
        <v>2578</v>
      </c>
      <c r="M150" s="8" t="s">
        <v>17</v>
      </c>
      <c r="N150" s="8" t="str">
        <f aca="false">"INSERT INTO attributes (parent_id, tag, name, priority, allow_as_filter, allow_for_dataset, allow_for_measurement, allow_for_users, allow_for_qc) VALUES (NULL, '"&amp;H150&amp;"',  '"&amp;F150&amp;"',  500,  TRUE, TRUE, TRUE, FALSE, FALSE);"</f>
        <v>INSERT INTO attributes (parent_id, tag, name, priority, allow_as_filter, allow_for_dataset, allow_for_measurement, allow_for_users, allow_for_qc) VALUES (NULL, 'att_compound',  'Compound',  500,  TRUE, TRUE, TRUE, FALSE, FALSE);</v>
      </c>
      <c r="O150" s="8" t="str">
        <f aca="false">"INSERT INTO attribute_values (attribute_id, tag, name, details) VALUES ((SELECT id FROM attributes WHERE tag = '"&amp;H150&amp;"' LIMIT 1),  '"&amp;J150&amp;"',  '"&amp;D150&amp;"',  '"&amp;L150&amp;"'); "</f>
        <v>INSERT INTO attribute_values (attribute_id, tag, name, details) VALUES ((SELECT id FROM attributes WHERE tag = 'att_compound' LIMIT 1),  'att_compound:niap',  'nIAP',  'nIAP');</v>
      </c>
    </row>
    <row r="151" customFormat="false" ht="12.75" hidden="false" customHeight="false" outlineLevel="0" collapsed="false">
      <c r="A151" s="17" t="n">
        <f aca="false">FALSE()</f>
        <v>0</v>
      </c>
      <c r="B151" s="17"/>
      <c r="C151" s="8" t="s">
        <v>2579</v>
      </c>
      <c r="D151" s="8" t="s">
        <v>2580</v>
      </c>
      <c r="E151" s="8" t="s">
        <v>17</v>
      </c>
      <c r="F151" s="8" t="s">
        <v>2565</v>
      </c>
      <c r="G151" s="8" t="s">
        <v>2566</v>
      </c>
      <c r="H151" s="8" t="str">
        <f aca="false">"att_"&amp;G151</f>
        <v>att_compound</v>
      </c>
      <c r="I151" s="8" t="s">
        <v>2579</v>
      </c>
      <c r="J151" s="8" t="str">
        <f aca="false">H151&amp;":"&amp;I151</f>
        <v>att_compound:pam</v>
      </c>
      <c r="K151" s="16" t="s">
        <v>21</v>
      </c>
      <c r="L151" s="8" t="s">
        <v>2581</v>
      </c>
      <c r="M151" s="8" t="s">
        <v>17</v>
      </c>
      <c r="N151" s="8" t="str">
        <f aca="false">"INSERT INTO attributes (parent_id, tag, name, priority, allow_as_filter, allow_for_dataset, allow_for_measurement, allow_for_users, allow_for_qc) VALUES (NULL, '"&amp;H151&amp;"',  '"&amp;F151&amp;"',  500,  TRUE, TRUE, TRUE, FALSE, FALSE);"</f>
        <v>INSERT INTO attributes (parent_id, tag, name, priority, allow_as_filter, allow_for_dataset, allow_for_measurement, allow_for_users, allow_for_qc) VALUES (NULL, 'att_compound',  'Compound',  500,  TRUE, TRUE, TRUE, FALSE, FALSE);</v>
      </c>
      <c r="O151" s="8" t="str">
        <f aca="false">"INSERT INTO attribute_values (attribute_id, tag, name, details) VALUES ((SELECT id FROM attributes WHERE tag = '"&amp;H151&amp;"' LIMIT 1),  '"&amp;J151&amp;"',  '"&amp;D151&amp;"',  '"&amp;L151&amp;"'); "</f>
        <v>INSERT INTO attribute_values (attribute_id, tag, name, details) VALUES ((SELECT id FROM attributes WHERE tag = 'att_compound' LIMIT 1),  'att_compound:pam',  'PAM',  'Polyacrylamide');</v>
      </c>
    </row>
    <row r="152" customFormat="false" ht="12.75" hidden="false" customHeight="false" outlineLevel="0" collapsed="false">
      <c r="A152" s="17" t="n">
        <f aca="false">FALSE()</f>
        <v>0</v>
      </c>
      <c r="B152" s="17"/>
      <c r="C152" s="8" t="s">
        <v>2582</v>
      </c>
      <c r="D152" s="8" t="s">
        <v>2583</v>
      </c>
      <c r="E152" s="8" t="s">
        <v>17</v>
      </c>
      <c r="F152" s="8" t="s">
        <v>2565</v>
      </c>
      <c r="G152" s="8" t="s">
        <v>2566</v>
      </c>
      <c r="H152" s="8" t="str">
        <f aca="false">"att_"&amp;G152</f>
        <v>att_compound</v>
      </c>
      <c r="I152" s="8" t="s">
        <v>2582</v>
      </c>
      <c r="J152" s="8" t="str">
        <f aca="false">H152&amp;":"&amp;I152</f>
        <v>att_compound:r837</v>
      </c>
      <c r="K152" s="16" t="s">
        <v>21</v>
      </c>
      <c r="L152" s="8" t="s">
        <v>2584</v>
      </c>
      <c r="M152" s="8" t="s">
        <v>17</v>
      </c>
      <c r="N152" s="8" t="str">
        <f aca="false">"INSERT INTO attributes (parent_id, tag, name, priority, allow_as_filter, allow_for_dataset, allow_for_measurement, allow_for_users, allow_for_qc) VALUES (NULL, '"&amp;H152&amp;"',  '"&amp;F152&amp;"',  500,  TRUE, TRUE, TRUE, FALSE, FALSE);"</f>
        <v>INSERT INTO attributes (parent_id, tag, name, priority, allow_as_filter, allow_for_dataset, allow_for_measurement, allow_for_users, allow_for_qc) VALUES (NULL, 'att_compound',  'Compound',  500,  TRUE, TRUE, TRUE, FALSE, FALSE);</v>
      </c>
      <c r="O152" s="8" t="str">
        <f aca="false">"INSERT INTO attribute_values (attribute_id, tag, name, details) VALUES ((SELECT id FROM attributes WHERE tag = '"&amp;H152&amp;"' LIMIT 1),  '"&amp;J152&amp;"',  '"&amp;D152&amp;"',  '"&amp;L152&amp;"'); "</f>
        <v>INSERT INTO attribute_values (attribute_id, tag, name, details) VALUES ((SELECT id FROM attributes WHERE tag = 'att_compound' LIMIT 1),  'att_compound:r837',  'R837',  'Imiquimod; stimulates the innate immune system by activating toll-like receptor 7 (TLR7)');</v>
      </c>
    </row>
    <row r="153" customFormat="false" ht="12.75" hidden="false" customHeight="false" outlineLevel="0" collapsed="false">
      <c r="A153" s="17" t="n">
        <f aca="false">FALSE()</f>
        <v>0</v>
      </c>
      <c r="B153" s="17"/>
      <c r="C153" s="8" t="s">
        <v>2585</v>
      </c>
      <c r="D153" s="8" t="s">
        <v>2586</v>
      </c>
      <c r="E153" s="8" t="s">
        <v>17</v>
      </c>
      <c r="F153" s="8" t="s">
        <v>2565</v>
      </c>
      <c r="G153" s="8" t="s">
        <v>2566</v>
      </c>
      <c r="H153" s="8" t="str">
        <f aca="false">"att_"&amp;G153</f>
        <v>att_compound</v>
      </c>
      <c r="I153" s="8" t="s">
        <v>2585</v>
      </c>
      <c r="J153" s="8" t="str">
        <f aca="false">H153&amp;":"&amp;I153</f>
        <v>att_compound:r848</v>
      </c>
      <c r="K153" s="16" t="s">
        <v>21</v>
      </c>
      <c r="L153" s="8" t="s">
        <v>2587</v>
      </c>
      <c r="M153" s="8" t="s">
        <v>17</v>
      </c>
      <c r="N153" s="8" t="str">
        <f aca="false">"INSERT INTO attributes (parent_id, tag, name, priority, allow_as_filter, allow_for_dataset, allow_for_measurement, allow_for_users, allow_for_qc) VALUES (NULL, '"&amp;H153&amp;"',  '"&amp;F153&amp;"',  500,  TRUE, TRUE, TRUE, FALSE, FALSE);"</f>
        <v>INSERT INTO attributes (parent_id, tag, name, priority, allow_as_filter, allow_for_dataset, allow_for_measurement, allow_for_users, allow_for_qc) VALUES (NULL, 'att_compound',  'Compound',  500,  TRUE, TRUE, TRUE, FALSE, FALSE);</v>
      </c>
      <c r="O153" s="8" t="str">
        <f aca="false">"INSERT INTO attribute_values (attribute_id, tag, name, details) VALUES ((SELECT id FROM attributes WHERE tag = '"&amp;H153&amp;"' LIMIT 1),  '"&amp;J153&amp;"',  '"&amp;D153&amp;"',  '"&amp;L153&amp;"'); "</f>
        <v>INSERT INTO attribute_values (attribute_id, tag, name, details) VALUES ((SELECT id FROM attributes WHERE tag = 'att_compound' LIMIT 1),  'att_compound:r848',  'R848',  'Resiquimod; Imidazoquinolinamine and Toll-like receptor (TLR) agonist');</v>
      </c>
    </row>
    <row r="154" customFormat="false" ht="12.75" hidden="false" customHeight="false" outlineLevel="0" collapsed="false">
      <c r="A154" s="17" t="n">
        <f aca="false">FALSE()</f>
        <v>0</v>
      </c>
      <c r="B154" s="17"/>
      <c r="C154" s="8" t="s">
        <v>784</v>
      </c>
      <c r="D154" s="8" t="s">
        <v>784</v>
      </c>
      <c r="E154" s="8" t="s">
        <v>17</v>
      </c>
      <c r="F154" s="8" t="s">
        <v>2565</v>
      </c>
      <c r="G154" s="8" t="s">
        <v>2566</v>
      </c>
      <c r="H154" s="8" t="str">
        <f aca="false">"att_"&amp;G154</f>
        <v>att_compound</v>
      </c>
      <c r="I154" s="8" t="s">
        <v>784</v>
      </c>
      <c r="J154" s="8" t="str">
        <f aca="false">H154&amp;":"&amp;I154</f>
        <v>att_compound:tamoxifen</v>
      </c>
      <c r="K154" s="16" t="s">
        <v>21</v>
      </c>
      <c r="L154" s="8" t="s">
        <v>785</v>
      </c>
      <c r="M154" s="8" t="s">
        <v>17</v>
      </c>
      <c r="N154" s="8" t="str">
        <f aca="false">"INSERT INTO attributes (parent_id, tag, name, priority, allow_as_filter, allow_for_dataset, allow_for_measurement, allow_for_users, allow_for_qc) VALUES (NULL, '"&amp;H154&amp;"',  '"&amp;F154&amp;"',  500,  TRUE, TRUE, TRUE, FALSE, FALSE);"</f>
        <v>INSERT INTO attributes (parent_id, tag, name, priority, allow_as_filter, allow_for_dataset, allow_for_measurement, allow_for_users, allow_for_qc) VALUES (NULL, 'att_compound',  'Compound',  500,  TRUE, TRUE, TRUE, FALSE, FALSE);</v>
      </c>
      <c r="O154" s="8" t="str">
        <f aca="false">"INSERT INTO attribute_values (attribute_id, tag, name, details) VALUES ((SELECT id FROM attributes WHERE tag = '"&amp;H154&amp;"' LIMIT 1),  '"&amp;J154&amp;"',  '"&amp;D154&amp;"',  '"&amp;L154&amp;"'); "</f>
        <v>INSERT INTO attribute_values (attribute_id, tag, name, details) VALUES ((SELECT id FROM attributes WHERE tag = 'att_compound' LIMIT 1),  'att_compound:tamoxifen',  'tamoxifen',  'Tamoxifen');</v>
      </c>
    </row>
    <row r="155" customFormat="false" ht="12.75" hidden="false" customHeight="false" outlineLevel="0" collapsed="false">
      <c r="A155" s="17" t="n">
        <f aca="false">FALSE()</f>
        <v>0</v>
      </c>
      <c r="B155" s="17"/>
      <c r="C155" s="8" t="s">
        <v>789</v>
      </c>
      <c r="D155" s="8" t="s">
        <v>789</v>
      </c>
      <c r="E155" s="8" t="s">
        <v>17</v>
      </c>
      <c r="F155" s="8" t="s">
        <v>2565</v>
      </c>
      <c r="G155" s="8" t="s">
        <v>2566</v>
      </c>
      <c r="H155" s="8" t="str">
        <f aca="false">"att_"&amp;G155</f>
        <v>att_compound</v>
      </c>
      <c r="I155" s="8" t="s">
        <v>789</v>
      </c>
      <c r="J155" s="8" t="str">
        <f aca="false">H155&amp;":"&amp;I155</f>
        <v>att_compound:trametinib</v>
      </c>
      <c r="K155" s="16" t="s">
        <v>21</v>
      </c>
      <c r="L155" s="8" t="s">
        <v>790</v>
      </c>
      <c r="M155" s="8" t="s">
        <v>17</v>
      </c>
      <c r="N155" s="8" t="str">
        <f aca="false">"INSERT INTO attributes (parent_id, tag, name, priority, allow_as_filter, allow_for_dataset, allow_for_measurement, allow_for_users, allow_for_qc) VALUES (NULL, '"&amp;H155&amp;"',  '"&amp;F155&amp;"',  500,  TRUE, TRUE, TRUE, FALSE, FALSE);"</f>
        <v>INSERT INTO attributes (parent_id, tag, name, priority, allow_as_filter, allow_for_dataset, allow_for_measurement, allow_for_users, allow_for_qc) VALUES (NULL, 'att_compound',  'Compound',  500,  TRUE, TRUE, TRUE, FALSE, FALSE);</v>
      </c>
      <c r="O155" s="8" t="str">
        <f aca="false">"INSERT INTO attribute_values (attribute_id, tag, name, details) VALUES ((SELECT id FROM attributes WHERE tag = '"&amp;H155&amp;"' LIMIT 1),  '"&amp;J155&amp;"',  '"&amp;D155&amp;"',  '"&amp;L155&amp;"'); "</f>
        <v>INSERT INTO attribute_values (attribute_id, tag, name, details) VALUES ((SELECT id FROM attributes WHERE tag = 'att_compound' LIMIT 1),  'att_compound:trametinib',  'trametinib',  'Trametinib');</v>
      </c>
    </row>
    <row r="156" customFormat="false" ht="12.75" hidden="false" customHeight="false" outlineLevel="0" collapsed="false">
      <c r="A156" s="17" t="n">
        <f aca="false">FALSE()</f>
        <v>0</v>
      </c>
      <c r="B156" s="17"/>
      <c r="C156" s="8" t="s">
        <v>791</v>
      </c>
      <c r="D156" s="8" t="s">
        <v>792</v>
      </c>
      <c r="E156" s="8" t="s">
        <v>17</v>
      </c>
      <c r="F156" s="8" t="s">
        <v>2565</v>
      </c>
      <c r="G156" s="8" t="s">
        <v>2566</v>
      </c>
      <c r="H156" s="8" t="str">
        <f aca="false">"att_"&amp;G156</f>
        <v>att_compound</v>
      </c>
      <c r="I156" s="8" t="s">
        <v>791</v>
      </c>
      <c r="J156" s="8" t="str">
        <f aca="false">H156&amp;":"&amp;I156</f>
        <v>att_compound:unstimulated</v>
      </c>
      <c r="K156" s="16" t="s">
        <v>21</v>
      </c>
      <c r="L156" s="8" t="s">
        <v>793</v>
      </c>
      <c r="M156" s="8" t="s">
        <v>17</v>
      </c>
      <c r="N156" s="8" t="str">
        <f aca="false">"INSERT INTO attributes (parent_id, tag, name, priority, allow_as_filter, allow_for_dataset, allow_for_measurement, allow_for_users, allow_for_qc) VALUES (NULL, '"&amp;H156&amp;"',  '"&amp;F156&amp;"',  500,  TRUE, TRUE, TRUE, FALSE, FALSE);"</f>
        <v>INSERT INTO attributes (parent_id, tag, name, priority, allow_as_filter, allow_for_dataset, allow_for_measurement, allow_for_users, allow_for_qc) VALUES (NULL, 'att_compound',  'Compound',  500,  TRUE, TRUE, TRUE, FALSE, FALSE);</v>
      </c>
      <c r="O156" s="8" t="str">
        <f aca="false">"INSERT INTO attribute_values (attribute_id, tag, name, details) VALUES ((SELECT id FROM attributes WHERE tag = '"&amp;H156&amp;"' LIMIT 1),  '"&amp;J156&amp;"',  '"&amp;D156&amp;"',  '"&amp;L156&amp;"'); "</f>
        <v>INSERT INTO attribute_values (attribute_id, tag, name, details) VALUES ((SELECT id FROM attributes WHERE tag = 'att_compound' LIMIT 1),  'att_compound:unstimulated',  'Unstimulated',  'Unstimulated; nothing added; Control');</v>
      </c>
    </row>
    <row r="157" customFormat="false" ht="12.75" hidden="false" customHeight="false" outlineLevel="0" collapsed="false">
      <c r="A157" s="17" t="n">
        <f aca="false">FALSE()</f>
        <v>0</v>
      </c>
      <c r="B157" s="17"/>
      <c r="C157" s="8" t="s">
        <v>794</v>
      </c>
      <c r="D157" s="8" t="s">
        <v>794</v>
      </c>
      <c r="E157" s="8" t="s">
        <v>17</v>
      </c>
      <c r="F157" s="8" t="s">
        <v>2588</v>
      </c>
      <c r="G157" s="8" t="s">
        <v>2589</v>
      </c>
      <c r="H157" s="8" t="str">
        <f aca="false">"att_"&amp;G157</f>
        <v>att_context</v>
      </c>
      <c r="I157" s="8" t="s">
        <v>794</v>
      </c>
      <c r="J157" s="8" t="str">
        <f aca="false">H157&amp;":"&amp;I157</f>
        <v>att_context:microenvironment</v>
      </c>
      <c r="K157" s="16" t="s">
        <v>21</v>
      </c>
      <c r="L157" s="8" t="s">
        <v>794</v>
      </c>
      <c r="M157" s="8" t="s">
        <v>17</v>
      </c>
      <c r="N157" s="8" t="str">
        <f aca="false">"INSERT INTO attributes (parent_id, tag, name, priority, allow_as_filter, allow_for_dataset, allow_for_measurement, allow_for_users, allow_for_qc) VALUES (NULL, '"&amp;H157&amp;"',  '"&amp;F157&amp;"',  500,  TRUE, TRUE, TRUE, FALSE, FALSE);"</f>
        <v>INSERT INTO attributes (parent_id, tag, name, priority, allow_as_filter, allow_for_dataset, allow_for_measurement, allow_for_users, allow_for_qc) VALUES (NULL, 'att_context',  'Context',  500,  TRUE, TRUE, TRUE, FALSE, FALSE);</v>
      </c>
      <c r="O157" s="8" t="str">
        <f aca="false">"INSERT INTO attribute_values (attribute_id, tag, name, details) VALUES ((SELECT id FROM attributes WHERE tag = '"&amp;H157&amp;"' LIMIT 1),  '"&amp;J157&amp;"',  '"&amp;D157&amp;"',  '"&amp;L157&amp;"'); "</f>
        <v>INSERT INTO attribute_values (attribute_id, tag, name, details) VALUES ((SELECT id FROM attributes WHERE tag = 'att_context' LIMIT 1),  'att_context:microenvironment',  'microenvironment',  'microenvironment');</v>
      </c>
    </row>
    <row r="158" customFormat="false" ht="12.75" hidden="false" customHeight="false" outlineLevel="0" collapsed="false">
      <c r="A158" s="16" t="s">
        <v>21</v>
      </c>
      <c r="B158" s="16"/>
      <c r="C158" s="8" t="s">
        <v>1005</v>
      </c>
      <c r="D158" s="8" t="s">
        <v>1004</v>
      </c>
      <c r="E158" s="8" t="s">
        <v>17</v>
      </c>
      <c r="F158" s="8" t="s">
        <v>2590</v>
      </c>
      <c r="G158" s="8" t="s">
        <v>2591</v>
      </c>
      <c r="H158" s="8" t="str">
        <f aca="false">"att_"&amp;G158</f>
        <v>att_dataset</v>
      </c>
      <c r="I158" s="8" t="s">
        <v>1005</v>
      </c>
      <c r="J158" s="8" t="str">
        <f aca="false">H158&amp;":"&amp;I158</f>
        <v>att_dataset:database search</v>
      </c>
      <c r="K158" s="16" t="s">
        <v>21</v>
      </c>
      <c r="L158" s="8" t="s">
        <v>1005</v>
      </c>
      <c r="M158" s="8" t="s">
        <v>17</v>
      </c>
      <c r="N158" s="8" t="str">
        <f aca="false">"INSERT INTO attributes (parent_id, tag, name, priority, allow_as_filter, allow_for_dataset, allow_for_measurement, allow_for_users, allow_for_qc) VALUES (NULL, '"&amp;H158&amp;"',  '"&amp;F158&amp;"',  500,  TRUE, TRUE, TRUE, FALSE, FALSE);"</f>
        <v>INSERT INTO attributes (parent_id, tag, name, priority, allow_as_filter, allow_for_dataset, allow_for_measurement, allow_for_users, allow_for_qc) VALUES (NULL, 'att_dataset',  'Spectral Interpretation',  500,  TRUE, TRUE, TRUE, FALSE, FALSE);</v>
      </c>
      <c r="O158" s="8" t="str">
        <f aca="false">"INSERT INTO attribute_values (attribute_id, tag, name, details) VALUES ((SELECT id FROM attributes WHERE tag = '"&amp;H158&amp;"' LIMIT 1),  '"&amp;J158&amp;"',  '"&amp;D158&amp;"',  '"&amp;L158&amp;"'); "</f>
        <v>INSERT INTO attribute_values (attribute_id, tag, name, details) VALUES ((SELECT id FROM attributes WHERE tag = 'att_dataset' LIMIT 1),  'att_dataset:database search',  'Database search',  'database search');</v>
      </c>
    </row>
    <row r="159" customFormat="false" ht="12.75" hidden="false" customHeight="false" outlineLevel="0" collapsed="false">
      <c r="A159" s="16" t="s">
        <v>21</v>
      </c>
      <c r="B159" s="16"/>
      <c r="C159" s="8" t="s">
        <v>1007</v>
      </c>
      <c r="D159" s="8" t="s">
        <v>1007</v>
      </c>
      <c r="E159" s="8" t="s">
        <v>17</v>
      </c>
      <c r="F159" s="8" t="s">
        <v>2590</v>
      </c>
      <c r="G159" s="8" t="s">
        <v>2591</v>
      </c>
      <c r="H159" s="8" t="str">
        <f aca="false">"att_"&amp;G159</f>
        <v>att_dataset</v>
      </c>
      <c r="I159" s="8" t="s">
        <v>1007</v>
      </c>
      <c r="J159" s="8" t="str">
        <f aca="false">H159&amp;":"&amp;I159</f>
        <v>att_dataset:de novo</v>
      </c>
      <c r="K159" s="16" t="s">
        <v>21</v>
      </c>
      <c r="L159" s="8" t="s">
        <v>1007</v>
      </c>
      <c r="M159" s="8" t="s">
        <v>17</v>
      </c>
      <c r="N159" s="8" t="str">
        <f aca="false">"INSERT INTO attributes (parent_id, tag, name, priority, allow_as_filter, allow_for_dataset, allow_for_measurement, allow_for_users, allow_for_qc) VALUES (NULL, '"&amp;H159&amp;"',  '"&amp;F159&amp;"',  500,  TRUE, TRUE, TRUE, FALSE, FALSE);"</f>
        <v>INSERT INTO attributes (parent_id, tag, name, priority, allow_as_filter, allow_for_dataset, allow_for_measurement, allow_for_users, allow_for_qc) VALUES (NULL, 'att_dataset',  'Spectral Interpretation',  500,  TRUE, TRUE, TRUE, FALSE, FALSE);</v>
      </c>
      <c r="O159" s="8" t="str">
        <f aca="false">"INSERT INTO attribute_values (attribute_id, tag, name, details) VALUES ((SELECT id FROM attributes WHERE tag = '"&amp;H159&amp;"' LIMIT 1),  '"&amp;J159&amp;"',  '"&amp;D159&amp;"',  '"&amp;L159&amp;"'); "</f>
        <v>INSERT INTO attribute_values (attribute_id, tag, name, details) VALUES ((SELECT id FROM attributes WHERE tag = 'att_dataset' LIMIT 1),  'att_dataset:de novo',  'de novo',  'de novo');</v>
      </c>
    </row>
    <row r="160" customFormat="false" ht="12.75" hidden="false" customHeight="false" outlineLevel="0" collapsed="false">
      <c r="A160" s="17" t="n">
        <f aca="false">FALSE()</f>
        <v>0</v>
      </c>
      <c r="B160" s="17"/>
      <c r="C160" s="8" t="s">
        <v>1081</v>
      </c>
      <c r="D160" s="8" t="s">
        <v>1082</v>
      </c>
      <c r="E160" s="8" t="s">
        <v>17</v>
      </c>
      <c r="F160" s="8" t="s">
        <v>110</v>
      </c>
      <c r="G160" s="8" t="s">
        <v>2592</v>
      </c>
      <c r="H160" s="8" t="str">
        <f aca="false">"att_"&amp;G160</f>
        <v>att_disease</v>
      </c>
      <c r="I160" s="8" t="s">
        <v>1081</v>
      </c>
      <c r="J160" s="8" t="str">
        <f aca="false">H160&amp;":"&amp;I160</f>
        <v>att_disease:als</v>
      </c>
      <c r="K160" s="16" t="s">
        <v>21</v>
      </c>
      <c r="L160" s="8" t="s">
        <v>1083</v>
      </c>
      <c r="M160" s="8" t="s">
        <v>17</v>
      </c>
      <c r="N160" s="8" t="str">
        <f aca="false">"INSERT INTO attributes (parent_id, tag, name, priority, allow_as_filter, allow_for_dataset, allow_for_measurement, allow_for_users, allow_for_qc) VALUES (NULL, '"&amp;H160&amp;"',  '"&amp;F160&amp;"',  500,  TRUE, TRUE, TRUE, FALSE, FALSE);"</f>
        <v>INSERT INTO attributes (parent_id, tag, name, priority, allow_as_filter, allow_for_dataset, allow_for_measurement, allow_for_users, allow_for_qc) VALUES (NULL, 'att_disease',  'Disease',  500,  TRUE, TRUE, TRUE, FALSE, FALSE);</v>
      </c>
      <c r="O160" s="8" t="str">
        <f aca="false">"INSERT INTO attribute_values (attribute_id, tag, name, details) VALUES ((SELECT id FROM attributes WHERE tag = '"&amp;H160&amp;"' LIMIT 1),  '"&amp;J160&amp;"',  '"&amp;D160&amp;"',  '"&amp;L160&amp;"'); "</f>
        <v>INSERT INTO attribute_values (attribute_id, tag, name, details) VALUES ((SELECT id FROM attributes WHERE tag = 'att_disease' LIMIT 1),  'att_disease:als',  'ALS',  'Amyotrophic lateral sclerosis');</v>
      </c>
    </row>
    <row r="161" customFormat="false" ht="12.75" hidden="false" customHeight="false" outlineLevel="0" collapsed="false">
      <c r="A161" s="17" t="n">
        <f aca="false">FALSE()</f>
        <v>0</v>
      </c>
      <c r="B161" s="17"/>
      <c r="C161" s="8" t="s">
        <v>1084</v>
      </c>
      <c r="D161" s="8" t="s">
        <v>1085</v>
      </c>
      <c r="E161" s="8" t="s">
        <v>17</v>
      </c>
      <c r="F161" s="8" t="s">
        <v>110</v>
      </c>
      <c r="G161" s="8" t="s">
        <v>2592</v>
      </c>
      <c r="H161" s="8" t="str">
        <f aca="false">"att_"&amp;G161</f>
        <v>att_disease</v>
      </c>
      <c r="I161" s="8" t="s">
        <v>1084</v>
      </c>
      <c r="J161" s="8" t="str">
        <f aca="false">H161&amp;":"&amp;I161</f>
        <v>att_disease:alzheimer</v>
      </c>
      <c r="K161" s="16" t="s">
        <v>21</v>
      </c>
      <c r="L161" s="8" t="s">
        <v>1086</v>
      </c>
      <c r="M161" s="8" t="s">
        <v>17</v>
      </c>
      <c r="N161" s="8" t="str">
        <f aca="false">"INSERT INTO attributes (parent_id, tag, name, priority, allow_as_filter, allow_for_dataset, allow_for_measurement, allow_for_users, allow_for_qc) VALUES (NULL, '"&amp;H161&amp;"',  '"&amp;F161&amp;"',  500,  TRUE, TRUE, TRUE, FALSE, FALSE);"</f>
        <v>INSERT INTO attributes (parent_id, tag, name, priority, allow_as_filter, allow_for_dataset, allow_for_measurement, allow_for_users, allow_for_qc) VALUES (NULL, 'att_disease',  'Disease',  500,  TRUE, TRUE, TRUE, FALSE, FALSE);</v>
      </c>
      <c r="O161" s="8" t="str">
        <f aca="false">"INSERT INTO attribute_values (attribute_id, tag, name, details) VALUES ((SELECT id FROM attributes WHERE tag = '"&amp;H161&amp;"' LIMIT 1),  '"&amp;J161&amp;"',  '"&amp;D161&amp;"',  '"&amp;L161&amp;"'); "</f>
        <v>INSERT INTO attribute_values (attribute_id, tag, name, details) VALUES ((SELECT id FROM attributes WHERE tag = 'att_disease' LIMIT 1),  'att_disease:alzheimer',  'Alzheimer',  'Alzheimer's disease');</v>
      </c>
    </row>
    <row r="162" customFormat="false" ht="12.75" hidden="false" customHeight="false" outlineLevel="0" collapsed="false">
      <c r="A162" s="17" t="n">
        <f aca="false">FALSE()</f>
        <v>0</v>
      </c>
      <c r="B162" s="17"/>
      <c r="C162" s="8" t="s">
        <v>1087</v>
      </c>
      <c r="D162" s="8" t="s">
        <v>1088</v>
      </c>
      <c r="E162" s="8" t="s">
        <v>17</v>
      </c>
      <c r="F162" s="8" t="s">
        <v>110</v>
      </c>
      <c r="G162" s="8" t="s">
        <v>2592</v>
      </c>
      <c r="H162" s="8" t="str">
        <f aca="false">"att_"&amp;G162</f>
        <v>att_disease</v>
      </c>
      <c r="I162" s="8" t="s">
        <v>1087</v>
      </c>
      <c r="J162" s="8" t="str">
        <f aca="false">H162&amp;":"&amp;I162</f>
        <v>att_disease:autoimmune</v>
      </c>
      <c r="K162" s="16" t="s">
        <v>21</v>
      </c>
      <c r="L162" s="8" t="s">
        <v>1089</v>
      </c>
      <c r="M162" s="8" t="s">
        <v>17</v>
      </c>
      <c r="N162" s="8" t="str">
        <f aca="false">"INSERT INTO attributes (parent_id, tag, name, priority, allow_as_filter, allow_for_dataset, allow_for_measurement, allow_for_users, allow_for_qc) VALUES (NULL, '"&amp;H162&amp;"',  '"&amp;F162&amp;"',  500,  TRUE, TRUE, TRUE, FALSE, FALSE);"</f>
        <v>INSERT INTO attributes (parent_id, tag, name, priority, allow_as_filter, allow_for_dataset, allow_for_measurement, allow_for_users, allow_for_qc) VALUES (NULL, 'att_disease',  'Disease',  500,  TRUE, TRUE, TRUE, FALSE, FALSE);</v>
      </c>
      <c r="O162" s="8" t="str">
        <f aca="false">"INSERT INTO attribute_values (attribute_id, tag, name, details) VALUES ((SELECT id FROM attributes WHERE tag = '"&amp;H162&amp;"' LIMIT 1),  '"&amp;J162&amp;"',  '"&amp;D162&amp;"',  '"&amp;L162&amp;"'); "</f>
        <v>INSERT INTO attribute_values (attribute_id, tag, name, details) VALUES ((SELECT id FROM attributes WHERE tag = 'att_disease' LIMIT 1),  'att_disease:autoimmune',  'Autoimmune',  'Autoimmune disease');</v>
      </c>
    </row>
    <row r="163" customFormat="false" ht="12.75" hidden="false" customHeight="false" outlineLevel="0" collapsed="false">
      <c r="A163" s="17" t="n">
        <f aca="false">FALSE()</f>
        <v>0</v>
      </c>
      <c r="B163" s="17"/>
      <c r="C163" s="8" t="s">
        <v>1090</v>
      </c>
      <c r="D163" s="8" t="s">
        <v>1091</v>
      </c>
      <c r="E163" s="8" t="s">
        <v>17</v>
      </c>
      <c r="F163" s="8" t="s">
        <v>110</v>
      </c>
      <c r="G163" s="8" t="s">
        <v>2592</v>
      </c>
      <c r="H163" s="8" t="str">
        <f aca="false">"att_"&amp;G163</f>
        <v>att_disease</v>
      </c>
      <c r="I163" s="8" t="s">
        <v>1090</v>
      </c>
      <c r="J163" s="8" t="str">
        <f aca="false">H163&amp;":"&amp;I163</f>
        <v>att_disease:cancer</v>
      </c>
      <c r="K163" s="16" t="s">
        <v>21</v>
      </c>
      <c r="L163" s="8" t="s">
        <v>1092</v>
      </c>
      <c r="M163" s="8" t="s">
        <v>17</v>
      </c>
      <c r="N163" s="8" t="str">
        <f aca="false">"INSERT INTO attributes (parent_id, tag, name, priority, allow_as_filter, allow_for_dataset, allow_for_measurement, allow_for_users, allow_for_qc) VALUES (NULL, '"&amp;H163&amp;"',  '"&amp;F163&amp;"',  500,  TRUE, TRUE, TRUE, FALSE, FALSE);"</f>
        <v>INSERT INTO attributes (parent_id, tag, name, priority, allow_as_filter, allow_for_dataset, allow_for_measurement, allow_for_users, allow_for_qc) VALUES (NULL, 'att_disease',  'Disease',  500,  TRUE, TRUE, TRUE, FALSE, FALSE);</v>
      </c>
      <c r="O163" s="8" t="str">
        <f aca="false">"INSERT INTO attribute_values (attribute_id, tag, name, details) VALUES ((SELECT id FROM attributes WHERE tag = '"&amp;H163&amp;"' LIMIT 1),  '"&amp;J163&amp;"',  '"&amp;D163&amp;"',  '"&amp;L163&amp;"'); "</f>
        <v>INSERT INTO attribute_values (attribute_id, tag, name, details) VALUES ((SELECT id FROM attributes WHERE tag = 'att_disease' LIMIT 1),  'att_disease:cancer',  'Cancer',  'Diseases of abnormal cells grow');</v>
      </c>
    </row>
    <row r="164" customFormat="false" ht="12.75" hidden="false" customHeight="false" outlineLevel="0" collapsed="false">
      <c r="A164" s="17" t="n">
        <f aca="false">FALSE()</f>
        <v>0</v>
      </c>
      <c r="B164" s="17"/>
      <c r="C164" s="8" t="s">
        <v>1094</v>
      </c>
      <c r="D164" s="8" t="s">
        <v>1095</v>
      </c>
      <c r="E164" s="8" t="s">
        <v>17</v>
      </c>
      <c r="F164" s="8" t="s">
        <v>110</v>
      </c>
      <c r="G164" s="8" t="s">
        <v>2592</v>
      </c>
      <c r="H164" s="8" t="str">
        <f aca="false">"att_"&amp;G164</f>
        <v>att_disease</v>
      </c>
      <c r="I164" s="8" t="s">
        <v>1093</v>
      </c>
      <c r="J164" s="8" t="str">
        <f aca="false">H164&amp;":"&amp;I164</f>
        <v>att_disease:cardiovascular_diseases</v>
      </c>
      <c r="K164" s="16" t="s">
        <v>21</v>
      </c>
      <c r="L164" s="8" t="s">
        <v>1096</v>
      </c>
      <c r="M164" s="8" t="s">
        <v>17</v>
      </c>
      <c r="N164" s="8" t="str">
        <f aca="false">"INSERT INTO attributes (parent_id, tag, name, priority, allow_as_filter, allow_for_dataset, allow_for_measurement, allow_for_users, allow_for_qc) VALUES (NULL, '"&amp;H164&amp;"',  '"&amp;F164&amp;"',  500,  TRUE, TRUE, TRUE, FALSE, FALSE);"</f>
        <v>INSERT INTO attributes (parent_id, tag, name, priority, allow_as_filter, allow_for_dataset, allow_for_measurement, allow_for_users, allow_for_qc) VALUES (NULL, 'att_disease',  'Disease',  500,  TRUE, TRUE, TRUE, FALSE, FALSE);</v>
      </c>
      <c r="O164" s="8" t="str">
        <f aca="false">"INSERT INTO attribute_values (attribute_id, tag, name, details) VALUES ((SELECT id FROM attributes WHERE tag = '"&amp;H164&amp;"' LIMIT 1),  '"&amp;J164&amp;"',  '"&amp;D164&amp;"',  '"&amp;L164&amp;"'); "</f>
        <v>INSERT INTO attribute_values (attribute_id, tag, name, details) VALUES ((SELECT id FROM attributes WHERE tag = 'att_disease' LIMIT 1),  'att_disease:cardiovascular_diseases',  'Cardiovascular_Diseases',  'Cardiovascular and circulatory diseases');</v>
      </c>
    </row>
    <row r="165" customFormat="false" ht="12.75" hidden="false" customHeight="false" outlineLevel="0" collapsed="false">
      <c r="A165" s="17" t="n">
        <f aca="false">FALSE()</f>
        <v>0</v>
      </c>
      <c r="B165" s="17"/>
      <c r="C165" s="8" t="s">
        <v>1097</v>
      </c>
      <c r="D165" s="8" t="s">
        <v>1099</v>
      </c>
      <c r="E165" s="8" t="s">
        <v>17</v>
      </c>
      <c r="F165" s="8" t="s">
        <v>110</v>
      </c>
      <c r="G165" s="8" t="s">
        <v>2592</v>
      </c>
      <c r="H165" s="8" t="str">
        <f aca="false">"att_"&amp;G165</f>
        <v>att_disease</v>
      </c>
      <c r="I165" s="8" t="s">
        <v>1097</v>
      </c>
      <c r="J165" s="8" t="str">
        <f aca="false">H165&amp;":"&amp;I165</f>
        <v>att_disease:chronic_inflammation</v>
      </c>
      <c r="K165" s="16" t="s">
        <v>21</v>
      </c>
      <c r="L165" s="8" t="s">
        <v>1100</v>
      </c>
      <c r="M165" s="8" t="s">
        <v>17</v>
      </c>
      <c r="N165" s="8" t="str">
        <f aca="false">"INSERT INTO attributes (parent_id, tag, name, priority, allow_as_filter, allow_for_dataset, allow_for_measurement, allow_for_users, allow_for_qc) VALUES (NULL, '"&amp;H165&amp;"',  '"&amp;F165&amp;"',  500,  TRUE, TRUE, TRUE, FALSE, FALSE);"</f>
        <v>INSERT INTO attributes (parent_id, tag, name, priority, allow_as_filter, allow_for_dataset, allow_for_measurement, allow_for_users, allow_for_qc) VALUES (NULL, 'att_disease',  'Disease',  500,  TRUE, TRUE, TRUE, FALSE, FALSE);</v>
      </c>
      <c r="O165" s="8" t="str">
        <f aca="false">"INSERT INTO attribute_values (attribute_id, tag, name, details) VALUES ((SELECT id FROM attributes WHERE tag = '"&amp;H165&amp;"' LIMIT 1),  '"&amp;J165&amp;"',  '"&amp;D165&amp;"',  '"&amp;L165&amp;"'); "</f>
        <v>INSERT INTO attribute_values (attribute_id, tag, name, details) VALUES ((SELECT id FROM attributes WHERE tag = 'att_disease' LIMIT 1),  'att_disease:chronic_inflammation',  'Chronic_Inflammation',  'Slow, long-term inflammation lasting for prolonged periods');</v>
      </c>
    </row>
    <row r="166" customFormat="false" ht="12.75" hidden="false" customHeight="false" outlineLevel="0" collapsed="false">
      <c r="A166" s="17" t="n">
        <f aca="false">FALSE()</f>
        <v>0</v>
      </c>
      <c r="B166" s="17"/>
      <c r="C166" s="8" t="s">
        <v>1101</v>
      </c>
      <c r="D166" s="8" t="s">
        <v>1102</v>
      </c>
      <c r="E166" s="8" t="s">
        <v>17</v>
      </c>
      <c r="F166" s="8" t="s">
        <v>110</v>
      </c>
      <c r="G166" s="8" t="s">
        <v>2592</v>
      </c>
      <c r="H166" s="8" t="str">
        <f aca="false">"att_"&amp;G166</f>
        <v>att_disease</v>
      </c>
      <c r="I166" s="8" t="s">
        <v>1101</v>
      </c>
      <c r="J166" s="8" t="str">
        <f aca="false">H166&amp;":"&amp;I166</f>
        <v>att_disease:coeliac</v>
      </c>
      <c r="K166" s="16" t="s">
        <v>21</v>
      </c>
      <c r="L166" s="8" t="s">
        <v>1103</v>
      </c>
      <c r="M166" s="8" t="s">
        <v>17</v>
      </c>
      <c r="N166" s="8" t="str">
        <f aca="false">"INSERT INTO attributes (parent_id, tag, name, priority, allow_as_filter, allow_for_dataset, allow_for_measurement, allow_for_users, allow_for_qc) VALUES (NULL, '"&amp;H166&amp;"',  '"&amp;F166&amp;"',  500,  TRUE, TRUE, TRUE, FALSE, FALSE);"</f>
        <v>INSERT INTO attributes (parent_id, tag, name, priority, allow_as_filter, allow_for_dataset, allow_for_measurement, allow_for_users, allow_for_qc) VALUES (NULL, 'att_disease',  'Disease',  500,  TRUE, TRUE, TRUE, FALSE, FALSE);</v>
      </c>
      <c r="O166" s="8" t="str">
        <f aca="false">"INSERT INTO attribute_values (attribute_id, tag, name, details) VALUES ((SELECT id FROM attributes WHERE tag = '"&amp;H166&amp;"' LIMIT 1),  '"&amp;J166&amp;"',  '"&amp;D166&amp;"',  '"&amp;L166&amp;"'); "</f>
        <v>INSERT INTO attribute_values (attribute_id, tag, name, details) VALUES ((SELECT id FROM attributes WHERE tag = 'att_disease' LIMIT 1),  'att_disease:coeliac',  'Coeliac',  'Coeliac disease');</v>
      </c>
    </row>
    <row r="167" customFormat="false" ht="12.75" hidden="false" customHeight="false" outlineLevel="0" collapsed="false">
      <c r="A167" s="17" t="n">
        <f aca="false">FALSE()</f>
        <v>0</v>
      </c>
      <c r="B167" s="17"/>
      <c r="C167" s="8" t="s">
        <v>1104</v>
      </c>
      <c r="D167" s="8" t="s">
        <v>1105</v>
      </c>
      <c r="E167" s="8" t="s">
        <v>17</v>
      </c>
      <c r="F167" s="8" t="s">
        <v>110</v>
      </c>
      <c r="G167" s="8" t="s">
        <v>2592</v>
      </c>
      <c r="H167" s="8" t="str">
        <f aca="false">"att_"&amp;G167</f>
        <v>att_disease</v>
      </c>
      <c r="I167" s="8" t="s">
        <v>1104</v>
      </c>
      <c r="J167" s="8" t="str">
        <f aca="false">H167&amp;":"&amp;I167</f>
        <v>att_disease:covid19</v>
      </c>
      <c r="K167" s="16" t="s">
        <v>21</v>
      </c>
      <c r="L167" s="8" t="s">
        <v>1106</v>
      </c>
      <c r="M167" s="8" t="s">
        <v>17</v>
      </c>
      <c r="N167" s="8" t="str">
        <f aca="false">"INSERT INTO attributes (parent_id, tag, name, priority, allow_as_filter, allow_for_dataset, allow_for_measurement, allow_for_users, allow_for_qc) VALUES (NULL, '"&amp;H167&amp;"',  '"&amp;F167&amp;"',  500,  TRUE, TRUE, TRUE, FALSE, FALSE);"</f>
        <v>INSERT INTO attributes (parent_id, tag, name, priority, allow_as_filter, allow_for_dataset, allow_for_measurement, allow_for_users, allow_for_qc) VALUES (NULL, 'att_disease',  'Disease',  500,  TRUE, TRUE, TRUE, FALSE, FALSE);</v>
      </c>
      <c r="O167" s="8" t="str">
        <f aca="false">"INSERT INTO attribute_values (attribute_id, tag, name, details) VALUES ((SELECT id FROM attributes WHERE tag = '"&amp;H167&amp;"' LIMIT 1),  '"&amp;J167&amp;"',  '"&amp;D167&amp;"',  '"&amp;L167&amp;"'); "</f>
        <v>INSERT INTO attribute_values (attribute_id, tag, name, details) VALUES ((SELECT id FROM attributes WHERE tag = 'att_disease' LIMIT 1),  'att_disease:covid19',  'COVID19',  'coronavirus disease');</v>
      </c>
    </row>
    <row r="168" customFormat="false" ht="12.75" hidden="false" customHeight="false" outlineLevel="0" collapsed="false">
      <c r="A168" s="17" t="n">
        <f aca="false">FALSE()</f>
        <v>0</v>
      </c>
      <c r="B168" s="17"/>
      <c r="C168" s="8" t="s">
        <v>1107</v>
      </c>
      <c r="D168" s="8" t="s">
        <v>1108</v>
      </c>
      <c r="E168" s="8" t="s">
        <v>17</v>
      </c>
      <c r="F168" s="8" t="s">
        <v>110</v>
      </c>
      <c r="G168" s="8" t="s">
        <v>2592</v>
      </c>
      <c r="H168" s="8" t="str">
        <f aca="false">"att_"&amp;G168</f>
        <v>att_disease</v>
      </c>
      <c r="I168" s="8" t="s">
        <v>1107</v>
      </c>
      <c r="J168" s="8" t="str">
        <f aca="false">H168&amp;":"&amp;I168</f>
        <v>att_disease:dementia</v>
      </c>
      <c r="K168" s="16" t="s">
        <v>21</v>
      </c>
      <c r="L168" s="8" t="s">
        <v>1108</v>
      </c>
      <c r="M168" s="8" t="s">
        <v>17</v>
      </c>
      <c r="N168" s="8" t="str">
        <f aca="false">"INSERT INTO attributes (parent_id, tag, name, priority, allow_as_filter, allow_for_dataset, allow_for_measurement, allow_for_users, allow_for_qc) VALUES (NULL, '"&amp;H168&amp;"',  '"&amp;F168&amp;"',  500,  TRUE, TRUE, TRUE, FALSE, FALSE);"</f>
        <v>INSERT INTO attributes (parent_id, tag, name, priority, allow_as_filter, allow_for_dataset, allow_for_measurement, allow_for_users, allow_for_qc) VALUES (NULL, 'att_disease',  'Disease',  500,  TRUE, TRUE, TRUE, FALSE, FALSE);</v>
      </c>
      <c r="O168" s="8" t="str">
        <f aca="false">"INSERT INTO attribute_values (attribute_id, tag, name, details) VALUES ((SELECT id FROM attributes WHERE tag = '"&amp;H168&amp;"' LIMIT 1),  '"&amp;J168&amp;"',  '"&amp;D168&amp;"',  '"&amp;L168&amp;"'); "</f>
        <v>INSERT INTO attribute_values (attribute_id, tag, name, details) VALUES ((SELECT id FROM attributes WHERE tag = 'att_disease' LIMIT 1),  'att_disease:dementia',  'Dementia',  'Dementia');</v>
      </c>
    </row>
    <row r="169" customFormat="false" ht="12.75" hidden="false" customHeight="false" outlineLevel="0" collapsed="false">
      <c r="A169" s="17" t="n">
        <f aca="false">FALSE()</f>
        <v>0</v>
      </c>
      <c r="B169" s="17"/>
      <c r="C169" s="8" t="s">
        <v>1109</v>
      </c>
      <c r="D169" s="8" t="s">
        <v>1110</v>
      </c>
      <c r="E169" s="8" t="s">
        <v>17</v>
      </c>
      <c r="F169" s="8" t="s">
        <v>110</v>
      </c>
      <c r="G169" s="8" t="s">
        <v>2592</v>
      </c>
      <c r="H169" s="8" t="str">
        <f aca="false">"att_"&amp;G169</f>
        <v>att_disease</v>
      </c>
      <c r="I169" s="8" t="s">
        <v>1109</v>
      </c>
      <c r="J169" s="8" t="str">
        <f aca="false">H169&amp;":"&amp;I169</f>
        <v>att_disease:demyelinating</v>
      </c>
      <c r="K169" s="16" t="s">
        <v>21</v>
      </c>
      <c r="L169" s="8" t="s">
        <v>1111</v>
      </c>
      <c r="M169" s="8" t="s">
        <v>17</v>
      </c>
      <c r="N169" s="8" t="str">
        <f aca="false">"INSERT INTO attributes (parent_id, tag, name, priority, allow_as_filter, allow_for_dataset, allow_for_measurement, allow_for_users, allow_for_qc) VALUES (NULL, '"&amp;H169&amp;"',  '"&amp;F169&amp;"',  500,  TRUE, TRUE, TRUE, FALSE, FALSE);"</f>
        <v>INSERT INTO attributes (parent_id, tag, name, priority, allow_as_filter, allow_for_dataset, allow_for_measurement, allow_for_users, allow_for_qc) VALUES (NULL, 'att_disease',  'Disease',  500,  TRUE, TRUE, TRUE, FALSE, FALSE);</v>
      </c>
      <c r="O169" s="8" t="str">
        <f aca="false">"INSERT INTO attribute_values (attribute_id, tag, name, details) VALUES ((SELECT id FROM attributes WHERE tag = '"&amp;H169&amp;"' LIMIT 1),  '"&amp;J169&amp;"',  '"&amp;D169&amp;"',  '"&amp;L169&amp;"'); "</f>
        <v>INSERT INTO attribute_values (attribute_id, tag, name, details) VALUES ((SELECT id FROM attributes WHERE tag = 'att_disease' LIMIT 1),  'att_disease:demyelinating',  'Demyelinating',  'Demyelinating disease');</v>
      </c>
    </row>
    <row r="170" customFormat="false" ht="12.75" hidden="false" customHeight="false" outlineLevel="0" collapsed="false">
      <c r="A170" s="17" t="n">
        <f aca="false">FALSE()</f>
        <v>0</v>
      </c>
      <c r="B170" s="17"/>
      <c r="C170" s="8" t="s">
        <v>1112</v>
      </c>
      <c r="D170" s="8" t="s">
        <v>1113</v>
      </c>
      <c r="E170" s="8" t="s">
        <v>17</v>
      </c>
      <c r="F170" s="8" t="s">
        <v>110</v>
      </c>
      <c r="G170" s="8" t="s">
        <v>2592</v>
      </c>
      <c r="H170" s="8" t="str">
        <f aca="false">"att_"&amp;G170</f>
        <v>att_disease</v>
      </c>
      <c r="I170" s="8" t="s">
        <v>1112</v>
      </c>
      <c r="J170" s="8" t="str">
        <f aca="false">H170&amp;":"&amp;I170</f>
        <v>att_disease:diabetes</v>
      </c>
      <c r="K170" s="16" t="s">
        <v>21</v>
      </c>
      <c r="L170" s="8" t="s">
        <v>1113</v>
      </c>
      <c r="M170" s="8" t="s">
        <v>17</v>
      </c>
      <c r="N170" s="8" t="str">
        <f aca="false">"INSERT INTO attributes (parent_id, tag, name, priority, allow_as_filter, allow_for_dataset, allow_for_measurement, allow_for_users, allow_for_qc) VALUES (NULL, '"&amp;H170&amp;"',  '"&amp;F170&amp;"',  500,  TRUE, TRUE, TRUE, FALSE, FALSE);"</f>
        <v>INSERT INTO attributes (parent_id, tag, name, priority, allow_as_filter, allow_for_dataset, allow_for_measurement, allow_for_users, allow_for_qc) VALUES (NULL, 'att_disease',  'Disease',  500,  TRUE, TRUE, TRUE, FALSE, FALSE);</v>
      </c>
      <c r="O170" s="8" t="str">
        <f aca="false">"INSERT INTO attribute_values (attribute_id, tag, name, details) VALUES ((SELECT id FROM attributes WHERE tag = '"&amp;H170&amp;"' LIMIT 1),  '"&amp;J170&amp;"',  '"&amp;D170&amp;"',  '"&amp;L170&amp;"'); "</f>
        <v>INSERT INTO attribute_values (attribute_id, tag, name, details) VALUES ((SELECT id FROM attributes WHERE tag = 'att_disease' LIMIT 1),  'att_disease:diabetes',  'Diabetes',  'Diabetes');</v>
      </c>
    </row>
    <row r="171" customFormat="false" ht="12.75" hidden="false" customHeight="false" outlineLevel="0" collapsed="false">
      <c r="A171" s="17" t="n">
        <f aca="false">FALSE()</f>
        <v>0</v>
      </c>
      <c r="B171" s="17"/>
      <c r="C171" s="8" t="s">
        <v>1114</v>
      </c>
      <c r="D171" s="8" t="s">
        <v>1115</v>
      </c>
      <c r="E171" s="8" t="s">
        <v>17</v>
      </c>
      <c r="F171" s="8" t="s">
        <v>110</v>
      </c>
      <c r="G171" s="8" t="s">
        <v>2592</v>
      </c>
      <c r="H171" s="8" t="str">
        <f aca="false">"att_"&amp;G171</f>
        <v>att_disease</v>
      </c>
      <c r="I171" s="8" t="s">
        <v>1114</v>
      </c>
      <c r="J171" s="8" t="str">
        <f aca="false">H171&amp;":"&amp;I171</f>
        <v>att_disease:glioblastoma</v>
      </c>
      <c r="K171" s="16" t="s">
        <v>21</v>
      </c>
      <c r="L171" s="8" t="s">
        <v>1116</v>
      </c>
      <c r="M171" s="8" t="s">
        <v>17</v>
      </c>
      <c r="N171" s="8" t="str">
        <f aca="false">"INSERT INTO attributes (parent_id, tag, name, priority, allow_as_filter, allow_for_dataset, allow_for_measurement, allow_for_users, allow_for_qc) VALUES (NULL, '"&amp;H171&amp;"',  '"&amp;F171&amp;"',  500,  TRUE, TRUE, TRUE, FALSE, FALSE);"</f>
        <v>INSERT INTO attributes (parent_id, tag, name, priority, allow_as_filter, allow_for_dataset, allow_for_measurement, allow_for_users, allow_for_qc) VALUES (NULL, 'att_disease',  'Disease',  500,  TRUE, TRUE, TRUE, FALSE, FALSE);</v>
      </c>
      <c r="O171" s="8" t="str">
        <f aca="false">"INSERT INTO attribute_values (attribute_id, tag, name, details) VALUES ((SELECT id FROM attributes WHERE tag = '"&amp;H171&amp;"' LIMIT 1),  '"&amp;J171&amp;"',  '"&amp;D171&amp;"',  '"&amp;L171&amp;"'); "</f>
        <v>INSERT INTO attribute_values (attribute_id, tag, name, details) VALUES ((SELECT id FROM attributes WHERE tag = 'att_disease' LIMIT 1),  'att_disease:glioblastoma',  'Glioblastoma',  'Grade IV Astrocytoma');</v>
      </c>
    </row>
    <row r="172" customFormat="false" ht="12.75" hidden="false" customHeight="false" outlineLevel="0" collapsed="false">
      <c r="A172" s="17" t="n">
        <f aca="false">FALSE()</f>
        <v>0</v>
      </c>
      <c r="B172" s="17"/>
      <c r="C172" s="8" t="s">
        <v>1117</v>
      </c>
      <c r="D172" s="8" t="s">
        <v>1118</v>
      </c>
      <c r="E172" s="8" t="s">
        <v>17</v>
      </c>
      <c r="F172" s="8" t="s">
        <v>110</v>
      </c>
      <c r="G172" s="8" t="s">
        <v>2592</v>
      </c>
      <c r="H172" s="8" t="str">
        <f aca="false">"att_"&amp;G172</f>
        <v>att_disease</v>
      </c>
      <c r="I172" s="8" t="s">
        <v>1117</v>
      </c>
      <c r="J172" s="8" t="str">
        <f aca="false">H172&amp;":"&amp;I172</f>
        <v>att_disease:hiv</v>
      </c>
      <c r="K172" s="16" t="s">
        <v>21</v>
      </c>
      <c r="L172" s="8" t="s">
        <v>1119</v>
      </c>
      <c r="M172" s="8" t="s">
        <v>17</v>
      </c>
      <c r="N172" s="8" t="str">
        <f aca="false">"INSERT INTO attributes (parent_id, tag, name, priority, allow_as_filter, allow_for_dataset, allow_for_measurement, allow_for_users, allow_for_qc) VALUES (NULL, '"&amp;H172&amp;"',  '"&amp;F172&amp;"',  500,  TRUE, TRUE, TRUE, FALSE, FALSE);"</f>
        <v>INSERT INTO attributes (parent_id, tag, name, priority, allow_as_filter, allow_for_dataset, allow_for_measurement, allow_for_users, allow_for_qc) VALUES (NULL, 'att_disease',  'Disease',  500,  TRUE, TRUE, TRUE, FALSE, FALSE);</v>
      </c>
      <c r="O172" s="8" t="str">
        <f aca="false">"INSERT INTO attribute_values (attribute_id, tag, name, details) VALUES ((SELECT id FROM attributes WHERE tag = '"&amp;H172&amp;"' LIMIT 1),  '"&amp;J172&amp;"',  '"&amp;D172&amp;"',  '"&amp;L172&amp;"'); "</f>
        <v>INSERT INTO attribute_values (attribute_id, tag, name, details) VALUES ((SELECT id FROM attributes WHERE tag = 'att_disease' LIMIT 1),  'att_disease:hiv',  'HIV',  'HIV disease');</v>
      </c>
    </row>
    <row r="173" customFormat="false" ht="12.75" hidden="false" customHeight="false" outlineLevel="0" collapsed="false">
      <c r="A173" s="17" t="n">
        <f aca="false">FALSE()</f>
        <v>0</v>
      </c>
      <c r="B173" s="17"/>
      <c r="C173" s="8" t="s">
        <v>1120</v>
      </c>
      <c r="D173" s="8" t="s">
        <v>1121</v>
      </c>
      <c r="E173" s="8" t="s">
        <v>17</v>
      </c>
      <c r="F173" s="8" t="s">
        <v>110</v>
      </c>
      <c r="G173" s="8" t="s">
        <v>2592</v>
      </c>
      <c r="H173" s="8" t="str">
        <f aca="false">"att_"&amp;G173</f>
        <v>att_disease</v>
      </c>
      <c r="I173" s="8" t="s">
        <v>1120</v>
      </c>
      <c r="J173" s="8" t="str">
        <f aca="false">H173&amp;":"&amp;I173</f>
        <v>att_disease:huntington</v>
      </c>
      <c r="K173" s="16" t="s">
        <v>21</v>
      </c>
      <c r="L173" s="8" t="s">
        <v>1122</v>
      </c>
      <c r="M173" s="8" t="s">
        <v>17</v>
      </c>
      <c r="N173" s="8" t="str">
        <f aca="false">"INSERT INTO attributes (parent_id, tag, name, priority, allow_as_filter, allow_for_dataset, allow_for_measurement, allow_for_users, allow_for_qc) VALUES (NULL, '"&amp;H173&amp;"',  '"&amp;F173&amp;"',  500,  TRUE, TRUE, TRUE, FALSE, FALSE);"</f>
        <v>INSERT INTO attributes (parent_id, tag, name, priority, allow_as_filter, allow_for_dataset, allow_for_measurement, allow_for_users, allow_for_qc) VALUES (NULL, 'att_disease',  'Disease',  500,  TRUE, TRUE, TRUE, FALSE, FALSE);</v>
      </c>
      <c r="O173" s="8" t="str">
        <f aca="false">"INSERT INTO attribute_values (attribute_id, tag, name, details) VALUES ((SELECT id FROM attributes WHERE tag = '"&amp;H173&amp;"' LIMIT 1),  '"&amp;J173&amp;"',  '"&amp;D173&amp;"',  '"&amp;L173&amp;"'); "</f>
        <v>INSERT INTO attribute_values (attribute_id, tag, name, details) VALUES ((SELECT id FROM attributes WHERE tag = 'att_disease' LIMIT 1),  'att_disease:huntington',  'Huntington',  'Huntington's disease');</v>
      </c>
    </row>
    <row r="174" customFormat="false" ht="12.75" hidden="false" customHeight="false" outlineLevel="0" collapsed="false">
      <c r="A174" s="17" t="n">
        <f aca="false">FALSE()</f>
        <v>0</v>
      </c>
      <c r="B174" s="17"/>
      <c r="C174" s="8" t="s">
        <v>1123</v>
      </c>
      <c r="D174" s="8" t="s">
        <v>1124</v>
      </c>
      <c r="E174" s="8" t="s">
        <v>17</v>
      </c>
      <c r="F174" s="8" t="s">
        <v>110</v>
      </c>
      <c r="G174" s="8" t="s">
        <v>2592</v>
      </c>
      <c r="H174" s="8" t="str">
        <f aca="false">"att_"&amp;G174</f>
        <v>att_disease</v>
      </c>
      <c r="I174" s="8" t="s">
        <v>1123</v>
      </c>
      <c r="J174" s="8" t="str">
        <f aca="false">H174&amp;":"&amp;I174</f>
        <v>att_disease:ibd</v>
      </c>
      <c r="K174" s="16" t="s">
        <v>21</v>
      </c>
      <c r="L174" s="8" t="s">
        <v>1125</v>
      </c>
      <c r="M174" s="8" t="s">
        <v>17</v>
      </c>
      <c r="N174" s="8" t="str">
        <f aca="false">"INSERT INTO attributes (parent_id, tag, name, priority, allow_as_filter, allow_for_dataset, allow_for_measurement, allow_for_users, allow_for_qc) VALUES (NULL, '"&amp;H174&amp;"',  '"&amp;F174&amp;"',  500,  TRUE, TRUE, TRUE, FALSE, FALSE);"</f>
        <v>INSERT INTO attributes (parent_id, tag, name, priority, allow_as_filter, allow_for_dataset, allow_for_measurement, allow_for_users, allow_for_qc) VALUES (NULL, 'att_disease',  'Disease',  500,  TRUE, TRUE, TRUE, FALSE, FALSE);</v>
      </c>
      <c r="O174" s="8" t="str">
        <f aca="false">"INSERT INTO attribute_values (attribute_id, tag, name, details) VALUES ((SELECT id FROM attributes WHERE tag = '"&amp;H174&amp;"' LIMIT 1),  '"&amp;J174&amp;"',  '"&amp;D174&amp;"',  '"&amp;L174&amp;"'); "</f>
        <v>INSERT INTO attribute_values (attribute_id, tag, name, details) VALUES ((SELECT id FROM attributes WHERE tag = 'att_disease' LIMIT 1),  'att_disease:ibd',  'IBD',  'Inflammatory bowel disease');</v>
      </c>
    </row>
    <row r="175" customFormat="false" ht="12.75" hidden="false" customHeight="false" outlineLevel="0" collapsed="false">
      <c r="A175" s="17" t="n">
        <f aca="false">FALSE()</f>
        <v>0</v>
      </c>
      <c r="B175" s="17"/>
      <c r="C175" s="8" t="s">
        <v>1126</v>
      </c>
      <c r="D175" s="8" t="s">
        <v>1127</v>
      </c>
      <c r="E175" s="8" t="s">
        <v>17</v>
      </c>
      <c r="F175" s="8" t="s">
        <v>110</v>
      </c>
      <c r="G175" s="8" t="s">
        <v>2592</v>
      </c>
      <c r="H175" s="8" t="str">
        <f aca="false">"att_"&amp;G175</f>
        <v>att_disease</v>
      </c>
      <c r="I175" s="8" t="s">
        <v>1126</v>
      </c>
      <c r="J175" s="8" t="str">
        <f aca="false">H175&amp;":"&amp;I175</f>
        <v>att_disease:infection</v>
      </c>
      <c r="K175" s="16" t="s">
        <v>21</v>
      </c>
      <c r="L175" s="8" t="s">
        <v>1128</v>
      </c>
      <c r="M175" s="8" t="s">
        <v>17</v>
      </c>
      <c r="N175" s="8" t="str">
        <f aca="false">"INSERT INTO attributes (parent_id, tag, name, priority, allow_as_filter, allow_for_dataset, allow_for_measurement, allow_for_users, allow_for_qc) VALUES (NULL, '"&amp;H175&amp;"',  '"&amp;F175&amp;"',  500,  TRUE, TRUE, TRUE, FALSE, FALSE);"</f>
        <v>INSERT INTO attributes (parent_id, tag, name, priority, allow_as_filter, allow_for_dataset, allow_for_measurement, allow_for_users, allow_for_qc) VALUES (NULL, 'att_disease',  'Disease',  500,  TRUE, TRUE, TRUE, FALSE, FALSE);</v>
      </c>
      <c r="O175" s="8" t="str">
        <f aca="false">"INSERT INTO attribute_values (attribute_id, tag, name, details) VALUES ((SELECT id FROM attributes WHERE tag = '"&amp;H175&amp;"' LIMIT 1),  '"&amp;J175&amp;"',  '"&amp;D175&amp;"',  '"&amp;L175&amp;"'); "</f>
        <v>INSERT INTO attribute_values (attribute_id, tag, name, details) VALUES ((SELECT id FROM attributes WHERE tag = 'att_disease' LIMIT 1),  'att_disease:infection',  'Infection',  'Infection occurs when viruses, bacteria, or other microbes enter your body and begin to multiply.');</v>
      </c>
    </row>
    <row r="176" customFormat="false" ht="12.75" hidden="false" customHeight="false" outlineLevel="0" collapsed="false">
      <c r="A176" s="17" t="n">
        <f aca="false">FALSE()</f>
        <v>0</v>
      </c>
      <c r="B176" s="17"/>
      <c r="C176" s="8" t="s">
        <v>1129</v>
      </c>
      <c r="D176" s="8" t="s">
        <v>1130</v>
      </c>
      <c r="E176" s="8" t="s">
        <v>17</v>
      </c>
      <c r="F176" s="8" t="s">
        <v>110</v>
      </c>
      <c r="G176" s="8" t="s">
        <v>2592</v>
      </c>
      <c r="H176" s="8" t="str">
        <f aca="false">"att_"&amp;G176</f>
        <v>att_disease</v>
      </c>
      <c r="I176" s="8" t="s">
        <v>1129</v>
      </c>
      <c r="J176" s="8" t="str">
        <f aca="false">H176&amp;":"&amp;I176</f>
        <v>att_disease:influenza</v>
      </c>
      <c r="K176" s="16" t="s">
        <v>21</v>
      </c>
      <c r="L176" s="8" t="s">
        <v>1131</v>
      </c>
      <c r="M176" s="8" t="s">
        <v>17</v>
      </c>
      <c r="N176" s="8" t="str">
        <f aca="false">"INSERT INTO attributes (parent_id, tag, name, priority, allow_as_filter, allow_for_dataset, allow_for_measurement, allow_for_users, allow_for_qc) VALUES (NULL, '"&amp;H176&amp;"',  '"&amp;F176&amp;"',  500,  TRUE, TRUE, TRUE, FALSE, FALSE);"</f>
        <v>INSERT INTO attributes (parent_id, tag, name, priority, allow_as_filter, allow_for_dataset, allow_for_measurement, allow_for_users, allow_for_qc) VALUES (NULL, 'att_disease',  'Disease',  500,  TRUE, TRUE, TRUE, FALSE, FALSE);</v>
      </c>
      <c r="O176" s="8" t="str">
        <f aca="false">"INSERT INTO attribute_values (attribute_id, tag, name, details) VALUES ((SELECT id FROM attributes WHERE tag = '"&amp;H176&amp;"' LIMIT 1),  '"&amp;J176&amp;"',  '"&amp;D176&amp;"',  '"&amp;L176&amp;"'); "</f>
        <v>INSERT INTO attribute_values (attribute_id, tag, name, details) VALUES ((SELECT id FROM attributes WHERE tag = 'att_disease' LIMIT 1),  'att_disease:influenza',  'Influenza',  'Flue; contagious respiratory illness caused by influenza viruses.');</v>
      </c>
    </row>
    <row r="177" customFormat="false" ht="12.75" hidden="false" customHeight="false" outlineLevel="0" collapsed="false">
      <c r="A177" s="17" t="n">
        <f aca="false">FALSE()</f>
        <v>0</v>
      </c>
      <c r="B177" s="17"/>
      <c r="C177" s="8" t="s">
        <v>1132</v>
      </c>
      <c r="D177" s="8" t="s">
        <v>639</v>
      </c>
      <c r="E177" s="8" t="s">
        <v>17</v>
      </c>
      <c r="F177" s="8" t="s">
        <v>110</v>
      </c>
      <c r="G177" s="8" t="s">
        <v>2592</v>
      </c>
      <c r="H177" s="8" t="str">
        <f aca="false">"att_"&amp;G177</f>
        <v>att_disease</v>
      </c>
      <c r="I177" s="8" t="s">
        <v>1132</v>
      </c>
      <c r="J177" s="8" t="str">
        <f aca="false">H177&amp;":"&amp;I177</f>
        <v>att_disease:leukemia</v>
      </c>
      <c r="K177" s="16" t="s">
        <v>21</v>
      </c>
      <c r="L177" s="8" t="s">
        <v>1133</v>
      </c>
      <c r="M177" s="8" t="s">
        <v>17</v>
      </c>
      <c r="N177" s="8" t="str">
        <f aca="false">"INSERT INTO attributes (parent_id, tag, name, priority, allow_as_filter, allow_for_dataset, allow_for_measurement, allow_for_users, allow_for_qc) VALUES (NULL, '"&amp;H177&amp;"',  '"&amp;F177&amp;"',  500,  TRUE, TRUE, TRUE, FALSE, FALSE);"</f>
        <v>INSERT INTO attributes (parent_id, tag, name, priority, allow_as_filter, allow_for_dataset, allow_for_measurement, allow_for_users, allow_for_qc) VALUES (NULL, 'att_disease',  'Disease',  500,  TRUE, TRUE, TRUE, FALSE, FALSE);</v>
      </c>
      <c r="O177" s="8" t="str">
        <f aca="false">"INSERT INTO attribute_values (attribute_id, tag, name, details) VALUES ((SELECT id FROM attributes WHERE tag = '"&amp;H177&amp;"' LIMIT 1),  '"&amp;J177&amp;"',  '"&amp;D177&amp;"',  '"&amp;L177&amp;"'); "</f>
        <v>INSERT INTO attribute_values (attribute_id, tag, name, details) VALUES ((SELECT id FROM attributes WHERE tag = 'att_disease' LIMIT 1),  'att_disease:leukemia',  'Leukemia',  'Cancer of the body's blood-forming tissues');</v>
      </c>
    </row>
    <row r="178" customFormat="false" ht="12.75" hidden="false" customHeight="false" outlineLevel="0" collapsed="false">
      <c r="A178" s="17" t="n">
        <f aca="false">FALSE()</f>
        <v>0</v>
      </c>
      <c r="B178" s="17"/>
      <c r="C178" s="8" t="s">
        <v>1134</v>
      </c>
      <c r="D178" s="8" t="s">
        <v>1135</v>
      </c>
      <c r="E178" s="8" t="s">
        <v>17</v>
      </c>
      <c r="F178" s="8" t="s">
        <v>110</v>
      </c>
      <c r="G178" s="8" t="s">
        <v>2592</v>
      </c>
      <c r="H178" s="8" t="str">
        <f aca="false">"att_"&amp;G178</f>
        <v>att_disease</v>
      </c>
      <c r="I178" s="8" t="s">
        <v>1134</v>
      </c>
      <c r="J178" s="8" t="str">
        <f aca="false">H178&amp;":"&amp;I178</f>
        <v>att_disease:lymphoma</v>
      </c>
      <c r="K178" s="16" t="s">
        <v>21</v>
      </c>
      <c r="L178" s="8" t="s">
        <v>1136</v>
      </c>
      <c r="M178" s="8" t="s">
        <v>17</v>
      </c>
      <c r="N178" s="8" t="str">
        <f aca="false">"INSERT INTO attributes (parent_id, tag, name, priority, allow_as_filter, allow_for_dataset, allow_for_measurement, allow_for_users, allow_for_qc) VALUES (NULL, '"&amp;H178&amp;"',  '"&amp;F178&amp;"',  500,  TRUE, TRUE, TRUE, FALSE, FALSE);"</f>
        <v>INSERT INTO attributes (parent_id, tag, name, priority, allow_as_filter, allow_for_dataset, allow_for_measurement, allow_for_users, allow_for_qc) VALUES (NULL, 'att_disease',  'Disease',  500,  TRUE, TRUE, TRUE, FALSE, FALSE);</v>
      </c>
      <c r="O178" s="8" t="str">
        <f aca="false">"INSERT INTO attribute_values (attribute_id, tag, name, details) VALUES ((SELECT id FROM attributes WHERE tag = '"&amp;H178&amp;"' LIMIT 1),  '"&amp;J178&amp;"',  '"&amp;D178&amp;"',  '"&amp;L178&amp;"'); "</f>
        <v>INSERT INTO attribute_values (attribute_id, tag, name, details) VALUES ((SELECT id FROM attributes WHERE tag = 'att_disease' LIMIT 1),  'att_disease:lymphoma',  'Lymphoma',  'Cancer that begins in cells of the lymph system');</v>
      </c>
    </row>
    <row r="179" customFormat="false" ht="12.75" hidden="false" customHeight="false" outlineLevel="0" collapsed="false">
      <c r="A179" s="17" t="n">
        <f aca="false">FALSE()</f>
        <v>0</v>
      </c>
      <c r="B179" s="17"/>
      <c r="C179" s="8" t="s">
        <v>1137</v>
      </c>
      <c r="D179" s="8" t="s">
        <v>1138</v>
      </c>
      <c r="E179" s="8" t="s">
        <v>17</v>
      </c>
      <c r="F179" s="8" t="s">
        <v>110</v>
      </c>
      <c r="G179" s="8" t="s">
        <v>2592</v>
      </c>
      <c r="H179" s="8" t="str">
        <f aca="false">"att_"&amp;G179</f>
        <v>att_disease</v>
      </c>
      <c r="I179" s="8" t="s">
        <v>1137</v>
      </c>
      <c r="J179" s="8" t="str">
        <f aca="false">H179&amp;":"&amp;I179</f>
        <v>att_disease:malaria</v>
      </c>
      <c r="K179" s="16" t="s">
        <v>21</v>
      </c>
      <c r="L179" s="8" t="s">
        <v>1139</v>
      </c>
      <c r="M179" s="8" t="s">
        <v>17</v>
      </c>
      <c r="N179" s="8" t="str">
        <f aca="false">"INSERT INTO attributes (parent_id, tag, name, priority, allow_as_filter, allow_for_dataset, allow_for_measurement, allow_for_users, allow_for_qc) VALUES (NULL, '"&amp;H179&amp;"',  '"&amp;F179&amp;"',  500,  TRUE, TRUE, TRUE, FALSE, FALSE);"</f>
        <v>INSERT INTO attributes (parent_id, tag, name, priority, allow_as_filter, allow_for_dataset, allow_for_measurement, allow_for_users, allow_for_qc) VALUES (NULL, 'att_disease',  'Disease',  500,  TRUE, TRUE, TRUE, FALSE, FALSE);</v>
      </c>
      <c r="O179" s="8" t="str">
        <f aca="false">"INSERT INTO attribute_values (attribute_id, tag, name, details) VALUES ((SELECT id FROM attributes WHERE tag = '"&amp;H179&amp;"' LIMIT 1),  '"&amp;J179&amp;"',  '"&amp;D179&amp;"',  '"&amp;L179&amp;"'); "</f>
        <v>INSERT INTO attribute_values (attribute_id, tag, name, details) VALUES ((SELECT id FROM attributes WHERE tag = 'att_disease' LIMIT 1),  'att_disease:malaria',  'Malaria',  'Fatal disease caused by a parasite');</v>
      </c>
    </row>
    <row r="180" customFormat="false" ht="12.75" hidden="false" customHeight="false" outlineLevel="0" collapsed="false">
      <c r="A180" s="17" t="n">
        <f aca="false">FALSE()</f>
        <v>0</v>
      </c>
      <c r="B180" s="17"/>
      <c r="C180" s="8" t="s">
        <v>25</v>
      </c>
      <c r="D180" s="8" t="s">
        <v>1140</v>
      </c>
      <c r="E180" s="8" t="s">
        <v>17</v>
      </c>
      <c r="F180" s="8" t="s">
        <v>110</v>
      </c>
      <c r="G180" s="8" t="s">
        <v>2592</v>
      </c>
      <c r="H180" s="8" t="str">
        <f aca="false">"att_"&amp;G180</f>
        <v>att_disease</v>
      </c>
      <c r="I180" s="8" t="s">
        <v>25</v>
      </c>
      <c r="J180" s="8" t="str">
        <f aca="false">H180&amp;":"&amp;I180</f>
        <v>att_disease:ms</v>
      </c>
      <c r="K180" s="16" t="s">
        <v>21</v>
      </c>
      <c r="L180" s="8" t="s">
        <v>1141</v>
      </c>
      <c r="M180" s="8" t="s">
        <v>17</v>
      </c>
      <c r="N180" s="8" t="str">
        <f aca="false">"INSERT INTO attributes (parent_id, tag, name, priority, allow_as_filter, allow_for_dataset, allow_for_measurement, allow_for_users, allow_for_qc) VALUES (NULL, '"&amp;H180&amp;"',  '"&amp;F180&amp;"',  500,  TRUE, TRUE, TRUE, FALSE, FALSE);"</f>
        <v>INSERT INTO attributes (parent_id, tag, name, priority, allow_as_filter, allow_for_dataset, allow_for_measurement, allow_for_users, allow_for_qc) VALUES (NULL, 'att_disease',  'Disease',  500,  TRUE, TRUE, TRUE, FALSE, FALSE);</v>
      </c>
      <c r="O180" s="8" t="str">
        <f aca="false">"INSERT INTO attribute_values (attribute_id, tag, name, details) VALUES ((SELECT id FROM attributes WHERE tag = '"&amp;H180&amp;"' LIMIT 1),  '"&amp;J180&amp;"',  '"&amp;D180&amp;"',  '"&amp;L180&amp;"'); "</f>
        <v>INSERT INTO attribute_values (attribute_id, tag, name, details) VALUES ((SELECT id FROM attributes WHERE tag = 'att_disease' LIMIT 1),  'att_disease:ms',  'MS',  'Multiple sclerosis');</v>
      </c>
    </row>
    <row r="181" customFormat="false" ht="12.75" hidden="false" customHeight="false" outlineLevel="0" collapsed="false">
      <c r="A181" s="17" t="n">
        <f aca="false">FALSE()</f>
        <v>0</v>
      </c>
      <c r="B181" s="17"/>
      <c r="C181" s="8" t="s">
        <v>1142</v>
      </c>
      <c r="D181" s="8" t="s">
        <v>1143</v>
      </c>
      <c r="E181" s="8" t="s">
        <v>17</v>
      </c>
      <c r="F181" s="8" t="s">
        <v>110</v>
      </c>
      <c r="G181" s="8" t="s">
        <v>2592</v>
      </c>
      <c r="H181" s="8" t="str">
        <f aca="false">"att_"&amp;G181</f>
        <v>att_disease</v>
      </c>
      <c r="I181" s="8" t="s">
        <v>1142</v>
      </c>
      <c r="J181" s="8" t="str">
        <f aca="false">H181&amp;":"&amp;I181</f>
        <v>att_disease:msa</v>
      </c>
      <c r="K181" s="16" t="s">
        <v>21</v>
      </c>
      <c r="L181" s="8" t="s">
        <v>1144</v>
      </c>
      <c r="M181" s="8" t="s">
        <v>17</v>
      </c>
      <c r="N181" s="8" t="str">
        <f aca="false">"INSERT INTO attributes (parent_id, tag, name, priority, allow_as_filter, allow_for_dataset, allow_for_measurement, allow_for_users, allow_for_qc) VALUES (NULL, '"&amp;H181&amp;"',  '"&amp;F181&amp;"',  500,  TRUE, TRUE, TRUE, FALSE, FALSE);"</f>
        <v>INSERT INTO attributes (parent_id, tag, name, priority, allow_as_filter, allow_for_dataset, allow_for_measurement, allow_for_users, allow_for_qc) VALUES (NULL, 'att_disease',  'Disease',  500,  TRUE, TRUE, TRUE, FALSE, FALSE);</v>
      </c>
      <c r="O181" s="8" t="str">
        <f aca="false">"INSERT INTO attribute_values (attribute_id, tag, name, details) VALUES ((SELECT id FROM attributes WHERE tag = '"&amp;H181&amp;"' LIMIT 1),  '"&amp;J181&amp;"',  '"&amp;D181&amp;"',  '"&amp;L181&amp;"'); "</f>
        <v>INSERT INTO attribute_values (attribute_id, tag, name, details) VALUES ((SELECT id FROM attributes WHERE tag = 'att_disease' LIMIT 1),  'att_disease:msa',  'MSA',  'Multiple system atrophy');</v>
      </c>
    </row>
    <row r="182" customFormat="false" ht="12.75" hidden="false" customHeight="false" outlineLevel="0" collapsed="false">
      <c r="A182" s="17" t="n">
        <f aca="false">FALSE()</f>
        <v>0</v>
      </c>
      <c r="B182" s="17"/>
      <c r="C182" s="8" t="s">
        <v>1145</v>
      </c>
      <c r="D182" s="8" t="s">
        <v>1146</v>
      </c>
      <c r="E182" s="8" t="s">
        <v>17</v>
      </c>
      <c r="F182" s="8" t="s">
        <v>110</v>
      </c>
      <c r="G182" s="8" t="s">
        <v>2592</v>
      </c>
      <c r="H182" s="8" t="str">
        <f aca="false">"att_"&amp;G182</f>
        <v>att_disease</v>
      </c>
      <c r="I182" s="8" t="s">
        <v>1145</v>
      </c>
      <c r="J182" s="8" t="str">
        <f aca="false">H182&amp;":"&amp;I182</f>
        <v>att_disease:neurodegenerative</v>
      </c>
      <c r="K182" s="16" t="s">
        <v>21</v>
      </c>
      <c r="L182" s="8" t="s">
        <v>1147</v>
      </c>
      <c r="M182" s="8" t="s">
        <v>17</v>
      </c>
      <c r="N182" s="8" t="str">
        <f aca="false">"INSERT INTO attributes (parent_id, tag, name, priority, allow_as_filter, allow_for_dataset, allow_for_measurement, allow_for_users, allow_for_qc) VALUES (NULL, '"&amp;H182&amp;"',  '"&amp;F182&amp;"',  500,  TRUE, TRUE, TRUE, FALSE, FALSE);"</f>
        <v>INSERT INTO attributes (parent_id, tag, name, priority, allow_as_filter, allow_for_dataset, allow_for_measurement, allow_for_users, allow_for_qc) VALUES (NULL, 'att_disease',  'Disease',  500,  TRUE, TRUE, TRUE, FALSE, FALSE);</v>
      </c>
      <c r="O182" s="8" t="str">
        <f aca="false">"INSERT INTO attribute_values (attribute_id, tag, name, details) VALUES ((SELECT id FROM attributes WHERE tag = '"&amp;H182&amp;"' LIMIT 1),  '"&amp;J182&amp;"',  '"&amp;D182&amp;"',  '"&amp;L182&amp;"'); "</f>
        <v>INSERT INTO attribute_values (attribute_id, tag, name, details) VALUES ((SELECT id FROM attributes WHERE tag = 'att_disease' LIMIT 1),  'att_disease:neurodegenerative',  'Neurodegenerative',  'Neurodegenerative disease');</v>
      </c>
    </row>
    <row r="183" customFormat="false" ht="12.75" hidden="false" customHeight="false" outlineLevel="0" collapsed="false">
      <c r="A183" s="17" t="n">
        <f aca="false">FALSE()</f>
        <v>0</v>
      </c>
      <c r="B183" s="17"/>
      <c r="C183" s="8" t="s">
        <v>1148</v>
      </c>
      <c r="D183" s="8" t="s">
        <v>1149</v>
      </c>
      <c r="E183" s="8" t="s">
        <v>17</v>
      </c>
      <c r="F183" s="8" t="s">
        <v>110</v>
      </c>
      <c r="G183" s="8" t="s">
        <v>2592</v>
      </c>
      <c r="H183" s="8" t="str">
        <f aca="false">"att_"&amp;G183</f>
        <v>att_disease</v>
      </c>
      <c r="I183" s="8" t="s">
        <v>1148</v>
      </c>
      <c r="J183" s="8" t="str">
        <f aca="false">H183&amp;":"&amp;I183</f>
        <v>att_disease:parkinson</v>
      </c>
      <c r="K183" s="16" t="s">
        <v>21</v>
      </c>
      <c r="L183" s="8" t="s">
        <v>1150</v>
      </c>
      <c r="M183" s="8" t="s">
        <v>17</v>
      </c>
      <c r="N183" s="8" t="str">
        <f aca="false">"INSERT INTO attributes (parent_id, tag, name, priority, allow_as_filter, allow_for_dataset, allow_for_measurement, allow_for_users, allow_for_qc) VALUES (NULL, '"&amp;H183&amp;"',  '"&amp;F183&amp;"',  500,  TRUE, TRUE, TRUE, FALSE, FALSE);"</f>
        <v>INSERT INTO attributes (parent_id, tag, name, priority, allow_as_filter, allow_for_dataset, allow_for_measurement, allow_for_users, allow_for_qc) VALUES (NULL, 'att_disease',  'Disease',  500,  TRUE, TRUE, TRUE, FALSE, FALSE);</v>
      </c>
      <c r="O183" s="8" t="str">
        <f aca="false">"INSERT INTO attribute_values (attribute_id, tag, name, details) VALUES ((SELECT id FROM attributes WHERE tag = '"&amp;H183&amp;"' LIMIT 1),  '"&amp;J183&amp;"',  '"&amp;D183&amp;"',  '"&amp;L183&amp;"'); "</f>
        <v>INSERT INTO attribute_values (attribute_id, tag, name, details) VALUES ((SELECT id FROM attributes WHERE tag = 'att_disease' LIMIT 1),  'att_disease:parkinson',  'Parkinson',  'Parkinson's disease');</v>
      </c>
    </row>
    <row r="184" customFormat="false" ht="12.75" hidden="false" customHeight="false" outlineLevel="0" collapsed="false">
      <c r="A184" s="17" t="n">
        <f aca="false">FALSE()</f>
        <v>0</v>
      </c>
      <c r="B184" s="17"/>
      <c r="C184" s="8" t="s">
        <v>1151</v>
      </c>
      <c r="D184" s="8" t="s">
        <v>1152</v>
      </c>
      <c r="E184" s="8" t="s">
        <v>17</v>
      </c>
      <c r="F184" s="8" t="s">
        <v>110</v>
      </c>
      <c r="G184" s="8" t="s">
        <v>2592</v>
      </c>
      <c r="H184" s="8" t="str">
        <f aca="false">"att_"&amp;G184</f>
        <v>att_disease</v>
      </c>
      <c r="I184" s="8" t="s">
        <v>1151</v>
      </c>
      <c r="J184" s="8" t="str">
        <f aca="false">H184&amp;":"&amp;I184</f>
        <v>att_disease:prion</v>
      </c>
      <c r="K184" s="16" t="s">
        <v>21</v>
      </c>
      <c r="L184" s="8" t="s">
        <v>1153</v>
      </c>
      <c r="M184" s="8" t="s">
        <v>17</v>
      </c>
      <c r="N184" s="8" t="str">
        <f aca="false">"INSERT INTO attributes (parent_id, tag, name, priority, allow_as_filter, allow_for_dataset, allow_for_measurement, allow_for_users, allow_for_qc) VALUES (NULL, '"&amp;H184&amp;"',  '"&amp;F184&amp;"',  500,  TRUE, TRUE, TRUE, FALSE, FALSE);"</f>
        <v>INSERT INTO attributes (parent_id, tag, name, priority, allow_as_filter, allow_for_dataset, allow_for_measurement, allow_for_users, allow_for_qc) VALUES (NULL, 'att_disease',  'Disease',  500,  TRUE, TRUE, TRUE, FALSE, FALSE);</v>
      </c>
      <c r="O184" s="8" t="str">
        <f aca="false">"INSERT INTO attribute_values (attribute_id, tag, name, details) VALUES ((SELECT id FROM attributes WHERE tag = '"&amp;H184&amp;"' LIMIT 1),  '"&amp;J184&amp;"',  '"&amp;D184&amp;"',  '"&amp;L184&amp;"'); "</f>
        <v>INSERT INTO attribute_values (attribute_id, tag, name, details) VALUES ((SELECT id FROM attributes WHERE tag = 'att_disease' LIMIT 1),  'att_disease:prion',  'Prion',  'Prion disease');</v>
      </c>
    </row>
    <row r="185" customFormat="false" ht="12.75" hidden="false" customHeight="false" outlineLevel="0" collapsed="false">
      <c r="A185" s="17" t="n">
        <f aca="false">FALSE()</f>
        <v>0</v>
      </c>
      <c r="B185" s="17"/>
      <c r="C185" s="8" t="s">
        <v>1154</v>
      </c>
      <c r="D185" s="8" t="s">
        <v>1155</v>
      </c>
      <c r="E185" s="8" t="s">
        <v>17</v>
      </c>
      <c r="F185" s="8" t="s">
        <v>110</v>
      </c>
      <c r="G185" s="8" t="s">
        <v>2592</v>
      </c>
      <c r="H185" s="8" t="str">
        <f aca="false">"att_"&amp;G185</f>
        <v>att_disease</v>
      </c>
      <c r="I185" s="8" t="s">
        <v>1154</v>
      </c>
      <c r="J185" s="8" t="str">
        <f aca="false">H185&amp;":"&amp;I185</f>
        <v>att_disease:rheumatoid</v>
      </c>
      <c r="K185" s="16" t="s">
        <v>21</v>
      </c>
      <c r="L185" s="8" t="s">
        <v>1156</v>
      </c>
      <c r="M185" s="8" t="s">
        <v>17</v>
      </c>
      <c r="N185" s="8" t="str">
        <f aca="false">"INSERT INTO attributes (parent_id, tag, name, priority, allow_as_filter, allow_for_dataset, allow_for_measurement, allow_for_users, allow_for_qc) VALUES (NULL, '"&amp;H185&amp;"',  '"&amp;F185&amp;"',  500,  TRUE, TRUE, TRUE, FALSE, FALSE);"</f>
        <v>INSERT INTO attributes (parent_id, tag, name, priority, allow_as_filter, allow_for_dataset, allow_for_measurement, allow_for_users, allow_for_qc) VALUES (NULL, 'att_disease',  'Disease',  500,  TRUE, TRUE, TRUE, FALSE, FALSE);</v>
      </c>
      <c r="O185" s="8" t="str">
        <f aca="false">"INSERT INTO attribute_values (attribute_id, tag, name, details) VALUES ((SELECT id FROM attributes WHERE tag = '"&amp;H185&amp;"' LIMIT 1),  '"&amp;J185&amp;"',  '"&amp;D185&amp;"',  '"&amp;L185&amp;"'); "</f>
        <v>INSERT INTO attribute_values (attribute_id, tag, name, details) VALUES ((SELECT id FROM attributes WHERE tag = 'att_disease' LIMIT 1),  'att_disease:rheumatoid',  'Rheumatoid',  'Rheumatoid arthritis');</v>
      </c>
    </row>
    <row r="186" customFormat="false" ht="12.75" hidden="false" customHeight="false" outlineLevel="0" collapsed="false">
      <c r="A186" s="17" t="n">
        <f aca="false">FALSE()</f>
        <v>0</v>
      </c>
      <c r="B186" s="17"/>
      <c r="C186" s="8" t="s">
        <v>1157</v>
      </c>
      <c r="D186" s="8" t="s">
        <v>1158</v>
      </c>
      <c r="E186" s="8" t="s">
        <v>17</v>
      </c>
      <c r="F186" s="8" t="s">
        <v>110</v>
      </c>
      <c r="G186" s="8" t="s">
        <v>2592</v>
      </c>
      <c r="H186" s="8" t="str">
        <f aca="false">"att_"&amp;G186</f>
        <v>att_disease</v>
      </c>
      <c r="I186" s="8" t="s">
        <v>1157</v>
      </c>
      <c r="J186" s="8" t="str">
        <f aca="false">H186&amp;":"&amp;I186</f>
        <v>att_disease:stress</v>
      </c>
      <c r="K186" s="16" t="s">
        <v>21</v>
      </c>
      <c r="L186" s="8" t="s">
        <v>1159</v>
      </c>
      <c r="M186" s="8" t="s">
        <v>17</v>
      </c>
      <c r="N186" s="8" t="str">
        <f aca="false">"INSERT INTO attributes (parent_id, tag, name, priority, allow_as_filter, allow_for_dataset, allow_for_measurement, allow_for_users, allow_for_qc) VALUES (NULL, '"&amp;H186&amp;"',  '"&amp;F186&amp;"',  500,  TRUE, TRUE, TRUE, FALSE, FALSE);"</f>
        <v>INSERT INTO attributes (parent_id, tag, name, priority, allow_as_filter, allow_for_dataset, allow_for_measurement, allow_for_users, allow_for_qc) VALUES (NULL, 'att_disease',  'Disease',  500,  TRUE, TRUE, TRUE, FALSE, FALSE);</v>
      </c>
      <c r="O186" s="8" t="str">
        <f aca="false">"INSERT INTO attribute_values (attribute_id, tag, name, details) VALUES ((SELECT id FROM attributes WHERE tag = '"&amp;H186&amp;"' LIMIT 1),  '"&amp;J186&amp;"',  '"&amp;D186&amp;"',  '"&amp;L186&amp;"'); "</f>
        <v>INSERT INTO attribute_values (attribute_id, tag, name, details) VALUES ((SELECT id FROM attributes WHERE tag = 'att_disease' LIMIT 1),  'att_disease:stress',  'Stress',  'How one reacts when feeling under pressure or threatened');</v>
      </c>
    </row>
    <row r="187" customFormat="false" ht="12.75" hidden="false" customHeight="false" outlineLevel="0" collapsed="false">
      <c r="A187" s="17" t="n">
        <f aca="false">FALSE()</f>
        <v>0</v>
      </c>
      <c r="B187" s="17"/>
      <c r="C187" s="8" t="s">
        <v>1160</v>
      </c>
      <c r="D187" s="8" t="s">
        <v>1161</v>
      </c>
      <c r="E187" s="8" t="s">
        <v>17</v>
      </c>
      <c r="F187" s="8" t="s">
        <v>110</v>
      </c>
      <c r="G187" s="8" t="s">
        <v>2592</v>
      </c>
      <c r="H187" s="8" t="str">
        <f aca="false">"att_"&amp;G187</f>
        <v>att_disease</v>
      </c>
      <c r="I187" s="8" t="s">
        <v>1160</v>
      </c>
      <c r="J187" s="8" t="str">
        <f aca="false">H187&amp;":"&amp;I187</f>
        <v>att_disease:stroke</v>
      </c>
      <c r="K187" s="16" t="s">
        <v>21</v>
      </c>
      <c r="L187" s="8" t="s">
        <v>1162</v>
      </c>
      <c r="M187" s="8" t="s">
        <v>17</v>
      </c>
      <c r="N187" s="8" t="str">
        <f aca="false">"INSERT INTO attributes (parent_id, tag, name, priority, allow_as_filter, allow_for_dataset, allow_for_measurement, allow_for_users, allow_for_qc) VALUES (NULL, '"&amp;H187&amp;"',  '"&amp;F187&amp;"',  500,  TRUE, TRUE, TRUE, FALSE, FALSE);"</f>
        <v>INSERT INTO attributes (parent_id, tag, name, priority, allow_as_filter, allow_for_dataset, allow_for_measurement, allow_for_users, allow_for_qc) VALUES (NULL, 'att_disease',  'Disease',  500,  TRUE, TRUE, TRUE, FALSE, FALSE);</v>
      </c>
      <c r="O187" s="8" t="str">
        <f aca="false">"INSERT INTO attribute_values (attribute_id, tag, name, details) VALUES ((SELECT id FROM attributes WHERE tag = '"&amp;H187&amp;"' LIMIT 1),  '"&amp;J187&amp;"',  '"&amp;D187&amp;"',  '"&amp;L187&amp;"'); "</f>
        <v>INSERT INTO attribute_values (attribute_id, tag, name, details) VALUES ((SELECT id FROM attributes WHERE tag = 'att_disease' LIMIT 1),  'att_disease:stroke',  'Stroke',  'Disease that affects the arteries leading to and within the brain');</v>
      </c>
    </row>
    <row r="188" customFormat="false" ht="12.75" hidden="false" customHeight="false" outlineLevel="0" collapsed="false">
      <c r="A188" s="17" t="n">
        <f aca="false">FALSE()</f>
        <v>0</v>
      </c>
      <c r="B188" s="17"/>
      <c r="C188" s="8" t="s">
        <v>1163</v>
      </c>
      <c r="D188" s="8" t="s">
        <v>1164</v>
      </c>
      <c r="E188" s="8" t="s">
        <v>17</v>
      </c>
      <c r="F188" s="8" t="s">
        <v>110</v>
      </c>
      <c r="G188" s="8" t="s">
        <v>2592</v>
      </c>
      <c r="H188" s="8" t="str">
        <f aca="false">"att_"&amp;G188</f>
        <v>att_disease</v>
      </c>
      <c r="I188" s="8" t="s">
        <v>1163</v>
      </c>
      <c r="J188" s="8" t="str">
        <f aca="false">H188&amp;":"&amp;I188</f>
        <v>att_disease:tuberculosis</v>
      </c>
      <c r="K188" s="16" t="s">
        <v>21</v>
      </c>
      <c r="L188" s="8" t="s">
        <v>1165</v>
      </c>
      <c r="M188" s="8" t="s">
        <v>17</v>
      </c>
      <c r="N188" s="8" t="str">
        <f aca="false">"INSERT INTO attributes (parent_id, tag, name, priority, allow_as_filter, allow_for_dataset, allow_for_measurement, allow_for_users, allow_for_qc) VALUES (NULL, '"&amp;H188&amp;"',  '"&amp;F188&amp;"',  500,  TRUE, TRUE, TRUE, FALSE, FALSE);"</f>
        <v>INSERT INTO attributes (parent_id, tag, name, priority, allow_as_filter, allow_for_dataset, allow_for_measurement, allow_for_users, allow_for_qc) VALUES (NULL, 'att_disease',  'Disease',  500,  TRUE, TRUE, TRUE, FALSE, FALSE);</v>
      </c>
      <c r="O188" s="8" t="str">
        <f aca="false">"INSERT INTO attribute_values (attribute_id, tag, name, details) VALUES ((SELECT id FROM attributes WHERE tag = '"&amp;H188&amp;"' LIMIT 1),  '"&amp;J188&amp;"',  '"&amp;D188&amp;"',  '"&amp;L188&amp;"'); "</f>
        <v>INSERT INTO attribute_values (attribute_id, tag, name, details) VALUES ((SELECT id FROM attributes WHERE tag = 'att_disease' LIMIT 1),  'att_disease:tuberculosis',  'Tuberculosis',  'Caused by a bacterium called Mycobacterium tuberculosis');</v>
      </c>
    </row>
    <row r="189" customFormat="false" ht="12.75" hidden="false" customHeight="false" outlineLevel="0" collapsed="false">
      <c r="A189" s="16" t="s">
        <v>21</v>
      </c>
      <c r="B189" s="16"/>
      <c r="C189" s="8" t="s">
        <v>1172</v>
      </c>
      <c r="D189" s="8" t="s">
        <v>1173</v>
      </c>
      <c r="E189" s="8" t="s">
        <v>17</v>
      </c>
      <c r="F189" s="8" t="s">
        <v>114</v>
      </c>
      <c r="G189" s="8" t="s">
        <v>2593</v>
      </c>
      <c r="H189" s="8" t="str">
        <f aca="false">"att_"&amp;G189</f>
        <v>att_experiment</v>
      </c>
      <c r="I189" s="8" t="s">
        <v>1172</v>
      </c>
      <c r="J189" s="8" t="str">
        <f aca="false">H189&amp;":"&amp;I189</f>
        <v>att_experiment:acetylome</v>
      </c>
      <c r="K189" s="16" t="s">
        <v>21</v>
      </c>
      <c r="L189" s="8" t="s">
        <v>1173</v>
      </c>
      <c r="M189" s="8" t="s">
        <v>17</v>
      </c>
      <c r="N189" s="8" t="str">
        <f aca="false">"INSERT INTO attributes (parent_id, tag, name, priority, allow_as_filter, allow_for_dataset, allow_for_measurement, allow_for_users, allow_for_qc) VALUES (NULL, '"&amp;H189&amp;"',  '"&amp;F189&amp;"',  500,  TRUE, TRUE, TRUE, FALSE, FALSE);"</f>
        <v>INSERT INTO attributes (parent_id, tag, name, priority, allow_as_filter, allow_for_dataset, allow_for_measurement, allow_for_users, allow_for_qc) VALUES (NULL, 'att_experiment',  'Experiment Type',  500,  TRUE, TRUE, TRUE, FALSE, FALSE);</v>
      </c>
      <c r="O189" s="8" t="str">
        <f aca="false">"INSERT INTO attribute_values (attribute_id, tag, name, details) VALUES ((SELECT id FROM attributes WHERE tag = '"&amp;H189&amp;"' LIMIT 1),  '"&amp;J189&amp;"',  '"&amp;D189&amp;"',  '"&amp;L189&amp;"'); "</f>
        <v>INSERT INTO attribute_values (attribute_id, tag, name, details) VALUES ((SELECT id FROM attributes WHERE tag = 'att_experiment' LIMIT 1),  'att_experiment:acetylome',  'Acetylome',  'Acetylome');</v>
      </c>
    </row>
    <row r="190" customFormat="false" ht="12.75" hidden="false" customHeight="false" outlineLevel="0" collapsed="false">
      <c r="A190" s="16" t="s">
        <v>21</v>
      </c>
      <c r="B190" s="16"/>
      <c r="C190" s="8" t="s">
        <v>1174</v>
      </c>
      <c r="D190" s="8" t="s">
        <v>1175</v>
      </c>
      <c r="E190" s="8" t="s">
        <v>17</v>
      </c>
      <c r="F190" s="8" t="s">
        <v>114</v>
      </c>
      <c r="G190" s="8" t="s">
        <v>2593</v>
      </c>
      <c r="H190" s="8" t="str">
        <f aca="false">"att_"&amp;G190</f>
        <v>att_experiment</v>
      </c>
      <c r="I190" s="8" t="s">
        <v>1174</v>
      </c>
      <c r="J190" s="8" t="str">
        <f aca="false">H190&amp;":"&amp;I190</f>
        <v>att_experiment:dvp</v>
      </c>
      <c r="K190" s="16" t="s">
        <v>21</v>
      </c>
      <c r="L190" s="8" t="s">
        <v>1176</v>
      </c>
      <c r="M190" s="8" t="s">
        <v>17</v>
      </c>
      <c r="N190" s="8" t="str">
        <f aca="false">"INSERT INTO attributes (parent_id, tag, name, priority, allow_as_filter, allow_for_dataset, allow_for_measurement, allow_for_users, allow_for_qc) VALUES (NULL, '"&amp;H190&amp;"',  '"&amp;F190&amp;"',  500,  TRUE, TRUE, TRUE, FALSE, FALSE);"</f>
        <v>INSERT INTO attributes (parent_id, tag, name, priority, allow_as_filter, allow_for_dataset, allow_for_measurement, allow_for_users, allow_for_qc) VALUES (NULL, 'att_experiment',  'Experiment Type',  500,  TRUE, TRUE, TRUE, FALSE, FALSE);</v>
      </c>
      <c r="O190" s="8" t="str">
        <f aca="false">"INSERT INTO attribute_values (attribute_id, tag, name, details) VALUES ((SELECT id FROM attributes WHERE tag = '"&amp;H190&amp;"' LIMIT 1),  '"&amp;J190&amp;"',  '"&amp;D190&amp;"',  '"&amp;L190&amp;"'); "</f>
        <v>INSERT INTO attribute_values (attribute_id, tag, name, details) VALUES ((SELECT id FROM attributes WHERE tag = 'att_experiment' LIMIT 1),  'att_experiment:dvp',  'DVP',  'Fractionated Samples (DVP)');</v>
      </c>
    </row>
    <row r="191" customFormat="false" ht="12.75" hidden="false" customHeight="false" outlineLevel="0" collapsed="false">
      <c r="A191" s="16" t="s">
        <v>21</v>
      </c>
      <c r="B191" s="16"/>
      <c r="C191" s="8" t="s">
        <v>1177</v>
      </c>
      <c r="D191" s="8" t="s">
        <v>1179</v>
      </c>
      <c r="E191" s="8" t="s">
        <v>17</v>
      </c>
      <c r="F191" s="8" t="s">
        <v>114</v>
      </c>
      <c r="G191" s="8" t="s">
        <v>2593</v>
      </c>
      <c r="H191" s="8" t="str">
        <f aca="false">"att_"&amp;G191</f>
        <v>att_experiment</v>
      </c>
      <c r="I191" s="8" t="s">
        <v>1177</v>
      </c>
      <c r="J191" s="8" t="str">
        <f aca="false">H191&amp;":"&amp;I191</f>
        <v>att_experiment:expression_proteome</v>
      </c>
      <c r="K191" s="16" t="s">
        <v>21</v>
      </c>
      <c r="L191" s="8" t="s">
        <v>1179</v>
      </c>
      <c r="M191" s="8" t="s">
        <v>17</v>
      </c>
      <c r="N191" s="8" t="str">
        <f aca="false">"INSERT INTO attributes (parent_id, tag, name, priority, allow_as_filter, allow_for_dataset, allow_for_measurement, allow_for_users, allow_for_qc) VALUES (NULL, '"&amp;H191&amp;"',  '"&amp;F191&amp;"',  500,  TRUE, TRUE, TRUE, FALSE, FALSE);"</f>
        <v>INSERT INTO attributes (parent_id, tag, name, priority, allow_as_filter, allow_for_dataset, allow_for_measurement, allow_for_users, allow_for_qc) VALUES (NULL, 'att_experiment',  'Experiment Type',  500,  TRUE, TRUE, TRUE, FALSE, FALSE);</v>
      </c>
      <c r="O191" s="8" t="str">
        <f aca="false">"INSERT INTO attribute_values (attribute_id, tag, name, details) VALUES ((SELECT id FROM attributes WHERE tag = '"&amp;H191&amp;"' LIMIT 1),  '"&amp;J191&amp;"',  '"&amp;D191&amp;"',  '"&amp;L191&amp;"'); "</f>
        <v>INSERT INTO attribute_values (attribute_id, tag, name, details) VALUES ((SELECT id FROM attributes WHERE tag = 'att_experiment' LIMIT 1),  'att_experiment:expression_proteome',  'Expression Proteome',  'Expression Proteome');</v>
      </c>
    </row>
    <row r="192" customFormat="false" ht="12.75" hidden="false" customHeight="false" outlineLevel="0" collapsed="false">
      <c r="A192" s="16" t="s">
        <v>21</v>
      </c>
      <c r="B192" s="16"/>
      <c r="C192" s="8" t="s">
        <v>1180</v>
      </c>
      <c r="D192" s="8" t="s">
        <v>1181</v>
      </c>
      <c r="E192" s="8" t="s">
        <v>17</v>
      </c>
      <c r="F192" s="8" t="s">
        <v>114</v>
      </c>
      <c r="G192" s="8" t="s">
        <v>2593</v>
      </c>
      <c r="H192" s="8" t="str">
        <f aca="false">"att_"&amp;G192</f>
        <v>att_experiment</v>
      </c>
      <c r="I192" s="8" t="s">
        <v>1180</v>
      </c>
      <c r="J192" s="8" t="str">
        <f aca="false">H192&amp;":"&amp;I192</f>
        <v>att_experiment:interaction</v>
      </c>
      <c r="K192" s="16" t="s">
        <v>21</v>
      </c>
      <c r="L192" s="8" t="s">
        <v>1181</v>
      </c>
      <c r="M192" s="8" t="s">
        <v>17</v>
      </c>
      <c r="N192" s="8" t="str">
        <f aca="false">"INSERT INTO attributes (parent_id, tag, name, priority, allow_as_filter, allow_for_dataset, allow_for_measurement, allow_for_users, allow_for_qc) VALUES (NULL, '"&amp;H192&amp;"',  '"&amp;F192&amp;"',  500,  TRUE, TRUE, TRUE, FALSE, FALSE);"</f>
        <v>INSERT INTO attributes (parent_id, tag, name, priority, allow_as_filter, allow_for_dataset, allow_for_measurement, allow_for_users, allow_for_qc) VALUES (NULL, 'att_experiment',  'Experiment Type',  500,  TRUE, TRUE, TRUE, FALSE, FALSE);</v>
      </c>
      <c r="O192" s="8" t="str">
        <f aca="false">"INSERT INTO attribute_values (attribute_id, tag, name, details) VALUES ((SELECT id FROM attributes WHERE tag = '"&amp;H192&amp;"' LIMIT 1),  '"&amp;J192&amp;"',  '"&amp;D192&amp;"',  '"&amp;L192&amp;"'); "</f>
        <v>INSERT INTO attribute_values (attribute_id, tag, name, details) VALUES ((SELECT id FROM attributes WHERE tag = 'att_experiment' LIMIT 1),  'att_experiment:interaction',  'Interaction Proteome',  'Interaction Proteome');</v>
      </c>
    </row>
    <row r="193" customFormat="false" ht="12.75" hidden="false" customHeight="false" outlineLevel="0" collapsed="false">
      <c r="A193" s="16" t="s">
        <v>21</v>
      </c>
      <c r="B193" s="16"/>
      <c r="C193" s="8" t="s">
        <v>1182</v>
      </c>
      <c r="D193" s="8" t="s">
        <v>1183</v>
      </c>
      <c r="E193" s="8" t="s">
        <v>17</v>
      </c>
      <c r="F193" s="8" t="s">
        <v>114</v>
      </c>
      <c r="G193" s="8" t="s">
        <v>2593</v>
      </c>
      <c r="H193" s="8" t="str">
        <f aca="false">"att_"&amp;G193</f>
        <v>att_experiment</v>
      </c>
      <c r="I193" s="8" t="s">
        <v>1182</v>
      </c>
      <c r="J193" s="8" t="str">
        <f aca="false">H193&amp;":"&amp;I193</f>
        <v>att_experiment:metrs</v>
      </c>
      <c r="K193" s="16" t="s">
        <v>21</v>
      </c>
      <c r="L193" s="8" t="s">
        <v>1183</v>
      </c>
      <c r="M193" s="8" t="s">
        <v>17</v>
      </c>
      <c r="N193" s="8" t="str">
        <f aca="false">"INSERT INTO attributes (parent_id, tag, name, priority, allow_as_filter, allow_for_dataset, allow_for_measurement, allow_for_users, allow_for_qc) VALUES (NULL, '"&amp;H193&amp;"',  '"&amp;F193&amp;"',  500,  TRUE, TRUE, TRUE, FALSE, FALSE);"</f>
        <v>INSERT INTO attributes (parent_id, tag, name, priority, allow_as_filter, allow_for_dataset, allow_for_measurement, allow_for_users, allow_for_qc) VALUES (NULL, 'att_experiment',  'Experiment Type',  500,  TRUE, TRUE, TRUE, FALSE, FALSE);</v>
      </c>
      <c r="O193" s="8" t="str">
        <f aca="false">"INSERT INTO attribute_values (attribute_id, tag, name, details) VALUES ((SELECT id FROM attributes WHERE tag = '"&amp;H193&amp;"' LIMIT 1),  '"&amp;J193&amp;"',  '"&amp;D193&amp;"',  '"&amp;L193&amp;"'); "</f>
        <v>INSERT INTO attribute_values (attribute_id, tag, name, details) VALUES ((SELECT id FROM attributes WHERE tag = 'att_experiment' LIMIT 1),  'att_experiment:metrs',  'MetRS',  'MetRS');</v>
      </c>
    </row>
    <row r="194" customFormat="false" ht="12.75" hidden="false" customHeight="false" outlineLevel="0" collapsed="false">
      <c r="A194" s="16" t="s">
        <v>21</v>
      </c>
      <c r="B194" s="16"/>
      <c r="C194" s="8" t="s">
        <v>2594</v>
      </c>
      <c r="D194" s="8" t="s">
        <v>1186</v>
      </c>
      <c r="E194" s="8" t="s">
        <v>17</v>
      </c>
      <c r="F194" s="8" t="s">
        <v>114</v>
      </c>
      <c r="G194" s="8" t="s">
        <v>2593</v>
      </c>
      <c r="H194" s="8" t="str">
        <f aca="false">"att_"&amp;G194</f>
        <v>att_experiment</v>
      </c>
      <c r="I194" s="8" t="s">
        <v>1184</v>
      </c>
      <c r="J194" s="8" t="str">
        <f aca="false">H194&amp;":"&amp;I194</f>
        <v>att_experiment:neo_nterm_enrichment</v>
      </c>
      <c r="K194" s="16" t="s">
        <v>21</v>
      </c>
      <c r="L194" s="8" t="s">
        <v>1186</v>
      </c>
      <c r="M194" s="8" t="s">
        <v>17</v>
      </c>
      <c r="N194" s="8" t="str">
        <f aca="false">"INSERT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8" t="str">
        <f aca="false">"INSERT INTO attribute_values (attribute_id, tag, name, details) VALUES ((SELECT id FROM attributes WHERE tag = '"&amp;H194&amp;"' LIMIT 1),  '"&amp;J194&amp;"',  '"&amp;D194&amp;"',  '"&amp;L194&amp;"'); "</f>
        <v>INSERT INTO attribute_values (attribute_id, tag, name, details) VALUES ((SELECT id FROM attributes WHERE tag = 'att_experiment' LIMIT 1),  'att_experiment:neo_nterm_enrichment',  'Neo N-term enrichment',  'Neo N-term enrichment');</v>
      </c>
    </row>
    <row r="195" customFormat="false" ht="12.75" hidden="false" customHeight="false" outlineLevel="0" collapsed="false">
      <c r="A195" s="16" t="s">
        <v>21</v>
      </c>
      <c r="B195" s="16"/>
      <c r="C195" s="8" t="s">
        <v>2595</v>
      </c>
      <c r="D195" s="8" t="s">
        <v>2596</v>
      </c>
      <c r="E195" s="8" t="s">
        <v>17</v>
      </c>
      <c r="F195" s="8" t="s">
        <v>114</v>
      </c>
      <c r="G195" s="8" t="s">
        <v>2593</v>
      </c>
      <c r="H195" s="8" t="str">
        <f aca="false">"att_"&amp;G195</f>
        <v>att_experiment</v>
      </c>
      <c r="I195" s="8" t="s">
        <v>2595</v>
      </c>
      <c r="J195" s="8" t="str">
        <f aca="false">H195&amp;":"&amp;I195</f>
        <v>att_experiment:other_ptm</v>
      </c>
      <c r="K195" s="16" t="s">
        <v>21</v>
      </c>
      <c r="L195" s="8" t="s">
        <v>2596</v>
      </c>
      <c r="M195" s="8" t="s">
        <v>17</v>
      </c>
      <c r="N195" s="8" t="str">
        <f aca="false">"INSERT INTO attributes (parent_id, tag, name, priority, allow_as_filter, allow_for_dataset, allow_for_measurement, allow_for_users, allow_for_qc) VALUES (NULL, '"&amp;H195&amp;"',  '"&amp;F195&amp;"',  500,  TRUE, TRUE, TRUE, FALSE, FALSE);"</f>
        <v>INSERT INTO attributes (parent_id, tag, name, priority, allow_as_filter, allow_for_dataset, allow_for_measurement, allow_for_users, allow_for_qc) VALUES (NULL, 'att_experiment',  'Experiment Type',  500,  TRUE, TRUE, TRUE, FALSE, FALSE);</v>
      </c>
      <c r="O195" s="8" t="str">
        <f aca="false">"INSERT INTO attribute_values (attribute_id, tag, name, details) VALUES ((SELECT id FROM attributes WHERE tag = '"&amp;H195&amp;"' LIMIT 1),  '"&amp;J195&amp;"',  '"&amp;D195&amp;"',  '"&amp;L195&amp;"'); "</f>
        <v>INSERT INTO attribute_values (attribute_id, tag, name, details) VALUES ((SELECT id FROM attributes WHERE tag = 'att_experiment' LIMIT 1),  'att_experiment:other_ptm',  'other PTMs',  'other PTMs');</v>
      </c>
    </row>
    <row r="196" customFormat="false" ht="12.75" hidden="false" customHeight="false" outlineLevel="0" collapsed="false">
      <c r="A196" s="16" t="s">
        <v>21</v>
      </c>
      <c r="B196" s="16"/>
      <c r="C196" s="8" t="s">
        <v>1187</v>
      </c>
      <c r="D196" s="8" t="s">
        <v>1188</v>
      </c>
      <c r="E196" s="8" t="s">
        <v>17</v>
      </c>
      <c r="F196" s="8" t="s">
        <v>114</v>
      </c>
      <c r="G196" s="8" t="s">
        <v>2593</v>
      </c>
      <c r="H196" s="8" t="str">
        <f aca="false">"att_"&amp;G196</f>
        <v>att_experiment</v>
      </c>
      <c r="I196" s="8" t="s">
        <v>1187</v>
      </c>
      <c r="J196" s="8" t="str">
        <f aca="false">H196&amp;":"&amp;I196</f>
        <v>att_experiment:oxinome</v>
      </c>
      <c r="K196" s="16" t="s">
        <v>21</v>
      </c>
      <c r="L196" s="8" t="s">
        <v>1188</v>
      </c>
      <c r="M196" s="8" t="s">
        <v>17</v>
      </c>
      <c r="N196" s="8" t="str">
        <f aca="false">"INSERT INTO attributes (parent_id, tag, name, priority, allow_as_filter, allow_for_dataset, allow_for_measurement, allow_for_users, allow_for_qc) VALUES (NULL, '"&amp;H196&amp;"',  '"&amp;F196&amp;"',  500,  TRUE, TRUE, TRUE, FALSE, FALSE);"</f>
        <v>INSERT INTO attributes (parent_id, tag, name, priority, allow_as_filter, allow_for_dataset, allow_for_measurement, allow_for_users, allow_for_qc) VALUES (NULL, 'att_experiment',  'Experiment Type',  500,  TRUE, TRUE, TRUE, FALSE, FALSE);</v>
      </c>
      <c r="O196" s="8" t="str">
        <f aca="false">"INSERT INTO attribute_values (attribute_id, tag, name, details) VALUES ((SELECT id FROM attributes WHERE tag = '"&amp;H196&amp;"' LIMIT 1),  '"&amp;J196&amp;"',  '"&amp;D196&amp;"',  '"&amp;L196&amp;"'); "</f>
        <v>INSERT INTO attribute_values (attribute_id, tag, name, details) VALUES ((SELECT id FROM attributes WHERE tag = 'att_experiment' LIMIT 1),  'att_experiment:oxinome',  'Oxinome',  'Oxinome');</v>
      </c>
    </row>
    <row r="197" customFormat="false" ht="12.75" hidden="false" customHeight="false" outlineLevel="0" collapsed="false">
      <c r="A197" s="16" t="s">
        <v>21</v>
      </c>
      <c r="B197" s="16"/>
      <c r="C197" s="8" t="s">
        <v>1189</v>
      </c>
      <c r="D197" s="8" t="s">
        <v>1190</v>
      </c>
      <c r="E197" s="8" t="s">
        <v>17</v>
      </c>
      <c r="F197" s="8" t="s">
        <v>114</v>
      </c>
      <c r="G197" s="8" t="s">
        <v>2593</v>
      </c>
      <c r="H197" s="8" t="str">
        <f aca="false">"att_"&amp;G197</f>
        <v>att_experiment</v>
      </c>
      <c r="I197" s="8" t="s">
        <v>1189</v>
      </c>
      <c r="J197" s="8" t="str">
        <f aca="false">H197&amp;":"&amp;I197</f>
        <v>att_experiment:phosphoproteome</v>
      </c>
      <c r="K197" s="16" t="s">
        <v>21</v>
      </c>
      <c r="L197" s="8" t="s">
        <v>1190</v>
      </c>
      <c r="M197" s="8" t="s">
        <v>17</v>
      </c>
      <c r="N197" s="8" t="str">
        <f aca="false">"INSERT INTO attributes (parent_id, tag, name, priority, allow_as_filter, allow_for_dataset, allow_for_measurement, allow_for_users, allow_for_qc) VALUES (NULL, '"&amp;H197&amp;"',  '"&amp;F197&amp;"',  500,  TRUE, TRUE, TRUE, FALSE, FALSE);"</f>
        <v>INSERT INTO attributes (parent_id, tag, name, priority, allow_as_filter, allow_for_dataset, allow_for_measurement, allow_for_users, allow_for_qc) VALUES (NULL, 'att_experiment',  'Experiment Type',  500,  TRUE, TRUE, TRUE, FALSE, FALSE);</v>
      </c>
      <c r="O197" s="8" t="str">
        <f aca="false">"INSERT INTO attribute_values (attribute_id, tag, name, details) VALUES ((SELECT id FROM attributes WHERE tag = '"&amp;H197&amp;"' LIMIT 1),  '"&amp;J197&amp;"',  '"&amp;D197&amp;"',  '"&amp;L197&amp;"'); "</f>
        <v>INSERT INTO attribute_values (attribute_id, tag, name, details) VALUES ((SELECT id FROM attributes WHERE tag = 'att_experiment' LIMIT 1),  'att_experiment:phosphoproteome',  'Phosphoproteome',  'Phosphoproteome');</v>
      </c>
    </row>
    <row r="198" customFormat="false" ht="12.75" hidden="false" customHeight="false" outlineLevel="0" collapsed="false">
      <c r="A198" s="16" t="s">
        <v>21</v>
      </c>
      <c r="B198" s="16"/>
      <c r="C198" s="8" t="s">
        <v>2597</v>
      </c>
      <c r="D198" s="8" t="s">
        <v>1192</v>
      </c>
      <c r="E198" s="8" t="s">
        <v>17</v>
      </c>
      <c r="F198" s="8" t="s">
        <v>114</v>
      </c>
      <c r="G198" s="8" t="s">
        <v>2593</v>
      </c>
      <c r="H198" s="8" t="str">
        <f aca="false">"att_"&amp;G198</f>
        <v>att_experiment</v>
      </c>
      <c r="I198" s="8" t="s">
        <v>1191</v>
      </c>
      <c r="J198" s="8" t="str">
        <f aca="false">H198&amp;":"&amp;I198</f>
        <v>att_experiment:pulse_silac</v>
      </c>
      <c r="K198" s="16" t="s">
        <v>21</v>
      </c>
      <c r="L198" s="8" t="s">
        <v>1192</v>
      </c>
      <c r="M198" s="8" t="s">
        <v>17</v>
      </c>
      <c r="N198" s="8" t="str">
        <f aca="false">"INSERT INTO attributes (parent_id, tag, name, priority, allow_as_filter, allow_for_dataset, allow_for_measurement, allow_for_users, allow_for_qc) VALUES (NULL, '"&amp;H198&amp;"',  '"&amp;F198&amp;"',  500,  TRUE, TRUE, TRUE, FALSE, FALSE);"</f>
        <v>INSERT INTO attributes (parent_id, tag, name, priority, allow_as_filter, allow_for_dataset, allow_for_measurement, allow_for_users, allow_for_qc) VALUES (NULL, 'att_experiment',  'Experiment Type',  500,  TRUE, TRUE, TRUE, FALSE, FALSE);</v>
      </c>
      <c r="O198" s="8" t="str">
        <f aca="false">"INSERT INTO attribute_values (attribute_id, tag, name, details) VALUES ((SELECT id FROM attributes WHERE tag = '"&amp;H198&amp;"' LIMIT 1),  '"&amp;J198&amp;"',  '"&amp;D198&amp;"',  '"&amp;L198&amp;"'); "</f>
        <v>INSERT INTO attribute_values (attribute_id, tag, name, details) VALUES ((SELECT id FROM attributes WHERE tag = 'att_experiment' LIMIT 1),  'att_experiment:pulse_silac',  'Pulse-SILAC',  'Pulse-SILAC');</v>
      </c>
    </row>
    <row r="199" customFormat="false" ht="12.75" hidden="false" customHeight="false" outlineLevel="0" collapsed="false">
      <c r="A199" s="16" t="s">
        <v>21</v>
      </c>
      <c r="B199" s="16"/>
      <c r="C199" s="8" t="s">
        <v>1193</v>
      </c>
      <c r="D199" s="8" t="s">
        <v>1194</v>
      </c>
      <c r="E199" s="8" t="s">
        <v>17</v>
      </c>
      <c r="F199" s="8" t="s">
        <v>114</v>
      </c>
      <c r="G199" s="8" t="s">
        <v>2593</v>
      </c>
      <c r="H199" s="8" t="str">
        <f aca="false">"att_"&amp;G199</f>
        <v>att_experiment</v>
      </c>
      <c r="I199" s="8" t="s">
        <v>1193</v>
      </c>
      <c r="J199" s="8" t="str">
        <f aca="false">H199&amp;":"&amp;I199</f>
        <v>att_experiment:secretome</v>
      </c>
      <c r="K199" s="16" t="s">
        <v>21</v>
      </c>
      <c r="L199" s="8" t="s">
        <v>1194</v>
      </c>
      <c r="M199" s="8" t="s">
        <v>17</v>
      </c>
      <c r="N199" s="8" t="str">
        <f aca="false">"INSERT INTO attributes (parent_id, tag, name, priority, allow_as_filter, allow_for_dataset, allow_for_measurement, allow_for_users, allow_for_qc) VALUES (NULL, '"&amp;H199&amp;"',  '"&amp;F199&amp;"',  500,  TRUE, TRUE, TRUE, FALSE, FALSE);"</f>
        <v>INSERT INTO attributes (parent_id, tag, name, priority, allow_as_filter, allow_for_dataset, allow_for_measurement, allow_for_users, allow_for_qc) VALUES (NULL, 'att_experiment',  'Experiment Type',  500,  TRUE, TRUE, TRUE, FALSE, FALSE);</v>
      </c>
      <c r="O199" s="8" t="str">
        <f aca="false">"INSERT INTO attribute_values (attribute_id, tag, name, details) VALUES ((SELECT id FROM attributes WHERE tag = '"&amp;H199&amp;"' LIMIT 1),  '"&amp;J199&amp;"',  '"&amp;D199&amp;"',  '"&amp;L199&amp;"'); "</f>
        <v>INSERT INTO attribute_values (attribute_id, tag, name, details) VALUES ((SELECT id FROM attributes WHERE tag = 'att_experiment' LIMIT 1),  'att_experiment:secretome',  'Secretome',  'Secretome');</v>
      </c>
    </row>
    <row r="200" customFormat="false" ht="12.75" hidden="false" customHeight="false" outlineLevel="0" collapsed="false">
      <c r="A200" s="16" t="s">
        <v>21</v>
      </c>
      <c r="B200" s="16"/>
      <c r="C200" s="8" t="s">
        <v>1195</v>
      </c>
      <c r="D200" s="8" t="s">
        <v>1196</v>
      </c>
      <c r="E200" s="8" t="s">
        <v>17</v>
      </c>
      <c r="F200" s="8" t="s">
        <v>114</v>
      </c>
      <c r="G200" s="8" t="s">
        <v>2593</v>
      </c>
      <c r="H200" s="8" t="str">
        <f aca="false">"att_"&amp;G200</f>
        <v>att_experiment</v>
      </c>
      <c r="I200" s="8" t="s">
        <v>1195</v>
      </c>
      <c r="J200" s="8" t="str">
        <f aca="false">H200&amp;":"&amp;I200</f>
        <v>att_experiment:spatial</v>
      </c>
      <c r="K200" s="16" t="s">
        <v>21</v>
      </c>
      <c r="L200" s="8" t="s">
        <v>1196</v>
      </c>
      <c r="M200" s="8" t="s">
        <v>17</v>
      </c>
      <c r="N200" s="8" t="str">
        <f aca="false">"INSERT INTO attributes (parent_id, tag, name, priority, allow_as_filter, allow_for_dataset, allow_for_measurement, allow_for_users, allow_for_qc) VALUES (NULL, '"&amp;H200&amp;"',  '"&amp;F200&amp;"',  500,  TRUE, TRUE, TRUE, FALSE, FALSE);"</f>
        <v>INSERT INTO attributes (parent_id, tag, name, priority, allow_as_filter, allow_for_dataset, allow_for_measurement, allow_for_users, allow_for_qc) VALUES (NULL, 'att_experiment',  'Experiment Type',  500,  TRUE, TRUE, TRUE, FALSE, FALSE);</v>
      </c>
      <c r="O200" s="8" t="str">
        <f aca="false">"INSERT INTO attribute_values (attribute_id, tag, name, details) VALUES ((SELECT id FROM attributes WHERE tag = '"&amp;H200&amp;"' LIMIT 1),  '"&amp;J200&amp;"',  '"&amp;D200&amp;"',  '"&amp;L200&amp;"'); "</f>
        <v>INSERT INTO attribute_values (attribute_id, tag, name, details) VALUES ((SELECT id FROM attributes WHERE tag = 'att_experiment' LIMIT 1),  'att_experiment:spatial',  'Spatial Proteome',  'Spatial Proteome');</v>
      </c>
    </row>
    <row r="201" customFormat="false" ht="12.75" hidden="false" customHeight="false" outlineLevel="0" collapsed="false">
      <c r="A201" s="16" t="s">
        <v>21</v>
      </c>
      <c r="B201" s="16"/>
      <c r="C201" s="8" t="s">
        <v>1197</v>
      </c>
      <c r="D201" s="8" t="s">
        <v>1198</v>
      </c>
      <c r="E201" s="8" t="s">
        <v>17</v>
      </c>
      <c r="F201" s="8" t="s">
        <v>114</v>
      </c>
      <c r="G201" s="8" t="s">
        <v>2593</v>
      </c>
      <c r="H201" s="8" t="str">
        <f aca="false">"att_"&amp;G201</f>
        <v>att_experiment</v>
      </c>
      <c r="I201" s="8" t="s">
        <v>1197</v>
      </c>
      <c r="J201" s="8" t="str">
        <f aca="false">H201&amp;":"&amp;I201</f>
        <v>att_experiment:ubiquitinome</v>
      </c>
      <c r="K201" s="16" t="s">
        <v>21</v>
      </c>
      <c r="L201" s="8" t="s">
        <v>1198</v>
      </c>
      <c r="M201" s="8" t="s">
        <v>17</v>
      </c>
      <c r="N201" s="8" t="str">
        <f aca="false">"INSERT INTO attributes (parent_id, tag, name, priority, allow_as_filter, allow_for_dataset, allow_for_measurement, allow_for_users, allow_for_qc) VALUES (NULL, '"&amp;H201&amp;"',  '"&amp;F201&amp;"',  500,  TRUE, TRUE, TRUE, FALSE, FALSE);"</f>
        <v>INSERT INTO attributes (parent_id, tag, name, priority, allow_as_filter, allow_for_dataset, allow_for_measurement, allow_for_users, allow_for_qc) VALUES (NULL, 'att_experiment',  'Experiment Type',  500,  TRUE, TRUE, TRUE, FALSE, FALSE);</v>
      </c>
      <c r="O201" s="8" t="str">
        <f aca="false">"INSERT INTO attribute_values (attribute_id, tag, name, details) VALUES ((SELECT id FROM attributes WHERE tag = '"&amp;H201&amp;"' LIMIT 1),  '"&amp;J201&amp;"',  '"&amp;D201&amp;"',  '"&amp;L201&amp;"'); "</f>
        <v>INSERT INTO attribute_values (attribute_id, tag, name, details) VALUES ((SELECT id FROM attributes WHERE tag = 'att_experiment' LIMIT 1),  'att_experiment:ubiquitinome',  'Ubiquitinome',  'Ubiquitinome');</v>
      </c>
    </row>
    <row r="202" customFormat="false" ht="12.75" hidden="false" customHeight="false" outlineLevel="0" collapsed="false">
      <c r="A202" s="17" t="n">
        <f aca="false">FALSE()</f>
        <v>0</v>
      </c>
      <c r="C202" s="8" t="s">
        <v>1205</v>
      </c>
      <c r="D202" s="8" t="s">
        <v>1207</v>
      </c>
      <c r="E202" s="8" t="s">
        <v>17</v>
      </c>
      <c r="F202" s="8" t="s">
        <v>2598</v>
      </c>
      <c r="G202" s="8" t="s">
        <v>2599</v>
      </c>
      <c r="H202" s="8" t="str">
        <f aca="false">"att_"&amp;G202</f>
        <v>att_fluid</v>
      </c>
      <c r="I202" s="8" t="s">
        <v>1205</v>
      </c>
      <c r="J202" s="8" t="str">
        <f aca="false">H202&amp;":"&amp;I202</f>
        <v>att_fluid:bal</v>
      </c>
      <c r="K202" s="16" t="s">
        <v>21</v>
      </c>
      <c r="L202" s="8" t="s">
        <v>1208</v>
      </c>
      <c r="M202" s="8" t="s">
        <v>17</v>
      </c>
      <c r="N202" s="8" t="str">
        <f aca="false">"INSERT INTO attributes (parent_id, tag, name, priority, allow_as_filter, allow_for_dataset, allow_for_measurement, allow_for_users, allow_for_qc) VALUES (NULL, '"&amp;H202&amp;"',  '"&amp;F202&amp;"',  500,  TRUE, TRUE, TRUE, FALSE, FALSE);"</f>
        <v>INSERT INTO attributes (parent_id, tag, name, priority, allow_as_filter, allow_for_dataset, allow_for_measurement, allow_for_users, allow_for_qc) VALUES (NULL, 'att_fluid',  'Fluid',  500,  TRUE, TRUE, TRUE, FALSE, FALSE);</v>
      </c>
      <c r="O202" s="8" t="str">
        <f aca="false">"INSERT INTO attribute_values (attribute_id, tag, name, details) VALUES ((SELECT id FROM attributes WHERE tag = '"&amp;H202&amp;"' LIMIT 1),  '"&amp;J202&amp;"',  '"&amp;D202&amp;"',  '"&amp;L202&amp;"'); "</f>
        <v>INSERT INTO attribute_values (attribute_id, tag, name, details) VALUES ((SELECT id FROM attributes WHERE tag = 'att_fluid' LIMIT 1),  'att_fluid:bal',  'Bal',  'Bronchoalveolar lavage (BAL)');</v>
      </c>
    </row>
    <row r="203" customFormat="false" ht="12.75" hidden="false" customHeight="false" outlineLevel="0" collapsed="false">
      <c r="A203" s="17" t="n">
        <f aca="false">FALSE()</f>
        <v>0</v>
      </c>
      <c r="B203" s="17"/>
      <c r="C203" s="8" t="s">
        <v>1209</v>
      </c>
      <c r="D203" s="8" t="s">
        <v>1210</v>
      </c>
      <c r="E203" s="8" t="s">
        <v>17</v>
      </c>
      <c r="F203" s="8" t="s">
        <v>2598</v>
      </c>
      <c r="G203" s="8" t="s">
        <v>2599</v>
      </c>
      <c r="H203" s="8" t="str">
        <f aca="false">"att_"&amp;G203</f>
        <v>att_fluid</v>
      </c>
      <c r="I203" s="8" t="s">
        <v>1209</v>
      </c>
      <c r="J203" s="8" t="str">
        <f aca="false">H203&amp;":"&amp;I203</f>
        <v>att_fluid:cerebrospinal</v>
      </c>
      <c r="K203" s="16" t="s">
        <v>21</v>
      </c>
      <c r="L203" s="8" t="s">
        <v>1211</v>
      </c>
      <c r="M203" s="8" t="s">
        <v>17</v>
      </c>
      <c r="N203" s="8" t="str">
        <f aca="false">"INSERT INTO attributes (parent_id, tag, name, priority, allow_as_filter, allow_for_dataset, allow_for_measurement, allow_for_users, allow_for_qc) VALUES (NULL, '"&amp;H203&amp;"',  '"&amp;F203&amp;"',  500,  TRUE, TRUE, TRUE, FALSE, FALSE);"</f>
        <v>INSERT INTO attributes (parent_id, tag, name, priority, allow_as_filter, allow_for_dataset, allow_for_measurement, allow_for_users, allow_for_qc) VALUES (NULL, 'att_fluid',  'Fluid',  500,  TRUE, TRUE, TRUE, FALSE, FALSE);</v>
      </c>
      <c r="O203" s="8" t="str">
        <f aca="false">"INSERT INTO attribute_values (attribute_id, tag, name, details) VALUES ((SELECT id FROM attributes WHERE tag = '"&amp;H203&amp;"' LIMIT 1),  '"&amp;J203&amp;"',  '"&amp;D203&amp;"',  '"&amp;L203&amp;"'); "</f>
        <v>INSERT INTO attribute_values (attribute_id, tag, name, details) VALUES ((SELECT id FROM attributes WHERE tag = 'att_fluid' LIMIT 1),  'att_fluid:cerebrospinal',  'Cerebrospinal',  'Cerebrospinal fluid (CSF)');</v>
      </c>
    </row>
    <row r="204" customFormat="false" ht="12.75" hidden="false" customHeight="false" outlineLevel="0" collapsed="false">
      <c r="A204" s="17" t="n">
        <f aca="false">FALSE()</f>
        <v>0</v>
      </c>
      <c r="B204" s="17"/>
      <c r="C204" s="8" t="s">
        <v>1212</v>
      </c>
      <c r="D204" s="8" t="s">
        <v>1213</v>
      </c>
      <c r="E204" s="8" t="s">
        <v>17</v>
      </c>
      <c r="F204" s="8" t="s">
        <v>2598</v>
      </c>
      <c r="G204" s="8" t="s">
        <v>2599</v>
      </c>
      <c r="H204" s="8" t="str">
        <f aca="false">"att_"&amp;G204</f>
        <v>att_fluid</v>
      </c>
      <c r="I204" s="8" t="s">
        <v>1212</v>
      </c>
      <c r="J204" s="8" t="str">
        <f aca="false">H204&amp;":"&amp;I204</f>
        <v>att_fluid:feces</v>
      </c>
      <c r="K204" s="16" t="s">
        <v>21</v>
      </c>
      <c r="L204" s="8" t="s">
        <v>1214</v>
      </c>
      <c r="M204" s="8" t="s">
        <v>17</v>
      </c>
      <c r="N204" s="8" t="str">
        <f aca="false">"INSERT INTO attributes (parent_id, tag, name, priority, allow_as_filter, allow_for_dataset, allow_for_measurement, allow_for_users, allow_for_qc) VALUES (NULL, '"&amp;H204&amp;"',  '"&amp;F204&amp;"',  500,  TRUE, TRUE, TRUE, FALSE, FALSE);"</f>
        <v>INSERT INTO attributes (parent_id, tag, name, priority, allow_as_filter, allow_for_dataset, allow_for_measurement, allow_for_users, allow_for_qc) VALUES (NULL, 'att_fluid',  'Fluid',  500,  TRUE, TRUE, TRUE, FALSE, FALSE);</v>
      </c>
      <c r="O204" s="8" t="str">
        <f aca="false">"INSERT INTO attribute_values (attribute_id, tag, name, details) VALUES ((SELECT id FROM attributes WHERE tag = '"&amp;H204&amp;"' LIMIT 1),  '"&amp;J204&amp;"',  '"&amp;D204&amp;"',  '"&amp;L204&amp;"'); "</f>
        <v>INSERT INTO attribute_values (attribute_id, tag, name, details) VALUES ((SELECT id FROM attributes WHERE tag = 'att_fluid' LIMIT 1),  'att_fluid:feces',  'Feces',  'Poop');</v>
      </c>
    </row>
    <row r="205" customFormat="false" ht="12.75" hidden="false" customHeight="false" outlineLevel="0" collapsed="false">
      <c r="A205" s="17" t="n">
        <f aca="false">FALSE()</f>
        <v>0</v>
      </c>
      <c r="B205" s="17"/>
      <c r="C205" s="8" t="s">
        <v>1215</v>
      </c>
      <c r="D205" s="8" t="s">
        <v>1216</v>
      </c>
      <c r="E205" s="8" t="s">
        <v>17</v>
      </c>
      <c r="F205" s="8" t="s">
        <v>2598</v>
      </c>
      <c r="G205" s="8" t="s">
        <v>2599</v>
      </c>
      <c r="H205" s="8" t="str">
        <f aca="false">"att_"&amp;G205</f>
        <v>att_fluid</v>
      </c>
      <c r="I205" s="8" t="s">
        <v>1215</v>
      </c>
      <c r="J205" s="8" t="str">
        <f aca="false">H205&amp;":"&amp;I205</f>
        <v>att_fluid:interstitial</v>
      </c>
      <c r="K205" s="16" t="s">
        <v>21</v>
      </c>
      <c r="L205" s="8" t="s">
        <v>1217</v>
      </c>
      <c r="M205" s="8" t="s">
        <v>17</v>
      </c>
      <c r="N205" s="8" t="str">
        <f aca="false">"INSERT INTO attributes (parent_id, tag, name, priority, allow_as_filter, allow_for_dataset, allow_for_measurement, allow_for_users, allow_for_qc) VALUES (NULL, '"&amp;H205&amp;"',  '"&amp;F205&amp;"',  500,  TRUE, TRUE, TRUE, FALSE, FALSE);"</f>
        <v>INSERT INTO attributes (parent_id, tag, name, priority, allow_as_filter, allow_for_dataset, allow_for_measurement, allow_for_users, allow_for_qc) VALUES (NULL, 'att_fluid',  'Fluid',  500,  TRUE, TRUE, TRUE, FALSE, FALSE);</v>
      </c>
      <c r="O205" s="8" t="str">
        <f aca="false">"INSERT INTO attribute_values (attribute_id, tag, name, details) VALUES ((SELECT id FROM attributes WHERE tag = '"&amp;H205&amp;"' LIMIT 1),  '"&amp;J205&amp;"',  '"&amp;D205&amp;"',  '"&amp;L205&amp;"'); "</f>
        <v>INSERT INTO attribute_values (attribute_id, tag, name, details) VALUES ((SELECT id FROM attributes WHERE tag = 'att_fluid' LIMIT 1),  'att_fluid:interstitial',  'Interstitial',  'Interstitial fluid');</v>
      </c>
    </row>
    <row r="206" customFormat="false" ht="12.75" hidden="false" customHeight="false" outlineLevel="0" collapsed="false">
      <c r="A206" s="17" t="n">
        <f aca="false">FALSE()</f>
        <v>0</v>
      </c>
      <c r="B206" s="17"/>
      <c r="C206" s="8" t="s">
        <v>1218</v>
      </c>
      <c r="D206" s="8" t="s">
        <v>1219</v>
      </c>
      <c r="E206" s="8" t="s">
        <v>17</v>
      </c>
      <c r="F206" s="8" t="s">
        <v>2598</v>
      </c>
      <c r="G206" s="8" t="s">
        <v>2599</v>
      </c>
      <c r="H206" s="8" t="str">
        <f aca="false">"att_"&amp;G206</f>
        <v>att_fluid</v>
      </c>
      <c r="I206" s="8" t="s">
        <v>1218</v>
      </c>
      <c r="J206" s="8" t="str">
        <f aca="false">H206&amp;":"&amp;I206</f>
        <v>att_fluid:lymph</v>
      </c>
      <c r="K206" s="16" t="s">
        <v>21</v>
      </c>
      <c r="L206" s="8" t="s">
        <v>1220</v>
      </c>
      <c r="M206" s="8" t="s">
        <v>17</v>
      </c>
      <c r="N206" s="8" t="str">
        <f aca="false">"INSERT INTO attributes (parent_id, tag, name, priority, allow_as_filter, allow_for_dataset, allow_for_measurement, allow_for_users, allow_for_qc) VALUES (NULL, '"&amp;H206&amp;"',  '"&amp;F206&amp;"',  500,  TRUE, TRUE, TRUE, FALSE, FALSE);"</f>
        <v>INSERT INTO attributes (parent_id, tag, name, priority, allow_as_filter, allow_for_dataset, allow_for_measurement, allow_for_users, allow_for_qc) VALUES (NULL, 'att_fluid',  'Fluid',  500,  TRUE, TRUE, TRUE, FALSE, FALSE);</v>
      </c>
      <c r="O206" s="8" t="str">
        <f aca="false">"INSERT INTO attribute_values (attribute_id, tag, name, details) VALUES ((SELECT id FROM attributes WHERE tag = '"&amp;H206&amp;"' LIMIT 1),  '"&amp;J206&amp;"',  '"&amp;D206&amp;"',  '"&amp;L206&amp;"'); "</f>
        <v>INSERT INTO attribute_values (attribute_id, tag, name, details) VALUES ((SELECT id FROM attributes WHERE tag = 'att_fluid' LIMIT 1),  'att_fluid:lymph',  'Lymph',  'Lymph; fluid that flows through the lymphatic system');</v>
      </c>
    </row>
    <row r="207" customFormat="false" ht="12.75" hidden="false" customHeight="false" outlineLevel="0" collapsed="false">
      <c r="A207" s="17" t="n">
        <f aca="false">FALSE()</f>
        <v>0</v>
      </c>
      <c r="B207" s="17"/>
      <c r="C207" s="8" t="s">
        <v>1221</v>
      </c>
      <c r="D207" s="8" t="s">
        <v>1222</v>
      </c>
      <c r="E207" s="8" t="s">
        <v>17</v>
      </c>
      <c r="F207" s="8" t="s">
        <v>2598</v>
      </c>
      <c r="G207" s="8" t="s">
        <v>2599</v>
      </c>
      <c r="H207" s="8" t="str">
        <f aca="false">"att_"&amp;G207</f>
        <v>att_fluid</v>
      </c>
      <c r="I207" s="8" t="s">
        <v>1221</v>
      </c>
      <c r="J207" s="8" t="str">
        <f aca="false">H207&amp;":"&amp;I207</f>
        <v>att_fluid:peritoneal</v>
      </c>
      <c r="K207" s="16" t="s">
        <v>21</v>
      </c>
      <c r="L207" s="8" t="s">
        <v>1223</v>
      </c>
      <c r="M207" s="8" t="s">
        <v>17</v>
      </c>
      <c r="N207" s="8" t="str">
        <f aca="false">"INSERT INTO attributes (parent_id, tag, name, priority, allow_as_filter, allow_for_dataset, allow_for_measurement, allow_for_users, allow_for_qc) VALUES (NULL, '"&amp;H207&amp;"',  '"&amp;F207&amp;"',  500,  TRUE, TRUE, TRUE, FALSE, FALSE);"</f>
        <v>INSERT INTO attributes (parent_id, tag, name, priority, allow_as_filter, allow_for_dataset, allow_for_measurement, allow_for_users, allow_for_qc) VALUES (NULL, 'att_fluid',  'Fluid',  500,  TRUE, TRUE, TRUE, FALSE, FALSE);</v>
      </c>
      <c r="O207" s="8" t="str">
        <f aca="false">"INSERT INTO attribute_values (attribute_id, tag, name, details) VALUES ((SELECT id FROM attributes WHERE tag = '"&amp;H207&amp;"' LIMIT 1),  '"&amp;J207&amp;"',  '"&amp;D207&amp;"',  '"&amp;L207&amp;"'); "</f>
        <v>INSERT INTO attribute_values (attribute_id, tag, name, details) VALUES ((SELECT id FROM attributes WHERE tag = 'att_fluid' LIMIT 1),  'att_fluid:peritoneal',  'Peritoneal',  'Peritoneal fluid');</v>
      </c>
    </row>
    <row r="208" customFormat="false" ht="12.75" hidden="false" customHeight="false" outlineLevel="0" collapsed="false">
      <c r="A208" s="17" t="n">
        <f aca="false">FALSE()</f>
        <v>0</v>
      </c>
      <c r="B208" s="17"/>
      <c r="C208" s="8" t="s">
        <v>1224</v>
      </c>
      <c r="D208" s="8" t="s">
        <v>1225</v>
      </c>
      <c r="E208" s="8" t="s">
        <v>17</v>
      </c>
      <c r="F208" s="8" t="s">
        <v>2598</v>
      </c>
      <c r="G208" s="8" t="s">
        <v>2599</v>
      </c>
      <c r="H208" s="8" t="str">
        <f aca="false">"att_"&amp;G208</f>
        <v>att_fluid</v>
      </c>
      <c r="I208" s="8" t="s">
        <v>1224</v>
      </c>
      <c r="J208" s="8" t="str">
        <f aca="false">H208&amp;":"&amp;I208</f>
        <v>att_fluid:plasma</v>
      </c>
      <c r="K208" s="16" t="s">
        <v>21</v>
      </c>
      <c r="L208" s="8" t="s">
        <v>1226</v>
      </c>
      <c r="M208" s="8" t="s">
        <v>17</v>
      </c>
      <c r="N208" s="8" t="str">
        <f aca="false">"INSERT INTO attributes (parent_id, tag, name, priority, allow_as_filter, allow_for_dataset, allow_for_measurement, allow_for_users, allow_for_qc) VALUES (NULL, '"&amp;H208&amp;"',  '"&amp;F208&amp;"',  500,  TRUE, TRUE, TRUE, FALSE, FALSE);"</f>
        <v>INSERT INTO attributes (parent_id, tag, name, priority, allow_as_filter, allow_for_dataset, allow_for_measurement, allow_for_users, allow_for_qc) VALUES (NULL, 'att_fluid',  'Fluid',  500,  TRUE, TRUE, TRUE, FALSE, FALSE);</v>
      </c>
      <c r="O208" s="8" t="str">
        <f aca="false">"INSERT INTO attribute_values (attribute_id, tag, name, details) VALUES ((SELECT id FROM attributes WHERE tag = '"&amp;H208&amp;"' LIMIT 1),  '"&amp;J208&amp;"',  '"&amp;D208&amp;"',  '"&amp;L208&amp;"'); "</f>
        <v>INSERT INTO attribute_values (attribute_id, tag, name, details) VALUES ((SELECT id FROM attributes WHERE tag = 'att_fluid' LIMIT 1),  'att_fluid:plasma',  'Plasma',  'Blood Plasma');</v>
      </c>
    </row>
    <row r="209" customFormat="false" ht="12.75" hidden="false" customHeight="false" outlineLevel="0" collapsed="false">
      <c r="A209" s="17" t="n">
        <f aca="false">FALSE()</f>
        <v>0</v>
      </c>
      <c r="B209" s="17"/>
      <c r="C209" s="8" t="s">
        <v>1227</v>
      </c>
      <c r="D209" s="8" t="s">
        <v>1228</v>
      </c>
      <c r="E209" s="8" t="s">
        <v>17</v>
      </c>
      <c r="F209" s="8" t="s">
        <v>2598</v>
      </c>
      <c r="G209" s="8" t="s">
        <v>2599</v>
      </c>
      <c r="H209" s="8" t="str">
        <f aca="false">"att_"&amp;G209</f>
        <v>att_fluid</v>
      </c>
      <c r="I209" s="8" t="s">
        <v>1227</v>
      </c>
      <c r="J209" s="8" t="str">
        <f aca="false">H209&amp;":"&amp;I209</f>
        <v>att_fluid:pleural</v>
      </c>
      <c r="K209" s="16" t="s">
        <v>21</v>
      </c>
      <c r="L209" s="8" t="s">
        <v>1229</v>
      </c>
      <c r="M209" s="8" t="s">
        <v>17</v>
      </c>
      <c r="N209" s="8" t="str">
        <f aca="false">"INSERT INTO attributes (parent_id, tag, name, priority, allow_as_filter, allow_for_dataset, allow_for_measurement, allow_for_users, allow_for_qc) VALUES (NULL, '"&amp;H209&amp;"',  '"&amp;F209&amp;"',  500,  TRUE, TRUE, TRUE, FALSE, FALSE);"</f>
        <v>INSERT INTO attributes (parent_id, tag, name, priority, allow_as_filter, allow_for_dataset, allow_for_measurement, allow_for_users, allow_for_qc) VALUES (NULL, 'att_fluid',  'Fluid',  500,  TRUE, TRUE, TRUE, FALSE, FALSE);</v>
      </c>
      <c r="O209" s="8" t="str">
        <f aca="false">"INSERT INTO attribute_values (attribute_id, tag, name, details) VALUES ((SELECT id FROM attributes WHERE tag = '"&amp;H209&amp;"' LIMIT 1),  '"&amp;J209&amp;"',  '"&amp;D209&amp;"',  '"&amp;L209&amp;"'); "</f>
        <v>INSERT INTO attribute_values (attribute_id, tag, name, details) VALUES ((SELECT id FROM attributes WHERE tag = 'att_fluid' LIMIT 1),  'att_fluid:pleural',  'Pleural',  'Pleural fluid');</v>
      </c>
    </row>
    <row r="210" customFormat="false" ht="12.75" hidden="false" customHeight="false" outlineLevel="0" collapsed="false">
      <c r="A210" s="17" t="n">
        <f aca="false">FALSE()</f>
        <v>0</v>
      </c>
      <c r="B210" s="17"/>
      <c r="C210" s="8" t="s">
        <v>1230</v>
      </c>
      <c r="D210" s="8" t="s">
        <v>1231</v>
      </c>
      <c r="E210" s="8" t="s">
        <v>17</v>
      </c>
      <c r="F210" s="8" t="s">
        <v>2598</v>
      </c>
      <c r="G210" s="8" t="s">
        <v>2599</v>
      </c>
      <c r="H210" s="8" t="str">
        <f aca="false">"att_"&amp;G210</f>
        <v>att_fluid</v>
      </c>
      <c r="I210" s="8" t="s">
        <v>1230</v>
      </c>
      <c r="J210" s="8" t="str">
        <f aca="false">H210&amp;":"&amp;I210</f>
        <v>att_fluid:saliva</v>
      </c>
      <c r="K210" s="16" t="s">
        <v>21</v>
      </c>
      <c r="L210" s="8" t="s">
        <v>1232</v>
      </c>
      <c r="M210" s="8" t="s">
        <v>17</v>
      </c>
      <c r="N210" s="8" t="str">
        <f aca="false">"INSERT INTO attributes (parent_id, tag, name, priority, allow_as_filter, allow_for_dataset, allow_for_measurement, allow_for_users, allow_for_qc) VALUES (NULL, '"&amp;H210&amp;"',  '"&amp;F210&amp;"',  500,  TRUE, TRUE, TRUE, FALSE, FALSE);"</f>
        <v>INSERT INTO attributes (parent_id, tag, name, priority, allow_as_filter, allow_for_dataset, allow_for_measurement, allow_for_users, allow_for_qc) VALUES (NULL, 'att_fluid',  'Fluid',  500,  TRUE, TRUE, TRUE, FALSE, FALSE);</v>
      </c>
      <c r="O210" s="8" t="str">
        <f aca="false">"INSERT INTO attribute_values (attribute_id, tag, name, details) VALUES ((SELECT id FROM attributes WHERE tag = '"&amp;H210&amp;"' LIMIT 1),  '"&amp;J210&amp;"',  '"&amp;D210&amp;"',  '"&amp;L210&amp;"'); "</f>
        <v>INSERT INTO attribute_values (attribute_id, tag, name, details) VALUES ((SELECT id FROM attributes WHERE tag = 'att_fluid' LIMIT 1),  'att_fluid:saliva',  'Saliva',  'Spit');</v>
      </c>
    </row>
    <row r="211" customFormat="false" ht="12.75" hidden="false" customHeight="false" outlineLevel="0" collapsed="false">
      <c r="A211" s="17" t="n">
        <f aca="false">FALSE()</f>
        <v>0</v>
      </c>
      <c r="B211" s="17"/>
      <c r="C211" s="8" t="s">
        <v>1233</v>
      </c>
      <c r="D211" s="8" t="s">
        <v>1234</v>
      </c>
      <c r="E211" s="8" t="s">
        <v>17</v>
      </c>
      <c r="F211" s="8" t="s">
        <v>2598</v>
      </c>
      <c r="G211" s="8" t="s">
        <v>2599</v>
      </c>
      <c r="H211" s="8" t="str">
        <f aca="false">"att_"&amp;G211</f>
        <v>att_fluid</v>
      </c>
      <c r="I211" s="8" t="s">
        <v>1233</v>
      </c>
      <c r="J211" s="8" t="str">
        <f aca="false">H211&amp;":"&amp;I211</f>
        <v>att_fluid:seminal</v>
      </c>
      <c r="K211" s="16" t="s">
        <v>21</v>
      </c>
      <c r="L211" s="8" t="s">
        <v>1235</v>
      </c>
      <c r="M211" s="8" t="s">
        <v>17</v>
      </c>
      <c r="N211" s="8" t="str">
        <f aca="false">"INSERT INTO attributes (parent_id, tag, name, priority, allow_as_filter, allow_for_dataset, allow_for_measurement, allow_for_users, allow_for_qc) VALUES (NULL, '"&amp;H211&amp;"',  '"&amp;F211&amp;"',  500,  TRUE, TRUE, TRUE, FALSE, FALSE);"</f>
        <v>INSERT INTO attributes (parent_id, tag, name, priority, allow_as_filter, allow_for_dataset, allow_for_measurement, allow_for_users, allow_for_qc) VALUES (NULL, 'att_fluid',  'Fluid',  500,  TRUE, TRUE, TRUE, FALSE, FALSE);</v>
      </c>
      <c r="O211" s="8" t="str">
        <f aca="false">"INSERT INTO attribute_values (attribute_id, tag, name, details) VALUES ((SELECT id FROM attributes WHERE tag = '"&amp;H211&amp;"' LIMIT 1),  '"&amp;J211&amp;"',  '"&amp;D211&amp;"',  '"&amp;L211&amp;"'); "</f>
        <v>INSERT INTO attribute_values (attribute_id, tag, name, details) VALUES ((SELECT id FROM attributes WHERE tag = 'att_fluid' LIMIT 1),  'att_fluid:seminal',  'Seminal',  'Semen; Seminal fluid');</v>
      </c>
    </row>
    <row r="212" customFormat="false" ht="12.75" hidden="false" customHeight="false" outlineLevel="0" collapsed="false">
      <c r="A212" s="17" t="n">
        <f aca="false">FALSE()</f>
        <v>0</v>
      </c>
      <c r="B212" s="17"/>
      <c r="C212" s="8" t="s">
        <v>1236</v>
      </c>
      <c r="D212" s="8" t="s">
        <v>1237</v>
      </c>
      <c r="E212" s="8" t="s">
        <v>17</v>
      </c>
      <c r="F212" s="8" t="s">
        <v>2598</v>
      </c>
      <c r="G212" s="8" t="s">
        <v>2599</v>
      </c>
      <c r="H212" s="8" t="str">
        <f aca="false">"att_"&amp;G212</f>
        <v>att_fluid</v>
      </c>
      <c r="I212" s="8" t="s">
        <v>1236</v>
      </c>
      <c r="J212" s="8" t="str">
        <f aca="false">H212&amp;":"&amp;I212</f>
        <v>att_fluid:serum</v>
      </c>
      <c r="K212" s="16" t="s">
        <v>21</v>
      </c>
      <c r="L212" s="8" t="s">
        <v>1238</v>
      </c>
      <c r="M212" s="8" t="s">
        <v>17</v>
      </c>
      <c r="N212" s="8" t="str">
        <f aca="false">"INSERT INTO attributes (parent_id, tag, name, priority, allow_as_filter, allow_for_dataset, allow_for_measurement, allow_for_users, allow_for_qc) VALUES (NULL, '"&amp;H212&amp;"',  '"&amp;F212&amp;"',  500,  TRUE, TRUE, TRUE, FALSE, FALSE);"</f>
        <v>INSERT INTO attributes (parent_id, tag, name, priority, allow_as_filter, allow_for_dataset, allow_for_measurement, allow_for_users, allow_for_qc) VALUES (NULL, 'att_fluid',  'Fluid',  500,  TRUE, TRUE, TRUE, FALSE, FALSE);</v>
      </c>
      <c r="O212" s="8" t="str">
        <f aca="false">"INSERT INTO attribute_values (attribute_id, tag, name, details) VALUES ((SELECT id FROM attributes WHERE tag = '"&amp;H212&amp;"' LIMIT 1),  '"&amp;J212&amp;"',  '"&amp;D212&amp;"',  '"&amp;L212&amp;"'); "</f>
        <v>INSERT INTO attribute_values (attribute_id, tag, name, details) VALUES ((SELECT id FROM attributes WHERE tag = 'att_fluid' LIMIT 1),  'att_fluid:serum',  'Serum',  'Blood Serum');</v>
      </c>
    </row>
    <row r="213" customFormat="false" ht="12.75" hidden="false" customHeight="false" outlineLevel="0" collapsed="false">
      <c r="A213" s="17" t="n">
        <f aca="false">FALSE()</f>
        <v>0</v>
      </c>
      <c r="B213" s="17"/>
      <c r="C213" s="8" t="s">
        <v>1239</v>
      </c>
      <c r="D213" s="8" t="s">
        <v>1240</v>
      </c>
      <c r="E213" s="8" t="s">
        <v>17</v>
      </c>
      <c r="F213" s="8" t="s">
        <v>2598</v>
      </c>
      <c r="G213" s="8" t="s">
        <v>2599</v>
      </c>
      <c r="H213" s="8" t="str">
        <f aca="false">"att_"&amp;G213</f>
        <v>att_fluid</v>
      </c>
      <c r="I213" s="8" t="s">
        <v>1239</v>
      </c>
      <c r="J213" s="8" t="str">
        <f aca="false">H213&amp;":"&amp;I213</f>
        <v>att_fluid:urine</v>
      </c>
      <c r="K213" s="16" t="s">
        <v>21</v>
      </c>
      <c r="L213" s="8" t="s">
        <v>1241</v>
      </c>
      <c r="M213" s="8" t="s">
        <v>17</v>
      </c>
      <c r="N213" s="8" t="str">
        <f aca="false">"INSERT INTO attributes (parent_id, tag, name, priority, allow_as_filter, allow_for_dataset, allow_for_measurement, allow_for_users, allow_for_qc) VALUES (NULL, '"&amp;H213&amp;"',  '"&amp;F213&amp;"',  500,  TRUE, TRUE, TRUE, FALSE, FALSE);"</f>
        <v>INSERT INTO attributes (parent_id, tag, name, priority, allow_as_filter, allow_for_dataset, allow_for_measurement, allow_for_users, allow_for_qc) VALUES (NULL, 'att_fluid',  'Fluid',  500,  TRUE, TRUE, TRUE, FALSE, FALSE);</v>
      </c>
      <c r="O213" s="8" t="str">
        <f aca="false">"INSERT INTO attribute_values (attribute_id, tag, name, details) VALUES ((SELECT id FROM attributes WHERE tag = '"&amp;H213&amp;"' LIMIT 1),  '"&amp;J213&amp;"',  '"&amp;D213&amp;"',  '"&amp;L213&amp;"'); "</f>
        <v>INSERT INTO attribute_values (attribute_id, tag, name, details) VALUES ((SELECT id FROM attributes WHERE tag = 'att_fluid' LIMIT 1),  'att_fluid:urine',  'Urine',  'Pee');</v>
      </c>
    </row>
    <row r="214" customFormat="false" ht="12.75" hidden="false" customHeight="false" outlineLevel="0" collapsed="false">
      <c r="A214" s="17" t="n">
        <f aca="false">FALSE()</f>
        <v>0</v>
      </c>
      <c r="B214" s="17"/>
      <c r="C214" s="8" t="s">
        <v>1242</v>
      </c>
      <c r="D214" s="8" t="s">
        <v>1242</v>
      </c>
      <c r="E214" s="8" t="s">
        <v>17</v>
      </c>
      <c r="F214" s="8" t="s">
        <v>224</v>
      </c>
      <c r="G214" s="8" t="s">
        <v>2600</v>
      </c>
      <c r="H214" s="8" t="str">
        <f aca="false">"att_"&amp;G214</f>
        <v>att_fraction</v>
      </c>
      <c r="I214" s="8" t="s">
        <v>1242</v>
      </c>
      <c r="J214" s="8" t="str">
        <f aca="false">H214&amp;":"&amp;I214</f>
        <v>att_fraction:01k</v>
      </c>
      <c r="K214" s="16" t="s">
        <v>21</v>
      </c>
      <c r="L214" s="8" t="s">
        <v>2601</v>
      </c>
      <c r="M214" s="8" t="s">
        <v>1195</v>
      </c>
      <c r="N214" s="8" t="str">
        <f aca="false">"INSERT INTO attributes (parent_id, tag, name, priority, allow_as_filter, allow_for_dataset, allow_for_measurement, allow_for_users, allow_for_qc) VALUES (NULL, '"&amp;H214&amp;"',  '"&amp;F214&amp;"',  500,  TRUE, TRUE, TRUE, FALSE, FALSE);"</f>
        <v>INSERT INTO attributes (parent_id, tag, name, priority, allow_as_filter, allow_for_dataset, allow_for_measurement, allow_for_users, allow_for_qc) VALUES (NULL, 'att_fraction',  'Spatial Fraction',  500,  TRUE, TRUE, TRUE, FALSE, FALSE);</v>
      </c>
      <c r="O214" s="8" t="str">
        <f aca="false">"INSERT INTO attribute_values (attribute_id, tag, name, details) VALUES ((SELECT id FROM attributes WHERE tag = '"&amp;H214&amp;"' LIMIT 1),  '"&amp;J214&amp;"',  '"&amp;D214&amp;"',  '"&amp;L214&amp;"'); "</f>
        <v>INSERT INTO attribute_values (attribute_id, tag, name, details) VALUES ((SELECT id FROM attributes WHERE tag = 'att_fraction' LIMIT 1),  'att_fraction:01k',  '01k',  '01k Spatial Fraction');</v>
      </c>
    </row>
    <row r="215" customFormat="false" ht="12.75" hidden="false" customHeight="false" outlineLevel="0" collapsed="false">
      <c r="A215" s="17" t="n">
        <f aca="false">FALSE()</f>
        <v>0</v>
      </c>
      <c r="B215" s="17"/>
      <c r="C215" s="8" t="s">
        <v>1245</v>
      </c>
      <c r="D215" s="8" t="s">
        <v>1245</v>
      </c>
      <c r="E215" s="8" t="s">
        <v>17</v>
      </c>
      <c r="F215" s="8" t="s">
        <v>224</v>
      </c>
      <c r="G215" s="8" t="s">
        <v>2600</v>
      </c>
      <c r="H215" s="8" t="str">
        <f aca="false">"att_"&amp;G215</f>
        <v>att_fraction</v>
      </c>
      <c r="I215" s="8" t="s">
        <v>1245</v>
      </c>
      <c r="J215" s="8" t="str">
        <f aca="false">H215&amp;":"&amp;I215</f>
        <v>att_fraction:05k</v>
      </c>
      <c r="K215" s="16" t="s">
        <v>21</v>
      </c>
      <c r="L215" s="8" t="s">
        <v>2602</v>
      </c>
      <c r="M215" s="8" t="s">
        <v>1195</v>
      </c>
      <c r="N215" s="8" t="str">
        <f aca="false">"INSERT INTO attributes (parent_id, tag, name, priority, allow_as_filter, allow_for_dataset, allow_for_measurement, allow_for_users, allow_for_qc) VALUES (NULL, '"&amp;H215&amp;"',  '"&amp;F215&amp;"',  500,  TRUE, TRUE, TRUE, FALSE, FALSE);"</f>
        <v>INSERT INTO attributes (parent_id, tag, name, priority, allow_as_filter, allow_for_dataset, allow_for_measurement, allow_for_users, allow_for_qc) VALUES (NULL, 'att_fraction',  'Spatial Fraction',  500,  TRUE, TRUE, TRUE, FALSE, FALSE);</v>
      </c>
      <c r="O215" s="8" t="str">
        <f aca="false">"INSERT INTO attribute_values (attribute_id, tag, name, details) VALUES ((SELECT id FROM attributes WHERE tag = '"&amp;H215&amp;"' LIMIT 1),  '"&amp;J215&amp;"',  '"&amp;D215&amp;"',  '"&amp;L215&amp;"'); "</f>
        <v>INSERT INTO attribute_values (attribute_id, tag, name, details) VALUES ((SELECT id FROM attributes WHERE tag = 'att_fraction' LIMIT 1),  'att_fraction:05k',  '05k',  '05k Spatial Fraction');</v>
      </c>
    </row>
    <row r="216" customFormat="false" ht="12.75" hidden="false" customHeight="false" outlineLevel="0" collapsed="false">
      <c r="A216" s="17" t="n">
        <f aca="false">FALSE()</f>
        <v>0</v>
      </c>
      <c r="B216" s="17"/>
      <c r="C216" s="8" t="s">
        <v>1247</v>
      </c>
      <c r="D216" s="8" t="s">
        <v>1247</v>
      </c>
      <c r="E216" s="8" t="s">
        <v>17</v>
      </c>
      <c r="F216" s="8" t="s">
        <v>224</v>
      </c>
      <c r="G216" s="8" t="s">
        <v>2600</v>
      </c>
      <c r="H216" s="8" t="str">
        <f aca="false">"att_"&amp;G216</f>
        <v>att_fraction</v>
      </c>
      <c r="I216" s="8" t="s">
        <v>1247</v>
      </c>
      <c r="J216" s="8" t="str">
        <f aca="false">H216&amp;":"&amp;I216</f>
        <v>att_fraction:12k</v>
      </c>
      <c r="K216" s="16" t="s">
        <v>21</v>
      </c>
      <c r="L216" s="8" t="s">
        <v>2603</v>
      </c>
      <c r="M216" s="8" t="s">
        <v>1195</v>
      </c>
      <c r="N216" s="8" t="str">
        <f aca="false">"INSERT INTO attributes (parent_id, tag, name, priority, allow_as_filter, allow_for_dataset, allow_for_measurement, allow_for_users, allow_for_qc) VALUES (NULL, '"&amp;H216&amp;"',  '"&amp;F216&amp;"',  500,  TRUE, TRUE, TRUE, FALSE, FALSE);"</f>
        <v>INSERT INTO attributes (parent_id, tag, name, priority, allow_as_filter, allow_for_dataset, allow_for_measurement, allow_for_users, allow_for_qc) VALUES (NULL, 'att_fraction',  'Spatial Fraction',  500,  TRUE, TRUE, TRUE, FALSE, FALSE);</v>
      </c>
      <c r="O216" s="8" t="str">
        <f aca="false">"INSERT INTO attribute_values (attribute_id, tag, name, details) VALUES ((SELECT id FROM attributes WHERE tag = '"&amp;H216&amp;"' LIMIT 1),  '"&amp;J216&amp;"',  '"&amp;D216&amp;"',  '"&amp;L216&amp;"'); "</f>
        <v>INSERT INTO attribute_values (attribute_id, tag, name, details) VALUES ((SELECT id FROM attributes WHERE tag = 'att_fraction' LIMIT 1),  'att_fraction:12k',  '12k',  '12k Spatial Fraction');</v>
      </c>
    </row>
    <row r="217" customFormat="false" ht="12.75" hidden="false" customHeight="false" outlineLevel="0" collapsed="false">
      <c r="A217" s="17" t="n">
        <f aca="false">FALSE()</f>
        <v>0</v>
      </c>
      <c r="B217" s="17"/>
      <c r="C217" s="8" t="s">
        <v>1249</v>
      </c>
      <c r="D217" s="8" t="s">
        <v>1249</v>
      </c>
      <c r="E217" s="8" t="s">
        <v>17</v>
      </c>
      <c r="F217" s="8" t="s">
        <v>224</v>
      </c>
      <c r="G217" s="8" t="s">
        <v>2600</v>
      </c>
      <c r="H217" s="8" t="str">
        <f aca="false">"att_"&amp;G217</f>
        <v>att_fraction</v>
      </c>
      <c r="I217" s="8" t="s">
        <v>1249</v>
      </c>
      <c r="J217" s="8" t="str">
        <f aca="false">H217&amp;":"&amp;I217</f>
        <v>att_fraction:24k</v>
      </c>
      <c r="K217" s="16" t="s">
        <v>21</v>
      </c>
      <c r="L217" s="8" t="s">
        <v>2604</v>
      </c>
      <c r="M217" s="8" t="s">
        <v>1195</v>
      </c>
      <c r="N217" s="8" t="str">
        <f aca="false">"INSERT INTO attributes (parent_id, tag, name, priority, allow_as_filter, allow_for_dataset, allow_for_measurement, allow_for_users, allow_for_qc) VALUES (NULL, '"&amp;H217&amp;"',  '"&amp;F217&amp;"',  500,  TRUE, TRUE, TRUE, FALSE, FALSE);"</f>
        <v>INSERT INTO attributes (parent_id, tag, name, priority, allow_as_filter, allow_for_dataset, allow_for_measurement, allow_for_users, allow_for_qc) VALUES (NULL, 'att_fraction',  'Spatial Fraction',  500,  TRUE, TRUE, TRUE, FALSE, FALSE);</v>
      </c>
      <c r="O217" s="8" t="str">
        <f aca="false">"INSERT INTO attribute_values (attribute_id, tag, name, details) VALUES ((SELECT id FROM attributes WHERE tag = '"&amp;H217&amp;"' LIMIT 1),  '"&amp;J217&amp;"',  '"&amp;D217&amp;"',  '"&amp;L217&amp;"'); "</f>
        <v>INSERT INTO attribute_values (attribute_id, tag, name, details) VALUES ((SELECT id FROM attributes WHERE tag = 'att_fraction' LIMIT 1),  'att_fraction:24k',  '24k',  '24k Spatial Fraction');</v>
      </c>
    </row>
    <row r="218" customFormat="false" ht="12.75" hidden="false" customHeight="false" outlineLevel="0" collapsed="false">
      <c r="A218" s="17" t="n">
        <f aca="false">FALSE()</f>
        <v>0</v>
      </c>
      <c r="B218" s="17"/>
      <c r="C218" s="8" t="s">
        <v>1251</v>
      </c>
      <c r="D218" s="8" t="s">
        <v>1251</v>
      </c>
      <c r="E218" s="8" t="s">
        <v>17</v>
      </c>
      <c r="F218" s="8" t="s">
        <v>224</v>
      </c>
      <c r="G218" s="8" t="s">
        <v>2600</v>
      </c>
      <c r="H218" s="8" t="str">
        <f aca="false">"att_"&amp;G218</f>
        <v>att_fraction</v>
      </c>
      <c r="I218" s="8" t="s">
        <v>1251</v>
      </c>
      <c r="J218" s="8" t="str">
        <f aca="false">H218&amp;":"&amp;I218</f>
        <v>att_fraction:79k</v>
      </c>
      <c r="K218" s="16" t="s">
        <v>21</v>
      </c>
      <c r="L218" s="8" t="s">
        <v>2605</v>
      </c>
      <c r="M218" s="8" t="s">
        <v>1195</v>
      </c>
      <c r="N218" s="8" t="str">
        <f aca="false">"INSERT INTO attributes (parent_id, tag, name, priority, allow_as_filter, allow_for_dataset, allow_for_measurement, allow_for_users, allow_for_qc) VALUES (NULL, '"&amp;H218&amp;"',  '"&amp;F218&amp;"',  500,  TRUE, TRUE, TRUE, FALSE, FALSE);"</f>
        <v>INSERT INTO attributes (parent_id, tag, name, priority, allow_as_filter, allow_for_dataset, allow_for_measurement, allow_for_users, allow_for_qc) VALUES (NULL, 'att_fraction',  'Spatial Fraction',  500,  TRUE, TRUE, TRUE, FALSE, FALSE);</v>
      </c>
      <c r="O218" s="8" t="str">
        <f aca="false">"INSERT INTO attribute_values (attribute_id, tag, name, details) VALUES ((SELECT id FROM attributes WHERE tag = '"&amp;H218&amp;"' LIMIT 1),  '"&amp;J218&amp;"',  '"&amp;D218&amp;"',  '"&amp;L218&amp;"'); "</f>
        <v>INSERT INTO attribute_values (attribute_id, tag, name, details) VALUES ((SELECT id FROM attributes WHERE tag = 'att_fraction' LIMIT 1),  'att_fraction:79k',  '79k',  '79k Spatial Fraction');</v>
      </c>
    </row>
    <row r="219" customFormat="false" ht="12.75" hidden="false" customHeight="false" outlineLevel="0" collapsed="false">
      <c r="A219" s="17" t="n">
        <f aca="false">FALSE()</f>
        <v>0</v>
      </c>
      <c r="B219" s="17"/>
      <c r="C219" s="8" t="s">
        <v>1257</v>
      </c>
      <c r="D219" s="8" t="s">
        <v>1258</v>
      </c>
      <c r="E219" s="8" t="s">
        <v>17</v>
      </c>
      <c r="F219" s="8" t="s">
        <v>224</v>
      </c>
      <c r="G219" s="8" t="s">
        <v>2600</v>
      </c>
      <c r="H219" s="8" t="str">
        <f aca="false">"att_"&amp;G219</f>
        <v>att_fraction</v>
      </c>
      <c r="I219" s="8" t="s">
        <v>1257</v>
      </c>
      <c r="J219" s="8" t="str">
        <f aca="false">H219&amp;":"&amp;I219</f>
        <v>att_fraction:cytosolic</v>
      </c>
      <c r="K219" s="16" t="s">
        <v>21</v>
      </c>
      <c r="L219" s="8" t="s">
        <v>1259</v>
      </c>
      <c r="M219" s="8" t="s">
        <v>1195</v>
      </c>
      <c r="N219" s="8" t="str">
        <f aca="false">"INSERT INTO attributes (parent_id, tag, name, priority, allow_as_filter, allow_for_dataset, allow_for_measurement, allow_for_users, allow_for_qc) VALUES (NULL, '"&amp;H219&amp;"',  '"&amp;F219&amp;"',  500,  TRUE, TRUE, TRUE, FALSE, FALSE);"</f>
        <v>INSERT INTO attributes (parent_id, tag, name, priority, allow_as_filter, allow_for_dataset, allow_for_measurement, allow_for_users, allow_for_qc) VALUES (NULL, 'att_fraction',  'Spatial Fraction',  500,  TRUE, TRUE, TRUE, FALSE, FALSE);</v>
      </c>
      <c r="O219" s="8" t="str">
        <f aca="false">"INSERT INTO attribute_values (attribute_id, tag, name, details) VALUES ((SELECT id FROM attributes WHERE tag = '"&amp;H219&amp;"' LIMIT 1),  '"&amp;J219&amp;"',  '"&amp;D219&amp;"',  '"&amp;L219&amp;"'); "</f>
        <v>INSERT INTO attribute_values (attribute_id, tag, name, details) VALUES ((SELECT id FROM attributes WHERE tag = 'att_fraction' LIMIT 1),  'att_fraction:cytosolic',  'Cytosolic',  'Cytosolic Spatial Fraction');</v>
      </c>
    </row>
    <row r="220" customFormat="false" ht="12.75" hidden="false" customHeight="false" outlineLevel="0" collapsed="false">
      <c r="A220" s="17" t="n">
        <f aca="false">FALSE()</f>
        <v>0</v>
      </c>
      <c r="B220" s="17"/>
      <c r="C220" s="8" t="s">
        <v>1260</v>
      </c>
      <c r="D220" s="8" t="s">
        <v>1261</v>
      </c>
      <c r="E220" s="8" t="s">
        <v>17</v>
      </c>
      <c r="F220" s="8" t="s">
        <v>224</v>
      </c>
      <c r="G220" s="8" t="s">
        <v>2600</v>
      </c>
      <c r="H220" s="8" t="str">
        <f aca="false">"att_"&amp;G220</f>
        <v>att_fraction</v>
      </c>
      <c r="I220" s="8" t="s">
        <v>1260</v>
      </c>
      <c r="J220" s="8" t="str">
        <f aca="false">H220&amp;":"&amp;I220</f>
        <v>att_fraction:total</v>
      </c>
      <c r="K220" s="16" t="s">
        <v>21</v>
      </c>
      <c r="L220" s="8" t="s">
        <v>1262</v>
      </c>
      <c r="M220" s="8" t="s">
        <v>1195</v>
      </c>
      <c r="N220" s="8" t="str">
        <f aca="false">"INSERT INTO attributes (parent_id, tag, name, priority, allow_as_filter, allow_for_dataset, allow_for_measurement, allow_for_users, allow_for_qc) VALUES (NULL, '"&amp;H220&amp;"',  '"&amp;F220&amp;"',  500,  TRUE, TRUE, TRUE, FALSE, FALSE);"</f>
        <v>INSERT INTO attributes (parent_id, tag, name, priority, allow_as_filter, allow_for_dataset, allow_for_measurement, allow_for_users, allow_for_qc) VALUES (NULL, 'att_fraction',  'Spatial Fraction',  500,  TRUE, TRUE, TRUE, FALSE, FALSE);</v>
      </c>
      <c r="O220" s="8" t="str">
        <f aca="false">"INSERT INTO attribute_values (attribute_id, tag, name, details) VALUES ((SELECT id FROM attributes WHERE tag = '"&amp;H220&amp;"' LIMIT 1),  '"&amp;J220&amp;"',  '"&amp;D220&amp;"',  '"&amp;L220&amp;"'); "</f>
        <v>INSERT INTO attribute_values (attribute_id, tag, name, details) VALUES ((SELECT id FROM attributes WHERE tag = 'att_fraction' LIMIT 1),  'att_fraction:total',  'Total',  'Total Spatial Fraction');</v>
      </c>
    </row>
    <row r="221" customFormat="false" ht="12.75" hidden="false" customHeight="false" outlineLevel="0" collapsed="false">
      <c r="A221" s="17" t="n">
        <f aca="false">FALSE()</f>
        <v>0</v>
      </c>
      <c r="B221" s="17"/>
      <c r="C221" s="8" t="s">
        <v>2606</v>
      </c>
      <c r="D221" s="8" t="s">
        <v>1255</v>
      </c>
      <c r="E221" s="8" t="s">
        <v>17</v>
      </c>
      <c r="F221" s="8" t="s">
        <v>224</v>
      </c>
      <c r="G221" s="8" t="s">
        <v>2600</v>
      </c>
      <c r="H221" s="8" t="str">
        <f aca="false">"att_"&amp;G221</f>
        <v>att_fraction</v>
      </c>
      <c r="I221" s="8" t="s">
        <v>1253</v>
      </c>
      <c r="J221" s="8" t="str">
        <f aca="false">H221&amp;":"&amp;I221</f>
        <v>att_fraction:crude_mito</v>
      </c>
      <c r="K221" s="16" t="s">
        <v>21</v>
      </c>
      <c r="L221" s="8" t="s">
        <v>1256</v>
      </c>
      <c r="M221" s="8" t="s">
        <v>1195</v>
      </c>
      <c r="N221" s="8" t="str">
        <f aca="false">"INSERT INTO attributes (parent_id, tag, name, priority, allow_as_filter, allow_for_dataset, allow_for_measurement, allow_for_users, allow_for_qc) VALUES (NULL, '"&amp;H221&amp;"',  '"&amp;F221&amp;"',  500,  TRUE, TRUE, TRUE, FALSE, FALSE);"</f>
        <v>INSERT INTO attributes (parent_id, tag, name, priority, allow_as_filter, allow_for_dataset, allow_for_measurement, allow_for_users, allow_for_qc) VALUES (NULL, 'att_fraction',  'Spatial Fraction',  500,  TRUE, TRUE, TRUE, FALSE, FALSE);</v>
      </c>
      <c r="O221" s="8" t="str">
        <f aca="false">"INSERT INTO attribute_values (attribute_id, tag, name, details) VALUES ((SELECT id FROM attributes WHERE tag = '"&amp;H221&amp;"' LIMIT 1),  '"&amp;J221&amp;"',  '"&amp;D221&amp;"',  '"&amp;L221&amp;"'); "</f>
        <v>INSERT INTO attribute_values (attribute_id, tag, name, details) VALUES ((SELECT id FROM attributes WHERE tag = 'att_fraction' LIMIT 1),  'att_fraction:crude_mito',  'Crude Mito',  'Crude mitochondrial fraction');</v>
      </c>
    </row>
    <row r="222" customFormat="false" ht="12.75" hidden="false" customHeight="false" outlineLevel="0" collapsed="false">
      <c r="A222" s="17"/>
      <c r="B222" s="17"/>
      <c r="K222" s="16"/>
    </row>
    <row r="223" customFormat="false" ht="12.75" hidden="false" customHeight="false" outlineLevel="0" collapsed="false">
      <c r="A223" s="17"/>
      <c r="B223" s="17"/>
      <c r="C223" s="8" t="s">
        <v>2607</v>
      </c>
      <c r="D223" s="8" t="s">
        <v>2117</v>
      </c>
      <c r="F223" s="8" t="s">
        <v>192</v>
      </c>
      <c r="G223" s="8" t="s">
        <v>2608</v>
      </c>
      <c r="H223" s="8" t="str">
        <f aca="false">"att_"&amp;G223</f>
        <v>att_offline_fractionation</v>
      </c>
      <c r="I223" s="8" t="s">
        <v>2116</v>
      </c>
      <c r="J223" s="8" t="str">
        <f aca="false">H223&amp;":"&amp;I223</f>
        <v>att_offline_fractionation:sdspage</v>
      </c>
      <c r="K223" s="16"/>
      <c r="L223" s="8" t="s">
        <v>2118</v>
      </c>
    </row>
    <row r="224" customFormat="false" ht="12.75" hidden="false" customHeight="false" outlineLevel="0" collapsed="false">
      <c r="A224" s="17"/>
      <c r="B224" s="17"/>
      <c r="C224" s="8" t="s">
        <v>2607</v>
      </c>
      <c r="D224" s="8" t="s">
        <v>2105</v>
      </c>
      <c r="F224" s="8" t="s">
        <v>192</v>
      </c>
      <c r="G224" s="8" t="s">
        <v>2608</v>
      </c>
      <c r="H224" s="8" t="str">
        <f aca="false">"att_"&amp;G224</f>
        <v>att_offline_fractionation</v>
      </c>
      <c r="I224" s="8" t="s">
        <v>2104</v>
      </c>
      <c r="J224" s="8" t="str">
        <f aca="false">H224&amp;":"&amp;I224</f>
        <v>att_offline_fractionation:highph_hplc</v>
      </c>
      <c r="K224" s="16"/>
      <c r="L224" s="8" t="s">
        <v>2106</v>
      </c>
    </row>
    <row r="225" customFormat="false" ht="12.75" hidden="false" customHeight="false" outlineLevel="0" collapsed="false">
      <c r="A225" s="17"/>
      <c r="B225" s="17"/>
      <c r="C225" s="8" t="s">
        <v>2607</v>
      </c>
      <c r="D225" s="8" t="s">
        <v>2108</v>
      </c>
      <c r="F225" s="8" t="s">
        <v>192</v>
      </c>
      <c r="G225" s="8" t="s">
        <v>2608</v>
      </c>
      <c r="H225" s="8" t="str">
        <f aca="false">"att_"&amp;G225</f>
        <v>att_offline_fractionation</v>
      </c>
      <c r="I225" s="8" t="s">
        <v>2107</v>
      </c>
      <c r="J225" s="8" t="str">
        <f aca="false">H225&amp;":"&amp;I225</f>
        <v>att_offline_fractionation:highph_tip</v>
      </c>
      <c r="K225" s="16"/>
      <c r="L225" s="8" t="s">
        <v>2109</v>
      </c>
    </row>
    <row r="226" customFormat="false" ht="12.75" hidden="false" customHeight="false" outlineLevel="0" collapsed="false">
      <c r="A226" s="17"/>
      <c r="B226" s="17"/>
      <c r="C226" s="8" t="s">
        <v>2607</v>
      </c>
      <c r="D226" s="8" t="s">
        <v>2114</v>
      </c>
      <c r="F226" s="8" t="s">
        <v>192</v>
      </c>
      <c r="G226" s="8" t="s">
        <v>2608</v>
      </c>
      <c r="H226" s="8" t="str">
        <f aca="false">"att_"&amp;G226</f>
        <v>att_offline_fractionation</v>
      </c>
      <c r="I226" s="8" t="s">
        <v>2113</v>
      </c>
      <c r="J226" s="8" t="str">
        <f aca="false">H226&amp;":"&amp;I226</f>
        <v>att_offline_fractionation:scx</v>
      </c>
      <c r="K226" s="16"/>
      <c r="L226" s="8" t="s">
        <v>2115</v>
      </c>
    </row>
    <row r="227" customFormat="false" ht="12.75" hidden="false" customHeight="false" outlineLevel="0" collapsed="false">
      <c r="A227" s="17"/>
      <c r="B227" s="17"/>
      <c r="C227" s="8" t="s">
        <v>2607</v>
      </c>
      <c r="D227" s="8" t="s">
        <v>2111</v>
      </c>
      <c r="F227" s="8" t="s">
        <v>192</v>
      </c>
      <c r="G227" s="8" t="s">
        <v>2608</v>
      </c>
      <c r="H227" s="8" t="str">
        <f aca="false">"att_"&amp;G227</f>
        <v>att_offline_fractionation</v>
      </c>
      <c r="I227" s="8" t="s">
        <v>2110</v>
      </c>
      <c r="J227" s="8" t="str">
        <f aca="false">H227&amp;":"&amp;I227</f>
        <v>att_offline_fractionation:sax</v>
      </c>
      <c r="K227" s="16"/>
      <c r="L227" s="8" t="s">
        <v>2112</v>
      </c>
    </row>
    <row r="228" customFormat="false" ht="12.75" hidden="false" customHeight="false" outlineLevel="0" collapsed="false">
      <c r="A228" s="17"/>
      <c r="B228" s="17"/>
      <c r="K228" s="16"/>
    </row>
    <row r="229" customFormat="false" ht="12.75" hidden="false" customHeight="false" outlineLevel="0" collapsed="false">
      <c r="A229" s="17"/>
      <c r="B229" s="17"/>
      <c r="K229" s="16"/>
    </row>
    <row r="230" customFormat="false" ht="12.75" hidden="false" customHeight="false" outlineLevel="0" collapsed="false">
      <c r="A230" s="17" t="n">
        <f aca="false">TRUE()</f>
        <v>1</v>
      </c>
      <c r="C230" s="8" t="s">
        <v>1893</v>
      </c>
      <c r="D230" s="8" t="s">
        <v>1894</v>
      </c>
      <c r="E230" s="8" t="s">
        <v>17</v>
      </c>
      <c r="F230" s="8" t="s">
        <v>2609</v>
      </c>
      <c r="G230" s="8" t="s">
        <v>2610</v>
      </c>
      <c r="H230" s="8" t="str">
        <f aca="false">"att_"&amp;G230</f>
        <v>att_instrument</v>
      </c>
      <c r="I230" s="8" t="s">
        <v>1893</v>
      </c>
      <c r="J230" s="8" t="str">
        <f aca="false">H230&amp;":"&amp;I230</f>
        <v>att_instrument:e1</v>
      </c>
      <c r="K230" s="16" t="s">
        <v>21</v>
      </c>
      <c r="L230" s="8" t="s">
        <v>1895</v>
      </c>
      <c r="M230" s="8" t="s">
        <v>17</v>
      </c>
      <c r="N230" s="8" t="str">
        <f aca="false">"INSERT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8" t="str">
        <f aca="false">"INSERT INTO attribute_values (attribute_id, tag, name, details) VALUES ((SELECT id FROM attributes WHERE tag = '"&amp;H230&amp;"' LIMIT 1),  '"&amp;J230&amp;"',  '"&amp;D230&amp;"',  '"&amp;L230&amp;"'); "</f>
        <v>INSERT INTO attribute_values (attribute_id, tag, name, details) VALUES ((SELECT id FROM attributes WHERE tag = 'att_instrument' LIMIT 1),  'att_instrument:e1',  'Doris (E1)',  'Doris');</v>
      </c>
    </row>
    <row r="231" customFormat="false" ht="12.75" hidden="false" customHeight="false" outlineLevel="0" collapsed="false">
      <c r="A231" s="17" t="n">
        <f aca="false">TRUE()</f>
        <v>1</v>
      </c>
      <c r="C231" s="8" t="s">
        <v>1896</v>
      </c>
      <c r="D231" s="8" t="s">
        <v>1897</v>
      </c>
      <c r="E231" s="8" t="s">
        <v>17</v>
      </c>
      <c r="F231" s="8" t="s">
        <v>2609</v>
      </c>
      <c r="G231" s="8" t="s">
        <v>2610</v>
      </c>
      <c r="H231" s="8" t="str">
        <f aca="false">"att_"&amp;G231</f>
        <v>att_instrument</v>
      </c>
      <c r="I231" s="8" t="s">
        <v>1896</v>
      </c>
      <c r="J231" s="8" t="str">
        <f aca="false">H231&amp;":"&amp;I231</f>
        <v>att_instrument:e2</v>
      </c>
      <c r="K231" s="16" t="s">
        <v>21</v>
      </c>
      <c r="L231" s="8" t="s">
        <v>1898</v>
      </c>
      <c r="M231" s="8" t="s">
        <v>17</v>
      </c>
      <c r="N231" s="8" t="str">
        <f aca="false">"INSERT INTO attributes (parent_id, tag, name, priority, allow_as_filter, allow_for_dataset, allow_for_measurement, allow_for_users, allow_for_qc) VALUES (NULL, '"&amp;H231&amp;"',  '"&amp;F231&amp;"',  500,  TRUE, TRUE, TRUE, FALSE, FALSE);"</f>
        <v>INSERT INTO attributes (parent_id, tag, name, priority, allow_as_filter, allow_for_dataset, allow_for_measurement, allow_for_users, allow_for_qc) VALUES (NULL, 'att_instrument',  'MS Instrument',  500,  TRUE, TRUE, TRUE, FALSE, FALSE);</v>
      </c>
      <c r="O231" s="8" t="str">
        <f aca="false">"INSERT INTO attribute_values (attribute_id, tag, name, details) VALUES ((SELECT id FROM attributes WHERE tag = '"&amp;H231&amp;"' LIMIT 1),  '"&amp;J231&amp;"',  '"&amp;D231&amp;"',  '"&amp;L231&amp;"'); "</f>
        <v>INSERT INTO attribute_values (attribute_id, tag, name, details) VALUES ((SELECT id FROM attributes WHERE tag = 'att_instrument' LIMIT 1),  'att_instrument:e2',  'Boris (E2)',  'Boris');</v>
      </c>
    </row>
    <row r="232" customFormat="false" ht="12.75" hidden="false" customHeight="false" outlineLevel="0" collapsed="false">
      <c r="A232" s="17" t="n">
        <f aca="false">TRUE()</f>
        <v>1</v>
      </c>
      <c r="C232" s="8" t="s">
        <v>1902</v>
      </c>
      <c r="D232" s="8" t="s">
        <v>1903</v>
      </c>
      <c r="E232" s="8" t="s">
        <v>17</v>
      </c>
      <c r="F232" s="8" t="s">
        <v>2609</v>
      </c>
      <c r="G232" s="8" t="s">
        <v>2610</v>
      </c>
      <c r="H232" s="8" t="str">
        <f aca="false">"att_"&amp;G232</f>
        <v>att_instrument</v>
      </c>
      <c r="I232" s="8" t="s">
        <v>1902</v>
      </c>
      <c r="J232" s="8" t="str">
        <f aca="false">H232&amp;":"&amp;I232</f>
        <v>att_instrument:ignarius</v>
      </c>
      <c r="K232" s="16" t="s">
        <v>21</v>
      </c>
      <c r="L232" s="8" t="s">
        <v>1904</v>
      </c>
      <c r="M232" s="8" t="s">
        <v>17</v>
      </c>
      <c r="N232" s="8" t="str">
        <f aca="false">"INSERT INTO attributes (parent_id, tag, name, priority, allow_as_filter, allow_for_dataset, allow_for_measurement, allow_for_users, allow_for_qc) VALUES (NULL, '"&amp;H232&amp;"',  '"&amp;F232&amp;"',  500,  TRUE, TRUE, TRUE, FALSE, FALSE);"</f>
        <v>INSERT INTO attributes (parent_id, tag, name, priority, allow_as_filter, allow_for_dataset, allow_for_measurement, allow_for_users, allow_for_qc) VALUES (NULL, 'att_instrument',  'MS Instrument',  500,  TRUE, TRUE, TRUE, FALSE, FALSE);</v>
      </c>
      <c r="O232" s="8" t="str">
        <f aca="false">"INSERT INTO attribute_values (attribute_id, tag, name, details) VALUES ((SELECT id FROM attributes WHERE tag = '"&amp;H232&amp;"' LIMIT 1),  '"&amp;J232&amp;"',  '"&amp;D232&amp;"',  '"&amp;L232&amp;"'); "</f>
        <v>INSERT INTO attribute_values (attribute_id, tag, name, details) VALUES ((SELECT id FROM attributes WHERE tag = 'att_instrument' LIMIT 1),  'att_instrument:ignarius',  'not known (yet)',  'unkown instrument / not known yet');</v>
      </c>
    </row>
    <row r="233" customFormat="false" ht="12.75" hidden="false" customHeight="false" outlineLevel="0" collapsed="false">
      <c r="A233" s="17" t="n">
        <f aca="false">TRUE()</f>
        <v>1</v>
      </c>
      <c r="C233" s="8" t="s">
        <v>2611</v>
      </c>
      <c r="D233" s="8" t="s">
        <v>1906</v>
      </c>
      <c r="E233" s="8" t="s">
        <v>17</v>
      </c>
      <c r="F233" s="8" t="s">
        <v>2609</v>
      </c>
      <c r="G233" s="8" t="s">
        <v>2610</v>
      </c>
      <c r="H233" s="8" t="str">
        <f aca="false">"att_"&amp;G233</f>
        <v>att_instrument</v>
      </c>
      <c r="I233" s="8" t="s">
        <v>2612</v>
      </c>
      <c r="J233" s="8" t="str">
        <f aca="false">H233&amp;":"&amp;I233</f>
        <v>att_instrument:t</v>
      </c>
      <c r="K233" s="16" t="s">
        <v>21</v>
      </c>
      <c r="L233" s="8" t="s">
        <v>1907</v>
      </c>
      <c r="M233" s="8" t="s">
        <v>17</v>
      </c>
      <c r="N233" s="8" t="str">
        <f aca="false">"INSERT INTO attributes (parent_id, tag, name, priority, allow_as_filter, allow_for_dataset, allow_for_measurement, allow_for_users, allow_for_qc) VALUES (NULL, '"&amp;H233&amp;"',  '"&amp;F233&amp;"',  500,  TRUE, TRUE, TRUE, FALSE, FALSE);"</f>
        <v>INSERT INTO attributes (parent_id, tag, name, priority, allow_as_filter, allow_for_dataset, allow_for_measurement, allow_for_users, allow_for_qc) VALUES (NULL, 'att_instrument',  'MS Instrument',  500,  TRUE, TRUE, TRUE, FALSE, FALSE);</v>
      </c>
      <c r="O233" s="8" t="str">
        <f aca="false">"INSERT INTO attribute_values (attribute_id, tag, name, details) VALUES ((SELECT id FROM attributes WHERE tag = '"&amp;H233&amp;"' LIMIT 1),  '"&amp;J233&amp;"',  '"&amp;D233&amp;"',  '"&amp;L233&amp;"'); "</f>
        <v>INSERT INTO attribute_values (attribute_id, tag, name, details) VALUES ((SELECT id FROM attributes WHERE tag = 'att_instrument' LIMIT 1),  'att_instrument:t',  'TimsTOF (KrisTof)',  'TimsTOF');</v>
      </c>
    </row>
    <row r="234" s="19" customFormat="true" ht="12.75" hidden="false" customHeight="false" outlineLevel="0" collapsed="false">
      <c r="A234" s="18" t="n">
        <f aca="false">FALSE()</f>
        <v>0</v>
      </c>
      <c r="B234" s="18"/>
      <c r="C234" s="19" t="s">
        <v>2613</v>
      </c>
      <c r="D234" s="19" t="s">
        <v>2614</v>
      </c>
      <c r="E234" s="19" t="s">
        <v>17</v>
      </c>
      <c r="F234" s="19" t="s">
        <v>2615</v>
      </c>
      <c r="G234" s="19" t="s">
        <v>2616</v>
      </c>
      <c r="H234" s="19" t="str">
        <f aca="false">"att_"&amp;G234</f>
        <v>att_knockout</v>
      </c>
      <c r="I234" s="19" t="s">
        <v>2613</v>
      </c>
      <c r="J234" s="19" t="str">
        <f aca="false">H234&amp;":"&amp;I234</f>
        <v>att_knockout:casp1_dko</v>
      </c>
      <c r="K234" s="20" t="s">
        <v>21</v>
      </c>
      <c r="L234" s="19" t="s">
        <v>2617</v>
      </c>
      <c r="M234" s="19" t="s">
        <v>17</v>
      </c>
      <c r="N234" s="19" t="str">
        <f aca="false">"INSERT INTO attributes (parent_id, tag, name, priority, allow_as_filter, allow_for_dataset, allow_for_measurement, allow_for_users, allow_for_qc) VALUES (NULL, '"&amp;H234&amp;"',  '"&amp;F234&amp;"',  500,  TRUE, TRUE, TRUE, FALSE, FALSE);"</f>
        <v>INSERT INTO attributes (parent_id, tag, name, priority, allow_as_filter, allow_for_dataset, allow_for_measurement, allow_for_users, allow_for_qc) VALUES (NULL, 'att_knockout',  'Gene Knockout',  500,  TRUE, TRUE, TRUE, FALSE, FALSE);</v>
      </c>
      <c r="O234" s="19" t="str">
        <f aca="false">"INSERT INTO attribute_values (attribute_id, tag, name, details) VALUES ((SELECT id FROM attributes WHERE tag = '"&amp;H234&amp;"' LIMIT 1),  '"&amp;J234&amp;"',  '"&amp;D234&amp;"',  '"&amp;L234&amp;"'); "</f>
        <v>INSERT INTO attribute_values (attribute_id, tag, name, details) VALUES ((SELECT id FROM attributes WHERE tag = 'att_knockout' LIMIT 1),  'att_knockout:casp1_dko',  'Casp1 dKO',  'Casp1 −/−');</v>
      </c>
    </row>
    <row r="235" s="19" customFormat="true" ht="12.75" hidden="false" customHeight="false" outlineLevel="0" collapsed="false">
      <c r="A235" s="18" t="n">
        <f aca="false">FALSE()</f>
        <v>0</v>
      </c>
      <c r="B235" s="18"/>
      <c r="C235" s="19" t="s">
        <v>2618</v>
      </c>
      <c r="D235" s="19" t="s">
        <v>2619</v>
      </c>
      <c r="E235" s="19" t="s">
        <v>17</v>
      </c>
      <c r="F235" s="19" t="s">
        <v>2615</v>
      </c>
      <c r="G235" s="19" t="s">
        <v>2616</v>
      </c>
      <c r="H235" s="19" t="str">
        <f aca="false">"att_"&amp;G235</f>
        <v>att_knockout</v>
      </c>
      <c r="I235" s="19" t="s">
        <v>2618</v>
      </c>
      <c r="J235" s="19" t="str">
        <f aca="false">H235&amp;":"&amp;I235</f>
        <v>att_knockout:casp11_dko</v>
      </c>
      <c r="K235" s="20" t="s">
        <v>21</v>
      </c>
      <c r="L235" s="19" t="s">
        <v>2620</v>
      </c>
      <c r="M235" s="19" t="s">
        <v>17</v>
      </c>
      <c r="N235" s="19" t="str">
        <f aca="false">"INSERT INTO attributes (parent_id, tag, name, priority, allow_as_filter, allow_for_dataset, allow_for_measurement, allow_for_users, allow_for_qc) VALUES (NULL, '"&amp;H235&amp;"',  '"&amp;F235&amp;"',  500,  TRUE, TRUE, TRUE, FALSE, FALSE);"</f>
        <v>INSERT INTO attributes (parent_id, tag, name, priority, allow_as_filter, allow_for_dataset, allow_for_measurement, allow_for_users, allow_for_qc) VALUES (NULL, 'att_knockout',  'Gene Knockout',  500,  TRUE, TRUE, TRUE, FALSE, FALSE);</v>
      </c>
      <c r="O235" s="19" t="str">
        <f aca="false">"INSERT INTO attribute_values (attribute_id, tag, name, details) VALUES ((SELECT id FROM attributes WHERE tag = '"&amp;H235&amp;"' LIMIT 1),  '"&amp;J235&amp;"',  '"&amp;D235&amp;"',  '"&amp;L235&amp;"'); "</f>
        <v>INSERT INTO attribute_values (attribute_id, tag, name, details) VALUES ((SELECT id FROM attributes WHERE tag = 'att_knockout' LIMIT 1),  'att_knockout:casp11_dko',  'Casp11 dKO',  'Casp11 −/−');</v>
      </c>
    </row>
    <row r="236" s="19" customFormat="true" ht="12.75" hidden="false" customHeight="false" outlineLevel="0" collapsed="false">
      <c r="A236" s="18" t="n">
        <f aca="false">FALSE()</f>
        <v>0</v>
      </c>
      <c r="B236" s="18"/>
      <c r="C236" s="19" t="s">
        <v>2621</v>
      </c>
      <c r="D236" s="19" t="s">
        <v>2622</v>
      </c>
      <c r="E236" s="19" t="s">
        <v>17</v>
      </c>
      <c r="F236" s="19" t="s">
        <v>2615</v>
      </c>
      <c r="G236" s="19" t="s">
        <v>2616</v>
      </c>
      <c r="H236" s="19" t="str">
        <f aca="false">"att_"&amp;G236</f>
        <v>att_knockout</v>
      </c>
      <c r="I236" s="19" t="s">
        <v>2621</v>
      </c>
      <c r="J236" s="19" t="str">
        <f aca="false">H236&amp;":"&amp;I236</f>
        <v>att_knockout:gsdmd_dko</v>
      </c>
      <c r="K236" s="20" t="s">
        <v>21</v>
      </c>
      <c r="L236" s="19" t="s">
        <v>2623</v>
      </c>
      <c r="M236" s="19" t="s">
        <v>17</v>
      </c>
      <c r="N236" s="19" t="str">
        <f aca="false">"INSERT INTO attributes (parent_id, tag, name, priority, allow_as_filter, allow_for_dataset, allow_for_measurement, allow_for_users, allow_for_qc) VALUES (NULL, '"&amp;H236&amp;"',  '"&amp;F236&amp;"',  500,  TRUE, TRUE, TRUE, FALSE, FALSE);"</f>
        <v>INSERT INTO attributes (parent_id, tag, name, priority, allow_as_filter, allow_for_dataset, allow_for_measurement, allow_for_users, allow_for_qc) VALUES (NULL, 'att_knockout',  'Gene Knockout',  500,  TRUE, TRUE, TRUE, FALSE, FALSE);</v>
      </c>
      <c r="O236" s="19" t="str">
        <f aca="false">"INSERT INTO attribute_values (attribute_id, tag, name, details) VALUES ((SELECT id FROM attributes WHERE tag = '"&amp;H236&amp;"' LIMIT 1),  '"&amp;J236&amp;"',  '"&amp;D236&amp;"',  '"&amp;L236&amp;"'); "</f>
        <v>INSERT INTO attribute_values (attribute_id, tag, name, details) VALUES ((SELECT id FROM attributes WHERE tag = 'att_knockout' LIMIT 1),  'att_knockout:gsdmd_dko',  'Gsdmd dKO',  'Gsdmd −/−');</v>
      </c>
    </row>
    <row r="237" s="19" customFormat="true" ht="12.75" hidden="false" customHeight="false" outlineLevel="0" collapsed="false">
      <c r="A237" s="18" t="n">
        <f aca="false">FALSE()</f>
        <v>0</v>
      </c>
      <c r="B237" s="18"/>
      <c r="C237" s="19" t="s">
        <v>2624</v>
      </c>
      <c r="D237" s="19" t="s">
        <v>2625</v>
      </c>
      <c r="E237" s="19" t="s">
        <v>17</v>
      </c>
      <c r="F237" s="19" t="s">
        <v>2615</v>
      </c>
      <c r="G237" s="19" t="s">
        <v>2616</v>
      </c>
      <c r="H237" s="19" t="str">
        <f aca="false">"att_"&amp;G237</f>
        <v>att_knockout</v>
      </c>
      <c r="I237" s="19" t="s">
        <v>2626</v>
      </c>
      <c r="J237" s="19" t="str">
        <f aca="false">H237&amp;":"&amp;I237</f>
        <v>att_knockout:il18r_dko</v>
      </c>
      <c r="K237" s="20" t="s">
        <v>21</v>
      </c>
      <c r="L237" s="19" t="s">
        <v>2627</v>
      </c>
      <c r="M237" s="19" t="s">
        <v>17</v>
      </c>
      <c r="N237" s="19" t="str">
        <f aca="false">"INSERT INTO attributes (parent_id, tag, name, priority, allow_as_filter, allow_for_dataset, allow_for_measurement, allow_for_users, allow_for_qc) VALUES (NULL, '"&amp;H237&amp;"',  '"&amp;F237&amp;"',  500,  TRUE, TRUE, TRUE, FALSE, FALSE);"</f>
        <v>INSERT INTO attributes (parent_id, tag, name, priority, allow_as_filter, allow_for_dataset, allow_for_measurement, allow_for_users, allow_for_qc) VALUES (NULL, 'att_knockout',  'Gene Knockout',  500,  TRUE, TRUE, TRUE, FALSE, FALSE);</v>
      </c>
      <c r="O237" s="19" t="str">
        <f aca="false">"INSERT INTO attribute_values (attribute_id, tag, name, details) VALUES ((SELECT id FROM attributes WHERE tag = '"&amp;H237&amp;"' LIMIT 1),  '"&amp;J237&amp;"',  '"&amp;D237&amp;"',  '"&amp;L237&amp;"'); "</f>
        <v>INSERT INTO attribute_values (attribute_id, tag, name, details) VALUES ((SELECT id FROM attributes WHERE tag = 'att_knockout' LIMIT 1),  'att_knockout:il18r_dko',  'Il18r dKO',  'Il18r −/−');</v>
      </c>
    </row>
    <row r="238" s="19" customFormat="true" ht="12.75" hidden="false" customHeight="false" outlineLevel="0" collapsed="false">
      <c r="A238" s="18" t="n">
        <f aca="false">FALSE()</f>
        <v>0</v>
      </c>
      <c r="B238" s="18"/>
      <c r="C238" s="19" t="s">
        <v>2628</v>
      </c>
      <c r="D238" s="19" t="s">
        <v>2629</v>
      </c>
      <c r="E238" s="19" t="s">
        <v>17</v>
      </c>
      <c r="F238" s="19" t="s">
        <v>2615</v>
      </c>
      <c r="G238" s="19" t="s">
        <v>2616</v>
      </c>
      <c r="H238" s="19" t="str">
        <f aca="false">"att_"&amp;G238</f>
        <v>att_knockout</v>
      </c>
      <c r="I238" s="19" t="s">
        <v>2630</v>
      </c>
      <c r="J238" s="19" t="str">
        <f aca="false">H238&amp;":"&amp;I238</f>
        <v>att_knockout:il1r_dko</v>
      </c>
      <c r="K238" s="20" t="s">
        <v>21</v>
      </c>
      <c r="L238" s="19" t="s">
        <v>2631</v>
      </c>
      <c r="M238" s="19" t="s">
        <v>17</v>
      </c>
      <c r="N238" s="19" t="str">
        <f aca="false">"INSERT INTO attributes (parent_id, tag, name, priority, allow_as_filter, allow_for_dataset, allow_for_measurement, allow_for_users, allow_for_qc) VALUES (NULL, '"&amp;H238&amp;"',  '"&amp;F238&amp;"',  500,  TRUE, TRUE, TRUE, FALSE, FALSE);"</f>
        <v>INSERT INTO attributes (parent_id, tag, name, priority, allow_as_filter, allow_for_dataset, allow_for_measurement, allow_for_users, allow_for_qc) VALUES (NULL, 'att_knockout',  'Gene Knockout',  500,  TRUE, TRUE, TRUE, FALSE, FALSE);</v>
      </c>
      <c r="O238" s="19" t="str">
        <f aca="false">"INSERT INTO attribute_values (attribute_id, tag, name, details) VALUES ((SELECT id FROM attributes WHERE tag = '"&amp;H238&amp;"' LIMIT 1),  '"&amp;J238&amp;"',  '"&amp;D238&amp;"',  '"&amp;L238&amp;"'); "</f>
        <v>INSERT INTO attribute_values (attribute_id, tag, name, details) VALUES ((SELECT id FROM attributes WHERE tag = 'att_knockout' LIMIT 1),  'att_knockout:il1r_dko',  'Il1r dKO',  'Il1r −/−');</v>
      </c>
    </row>
    <row r="239" s="19" customFormat="true" ht="12.75" hidden="false" customHeight="false" outlineLevel="0" collapsed="false">
      <c r="A239" s="18" t="n">
        <f aca="false">FALSE()</f>
        <v>0</v>
      </c>
      <c r="B239" s="18"/>
      <c r="C239" s="19" t="s">
        <v>2632</v>
      </c>
      <c r="D239" s="19" t="s">
        <v>2633</v>
      </c>
      <c r="E239" s="19" t="s">
        <v>17</v>
      </c>
      <c r="F239" s="19" t="s">
        <v>2615</v>
      </c>
      <c r="G239" s="19" t="s">
        <v>2616</v>
      </c>
      <c r="H239" s="19" t="str">
        <f aca="false">"att_"&amp;G239</f>
        <v>att_knockout</v>
      </c>
      <c r="I239" s="19" t="s">
        <v>2632</v>
      </c>
      <c r="J239" s="19" t="str">
        <f aca="false">H239&amp;":"&amp;I239</f>
        <v>att_knockout:tlr4_dko</v>
      </c>
      <c r="K239" s="20" t="s">
        <v>21</v>
      </c>
      <c r="L239" s="19" t="s">
        <v>2634</v>
      </c>
      <c r="M239" s="19" t="s">
        <v>17</v>
      </c>
      <c r="N239" s="19" t="str">
        <f aca="false">"INSERT INTO attributes (parent_id, tag, name, priority, allow_as_filter, allow_for_dataset, allow_for_measurement, allow_for_users, allow_for_qc) VALUES (NULL, '"&amp;H239&amp;"',  '"&amp;F239&amp;"',  500,  TRUE, TRUE, TRUE, FALSE, FALSE);"</f>
        <v>INSERT INTO attributes (parent_id, tag, name, priority, allow_as_filter, allow_for_dataset, allow_for_measurement, allow_for_users, allow_for_qc) VALUES (NULL, 'att_knockout',  'Gene Knockout',  500,  TRUE, TRUE, TRUE, FALSE, FALSE);</v>
      </c>
      <c r="O239" s="19" t="str">
        <f aca="false">"INSERT INTO attribute_values (attribute_id, tag, name, details) VALUES ((SELECT id FROM attributes WHERE tag = '"&amp;H239&amp;"' LIMIT 1),  '"&amp;J239&amp;"',  '"&amp;D239&amp;"',  '"&amp;L239&amp;"'); "</f>
        <v>INSERT INTO attribute_values (attribute_id, tag, name, details) VALUES ((SELECT id FROM attributes WHERE tag = 'att_knockout' LIMIT 1),  'att_knockout:tlr4_dko',  'Tlr4 dKO',  'Tlr4 −/−');</v>
      </c>
    </row>
    <row r="240" customFormat="false" ht="12.75" hidden="false" customHeight="false" outlineLevel="0" collapsed="false">
      <c r="A240" s="16" t="s">
        <v>21</v>
      </c>
      <c r="B240" s="16"/>
      <c r="C240" s="8" t="s">
        <v>1344</v>
      </c>
      <c r="D240" s="8" t="s">
        <v>1345</v>
      </c>
      <c r="E240" s="8" t="s">
        <v>17</v>
      </c>
      <c r="F240" s="8" t="s">
        <v>151</v>
      </c>
      <c r="G240" s="8" t="s">
        <v>2635</v>
      </c>
      <c r="H240" s="8" t="str">
        <f aca="false">"att_"&amp;G240</f>
        <v>att_lc_system</v>
      </c>
      <c r="I240" s="8" t="s">
        <v>1344</v>
      </c>
      <c r="J240" s="8" t="str">
        <f aca="false">H240&amp;":"&amp;I240</f>
        <v>att_lc_system:easylc1</v>
      </c>
      <c r="K240" s="16" t="s">
        <v>21</v>
      </c>
      <c r="L240" s="8" t="s">
        <v>1345</v>
      </c>
      <c r="M240" s="8" t="s">
        <v>17</v>
      </c>
      <c r="N240" s="8" t="str">
        <f aca="false">"INSERT INTO attributes (parent_id, tag, name, priority, allow_as_filter, allow_for_dataset, allow_for_measurement, allow_for_users, allow_for_qc) VALUES (NULL, '"&amp;H240&amp;"',  '"&amp;F240&amp;"',  500,  TRUE, TRUE, TRUE, FALSE, FALSE);"</f>
        <v>INSERT INTO attributes (parent_id, tag, name, priority, allow_as_filter, allow_for_dataset, allow_for_measurement, allow_for_users, allow_for_qc) VALUES (NULL, 'att_lc_system',  'LC System',  500,  TRUE, TRUE, TRUE, FALSE, FALSE);</v>
      </c>
      <c r="O240" s="8" t="str">
        <f aca="false">"INSERT INTO attribute_values (attribute_id, tag, name, details) VALUES ((SELECT id FROM attributes WHERE tag = '"&amp;H240&amp;"' LIMIT 1),  '"&amp;J240&amp;"',  '"&amp;D240&amp;"',  '"&amp;L240&amp;"'); "</f>
        <v>INSERT INTO attribute_values (attribute_id, tag, name, details) VALUES ((SELECT id FROM attributes WHERE tag = 'att_lc_system' LIMIT 1),  'att_lc_system:easylc1',  'Easy LC1',  'Easy LC1');</v>
      </c>
    </row>
    <row r="241" customFormat="false" ht="12.75" hidden="false" customHeight="false" outlineLevel="0" collapsed="false">
      <c r="A241" s="16" t="s">
        <v>21</v>
      </c>
      <c r="B241" s="16"/>
      <c r="C241" s="8" t="s">
        <v>1346</v>
      </c>
      <c r="D241" s="8" t="s">
        <v>1347</v>
      </c>
      <c r="E241" s="8" t="s">
        <v>17</v>
      </c>
      <c r="F241" s="8" t="s">
        <v>151</v>
      </c>
      <c r="G241" s="8" t="s">
        <v>2635</v>
      </c>
      <c r="H241" s="8" t="str">
        <f aca="false">"att_"&amp;G241</f>
        <v>att_lc_system</v>
      </c>
      <c r="I241" s="8" t="s">
        <v>1346</v>
      </c>
      <c r="J241" s="8" t="str">
        <f aca="false">H241&amp;":"&amp;I241</f>
        <v>att_lc_system:easylc2</v>
      </c>
      <c r="K241" s="16" t="s">
        <v>21</v>
      </c>
      <c r="L241" s="8" t="s">
        <v>1347</v>
      </c>
      <c r="M241" s="8" t="s">
        <v>17</v>
      </c>
      <c r="N241" s="8" t="str">
        <f aca="false">"INSERT INTO attributes (parent_id, tag, name, priority, allow_as_filter, allow_for_dataset, allow_for_measurement, allow_for_users, allow_for_qc) VALUES (NULL, '"&amp;H241&amp;"',  '"&amp;F241&amp;"',  500,  TRUE, TRUE, TRUE, FALSE, FALSE);"</f>
        <v>INSERT INTO attributes (parent_id, tag, name, priority, allow_as_filter, allow_for_dataset, allow_for_measurement, allow_for_users, allow_for_qc) VALUES (NULL, 'att_lc_system',  'LC System',  500,  TRUE, TRUE, TRUE, FALSE, FALSE);</v>
      </c>
      <c r="O241" s="8" t="str">
        <f aca="false">"INSERT INTO attribute_values (attribute_id, tag, name, details) VALUES ((SELECT id FROM attributes WHERE tag = '"&amp;H241&amp;"' LIMIT 1),  '"&amp;J241&amp;"',  '"&amp;D241&amp;"',  '"&amp;L241&amp;"'); "</f>
        <v>INSERT INTO attribute_values (attribute_id, tag, name, details) VALUES ((SELECT id FROM attributes WHERE tag = 'att_lc_system' LIMIT 1),  'att_lc_system:easylc2',  'Easy LC2',  'Easy LC2');</v>
      </c>
    </row>
    <row r="242" customFormat="false" ht="12.75" hidden="false" customHeight="false" outlineLevel="0" collapsed="false">
      <c r="A242" s="16" t="s">
        <v>21</v>
      </c>
      <c r="B242" s="16"/>
      <c r="C242" s="8" t="s">
        <v>1348</v>
      </c>
      <c r="D242" s="8" t="s">
        <v>1349</v>
      </c>
      <c r="E242" s="8" t="s">
        <v>17</v>
      </c>
      <c r="F242" s="8" t="s">
        <v>151</v>
      </c>
      <c r="G242" s="8" t="s">
        <v>2635</v>
      </c>
      <c r="H242" s="8" t="str">
        <f aca="false">"att_"&amp;G242</f>
        <v>att_lc_system</v>
      </c>
      <c r="I242" s="8" t="s">
        <v>1348</v>
      </c>
      <c r="J242" s="8" t="str">
        <f aca="false">H242&amp;":"&amp;I242</f>
        <v>att_lc_system:evosep1</v>
      </c>
      <c r="K242" s="16" t="s">
        <v>21</v>
      </c>
      <c r="L242" s="8" t="s">
        <v>1350</v>
      </c>
      <c r="M242" s="8" t="s">
        <v>17</v>
      </c>
      <c r="N242" s="8" t="str">
        <f aca="false">"INSERT INTO attributes (parent_id, tag, name, priority, allow_as_filter, allow_for_dataset, allow_for_measurement, allow_for_users, allow_for_qc) VALUES (NULL, '"&amp;H242&amp;"',  '"&amp;F242&amp;"',  500,  TRUE, TRUE, TRUE, FALSE, FALSE);"</f>
        <v>INSERT INTO attributes (parent_id, tag, name, priority, allow_as_filter, allow_for_dataset, allow_for_measurement, allow_for_users, allow_for_qc) VALUES (NULL, 'att_lc_system',  'LC System',  500,  TRUE, TRUE, TRUE, FALSE, FALSE);</v>
      </c>
      <c r="O242" s="8" t="str">
        <f aca="false">"INSERT INTO attribute_values (attribute_id, tag, name, details) VALUES ((SELECT id FROM attributes WHERE tag = '"&amp;H242&amp;"' LIMIT 1),  '"&amp;J242&amp;"',  '"&amp;D242&amp;"',  '"&amp;L242&amp;"'); "</f>
        <v>INSERT INTO attribute_values (attribute_id, tag, name, details) VALUES ((SELECT id FROM attributes WHERE tag = 'att_lc_system' LIMIT 1),  'att_lc_system:evosep1',  'Evosep1',  'Evosep 1');</v>
      </c>
    </row>
    <row r="243" customFormat="false" ht="12.75" hidden="false" customHeight="false" outlineLevel="0" collapsed="false">
      <c r="A243" s="16" t="s">
        <v>21</v>
      </c>
      <c r="B243" s="16"/>
      <c r="C243" s="8" t="s">
        <v>1351</v>
      </c>
      <c r="D243" s="8" t="s">
        <v>1352</v>
      </c>
      <c r="E243" s="8" t="s">
        <v>17</v>
      </c>
      <c r="F243" s="8" t="s">
        <v>151</v>
      </c>
      <c r="G243" s="8" t="s">
        <v>2635</v>
      </c>
      <c r="H243" s="8" t="str">
        <f aca="false">"att_"&amp;G243</f>
        <v>att_lc_system</v>
      </c>
      <c r="I243" s="8" t="s">
        <v>1351</v>
      </c>
      <c r="J243" s="8" t="str">
        <f aca="false">H243&amp;":"&amp;I243</f>
        <v>att_lc_system:vanquishneo1</v>
      </c>
      <c r="K243" s="16" t="s">
        <v>21</v>
      </c>
      <c r="L243" s="8" t="s">
        <v>1352</v>
      </c>
      <c r="M243" s="8" t="s">
        <v>17</v>
      </c>
      <c r="N243" s="8" t="str">
        <f aca="false">"INSERT INTO attributes (parent_id, tag, name, priority, allow_as_filter, allow_for_dataset, allow_for_measurement, allow_for_users, allow_for_qc) VALUES (NULL, '"&amp;H243&amp;"',  '"&amp;F243&amp;"',  500,  TRUE, TRUE, TRUE, FALSE, FALSE);"</f>
        <v>INSERT INTO attributes (parent_id, tag, name, priority, allow_as_filter, allow_for_dataset, allow_for_measurement, allow_for_users, allow_for_qc) VALUES (NULL, 'att_lc_system',  'LC System',  500,  TRUE, TRUE, TRUE, FALSE, FALSE);</v>
      </c>
      <c r="O243" s="8" t="str">
        <f aca="false">"INSERT INTO attribute_values (attribute_id, tag, name, details) VALUES ((SELECT id FROM attributes WHERE tag = '"&amp;H243&amp;"' LIMIT 1),  '"&amp;J243&amp;"',  '"&amp;D243&amp;"',  '"&amp;L243&amp;"'); "</f>
        <v>INSERT INTO attribute_values (attribute_id, tag, name, details) VALUES ((SELECT id FROM attributes WHERE tag = 'att_lc_system' LIMIT 1),  'att_lc_system:vanquishneo1',  'Vanquish Neo1',  'Vanquish Neo1');</v>
      </c>
    </row>
    <row r="244" customFormat="false" ht="12.75" hidden="false" customHeight="false" outlineLevel="0" collapsed="false">
      <c r="A244" s="17" t="n">
        <f aca="false">FALSE()</f>
        <v>0</v>
      </c>
      <c r="B244" s="17"/>
      <c r="C244" s="8" t="s">
        <v>1846</v>
      </c>
      <c r="D244" s="8" t="s">
        <v>1848</v>
      </c>
      <c r="E244" s="8" t="s">
        <v>17</v>
      </c>
      <c r="F244" s="8" t="s">
        <v>2636</v>
      </c>
      <c r="G244" s="8" t="s">
        <v>2637</v>
      </c>
      <c r="H244" s="8" t="str">
        <f aca="false">"att_"&amp;G244</f>
        <v>att_mockup</v>
      </c>
      <c r="I244" s="8" t="s">
        <v>1846</v>
      </c>
      <c r="J244" s="8" t="str">
        <f aca="false">H244&amp;":"&amp;I244</f>
        <v>att_mockup:arbitrary</v>
      </c>
      <c r="K244" s="16" t="s">
        <v>21</v>
      </c>
      <c r="L244" s="8" t="s">
        <v>1849</v>
      </c>
      <c r="M244" s="8" t="s">
        <v>17</v>
      </c>
      <c r="N244" s="8" t="str">
        <f aca="false">"INSERT INTO attributes (parent_id, tag, name, priority, allow_as_filter, allow_for_dataset, allow_for_measurement, allow_for_users, allow_for_qc) VALUES (NULL, '"&amp;H244&amp;"',  '"&amp;F244&amp;"',  500,  TRUE, TRUE, TRUE, FALSE, FALSE);"</f>
        <v>INSERT INTO attributes (parent_id, tag, name, priority, allow_as_filter, allow_for_dataset, allow_for_measurement, allow_for_users, allow_for_qc) VALUES (NULL, 'att_mockup',  'Mockup',  500,  TRUE, TRUE, TRUE, FALSE, FALSE);</v>
      </c>
      <c r="O244" s="8" t="str">
        <f aca="false">"INSERT INTO attribute_values (attribute_id, tag, name, details) VALUES ((SELECT id FROM attributes WHERE tag = '"&amp;H244&amp;"' LIMIT 1),  '"&amp;J244&amp;"',  '"&amp;D244&amp;"',  '"&amp;L244&amp;"'); "</f>
        <v>INSERT INTO attribute_values (attribute_id, tag, name, details) VALUES ((SELECT id FROM attributes WHERE tag = 'att_mockup' LIMIT 1),  'att_mockup:arbitrary',  'Arbitrary',  'Mock categorie that can be used');</v>
      </c>
    </row>
    <row r="245" customFormat="false" ht="12.75" hidden="false" customHeight="false" outlineLevel="0" collapsed="false">
      <c r="A245" s="17" t="n">
        <f aca="false">FALSE()</f>
        <v>0</v>
      </c>
      <c r="B245" s="17"/>
      <c r="C245" s="8" t="s">
        <v>1850</v>
      </c>
      <c r="D245" s="8" t="s">
        <v>1851</v>
      </c>
      <c r="E245" s="8" t="s">
        <v>17</v>
      </c>
      <c r="F245" s="8" t="s">
        <v>2636</v>
      </c>
      <c r="G245" s="8" t="s">
        <v>2637</v>
      </c>
      <c r="H245" s="8" t="str">
        <f aca="false">"att_"&amp;G245</f>
        <v>att_mockup</v>
      </c>
      <c r="I245" s="8" t="s">
        <v>1850</v>
      </c>
      <c r="J245" s="8" t="str">
        <f aca="false">H245&amp;":"&amp;I245</f>
        <v>att_mockup:random</v>
      </c>
      <c r="K245" s="16" t="s">
        <v>21</v>
      </c>
      <c r="L245" s="8" t="s">
        <v>1849</v>
      </c>
      <c r="M245" s="8" t="s">
        <v>17</v>
      </c>
      <c r="N245" s="8" t="str">
        <f aca="false">"INSERT INTO attributes (parent_id, tag, name, priority, allow_as_filter, allow_for_dataset, allow_for_measurement, allow_for_users, allow_for_qc) VALUES (NULL, '"&amp;H245&amp;"',  '"&amp;F245&amp;"',  500,  TRUE, TRUE, TRUE, FALSE, FALSE);"</f>
        <v>INSERT INTO attributes (parent_id, tag, name, priority, allow_as_filter, allow_for_dataset, allow_for_measurement, allow_for_users, allow_for_qc) VALUES (NULL, 'att_mockup',  'Mockup',  500,  TRUE, TRUE, TRUE, FALSE, FALSE);</v>
      </c>
      <c r="O245" s="8" t="str">
        <f aca="false">"INSERT INTO attribute_values (attribute_id, tag, name, details) VALUES ((SELECT id FROM attributes WHERE tag = '"&amp;H245&amp;"' LIMIT 1),  '"&amp;J245&amp;"',  '"&amp;D245&amp;"',  '"&amp;L245&amp;"'); "</f>
        <v>INSERT INTO attribute_values (attribute_id, tag, name, details) VALUES ((SELECT id FROM attributes WHERE tag = 'att_mockup' LIMIT 1),  'att_mockup:random',  'Random',  'Mock categorie that can be used');</v>
      </c>
    </row>
    <row r="246" customFormat="false" ht="12.75" hidden="false" customHeight="false" outlineLevel="0" collapsed="false">
      <c r="A246" s="17" t="n">
        <f aca="false">FALSE()</f>
        <v>0</v>
      </c>
      <c r="B246" s="17"/>
      <c r="C246" s="8" t="s">
        <v>2638</v>
      </c>
      <c r="D246" s="8" t="s">
        <v>1853</v>
      </c>
      <c r="E246" s="8" t="s">
        <v>17</v>
      </c>
      <c r="F246" s="8" t="s">
        <v>164</v>
      </c>
      <c r="G246" s="8" t="s">
        <v>2639</v>
      </c>
      <c r="H246" s="8" t="str">
        <f aca="false">"att_"&amp;G246</f>
        <v>att_model</v>
      </c>
      <c r="I246" s="8" t="s">
        <v>1852</v>
      </c>
      <c r="J246" s="8" t="str">
        <f aca="false">H246&amp;":"&amp;I246</f>
        <v>att_model:in_vitro</v>
      </c>
      <c r="K246" s="16" t="s">
        <v>21</v>
      </c>
      <c r="L246" s="8" t="s">
        <v>1854</v>
      </c>
      <c r="M246" s="8" t="s">
        <v>17</v>
      </c>
      <c r="N246" s="8" t="str">
        <f aca="false">"INSERT INTO attributes (parent_id, tag, name, priority, allow_as_filter, allow_for_dataset, allow_for_measurement, allow_for_users, allow_for_qc) VALUES (NULL, '"&amp;H246&amp;"',  '"&amp;F246&amp;"',  500,  TRUE, TRUE, TRUE, FALSE, FALSE);"</f>
        <v>INSERT INTO attributes (parent_id, tag, name, priority, allow_as_filter, allow_for_dataset, allow_for_measurement, allow_for_users, allow_for_qc) VALUES (NULL, 'att_model',  'Model',  500,  TRUE, TRUE, TRUE, FALSE, FALSE);</v>
      </c>
      <c r="O246" s="8" t="str">
        <f aca="false">"INSERT INTO attribute_values (attribute_id, tag, name, details) VALUES ((SELECT id FROM attributes WHERE tag = '"&amp;H246&amp;"' LIMIT 1),  '"&amp;J246&amp;"',  '"&amp;D246&amp;"',  '"&amp;L246&amp;"'); "</f>
        <v>INSERT INTO attribute_values (attribute_id, tag, name, details) VALUES ((SELECT id FROM attributes WHERE tag = 'att_model' LIMIT 1),  'att_model:in_vitro',  'In vitro',  'in the glass');</v>
      </c>
    </row>
    <row r="247" customFormat="false" ht="12.75" hidden="false" customHeight="false" outlineLevel="0" collapsed="false">
      <c r="A247" s="17" t="n">
        <f aca="false">FALSE()</f>
        <v>0</v>
      </c>
      <c r="B247" s="17"/>
      <c r="C247" s="8" t="s">
        <v>2640</v>
      </c>
      <c r="D247" s="8" t="s">
        <v>1856</v>
      </c>
      <c r="E247" s="8" t="s">
        <v>17</v>
      </c>
      <c r="F247" s="8" t="s">
        <v>164</v>
      </c>
      <c r="G247" s="8" t="s">
        <v>2639</v>
      </c>
      <c r="H247" s="8" t="str">
        <f aca="false">"att_"&amp;G247</f>
        <v>att_model</v>
      </c>
      <c r="I247" s="8" t="s">
        <v>1855</v>
      </c>
      <c r="J247" s="8" t="str">
        <f aca="false">H247&amp;":"&amp;I247</f>
        <v>att_model:in_vivo</v>
      </c>
      <c r="K247" s="16" t="s">
        <v>21</v>
      </c>
      <c r="L247" s="8" t="s">
        <v>1857</v>
      </c>
      <c r="M247" s="8" t="s">
        <v>17</v>
      </c>
      <c r="N247" s="8" t="str">
        <f aca="false">"INSERT INTO attributes (parent_id, tag, name, priority, allow_as_filter, allow_for_dataset, allow_for_measurement, allow_for_users, allow_for_qc) VALUES (NULL, '"&amp;H247&amp;"',  '"&amp;F247&amp;"',  500,  TRUE, TRUE, TRUE, FALSE, FALSE);"</f>
        <v>INSERT INTO attributes (parent_id, tag, name, priority, allow_as_filter, allow_for_dataset, allow_for_measurement, allow_for_users, allow_for_qc) VALUES (NULL, 'att_model',  'Model',  500,  TRUE, TRUE, TRUE, FALSE, FALSE);</v>
      </c>
      <c r="O247" s="8" t="str">
        <f aca="false">"INSERT INTO attribute_values (attribute_id, tag, name, details) VALUES ((SELECT id FROM attributes WHERE tag = '"&amp;H247&amp;"' LIMIT 1),  '"&amp;J247&amp;"',  '"&amp;D247&amp;"',  '"&amp;L247&amp;"'); "</f>
        <v>INSERT INTO attribute_values (attribute_id, tag, name, details) VALUES ((SELECT id FROM attributes WHERE tag = 'att_model' LIMIT 1),  'att_model:in_vivo',  'In vivo',  'within the living');</v>
      </c>
    </row>
    <row r="248" customFormat="false" ht="12.75" hidden="false" customHeight="false" outlineLevel="0" collapsed="false">
      <c r="A248" s="17" t="n">
        <f aca="false">FALSE()</f>
        <v>0</v>
      </c>
      <c r="B248" s="17"/>
      <c r="C248" s="8" t="s">
        <v>1858</v>
      </c>
      <c r="D248" s="8" t="s">
        <v>1858</v>
      </c>
      <c r="E248" s="8" t="s">
        <v>17</v>
      </c>
      <c r="F248" s="8" t="s">
        <v>164</v>
      </c>
      <c r="G248" s="8" t="s">
        <v>2639</v>
      </c>
      <c r="H248" s="8" t="str">
        <f aca="false">"att_"&amp;G248</f>
        <v>att_model</v>
      </c>
      <c r="I248" s="8" t="s">
        <v>1858</v>
      </c>
      <c r="J248" s="8" t="str">
        <f aca="false">H248&amp;":"&amp;I248</f>
        <v>att_model:xenografts</v>
      </c>
      <c r="K248" s="16" t="s">
        <v>21</v>
      </c>
      <c r="L248" s="8" t="s">
        <v>1859</v>
      </c>
      <c r="M248" s="8" t="s">
        <v>17</v>
      </c>
      <c r="N248" s="8" t="str">
        <f aca="false">"INSERT INTO attributes (parent_id, tag, name, priority, allow_as_filter, allow_for_dataset, allow_for_measurement, allow_for_users, allow_for_qc) VALUES (NULL, '"&amp;H248&amp;"',  '"&amp;F248&amp;"',  500,  TRUE, TRUE, TRUE, FALSE, FALSE);"</f>
        <v>INSERT INTO attributes (parent_id, tag, name, priority, allow_as_filter, allow_for_dataset, allow_for_measurement, allow_for_users, allow_for_qc) VALUES (NULL, 'att_model',  'Model',  500,  TRUE, TRUE, TRUE, FALSE, FALSE);</v>
      </c>
      <c r="O248" s="8" t="str">
        <f aca="false">"INSERT INTO attribute_values (attribute_id, tag, name, details) VALUES ((SELECT id FROM attributes WHERE tag = '"&amp;H248&amp;"' LIMIT 1),  '"&amp;J248&amp;"',  '"&amp;D248&amp;"',  '"&amp;L248&amp;"'); "</f>
        <v>INSERT INTO attribute_values (attribute_id, tag, name, details) VALUES ((SELECT id FROM attributes WHERE tag = 'att_model' LIMIT 1),  'att_model:xenografts',  'xenografts',  'Tissue or cells implanted into a model animal');</v>
      </c>
    </row>
    <row r="249" customFormat="false" ht="12.75" hidden="false" customHeight="false" outlineLevel="0" collapsed="false">
      <c r="A249" s="17"/>
      <c r="B249" s="17"/>
      <c r="K249" s="16"/>
    </row>
    <row r="250" customFormat="false" ht="12.75" hidden="false" customHeight="false" outlineLevel="0" collapsed="false">
      <c r="A250" s="17"/>
      <c r="B250" s="17"/>
      <c r="C250" s="8" t="s">
        <v>2641</v>
      </c>
      <c r="D250" s="8" t="s">
        <v>716</v>
      </c>
      <c r="F250" s="8" t="s">
        <v>68</v>
      </c>
      <c r="G250" s="8" t="s">
        <v>2642</v>
      </c>
      <c r="H250" s="8" t="str">
        <f aca="false">"att_"&amp;G250</f>
        <v>att_column_type</v>
      </c>
      <c r="I250" s="8" t="s">
        <v>715</v>
      </c>
      <c r="J250" s="8" t="str">
        <f aca="false">H250&amp;":"&amp;I250</f>
        <v>att_column_type:aurora</v>
      </c>
      <c r="K250" s="16"/>
      <c r="L250" s="8" t="s">
        <v>717</v>
      </c>
      <c r="N250" s="8" t="str">
        <f aca="false">"INSERT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customFormat="false" ht="12.75" hidden="false" customHeight="false" outlineLevel="0" collapsed="false">
      <c r="A251" s="17"/>
      <c r="B251" s="17"/>
      <c r="C251" s="8" t="s">
        <v>2643</v>
      </c>
      <c r="D251" s="8" t="s">
        <v>722</v>
      </c>
      <c r="F251" s="8" t="s">
        <v>68</v>
      </c>
      <c r="G251" s="8" t="s">
        <v>2642</v>
      </c>
      <c r="H251" s="8" t="str">
        <f aca="false">"att_"&amp;G251</f>
        <v>att_column_type</v>
      </c>
      <c r="I251" s="8" t="s">
        <v>721</v>
      </c>
      <c r="J251" s="8" t="str">
        <f aca="false">H251&amp;":"&amp;I251</f>
        <v>att_column_type:inhouse</v>
      </c>
      <c r="K251" s="16"/>
      <c r="L251" s="8" t="s">
        <v>723</v>
      </c>
      <c r="N251" s="8" t="str">
        <f aca="false">"INSERT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customFormat="false" ht="12.75" hidden="false" customHeight="false" outlineLevel="0" collapsed="false">
      <c r="B252" s="17"/>
      <c r="C252" s="8" t="s">
        <v>2644</v>
      </c>
      <c r="D252" s="8" t="s">
        <v>719</v>
      </c>
      <c r="F252" s="8" t="s">
        <v>68</v>
      </c>
      <c r="G252" s="8" t="s">
        <v>2642</v>
      </c>
      <c r="H252" s="8" t="str">
        <f aca="false">"att_"&amp;G252</f>
        <v>att_column_type</v>
      </c>
      <c r="I252" s="8" t="s">
        <v>718</v>
      </c>
      <c r="J252" s="8" t="str">
        <f aca="false">H252&amp;":"&amp;I252</f>
        <v>att_column_type:easyspray</v>
      </c>
      <c r="K252" s="16"/>
      <c r="L252" s="8" t="s">
        <v>720</v>
      </c>
    </row>
    <row r="253" customFormat="false" ht="12.75" hidden="false" customHeight="false" outlineLevel="0" collapsed="false">
      <c r="A253" s="17"/>
      <c r="B253" s="17"/>
      <c r="C253" s="8" t="s">
        <v>2645</v>
      </c>
      <c r="D253" s="8" t="s">
        <v>731</v>
      </c>
      <c r="F253" s="8" t="s">
        <v>68</v>
      </c>
      <c r="G253" s="8" t="s">
        <v>2642</v>
      </c>
      <c r="H253" s="8" t="str">
        <f aca="false">"att_"&amp;G253</f>
        <v>att_column_type</v>
      </c>
      <c r="I253" s="8" t="s">
        <v>730</v>
      </c>
      <c r="J253" s="8" t="str">
        <f aca="false">H253&amp;":"&amp;I253</f>
        <v>att_column_type:upac_neo</v>
      </c>
      <c r="K253" s="16"/>
      <c r="L253" s="8" t="s">
        <v>732</v>
      </c>
    </row>
    <row r="254" customFormat="false" ht="12.75" hidden="false" customHeight="false" outlineLevel="0" collapsed="false">
      <c r="A254" s="17"/>
      <c r="B254" s="17"/>
      <c r="C254" s="8" t="s">
        <v>2646</v>
      </c>
      <c r="D254" s="21" t="s">
        <v>725</v>
      </c>
      <c r="F254" s="8" t="s">
        <v>68</v>
      </c>
      <c r="G254" s="8" t="s">
        <v>2642</v>
      </c>
      <c r="H254" s="8" t="str">
        <f aca="false">"att_"&amp;G254</f>
        <v>att_column_type</v>
      </c>
      <c r="I254" s="8" t="s">
        <v>724</v>
      </c>
      <c r="J254" s="8" t="str">
        <f aca="false">H254&amp;":"&amp;I254</f>
        <v>att_column_type:upac_doubleviper</v>
      </c>
      <c r="K254" s="16"/>
      <c r="L254" s="8" t="s">
        <v>726</v>
      </c>
    </row>
    <row r="255" customFormat="false" ht="12.75" hidden="false" customHeight="false" outlineLevel="0" collapsed="false">
      <c r="A255" s="17"/>
      <c r="B255" s="17"/>
      <c r="C255" s="8" t="s">
        <v>2645</v>
      </c>
      <c r="D255" s="21" t="s">
        <v>728</v>
      </c>
      <c r="F255" s="8" t="s">
        <v>68</v>
      </c>
      <c r="G255" s="8" t="s">
        <v>2642</v>
      </c>
      <c r="H255" s="8" t="str">
        <f aca="false">"att_"&amp;G255</f>
        <v>att_column_type</v>
      </c>
      <c r="I255" s="8" t="s">
        <v>727</v>
      </c>
      <c r="J255" s="8" t="str">
        <f aca="false">H255&amp;":"&amp;I255</f>
        <v>att_column_type:upac_low_loadneo</v>
      </c>
      <c r="K255" s="16"/>
      <c r="L255" s="8" t="s">
        <v>729</v>
      </c>
    </row>
    <row r="256" customFormat="false" ht="12.75" hidden="false" customHeight="false" outlineLevel="0" collapsed="false">
      <c r="A256" s="17"/>
      <c r="B256" s="17"/>
      <c r="D256" s="21"/>
      <c r="K256" s="16"/>
    </row>
    <row r="257" customFormat="false" ht="12.75" hidden="false" customHeight="false" outlineLevel="0" collapsed="false">
      <c r="A257" s="16" t="s">
        <v>21</v>
      </c>
      <c r="B257" s="16"/>
      <c r="C257" s="8" t="s">
        <v>2647</v>
      </c>
      <c r="D257" s="8" t="s">
        <v>2648</v>
      </c>
      <c r="E257" s="8" t="s">
        <v>17</v>
      </c>
      <c r="F257" s="8" t="s">
        <v>2649</v>
      </c>
      <c r="G257" s="8" t="s">
        <v>2650</v>
      </c>
      <c r="H257" s="8" t="str">
        <f aca="false">"att_"&amp;G257</f>
        <v>att_mslc_column_configuration</v>
      </c>
      <c r="I257" s="8" t="s">
        <v>695</v>
      </c>
      <c r="J257" s="8" t="str">
        <f aca="false">H257&amp;":"&amp;I257</f>
        <v>att_mslc_column_configuration:15cm</v>
      </c>
      <c r="K257" s="16" t="s">
        <v>21</v>
      </c>
      <c r="L257" s="8" t="s">
        <v>2651</v>
      </c>
      <c r="M257" s="8" t="s">
        <v>17</v>
      </c>
      <c r="N257" s="8" t="str">
        <f aca="false">"INSERT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8" t="str">
        <f aca="false">"INSERT INTO attribute_values (attribute_id, tag, name, details) VALUES ((SELECT id FROM attributes WHERE tag = '"&amp;H257&amp;"' LIMIT 1),  '"&amp;J257&amp;"',  '"&amp;D257&amp;"',  '"&amp;L257&amp;"'); "</f>
        <v>INSERT INTO attribute_values (attribute_id, tag, name, details) VALUES ((SELECT id FROM attributes WHERE tag = 'att_mslc_column_configuration' LIMIT 1),  'att_mslc_column_configuration:15cm',  'Auroa 15 cm',  'Auroa 15 cm MS Column');</v>
      </c>
    </row>
    <row r="258" customFormat="false" ht="12.75" hidden="false" customHeight="false" outlineLevel="0" collapsed="false">
      <c r="A258" s="16" t="s">
        <v>21</v>
      </c>
      <c r="B258" s="16"/>
      <c r="C258" s="8" t="s">
        <v>2652</v>
      </c>
      <c r="D258" s="8" t="s">
        <v>2653</v>
      </c>
      <c r="E258" s="8" t="s">
        <v>17</v>
      </c>
      <c r="F258" s="8" t="s">
        <v>2649</v>
      </c>
      <c r="G258" s="8" t="s">
        <v>2650</v>
      </c>
      <c r="H258" s="8" t="str">
        <f aca="false">"att_"&amp;G258</f>
        <v>att_mslc_column_configuration</v>
      </c>
      <c r="I258" s="8" t="s">
        <v>2654</v>
      </c>
      <c r="J258" s="8" t="str">
        <f aca="false">H258&amp;":"&amp;I258</f>
        <v>att_mslc_column_configuration:25cm</v>
      </c>
      <c r="K258" s="16" t="s">
        <v>21</v>
      </c>
      <c r="L258" s="8" t="s">
        <v>2655</v>
      </c>
      <c r="M258" s="8" t="s">
        <v>17</v>
      </c>
      <c r="N258" s="8" t="str">
        <f aca="false">"INSERT INTO attributes (parent_id, tag, name, priority, allow_as_filter, allow_for_dataset, allow_for_measurement, allow_for_users, allow_for_qc) VALUES (NULL, '"&amp;H258&amp;"',  '"&amp;F258&amp;"',  500,  TRUE, TRUE, TRUE, FALSE, FALSE);"</f>
        <v>INSERT INTO attributes (parent_id, tag, name, priority, allow_as_filter, allow_for_dataset, allow_for_measurement, allow_for_users, allow_for_qc) VALUES (NULL, 'att_mslc_column_configuration',  'LC Column Configuration',  500,  TRUE, TRUE, TRUE, FALSE, FALSE);</v>
      </c>
      <c r="O258" s="8" t="str">
        <f aca="false">"INSERT INTO attribute_values (attribute_id, tag, name, details) VALUES ((SELECT id FROM attributes WHERE tag = '"&amp;H258&amp;"' LIMIT 1),  '"&amp;J258&amp;"',  '"&amp;D258&amp;"',  '"&amp;L258&amp;"'); "</f>
        <v>INSERT INTO attribute_values (attribute_id, tag, name, details) VALUES ((SELECT id FROM attributes WHERE tag = 'att_mslc_column_configuration' LIMIT 1),  'att_mslc_column_configuration:25cm',  'Auroa 25 cm',  'Auroa 25 cm MS Column');</v>
      </c>
    </row>
    <row r="259" customFormat="false" ht="12.75" hidden="false" customHeight="false" outlineLevel="0" collapsed="false">
      <c r="A259" s="16" t="s">
        <v>21</v>
      </c>
      <c r="B259" s="16"/>
      <c r="C259" s="8" t="s">
        <v>2656</v>
      </c>
      <c r="D259" s="8" t="s">
        <v>2657</v>
      </c>
      <c r="E259" s="8" t="s">
        <v>17</v>
      </c>
      <c r="F259" s="8" t="s">
        <v>2649</v>
      </c>
      <c r="G259" s="8" t="s">
        <v>2650</v>
      </c>
      <c r="H259" s="8" t="str">
        <f aca="false">"att_"&amp;G259</f>
        <v>att_mslc_column_configuration</v>
      </c>
      <c r="I259" s="8" t="s">
        <v>697</v>
      </c>
      <c r="J259" s="8" t="str">
        <f aca="false">H259&amp;":"&amp;I259</f>
        <v>att_mslc_column_configuration:30cm</v>
      </c>
      <c r="K259" s="16" t="s">
        <v>21</v>
      </c>
      <c r="L259" s="8" t="s">
        <v>2658</v>
      </c>
      <c r="M259" s="8" t="s">
        <v>17</v>
      </c>
      <c r="N259" s="8" t="str">
        <f aca="false">"INSERT INTO attributes (parent_id, tag, name, priority, allow_as_filter, allow_for_dataset, allow_for_measurement, allow_for_users, allow_for_qc) VALUES (NULL, '"&amp;H259&amp;"',  '"&amp;F259&amp;"',  500,  TRUE, TRUE, TRUE, FALSE, FALSE);"</f>
        <v>INSERT INTO attributes (parent_id, tag, name, priority, allow_as_filter, allow_for_dataset, allow_for_measurement, allow_for_users, allow_for_qc) VALUES (NULL, 'att_mslc_column_configuration',  'LC Column Configuration',  500,  TRUE, TRUE, TRUE, FALSE, FALSE);</v>
      </c>
      <c r="O259" s="8" t="str">
        <f aca="false">"INSERT INTO attribute_values (attribute_id, tag, name, details) VALUES ((SELECT id FROM attributes WHERE tag = '"&amp;H259&amp;"' LIMIT 1),  '"&amp;J259&amp;"',  '"&amp;D259&amp;"',  '"&amp;L259&amp;"'); "</f>
        <v>INSERT INTO attribute_values (attribute_id, tag, name, details) VALUES ((SELECT id FROM attributes WHERE tag = 'att_mslc_column_configuration' LIMIT 1),  'att_mslc_column_configuration:30cm',  'Auroa 30 cm',  'Auroa 30 cm MS Column');</v>
      </c>
    </row>
    <row r="260" customFormat="false" ht="12.75" hidden="false" customHeight="false" outlineLevel="0" collapsed="false">
      <c r="A260" s="16" t="s">
        <v>21</v>
      </c>
      <c r="B260" s="16"/>
      <c r="C260" s="8" t="s">
        <v>2659</v>
      </c>
      <c r="D260" s="8" t="s">
        <v>2660</v>
      </c>
      <c r="E260" s="8" t="s">
        <v>17</v>
      </c>
      <c r="F260" s="8" t="s">
        <v>2649</v>
      </c>
      <c r="G260" s="8" t="s">
        <v>2650</v>
      </c>
      <c r="H260" s="8" t="str">
        <f aca="false">"att_"&amp;G260</f>
        <v>att_mslc_column_configuration</v>
      </c>
      <c r="I260" s="8" t="s">
        <v>699</v>
      </c>
      <c r="J260" s="8" t="str">
        <f aca="false">H260&amp;":"&amp;I260</f>
        <v>att_mslc_column_configuration:50cm</v>
      </c>
      <c r="K260" s="16" t="s">
        <v>21</v>
      </c>
      <c r="L260" s="8" t="s">
        <v>2661</v>
      </c>
      <c r="M260" s="8" t="s">
        <v>17</v>
      </c>
      <c r="N260" s="8" t="str">
        <f aca="false">"INSERT INTO attributes (parent_id, tag, name, priority, allow_as_filter, allow_for_dataset, allow_for_measurement, allow_for_users, allow_for_qc) VALUES (NULL, '"&amp;H260&amp;"',  '"&amp;F260&amp;"',  500,  TRUE, TRUE, TRUE, FALSE, FALSE);"</f>
        <v>INSERT INTO attributes (parent_id, tag, name, priority, allow_as_filter, allow_for_dataset, allow_for_measurement, allow_for_users, allow_for_qc) VALUES (NULL, 'att_mslc_column_configuration',  'LC Column Configuration',  500,  TRUE, TRUE, TRUE, FALSE, FALSE);</v>
      </c>
      <c r="O260" s="8" t="str">
        <f aca="false">"INSERT INTO attribute_values (attribute_id, tag, name, details) VALUES ((SELECT id FROM attributes WHERE tag = '"&amp;H260&amp;"' LIMIT 1),  '"&amp;J260&amp;"',  '"&amp;D260&amp;"',  '"&amp;L260&amp;"'); "</f>
        <v>INSERT INTO attribute_values (attribute_id, tag, name, details) VALUES ((SELECT id FROM attributes WHERE tag = 'att_mslc_column_configuration' LIMIT 1),  'att_mslc_column_configuration:50cm',  'Auroa 50 cm',  'Auroa 50 cm MS Column');</v>
      </c>
    </row>
    <row r="261" customFormat="false" ht="12.75" hidden="false" customHeight="false" outlineLevel="0" collapsed="false">
      <c r="A261" s="16" t="s">
        <v>21</v>
      </c>
      <c r="B261" s="17"/>
      <c r="C261" s="8" t="s">
        <v>2662</v>
      </c>
      <c r="D261" s="8" t="s">
        <v>2663</v>
      </c>
      <c r="E261" s="8" t="s">
        <v>17</v>
      </c>
      <c r="F261" s="8" t="s">
        <v>2649</v>
      </c>
      <c r="G261" s="8" t="s">
        <v>2650</v>
      </c>
      <c r="H261" s="8" t="str">
        <f aca="false">"att_"&amp;G261</f>
        <v>att_mslc_column_configuration</v>
      </c>
      <c r="I261" s="8" t="s">
        <v>2662</v>
      </c>
      <c r="J261" s="8" t="str">
        <f aca="false">H261&amp;":"&amp;I261</f>
        <v>att_mslc_column_configuration:column_inhouse</v>
      </c>
      <c r="K261" s="16" t="s">
        <v>21</v>
      </c>
      <c r="L261" s="8" t="s">
        <v>2664</v>
      </c>
      <c r="M261" s="8" t="s">
        <v>17</v>
      </c>
      <c r="N261" s="8" t="str">
        <f aca="false">"INSERT INTO attributes (parent_id, tag, name, priority, allow_as_filter, allow_for_dataset, allow_for_measurement, allow_for_users, allow_for_qc) VALUES (NULL, '"&amp;H261&amp;"',  '"&amp;F261&amp;"',  500,  TRUE, TRUE, TRUE, FALSE, FALSE);"</f>
        <v>INSERT INTO attributes (parent_id, tag, name, priority, allow_as_filter, allow_for_dataset, allow_for_measurement, allow_for_users, allow_for_qc) VALUES (NULL, 'att_mslc_column_configuration',  'LC Column Configuration',  500,  TRUE, TRUE, TRUE, FALSE, FALSE);</v>
      </c>
      <c r="O261" s="8" t="str">
        <f aca="false">"INSERT INTO attribute_values (attribute_id, tag, name, details) VALUES ((SELECT id FROM attributes WHERE tag = '"&amp;H261&amp;"' LIMIT 1),  '"&amp;J261&amp;"',  '"&amp;D261&amp;"',  '"&amp;L261&amp;"'); "</f>
        <v>INSERT INTO attribute_values (attribute_id, tag, name, details) VALUES ((SELECT id FROM attributes WHERE tag = 'att_mslc_column_configuration' LIMIT 1),  'att_mslc_column_configuration:column_inhouse',  'In-house',  'In-House Column');</v>
      </c>
    </row>
    <row r="262" customFormat="false" ht="12.75" hidden="false" customHeight="false" outlineLevel="0" collapsed="false">
      <c r="A262" s="16" t="s">
        <v>21</v>
      </c>
      <c r="B262" s="17"/>
      <c r="C262" s="8" t="s">
        <v>2665</v>
      </c>
      <c r="D262" s="8" t="s">
        <v>2666</v>
      </c>
      <c r="E262" s="8" t="s">
        <v>17</v>
      </c>
      <c r="F262" s="8" t="s">
        <v>2649</v>
      </c>
      <c r="G262" s="8" t="s">
        <v>2650</v>
      </c>
      <c r="H262" s="8" t="str">
        <f aca="false">"att_"&amp;G262</f>
        <v>att_mslc_column_configuration</v>
      </c>
      <c r="I262" s="8" t="s">
        <v>2665</v>
      </c>
      <c r="J262" s="8" t="str">
        <f aca="false">H262&amp;":"&amp;I262</f>
        <v>att_mslc_column_configuration:trap</v>
      </c>
      <c r="K262" s="16" t="s">
        <v>21</v>
      </c>
      <c r="L262" s="8" t="s">
        <v>2667</v>
      </c>
      <c r="M262" s="8" t="s">
        <v>17</v>
      </c>
      <c r="N262" s="8" t="str">
        <f aca="false">"INSERT INTO attributes (parent_id, tag, name, priority, allow_as_filter, allow_for_dataset, allow_for_measurement, allow_for_users, allow_for_qc) VALUES (NULL, '"&amp;H262&amp;"',  '"&amp;F262&amp;"',  500,  TRUE, TRUE, TRUE, FALSE, FALSE);"</f>
        <v>INSERT INTO attributes (parent_id, tag, name, priority, allow_as_filter, allow_for_dataset, allow_for_measurement, allow_for_users, allow_for_qc) VALUES (NULL, 'att_mslc_column_configuration',  'LC Column Configuration',  500,  TRUE, TRUE, TRUE, FALSE, FALSE);</v>
      </c>
      <c r="O262" s="8" t="str">
        <f aca="false">"INSERT INTO attribute_values (attribute_id, tag, name, details) VALUES ((SELECT id FROM attributes WHERE tag = '"&amp;H262&amp;"' LIMIT 1),  '"&amp;J262&amp;"',  '"&amp;D262&amp;"',  '"&amp;L262&amp;"'); "</f>
        <v>INSERT INTO attribute_values (attribute_id, tag, name, details) VALUES ((SELECT id FROM attributes WHERE tag = 'att_mslc_column_configuration' LIMIT 1),  'att_mslc_column_configuration:trap',  'Trap',  'MS-Setting: Trap');</v>
      </c>
    </row>
    <row r="263" customFormat="false" ht="12.75" hidden="false" customHeight="false" outlineLevel="0" collapsed="false">
      <c r="A263" s="16"/>
      <c r="B263" s="17"/>
      <c r="K263" s="16"/>
    </row>
    <row r="264" s="19" customFormat="true" ht="12.75" hidden="false" customHeight="false" outlineLevel="0" collapsed="false">
      <c r="A264" s="20" t="s">
        <v>19</v>
      </c>
      <c r="B264" s="18"/>
      <c r="C264" s="19" t="s">
        <v>1879</v>
      </c>
      <c r="D264" s="19" t="s">
        <v>1880</v>
      </c>
      <c r="E264" s="19" t="s">
        <v>17</v>
      </c>
      <c r="G264" s="19" t="s">
        <v>2668</v>
      </c>
      <c r="H264" s="19" t="str">
        <f aca="false">"att_"&amp;G264</f>
        <v>att_ms_interface</v>
      </c>
      <c r="I264" s="19" t="s">
        <v>1879</v>
      </c>
      <c r="J264" s="19" t="str">
        <f aca="false">H264&amp;":"&amp;I264</f>
        <v>att_ms_interface:faims</v>
      </c>
      <c r="K264" s="20" t="s">
        <v>21</v>
      </c>
      <c r="L264" s="19" t="s">
        <v>1881</v>
      </c>
      <c r="M264" s="19" t="s">
        <v>17</v>
      </c>
      <c r="N264" s="19" t="str">
        <f aca="false">"INSERT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9" t="str">
        <f aca="false">"INSERT INTO attribute_values (attribute_id, tag, name, details) VALUES ((SELECT id FROM attributes WHERE tag = '"&amp;H264&amp;"' LIMIT 1),  '"&amp;J264&amp;"',  '"&amp;D264&amp;"',  '"&amp;L264&amp;"'); "</f>
        <v>INSERT INTO attribute_values (attribute_id, tag, name, details) VALUES ((SELECT id FROM attributes WHERE tag = 'att_ms_interface' LIMIT 1),  'att_ms_interface:faims',  'Faims',  'FAIMS module attached to the mass spectrometer. Please specify the CV value');</v>
      </c>
    </row>
    <row r="265" s="19" customFormat="true" ht="12.75" hidden="false" customHeight="false" outlineLevel="0" collapsed="false">
      <c r="A265" s="20"/>
      <c r="B265" s="18"/>
      <c r="C265" s="19" t="s">
        <v>2669</v>
      </c>
      <c r="D265" s="19" t="s">
        <v>1891</v>
      </c>
      <c r="F265" s="19" t="s">
        <v>168</v>
      </c>
      <c r="G265" s="19" t="s">
        <v>2670</v>
      </c>
      <c r="H265" s="19" t="str">
        <f aca="false">"att_"&amp;G265</f>
        <v>att_ms_ionsource</v>
      </c>
      <c r="I265" s="19" t="s">
        <v>1890</v>
      </c>
      <c r="J265" s="19" t="str">
        <f aca="false">H265&amp;":"&amp;I265</f>
        <v>att_ms_ionsource:ion_max</v>
      </c>
      <c r="K265" s="20"/>
      <c r="L265" s="19" t="s">
        <v>1892</v>
      </c>
    </row>
    <row r="266" customFormat="false" ht="12.75" hidden="false" customHeight="false" outlineLevel="0" collapsed="false">
      <c r="A266" s="16"/>
      <c r="B266" s="17"/>
      <c r="C266" s="19" t="s">
        <v>2669</v>
      </c>
      <c r="D266" s="8" t="s">
        <v>1885</v>
      </c>
      <c r="F266" s="8" t="s">
        <v>168</v>
      </c>
      <c r="G266" s="19" t="s">
        <v>2670</v>
      </c>
      <c r="H266" s="19" t="str">
        <f aca="false">"att_"&amp;G266</f>
        <v>att_ms_ionsource</v>
      </c>
      <c r="I266" s="19" t="s">
        <v>1884</v>
      </c>
      <c r="J266" s="19" t="str">
        <f aca="false">H266&amp;":"&amp;I266</f>
        <v>att_ms_ionsource:easy_spray</v>
      </c>
      <c r="K266" s="16"/>
      <c r="L266" s="8" t="s">
        <v>1886</v>
      </c>
    </row>
    <row r="267" customFormat="false" ht="12.75" hidden="false" customHeight="false" outlineLevel="0" collapsed="false">
      <c r="A267" s="16"/>
      <c r="B267" s="17"/>
      <c r="C267" s="19" t="s">
        <v>2669</v>
      </c>
      <c r="D267" s="8" t="s">
        <v>1888</v>
      </c>
      <c r="F267" s="8" t="s">
        <v>168</v>
      </c>
      <c r="G267" s="19" t="s">
        <v>2670</v>
      </c>
      <c r="H267" s="19" t="str">
        <f aca="false">"att_"&amp;G267</f>
        <v>att_ms_ionsource</v>
      </c>
      <c r="I267" s="19" t="s">
        <v>1887</v>
      </c>
      <c r="J267" s="19" t="str">
        <f aca="false">H267&amp;":"&amp;I267</f>
        <v>att_ms_ionsource:flex</v>
      </c>
      <c r="K267" s="16"/>
      <c r="L267" s="8" t="s">
        <v>1889</v>
      </c>
    </row>
    <row r="268" customFormat="false" ht="12.75" hidden="false" customHeight="false" outlineLevel="0" collapsed="false">
      <c r="A268" s="16"/>
      <c r="B268" s="17"/>
      <c r="I268" s="19"/>
      <c r="J268" s="19"/>
      <c r="K268" s="16"/>
    </row>
    <row r="269" customFormat="false" ht="12.75" hidden="false" customHeight="false" outlineLevel="0" collapsed="false">
      <c r="A269" s="17" t="n">
        <f aca="false">FALSE()</f>
        <v>0</v>
      </c>
      <c r="B269" s="17"/>
      <c r="C269" s="8" t="s">
        <v>2122</v>
      </c>
      <c r="D269" s="8" t="s">
        <v>2123</v>
      </c>
      <c r="E269" s="8" t="s">
        <v>17</v>
      </c>
      <c r="F269" s="8" t="s">
        <v>199</v>
      </c>
      <c r="G269" s="8" t="s">
        <v>2671</v>
      </c>
      <c r="H269" s="8" t="str">
        <f aca="false">"att_"&amp;G269</f>
        <v>att_organ</v>
      </c>
      <c r="I269" s="8" t="s">
        <v>2122</v>
      </c>
      <c r="J269" s="8" t="str">
        <f aca="false">H269&amp;":"&amp;I269</f>
        <v>att_organ:appendix</v>
      </c>
      <c r="K269" s="16" t="s">
        <v>21</v>
      </c>
      <c r="L269" s="8" t="s">
        <v>2123</v>
      </c>
      <c r="M269" s="8" t="s">
        <v>17</v>
      </c>
      <c r="N269" s="8" t="str">
        <f aca="false">"INSERT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8" t="str">
        <f aca="false">"INSERT INTO attribute_values (attribute_id, tag, name, details) VALUES ((SELECT id FROM attributes WHERE tag = '"&amp;H269&amp;"' LIMIT 1),  '"&amp;J269&amp;"',  '"&amp;D269&amp;"',  '"&amp;L269&amp;"'); "</f>
        <v>INSERT INTO attribute_values (attribute_id, tag, name, details) VALUES ((SELECT id FROM attributes WHERE tag = 'att_organ' LIMIT 1),  'att_organ:appendix',  'Appendix',  'Appendix');</v>
      </c>
    </row>
    <row r="270" customFormat="false" ht="12.75" hidden="false" customHeight="false" outlineLevel="0" collapsed="false">
      <c r="A270" s="17" t="n">
        <f aca="false">FALSE()</f>
        <v>0</v>
      </c>
      <c r="B270" s="17"/>
      <c r="C270" s="8" t="s">
        <v>2124</v>
      </c>
      <c r="D270" s="8" t="s">
        <v>2125</v>
      </c>
      <c r="E270" s="8" t="s">
        <v>17</v>
      </c>
      <c r="F270" s="8" t="s">
        <v>199</v>
      </c>
      <c r="G270" s="8" t="s">
        <v>2671</v>
      </c>
      <c r="H270" s="8" t="str">
        <f aca="false">"att_"&amp;G270</f>
        <v>att_organ</v>
      </c>
      <c r="I270" s="8" t="s">
        <v>2124</v>
      </c>
      <c r="J270" s="8" t="str">
        <f aca="false">H270&amp;":"&amp;I270</f>
        <v>att_organ:arteries</v>
      </c>
      <c r="K270" s="16" t="s">
        <v>21</v>
      </c>
      <c r="L270" s="8" t="s">
        <v>2125</v>
      </c>
      <c r="M270" s="8" t="s">
        <v>17</v>
      </c>
      <c r="N270" s="8" t="str">
        <f aca="false">"INSERT INTO attributes (parent_id, tag, name, priority, allow_as_filter, allow_for_dataset, allow_for_measurement, allow_for_users, allow_for_qc) VALUES (NULL, '"&amp;H270&amp;"',  '"&amp;F270&amp;"',  500,  TRUE, TRUE, TRUE, FALSE, FALSE);"</f>
        <v>INSERT INTO attributes (parent_id, tag, name, priority, allow_as_filter, allow_for_dataset, allow_for_measurement, allow_for_users, allow_for_qc) VALUES (NULL, 'att_organ',  'Organ',  500,  TRUE, TRUE, TRUE, FALSE, FALSE);</v>
      </c>
      <c r="O270" s="8" t="str">
        <f aca="false">"INSERT INTO attribute_values (attribute_id, tag, name, details) VALUES ((SELECT id FROM attributes WHERE tag = '"&amp;H270&amp;"' LIMIT 1),  '"&amp;J270&amp;"',  '"&amp;D270&amp;"',  '"&amp;L270&amp;"'); "</f>
        <v>INSERT INTO attribute_values (attribute_id, tag, name, details) VALUES ((SELECT id FROM attributes WHERE tag = 'att_organ' LIMIT 1),  'att_organ:arteries',  'Arteries',  'Arteries');</v>
      </c>
    </row>
    <row r="271" customFormat="false" ht="12.75" hidden="false" customHeight="false" outlineLevel="0" collapsed="false">
      <c r="A271" s="17" t="n">
        <f aca="false">FALSE()</f>
        <v>0</v>
      </c>
      <c r="B271" s="17"/>
      <c r="C271" s="8" t="s">
        <v>2126</v>
      </c>
      <c r="D271" s="8" t="s">
        <v>2127</v>
      </c>
      <c r="E271" s="8" t="s">
        <v>17</v>
      </c>
      <c r="F271" s="8" t="s">
        <v>199</v>
      </c>
      <c r="G271" s="8" t="s">
        <v>2671</v>
      </c>
      <c r="H271" s="8" t="str">
        <f aca="false">"att_"&amp;G271</f>
        <v>att_organ</v>
      </c>
      <c r="I271" s="8" t="s">
        <v>2126</v>
      </c>
      <c r="J271" s="8" t="str">
        <f aca="false">H271&amp;":"&amp;I271</f>
        <v>att_organ:bladder</v>
      </c>
      <c r="K271" s="16" t="s">
        <v>21</v>
      </c>
      <c r="L271" s="8" t="s">
        <v>2127</v>
      </c>
      <c r="M271" s="8" t="s">
        <v>17</v>
      </c>
      <c r="N271" s="8" t="str">
        <f aca="false">"INSERT INTO attributes (parent_id, tag, name, priority, allow_as_filter, allow_for_dataset, allow_for_measurement, allow_for_users, allow_for_qc) VALUES (NULL, '"&amp;H271&amp;"',  '"&amp;F271&amp;"',  500,  TRUE, TRUE, TRUE, FALSE, FALSE);"</f>
        <v>INSERT INTO attributes (parent_id, tag, name, priority, allow_as_filter, allow_for_dataset, allow_for_measurement, allow_for_users, allow_for_qc) VALUES (NULL, 'att_organ',  'Organ',  500,  TRUE, TRUE, TRUE, FALSE, FALSE);</v>
      </c>
      <c r="O271" s="8" t="str">
        <f aca="false">"INSERT INTO attribute_values (attribute_id, tag, name, details) VALUES ((SELECT id FROM attributes WHERE tag = '"&amp;H271&amp;"' LIMIT 1),  '"&amp;J271&amp;"',  '"&amp;D271&amp;"',  '"&amp;L271&amp;"'); "</f>
        <v>INSERT INTO attribute_values (attribute_id, tag, name, details) VALUES ((SELECT id FROM attributes WHERE tag = 'att_organ' LIMIT 1),  'att_organ:bladder',  'Bladder',  'Bladder');</v>
      </c>
    </row>
    <row r="272" customFormat="false" ht="12.75" hidden="false" customHeight="false" outlineLevel="0" collapsed="false">
      <c r="A272" s="17" t="n">
        <f aca="false">FALSE()</f>
        <v>0</v>
      </c>
      <c r="B272" s="17"/>
      <c r="C272" s="8" t="s">
        <v>2128</v>
      </c>
      <c r="D272" s="8" t="s">
        <v>2129</v>
      </c>
      <c r="E272" s="8" t="s">
        <v>17</v>
      </c>
      <c r="F272" s="8" t="s">
        <v>199</v>
      </c>
      <c r="G272" s="8" t="s">
        <v>2671</v>
      </c>
      <c r="H272" s="8" t="str">
        <f aca="false">"att_"&amp;G272</f>
        <v>att_organ</v>
      </c>
      <c r="I272" s="8" t="s">
        <v>2128</v>
      </c>
      <c r="J272" s="8" t="str">
        <f aca="false">H272&amp;":"&amp;I272</f>
        <v>att_organ:bone_marrow</v>
      </c>
      <c r="K272" s="16" t="s">
        <v>21</v>
      </c>
      <c r="L272" s="8" t="s">
        <v>2129</v>
      </c>
      <c r="M272" s="8" t="s">
        <v>17</v>
      </c>
      <c r="N272" s="8" t="str">
        <f aca="false">"INSERT INTO attributes (parent_id, tag, name, priority, allow_as_filter, allow_for_dataset, allow_for_measurement, allow_for_users, allow_for_qc) VALUES (NULL, '"&amp;H272&amp;"',  '"&amp;F272&amp;"',  500,  TRUE, TRUE, TRUE, FALSE, FALSE);"</f>
        <v>INSERT INTO attributes (parent_id, tag, name, priority, allow_as_filter, allow_for_dataset, allow_for_measurement, allow_for_users, allow_for_qc) VALUES (NULL, 'att_organ',  'Organ',  500,  TRUE, TRUE, TRUE, FALSE, FALSE);</v>
      </c>
      <c r="O272" s="8" t="str">
        <f aca="false">"INSERT INTO attribute_values (attribute_id, tag, name, details) VALUES ((SELECT id FROM attributes WHERE tag = '"&amp;H272&amp;"' LIMIT 1),  '"&amp;J272&amp;"',  '"&amp;D272&amp;"',  '"&amp;L272&amp;"'); "</f>
        <v>INSERT INTO attribute_values (attribute_id, tag, name, details) VALUES ((SELECT id FROM attributes WHERE tag = 'att_organ' LIMIT 1),  'att_organ:bone_marrow',  'Bone_Marrow',  'Bone_Marrow');</v>
      </c>
    </row>
    <row r="273" customFormat="false" ht="12.75" hidden="false" customHeight="false" outlineLevel="0" collapsed="false">
      <c r="A273" s="17" t="n">
        <f aca="false">FALSE()</f>
        <v>0</v>
      </c>
      <c r="B273" s="17"/>
      <c r="C273" s="8" t="s">
        <v>2130</v>
      </c>
      <c r="D273" s="8" t="s">
        <v>2131</v>
      </c>
      <c r="E273" s="8" t="s">
        <v>17</v>
      </c>
      <c r="F273" s="8" t="s">
        <v>199</v>
      </c>
      <c r="G273" s="8" t="s">
        <v>2671</v>
      </c>
      <c r="H273" s="8" t="str">
        <f aca="false">"att_"&amp;G273</f>
        <v>att_organ</v>
      </c>
      <c r="I273" s="8" t="s">
        <v>2130</v>
      </c>
      <c r="J273" s="8" t="str">
        <f aca="false">H273&amp;":"&amp;I273</f>
        <v>att_organ:brain</v>
      </c>
      <c r="K273" s="16" t="s">
        <v>21</v>
      </c>
      <c r="L273" s="8" t="s">
        <v>2131</v>
      </c>
      <c r="M273" s="8" t="s">
        <v>17</v>
      </c>
      <c r="N273" s="8" t="str">
        <f aca="false">"INSERT INTO attributes (parent_id, tag, name, priority, allow_as_filter, allow_for_dataset, allow_for_measurement, allow_for_users, allow_for_qc) VALUES (NULL, '"&amp;H273&amp;"',  '"&amp;F273&amp;"',  500,  TRUE, TRUE, TRUE, FALSE, FALSE);"</f>
        <v>INSERT INTO attributes (parent_id, tag, name, priority, allow_as_filter, allow_for_dataset, allow_for_measurement, allow_for_users, allow_for_qc) VALUES (NULL, 'att_organ',  'Organ',  500,  TRUE, TRUE, TRUE, FALSE, FALSE);</v>
      </c>
      <c r="O273" s="8" t="str">
        <f aca="false">"INSERT INTO attribute_values (attribute_id, tag, name, details) VALUES ((SELECT id FROM attributes WHERE tag = '"&amp;H273&amp;"' LIMIT 1),  '"&amp;J273&amp;"',  '"&amp;D273&amp;"',  '"&amp;L273&amp;"'); "</f>
        <v>INSERT INTO attribute_values (attribute_id, tag, name, details) VALUES ((SELECT id FROM attributes WHERE tag = 'att_organ' LIMIT 1),  'att_organ:brain',  'Brain',  'Brain');</v>
      </c>
    </row>
    <row r="274" customFormat="false" ht="12.75" hidden="false" customHeight="false" outlineLevel="0" collapsed="false">
      <c r="A274" s="17" t="n">
        <f aca="false">FALSE()</f>
        <v>0</v>
      </c>
      <c r="B274" s="17"/>
      <c r="C274" s="8" t="s">
        <v>2132</v>
      </c>
      <c r="D274" s="8" t="s">
        <v>2133</v>
      </c>
      <c r="E274" s="8" t="s">
        <v>17</v>
      </c>
      <c r="F274" s="8" t="s">
        <v>199</v>
      </c>
      <c r="G274" s="8" t="s">
        <v>2671</v>
      </c>
      <c r="H274" s="8" t="str">
        <f aca="false">"att_"&amp;G274</f>
        <v>att_organ</v>
      </c>
      <c r="I274" s="8" t="s">
        <v>2132</v>
      </c>
      <c r="J274" s="8" t="str">
        <f aca="false">H274&amp;":"&amp;I274</f>
        <v>att_organ:bronchi</v>
      </c>
      <c r="K274" s="16" t="s">
        <v>21</v>
      </c>
      <c r="L274" s="8" t="s">
        <v>2133</v>
      </c>
      <c r="M274" s="8" t="s">
        <v>17</v>
      </c>
      <c r="N274" s="8" t="str">
        <f aca="false">"INSERT INTO attributes (parent_id, tag, name, priority, allow_as_filter, allow_for_dataset, allow_for_measurement, allow_for_users, allow_for_qc) VALUES (NULL, '"&amp;H274&amp;"',  '"&amp;F274&amp;"',  500,  TRUE, TRUE, TRUE, FALSE, FALSE);"</f>
        <v>INSERT INTO attributes (parent_id, tag, name, priority, allow_as_filter, allow_for_dataset, allow_for_measurement, allow_for_users, allow_for_qc) VALUES (NULL, 'att_organ',  'Organ',  500,  TRUE, TRUE, TRUE, FALSE, FALSE);</v>
      </c>
      <c r="O274" s="8" t="str">
        <f aca="false">"INSERT INTO attribute_values (attribute_id, tag, name, details) VALUES ((SELECT id FROM attributes WHERE tag = '"&amp;H274&amp;"' LIMIT 1),  '"&amp;J274&amp;"',  '"&amp;D274&amp;"',  '"&amp;L274&amp;"'); "</f>
        <v>INSERT INTO attribute_values (attribute_id, tag, name, details) VALUES ((SELECT id FROM attributes WHERE tag = 'att_organ' LIMIT 1),  'att_organ:bronchi',  'Bronchi',  'Bronchi');</v>
      </c>
    </row>
    <row r="275" customFormat="false" ht="12.75" hidden="false" customHeight="false" outlineLevel="0" collapsed="false">
      <c r="A275" s="17" t="n">
        <f aca="false">FALSE()</f>
        <v>0</v>
      </c>
      <c r="B275" s="17"/>
      <c r="C275" s="8" t="s">
        <v>2134</v>
      </c>
      <c r="D275" s="8" t="s">
        <v>2135</v>
      </c>
      <c r="E275" s="8" t="s">
        <v>17</v>
      </c>
      <c r="F275" s="8" t="s">
        <v>199</v>
      </c>
      <c r="G275" s="8" t="s">
        <v>2671</v>
      </c>
      <c r="H275" s="8" t="str">
        <f aca="false">"att_"&amp;G275</f>
        <v>att_organ</v>
      </c>
      <c r="I275" s="8" t="s">
        <v>2134</v>
      </c>
      <c r="J275" s="8" t="str">
        <f aca="false">H275&amp;":"&amp;I275</f>
        <v>att_organ:cecum</v>
      </c>
      <c r="K275" s="16" t="s">
        <v>21</v>
      </c>
      <c r="L275" s="8" t="s">
        <v>2135</v>
      </c>
      <c r="M275" s="8" t="s">
        <v>17</v>
      </c>
      <c r="N275" s="8" t="str">
        <f aca="false">"INSERT INTO attributes (parent_id, tag, name, priority, allow_as_filter, allow_for_dataset, allow_for_measurement, allow_for_users, allow_for_qc) VALUES (NULL, '"&amp;H275&amp;"',  '"&amp;F275&amp;"',  500,  TRUE, TRUE, TRUE, FALSE, FALSE);"</f>
        <v>INSERT INTO attributes (parent_id, tag, name, priority, allow_as_filter, allow_for_dataset, allow_for_measurement, allow_for_users, allow_for_qc) VALUES (NULL, 'att_organ',  'Organ',  500,  TRUE, TRUE, TRUE, FALSE, FALSE);</v>
      </c>
      <c r="O275" s="8" t="str">
        <f aca="false">"INSERT INTO attribute_values (attribute_id, tag, name, details) VALUES ((SELECT id FROM attributes WHERE tag = '"&amp;H275&amp;"' LIMIT 1),  '"&amp;J275&amp;"',  '"&amp;D275&amp;"',  '"&amp;L275&amp;"'); "</f>
        <v>INSERT INTO attribute_values (attribute_id, tag, name, details) VALUES ((SELECT id FROM attributes WHERE tag = 'att_organ' LIMIT 1),  'att_organ:cecum',  'Cecum',  'Cecum');</v>
      </c>
    </row>
    <row r="276" customFormat="false" ht="12.75" hidden="false" customHeight="false" outlineLevel="0" collapsed="false">
      <c r="A276" s="17" t="n">
        <f aca="false">FALSE()</f>
        <v>0</v>
      </c>
      <c r="B276" s="17"/>
      <c r="C276" s="8" t="s">
        <v>2136</v>
      </c>
      <c r="D276" s="8" t="s">
        <v>2137</v>
      </c>
      <c r="E276" s="8" t="s">
        <v>17</v>
      </c>
      <c r="F276" s="8" t="s">
        <v>199</v>
      </c>
      <c r="G276" s="8" t="s">
        <v>2671</v>
      </c>
      <c r="H276" s="8" t="str">
        <f aca="false">"att_"&amp;G276</f>
        <v>att_organ</v>
      </c>
      <c r="I276" s="8" t="s">
        <v>2136</v>
      </c>
      <c r="J276" s="8" t="str">
        <f aca="false">H276&amp;":"&amp;I276</f>
        <v>att_organ:cerebellum</v>
      </c>
      <c r="K276" s="16" t="s">
        <v>21</v>
      </c>
      <c r="L276" s="8" t="s">
        <v>2137</v>
      </c>
      <c r="M276" s="8" t="s">
        <v>17</v>
      </c>
      <c r="N276" s="8" t="str">
        <f aca="false">"INSERT INTO attributes (parent_id, tag, name, priority, allow_as_filter, allow_for_dataset, allow_for_measurement, allow_for_users, allow_for_qc) VALUES (NULL, '"&amp;H276&amp;"',  '"&amp;F276&amp;"',  500,  TRUE, TRUE, TRUE, FALSE, FALSE);"</f>
        <v>INSERT INTO attributes (parent_id, tag, name, priority, allow_as_filter, allow_for_dataset, allow_for_measurement, allow_for_users, allow_for_qc) VALUES (NULL, 'att_organ',  'Organ',  500,  TRUE, TRUE, TRUE, FALSE, FALSE);</v>
      </c>
      <c r="O276" s="8" t="str">
        <f aca="false">"INSERT INTO attribute_values (attribute_id, tag, name, details) VALUES ((SELECT id FROM attributes WHERE tag = '"&amp;H276&amp;"' LIMIT 1),  '"&amp;J276&amp;"',  '"&amp;D276&amp;"',  '"&amp;L276&amp;"'); "</f>
        <v>INSERT INTO attribute_values (attribute_id, tag, name, details) VALUES ((SELECT id FROM attributes WHERE tag = 'att_organ' LIMIT 1),  'att_organ:cerebellum',  'Cerebellum',  'Cerebellum');</v>
      </c>
    </row>
    <row r="277" customFormat="false" ht="12.75" hidden="false" customHeight="false" outlineLevel="0" collapsed="false">
      <c r="A277" s="17" t="n">
        <f aca="false">FALSE()</f>
        <v>0</v>
      </c>
      <c r="B277" s="17"/>
      <c r="C277" s="8" t="s">
        <v>2138</v>
      </c>
      <c r="D277" s="8" t="s">
        <v>2139</v>
      </c>
      <c r="E277" s="8" t="s">
        <v>17</v>
      </c>
      <c r="F277" s="8" t="s">
        <v>199</v>
      </c>
      <c r="G277" s="8" t="s">
        <v>2671</v>
      </c>
      <c r="H277" s="8" t="str">
        <f aca="false">"att_"&amp;G277</f>
        <v>att_organ</v>
      </c>
      <c r="I277" s="8" t="s">
        <v>2138</v>
      </c>
      <c r="J277" s="8" t="str">
        <f aca="false">H277&amp;":"&amp;I277</f>
        <v>att_organ:cerebrum</v>
      </c>
      <c r="K277" s="16" t="s">
        <v>21</v>
      </c>
      <c r="L277" s="8" t="s">
        <v>2139</v>
      </c>
      <c r="M277" s="8" t="s">
        <v>17</v>
      </c>
      <c r="N277" s="8" t="str">
        <f aca="false">"INSERT INTO attributes (parent_id, tag, name, priority, allow_as_filter, allow_for_dataset, allow_for_measurement, allow_for_users, allow_for_qc) VALUES (NULL, '"&amp;H277&amp;"',  '"&amp;F277&amp;"',  500,  TRUE, TRUE, TRUE, FALSE, FALSE);"</f>
        <v>INSERT INTO attributes (parent_id, tag, name, priority, allow_as_filter, allow_for_dataset, allow_for_measurement, allow_for_users, allow_for_qc) VALUES (NULL, 'att_organ',  'Organ',  500,  TRUE, TRUE, TRUE, FALSE, FALSE);</v>
      </c>
      <c r="O277" s="8" t="str">
        <f aca="false">"INSERT INTO attribute_values (attribute_id, tag, name, details) VALUES ((SELECT id FROM attributes WHERE tag = '"&amp;H277&amp;"' LIMIT 1),  '"&amp;J277&amp;"',  '"&amp;D277&amp;"',  '"&amp;L277&amp;"'); "</f>
        <v>INSERT INTO attribute_values (attribute_id, tag, name, details) VALUES ((SELECT id FROM attributes WHERE tag = 'att_organ' LIMIT 1),  'att_organ:cerebrum',  'Cerebrum',  'Cerebrum');</v>
      </c>
    </row>
    <row r="278" customFormat="false" ht="12.75" hidden="false" customHeight="false" outlineLevel="0" collapsed="false">
      <c r="A278" s="17" t="n">
        <f aca="false">FALSE()</f>
        <v>0</v>
      </c>
      <c r="B278" s="17"/>
      <c r="C278" s="8" t="s">
        <v>2140</v>
      </c>
      <c r="D278" s="8" t="s">
        <v>2141</v>
      </c>
      <c r="E278" s="8" t="s">
        <v>17</v>
      </c>
      <c r="F278" s="8" t="s">
        <v>199</v>
      </c>
      <c r="G278" s="8" t="s">
        <v>2671</v>
      </c>
      <c r="H278" s="8" t="str">
        <f aca="false">"att_"&amp;G278</f>
        <v>att_organ</v>
      </c>
      <c r="I278" s="8" t="s">
        <v>2140</v>
      </c>
      <c r="J278" s="8" t="str">
        <f aca="false">H278&amp;":"&amp;I278</f>
        <v>att_organ:ear</v>
      </c>
      <c r="K278" s="16" t="s">
        <v>21</v>
      </c>
      <c r="L278" s="8" t="s">
        <v>2141</v>
      </c>
      <c r="M278" s="8" t="s">
        <v>17</v>
      </c>
      <c r="N278" s="8" t="str">
        <f aca="false">"INSERT INTO attributes (parent_id, tag, name, priority, allow_as_filter, allow_for_dataset, allow_for_measurement, allow_for_users, allow_for_qc) VALUES (NULL, '"&amp;H278&amp;"',  '"&amp;F278&amp;"',  500,  TRUE, TRUE, TRUE, FALSE, FALSE);"</f>
        <v>INSERT INTO attributes (parent_id, tag, name, priority, allow_as_filter, allow_for_dataset, allow_for_measurement, allow_for_users, allow_for_qc) VALUES (NULL, 'att_organ',  'Organ',  500,  TRUE, TRUE, TRUE, FALSE, FALSE);</v>
      </c>
      <c r="O278" s="8" t="str">
        <f aca="false">"INSERT INTO attribute_values (attribute_id, tag, name, details) VALUES ((SELECT id FROM attributes WHERE tag = '"&amp;H278&amp;"' LIMIT 1),  '"&amp;J278&amp;"',  '"&amp;D278&amp;"',  '"&amp;L278&amp;"'); "</f>
        <v>INSERT INTO attribute_values (attribute_id, tag, name, details) VALUES ((SELECT id FROM attributes WHERE tag = 'att_organ' LIMIT 1),  'att_organ:ear',  'Ear',  'Ear');</v>
      </c>
    </row>
    <row r="279" customFormat="false" ht="12.75" hidden="false" customHeight="false" outlineLevel="0" collapsed="false">
      <c r="A279" s="17" t="n">
        <f aca="false">FALSE()</f>
        <v>0</v>
      </c>
      <c r="B279" s="17"/>
      <c r="C279" s="8" t="s">
        <v>2142</v>
      </c>
      <c r="D279" s="8" t="s">
        <v>2143</v>
      </c>
      <c r="E279" s="8" t="s">
        <v>17</v>
      </c>
      <c r="F279" s="8" t="s">
        <v>199</v>
      </c>
      <c r="G279" s="8" t="s">
        <v>2671</v>
      </c>
      <c r="H279" s="8" t="str">
        <f aca="false">"att_"&amp;G279</f>
        <v>att_organ</v>
      </c>
      <c r="I279" s="8" t="s">
        <v>2142</v>
      </c>
      <c r="J279" s="8" t="str">
        <f aca="false">H279&amp;":"&amp;I279</f>
        <v>att_organ:esophagus</v>
      </c>
      <c r="K279" s="16" t="s">
        <v>21</v>
      </c>
      <c r="L279" s="8" t="s">
        <v>2143</v>
      </c>
      <c r="M279" s="8" t="s">
        <v>17</v>
      </c>
      <c r="N279" s="8" t="str">
        <f aca="false">"INSERT INTO attributes (parent_id, tag, name, priority, allow_as_filter, allow_for_dataset, allow_for_measurement, allow_for_users, allow_for_qc) VALUES (NULL, '"&amp;H279&amp;"',  '"&amp;F279&amp;"',  500,  TRUE, TRUE, TRUE, FALSE, FALSE);"</f>
        <v>INSERT INTO attributes (parent_id, tag, name, priority, allow_as_filter, allow_for_dataset, allow_for_measurement, allow_for_users, allow_for_qc) VALUES (NULL, 'att_organ',  'Organ',  500,  TRUE, TRUE, TRUE, FALSE, FALSE);</v>
      </c>
      <c r="O279" s="8" t="str">
        <f aca="false">"INSERT INTO attribute_values (attribute_id, tag, name, details) VALUES ((SELECT id FROM attributes WHERE tag = '"&amp;H279&amp;"' LIMIT 1),  '"&amp;J279&amp;"',  '"&amp;D279&amp;"',  '"&amp;L279&amp;"'); "</f>
        <v>INSERT INTO attribute_values (attribute_id, tag, name, details) VALUES ((SELECT id FROM attributes WHERE tag = 'att_organ' LIMIT 1),  'att_organ:esophagus',  'Esophagus',  'Esophagus');</v>
      </c>
    </row>
    <row r="280" customFormat="false" ht="12.75" hidden="false" customHeight="false" outlineLevel="0" collapsed="false">
      <c r="A280" s="17" t="n">
        <f aca="false">FALSE()</f>
        <v>0</v>
      </c>
      <c r="B280" s="17"/>
      <c r="C280" s="8" t="s">
        <v>2144</v>
      </c>
      <c r="D280" s="8" t="s">
        <v>2145</v>
      </c>
      <c r="E280" s="8" t="s">
        <v>17</v>
      </c>
      <c r="F280" s="8" t="s">
        <v>199</v>
      </c>
      <c r="G280" s="8" t="s">
        <v>2671</v>
      </c>
      <c r="H280" s="8" t="str">
        <f aca="false">"att_"&amp;G280</f>
        <v>att_organ</v>
      </c>
      <c r="I280" s="8" t="s">
        <v>2144</v>
      </c>
      <c r="J280" s="8" t="str">
        <f aca="false">H280&amp;":"&amp;I280</f>
        <v>att_organ:eye</v>
      </c>
      <c r="K280" s="16" t="s">
        <v>21</v>
      </c>
      <c r="L280" s="8" t="s">
        <v>2145</v>
      </c>
      <c r="M280" s="8" t="s">
        <v>17</v>
      </c>
      <c r="N280" s="8" t="str">
        <f aca="false">"INSERT INTO attributes (parent_id, tag, name, priority, allow_as_filter, allow_for_dataset, allow_for_measurement, allow_for_users, allow_for_qc) VALUES (NULL, '"&amp;H280&amp;"',  '"&amp;F280&amp;"',  500,  TRUE, TRUE, TRUE, FALSE, FALSE);"</f>
        <v>INSERT INTO attributes (parent_id, tag, name, priority, allow_as_filter, allow_for_dataset, allow_for_measurement, allow_for_users, allow_for_qc) VALUES (NULL, 'att_organ',  'Organ',  500,  TRUE, TRUE, TRUE, FALSE, FALSE);</v>
      </c>
      <c r="O280" s="8" t="str">
        <f aca="false">"INSERT INTO attribute_values (attribute_id, tag, name, details) VALUES ((SELECT id FROM attributes WHERE tag = '"&amp;H280&amp;"' LIMIT 1),  '"&amp;J280&amp;"',  '"&amp;D280&amp;"',  '"&amp;L280&amp;"'); "</f>
        <v>INSERT INTO attribute_values (attribute_id, tag, name, details) VALUES ((SELECT id FROM attributes WHERE tag = 'att_organ' LIMIT 1),  'att_organ:eye',  'Eye',  'Eye');</v>
      </c>
    </row>
    <row r="281" customFormat="false" ht="12.75" hidden="false" customHeight="false" outlineLevel="0" collapsed="false">
      <c r="A281" s="17" t="n">
        <f aca="false">FALSE()</f>
        <v>0</v>
      </c>
      <c r="B281" s="17"/>
      <c r="C281" s="8" t="s">
        <v>2146</v>
      </c>
      <c r="D281" s="8" t="s">
        <v>2147</v>
      </c>
      <c r="E281" s="8" t="s">
        <v>17</v>
      </c>
      <c r="F281" s="8" t="s">
        <v>199</v>
      </c>
      <c r="G281" s="8" t="s">
        <v>2671</v>
      </c>
      <c r="H281" s="8" t="str">
        <f aca="false">"att_"&amp;G281</f>
        <v>att_organ</v>
      </c>
      <c r="I281" s="8" t="s">
        <v>2146</v>
      </c>
      <c r="J281" s="8" t="str">
        <f aca="false">H281&amp;":"&amp;I281</f>
        <v>att_organ:gallbladder</v>
      </c>
      <c r="K281" s="16" t="s">
        <v>21</v>
      </c>
      <c r="L281" s="8" t="s">
        <v>2147</v>
      </c>
      <c r="M281" s="8" t="s">
        <v>17</v>
      </c>
      <c r="N281" s="8" t="str">
        <f aca="false">"INSERT INTO attributes (parent_id, tag, name, priority, allow_as_filter, allow_for_dataset, allow_for_measurement, allow_for_users, allow_for_qc) VALUES (NULL, '"&amp;H281&amp;"',  '"&amp;F281&amp;"',  500,  TRUE, TRUE, TRUE, FALSE, FALSE);"</f>
        <v>INSERT INTO attributes (parent_id, tag, name, priority, allow_as_filter, allow_for_dataset, allow_for_measurement, allow_for_users, allow_for_qc) VALUES (NULL, 'att_organ',  'Organ',  500,  TRUE, TRUE, TRUE, FALSE, FALSE);</v>
      </c>
      <c r="O281" s="8" t="str">
        <f aca="false">"INSERT INTO attribute_values (attribute_id, tag, name, details) VALUES ((SELECT id FROM attributes WHERE tag = '"&amp;H281&amp;"' LIMIT 1),  '"&amp;J281&amp;"',  '"&amp;D281&amp;"',  '"&amp;L281&amp;"'); "</f>
        <v>INSERT INTO attribute_values (attribute_id, tag, name, details) VALUES ((SELECT id FROM attributes WHERE tag = 'att_organ' LIMIT 1),  'att_organ:gallbladder',  'Gallbladder',  'Gallbladder');</v>
      </c>
    </row>
    <row r="282" customFormat="false" ht="12.75" hidden="false" customHeight="false" outlineLevel="0" collapsed="false">
      <c r="A282" s="17" t="n">
        <f aca="false">FALSE()</f>
        <v>0</v>
      </c>
      <c r="B282" s="17"/>
      <c r="C282" s="8" t="s">
        <v>2148</v>
      </c>
      <c r="D282" s="8" t="s">
        <v>2149</v>
      </c>
      <c r="E282" s="8" t="s">
        <v>17</v>
      </c>
      <c r="F282" s="8" t="s">
        <v>199</v>
      </c>
      <c r="G282" s="8" t="s">
        <v>2671</v>
      </c>
      <c r="H282" s="8" t="str">
        <f aca="false">"att_"&amp;G282</f>
        <v>att_organ</v>
      </c>
      <c r="I282" s="8" t="s">
        <v>2148</v>
      </c>
      <c r="J282" s="8" t="str">
        <f aca="false">H282&amp;":"&amp;I282</f>
        <v>att_organ:ganglia</v>
      </c>
      <c r="K282" s="16" t="s">
        <v>21</v>
      </c>
      <c r="L282" s="8" t="s">
        <v>2149</v>
      </c>
      <c r="M282" s="8" t="s">
        <v>17</v>
      </c>
      <c r="N282" s="8" t="str">
        <f aca="false">"INSERT INTO attributes (parent_id, tag, name, priority, allow_as_filter, allow_for_dataset, allow_for_measurement, allow_for_users, allow_for_qc) VALUES (NULL, '"&amp;H282&amp;"',  '"&amp;F282&amp;"',  500,  TRUE, TRUE, TRUE, FALSE, FALSE);"</f>
        <v>INSERT INTO attributes (parent_id, tag, name, priority, allow_as_filter, allow_for_dataset, allow_for_measurement, allow_for_users, allow_for_qc) VALUES (NULL, 'att_organ',  'Organ',  500,  TRUE, TRUE, TRUE, FALSE, FALSE);</v>
      </c>
      <c r="O282" s="8" t="str">
        <f aca="false">"INSERT INTO attribute_values (attribute_id, tag, name, details) VALUES ((SELECT id FROM attributes WHERE tag = '"&amp;H282&amp;"' LIMIT 1),  '"&amp;J282&amp;"',  '"&amp;D282&amp;"',  '"&amp;L282&amp;"'); "</f>
        <v>INSERT INTO attribute_values (attribute_id, tag, name, details) VALUES ((SELECT id FROM attributes WHERE tag = 'att_organ' LIMIT 1),  'att_organ:ganglia',  'Ganglia',  'Ganglia');</v>
      </c>
    </row>
    <row r="283" customFormat="false" ht="12.75" hidden="false" customHeight="false" outlineLevel="0" collapsed="false">
      <c r="A283" s="17" t="n">
        <f aca="false">FALSE()</f>
        <v>0</v>
      </c>
      <c r="B283" s="17"/>
      <c r="C283" s="8" t="s">
        <v>2150</v>
      </c>
      <c r="D283" s="8" t="s">
        <v>2151</v>
      </c>
      <c r="E283" s="8" t="s">
        <v>17</v>
      </c>
      <c r="F283" s="8" t="s">
        <v>199</v>
      </c>
      <c r="G283" s="8" t="s">
        <v>2671</v>
      </c>
      <c r="H283" s="8" t="str">
        <f aca="false">"att_"&amp;G283</f>
        <v>att_organ</v>
      </c>
      <c r="I283" s="8" t="s">
        <v>2150</v>
      </c>
      <c r="J283" s="8" t="str">
        <f aca="false">H283&amp;":"&amp;I283</f>
        <v>att_organ:heart</v>
      </c>
      <c r="K283" s="16" t="s">
        <v>21</v>
      </c>
      <c r="L283" s="8" t="s">
        <v>2151</v>
      </c>
      <c r="M283" s="8" t="s">
        <v>17</v>
      </c>
      <c r="N283" s="8" t="str">
        <f aca="false">"INSERT INTO attributes (parent_id, tag, name, priority, allow_as_filter, allow_for_dataset, allow_for_measurement, allow_for_users, allow_for_qc) VALUES (NULL, '"&amp;H283&amp;"',  '"&amp;F283&amp;"',  500,  TRUE, TRUE, TRUE, FALSE, FALSE);"</f>
        <v>INSERT INTO attributes (parent_id, tag, name, priority, allow_as_filter, allow_for_dataset, allow_for_measurement, allow_for_users, allow_for_qc) VALUES (NULL, 'att_organ',  'Organ',  500,  TRUE, TRUE, TRUE, FALSE, FALSE);</v>
      </c>
      <c r="O283" s="8" t="str">
        <f aca="false">"INSERT INTO attribute_values (attribute_id, tag, name, details) VALUES ((SELECT id FROM attributes WHERE tag = '"&amp;H283&amp;"' LIMIT 1),  '"&amp;J283&amp;"',  '"&amp;D283&amp;"',  '"&amp;L283&amp;"'); "</f>
        <v>INSERT INTO attribute_values (attribute_id, tag, name, details) VALUES ((SELECT id FROM attributes WHERE tag = 'att_organ' LIMIT 1),  'att_organ:heart',  'Heart',  'Heart');</v>
      </c>
    </row>
    <row r="284" customFormat="false" ht="12.75" hidden="false" customHeight="false" outlineLevel="0" collapsed="false">
      <c r="A284" s="17" t="n">
        <f aca="false">FALSE()</f>
        <v>0</v>
      </c>
      <c r="B284" s="17"/>
      <c r="C284" s="8" t="s">
        <v>2152</v>
      </c>
      <c r="D284" s="8" t="s">
        <v>2153</v>
      </c>
      <c r="E284" s="8" t="s">
        <v>17</v>
      </c>
      <c r="F284" s="8" t="s">
        <v>199</v>
      </c>
      <c r="G284" s="8" t="s">
        <v>2671</v>
      </c>
      <c r="H284" s="8" t="str">
        <f aca="false">"att_"&amp;G284</f>
        <v>att_organ</v>
      </c>
      <c r="I284" s="8" t="s">
        <v>2152</v>
      </c>
      <c r="J284" s="8" t="str">
        <f aca="false">H284&amp;":"&amp;I284</f>
        <v>att_organ:hypothalamus</v>
      </c>
      <c r="K284" s="16" t="s">
        <v>21</v>
      </c>
      <c r="L284" s="8" t="s">
        <v>2153</v>
      </c>
      <c r="M284" s="8" t="s">
        <v>17</v>
      </c>
      <c r="N284" s="8" t="str">
        <f aca="false">"INSERT INTO attributes (parent_id, tag, name, priority, allow_as_filter, allow_for_dataset, allow_for_measurement, allow_for_users, allow_for_qc) VALUES (NULL, '"&amp;H284&amp;"',  '"&amp;F284&amp;"',  500,  TRUE, TRUE, TRUE, FALSE, FALSE);"</f>
        <v>INSERT INTO attributes (parent_id, tag, name, priority, allow_as_filter, allow_for_dataset, allow_for_measurement, allow_for_users, allow_for_qc) VALUES (NULL, 'att_organ',  'Organ',  500,  TRUE, TRUE, TRUE, FALSE, FALSE);</v>
      </c>
      <c r="O284" s="8" t="str">
        <f aca="false">"INSERT INTO attribute_values (attribute_id, tag, name, details) VALUES ((SELECT id FROM attributes WHERE tag = '"&amp;H284&amp;"' LIMIT 1),  '"&amp;J284&amp;"',  '"&amp;D284&amp;"',  '"&amp;L284&amp;"'); "</f>
        <v>INSERT INTO attribute_values (attribute_id, tag, name, details) VALUES ((SELECT id FROM attributes WHERE tag = 'att_organ' LIMIT 1),  'att_organ:hypothalamus',  'Hypothalamus',  'Hypothalamus');</v>
      </c>
    </row>
    <row r="285" customFormat="false" ht="12.75" hidden="false" customHeight="false" outlineLevel="0" collapsed="false">
      <c r="A285" s="17" t="n">
        <f aca="false">FALSE()</f>
        <v>0</v>
      </c>
      <c r="B285" s="17"/>
      <c r="C285" s="8" t="s">
        <v>2154</v>
      </c>
      <c r="D285" s="8" t="s">
        <v>2155</v>
      </c>
      <c r="E285" s="8" t="s">
        <v>17</v>
      </c>
      <c r="F285" s="8" t="s">
        <v>199</v>
      </c>
      <c r="G285" s="8" t="s">
        <v>2671</v>
      </c>
      <c r="H285" s="8" t="str">
        <f aca="false">"att_"&amp;G285</f>
        <v>att_organ</v>
      </c>
      <c r="I285" s="8" t="s">
        <v>2154</v>
      </c>
      <c r="J285" s="8" t="str">
        <f aca="false">H285&amp;":"&amp;I285</f>
        <v>att_organ:kidney</v>
      </c>
      <c r="K285" s="16" t="s">
        <v>21</v>
      </c>
      <c r="L285" s="8" t="s">
        <v>2155</v>
      </c>
      <c r="M285" s="8" t="s">
        <v>17</v>
      </c>
      <c r="N285" s="8" t="str">
        <f aca="false">"INSERT INTO attributes (parent_id, tag, name, priority, allow_as_filter, allow_for_dataset, allow_for_measurement, allow_for_users, allow_for_qc) VALUES (NULL, '"&amp;H285&amp;"',  '"&amp;F285&amp;"',  500,  TRUE, TRUE, TRUE, FALSE, FALSE);"</f>
        <v>INSERT INTO attributes (parent_id, tag, name, priority, allow_as_filter, allow_for_dataset, allow_for_measurement, allow_for_users, allow_for_qc) VALUES (NULL, 'att_organ',  'Organ',  500,  TRUE, TRUE, TRUE, FALSE, FALSE);</v>
      </c>
      <c r="O285" s="8" t="str">
        <f aca="false">"INSERT INTO attribute_values (attribute_id, tag, name, details) VALUES ((SELECT id FROM attributes WHERE tag = '"&amp;H285&amp;"' LIMIT 1),  '"&amp;J285&amp;"',  '"&amp;D285&amp;"',  '"&amp;L285&amp;"'); "</f>
        <v>INSERT INTO attribute_values (attribute_id, tag, name, details) VALUES ((SELECT id FROM attributes WHERE tag = 'att_organ' LIMIT 1),  'att_organ:kidney',  'Kidney',  'Kidney');</v>
      </c>
    </row>
    <row r="286" customFormat="false" ht="12.75" hidden="false" customHeight="false" outlineLevel="0" collapsed="false">
      <c r="A286" s="17" t="n">
        <f aca="false">FALSE()</f>
        <v>0</v>
      </c>
      <c r="B286" s="17"/>
      <c r="C286" s="8" t="s">
        <v>2156</v>
      </c>
      <c r="D286" s="8" t="s">
        <v>2158</v>
      </c>
      <c r="E286" s="8" t="s">
        <v>17</v>
      </c>
      <c r="F286" s="8" t="s">
        <v>199</v>
      </c>
      <c r="G286" s="8" t="s">
        <v>2671</v>
      </c>
      <c r="H286" s="8" t="str">
        <f aca="false">"att_"&amp;G286</f>
        <v>att_organ</v>
      </c>
      <c r="I286" s="8" t="s">
        <v>2156</v>
      </c>
      <c r="J286" s="8" t="str">
        <f aca="false">H286&amp;":"&amp;I286</f>
        <v>att_organ:large_intestine</v>
      </c>
      <c r="K286" s="16" t="s">
        <v>21</v>
      </c>
      <c r="L286" s="8" t="s">
        <v>2159</v>
      </c>
      <c r="M286" s="8" t="s">
        <v>17</v>
      </c>
      <c r="N286" s="8" t="str">
        <f aca="false">"INSERT INTO attributes (parent_id, tag, name, priority, allow_as_filter, allow_for_dataset, allow_for_measurement, allow_for_users, allow_for_qc) VALUES (NULL, '"&amp;H286&amp;"',  '"&amp;F286&amp;"',  500,  TRUE, TRUE, TRUE, FALSE, FALSE);"</f>
        <v>INSERT INTO attributes (parent_id, tag, name, priority, allow_as_filter, allow_for_dataset, allow_for_measurement, allow_for_users, allow_for_qc) VALUES (NULL, 'att_organ',  'Organ',  500,  TRUE, TRUE, TRUE, FALSE, FALSE);</v>
      </c>
      <c r="O286" s="8" t="str">
        <f aca="false">"INSERT INTO attribute_values (attribute_id, tag, name, details) VALUES ((SELECT id FROM attributes WHERE tag = '"&amp;H286&amp;"' LIMIT 1),  '"&amp;J286&amp;"',  '"&amp;D286&amp;"',  '"&amp;L286&amp;"'); "</f>
        <v>INSERT INTO attribute_values (attribute_id, tag, name, details) VALUES ((SELECT id FROM attributes WHERE tag = 'att_organ' LIMIT 1),  'att_organ:large_intestine',  'Large Intestine',  'Large Intestine / Colon; between the Anus and small Intestine');</v>
      </c>
    </row>
    <row r="287" customFormat="false" ht="12.75" hidden="false" customHeight="false" outlineLevel="0" collapsed="false">
      <c r="A287" s="17" t="n">
        <f aca="false">FALSE()</f>
        <v>0</v>
      </c>
      <c r="B287" s="17"/>
      <c r="C287" s="8" t="s">
        <v>2160</v>
      </c>
      <c r="D287" s="8" t="s">
        <v>2161</v>
      </c>
      <c r="E287" s="8" t="s">
        <v>17</v>
      </c>
      <c r="F287" s="8" t="s">
        <v>199</v>
      </c>
      <c r="G287" s="8" t="s">
        <v>2671</v>
      </c>
      <c r="H287" s="8" t="str">
        <f aca="false">"att_"&amp;G287</f>
        <v>att_organ</v>
      </c>
      <c r="I287" s="8" t="s">
        <v>2160</v>
      </c>
      <c r="J287" s="8" t="str">
        <f aca="false">H287&amp;":"&amp;I287</f>
        <v>att_organ:liver</v>
      </c>
      <c r="K287" s="16" t="s">
        <v>21</v>
      </c>
      <c r="L287" s="8" t="s">
        <v>2161</v>
      </c>
      <c r="M287" s="8" t="s">
        <v>17</v>
      </c>
      <c r="N287" s="8" t="str">
        <f aca="false">"INSERT INTO attributes (parent_id, tag, name, priority, allow_as_filter, allow_for_dataset, allow_for_measurement, allow_for_users, allow_for_qc) VALUES (NULL, '"&amp;H287&amp;"',  '"&amp;F287&amp;"',  500,  TRUE, TRUE, TRUE, FALSE, FALSE);"</f>
        <v>INSERT INTO attributes (parent_id, tag, name, priority, allow_as_filter, allow_for_dataset, allow_for_measurement, allow_for_users, allow_for_qc) VALUES (NULL, 'att_organ',  'Organ',  500,  TRUE, TRUE, TRUE, FALSE, FALSE);</v>
      </c>
      <c r="O287" s="8" t="str">
        <f aca="false">"INSERT INTO attribute_values (attribute_id, tag, name, details) VALUES ((SELECT id FROM attributes WHERE tag = '"&amp;H287&amp;"' LIMIT 1),  '"&amp;J287&amp;"',  '"&amp;D287&amp;"',  '"&amp;L287&amp;"'); "</f>
        <v>INSERT INTO attribute_values (attribute_id, tag, name, details) VALUES ((SELECT id FROM attributes WHERE tag = 'att_organ' LIMIT 1),  'att_organ:liver',  'Liver',  'Liver');</v>
      </c>
    </row>
    <row r="288" customFormat="false" ht="12.75" hidden="false" customHeight="false" outlineLevel="0" collapsed="false">
      <c r="A288" s="17" t="n">
        <f aca="false">FALSE()</f>
        <v>0</v>
      </c>
      <c r="B288" s="17"/>
      <c r="C288" s="8" t="s">
        <v>2162</v>
      </c>
      <c r="D288" s="8" t="s">
        <v>2163</v>
      </c>
      <c r="E288" s="8" t="s">
        <v>17</v>
      </c>
      <c r="F288" s="8" t="s">
        <v>199</v>
      </c>
      <c r="G288" s="8" t="s">
        <v>2671</v>
      </c>
      <c r="H288" s="8" t="str">
        <f aca="false">"att_"&amp;G288</f>
        <v>att_organ</v>
      </c>
      <c r="I288" s="8" t="s">
        <v>2162</v>
      </c>
      <c r="J288" s="8" t="str">
        <f aca="false">H288&amp;":"&amp;I288</f>
        <v>att_organ:lung</v>
      </c>
      <c r="K288" s="16" t="s">
        <v>21</v>
      </c>
      <c r="L288" s="8" t="s">
        <v>2163</v>
      </c>
      <c r="M288" s="8" t="s">
        <v>17</v>
      </c>
      <c r="N288" s="8" t="str">
        <f aca="false">"INSERT INTO attributes (parent_id, tag, name, priority, allow_as_filter, allow_for_dataset, allow_for_measurement, allow_for_users, allow_for_qc) VALUES (NULL, '"&amp;H288&amp;"',  '"&amp;F288&amp;"',  500,  TRUE, TRUE, TRUE, FALSE, FALSE);"</f>
        <v>INSERT INTO attributes (parent_id, tag, name, priority, allow_as_filter, allow_for_dataset, allow_for_measurement, allow_for_users, allow_for_qc) VALUES (NULL, 'att_organ',  'Organ',  500,  TRUE, TRUE, TRUE, FALSE, FALSE);</v>
      </c>
      <c r="O288" s="8" t="str">
        <f aca="false">"INSERT INTO attribute_values (attribute_id, tag, name, details) VALUES ((SELECT id FROM attributes WHERE tag = '"&amp;H288&amp;"' LIMIT 1),  '"&amp;J288&amp;"',  '"&amp;D288&amp;"',  '"&amp;L288&amp;"'); "</f>
        <v>INSERT INTO attribute_values (attribute_id, tag, name, details) VALUES ((SELECT id FROM attributes WHERE tag = 'att_organ' LIMIT 1),  'att_organ:lung',  'Lung',  'Lung');</v>
      </c>
    </row>
    <row r="289" customFormat="false" ht="12.75" hidden="false" customHeight="false" outlineLevel="0" collapsed="false">
      <c r="A289" s="17" t="n">
        <f aca="false">FALSE()</f>
        <v>0</v>
      </c>
      <c r="B289" s="17"/>
      <c r="C289" s="8" t="s">
        <v>2164</v>
      </c>
      <c r="D289" s="8" t="s">
        <v>2165</v>
      </c>
      <c r="E289" s="8" t="s">
        <v>17</v>
      </c>
      <c r="F289" s="8" t="s">
        <v>199</v>
      </c>
      <c r="G289" s="8" t="s">
        <v>2671</v>
      </c>
      <c r="H289" s="8" t="str">
        <f aca="false">"att_"&amp;G289</f>
        <v>att_organ</v>
      </c>
      <c r="I289" s="8" t="s">
        <v>2164</v>
      </c>
      <c r="J289" s="8" t="str">
        <f aca="false">H289&amp;":"&amp;I289</f>
        <v>att_organ:lymph_node</v>
      </c>
      <c r="K289" s="16" t="s">
        <v>21</v>
      </c>
      <c r="L289" s="8" t="s">
        <v>2165</v>
      </c>
      <c r="M289" s="8" t="s">
        <v>17</v>
      </c>
      <c r="N289" s="8" t="str">
        <f aca="false">"INSERT INTO attributes (parent_id, tag, name, priority, allow_as_filter, allow_for_dataset, allow_for_measurement, allow_for_users, allow_for_qc) VALUES (NULL, '"&amp;H289&amp;"',  '"&amp;F289&amp;"',  500,  TRUE, TRUE, TRUE, FALSE, FALSE);"</f>
        <v>INSERT INTO attributes (parent_id, tag, name, priority, allow_as_filter, allow_for_dataset, allow_for_measurement, allow_for_users, allow_for_qc) VALUES (NULL, 'att_organ',  'Organ',  500,  TRUE, TRUE, TRUE, FALSE, FALSE);</v>
      </c>
      <c r="O289" s="8" t="str">
        <f aca="false">"INSERT INTO attribute_values (attribute_id, tag, name, details) VALUES ((SELECT id FROM attributes WHERE tag = '"&amp;H289&amp;"' LIMIT 1),  '"&amp;J289&amp;"',  '"&amp;D289&amp;"',  '"&amp;L289&amp;"'); "</f>
        <v>INSERT INTO attribute_values (attribute_id, tag, name, details) VALUES ((SELECT id FROM attributes WHERE tag = 'att_organ' LIMIT 1),  'att_organ:lymph_node',  'Lymph Node',  'Lymph Node');</v>
      </c>
    </row>
    <row r="290" customFormat="false" ht="12.75" hidden="false" customHeight="false" outlineLevel="0" collapsed="false">
      <c r="A290" s="17" t="n">
        <f aca="false">FALSE()</f>
        <v>0</v>
      </c>
      <c r="B290" s="17"/>
      <c r="C290" s="8" t="s">
        <v>2166</v>
      </c>
      <c r="D290" s="8" t="s">
        <v>2167</v>
      </c>
      <c r="E290" s="8" t="s">
        <v>17</v>
      </c>
      <c r="F290" s="8" t="s">
        <v>199</v>
      </c>
      <c r="G290" s="8" t="s">
        <v>2671</v>
      </c>
      <c r="H290" s="8" t="str">
        <f aca="false">"att_"&amp;G290</f>
        <v>att_organ</v>
      </c>
      <c r="I290" s="8" t="s">
        <v>2166</v>
      </c>
      <c r="J290" s="8" t="str">
        <f aca="false">H290&amp;":"&amp;I290</f>
        <v>att_organ:medulla</v>
      </c>
      <c r="K290" s="16" t="s">
        <v>21</v>
      </c>
      <c r="L290" s="8" t="s">
        <v>2167</v>
      </c>
      <c r="M290" s="8" t="s">
        <v>17</v>
      </c>
      <c r="N290" s="8" t="str">
        <f aca="false">"INSERT INTO attributes (parent_id, tag, name, priority, allow_as_filter, allow_for_dataset, allow_for_measurement, allow_for_users, allow_for_qc) VALUES (NULL, '"&amp;H290&amp;"',  '"&amp;F290&amp;"',  500,  TRUE, TRUE, TRUE, FALSE, FALSE);"</f>
        <v>INSERT INTO attributes (parent_id, tag, name, priority, allow_as_filter, allow_for_dataset, allow_for_measurement, allow_for_users, allow_for_qc) VALUES (NULL, 'att_organ',  'Organ',  500,  TRUE, TRUE, TRUE, FALSE, FALSE);</v>
      </c>
      <c r="O290" s="8" t="str">
        <f aca="false">"INSERT INTO attribute_values (attribute_id, tag, name, details) VALUES ((SELECT id FROM attributes WHERE tag = '"&amp;H290&amp;"' LIMIT 1),  '"&amp;J290&amp;"',  '"&amp;D290&amp;"',  '"&amp;L290&amp;"'); "</f>
        <v>INSERT INTO attribute_values (attribute_id, tag, name, details) VALUES ((SELECT id FROM attributes WHERE tag = 'att_organ' LIMIT 1),  'att_organ:medulla',  'Medulla',  'Medulla');</v>
      </c>
    </row>
    <row r="291" customFormat="false" ht="12.75" hidden="false" customHeight="false" outlineLevel="0" collapsed="false">
      <c r="A291" s="17" t="n">
        <f aca="false">FALSE()</f>
        <v>0</v>
      </c>
      <c r="B291" s="17"/>
      <c r="C291" s="8" t="s">
        <v>2168</v>
      </c>
      <c r="D291" s="8" t="s">
        <v>2169</v>
      </c>
      <c r="E291" s="8" t="s">
        <v>17</v>
      </c>
      <c r="F291" s="8" t="s">
        <v>199</v>
      </c>
      <c r="G291" s="8" t="s">
        <v>2671</v>
      </c>
      <c r="H291" s="8" t="str">
        <f aca="false">"att_"&amp;G291</f>
        <v>att_organ</v>
      </c>
      <c r="I291" s="8" t="s">
        <v>2168</v>
      </c>
      <c r="J291" s="8" t="str">
        <f aca="false">H291&amp;":"&amp;I291</f>
        <v>att_organ:mesentery</v>
      </c>
      <c r="K291" s="16" t="s">
        <v>21</v>
      </c>
      <c r="L291" s="8" t="s">
        <v>2169</v>
      </c>
      <c r="M291" s="8" t="s">
        <v>17</v>
      </c>
      <c r="N291" s="8" t="str">
        <f aca="false">"INSERT INTO attributes (parent_id, tag, name, priority, allow_as_filter, allow_for_dataset, allow_for_measurement, allow_for_users, allow_for_qc) VALUES (NULL, '"&amp;H291&amp;"',  '"&amp;F291&amp;"',  500,  TRUE, TRUE, TRUE, FALSE, FALSE);"</f>
        <v>INSERT INTO attributes (parent_id, tag, name, priority, allow_as_filter, allow_for_dataset, allow_for_measurement, allow_for_users, allow_for_qc) VALUES (NULL, 'att_organ',  'Organ',  500,  TRUE, TRUE, TRUE, FALSE, FALSE);</v>
      </c>
      <c r="O291" s="8" t="str">
        <f aca="false">"INSERT INTO attribute_values (attribute_id, tag, name, details) VALUES ((SELECT id FROM attributes WHERE tag = '"&amp;H291&amp;"' LIMIT 1),  '"&amp;J291&amp;"',  '"&amp;D291&amp;"',  '"&amp;L291&amp;"'); "</f>
        <v>INSERT INTO attribute_values (attribute_id, tag, name, details) VALUES ((SELECT id FROM attributes WHERE tag = 'att_organ' LIMIT 1),  'att_organ:mesentery',  'Mesentery',  'Mesentery');</v>
      </c>
    </row>
    <row r="292" customFormat="false" ht="12.75" hidden="false" customHeight="false" outlineLevel="0" collapsed="false">
      <c r="A292" s="17" t="n">
        <f aca="false">FALSE()</f>
        <v>0</v>
      </c>
      <c r="B292" s="17"/>
      <c r="C292" s="8" t="s">
        <v>2170</v>
      </c>
      <c r="D292" s="8" t="s">
        <v>2171</v>
      </c>
      <c r="E292" s="8" t="s">
        <v>17</v>
      </c>
      <c r="F292" s="8" t="s">
        <v>199</v>
      </c>
      <c r="G292" s="8" t="s">
        <v>2671</v>
      </c>
      <c r="H292" s="8" t="str">
        <f aca="false">"att_"&amp;G292</f>
        <v>att_organ</v>
      </c>
      <c r="I292" s="8" t="s">
        <v>2170</v>
      </c>
      <c r="J292" s="8" t="str">
        <f aca="false">H292&amp;":"&amp;I292</f>
        <v>att_organ:midbrain</v>
      </c>
      <c r="K292" s="16" t="s">
        <v>21</v>
      </c>
      <c r="L292" s="8" t="s">
        <v>2171</v>
      </c>
      <c r="M292" s="8" t="s">
        <v>17</v>
      </c>
      <c r="N292" s="8" t="str">
        <f aca="false">"INSERT INTO attributes (parent_id, tag, name, priority, allow_as_filter, allow_for_dataset, allow_for_measurement, allow_for_users, allow_for_qc) VALUES (NULL, '"&amp;H292&amp;"',  '"&amp;F292&amp;"',  500,  TRUE, TRUE, TRUE, FALSE, FALSE);"</f>
        <v>INSERT INTO attributes (parent_id, tag, name, priority, allow_as_filter, allow_for_dataset, allow_for_measurement, allow_for_users, allow_for_qc) VALUES (NULL, 'att_organ',  'Organ',  500,  TRUE, TRUE, TRUE, FALSE, FALSE);</v>
      </c>
      <c r="O292" s="8" t="str">
        <f aca="false">"INSERT INTO attribute_values (attribute_id, tag, name, details) VALUES ((SELECT id FROM attributes WHERE tag = '"&amp;H292&amp;"' LIMIT 1),  '"&amp;J292&amp;"',  '"&amp;D292&amp;"',  '"&amp;L292&amp;"'); "</f>
        <v>INSERT INTO attribute_values (attribute_id, tag, name, details) VALUES ((SELECT id FROM attributes WHERE tag = 'att_organ' LIMIT 1),  'att_organ:midbrain',  'Midbrain',  'Midbrain');</v>
      </c>
    </row>
    <row r="293" customFormat="false" ht="12.75" hidden="false" customHeight="false" outlineLevel="0" collapsed="false">
      <c r="A293" s="17" t="n">
        <f aca="false">FALSE()</f>
        <v>0</v>
      </c>
      <c r="B293" s="17"/>
      <c r="C293" s="8" t="s">
        <v>2172</v>
      </c>
      <c r="D293" s="8" t="s">
        <v>2173</v>
      </c>
      <c r="E293" s="8" t="s">
        <v>17</v>
      </c>
      <c r="F293" s="8" t="s">
        <v>199</v>
      </c>
      <c r="G293" s="8" t="s">
        <v>2671</v>
      </c>
      <c r="H293" s="8" t="str">
        <f aca="false">"att_"&amp;G293</f>
        <v>att_organ</v>
      </c>
      <c r="I293" s="8" t="s">
        <v>2172</v>
      </c>
      <c r="J293" s="8" t="str">
        <f aca="false">H293&amp;":"&amp;I293</f>
        <v>att_organ:ovaries</v>
      </c>
      <c r="K293" s="16" t="s">
        <v>21</v>
      </c>
      <c r="L293" s="8" t="s">
        <v>2173</v>
      </c>
      <c r="M293" s="8" t="s">
        <v>17</v>
      </c>
      <c r="N293" s="8" t="str">
        <f aca="false">"INSERT INTO attributes (parent_id, tag, name, priority, allow_as_filter, allow_for_dataset, allow_for_measurement, allow_for_users, allow_for_qc) VALUES (NULL, '"&amp;H293&amp;"',  '"&amp;F293&amp;"',  500,  TRUE, TRUE, TRUE, FALSE, FALSE);"</f>
        <v>INSERT INTO attributes (parent_id, tag, name, priority, allow_as_filter, allow_for_dataset, allow_for_measurement, allow_for_users, allow_for_qc) VALUES (NULL, 'att_organ',  'Organ',  500,  TRUE, TRUE, TRUE, FALSE, FALSE);</v>
      </c>
      <c r="O293" s="8" t="str">
        <f aca="false">"INSERT INTO attribute_values (attribute_id, tag, name, details) VALUES ((SELECT id FROM attributes WHERE tag = '"&amp;H293&amp;"' LIMIT 1),  '"&amp;J293&amp;"',  '"&amp;D293&amp;"',  '"&amp;L293&amp;"'); "</f>
        <v>INSERT INTO attribute_values (attribute_id, tag, name, details) VALUES ((SELECT id FROM attributes WHERE tag = 'att_organ' LIMIT 1),  'att_organ:ovaries',  'Ovaries',  'Ovaries');</v>
      </c>
    </row>
    <row r="294" customFormat="false" ht="12.75" hidden="false" customHeight="false" outlineLevel="0" collapsed="false">
      <c r="A294" s="17" t="n">
        <f aca="false">FALSE()</f>
        <v>0</v>
      </c>
      <c r="B294" s="17"/>
      <c r="C294" s="8" t="s">
        <v>2174</v>
      </c>
      <c r="D294" s="8" t="s">
        <v>2175</v>
      </c>
      <c r="E294" s="8" t="s">
        <v>17</v>
      </c>
      <c r="F294" s="8" t="s">
        <v>199</v>
      </c>
      <c r="G294" s="8" t="s">
        <v>2671</v>
      </c>
      <c r="H294" s="8" t="str">
        <f aca="false">"att_"&amp;G294</f>
        <v>att_organ</v>
      </c>
      <c r="I294" s="8" t="s">
        <v>2174</v>
      </c>
      <c r="J294" s="8" t="str">
        <f aca="false">H294&amp;":"&amp;I294</f>
        <v>att_organ:pancreas</v>
      </c>
      <c r="K294" s="16" t="s">
        <v>21</v>
      </c>
      <c r="L294" s="8" t="s">
        <v>2175</v>
      </c>
      <c r="M294" s="8" t="s">
        <v>17</v>
      </c>
      <c r="N294" s="8" t="str">
        <f aca="false">"INSERT INTO attributes (parent_id, tag, name, priority, allow_as_filter, allow_for_dataset, allow_for_measurement, allow_for_users, allow_for_qc) VALUES (NULL, '"&amp;H294&amp;"',  '"&amp;F294&amp;"',  500,  TRUE, TRUE, TRUE, FALSE, FALSE);"</f>
        <v>INSERT INTO attributes (parent_id, tag, name, priority, allow_as_filter, allow_for_dataset, allow_for_measurement, allow_for_users, allow_for_qc) VALUES (NULL, 'att_organ',  'Organ',  500,  TRUE, TRUE, TRUE, FALSE, FALSE);</v>
      </c>
      <c r="O294" s="8" t="str">
        <f aca="false">"INSERT INTO attribute_values (attribute_id, tag, name, details) VALUES ((SELECT id FROM attributes WHERE tag = '"&amp;H294&amp;"' LIMIT 1),  '"&amp;J294&amp;"',  '"&amp;D294&amp;"',  '"&amp;L294&amp;"'); "</f>
        <v>INSERT INTO attribute_values (attribute_id, tag, name, details) VALUES ((SELECT id FROM attributes WHERE tag = 'att_organ' LIMIT 1),  'att_organ:pancreas',  'Pancreas',  'Pancreas');</v>
      </c>
    </row>
    <row r="295" customFormat="false" ht="12.75" hidden="false" customHeight="false" outlineLevel="0" collapsed="false">
      <c r="A295" s="17" t="n">
        <f aca="false">FALSE()</f>
        <v>0</v>
      </c>
      <c r="B295" s="17"/>
      <c r="C295" s="8" t="s">
        <v>2176</v>
      </c>
      <c r="D295" s="8" t="s">
        <v>2177</v>
      </c>
      <c r="E295" s="8" t="s">
        <v>17</v>
      </c>
      <c r="F295" s="8" t="s">
        <v>199</v>
      </c>
      <c r="G295" s="8" t="s">
        <v>2671</v>
      </c>
      <c r="H295" s="8" t="str">
        <f aca="false">"att_"&amp;G295</f>
        <v>att_organ</v>
      </c>
      <c r="I295" s="8" t="s">
        <v>2176</v>
      </c>
      <c r="J295" s="8" t="str">
        <f aca="false">H295&amp;":"&amp;I295</f>
        <v>att_organ:pons</v>
      </c>
      <c r="K295" s="16" t="s">
        <v>21</v>
      </c>
      <c r="L295" s="8" t="s">
        <v>2177</v>
      </c>
      <c r="M295" s="8" t="s">
        <v>17</v>
      </c>
      <c r="N295" s="8" t="str">
        <f aca="false">"INSERT INTO attributes (parent_id, tag, name, priority, allow_as_filter, allow_for_dataset, allow_for_measurement, allow_for_users, allow_for_qc) VALUES (NULL, '"&amp;H295&amp;"',  '"&amp;F295&amp;"',  500,  TRUE, TRUE, TRUE, FALSE, FALSE);"</f>
        <v>INSERT INTO attributes (parent_id, tag, name, priority, allow_as_filter, allow_for_dataset, allow_for_measurement, allow_for_users, allow_for_qc) VALUES (NULL, 'att_organ',  'Organ',  500,  TRUE, TRUE, TRUE, FALSE, FALSE);</v>
      </c>
      <c r="O295" s="8" t="str">
        <f aca="false">"INSERT INTO attribute_values (attribute_id, tag, name, details) VALUES ((SELECT id FROM attributes WHERE tag = '"&amp;H295&amp;"' LIMIT 1),  '"&amp;J295&amp;"',  '"&amp;D295&amp;"',  '"&amp;L295&amp;"'); "</f>
        <v>INSERT INTO attribute_values (attribute_id, tag, name, details) VALUES ((SELECT id FROM attributes WHERE tag = 'att_organ' LIMIT 1),  'att_organ:pons',  'Pons',  'Pons');</v>
      </c>
    </row>
    <row r="296" customFormat="false" ht="12.75" hidden="false" customHeight="false" outlineLevel="0" collapsed="false">
      <c r="A296" s="17" t="n">
        <f aca="false">FALSE()</f>
        <v>0</v>
      </c>
      <c r="B296" s="17"/>
      <c r="C296" s="8" t="s">
        <v>2178</v>
      </c>
      <c r="D296" s="8" t="s">
        <v>2179</v>
      </c>
      <c r="E296" s="8" t="s">
        <v>17</v>
      </c>
      <c r="F296" s="8" t="s">
        <v>199</v>
      </c>
      <c r="G296" s="8" t="s">
        <v>2671</v>
      </c>
      <c r="H296" s="8" t="str">
        <f aca="false">"att_"&amp;G296</f>
        <v>att_organ</v>
      </c>
      <c r="I296" s="8" t="s">
        <v>2178</v>
      </c>
      <c r="J296" s="8" t="str">
        <f aca="false">H296&amp;":"&amp;I296</f>
        <v>att_organ:prostate</v>
      </c>
      <c r="K296" s="16" t="s">
        <v>21</v>
      </c>
      <c r="L296" s="8" t="s">
        <v>2179</v>
      </c>
      <c r="M296" s="8" t="s">
        <v>17</v>
      </c>
      <c r="N296" s="8" t="str">
        <f aca="false">"INSERT INTO attributes (parent_id, tag, name, priority, allow_as_filter, allow_for_dataset, allow_for_measurement, allow_for_users, allow_for_qc) VALUES (NULL, '"&amp;H296&amp;"',  '"&amp;F296&amp;"',  500,  TRUE, TRUE, TRUE, FALSE, FALSE);"</f>
        <v>INSERT INTO attributes (parent_id, tag, name, priority, allow_as_filter, allow_for_dataset, allow_for_measurement, allow_for_users, allow_for_qc) VALUES (NULL, 'att_organ',  'Organ',  500,  TRUE, TRUE, TRUE, FALSE, FALSE);</v>
      </c>
      <c r="O296" s="8" t="str">
        <f aca="false">"INSERT INTO attribute_values (attribute_id, tag, name, details) VALUES ((SELECT id FROM attributes WHERE tag = '"&amp;H296&amp;"' LIMIT 1),  '"&amp;J296&amp;"',  '"&amp;D296&amp;"',  '"&amp;L296&amp;"'); "</f>
        <v>INSERT INTO attribute_values (attribute_id, tag, name, details) VALUES ((SELECT id FROM attributes WHERE tag = 'att_organ' LIMIT 1),  'att_organ:prostate',  'Prostate',  'Prostate');</v>
      </c>
    </row>
    <row r="297" customFormat="false" ht="12.75" hidden="false" customHeight="false" outlineLevel="0" collapsed="false">
      <c r="A297" s="17" t="n">
        <f aca="false">FALSE()</f>
        <v>0</v>
      </c>
      <c r="B297" s="17"/>
      <c r="C297" s="8" t="s">
        <v>2180</v>
      </c>
      <c r="D297" s="8" t="s">
        <v>2181</v>
      </c>
      <c r="E297" s="8" t="s">
        <v>17</v>
      </c>
      <c r="F297" s="8" t="s">
        <v>199</v>
      </c>
      <c r="G297" s="8" t="s">
        <v>2671</v>
      </c>
      <c r="H297" s="8" t="str">
        <f aca="false">"att_"&amp;G297</f>
        <v>att_organ</v>
      </c>
      <c r="I297" s="8" t="s">
        <v>2180</v>
      </c>
      <c r="J297" s="8" t="str">
        <f aca="false">H297&amp;":"&amp;I297</f>
        <v>att_organ:rectum</v>
      </c>
      <c r="K297" s="16" t="s">
        <v>21</v>
      </c>
      <c r="L297" s="8" t="s">
        <v>2181</v>
      </c>
      <c r="M297" s="8" t="s">
        <v>17</v>
      </c>
      <c r="N297" s="8" t="str">
        <f aca="false">"INSERT INTO attributes (parent_id, tag, name, priority, allow_as_filter, allow_for_dataset, allow_for_measurement, allow_for_users, allow_for_qc) VALUES (NULL, '"&amp;H297&amp;"',  '"&amp;F297&amp;"',  500,  TRUE, TRUE, TRUE, FALSE, FALSE);"</f>
        <v>INSERT INTO attributes (parent_id, tag, name, priority, allow_as_filter, allow_for_dataset, allow_for_measurement, allow_for_users, allow_for_qc) VALUES (NULL, 'att_organ',  'Organ',  500,  TRUE, TRUE, TRUE, FALSE, FALSE);</v>
      </c>
      <c r="O297" s="8" t="str">
        <f aca="false">"INSERT INTO attribute_values (attribute_id, tag, name, details) VALUES ((SELECT id FROM attributes WHERE tag = '"&amp;H297&amp;"' LIMIT 1),  '"&amp;J297&amp;"',  '"&amp;D297&amp;"',  '"&amp;L297&amp;"'); "</f>
        <v>INSERT INTO attribute_values (attribute_id, tag, name, details) VALUES ((SELECT id FROM attributes WHERE tag = 'att_organ' LIMIT 1),  'att_organ:rectum',  'Rectum',  'Rectum');</v>
      </c>
    </row>
    <row r="298" customFormat="false" ht="12.75" hidden="false" customHeight="false" outlineLevel="0" collapsed="false">
      <c r="A298" s="17" t="n">
        <f aca="false">FALSE()</f>
        <v>0</v>
      </c>
      <c r="B298" s="17"/>
      <c r="C298" s="8" t="s">
        <v>2183</v>
      </c>
      <c r="D298" s="8" t="s">
        <v>2184</v>
      </c>
      <c r="E298" s="8" t="s">
        <v>17</v>
      </c>
      <c r="F298" s="8" t="s">
        <v>199</v>
      </c>
      <c r="G298" s="8" t="s">
        <v>2671</v>
      </c>
      <c r="H298" s="8" t="str">
        <f aca="false">"att_"&amp;G298</f>
        <v>att_organ</v>
      </c>
      <c r="I298" s="8" t="s">
        <v>2182</v>
      </c>
      <c r="J298" s="8" t="str">
        <f aca="false">H298&amp;":"&amp;I298</f>
        <v>att_organ:small_intestine</v>
      </c>
      <c r="K298" s="16" t="s">
        <v>21</v>
      </c>
      <c r="L298" s="8" t="s">
        <v>2185</v>
      </c>
      <c r="M298" s="8" t="s">
        <v>17</v>
      </c>
      <c r="N298" s="8" t="str">
        <f aca="false">"INSERT INTO attributes (parent_id, tag, name, priority, allow_as_filter, allow_for_dataset, allow_for_measurement, allow_for_users, allow_for_qc) VALUES (NULL, '"&amp;H298&amp;"',  '"&amp;F298&amp;"',  500,  TRUE, TRUE, TRUE, FALSE, FALSE);"</f>
        <v>INSERT INTO attributes (parent_id, tag, name, priority, allow_as_filter, allow_for_dataset, allow_for_measurement, allow_for_users, allow_for_qc) VALUES (NULL, 'att_organ',  'Organ',  500,  TRUE, TRUE, TRUE, FALSE, FALSE);</v>
      </c>
      <c r="O298" s="8" t="str">
        <f aca="false">"INSERT INTO attribute_values (attribute_id, tag, name, details) VALUES ((SELECT id FROM attributes WHERE tag = '"&amp;H298&amp;"' LIMIT 1),  '"&amp;J298&amp;"',  '"&amp;D298&amp;"',  '"&amp;L298&amp;"'); "</f>
        <v>INSERT INTO attribute_values (attribute_id, tag, name, details) VALUES ((SELECT id FROM attributes WHERE tag = 'att_organ' LIMIT 1),  'att_organ:small_intestine',  'Small Intestine',  'Small Intestine; Between the Stomach and the Colon');</v>
      </c>
    </row>
    <row r="299" customFormat="false" ht="12.75" hidden="false" customHeight="false" outlineLevel="0" collapsed="false">
      <c r="A299" s="17" t="n">
        <f aca="false">FALSE()</f>
        <v>0</v>
      </c>
      <c r="B299" s="17"/>
      <c r="C299" s="8" t="s">
        <v>2186</v>
      </c>
      <c r="D299" s="8" t="s">
        <v>2187</v>
      </c>
      <c r="E299" s="8" t="s">
        <v>17</v>
      </c>
      <c r="F299" s="8" t="s">
        <v>199</v>
      </c>
      <c r="G299" s="8" t="s">
        <v>2671</v>
      </c>
      <c r="H299" s="8" t="str">
        <f aca="false">"att_"&amp;G299</f>
        <v>att_organ</v>
      </c>
      <c r="I299" s="8" t="s">
        <v>2186</v>
      </c>
      <c r="J299" s="8" t="str">
        <f aca="false">H299&amp;":"&amp;I299</f>
        <v>att_organ:spinal_cord</v>
      </c>
      <c r="K299" s="16" t="s">
        <v>21</v>
      </c>
      <c r="L299" s="8" t="s">
        <v>2188</v>
      </c>
      <c r="M299" s="8" t="s">
        <v>17</v>
      </c>
      <c r="N299" s="8" t="str">
        <f aca="false">"INSERT INTO attributes (parent_id, tag, name, priority, allow_as_filter, allow_for_dataset, allow_for_measurement, allow_for_users, allow_for_qc) VALUES (NULL, '"&amp;H299&amp;"',  '"&amp;F299&amp;"',  500,  TRUE, TRUE, TRUE, FALSE, FALSE);"</f>
        <v>INSERT INTO attributes (parent_id, tag, name, priority, allow_as_filter, allow_for_dataset, allow_for_measurement, allow_for_users, allow_for_qc) VALUES (NULL, 'att_organ',  'Organ',  500,  TRUE, TRUE, TRUE, FALSE, FALSE);</v>
      </c>
      <c r="O299" s="8" t="str">
        <f aca="false">"INSERT INTO attribute_values (attribute_id, tag, name, details) VALUES ((SELECT id FROM attributes WHERE tag = '"&amp;H299&amp;"' LIMIT 1),  '"&amp;J299&amp;"',  '"&amp;D299&amp;"',  '"&amp;L299&amp;"'); "</f>
        <v>INSERT INTO attribute_values (attribute_id, tag, name, details) VALUES ((SELECT id FROM attributes WHERE tag = 'att_organ' LIMIT 1),  'att_organ:spinal_cord',  'Spinal Cord',  'Spinal_Cord');</v>
      </c>
    </row>
    <row r="300" customFormat="false" ht="12.75" hidden="false" customHeight="false" outlineLevel="0" collapsed="false">
      <c r="A300" s="17" t="n">
        <f aca="false">FALSE()</f>
        <v>0</v>
      </c>
      <c r="B300" s="17"/>
      <c r="C300" s="8" t="s">
        <v>2189</v>
      </c>
      <c r="D300" s="8" t="s">
        <v>2190</v>
      </c>
      <c r="E300" s="8" t="s">
        <v>17</v>
      </c>
      <c r="F300" s="8" t="s">
        <v>199</v>
      </c>
      <c r="G300" s="8" t="s">
        <v>2671</v>
      </c>
      <c r="H300" s="8" t="str">
        <f aca="false">"att_"&amp;G300</f>
        <v>att_organ</v>
      </c>
      <c r="I300" s="8" t="s">
        <v>2189</v>
      </c>
      <c r="J300" s="8" t="str">
        <f aca="false">H300&amp;":"&amp;I300</f>
        <v>att_organ:spleen</v>
      </c>
      <c r="K300" s="16" t="s">
        <v>21</v>
      </c>
      <c r="L300" s="8" t="s">
        <v>2190</v>
      </c>
      <c r="M300" s="8" t="s">
        <v>17</v>
      </c>
      <c r="N300" s="8" t="str">
        <f aca="false">"INSERT INTO attributes (parent_id, tag, name, priority, allow_as_filter, allow_for_dataset, allow_for_measurement, allow_for_users, allow_for_qc) VALUES (NULL, '"&amp;H300&amp;"',  '"&amp;F300&amp;"',  500,  TRUE, TRUE, TRUE, FALSE, FALSE);"</f>
        <v>INSERT INTO attributes (parent_id, tag, name, priority, allow_as_filter, allow_for_dataset, allow_for_measurement, allow_for_users, allow_for_qc) VALUES (NULL, 'att_organ',  'Organ',  500,  TRUE, TRUE, TRUE, FALSE, FALSE);</v>
      </c>
      <c r="O300" s="8" t="str">
        <f aca="false">"INSERT INTO attribute_values (attribute_id, tag, name, details) VALUES ((SELECT id FROM attributes WHERE tag = '"&amp;H300&amp;"' LIMIT 1),  '"&amp;J300&amp;"',  '"&amp;D300&amp;"',  '"&amp;L300&amp;"'); "</f>
        <v>INSERT INTO attribute_values (attribute_id, tag, name, details) VALUES ((SELECT id FROM attributes WHERE tag = 'att_organ' LIMIT 1),  'att_organ:spleen',  'Spleen',  'Spleen');</v>
      </c>
    </row>
    <row r="301" customFormat="false" ht="12.75" hidden="false" customHeight="false" outlineLevel="0" collapsed="false">
      <c r="A301" s="17" t="n">
        <f aca="false">FALSE()</f>
        <v>0</v>
      </c>
      <c r="B301" s="17"/>
      <c r="C301" s="8" t="s">
        <v>2191</v>
      </c>
      <c r="D301" s="8" t="s">
        <v>2192</v>
      </c>
      <c r="E301" s="8" t="s">
        <v>17</v>
      </c>
      <c r="F301" s="8" t="s">
        <v>199</v>
      </c>
      <c r="G301" s="8" t="s">
        <v>2671</v>
      </c>
      <c r="H301" s="8" t="str">
        <f aca="false">"att_"&amp;G301</f>
        <v>att_organ</v>
      </c>
      <c r="I301" s="8" t="s">
        <v>2191</v>
      </c>
      <c r="J301" s="8" t="str">
        <f aca="false">H301&amp;":"&amp;I301</f>
        <v>att_organ:stomach</v>
      </c>
      <c r="K301" s="16" t="s">
        <v>21</v>
      </c>
      <c r="L301" s="8" t="s">
        <v>2192</v>
      </c>
      <c r="M301" s="8" t="s">
        <v>17</v>
      </c>
      <c r="N301" s="8" t="str">
        <f aca="false">"INSERT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8" t="str">
        <f aca="false">"INSERT INTO attribute_values (attribute_id, tag, name, details) VALUES ((SELECT id FROM attributes WHERE tag = '"&amp;H301&amp;"' LIMIT 1),  '"&amp;J301&amp;"',  '"&amp;D301&amp;"',  '"&amp;L301&amp;"'); "</f>
        <v>INSERT INTO attribute_values (attribute_id, tag, name, details) VALUES ((SELECT id FROM attributes WHERE tag = 'att_organ' LIMIT 1),  'att_organ:stomach',  'Stomach',  'Stomach');</v>
      </c>
    </row>
    <row r="302" customFormat="false" ht="12.75" hidden="false" customHeight="false" outlineLevel="0" collapsed="false">
      <c r="A302" s="17" t="n">
        <f aca="false">FALSE()</f>
        <v>0</v>
      </c>
      <c r="B302" s="17"/>
      <c r="C302" s="8" t="s">
        <v>2193</v>
      </c>
      <c r="D302" s="8" t="s">
        <v>2194</v>
      </c>
      <c r="E302" s="8" t="s">
        <v>17</v>
      </c>
      <c r="F302" s="8" t="s">
        <v>199</v>
      </c>
      <c r="G302" s="8" t="s">
        <v>2671</v>
      </c>
      <c r="H302" s="8" t="str">
        <f aca="false">"att_"&amp;G302</f>
        <v>att_organ</v>
      </c>
      <c r="I302" s="8" t="s">
        <v>2193</v>
      </c>
      <c r="J302" s="8" t="str">
        <f aca="false">H302&amp;":"&amp;I302</f>
        <v>att_organ:testicles</v>
      </c>
      <c r="K302" s="16" t="s">
        <v>21</v>
      </c>
      <c r="L302" s="8" t="s">
        <v>2194</v>
      </c>
      <c r="M302" s="8" t="s">
        <v>17</v>
      </c>
      <c r="N302" s="8" t="str">
        <f aca="false">"INSERT INTO attributes (parent_id, tag, name, priority, allow_as_filter, allow_for_dataset, allow_for_measurement, allow_for_users, allow_for_qc) VALUES (NULL, '"&amp;H302&amp;"',  '"&amp;F302&amp;"',  500,  TRUE, TRUE, TRUE, FALSE, FALSE);"</f>
        <v>INSERT INTO attributes (parent_id, tag, name, priority, allow_as_filter, allow_for_dataset, allow_for_measurement, allow_for_users, allow_for_qc) VALUES (NULL, 'att_organ',  'Organ',  500,  TRUE, TRUE, TRUE, FALSE, FALSE);</v>
      </c>
      <c r="O302" s="8" t="str">
        <f aca="false">"INSERT INTO attribute_values (attribute_id, tag, name, details) VALUES ((SELECT id FROM attributes WHERE tag = '"&amp;H302&amp;"' LIMIT 1),  '"&amp;J302&amp;"',  '"&amp;D302&amp;"',  '"&amp;L302&amp;"'); "</f>
        <v>INSERT INTO attribute_values (attribute_id, tag, name, details) VALUES ((SELECT id FROM attributes WHERE tag = 'att_organ' LIMIT 1),  'att_organ:testicles',  'Testicles',  'Testicles');</v>
      </c>
    </row>
    <row r="303" customFormat="false" ht="12.75" hidden="false" customHeight="false" outlineLevel="0" collapsed="false">
      <c r="A303" s="17" t="n">
        <f aca="false">FALSE()</f>
        <v>0</v>
      </c>
      <c r="B303" s="17"/>
      <c r="C303" s="8" t="s">
        <v>2195</v>
      </c>
      <c r="D303" s="8" t="s">
        <v>2196</v>
      </c>
      <c r="E303" s="8" t="s">
        <v>17</v>
      </c>
      <c r="F303" s="8" t="s">
        <v>199</v>
      </c>
      <c r="G303" s="8" t="s">
        <v>2671</v>
      </c>
      <c r="H303" s="8" t="str">
        <f aca="false">"att_"&amp;G303</f>
        <v>att_organ</v>
      </c>
      <c r="I303" s="8" t="s">
        <v>2195</v>
      </c>
      <c r="J303" s="8" t="str">
        <f aca="false">H303&amp;":"&amp;I303</f>
        <v>att_organ:thalamus</v>
      </c>
      <c r="K303" s="16" t="s">
        <v>21</v>
      </c>
      <c r="L303" s="8" t="s">
        <v>2196</v>
      </c>
      <c r="M303" s="8" t="s">
        <v>17</v>
      </c>
      <c r="N303" s="8" t="str">
        <f aca="false">"INSERT INTO attributes (parent_id, tag, name, priority, allow_as_filter, allow_for_dataset, allow_for_measurement, allow_for_users, allow_for_qc) VALUES (NULL, '"&amp;H303&amp;"',  '"&amp;F303&amp;"',  500,  TRUE, TRUE, TRUE, FALSE, FALSE);"</f>
        <v>INSERT INTO attributes (parent_id, tag, name, priority, allow_as_filter, allow_for_dataset, allow_for_measurement, allow_for_users, allow_for_qc) VALUES (NULL, 'att_organ',  'Organ',  500,  TRUE, TRUE, TRUE, FALSE, FALSE);</v>
      </c>
      <c r="O303" s="8" t="str">
        <f aca="false">"INSERT INTO attribute_values (attribute_id, tag, name, details) VALUES ((SELECT id FROM attributes WHERE tag = '"&amp;H303&amp;"' LIMIT 1),  '"&amp;J303&amp;"',  '"&amp;D303&amp;"',  '"&amp;L303&amp;"'); "</f>
        <v>INSERT INTO attribute_values (attribute_id, tag, name, details) VALUES ((SELECT id FROM attributes WHERE tag = 'att_organ' LIMIT 1),  'att_organ:thalamus',  'Thalamus',  'Thalamus');</v>
      </c>
    </row>
    <row r="304" customFormat="false" ht="12.75" hidden="false" customHeight="false" outlineLevel="0" collapsed="false">
      <c r="A304" s="17" t="n">
        <f aca="false">FALSE()</f>
        <v>0</v>
      </c>
      <c r="B304" s="17"/>
      <c r="C304" s="8" t="s">
        <v>2197</v>
      </c>
      <c r="D304" s="8" t="s">
        <v>2198</v>
      </c>
      <c r="E304" s="8" t="s">
        <v>17</v>
      </c>
      <c r="F304" s="8" t="s">
        <v>199</v>
      </c>
      <c r="G304" s="8" t="s">
        <v>2671</v>
      </c>
      <c r="H304" s="8" t="str">
        <f aca="false">"att_"&amp;G304</f>
        <v>att_organ</v>
      </c>
      <c r="I304" s="8" t="s">
        <v>2197</v>
      </c>
      <c r="J304" s="8" t="str">
        <f aca="false">H304&amp;":"&amp;I304</f>
        <v>att_organ:thymus</v>
      </c>
      <c r="K304" s="16" t="s">
        <v>21</v>
      </c>
      <c r="L304" s="8" t="s">
        <v>2198</v>
      </c>
      <c r="M304" s="8" t="s">
        <v>17</v>
      </c>
      <c r="N304" s="8" t="str">
        <f aca="false">"INSERT INTO attributes (parent_id, tag, name, priority, allow_as_filter, allow_for_dataset, allow_for_measurement, allow_for_users, allow_for_qc) VALUES (NULL, '"&amp;H304&amp;"',  '"&amp;F304&amp;"',  500,  TRUE, TRUE, TRUE, FALSE, FALSE);"</f>
        <v>INSERT INTO attributes (parent_id, tag, name, priority, allow_as_filter, allow_for_dataset, allow_for_measurement, allow_for_users, allow_for_qc) VALUES (NULL, 'att_organ',  'Organ',  500,  TRUE, TRUE, TRUE, FALSE, FALSE);</v>
      </c>
      <c r="O304" s="8" t="str">
        <f aca="false">"INSERT INTO attribute_values (attribute_id, tag, name, details) VALUES ((SELECT id FROM attributes WHERE tag = '"&amp;H304&amp;"' LIMIT 1),  '"&amp;J304&amp;"',  '"&amp;D304&amp;"',  '"&amp;L304&amp;"'); "</f>
        <v>INSERT INTO attribute_values (attribute_id, tag, name, details) VALUES ((SELECT id FROM attributes WHERE tag = 'att_organ' LIMIT 1),  'att_organ:thymus',  'Thymus',  'Thymus');</v>
      </c>
    </row>
    <row r="305" customFormat="false" ht="12.75" hidden="false" customHeight="false" outlineLevel="0" collapsed="false">
      <c r="A305" s="17" t="n">
        <f aca="false">FALSE()</f>
        <v>0</v>
      </c>
      <c r="B305" s="17"/>
      <c r="C305" s="8" t="s">
        <v>2199</v>
      </c>
      <c r="D305" s="8" t="s">
        <v>2200</v>
      </c>
      <c r="E305" s="8" t="s">
        <v>17</v>
      </c>
      <c r="F305" s="8" t="s">
        <v>199</v>
      </c>
      <c r="G305" s="8" t="s">
        <v>2671</v>
      </c>
      <c r="H305" s="8" t="str">
        <f aca="false">"att_"&amp;G305</f>
        <v>att_organ</v>
      </c>
      <c r="I305" s="8" t="s">
        <v>2199</v>
      </c>
      <c r="J305" s="8" t="str">
        <f aca="false">H305&amp;":"&amp;I305</f>
        <v>att_organ:tongue</v>
      </c>
      <c r="K305" s="16" t="s">
        <v>21</v>
      </c>
      <c r="L305" s="8" t="s">
        <v>2200</v>
      </c>
      <c r="M305" s="8" t="s">
        <v>17</v>
      </c>
      <c r="N305" s="8" t="str">
        <f aca="false">"INSERT INTO attributes (parent_id, tag, name, priority, allow_as_filter, allow_for_dataset, allow_for_measurement, allow_for_users, allow_for_qc) VALUES (NULL, '"&amp;H305&amp;"',  '"&amp;F305&amp;"',  500,  TRUE, TRUE, TRUE, FALSE, FALSE);"</f>
        <v>INSERT INTO attributes (parent_id, tag, name, priority, allow_as_filter, allow_for_dataset, allow_for_measurement, allow_for_users, allow_for_qc) VALUES (NULL, 'att_organ',  'Organ',  500,  TRUE, TRUE, TRUE, FALSE, FALSE);</v>
      </c>
      <c r="O305" s="8" t="str">
        <f aca="false">"INSERT INTO attribute_values (attribute_id, tag, name, details) VALUES ((SELECT id FROM attributes WHERE tag = '"&amp;H305&amp;"' LIMIT 1),  '"&amp;J305&amp;"',  '"&amp;D305&amp;"',  '"&amp;L305&amp;"'); "</f>
        <v>INSERT INTO attribute_values (attribute_id, tag, name, details) VALUES ((SELECT id FROM attributes WHERE tag = 'att_organ' LIMIT 1),  'att_organ:tongue',  'Tongue',  'Tongue');</v>
      </c>
    </row>
    <row r="306" customFormat="false" ht="12.75" hidden="false" customHeight="false" outlineLevel="0" collapsed="false">
      <c r="A306" s="17" t="n">
        <f aca="false">FALSE()</f>
        <v>0</v>
      </c>
      <c r="B306" s="17"/>
      <c r="C306" s="8" t="s">
        <v>2201</v>
      </c>
      <c r="D306" s="8" t="s">
        <v>2202</v>
      </c>
      <c r="E306" s="8" t="s">
        <v>17</v>
      </c>
      <c r="F306" s="8" t="s">
        <v>199</v>
      </c>
      <c r="G306" s="8" t="s">
        <v>2671</v>
      </c>
      <c r="H306" s="8" t="str">
        <f aca="false">"att_"&amp;G306</f>
        <v>att_organ</v>
      </c>
      <c r="I306" s="8" t="s">
        <v>2201</v>
      </c>
      <c r="J306" s="8" t="str">
        <f aca="false">H306&amp;":"&amp;I306</f>
        <v>att_organ:tonsils</v>
      </c>
      <c r="K306" s="16" t="s">
        <v>21</v>
      </c>
      <c r="L306" s="8" t="s">
        <v>2202</v>
      </c>
      <c r="M306" s="8" t="s">
        <v>17</v>
      </c>
      <c r="N306" s="8" t="str">
        <f aca="false">"INSERT INTO attributes (parent_id, tag, name, priority, allow_as_filter, allow_for_dataset, allow_for_measurement, allow_for_users, allow_for_qc) VALUES (NULL, '"&amp;H306&amp;"',  '"&amp;F306&amp;"',  500,  TRUE, TRUE, TRUE, FALSE, FALSE);"</f>
        <v>INSERT INTO attributes (parent_id, tag, name, priority, allow_as_filter, allow_for_dataset, allow_for_measurement, allow_for_users, allow_for_qc) VALUES (NULL, 'att_organ',  'Organ',  500,  TRUE, TRUE, TRUE, FALSE, FALSE);</v>
      </c>
      <c r="O306" s="8" t="str">
        <f aca="false">"INSERT INTO attribute_values (attribute_id, tag, name, details) VALUES ((SELECT id FROM attributes WHERE tag = '"&amp;H306&amp;"' LIMIT 1),  '"&amp;J306&amp;"',  '"&amp;D306&amp;"',  '"&amp;L306&amp;"'); "</f>
        <v>INSERT INTO attribute_values (attribute_id, tag, name, details) VALUES ((SELECT id FROM attributes WHERE tag = 'att_organ' LIMIT 1),  'att_organ:tonsils',  'Tonsils',  'Tonsils');</v>
      </c>
    </row>
    <row r="307" customFormat="false" ht="12.75" hidden="false" customHeight="false" outlineLevel="0" collapsed="false">
      <c r="A307" s="17" t="n">
        <f aca="false">FALSE()</f>
        <v>0</v>
      </c>
      <c r="B307" s="17"/>
      <c r="C307" s="8" t="s">
        <v>2203</v>
      </c>
      <c r="D307" s="8" t="s">
        <v>2204</v>
      </c>
      <c r="E307" s="8" t="s">
        <v>17</v>
      </c>
      <c r="F307" s="8" t="s">
        <v>199</v>
      </c>
      <c r="G307" s="8" t="s">
        <v>2671</v>
      </c>
      <c r="H307" s="8" t="str">
        <f aca="false">"att_"&amp;G307</f>
        <v>att_organ</v>
      </c>
      <c r="I307" s="8" t="s">
        <v>2203</v>
      </c>
      <c r="J307" s="8" t="str">
        <f aca="false">H307&amp;":"&amp;I307</f>
        <v>att_organ:uterus</v>
      </c>
      <c r="K307" s="16" t="s">
        <v>21</v>
      </c>
      <c r="L307" s="8" t="s">
        <v>2204</v>
      </c>
      <c r="M307" s="8" t="s">
        <v>17</v>
      </c>
      <c r="N307" s="8" t="str">
        <f aca="false">"INSERT INTO attributes (parent_id, tag, name, priority, allow_as_filter, allow_for_dataset, allow_for_measurement, allow_for_users, allow_for_qc) VALUES (NULL, '"&amp;H307&amp;"',  '"&amp;F307&amp;"',  500,  TRUE, TRUE, TRUE, FALSE, FALSE);"</f>
        <v>INSERT INTO attributes (parent_id, tag, name, priority, allow_as_filter, allow_for_dataset, allow_for_measurement, allow_for_users, allow_for_qc) VALUES (NULL, 'att_organ',  'Organ',  500,  TRUE, TRUE, TRUE, FALSE, FALSE);</v>
      </c>
      <c r="O307" s="8" t="str">
        <f aca="false">"INSERT INTO attribute_values (attribute_id, tag, name, details) VALUES ((SELECT id FROM attributes WHERE tag = '"&amp;H307&amp;"' LIMIT 1),  '"&amp;J307&amp;"',  '"&amp;D307&amp;"',  '"&amp;L307&amp;"'); "</f>
        <v>INSERT INTO attribute_values (attribute_id, tag, name, details) VALUES ((SELECT id FROM attributes WHERE tag = 'att_organ' LIMIT 1),  'att_organ:uterus',  'Uterus',  'Uterus');</v>
      </c>
    </row>
    <row r="308" customFormat="false" ht="12.75" hidden="false" customHeight="false" outlineLevel="0" collapsed="false">
      <c r="A308" s="17" t="n">
        <f aca="false">FALSE()</f>
        <v>0</v>
      </c>
      <c r="B308" s="17"/>
      <c r="C308" s="8" t="s">
        <v>2205</v>
      </c>
      <c r="D308" s="8" t="s">
        <v>2206</v>
      </c>
      <c r="E308" s="8" t="s">
        <v>17</v>
      </c>
      <c r="F308" s="8" t="s">
        <v>199</v>
      </c>
      <c r="G308" s="8" t="s">
        <v>2671</v>
      </c>
      <c r="H308" s="8" t="str">
        <f aca="false">"att_"&amp;G308</f>
        <v>att_organ</v>
      </c>
      <c r="I308" s="8" t="s">
        <v>2205</v>
      </c>
      <c r="J308" s="8" t="str">
        <f aca="false">H308&amp;":"&amp;I308</f>
        <v>att_organ:veins</v>
      </c>
      <c r="K308" s="16" t="s">
        <v>21</v>
      </c>
      <c r="L308" s="8" t="s">
        <v>2206</v>
      </c>
      <c r="M308" s="8" t="s">
        <v>17</v>
      </c>
      <c r="N308" s="8" t="str">
        <f aca="false">"INSERT INTO attributes (parent_id, tag, name, priority, allow_as_filter, allow_for_dataset, allow_for_measurement, allow_for_users, allow_for_qc) VALUES (NULL, '"&amp;H308&amp;"',  '"&amp;F308&amp;"',  500,  TRUE, TRUE, TRUE, FALSE, FALSE);"</f>
        <v>INSERT INTO attributes (parent_id, tag, name, priority, allow_as_filter, allow_for_dataset, allow_for_measurement, allow_for_users, allow_for_qc) VALUES (NULL, 'att_organ',  'Organ',  500,  TRUE, TRUE, TRUE, FALSE, FALSE);</v>
      </c>
      <c r="O308" s="8" t="str">
        <f aca="false">"INSERT INTO attribute_values (attribute_id, tag, name, details) VALUES ((SELECT id FROM attributes WHERE tag = '"&amp;H308&amp;"' LIMIT 1),  '"&amp;J308&amp;"',  '"&amp;D308&amp;"',  '"&amp;L308&amp;"'); "</f>
        <v>INSERT INTO attribute_values (attribute_id, tag, name, details) VALUES ((SELECT id FROM attributes WHERE tag = 'att_organ' LIMIT 1),  'att_organ:veins',  'Veins',  'Veins');</v>
      </c>
    </row>
    <row r="309" customFormat="false" ht="12.75" hidden="false" customHeight="false" outlineLevel="0" collapsed="false">
      <c r="A309" s="16" t="s">
        <v>21</v>
      </c>
      <c r="B309" s="17"/>
      <c r="C309" s="8" t="s">
        <v>2672</v>
      </c>
      <c r="D309" s="8" t="s">
        <v>2673</v>
      </c>
      <c r="E309" s="8" t="s">
        <v>17</v>
      </c>
      <c r="F309" s="8" t="s">
        <v>201</v>
      </c>
      <c r="G309" s="8" t="s">
        <v>2674</v>
      </c>
      <c r="H309" s="8" t="str">
        <f aca="false">"att_"&amp;G309</f>
        <v>att_organism</v>
      </c>
      <c r="I309" s="8" t="s">
        <v>2672</v>
      </c>
      <c r="J309" s="8" t="str">
        <f aca="false">H309&amp;":"&amp;I309</f>
        <v>att_organism:bacteria</v>
      </c>
      <c r="K309" s="16" t="s">
        <v>21</v>
      </c>
      <c r="L309" s="8" t="s">
        <v>2673</v>
      </c>
      <c r="M309" s="8" t="s">
        <v>17</v>
      </c>
      <c r="N309" s="8" t="str">
        <f aca="false">"INSERT INTO attributes (parent_id, tag, name, priority, allow_as_filter, allow_for_dataset, allow_for_measurement, allow_for_users, allow_for_qc) VALUES (NULL, '"&amp;H309&amp;"',  '"&amp;F309&amp;"',  500,  TRUE, TRUE, TRUE, FALSE, FALSE);"</f>
        <v>INSERT INTO attributes (parent_id, tag, name, priority, allow_as_filter, allow_for_dataset, allow_for_measurement, allow_for_users, allow_for_qc) VALUES (NULL, 'att_organism',  'Organism',  500,  TRUE, TRUE, TRUE, FALSE, FALSE);</v>
      </c>
      <c r="O309" s="8" t="str">
        <f aca="false">"INSERT INTO attribute_values (attribute_id, tag, name, details) VALUES ((SELECT id FROM attributes WHERE tag = '"&amp;H309&amp;"' LIMIT 1),  '"&amp;J309&amp;"',  '"&amp;D309&amp;"',  '"&amp;L309&amp;"'); "</f>
        <v>INSERT INTO attribute_values (attribute_id, tag, name, details) VALUES ((SELECT id FROM attributes WHERE tag = 'att_organism' LIMIT 1),  'att_organism:bacteria',  'Bacteria',  'Bacteria');</v>
      </c>
    </row>
    <row r="310" customFormat="false" ht="12.75" hidden="false" customHeight="false" outlineLevel="0" collapsed="false">
      <c r="A310" s="16" t="s">
        <v>21</v>
      </c>
      <c r="B310" s="17"/>
      <c r="C310" s="8" t="s">
        <v>2675</v>
      </c>
      <c r="D310" s="8" t="s">
        <v>2213</v>
      </c>
      <c r="E310" s="8" t="s">
        <v>17</v>
      </c>
      <c r="F310" s="8" t="s">
        <v>201</v>
      </c>
      <c r="G310" s="8" t="s">
        <v>2674</v>
      </c>
      <c r="H310" s="8" t="str">
        <f aca="false">"att_"&amp;G310</f>
        <v>att_organism</v>
      </c>
      <c r="I310" s="8" t="s">
        <v>2675</v>
      </c>
      <c r="J310" s="8" t="str">
        <f aca="false">H310&amp;":"&amp;I310</f>
        <v>att_organism:elegans</v>
      </c>
      <c r="K310" s="16" t="s">
        <v>21</v>
      </c>
      <c r="L310" s="8" t="s">
        <v>2213</v>
      </c>
      <c r="M310" s="8" t="s">
        <v>17</v>
      </c>
      <c r="N310" s="8" t="str">
        <f aca="false">"INSERT INTO attributes (parent_id, tag, name, priority, allow_as_filter, allow_for_dataset, allow_for_measurement, allow_for_users, allow_for_qc) VALUES (NULL, '"&amp;H310&amp;"',  '"&amp;F310&amp;"',  500,  TRUE, TRUE, TRUE, FALSE, FALSE);"</f>
        <v>INSERT INTO attributes (parent_id, tag, name, priority, allow_as_filter, allow_for_dataset, allow_for_measurement, allow_for_users, allow_for_qc) VALUES (NULL, 'att_organism',  'Organism',  500,  TRUE, TRUE, TRUE, FALSE, FALSE);</v>
      </c>
      <c r="O310" s="8" t="str">
        <f aca="false">"INSERT INTO attribute_values (attribute_id, tag, name, details) VALUES ((SELECT id FROM attributes WHERE tag = '"&amp;H310&amp;"' LIMIT 1),  '"&amp;J310&amp;"',  '"&amp;D310&amp;"',  '"&amp;L310&amp;"'); "</f>
        <v>INSERT INTO attribute_values (attribute_id, tag, name, details) VALUES ((SELECT id FROM attributes WHERE tag = 'att_organism' LIMIT 1),  'att_organism:elegans',  'Caenorhabditis elegans',  'Caenorhabditis elegans');</v>
      </c>
    </row>
    <row r="311" customFormat="false" ht="12.75" hidden="false" customHeight="false" outlineLevel="0" collapsed="false">
      <c r="A311" s="16" t="s">
        <v>21</v>
      </c>
      <c r="B311" s="17"/>
      <c r="C311" s="8" t="s">
        <v>2676</v>
      </c>
      <c r="D311" s="8" t="s">
        <v>2677</v>
      </c>
      <c r="E311" s="8" t="s">
        <v>17</v>
      </c>
      <c r="F311" s="8" t="s">
        <v>201</v>
      </c>
      <c r="G311" s="8" t="s">
        <v>2674</v>
      </c>
      <c r="H311" s="8" t="str">
        <f aca="false">"att_"&amp;G311</f>
        <v>att_organism</v>
      </c>
      <c r="I311" s="8" t="s">
        <v>2676</v>
      </c>
      <c r="J311" s="8" t="str">
        <f aca="false">H311&amp;":"&amp;I311</f>
        <v>att_organism:gut</v>
      </c>
      <c r="K311" s="16" t="s">
        <v>21</v>
      </c>
      <c r="L311" s="8" t="s">
        <v>2678</v>
      </c>
      <c r="M311" s="8" t="s">
        <v>17</v>
      </c>
      <c r="N311" s="8" t="str">
        <f aca="false">"INSERT INTO attributes (parent_id, tag, name, priority, allow_as_filter, allow_for_dataset, allow_for_measurement, allow_for_users, allow_for_qc) VALUES (NULL, '"&amp;H311&amp;"',  '"&amp;F311&amp;"',  500,  TRUE, TRUE, TRUE, FALSE, FALSE);"</f>
        <v>INSERT INTO attributes (parent_id, tag, name, priority, allow_as_filter, allow_for_dataset, allow_for_measurement, allow_for_users, allow_for_qc) VALUES (NULL, 'att_organism',  'Organism',  500,  TRUE, TRUE, TRUE, FALSE, FALSE);</v>
      </c>
      <c r="O311" s="8" t="str">
        <f aca="false">"INSERT INTO attribute_values (attribute_id, tag, name, details) VALUES ((SELECT id FROM attributes WHERE tag = '"&amp;H311&amp;"' LIMIT 1),  '"&amp;J311&amp;"',  '"&amp;D311&amp;"',  '"&amp;L311&amp;"'); "</f>
        <v>INSERT INTO attribute_values (attribute_id, tag, name, details) VALUES ((SELECT id FROM attributes WHERE tag = 'att_organism' LIMIT 1),  'att_organism:gut',  'Gut Microbiom',  'Gut Microbiomm (Specify in Additional Info)');</v>
      </c>
    </row>
    <row r="312" customFormat="false" ht="12.75" hidden="false" customHeight="false" outlineLevel="0" collapsed="false">
      <c r="A312" s="16" t="s">
        <v>21</v>
      </c>
      <c r="B312" s="17"/>
      <c r="C312" s="8" t="s">
        <v>2224</v>
      </c>
      <c r="D312" s="8" t="s">
        <v>2225</v>
      </c>
      <c r="E312" s="8" t="s">
        <v>17</v>
      </c>
      <c r="F312" s="8" t="s">
        <v>201</v>
      </c>
      <c r="G312" s="8" t="s">
        <v>2674</v>
      </c>
      <c r="H312" s="8" t="str">
        <f aca="false">"att_"&amp;G312</f>
        <v>att_organism</v>
      </c>
      <c r="I312" s="8" t="s">
        <v>2224</v>
      </c>
      <c r="J312" s="8" t="str">
        <f aca="false">H312&amp;":"&amp;I312</f>
        <v>att_organism:human</v>
      </c>
      <c r="K312" s="16" t="s">
        <v>21</v>
      </c>
      <c r="L312" s="8" t="s">
        <v>2679</v>
      </c>
      <c r="M312" s="8" t="s">
        <v>17</v>
      </c>
      <c r="N312" s="8" t="str">
        <f aca="false">"INSERT INTO attributes (parent_id, tag, name, priority, allow_as_filter, allow_for_dataset, allow_for_measurement, allow_for_users, allow_for_qc) VALUES (NULL, '"&amp;H312&amp;"',  '"&amp;F312&amp;"',  500,  TRUE, TRUE, TRUE, FALSE, FALSE);"</f>
        <v>INSERT INTO attributes (parent_id, tag, name, priority, allow_as_filter, allow_for_dataset, allow_for_measurement, allow_for_users, allow_for_qc) VALUES (NULL, 'att_organism',  'Organism',  500,  TRUE, TRUE, TRUE, FALSE, FALSE);</v>
      </c>
      <c r="O312" s="8" t="str">
        <f aca="false">"INSERT INTO attribute_values (attribute_id, tag, name, details) VALUES ((SELECT id FROM attributes WHERE tag = '"&amp;H312&amp;"' LIMIT 1),  '"&amp;J312&amp;"',  '"&amp;D312&amp;"',  '"&amp;L312&amp;"'); "</f>
        <v>INSERT INTO attribute_values (attribute_id, tag, name, details) VALUES ((SELECT id FROM attributes WHERE tag = 'att_organism' LIMIT 1),  'att_organism:human',  'Homo sapiens',  'Homo sapiens (Human)');</v>
      </c>
    </row>
    <row r="313" customFormat="false" ht="12.75" hidden="false" customHeight="false" outlineLevel="0" collapsed="false">
      <c r="A313" s="16" t="s">
        <v>21</v>
      </c>
      <c r="B313" s="17"/>
      <c r="C313" s="8" t="s">
        <v>2208</v>
      </c>
      <c r="D313" s="8" t="s">
        <v>2209</v>
      </c>
      <c r="E313" s="8" t="s">
        <v>17</v>
      </c>
      <c r="F313" s="8" t="s">
        <v>201</v>
      </c>
      <c r="G313" s="8" t="s">
        <v>2674</v>
      </c>
      <c r="H313" s="8" t="str">
        <f aca="false">"att_"&amp;G313</f>
        <v>att_organism</v>
      </c>
      <c r="I313" s="8" t="s">
        <v>2208</v>
      </c>
      <c r="J313" s="8" t="str">
        <f aca="false">H313&amp;":"&amp;I313</f>
        <v>att_organism:mouse</v>
      </c>
      <c r="K313" s="16" t="s">
        <v>21</v>
      </c>
      <c r="L313" s="8" t="s">
        <v>2680</v>
      </c>
      <c r="M313" s="8" t="s">
        <v>17</v>
      </c>
      <c r="N313" s="8" t="str">
        <f aca="false">"INSERT INTO attributes (parent_id, tag, name, priority, allow_as_filter, allow_for_dataset, allow_for_measurement, allow_for_users, allow_for_qc) VALUES (NULL, '"&amp;H313&amp;"',  '"&amp;F313&amp;"',  500,  TRUE, TRUE, TRUE, FALSE, FALSE);"</f>
        <v>INSERT INTO attributes (parent_id, tag, name, priority, allow_as_filter, allow_for_dataset, allow_for_measurement, allow_for_users, allow_for_qc) VALUES (NULL, 'att_organism',  'Organism',  500,  TRUE, TRUE, TRUE, FALSE, FALSE);</v>
      </c>
      <c r="O313" s="8" t="str">
        <f aca="false">"INSERT INTO attribute_values (attribute_id, tag, name, details) VALUES ((SELECT id FROM attributes WHERE tag = '"&amp;H313&amp;"' LIMIT 1),  '"&amp;J313&amp;"',  '"&amp;D313&amp;"',  '"&amp;L313&amp;"'); "</f>
        <v>INSERT INTO attribute_values (attribute_id, tag, name, details) VALUES ((SELECT id FROM attributes WHERE tag = 'att_organism' LIMIT 1),  'att_organism:mouse',  'Mus musculus',  'Mus musculus (Mouse)');</v>
      </c>
    </row>
    <row r="314" customFormat="false" ht="12.75" hidden="false" customHeight="false" outlineLevel="0" collapsed="false">
      <c r="A314" s="16" t="s">
        <v>21</v>
      </c>
      <c r="B314" s="17"/>
      <c r="C314" s="8" t="s">
        <v>2220</v>
      </c>
      <c r="D314" s="8" t="s">
        <v>2221</v>
      </c>
      <c r="E314" s="8" t="s">
        <v>17</v>
      </c>
      <c r="F314" s="8" t="s">
        <v>201</v>
      </c>
      <c r="G314" s="8" t="s">
        <v>2674</v>
      </c>
      <c r="H314" s="8" t="str">
        <f aca="false">"att_"&amp;G314</f>
        <v>att_organism</v>
      </c>
      <c r="I314" s="8" t="s">
        <v>2220</v>
      </c>
      <c r="J314" s="8" t="str">
        <f aca="false">H314&amp;":"&amp;I314</f>
        <v>att_organism:rat</v>
      </c>
      <c r="K314" s="16" t="s">
        <v>21</v>
      </c>
      <c r="L314" s="8" t="s">
        <v>2681</v>
      </c>
      <c r="M314" s="8" t="s">
        <v>17</v>
      </c>
      <c r="N314" s="8" t="str">
        <f aca="false">"INSERT INTO attributes (parent_id, tag, name, priority, allow_as_filter, allow_for_dataset, allow_for_measurement, allow_for_users, allow_for_qc) VALUES (NULL, '"&amp;H314&amp;"',  '"&amp;F314&amp;"',  500,  TRUE, TRUE, TRUE, FALSE, FALSE);"</f>
        <v>INSERT INTO attributes (parent_id, tag, name, priority, allow_as_filter, allow_for_dataset, allow_for_measurement, allow_for_users, allow_for_qc) VALUES (NULL, 'att_organism',  'Organism',  500,  TRUE, TRUE, TRUE, FALSE, FALSE);</v>
      </c>
      <c r="O314" s="8" t="str">
        <f aca="false">"INSERT INTO attribute_values (attribute_id, tag, name, details) VALUES ((SELECT id FROM attributes WHERE tag = '"&amp;H314&amp;"' LIMIT 1),  '"&amp;J314&amp;"',  '"&amp;D314&amp;"',  '"&amp;L314&amp;"'); "</f>
        <v>INSERT INTO attribute_values (attribute_id, tag, name, details) VALUES ((SELECT id FROM attributes WHERE tag = 'att_organism' LIMIT 1),  'att_organism:rat',  'Rattus norvegicus',  'Rattus norvegicus (Rat)');</v>
      </c>
    </row>
    <row r="315" customFormat="false" ht="12.75" hidden="false" customHeight="false" outlineLevel="0" collapsed="false">
      <c r="A315" s="16" t="s">
        <v>21</v>
      </c>
      <c r="B315" s="17"/>
      <c r="C315" s="8" t="s">
        <v>2216</v>
      </c>
      <c r="D315" s="8" t="s">
        <v>2217</v>
      </c>
      <c r="E315" s="8" t="s">
        <v>17</v>
      </c>
      <c r="F315" s="8" t="s">
        <v>201</v>
      </c>
      <c r="G315" s="8" t="s">
        <v>2674</v>
      </c>
      <c r="H315" s="8" t="str">
        <f aca="false">"att_"&amp;G315</f>
        <v>att_organism</v>
      </c>
      <c r="I315" s="8" t="s">
        <v>2216</v>
      </c>
      <c r="J315" s="8" t="str">
        <f aca="false">H315&amp;":"&amp;I315</f>
        <v>att_organism:yeast</v>
      </c>
      <c r="K315" s="16" t="s">
        <v>21</v>
      </c>
      <c r="L315" s="8" t="s">
        <v>2682</v>
      </c>
      <c r="M315" s="8" t="s">
        <v>17</v>
      </c>
      <c r="N315" s="8" t="str">
        <f aca="false">"INSERT INTO attributes (parent_id, tag, name, priority, allow_as_filter, allow_for_dataset, allow_for_measurement, allow_for_users, allow_for_qc) VALUES (NULL, '"&amp;H315&amp;"',  '"&amp;F315&amp;"',  500,  TRUE, TRUE, TRUE, FALSE, FALSE);"</f>
        <v>INSERT INTO attributes (parent_id, tag, name, priority, allow_as_filter, allow_for_dataset, allow_for_measurement, allow_for_users, allow_for_qc) VALUES (NULL, 'att_organism',  'Organism',  500,  TRUE, TRUE, TRUE, FALSE, FALSE);</v>
      </c>
      <c r="O315" s="8" t="str">
        <f aca="false">"INSERT INTO attribute_values (attribute_id, tag, name, details) VALUES ((SELECT id FROM attributes WHERE tag = '"&amp;H315&amp;"' LIMIT 1),  '"&amp;J315&amp;"',  '"&amp;D315&amp;"',  '"&amp;L315&amp;"'); "</f>
        <v>INSERT INTO attribute_values (attribute_id, tag, name, details) VALUES ((SELECT id FROM attributes WHERE tag = 'att_organism' LIMIT 1),  'att_organism:yeast',  'Saccharomyces cerevisiae',  'Saccharomyces cerevisiae (Baker's Yeast)');</v>
      </c>
    </row>
    <row r="316" customFormat="false" ht="12.75" hidden="false" customHeight="false" outlineLevel="0" collapsed="false">
      <c r="A316" s="17" t="n">
        <f aca="false">FALSE()</f>
        <v>0</v>
      </c>
      <c r="B316" s="17"/>
      <c r="C316" s="8" t="s">
        <v>2227</v>
      </c>
      <c r="D316" s="8" t="s">
        <v>2229</v>
      </c>
      <c r="E316" s="8" t="s">
        <v>17</v>
      </c>
      <c r="F316" s="8" t="s">
        <v>2683</v>
      </c>
      <c r="G316" s="8" t="s">
        <v>2684</v>
      </c>
      <c r="H316" s="8" t="str">
        <f aca="false">"att_"&amp;G316</f>
        <v>att_organsystem</v>
      </c>
      <c r="I316" s="8" t="s">
        <v>2227</v>
      </c>
      <c r="J316" s="8" t="str">
        <f aca="false">H316&amp;":"&amp;I316</f>
        <v>att_organsystem:cardiovascular</v>
      </c>
      <c r="K316" s="16" t="s">
        <v>21</v>
      </c>
      <c r="L316" s="8" t="s">
        <v>2230</v>
      </c>
      <c r="M316" s="8" t="s">
        <v>17</v>
      </c>
      <c r="N316" s="8" t="str">
        <f aca="false">"INSERT INTO attributes (parent_id, tag, name, priority, allow_as_filter, allow_for_dataset, allow_for_measurement, allow_for_users, allow_for_qc) VALUES (NULL, '"&amp;H316&amp;"',  '"&amp;F316&amp;"',  500,  TRUE, TRUE, TRUE, FALSE, FALSE);"</f>
        <v>INSERT INTO attributes (parent_id, tag, name, priority, allow_as_filter, allow_for_dataset, allow_for_measurement, allow_for_users, allow_for_qc) VALUES (NULL, 'att_organsystem',  'Organ System',  500,  TRUE, TRUE, TRUE, FALSE, FALSE);</v>
      </c>
      <c r="O316" s="8" t="str">
        <f aca="false">"INSERT INTO attribute_values (attribute_id, tag, name, details) VALUES ((SELECT id FROM attributes WHERE tag = '"&amp;H316&amp;"' LIMIT 1),  '"&amp;J316&amp;"',  '"&amp;D316&amp;"',  '"&amp;L316&amp;"'); "</f>
        <v>INSERT INTO attribute_values (attribute_id, tag, name, details) VALUES ((SELECT id FROM attributes WHERE tag = 'att_organsystem' LIMIT 1),  'att_organsystem:cardiovascular',  'Cardiovascular',  'Cardiovascular System');</v>
      </c>
    </row>
    <row r="317" customFormat="false" ht="12.75" hidden="false" customHeight="false" outlineLevel="0" collapsed="false">
      <c r="A317" s="17" t="n">
        <f aca="false">FALSE()</f>
        <v>0</v>
      </c>
      <c r="B317" s="17"/>
      <c r="C317" s="8" t="s">
        <v>2231</v>
      </c>
      <c r="D317" s="8" t="s">
        <v>2232</v>
      </c>
      <c r="E317" s="8" t="s">
        <v>17</v>
      </c>
      <c r="F317" s="8" t="s">
        <v>2683</v>
      </c>
      <c r="G317" s="8" t="s">
        <v>2684</v>
      </c>
      <c r="H317" s="8" t="str">
        <f aca="false">"att_"&amp;G317</f>
        <v>att_organsystem</v>
      </c>
      <c r="I317" s="8" t="s">
        <v>2231</v>
      </c>
      <c r="J317" s="8" t="str">
        <f aca="false">H317&amp;":"&amp;I317</f>
        <v>att_organsystem:digestive</v>
      </c>
      <c r="K317" s="16" t="s">
        <v>21</v>
      </c>
      <c r="L317" s="8" t="s">
        <v>2233</v>
      </c>
      <c r="M317" s="8" t="s">
        <v>17</v>
      </c>
      <c r="N317" s="8" t="str">
        <f aca="false">"INSERT INTO attributes (parent_id, tag, name, priority, allow_as_filter, allow_for_dataset, allow_for_measurement, allow_for_users, allow_for_qc) VALUES (NULL, '"&amp;H317&amp;"',  '"&amp;F317&amp;"',  500,  TRUE, TRUE, TRUE, FALSE, FALSE);"</f>
        <v>INSERT INTO attributes (parent_id, tag, name, priority, allow_as_filter, allow_for_dataset, allow_for_measurement, allow_for_users, allow_for_qc) VALUES (NULL, 'att_organsystem',  'Organ System',  500,  TRUE, TRUE, TRUE, FALSE, FALSE);</v>
      </c>
      <c r="O317" s="8" t="str">
        <f aca="false">"INSERT INTO attribute_values (attribute_id, tag, name, details) VALUES ((SELECT id FROM attributes WHERE tag = '"&amp;H317&amp;"' LIMIT 1),  '"&amp;J317&amp;"',  '"&amp;D317&amp;"',  '"&amp;L317&amp;"'); "</f>
        <v>INSERT INTO attribute_values (attribute_id, tag, name, details) VALUES ((SELECT id FROM attributes WHERE tag = 'att_organsystem' LIMIT 1),  'att_organsystem:digestive',  'Digestive',  'Digestive System');</v>
      </c>
    </row>
    <row r="318" customFormat="false" ht="12.75" hidden="false" customHeight="false" outlineLevel="0" collapsed="false">
      <c r="A318" s="17" t="n">
        <f aca="false">FALSE()</f>
        <v>0</v>
      </c>
      <c r="B318" s="17"/>
      <c r="C318" s="8" t="s">
        <v>2234</v>
      </c>
      <c r="D318" s="8" t="s">
        <v>2235</v>
      </c>
      <c r="E318" s="8" t="s">
        <v>17</v>
      </c>
      <c r="F318" s="8" t="s">
        <v>2683</v>
      </c>
      <c r="G318" s="8" t="s">
        <v>2684</v>
      </c>
      <c r="H318" s="8" t="str">
        <f aca="false">"att_"&amp;G318</f>
        <v>att_organsystem</v>
      </c>
      <c r="I318" s="8" t="s">
        <v>2234</v>
      </c>
      <c r="J318" s="8" t="str">
        <f aca="false">H318&amp;":"&amp;I318</f>
        <v>att_organsystem:endocrine</v>
      </c>
      <c r="K318" s="16" t="s">
        <v>21</v>
      </c>
      <c r="L318" s="8" t="s">
        <v>2236</v>
      </c>
      <c r="M318" s="8" t="s">
        <v>17</v>
      </c>
      <c r="N318" s="8" t="str">
        <f aca="false">"INSERT INTO attributes (parent_id, tag, name, priority, allow_as_filter, allow_for_dataset, allow_for_measurement, allow_for_users, allow_for_qc) VALUES (NULL, '"&amp;H318&amp;"',  '"&amp;F318&amp;"',  500,  TRUE, TRUE, TRUE, FALSE, FALSE);"</f>
        <v>INSERT INTO attributes (parent_id, tag, name, priority, allow_as_filter, allow_for_dataset, allow_for_measurement, allow_for_users, allow_for_qc) VALUES (NULL, 'att_organsystem',  'Organ System',  500,  TRUE, TRUE, TRUE, FALSE, FALSE);</v>
      </c>
      <c r="O318" s="8" t="str">
        <f aca="false">"INSERT INTO attribute_values (attribute_id, tag, name, details) VALUES ((SELECT id FROM attributes WHERE tag = '"&amp;H318&amp;"' LIMIT 1),  '"&amp;J318&amp;"',  '"&amp;D318&amp;"',  '"&amp;L318&amp;"'); "</f>
        <v>INSERT INTO attribute_values (attribute_id, tag, name, details) VALUES ((SELECT id FROM attributes WHERE tag = 'att_organsystem' LIMIT 1),  'att_organsystem:endocrine',  'Endocrine',  'Endocrine System');</v>
      </c>
    </row>
    <row r="319" customFormat="false" ht="12.75" hidden="false" customHeight="false" outlineLevel="0" collapsed="false">
      <c r="A319" s="17" t="n">
        <f aca="false">FALSE()</f>
        <v>0</v>
      </c>
      <c r="B319" s="17"/>
      <c r="C319" s="8" t="s">
        <v>2237</v>
      </c>
      <c r="D319" s="8" t="s">
        <v>2238</v>
      </c>
      <c r="E319" s="8" t="s">
        <v>17</v>
      </c>
      <c r="F319" s="8" t="s">
        <v>2683</v>
      </c>
      <c r="G319" s="8" t="s">
        <v>2684</v>
      </c>
      <c r="H319" s="8" t="str">
        <f aca="false">"att_"&amp;G319</f>
        <v>att_organsystem</v>
      </c>
      <c r="I319" s="8" t="s">
        <v>2237</v>
      </c>
      <c r="J319" s="8" t="str">
        <f aca="false">H319&amp;":"&amp;I319</f>
        <v>att_organsystem:excretory</v>
      </c>
      <c r="K319" s="16" t="s">
        <v>21</v>
      </c>
      <c r="L319" s="8" t="s">
        <v>2239</v>
      </c>
      <c r="M319" s="8" t="s">
        <v>17</v>
      </c>
      <c r="N319" s="8" t="str">
        <f aca="false">"INSERT INTO attributes (parent_id, tag, name, priority, allow_as_filter, allow_for_dataset, allow_for_measurement, allow_for_users, allow_for_qc) VALUES (NULL, '"&amp;H319&amp;"',  '"&amp;F319&amp;"',  500,  TRUE, TRUE, TRUE, FALSE, FALSE);"</f>
        <v>INSERT INTO attributes (parent_id, tag, name, priority, allow_as_filter, allow_for_dataset, allow_for_measurement, allow_for_users, allow_for_qc) VALUES (NULL, 'att_organsystem',  'Organ System',  500,  TRUE, TRUE, TRUE, FALSE, FALSE);</v>
      </c>
      <c r="O319" s="8" t="str">
        <f aca="false">"INSERT INTO attribute_values (attribute_id, tag, name, details) VALUES ((SELECT id FROM attributes WHERE tag = '"&amp;H319&amp;"' LIMIT 1),  '"&amp;J319&amp;"',  '"&amp;D319&amp;"',  '"&amp;L319&amp;"'); "</f>
        <v>INSERT INTO attribute_values (attribute_id, tag, name, details) VALUES ((SELECT id FROM attributes WHERE tag = 'att_organsystem' LIMIT 1),  'att_organsystem:excretory',  'Excretory',  'Excretory System');</v>
      </c>
    </row>
    <row r="320" customFormat="false" ht="12.75" hidden="false" customHeight="false" outlineLevel="0" collapsed="false">
      <c r="A320" s="17" t="n">
        <f aca="false">FALSE()</f>
        <v>0</v>
      </c>
      <c r="B320" s="17"/>
      <c r="C320" s="8" t="s">
        <v>2240</v>
      </c>
      <c r="D320" s="8" t="s">
        <v>2241</v>
      </c>
      <c r="E320" s="8" t="s">
        <v>17</v>
      </c>
      <c r="F320" s="8" t="s">
        <v>2683</v>
      </c>
      <c r="G320" s="8" t="s">
        <v>2684</v>
      </c>
      <c r="H320" s="8" t="str">
        <f aca="false">"att_"&amp;G320</f>
        <v>att_organsystem</v>
      </c>
      <c r="I320" s="8" t="s">
        <v>2240</v>
      </c>
      <c r="J320" s="8" t="str">
        <f aca="false">H320&amp;":"&amp;I320</f>
        <v>att_organsystem:integumentary</v>
      </c>
      <c r="K320" s="16" t="s">
        <v>21</v>
      </c>
      <c r="L320" s="8" t="s">
        <v>2242</v>
      </c>
      <c r="M320" s="8" t="s">
        <v>17</v>
      </c>
      <c r="N320" s="8" t="str">
        <f aca="false">"INSERT INTO attributes (parent_id, tag, name, priority, allow_as_filter, allow_for_dataset, allow_for_measurement, allow_for_users, allow_for_qc) VALUES (NULL, '"&amp;H320&amp;"',  '"&amp;F320&amp;"',  500,  TRUE, TRUE, TRUE, FALSE, FALSE);"</f>
        <v>INSERT INTO attributes (parent_id, tag, name, priority, allow_as_filter, allow_for_dataset, allow_for_measurement, allow_for_users, allow_for_qc) VALUES (NULL, 'att_organsystem',  'Organ System',  500,  TRUE, TRUE, TRUE, FALSE, FALSE);</v>
      </c>
      <c r="O320" s="8" t="str">
        <f aca="false">"INSERT INTO attribute_values (attribute_id, tag, name, details) VALUES ((SELECT id FROM attributes WHERE tag = '"&amp;H320&amp;"' LIMIT 1),  '"&amp;J320&amp;"',  '"&amp;D320&amp;"',  '"&amp;L320&amp;"'); "</f>
        <v>INSERT INTO attribute_values (attribute_id, tag, name, details) VALUES ((SELECT id FROM attributes WHERE tag = 'att_organsystem' LIMIT 1),  'att_organsystem:integumentary',  'Integumentary',  'Integumentary System');</v>
      </c>
    </row>
    <row r="321" customFormat="false" ht="12.75" hidden="false" customHeight="false" outlineLevel="0" collapsed="false">
      <c r="A321" s="17" t="n">
        <f aca="false">FALSE()</f>
        <v>0</v>
      </c>
      <c r="B321" s="17"/>
      <c r="C321" s="8" t="s">
        <v>2243</v>
      </c>
      <c r="D321" s="8" t="s">
        <v>2244</v>
      </c>
      <c r="E321" s="8" t="s">
        <v>17</v>
      </c>
      <c r="F321" s="8" t="s">
        <v>2683</v>
      </c>
      <c r="G321" s="8" t="s">
        <v>2684</v>
      </c>
      <c r="H321" s="8" t="str">
        <f aca="false">"att_"&amp;G321</f>
        <v>att_organsystem</v>
      </c>
      <c r="I321" s="8" t="s">
        <v>2243</v>
      </c>
      <c r="J321" s="8" t="str">
        <f aca="false">H321&amp;":"&amp;I321</f>
        <v>att_organsystem:lymphatic</v>
      </c>
      <c r="K321" s="16" t="s">
        <v>21</v>
      </c>
      <c r="L321" s="8" t="s">
        <v>2245</v>
      </c>
      <c r="M321" s="8" t="s">
        <v>17</v>
      </c>
      <c r="N321" s="8" t="str">
        <f aca="false">"INSERT INTO attributes (parent_id, tag, name, priority, allow_as_filter, allow_for_dataset, allow_for_measurement, allow_for_users, allow_for_qc) VALUES (NULL, '"&amp;H321&amp;"',  '"&amp;F321&amp;"',  500,  TRUE, TRUE, TRUE, FALSE, FALSE);"</f>
        <v>INSERT INTO attributes (parent_id, tag, name, priority, allow_as_filter, allow_for_dataset, allow_for_measurement, allow_for_users, allow_for_qc) VALUES (NULL, 'att_organsystem',  'Organ System',  500,  TRUE, TRUE, TRUE, FALSE, FALSE);</v>
      </c>
      <c r="O321" s="8" t="str">
        <f aca="false">"INSERT INTO attribute_values (attribute_id, tag, name, details) VALUES ((SELECT id FROM attributes WHERE tag = '"&amp;H321&amp;"' LIMIT 1),  '"&amp;J321&amp;"',  '"&amp;D321&amp;"',  '"&amp;L321&amp;"'); "</f>
        <v>INSERT INTO attribute_values (attribute_id, tag, name, details) VALUES ((SELECT id FROM attributes WHERE tag = 'att_organsystem' LIMIT 1),  'att_organsystem:lymphatic',  'Lymphatic',  'Lymphatic System');</v>
      </c>
    </row>
    <row r="322" customFormat="false" ht="12.75" hidden="false" customHeight="false" outlineLevel="0" collapsed="false">
      <c r="A322" s="17" t="n">
        <f aca="false">FALSE()</f>
        <v>0</v>
      </c>
      <c r="B322" s="17"/>
      <c r="C322" s="8" t="s">
        <v>2246</v>
      </c>
      <c r="D322" s="8" t="s">
        <v>2247</v>
      </c>
      <c r="E322" s="8" t="s">
        <v>17</v>
      </c>
      <c r="F322" s="8" t="s">
        <v>2683</v>
      </c>
      <c r="G322" s="8" t="s">
        <v>2684</v>
      </c>
      <c r="H322" s="8" t="str">
        <f aca="false">"att_"&amp;G322</f>
        <v>att_organsystem</v>
      </c>
      <c r="I322" s="8" t="s">
        <v>2246</v>
      </c>
      <c r="J322" s="8" t="str">
        <f aca="false">H322&amp;":"&amp;I322</f>
        <v>att_organsystem:muscular</v>
      </c>
      <c r="K322" s="16" t="s">
        <v>21</v>
      </c>
      <c r="L322" s="8" t="s">
        <v>2248</v>
      </c>
      <c r="M322" s="8" t="s">
        <v>17</v>
      </c>
      <c r="N322" s="8" t="str">
        <f aca="false">"INSERT INTO attributes (parent_id, tag, name, priority, allow_as_filter, allow_for_dataset, allow_for_measurement, allow_for_users, allow_for_qc) VALUES (NULL, '"&amp;H322&amp;"',  '"&amp;F322&amp;"',  500,  TRUE, TRUE, TRUE, FALSE, FALSE);"</f>
        <v>INSERT INTO attributes (parent_id, tag, name, priority, allow_as_filter, allow_for_dataset, allow_for_measurement, allow_for_users, allow_for_qc) VALUES (NULL, 'att_organsystem',  'Organ System',  500,  TRUE, TRUE, TRUE, FALSE, FALSE);</v>
      </c>
      <c r="O322" s="8" t="str">
        <f aca="false">"INSERT INTO attribute_values (attribute_id, tag, name, details) VALUES ((SELECT id FROM attributes WHERE tag = '"&amp;H322&amp;"' LIMIT 1),  '"&amp;J322&amp;"',  '"&amp;D322&amp;"',  '"&amp;L322&amp;"'); "</f>
        <v>INSERT INTO attribute_values (attribute_id, tag, name, details) VALUES ((SELECT id FROM attributes WHERE tag = 'att_organsystem' LIMIT 1),  'att_organsystem:muscular',  'Muscular',  'Muscular System');</v>
      </c>
    </row>
    <row r="323" customFormat="false" ht="12.75" hidden="false" customHeight="false" outlineLevel="0" collapsed="false">
      <c r="A323" s="17" t="n">
        <f aca="false">FALSE()</f>
        <v>0</v>
      </c>
      <c r="B323" s="17"/>
      <c r="C323" s="8" t="s">
        <v>2685</v>
      </c>
      <c r="D323" s="8" t="s">
        <v>2250</v>
      </c>
      <c r="E323" s="8" t="s">
        <v>17</v>
      </c>
      <c r="F323" s="8" t="s">
        <v>2683</v>
      </c>
      <c r="G323" s="8" t="s">
        <v>2684</v>
      </c>
      <c r="H323" s="8" t="str">
        <f aca="false">"att_"&amp;G323</f>
        <v>att_organsystem</v>
      </c>
      <c r="I323" s="8" t="s">
        <v>2249</v>
      </c>
      <c r="J323" s="8" t="str">
        <f aca="false">H323&amp;":"&amp;I323</f>
        <v>att_organsystem:nervous_system</v>
      </c>
      <c r="K323" s="16" t="s">
        <v>21</v>
      </c>
      <c r="L323" s="8" t="s">
        <v>2251</v>
      </c>
      <c r="M323" s="8" t="s">
        <v>17</v>
      </c>
      <c r="N323" s="8" t="str">
        <f aca="false">"INSERT INTO attributes (parent_id, tag, name, priority, allow_as_filter, allow_for_dataset, allow_for_measurement, allow_for_users, allow_for_qc) VALUES (NULL, '"&amp;H323&amp;"',  '"&amp;F323&amp;"',  500,  TRUE, TRUE, TRUE, FALSE, FALSE);"</f>
        <v>INSERT INTO attributes (parent_id, tag, name, priority, allow_as_filter, allow_for_dataset, allow_for_measurement, allow_for_users, allow_for_qc) VALUES (NULL, 'att_organsystem',  'Organ System',  500,  TRUE, TRUE, TRUE, FALSE, FALSE);</v>
      </c>
      <c r="O323" s="8" t="str">
        <f aca="false">"INSERT INTO attribute_values (attribute_id, tag, name, details) VALUES ((SELECT id FROM attributes WHERE tag = '"&amp;H323&amp;"' LIMIT 1),  '"&amp;J323&amp;"',  '"&amp;D323&amp;"',  '"&amp;L323&amp;"'); "</f>
        <v>INSERT INTO attribute_values (attribute_id, tag, name, details) VALUES ((SELECT id FROM attributes WHERE tag = 'att_organsystem' LIMIT 1),  'att_organsystem:nervous_system',  'Nervous',  'Nervous System');</v>
      </c>
    </row>
    <row r="324" customFormat="false" ht="12.75" hidden="false" customHeight="false" outlineLevel="0" collapsed="false">
      <c r="A324" s="17" t="n">
        <f aca="false">FALSE()</f>
        <v>0</v>
      </c>
      <c r="B324" s="17"/>
      <c r="C324" s="8" t="s">
        <v>2252</v>
      </c>
      <c r="D324" s="8" t="s">
        <v>2253</v>
      </c>
      <c r="E324" s="8" t="s">
        <v>17</v>
      </c>
      <c r="F324" s="8" t="s">
        <v>2683</v>
      </c>
      <c r="G324" s="8" t="s">
        <v>2684</v>
      </c>
      <c r="H324" s="8" t="str">
        <f aca="false">"att_"&amp;G324</f>
        <v>att_organsystem</v>
      </c>
      <c r="I324" s="8" t="s">
        <v>2252</v>
      </c>
      <c r="J324" s="8" t="str">
        <f aca="false">H324&amp;":"&amp;I324</f>
        <v>att_organsystem:reproductive</v>
      </c>
      <c r="K324" s="16" t="s">
        <v>21</v>
      </c>
      <c r="L324" s="8" t="s">
        <v>2254</v>
      </c>
      <c r="M324" s="8" t="s">
        <v>17</v>
      </c>
      <c r="N324" s="8" t="str">
        <f aca="false">"INSERT INTO attributes (parent_id, tag, name, priority, allow_as_filter, allow_for_dataset, allow_for_measurement, allow_for_users, allow_for_qc) VALUES (NULL, '"&amp;H324&amp;"',  '"&amp;F324&amp;"',  500,  TRUE, TRUE, TRUE, FALSE, FALSE);"</f>
        <v>INSERT INTO attributes (parent_id, tag, name, priority, allow_as_filter, allow_for_dataset, allow_for_measurement, allow_for_users, allow_for_qc) VALUES (NULL, 'att_organsystem',  'Organ System',  500,  TRUE, TRUE, TRUE, FALSE, FALSE);</v>
      </c>
      <c r="O324" s="8" t="str">
        <f aca="false">"INSERT INTO attribute_values (attribute_id, tag, name, details) VALUES ((SELECT id FROM attributes WHERE tag = '"&amp;H324&amp;"' LIMIT 1),  '"&amp;J324&amp;"',  '"&amp;D324&amp;"',  '"&amp;L324&amp;"'); "</f>
        <v>INSERT INTO attribute_values (attribute_id, tag, name, details) VALUES ((SELECT id FROM attributes WHERE tag = 'att_organsystem' LIMIT 1),  'att_organsystem:reproductive',  'Reproductive',  'Reproductive System');</v>
      </c>
    </row>
    <row r="325" customFormat="false" ht="12.75" hidden="false" customHeight="false" outlineLevel="0" collapsed="false">
      <c r="A325" s="17" t="n">
        <f aca="false">FALSE()</f>
        <v>0</v>
      </c>
      <c r="B325" s="17"/>
      <c r="C325" s="8" t="s">
        <v>2255</v>
      </c>
      <c r="D325" s="8" t="s">
        <v>2256</v>
      </c>
      <c r="E325" s="8" t="s">
        <v>17</v>
      </c>
      <c r="F325" s="8" t="s">
        <v>2683</v>
      </c>
      <c r="G325" s="8" t="s">
        <v>2684</v>
      </c>
      <c r="H325" s="8" t="str">
        <f aca="false">"att_"&amp;G325</f>
        <v>att_organsystem</v>
      </c>
      <c r="I325" s="8" t="s">
        <v>2255</v>
      </c>
      <c r="J325" s="8" t="str">
        <f aca="false">H325&amp;":"&amp;I325</f>
        <v>att_organsystem:respiratory</v>
      </c>
      <c r="K325" s="16" t="s">
        <v>21</v>
      </c>
      <c r="L325" s="8" t="s">
        <v>2257</v>
      </c>
      <c r="M325" s="8" t="s">
        <v>17</v>
      </c>
      <c r="N325" s="8" t="str">
        <f aca="false">"INSERT INTO attributes (parent_id, tag, name, priority, allow_as_filter, allow_for_dataset, allow_for_measurement, allow_for_users, allow_for_qc) VALUES (NULL, '"&amp;H325&amp;"',  '"&amp;F325&amp;"',  500,  TRUE, TRUE, TRUE, FALSE, FALSE);"</f>
        <v>INSERT INTO attributes (parent_id, tag, name, priority, allow_as_filter, allow_for_dataset, allow_for_measurement, allow_for_users, allow_for_qc) VALUES (NULL, 'att_organsystem',  'Organ System',  500,  TRUE, TRUE, TRUE, FALSE, FALSE);</v>
      </c>
      <c r="O325" s="8" t="str">
        <f aca="false">"INSERT INTO attribute_values (attribute_id, tag, name, details) VALUES ((SELECT id FROM attributes WHERE tag = '"&amp;H325&amp;"' LIMIT 1),  '"&amp;J325&amp;"',  '"&amp;D325&amp;"',  '"&amp;L325&amp;"'); "</f>
        <v>INSERT INTO attribute_values (attribute_id, tag, name, details) VALUES ((SELECT id FROM attributes WHERE tag = 'att_organsystem' LIMIT 1),  'att_organsystem:respiratory',  'Respiratory',  'Respiratory System');</v>
      </c>
    </row>
    <row r="326" customFormat="false" ht="12.75" hidden="false" customHeight="false" outlineLevel="0" collapsed="false">
      <c r="A326" s="17" t="n">
        <f aca="false">FALSE()</f>
        <v>0</v>
      </c>
      <c r="B326" s="17"/>
      <c r="C326" s="8" t="s">
        <v>2258</v>
      </c>
      <c r="D326" s="8" t="s">
        <v>2259</v>
      </c>
      <c r="E326" s="8" t="s">
        <v>17</v>
      </c>
      <c r="F326" s="8" t="s">
        <v>2683</v>
      </c>
      <c r="G326" s="8" t="s">
        <v>2684</v>
      </c>
      <c r="H326" s="8" t="str">
        <f aca="false">"att_"&amp;G326</f>
        <v>att_organsystem</v>
      </c>
      <c r="I326" s="8" t="s">
        <v>2258</v>
      </c>
      <c r="J326" s="8" t="str">
        <f aca="false">H326&amp;":"&amp;I326</f>
        <v>att_organsystem:skeletal</v>
      </c>
      <c r="K326" s="16" t="s">
        <v>21</v>
      </c>
      <c r="L326" s="8" t="s">
        <v>2260</v>
      </c>
      <c r="M326" s="8" t="s">
        <v>17</v>
      </c>
      <c r="N326" s="8" t="str">
        <f aca="false">"INSERT INTO attributes (parent_id, tag, name, priority, allow_as_filter, allow_for_dataset, allow_for_measurement, allow_for_users, allow_for_qc) VALUES (NULL, '"&amp;H326&amp;"',  '"&amp;F326&amp;"',  500,  TRUE, TRUE, TRUE, FALSE, FALSE);"</f>
        <v>INSERT INTO attributes (parent_id, tag, name, priority, allow_as_filter, allow_for_dataset, allow_for_measurement, allow_for_users, allow_for_qc) VALUES (NULL, 'att_organsystem',  'Organ System',  500,  TRUE, TRUE, TRUE, FALSE, FALSE);</v>
      </c>
      <c r="O326" s="8" t="str">
        <f aca="false">"INSERT INTO attribute_values (attribute_id, tag, name, details) VALUES ((SELECT id FROM attributes WHERE tag = '"&amp;H326&amp;"' LIMIT 1),  '"&amp;J326&amp;"',  '"&amp;D326&amp;"',  '"&amp;L326&amp;"'); "</f>
        <v>INSERT INTO attribute_values (attribute_id, tag, name, details) VALUES ((SELECT id FROM attributes WHERE tag = 'att_organsystem' LIMIT 1),  'att_organsystem:skeletal',  'Skeletal',  'Skeletal System');</v>
      </c>
    </row>
    <row r="327" customFormat="false" ht="12.75" hidden="false" customHeight="false" outlineLevel="0" collapsed="false">
      <c r="A327" s="17" t="n">
        <f aca="false">FALSE()</f>
        <v>0</v>
      </c>
      <c r="B327" s="17"/>
      <c r="C327" s="8" t="s">
        <v>2261</v>
      </c>
      <c r="D327" s="8" t="s">
        <v>2262</v>
      </c>
      <c r="E327" s="8" t="s">
        <v>17</v>
      </c>
      <c r="F327" s="8" t="s">
        <v>2683</v>
      </c>
      <c r="G327" s="8" t="s">
        <v>2684</v>
      </c>
      <c r="H327" s="8" t="str">
        <f aca="false">"att_"&amp;G327</f>
        <v>att_organsystem</v>
      </c>
      <c r="I327" s="8" t="s">
        <v>2261</v>
      </c>
      <c r="J327" s="8" t="str">
        <f aca="false">H327&amp;":"&amp;I327</f>
        <v>att_organsystem:urinary</v>
      </c>
      <c r="K327" s="16" t="s">
        <v>21</v>
      </c>
      <c r="L327" s="8" t="s">
        <v>2263</v>
      </c>
      <c r="M327" s="8" t="s">
        <v>17</v>
      </c>
      <c r="N327" s="8" t="str">
        <f aca="false">"INSERT INTO attributes (parent_id, tag, name, priority, allow_as_filter, allow_for_dataset, allow_for_measurement, allow_for_users, allow_for_qc) VALUES (NULL, '"&amp;H327&amp;"',  '"&amp;F327&amp;"',  500,  TRUE, TRUE, TRUE, FALSE, FALSE);"</f>
        <v>INSERT INTO attributes (parent_id, tag, name, priority, allow_as_filter, allow_for_dataset, allow_for_measurement, allow_for_users, allow_for_qc) VALUES (NULL, 'att_organsystem',  'Organ System',  500,  TRUE, TRUE, TRUE, FALSE, FALSE);</v>
      </c>
      <c r="O327" s="8" t="str">
        <f aca="false">"INSERT INTO attribute_values (attribute_id, tag, name, details) VALUES ((SELECT id FROM attributes WHERE tag = '"&amp;H327&amp;"' LIMIT 1),  '"&amp;J327&amp;"',  '"&amp;D327&amp;"',  '"&amp;L327&amp;"'); "</f>
        <v>INSERT INTO attribute_values (attribute_id, tag, name, details) VALUES ((SELECT id FROM attributes WHERE tag = 'att_organsystem' LIMIT 1),  'att_organsystem:urinary',  'Urinary',  'Urinary system');</v>
      </c>
    </row>
    <row r="328" s="19" customFormat="true" ht="12.75" hidden="false" customHeight="false" outlineLevel="0" collapsed="false">
      <c r="A328" s="18" t="n">
        <f aca="false">FALSE()</f>
        <v>0</v>
      </c>
      <c r="B328" s="18"/>
      <c r="C328" s="19" t="s">
        <v>2686</v>
      </c>
      <c r="D328" s="19" t="s">
        <v>2687</v>
      </c>
      <c r="E328" s="19" t="s">
        <v>17</v>
      </c>
      <c r="F328" s="19" t="s">
        <v>2688</v>
      </c>
      <c r="G328" s="19" t="s">
        <v>2689</v>
      </c>
      <c r="H328" s="19" t="str">
        <f aca="false">"att_"&amp;G328</f>
        <v>att_phenotype</v>
      </c>
      <c r="I328" s="19" t="s">
        <v>2686</v>
      </c>
      <c r="J328" s="19" t="str">
        <f aca="false">H328&amp;":"&amp;I328</f>
        <v>att_phenotype:kd</v>
      </c>
      <c r="K328" s="20" t="s">
        <v>21</v>
      </c>
      <c r="L328" s="19" t="s">
        <v>143</v>
      </c>
      <c r="M328" s="19" t="s">
        <v>17</v>
      </c>
      <c r="N328" s="19" t="str">
        <f aca="false">"INSERT INTO attributes (parent_id, tag, name, priority, allow_as_filter, allow_for_dataset, allow_for_measurement, allow_for_users, allow_for_qc) VALUES (NULL, '"&amp;H328&amp;"',  '"&amp;F328&amp;"',  500,  TRUE, TRUE, TRUE, FALSE, FALSE);"</f>
        <v>INSERT INTO attributes (parent_id, tag, name, priority, allow_as_filter, allow_for_dataset, allow_for_measurement, allow_for_users, allow_for_qc) VALUES (NULL, 'att_phenotype',  'Phenotype',  500,  TRUE, TRUE, TRUE, FALSE, FALSE);</v>
      </c>
      <c r="O328" s="19" t="str">
        <f aca="false">"INSERT INTO attribute_values (attribute_id, tag, name, details) VALUES ((SELECT id FROM attributes WHERE tag = '"&amp;H328&amp;"' LIMIT 1),  '"&amp;J328&amp;"',  '"&amp;D328&amp;"',  '"&amp;L328&amp;"'); "</f>
        <v>INSERT INTO attribute_values (attribute_id, tag, name, details) VALUES ((SELECT id FROM attributes WHERE tag = 'att_phenotype' LIMIT 1),  'att_phenotype:kd',  'knockdown (kd)',  'knockdown');</v>
      </c>
    </row>
    <row r="329" s="19" customFormat="true" ht="12.75" hidden="false" customHeight="false" outlineLevel="0" collapsed="false">
      <c r="A329" s="18" t="n">
        <f aca="false">FALSE()</f>
        <v>0</v>
      </c>
      <c r="B329" s="18"/>
      <c r="C329" s="19" t="s">
        <v>1290</v>
      </c>
      <c r="D329" s="19" t="s">
        <v>2690</v>
      </c>
      <c r="E329" s="19" t="s">
        <v>17</v>
      </c>
      <c r="F329" s="19" t="s">
        <v>2688</v>
      </c>
      <c r="G329" s="19" t="s">
        <v>2689</v>
      </c>
      <c r="H329" s="19" t="str">
        <f aca="false">"att_"&amp;G329</f>
        <v>att_phenotype</v>
      </c>
      <c r="I329" s="19" t="s">
        <v>1290</v>
      </c>
      <c r="J329" s="19" t="str">
        <f aca="false">H329&amp;":"&amp;I329</f>
        <v>att_phenotype:ko</v>
      </c>
      <c r="K329" s="20" t="s">
        <v>21</v>
      </c>
      <c r="L329" s="19" t="s">
        <v>2616</v>
      </c>
      <c r="M329" s="19" t="s">
        <v>17</v>
      </c>
      <c r="N329" s="19" t="str">
        <f aca="false">"INSERT INTO attributes (parent_id, tag, name, priority, allow_as_filter, allow_for_dataset, allow_for_measurement, allow_for_users, allow_for_qc) VALUES (NULL, '"&amp;H329&amp;"',  '"&amp;F329&amp;"',  500,  TRUE, TRUE, TRUE, FALSE, FALSE);"</f>
        <v>INSERT INTO attributes (parent_id, tag, name, priority, allow_as_filter, allow_for_dataset, allow_for_measurement, allow_for_users, allow_for_qc) VALUES (NULL, 'att_phenotype',  'Phenotype',  500,  TRUE, TRUE, TRUE, FALSE, FALSE);</v>
      </c>
      <c r="O329" s="19" t="str">
        <f aca="false">"INSERT INTO attribute_values (attribute_id, tag, name, details) VALUES ((SELECT id FROM attributes WHERE tag = '"&amp;H329&amp;"' LIMIT 1),  '"&amp;J329&amp;"',  '"&amp;D329&amp;"',  '"&amp;L329&amp;"'); "</f>
        <v>INSERT INTO attribute_values (attribute_id, tag, name, details) VALUES ((SELECT id FROM attributes WHERE tag = 'att_phenotype' LIMIT 1),  'att_phenotype:ko',  'knockout (ko)',  'knockout');</v>
      </c>
    </row>
    <row r="330" s="19" customFormat="true" ht="12.75" hidden="false" customHeight="false" outlineLevel="0" collapsed="false">
      <c r="A330" s="18" t="n">
        <f aca="false">FALSE()</f>
        <v>0</v>
      </c>
      <c r="B330" s="18"/>
      <c r="C330" s="19" t="s">
        <v>2691</v>
      </c>
      <c r="D330" s="19" t="s">
        <v>2692</v>
      </c>
      <c r="E330" s="19" t="s">
        <v>17</v>
      </c>
      <c r="F330" s="19" t="s">
        <v>2688</v>
      </c>
      <c r="G330" s="19" t="s">
        <v>2689</v>
      </c>
      <c r="H330" s="19" t="str">
        <f aca="false">"att_"&amp;G330</f>
        <v>att_phenotype</v>
      </c>
      <c r="I330" s="19" t="s">
        <v>2691</v>
      </c>
      <c r="J330" s="19" t="str">
        <f aca="false">H330&amp;":"&amp;I330</f>
        <v>att_phenotype:mt</v>
      </c>
      <c r="K330" s="20" t="s">
        <v>21</v>
      </c>
      <c r="L330" s="19" t="s">
        <v>2693</v>
      </c>
      <c r="M330" s="19" t="s">
        <v>17</v>
      </c>
      <c r="N330" s="19" t="str">
        <f aca="false">"INSERT INTO attributes (parent_id, tag, name, priority, allow_as_filter, allow_for_dataset, allow_for_measurement, allow_for_users, allow_for_qc) VALUES (NULL, '"&amp;H330&amp;"',  '"&amp;F330&amp;"',  500,  TRUE, TRUE, TRUE, FALSE, FALSE);"</f>
        <v>INSERT INTO attributes (parent_id, tag, name, priority, allow_as_filter, allow_for_dataset, allow_for_measurement, allow_for_users, allow_for_qc) VALUES (NULL, 'att_phenotype',  'Phenotype',  500,  TRUE, TRUE, TRUE, FALSE, FALSE);</v>
      </c>
      <c r="O330" s="19" t="str">
        <f aca="false">"INSERT INTO attribute_values (attribute_id, tag, name, details) VALUES ((SELECT id FROM attributes WHERE tag = '"&amp;H330&amp;"' LIMIT 1),  '"&amp;J330&amp;"',  '"&amp;D330&amp;"',  '"&amp;L330&amp;"'); "</f>
        <v>INSERT INTO attribute_values (attribute_id, tag, name, details) VALUES ((SELECT id FROM attributes WHERE tag = 'att_phenotype' LIMIT 1),  'att_phenotype:mt',  'mutant (mt)',  'mutated');</v>
      </c>
    </row>
    <row r="331" s="19" customFormat="true" ht="12.75" hidden="false" customHeight="false" outlineLevel="0" collapsed="false">
      <c r="A331" s="18" t="n">
        <f aca="false">FALSE()</f>
        <v>0</v>
      </c>
      <c r="B331" s="18"/>
      <c r="C331" s="19" t="s">
        <v>2694</v>
      </c>
      <c r="D331" s="19" t="s">
        <v>2695</v>
      </c>
      <c r="E331" s="19" t="s">
        <v>17</v>
      </c>
      <c r="F331" s="19" t="s">
        <v>2688</v>
      </c>
      <c r="G331" s="19" t="s">
        <v>2689</v>
      </c>
      <c r="H331" s="19" t="str">
        <f aca="false">"att_"&amp;G331</f>
        <v>att_phenotype</v>
      </c>
      <c r="I331" s="19" t="s">
        <v>2694</v>
      </c>
      <c r="J331" s="19" t="str">
        <f aca="false">H331&amp;":"&amp;I331</f>
        <v>att_phenotype:wt</v>
      </c>
      <c r="K331" s="20" t="s">
        <v>21</v>
      </c>
      <c r="L331" s="19" t="s">
        <v>2696</v>
      </c>
      <c r="M331" s="19" t="s">
        <v>17</v>
      </c>
      <c r="N331" s="19" t="str">
        <f aca="false">"INSERT INTO attributes (parent_id, tag, name, priority, allow_as_filter, allow_for_dataset, allow_for_measurement, allow_for_users, allow_for_qc) VALUES (NULL, '"&amp;H331&amp;"',  '"&amp;F331&amp;"',  500,  TRUE, TRUE, TRUE, FALSE, FALSE);"</f>
        <v>INSERT INTO attributes (parent_id, tag, name, priority, allow_as_filter, allow_for_dataset, allow_for_measurement, allow_for_users, allow_for_qc) VALUES (NULL, 'att_phenotype',  'Phenotype',  500,  TRUE, TRUE, TRUE, FALSE, FALSE);</v>
      </c>
      <c r="O331" s="19" t="str">
        <f aca="false">"INSERT INTO attribute_values (attribute_id, tag, name, details) VALUES ((SELECT id FROM attributes WHERE tag = '"&amp;H331&amp;"' LIMIT 1),  '"&amp;J331&amp;"',  '"&amp;D331&amp;"',  '"&amp;L331&amp;"'); "</f>
        <v>INSERT INTO attribute_values (attribute_id, tag, name, details) VALUES ((SELECT id FROM attributes WHERE tag = 'att_phenotype' LIMIT 1),  'att_phenotype:wt',  'wild type (wt)',  'wilde type cells');</v>
      </c>
    </row>
    <row r="332" customFormat="false" ht="12.75" hidden="false" customHeight="false" outlineLevel="0" collapsed="false">
      <c r="A332" s="16" t="s">
        <v>21</v>
      </c>
      <c r="B332" s="16"/>
      <c r="C332" s="8" t="s">
        <v>2346</v>
      </c>
      <c r="D332" s="8" t="s">
        <v>2346</v>
      </c>
      <c r="E332" s="8" t="s">
        <v>17</v>
      </c>
      <c r="F332" s="8" t="s">
        <v>217</v>
      </c>
      <c r="G332" s="8" t="s">
        <v>2697</v>
      </c>
      <c r="H332" s="8" t="str">
        <f aca="false">"att_"&amp;G332</f>
        <v>att_quantification</v>
      </c>
      <c r="I332" s="8" t="s">
        <v>2346</v>
      </c>
      <c r="J332" s="8" t="str">
        <f aca="false">H332&amp;":"&amp;I332</f>
        <v>att_quantification:isobaric</v>
      </c>
      <c r="K332" s="16" t="s">
        <v>21</v>
      </c>
      <c r="L332" s="8" t="s">
        <v>2347</v>
      </c>
      <c r="M332" s="8" t="s">
        <v>17</v>
      </c>
      <c r="N332" s="8" t="str">
        <f aca="false">"INSERT INTO attributes (parent_id, tag, name, priority, allow_as_filter, allow_for_dataset, allow_for_measurement, allow_for_users, allow_for_qc) VALUES (NULL, '"&amp;H332&amp;"',  '"&amp;F332&amp;"',  500,  TRUE, TRUE, TRUE, FALSE, FALSE);"</f>
        <v>INSERT INTO attributes (parent_id, tag, name, priority, allow_as_filter, allow_for_dataset, allow_for_measurement, allow_for_users, allow_for_qc) VALUES (NULL, 'att_quantification',  'Quantification Type',  500,  TRUE, TRUE, TRUE, FALSE, FALSE);</v>
      </c>
      <c r="O332" s="8" t="str">
        <f aca="false">"INSERT INTO attribute_values (attribute_id, tag, name, details) VALUES ((SELECT id FROM attributes WHERE tag = '"&amp;H332&amp;"' LIMIT 1),  '"&amp;J332&amp;"',  '"&amp;D332&amp;"',  '"&amp;L332&amp;"'); "</f>
        <v>INSERT INTO attribute_values (attribute_id, tag, name, details) VALUES ((SELECT id FROM attributes WHERE tag = 'att_quantification' LIMIT 1),  'att_quantification:isobaric',  'isobaric',  'isobaric (TMT)');</v>
      </c>
    </row>
    <row r="333" customFormat="false" ht="12.75" hidden="false" customHeight="false" outlineLevel="0" collapsed="false">
      <c r="A333" s="16" t="s">
        <v>21</v>
      </c>
      <c r="B333" s="16"/>
      <c r="C333" s="8" t="s">
        <v>2348</v>
      </c>
      <c r="D333" s="8" t="s">
        <v>2348</v>
      </c>
      <c r="E333" s="8" t="s">
        <v>17</v>
      </c>
      <c r="F333" s="8" t="s">
        <v>217</v>
      </c>
      <c r="G333" s="8" t="s">
        <v>2697</v>
      </c>
      <c r="H333" s="8" t="str">
        <f aca="false">"att_"&amp;G333</f>
        <v>att_quantification</v>
      </c>
      <c r="I333" s="8" t="s">
        <v>2348</v>
      </c>
      <c r="J333" s="8" t="str">
        <f aca="false">H333&amp;":"&amp;I333</f>
        <v>att_quantification:istopic</v>
      </c>
      <c r="K333" s="16" t="s">
        <v>21</v>
      </c>
      <c r="L333" s="8" t="s">
        <v>2349</v>
      </c>
      <c r="M333" s="8" t="s">
        <v>17</v>
      </c>
      <c r="N333" s="8" t="str">
        <f aca="false">"INSERT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8" t="str">
        <f aca="false">"INSERT INTO attribute_values (attribute_id, tag, name, details) VALUES ((SELECT id FROM attributes WHERE tag = '"&amp;H333&amp;"' LIMIT 1),  '"&amp;J333&amp;"',  '"&amp;D333&amp;"',  '"&amp;L333&amp;"'); "</f>
        <v>INSERT INTO attribute_values (attribute_id, tag, name, details) VALUES ((SELECT id FROM attributes WHERE tag = 'att_quantification' LIMIT 1),  'att_quantification:istopic',  'istopic',  'istopic (PlexDIA)');</v>
      </c>
    </row>
    <row r="334" customFormat="false" ht="12.75" hidden="false" customHeight="false" outlineLevel="0" collapsed="false">
      <c r="A334" s="16" t="s">
        <v>21</v>
      </c>
      <c r="B334" s="16"/>
      <c r="C334" s="8" t="s">
        <v>2698</v>
      </c>
      <c r="D334" s="8" t="s">
        <v>2351</v>
      </c>
      <c r="E334" s="8" t="s">
        <v>17</v>
      </c>
      <c r="F334" s="8" t="s">
        <v>217</v>
      </c>
      <c r="G334" s="8" t="s">
        <v>2697</v>
      </c>
      <c r="H334" s="8" t="str">
        <f aca="false">"att_"&amp;G334</f>
        <v>att_quantification</v>
      </c>
      <c r="I334" s="8" t="s">
        <v>2350</v>
      </c>
      <c r="J334" s="8" t="str">
        <f aca="false">H334&amp;":"&amp;I334</f>
        <v>att_quantification:label_free</v>
      </c>
      <c r="K334" s="16" t="s">
        <v>21</v>
      </c>
      <c r="L334" s="8" t="s">
        <v>2352</v>
      </c>
      <c r="M334" s="8" t="s">
        <v>17</v>
      </c>
      <c r="N334" s="8" t="str">
        <f aca="false">"INSERT INTO attributes (parent_id, tag, name, priority, allow_as_filter, allow_for_dataset, allow_for_measurement, allow_for_users, allow_for_qc) VALUES (NULL, '"&amp;H334&amp;"',  '"&amp;F334&amp;"',  500,  TRUE, TRUE, TRUE, FALSE, FALSE);"</f>
        <v>INSERT INTO attributes (parent_id, tag, name, priority, allow_as_filter, allow_for_dataset, allow_for_measurement, allow_for_users, allow_for_qc) VALUES (NULL, 'att_quantification',  'Quantification Type',  500,  TRUE, TRUE, TRUE, FALSE, FALSE);</v>
      </c>
      <c r="O334" s="8" t="str">
        <f aca="false">"INSERT INTO attribute_values (attribute_id, tag, name, details) VALUES ((SELECT id FROM attributes WHERE tag = '"&amp;H334&amp;"' LIMIT 1),  '"&amp;J334&amp;"',  '"&amp;D334&amp;"',  '"&amp;L334&amp;"'); "</f>
        <v>INSERT INTO attribute_values (attribute_id, tag, name, details) VALUES ((SELECT id FROM attributes WHERE tag = 'att_quantification' LIMIT 1),  'att_quantification:label_free',  'Label free',  'Label-free quantification');</v>
      </c>
    </row>
    <row r="335" customFormat="false" ht="12.75" hidden="false" customHeight="false" outlineLevel="0" collapsed="false">
      <c r="A335" s="16" t="s">
        <v>21</v>
      </c>
      <c r="B335" s="16"/>
      <c r="C335" s="8" t="s">
        <v>2353</v>
      </c>
      <c r="D335" s="8" t="s">
        <v>2353</v>
      </c>
      <c r="E335" s="8" t="s">
        <v>17</v>
      </c>
      <c r="F335" s="8" t="s">
        <v>217</v>
      </c>
      <c r="G335" s="8" t="s">
        <v>2697</v>
      </c>
      <c r="H335" s="8" t="str">
        <f aca="false">"att_"&amp;G335</f>
        <v>att_quantification</v>
      </c>
      <c r="I335" s="8" t="s">
        <v>2353</v>
      </c>
      <c r="J335" s="8" t="str">
        <f aca="false">H335&amp;":"&amp;I335</f>
        <v>att_quantification:silac</v>
      </c>
      <c r="K335" s="16" t="s">
        <v>21</v>
      </c>
      <c r="L335" s="8" t="s">
        <v>2354</v>
      </c>
      <c r="M335" s="8" t="s">
        <v>17</v>
      </c>
      <c r="N335" s="8" t="str">
        <f aca="false">"INSERT INTO attributes (parent_id, tag, name, priority, allow_as_filter, allow_for_dataset, allow_for_measurement, allow_for_users, allow_for_qc) VALUES (NULL, '"&amp;H335&amp;"',  '"&amp;F335&amp;"',  500,  TRUE, TRUE, TRUE, FALSE, FALSE);"</f>
        <v>INSERT INTO attributes (parent_id, tag, name, priority, allow_as_filter, allow_for_dataset, allow_for_measurement, allow_for_users, allow_for_qc) VALUES (NULL, 'att_quantification',  'Quantification Type',  500,  TRUE, TRUE, TRUE, FALSE, FALSE);</v>
      </c>
      <c r="O335" s="8" t="str">
        <f aca="false">"INSERT INTO attribute_values (attribute_id, tag, name, details) VALUES ((SELECT id FROM attributes WHERE tag = '"&amp;H335&amp;"' LIMIT 1),  '"&amp;J335&amp;"',  '"&amp;D335&amp;"',  '"&amp;L335&amp;"'); "</f>
        <v>INSERT INTO attribute_values (attribute_id, tag, name, details) VALUES ((SELECT id FROM attributes WHERE tag = 'att_quantification' LIMIT 1),  'att_quantification:silac',  'silac',  'Stable isotope labeling by/with amino acids in cell culture (SILAC)');</v>
      </c>
    </row>
    <row r="336" customFormat="false" ht="12.75" hidden="false" customHeight="false" outlineLevel="0" collapsed="false">
      <c r="A336" s="17" t="n">
        <f aca="false">FALSE()</f>
        <v>0</v>
      </c>
      <c r="B336" s="17"/>
      <c r="C336" s="8" t="s">
        <v>1425</v>
      </c>
      <c r="D336" s="8" t="s">
        <v>1426</v>
      </c>
      <c r="E336" s="8" t="s">
        <v>17</v>
      </c>
      <c r="F336" s="8" t="s">
        <v>2699</v>
      </c>
      <c r="G336" s="8" t="s">
        <v>2700</v>
      </c>
      <c r="H336" s="8" t="str">
        <f aca="false">"att_"&amp;G336</f>
        <v>att_signalling</v>
      </c>
      <c r="I336" s="8" t="s">
        <v>1425</v>
      </c>
      <c r="J336" s="8" t="str">
        <f aca="false">H336&amp;":"&amp;I336</f>
        <v>att_signalling:apoptosis</v>
      </c>
      <c r="K336" s="16" t="s">
        <v>21</v>
      </c>
      <c r="L336" s="8" t="s">
        <v>2363</v>
      </c>
      <c r="M336" s="8" t="s">
        <v>17</v>
      </c>
      <c r="N336" s="8" t="str">
        <f aca="false">"INSERT INTO attributes (parent_id, tag, name, priority, allow_as_filter, allow_for_dataset, allow_for_measurement, allow_for_users, allow_for_qc) VALUES (NULL, '"&amp;H336&amp;"',  '"&amp;F336&amp;"',  500,  TRUE, TRUE, TRUE, FALSE, FALSE);"</f>
        <v>INSERT INTO attributes (parent_id, tag, name, priority, allow_as_filter, allow_for_dataset, allow_for_measurement, allow_for_users, allow_for_qc) VALUES (NULL, 'att_signalling',  'Signallling Pathway',  500,  TRUE, TRUE, TRUE, FALSE, FALSE);</v>
      </c>
      <c r="O336" s="8" t="str">
        <f aca="false">"INSERT INTO attribute_values (attribute_id, tag, name, details) VALUES ((SELECT id FROM attributes WHERE tag = '"&amp;H336&amp;"' LIMIT 1),  '"&amp;J336&amp;"',  '"&amp;D336&amp;"',  '"&amp;L336&amp;"'); "</f>
        <v>INSERT INTO attribute_values (attribute_id, tag, name, details) VALUES ((SELECT id FROM attributes WHERE tag = 'att_signalling' LIMIT 1),  'att_signalling:apoptosis',  'Apoptosis',  'Apoptosis or programmed cell death Signallilng');</v>
      </c>
    </row>
    <row r="337" customFormat="false" ht="12.75" hidden="false" customHeight="false" outlineLevel="0" collapsed="false">
      <c r="A337" s="17" t="n">
        <f aca="false">FALSE()</f>
        <v>0</v>
      </c>
      <c r="B337" s="17"/>
      <c r="C337" s="8" t="s">
        <v>2364</v>
      </c>
      <c r="D337" s="8" t="s">
        <v>2365</v>
      </c>
      <c r="E337" s="8" t="s">
        <v>17</v>
      </c>
      <c r="F337" s="8" t="s">
        <v>2699</v>
      </c>
      <c r="G337" s="8" t="s">
        <v>2700</v>
      </c>
      <c r="H337" s="8" t="str">
        <f aca="false">"att_"&amp;G337</f>
        <v>att_signalling</v>
      </c>
      <c r="I337" s="8" t="s">
        <v>2364</v>
      </c>
      <c r="J337" s="8" t="str">
        <f aca="false">H337&amp;":"&amp;I337</f>
        <v>att_signalling:autocrine</v>
      </c>
      <c r="K337" s="16" t="s">
        <v>21</v>
      </c>
      <c r="L337" s="8" t="s">
        <v>2366</v>
      </c>
      <c r="M337" s="8" t="s">
        <v>17</v>
      </c>
      <c r="N337" s="8" t="str">
        <f aca="false">"INSERT INTO attributes (parent_id, tag, name, priority, allow_as_filter, allow_for_dataset, allow_for_measurement, allow_for_users, allow_for_qc) VALUES (NULL, '"&amp;H337&amp;"',  '"&amp;F337&amp;"',  500,  TRUE, TRUE, TRUE, FALSE, FALSE);"</f>
        <v>INSERT INTO attributes (parent_id, tag, name, priority, allow_as_filter, allow_for_dataset, allow_for_measurement, allow_for_users, allow_for_qc) VALUES (NULL, 'att_signalling',  'Signallling Pathway',  500,  TRUE, TRUE, TRUE, FALSE, FALSE);</v>
      </c>
      <c r="O337" s="8" t="str">
        <f aca="false">"INSERT INTO attribute_values (attribute_id, tag, name, details) VALUES ((SELECT id FROM attributes WHERE tag = '"&amp;H337&amp;"' LIMIT 1),  '"&amp;J337&amp;"',  '"&amp;D337&amp;"',  '"&amp;L337&amp;"'); "</f>
        <v>INSERT INTO attribute_values (attribute_id, tag, name, details) VALUES ((SELECT id FROM attributes WHERE tag = 'att_signalling' LIMIT 1),  'att_signalling:autocrine',  'Autocrine',  'Signaling in which a cell secretes a hormone or a chemical substance that binds to the receptors');</v>
      </c>
    </row>
    <row r="338" customFormat="false" ht="12.75" hidden="false" customHeight="false" outlineLevel="0" collapsed="false">
      <c r="A338" s="17" t="n">
        <f aca="false">FALSE()</f>
        <v>0</v>
      </c>
      <c r="B338" s="17"/>
      <c r="C338" s="8" t="s">
        <v>2367</v>
      </c>
      <c r="D338" s="8" t="s">
        <v>2368</v>
      </c>
      <c r="E338" s="8" t="s">
        <v>17</v>
      </c>
      <c r="F338" s="8" t="s">
        <v>2699</v>
      </c>
      <c r="G338" s="8" t="s">
        <v>2700</v>
      </c>
      <c r="H338" s="8" t="str">
        <f aca="false">"att_"&amp;G338</f>
        <v>att_signalling</v>
      </c>
      <c r="I338" s="8" t="s">
        <v>2367</v>
      </c>
      <c r="J338" s="8" t="str">
        <f aca="false">H338&amp;":"&amp;I338</f>
        <v>att_signalling:complement</v>
      </c>
      <c r="K338" s="16" t="s">
        <v>21</v>
      </c>
      <c r="L338" s="8" t="s">
        <v>2369</v>
      </c>
      <c r="M338" s="8" t="s">
        <v>17</v>
      </c>
      <c r="N338" s="8" t="str">
        <f aca="false">"INSERT INTO attributes (parent_id, tag, name, priority, allow_as_filter, allow_for_dataset, allow_for_measurement, allow_for_users, allow_for_qc) VALUES (NULL, '"&amp;H338&amp;"',  '"&amp;F338&amp;"',  500,  TRUE, TRUE, TRUE, FALSE, FALSE);"</f>
        <v>INSERT INTO attributes (parent_id, tag, name, priority, allow_as_filter, allow_for_dataset, allow_for_measurement, allow_for_users, allow_for_qc) VALUES (NULL, 'att_signalling',  'Signallling Pathway',  500,  TRUE, TRUE, TRUE, FALSE, FALSE);</v>
      </c>
      <c r="O338" s="8" t="str">
        <f aca="false">"INSERT INTO attribute_values (attribute_id, tag, name, details) VALUES ((SELECT id FROM attributes WHERE tag = '"&amp;H338&amp;"' LIMIT 1),  '"&amp;J338&amp;"',  '"&amp;D338&amp;"',  '"&amp;L338&amp;"'); "</f>
        <v>INSERT INTO attribute_values (attribute_id, tag, name, details) VALUES ((SELECT id FROM attributes WHERE tag = 'att_signalling' LIMIT 1),  'att_signalling:complement',  'Complement',  'Complement system');</v>
      </c>
    </row>
    <row r="339" customFormat="false" ht="12.75" hidden="false" customHeight="false" outlineLevel="0" collapsed="false">
      <c r="A339" s="17" t="n">
        <f aca="false">FALSE()</f>
        <v>0</v>
      </c>
      <c r="B339" s="17"/>
      <c r="C339" s="8" t="s">
        <v>2370</v>
      </c>
      <c r="D339" s="8" t="s">
        <v>2371</v>
      </c>
      <c r="E339" s="8" t="s">
        <v>17</v>
      </c>
      <c r="F339" s="8" t="s">
        <v>2699</v>
      </c>
      <c r="G339" s="8" t="s">
        <v>2700</v>
      </c>
      <c r="H339" s="8" t="str">
        <f aca="false">"att_"&amp;G339</f>
        <v>att_signalling</v>
      </c>
      <c r="I339" s="8" t="s">
        <v>2370</v>
      </c>
      <c r="J339" s="8" t="str">
        <f aca="false">H339&amp;":"&amp;I339</f>
        <v>att_signalling:cytokines</v>
      </c>
      <c r="K339" s="16" t="s">
        <v>21</v>
      </c>
      <c r="L339" s="8" t="s">
        <v>2372</v>
      </c>
      <c r="M339" s="8" t="s">
        <v>17</v>
      </c>
      <c r="N339" s="8" t="str">
        <f aca="false">"INSERT INTO attributes (parent_id, tag, name, priority, allow_as_filter, allow_for_dataset, allow_for_measurement, allow_for_users, allow_for_qc) VALUES (NULL, '"&amp;H339&amp;"',  '"&amp;F339&amp;"',  500,  TRUE, TRUE, TRUE, FALSE, FALSE);"</f>
        <v>INSERT INTO attributes (parent_id, tag, name, priority, allow_as_filter, allow_for_dataset, allow_for_measurement, allow_for_users, allow_for_qc) VALUES (NULL, 'att_signalling',  'Signallling Pathway',  500,  TRUE, TRUE, TRUE, FALSE, FALSE);</v>
      </c>
      <c r="O339" s="8" t="str">
        <f aca="false">"INSERT INTO attribute_values (attribute_id, tag, name, details) VALUES ((SELECT id FROM attributes WHERE tag = '"&amp;H339&amp;"' LIMIT 1),  '"&amp;J339&amp;"',  '"&amp;D339&amp;"',  '"&amp;L339&amp;"'); "</f>
        <v>INSERT INTO attribute_values (attribute_id, tag, name, details) VALUES ((SELECT id FROM attributes WHERE tag = 'att_signalling' LIMIT 1),  'att_signalling:cytokines',  'Cytokines',  'Small proteins that are crucial in controlling the growth and activity of immune system cells');</v>
      </c>
    </row>
    <row r="340" customFormat="false" ht="12.75" hidden="false" customHeight="false" outlineLevel="0" collapsed="false">
      <c r="A340" s="17" t="n">
        <f aca="false">FALSE()</f>
        <v>0</v>
      </c>
      <c r="B340" s="17"/>
      <c r="C340" s="8" t="s">
        <v>2373</v>
      </c>
      <c r="D340" s="8" t="s">
        <v>2374</v>
      </c>
      <c r="E340" s="8" t="s">
        <v>17</v>
      </c>
      <c r="F340" s="8" t="s">
        <v>2699</v>
      </c>
      <c r="G340" s="8" t="s">
        <v>2700</v>
      </c>
      <c r="H340" s="8" t="str">
        <f aca="false">"att_"&amp;G340</f>
        <v>att_signalling</v>
      </c>
      <c r="I340" s="8" t="s">
        <v>2373</v>
      </c>
      <c r="J340" s="8" t="str">
        <f aca="false">H340&amp;":"&amp;I340</f>
        <v>att_signalling:inflammation</v>
      </c>
      <c r="K340" s="16" t="s">
        <v>21</v>
      </c>
      <c r="L340" s="8" t="s">
        <v>2375</v>
      </c>
      <c r="M340" s="8" t="s">
        <v>17</v>
      </c>
      <c r="N340" s="8" t="str">
        <f aca="false">"INSERT INTO attributes (parent_id, tag, name, priority, allow_as_filter, allow_for_dataset, allow_for_measurement, allow_for_users, allow_for_qc) VALUES (NULL, '"&amp;H340&amp;"',  '"&amp;F340&amp;"',  500,  TRUE, TRUE, TRUE, FALSE, FALSE);"</f>
        <v>INSERT INTO attributes (parent_id, tag, name, priority, allow_as_filter, allow_for_dataset, allow_for_measurement, allow_for_users, allow_for_qc) VALUES (NULL, 'att_signalling',  'Signallling Pathway',  500,  TRUE, TRUE, TRUE, FALSE, FALSE);</v>
      </c>
      <c r="O340" s="8" t="str">
        <f aca="false">"INSERT INTO attribute_values (attribute_id, tag, name, details) VALUES ((SELECT id FROM attributes WHERE tag = '"&amp;H340&amp;"' LIMIT 1),  '"&amp;J340&amp;"',  '"&amp;D340&amp;"',  '"&amp;L340&amp;"'); "</f>
        <v>INSERT INTO attribute_values (attribute_id, tag, name, details) VALUES ((SELECT id FROM attributes WHERE tag = 'att_signalling' LIMIT 1),  'att_signalling:inflammation',  'Inflammation',  'Biological response of body tissues to harmful stimuli,');</v>
      </c>
    </row>
    <row r="341" customFormat="false" ht="12.75" hidden="false" customHeight="false" outlineLevel="0" collapsed="false">
      <c r="A341" s="17" t="n">
        <f aca="false">FALSE()</f>
        <v>0</v>
      </c>
      <c r="B341" s="17"/>
      <c r="C341" s="8" t="s">
        <v>2376</v>
      </c>
      <c r="D341" s="8" t="s">
        <v>2377</v>
      </c>
      <c r="E341" s="8" t="s">
        <v>17</v>
      </c>
      <c r="F341" s="8" t="s">
        <v>2699</v>
      </c>
      <c r="G341" s="8" t="s">
        <v>2700</v>
      </c>
      <c r="H341" s="8" t="str">
        <f aca="false">"att_"&amp;G341</f>
        <v>att_signalling</v>
      </c>
      <c r="I341" s="8" t="s">
        <v>2376</v>
      </c>
      <c r="J341" s="8" t="str">
        <f aca="false">H341&amp;":"&amp;I341</f>
        <v>att_signalling:insulin</v>
      </c>
      <c r="K341" s="16" t="s">
        <v>21</v>
      </c>
      <c r="L341" s="8" t="s">
        <v>2378</v>
      </c>
      <c r="M341" s="8" t="s">
        <v>17</v>
      </c>
      <c r="N341" s="8" t="str">
        <f aca="false">"INSERT INTO attributes (parent_id, tag, name, priority, allow_as_filter, allow_for_dataset, allow_for_measurement, allow_for_users, allow_for_qc) VALUES (NULL, '"&amp;H341&amp;"',  '"&amp;F341&amp;"',  500,  TRUE, TRUE, TRUE, FALSE, FALSE);"</f>
        <v>INSERT INTO attributes (parent_id, tag, name, priority, allow_as_filter, allow_for_dataset, allow_for_measurement, allow_for_users, allow_for_qc) VALUES (NULL, 'att_signalling',  'Signallling Pathway',  500,  TRUE, TRUE, TRUE, FALSE, FALSE);</v>
      </c>
      <c r="O341" s="8" t="str">
        <f aca="false">"INSERT INTO attribute_values (attribute_id, tag, name, details) VALUES ((SELECT id FROM attributes WHERE tag = '"&amp;H341&amp;"' LIMIT 1),  '"&amp;J341&amp;"',  '"&amp;D341&amp;"',  '"&amp;L341&amp;"'); "</f>
        <v>INSERT INTO attribute_values (attribute_id, tag, name, details) VALUES ((SELECT id FROM attributes WHERE tag = 'att_signalling' LIMIT 1),  'att_signalling:insulin',  'Insulin',  'Insulin Signaling');</v>
      </c>
    </row>
    <row r="342" customFormat="false" ht="12.75" hidden="false" customHeight="false" outlineLevel="0" collapsed="false">
      <c r="A342" s="17" t="n">
        <f aca="false">FALSE()</f>
        <v>0</v>
      </c>
      <c r="B342" s="17"/>
      <c r="C342" s="8" t="s">
        <v>2379</v>
      </c>
      <c r="D342" s="8" t="s">
        <v>2380</v>
      </c>
      <c r="E342" s="8" t="s">
        <v>17</v>
      </c>
      <c r="F342" s="8" t="s">
        <v>2699</v>
      </c>
      <c r="G342" s="8" t="s">
        <v>2700</v>
      </c>
      <c r="H342" s="8" t="str">
        <f aca="false">"att_"&amp;G342</f>
        <v>att_signalling</v>
      </c>
      <c r="I342" s="8" t="s">
        <v>2379</v>
      </c>
      <c r="J342" s="8" t="str">
        <f aca="false">H342&amp;":"&amp;I342</f>
        <v>att_signalling:juxtacrine</v>
      </c>
      <c r="K342" s="16" t="s">
        <v>21</v>
      </c>
      <c r="L342" s="8" t="s">
        <v>2381</v>
      </c>
      <c r="M342" s="8" t="s">
        <v>17</v>
      </c>
      <c r="N342" s="8" t="str">
        <f aca="false">"INSERT INTO attributes (parent_id, tag, name, priority, allow_as_filter, allow_for_dataset, allow_for_measurement, allow_for_users, allow_for_qc) VALUES (NULL, '"&amp;H342&amp;"',  '"&amp;F342&amp;"',  500,  TRUE, TRUE, TRUE, FALSE, FALSE);"</f>
        <v>INSERT INTO attributes (parent_id, tag, name, priority, allow_as_filter, allow_for_dataset, allow_for_measurement, allow_for_users, allow_for_qc) VALUES (NULL, 'att_signalling',  'Signallling Pathway',  500,  TRUE, TRUE, TRUE, FALSE, FALSE);</v>
      </c>
      <c r="O342" s="8" t="str">
        <f aca="false">"INSERT INTO attribute_values (attribute_id, tag, name, details) VALUES ((SELECT id FROM attributes WHERE tag = '"&amp;H342&amp;"' LIMIT 1),  '"&amp;J342&amp;"',  '"&amp;D342&amp;"',  '"&amp;L342&amp;"'); "</f>
        <v>INSERT INTO attribute_values (attribute_id, tag, name, details) VALUES ((SELECT id FROM attributes WHERE tag = 'att_signalling' LIMIT 1),  'att_signalling:juxtacrine',  'Juxtacrine',  'Contact-dependent signalling');</v>
      </c>
    </row>
    <row r="343" customFormat="false" ht="12.75" hidden="false" customHeight="false" outlineLevel="0" collapsed="false">
      <c r="A343" s="17" t="n">
        <f aca="false">FALSE()</f>
        <v>0</v>
      </c>
      <c r="B343" s="17"/>
      <c r="C343" s="8" t="s">
        <v>2382</v>
      </c>
      <c r="D343" s="8" t="s">
        <v>2383</v>
      </c>
      <c r="E343" s="8" t="s">
        <v>17</v>
      </c>
      <c r="F343" s="8" t="s">
        <v>2699</v>
      </c>
      <c r="G343" s="8" t="s">
        <v>2700</v>
      </c>
      <c r="H343" s="8" t="str">
        <f aca="false">"att_"&amp;G343</f>
        <v>att_signalling</v>
      </c>
      <c r="I343" s="8" t="s">
        <v>2382</v>
      </c>
      <c r="J343" s="8" t="str">
        <f aca="false">H343&amp;":"&amp;I343</f>
        <v>att_signalling:necrosis</v>
      </c>
      <c r="K343" s="16" t="s">
        <v>21</v>
      </c>
      <c r="L343" s="8" t="s">
        <v>2384</v>
      </c>
      <c r="M343" s="8" t="s">
        <v>17</v>
      </c>
      <c r="N343" s="8" t="str">
        <f aca="false">"INSERT INTO attributes (parent_id, tag, name, priority, allow_as_filter, allow_for_dataset, allow_for_measurement, allow_for_users, allow_for_qc) VALUES (NULL, '"&amp;H343&amp;"',  '"&amp;F343&amp;"',  500,  TRUE, TRUE, TRUE, FALSE, FALSE);"</f>
        <v>INSERT INTO attributes (parent_id, tag, name, priority, allow_as_filter, allow_for_dataset, allow_for_measurement, allow_for_users, allow_for_qc) VALUES (NULL, 'att_signalling',  'Signallling Pathway',  500,  TRUE, TRUE, TRUE, FALSE, FALSE);</v>
      </c>
      <c r="O343" s="8" t="str">
        <f aca="false">"INSERT INTO attribute_values (attribute_id, tag, name, details) VALUES ((SELECT id FROM attributes WHERE tag = '"&amp;H343&amp;"' LIMIT 1),  '"&amp;J343&amp;"',  '"&amp;D343&amp;"',  '"&amp;L343&amp;"'); "</f>
        <v>INSERT INTO attribute_values (attribute_id, tag, name, details) VALUES ((SELECT id FROM attributes WHERE tag = 'att_signalling' LIMIT 1),  'att_signalling:necrosis',  'Necrosis',  'Uncontrolled cell death.');</v>
      </c>
    </row>
    <row r="344" customFormat="false" ht="12.75" hidden="false" customHeight="false" outlineLevel="0" collapsed="false">
      <c r="A344" s="17" t="n">
        <f aca="false">FALSE()</f>
        <v>0</v>
      </c>
      <c r="B344" s="17"/>
      <c r="C344" s="8" t="s">
        <v>2385</v>
      </c>
      <c r="D344" s="8" t="s">
        <v>2386</v>
      </c>
      <c r="E344" s="8" t="s">
        <v>17</v>
      </c>
      <c r="F344" s="8" t="s">
        <v>2699</v>
      </c>
      <c r="G344" s="8" t="s">
        <v>2700</v>
      </c>
      <c r="H344" s="8" t="str">
        <f aca="false">"att_"&amp;G344</f>
        <v>att_signalling</v>
      </c>
      <c r="I344" s="8" t="s">
        <v>2385</v>
      </c>
      <c r="J344" s="8" t="str">
        <f aca="false">H344&amp;":"&amp;I344</f>
        <v>att_signalling:paracrine</v>
      </c>
      <c r="K344" s="16" t="s">
        <v>21</v>
      </c>
      <c r="L344" s="8" t="s">
        <v>2387</v>
      </c>
      <c r="M344" s="8" t="s">
        <v>17</v>
      </c>
      <c r="N344" s="8" t="str">
        <f aca="false">"INSERT INTO attributes (parent_id, tag, name, priority, allow_as_filter, allow_for_dataset, allow_for_measurement, allow_for_users, allow_for_qc) VALUES (NULL, '"&amp;H344&amp;"',  '"&amp;F344&amp;"',  500,  TRUE, TRUE, TRUE, FALSE, FALSE);"</f>
        <v>INSERT INTO attributes (parent_id, tag, name, priority, allow_as_filter, allow_for_dataset, allow_for_measurement, allow_for_users, allow_for_qc) VALUES (NULL, 'att_signalling',  'Signallling Pathway',  500,  TRUE, TRUE, TRUE, FALSE, FALSE);</v>
      </c>
      <c r="O344" s="8" t="str">
        <f aca="false">"INSERT INTO attribute_values (attribute_id, tag, name, details) VALUES ((SELECT id FROM attributes WHERE tag = '"&amp;H344&amp;"' LIMIT 1),  '"&amp;J344&amp;"',  '"&amp;D344&amp;"',  '"&amp;L344&amp;"'); "</f>
        <v>INSERT INTO attribute_values (attribute_id, tag, name, details) VALUES ((SELECT id FROM attributes WHERE tag = 'att_signalling' LIMIT 1),  'att_signalling:paracrine',  'Paracrine',  'Cell-to-Cell Communication');</v>
      </c>
    </row>
    <row r="345" customFormat="false" ht="12.75" hidden="false" customHeight="false" outlineLevel="0" collapsed="false">
      <c r="A345" s="17" t="n">
        <f aca="false">FALSE()</f>
        <v>0</v>
      </c>
      <c r="B345" s="17"/>
      <c r="C345" s="8" t="s">
        <v>1773</v>
      </c>
      <c r="D345" s="8" t="s">
        <v>1774</v>
      </c>
      <c r="E345" s="8" t="s">
        <v>17</v>
      </c>
      <c r="F345" s="8" t="s">
        <v>2699</v>
      </c>
      <c r="G345" s="8" t="s">
        <v>2700</v>
      </c>
      <c r="H345" s="8" t="str">
        <f aca="false">"att_"&amp;G345</f>
        <v>att_signalling</v>
      </c>
      <c r="I345" s="8" t="s">
        <v>1773</v>
      </c>
      <c r="J345" s="8" t="str">
        <f aca="false">H345&amp;":"&amp;I345</f>
        <v>att_signalling:signaling</v>
      </c>
      <c r="K345" s="16" t="s">
        <v>21</v>
      </c>
      <c r="L345" s="8" t="s">
        <v>2388</v>
      </c>
      <c r="M345" s="8" t="s">
        <v>17</v>
      </c>
      <c r="N345" s="8" t="str">
        <f aca="false">"INSERT INTO attributes (parent_id, tag, name, priority, allow_as_filter, allow_for_dataset, allow_for_measurement, allow_for_users, allow_for_qc) VALUES (NULL, '"&amp;H345&amp;"',  '"&amp;F345&amp;"',  500,  TRUE, TRUE, TRUE, FALSE, FALSE);"</f>
        <v>INSERT INTO attributes (parent_id, tag, name, priority, allow_as_filter, allow_for_dataset, allow_for_measurement, allow_for_users, allow_for_qc) VALUES (NULL, 'att_signalling',  'Signallling Pathway',  500,  TRUE, TRUE, TRUE, FALSE, FALSE);</v>
      </c>
      <c r="O345" s="8" t="str">
        <f aca="false">"INSERT INTO attribute_values (attribute_id, tag, name, details) VALUES ((SELECT id FROM attributes WHERE tag = '"&amp;H345&amp;"' LIMIT 1),  '"&amp;J345&amp;"',  '"&amp;D345&amp;"',  '"&amp;L345&amp;"'); "</f>
        <v>INSERT INTO attribute_values (attribute_id, tag, name, details) VALUES ((SELECT id FROM attributes WHERE tag = 'att_signalling' LIMIT 1),  'att_signalling:signaling',  'Signaling',  'General Protein, Gen or Cell Signaling');</v>
      </c>
    </row>
    <row r="346" customFormat="false" ht="12.75" hidden="false" customHeight="false" outlineLevel="0" collapsed="false">
      <c r="A346" s="16" t="s">
        <v>21</v>
      </c>
      <c r="B346" s="17"/>
      <c r="C346" s="8" t="s">
        <v>2389</v>
      </c>
      <c r="D346" s="8" t="s">
        <v>2390</v>
      </c>
      <c r="E346" s="8" t="s">
        <v>17</v>
      </c>
      <c r="F346" s="8" t="s">
        <v>222</v>
      </c>
      <c r="G346" s="8" t="s">
        <v>2701</v>
      </c>
      <c r="H346" s="8" t="str">
        <f aca="false">"att_"&amp;G346</f>
        <v>att_software</v>
      </c>
      <c r="I346" s="8" t="s">
        <v>2389</v>
      </c>
      <c r="J346" s="8" t="str">
        <f aca="false">H346&amp;":"&amp;I346</f>
        <v>att_software:diann</v>
      </c>
      <c r="K346" s="16" t="s">
        <v>21</v>
      </c>
      <c r="L346" s="8" t="s">
        <v>2391</v>
      </c>
      <c r="M346" s="8" t="s">
        <v>17</v>
      </c>
      <c r="N346" s="8" t="str">
        <f aca="false">"INSERT INTO attributes (parent_id, tag, name, priority, allow_as_filter, allow_for_dataset, allow_for_measurement, allow_for_users, allow_for_qc) VALUES (NULL, '"&amp;H346&amp;"',  '"&amp;F346&amp;"',  500,  TRUE, TRUE, TRUE, FALSE, FALSE);"</f>
        <v>INSERT INTO attributes (parent_id, tag, name, priority, allow_as_filter, allow_for_dataset, allow_for_measurement, allow_for_users, allow_for_qc) VALUES (NULL, 'att_software',  'Software',  500,  TRUE, TRUE, TRUE, FALSE, FALSE);</v>
      </c>
      <c r="O346" s="8" t="str">
        <f aca="false">"INSERT INTO attribute_values (attribute_id, tag, name, details) VALUES ((SELECT id FROM attributes WHERE tag = '"&amp;H346&amp;"' LIMIT 1),  '"&amp;J346&amp;"',  '"&amp;D346&amp;"',  '"&amp;L346&amp;"'); "</f>
        <v>INSERT INTO attribute_values (attribute_id, tag, name, details) VALUES ((SELECT id FROM attributes WHERE tag = 'att_software' LIMIT 1),  'att_software:diann',  'DIA-NN',  'universal automated software suite for DIA proteomics data analysis');</v>
      </c>
    </row>
    <row r="347" customFormat="false" ht="12.75" hidden="false" customHeight="false" outlineLevel="0" collapsed="false">
      <c r="A347" s="16" t="s">
        <v>21</v>
      </c>
      <c r="B347" s="17"/>
      <c r="C347" s="8" t="s">
        <v>2392</v>
      </c>
      <c r="D347" s="8" t="s">
        <v>2393</v>
      </c>
      <c r="E347" s="8" t="s">
        <v>17</v>
      </c>
      <c r="F347" s="8" t="s">
        <v>222</v>
      </c>
      <c r="G347" s="8" t="s">
        <v>2701</v>
      </c>
      <c r="H347" s="8" t="str">
        <f aca="false">"att_"&amp;G347</f>
        <v>att_software</v>
      </c>
      <c r="I347" s="8" t="s">
        <v>2392</v>
      </c>
      <c r="J347" s="8" t="str">
        <f aca="false">H347&amp;":"&amp;I347</f>
        <v>att_software:maxquant</v>
      </c>
      <c r="K347" s="16" t="s">
        <v>21</v>
      </c>
      <c r="L347" s="8" t="s">
        <v>2394</v>
      </c>
      <c r="M347" s="8" t="s">
        <v>17</v>
      </c>
      <c r="N347" s="8" t="str">
        <f aca="false">"INSERT INTO attributes (parent_id, tag, name, priority, allow_as_filter, allow_for_dataset, allow_for_measurement, allow_for_users, allow_for_qc) VALUES (NULL, '"&amp;H347&amp;"',  '"&amp;F347&amp;"',  500,  TRUE, TRUE, TRUE, FALSE, FALSE);"</f>
        <v>INSERT INTO attributes (parent_id, tag, name, priority, allow_as_filter, allow_for_dataset, allow_for_measurement, allow_for_users, allow_for_qc) VALUES (NULL, 'att_software',  'Software',  500,  TRUE, TRUE, TRUE, FALSE, FALSE);</v>
      </c>
      <c r="O347" s="8" t="str">
        <f aca="false">"INSERT INTO attribute_values (attribute_id, tag, name, details) VALUES ((SELECT id FROM attributes WHERE tag = '"&amp;H347&amp;"' LIMIT 1),  '"&amp;J347&amp;"',  '"&amp;D347&amp;"',  '"&amp;L347&amp;"'); "</f>
        <v>INSERT INTO attribute_values (attribute_id, tag, name, details) VALUES ((SELECT id FROM attributes WHERE tag = 'att_software' LIMIT 1),  'att_software:maxquant',  'MaxQuant',  'MPI’s MaxQuant quantitiative proteomics software package');</v>
      </c>
    </row>
    <row r="348" customFormat="false" ht="12.75" hidden="false" customHeight="false" outlineLevel="0" collapsed="false">
      <c r="A348" s="16" t="s">
        <v>21</v>
      </c>
      <c r="B348" s="17"/>
      <c r="C348" s="8" t="s">
        <v>2395</v>
      </c>
      <c r="D348" s="8" t="s">
        <v>2396</v>
      </c>
      <c r="E348" s="8" t="s">
        <v>17</v>
      </c>
      <c r="F348" s="8" t="s">
        <v>222</v>
      </c>
      <c r="G348" s="8" t="s">
        <v>2701</v>
      </c>
      <c r="H348" s="8" t="str">
        <f aca="false">"att_"&amp;G348</f>
        <v>att_software</v>
      </c>
      <c r="I348" s="8" t="s">
        <v>2395</v>
      </c>
      <c r="J348" s="8" t="str">
        <f aca="false">H348&amp;":"&amp;I348</f>
        <v>att_software:metamorpheus</v>
      </c>
      <c r="K348" s="16" t="s">
        <v>21</v>
      </c>
      <c r="L348" s="8" t="s">
        <v>2397</v>
      </c>
      <c r="M348" s="8" t="s">
        <v>17</v>
      </c>
      <c r="N348" s="8" t="str">
        <f aca="false">"INSERT INTO attributes (parent_id, tag, name, priority, allow_as_filter, allow_for_dataset, allow_for_measurement, allow_for_users, allow_for_qc) VALUES (NULL, '"&amp;H348&amp;"',  '"&amp;F348&amp;"',  500,  TRUE, TRUE, TRUE, FALSE, FALSE);"</f>
        <v>INSERT INTO attributes (parent_id, tag, name, priority, allow_as_filter, allow_for_dataset, allow_for_measurement, allow_for_users, allow_for_qc) VALUES (NULL, 'att_software',  'Software',  500,  TRUE, TRUE, TRUE, FALSE, FALSE);</v>
      </c>
      <c r="O348" s="8" t="str">
        <f aca="false">"INSERT INTO attribute_values (attribute_id, tag, name, details) VALUES ((SELECT id FROM attributes WHERE tag = '"&amp;H348&amp;"' LIMIT 1),  '"&amp;J348&amp;"',  '"&amp;D348&amp;"',  '"&amp;L348&amp;"'); "</f>
        <v>INSERT INTO attribute_values (attribute_id, tag, name, details) VALUES ((SELECT id FROM attributes WHERE tag = 'att_software' LIMIT 1),  'att_software:metamorpheus',  'MetaMorpheus',  'Open-Source PTM Disocvery; smith-chem-wisc');</v>
      </c>
    </row>
    <row r="349" customFormat="false" ht="12.75" hidden="false" customHeight="false" outlineLevel="0" collapsed="false">
      <c r="A349" s="16" t="s">
        <v>21</v>
      </c>
      <c r="B349" s="17"/>
      <c r="C349" s="8" t="s">
        <v>2398</v>
      </c>
      <c r="D349" s="8" t="s">
        <v>2399</v>
      </c>
      <c r="E349" s="8" t="s">
        <v>17</v>
      </c>
      <c r="F349" s="8" t="s">
        <v>222</v>
      </c>
      <c r="G349" s="8" t="s">
        <v>2701</v>
      </c>
      <c r="H349" s="8" t="str">
        <f aca="false">"att_"&amp;G349</f>
        <v>att_software</v>
      </c>
      <c r="I349" s="8" t="s">
        <v>2398</v>
      </c>
      <c r="J349" s="8" t="str">
        <f aca="false">H349&amp;":"&amp;I349</f>
        <v>att_software:minora</v>
      </c>
      <c r="K349" s="16" t="s">
        <v>21</v>
      </c>
      <c r="L349" s="8" t="s">
        <v>2400</v>
      </c>
      <c r="M349" s="8" t="s">
        <v>17</v>
      </c>
      <c r="N349" s="8" t="str">
        <f aca="false">"INSERT INTO attributes (parent_id, tag, name, priority, allow_as_filter, allow_for_dataset, allow_for_measurement, allow_for_users, allow_for_qc) VALUES (NULL, '"&amp;H349&amp;"',  '"&amp;F349&amp;"',  500,  TRUE, TRUE, TRUE, FALSE, FALSE);"</f>
        <v>INSERT INTO attributes (parent_id, tag, name, priority, allow_as_filter, allow_for_dataset, allow_for_measurement, allow_for_users, allow_for_qc) VALUES (NULL, 'att_software',  'Software',  500,  TRUE, TRUE, TRUE, FALSE, FALSE);</v>
      </c>
      <c r="O349" s="8" t="str">
        <f aca="false">"INSERT INTO attribute_values (attribute_id, tag, name, details) VALUES ((SELECT id FROM attributes WHERE tag = '"&amp;H349&amp;"' LIMIT 1),  '"&amp;J349&amp;"',  '"&amp;D349&amp;"',  '"&amp;L349&amp;"'); "</f>
        <v>INSERT INTO attribute_values (attribute_id, tag, name, details) VALUES ((SELECT id FROM attributes WHERE tag = 'att_software' LIMIT 1),  'att_software:minora',  'Minora',  'Proteome Discoverer, Minora; Thermo Fisher');</v>
      </c>
    </row>
    <row r="350" customFormat="false" ht="12.75" hidden="false" customHeight="false" outlineLevel="0" collapsed="false">
      <c r="A350" s="16" t="s">
        <v>21</v>
      </c>
      <c r="B350" s="17"/>
      <c r="C350" s="8" t="s">
        <v>2401</v>
      </c>
      <c r="D350" s="8" t="s">
        <v>2402</v>
      </c>
      <c r="E350" s="8" t="s">
        <v>17</v>
      </c>
      <c r="F350" s="8" t="s">
        <v>222</v>
      </c>
      <c r="G350" s="8" t="s">
        <v>2701</v>
      </c>
      <c r="H350" s="8" t="str">
        <f aca="false">"att_"&amp;G350</f>
        <v>att_software</v>
      </c>
      <c r="I350" s="8" t="s">
        <v>2401</v>
      </c>
      <c r="J350" s="8" t="str">
        <f aca="false">H350&amp;":"&amp;I350</f>
        <v>att_software:msfragger</v>
      </c>
      <c r="K350" s="16" t="s">
        <v>21</v>
      </c>
      <c r="L350" s="8" t="s">
        <v>2403</v>
      </c>
      <c r="M350" s="8" t="s">
        <v>17</v>
      </c>
      <c r="N350" s="8" t="str">
        <f aca="false">"INSERT INTO attributes (parent_id, tag, name, priority, allow_as_filter, allow_for_dataset, allow_for_measurement, allow_for_users, allow_for_qc) VALUES (NULL, '"&amp;H350&amp;"',  '"&amp;F350&amp;"',  500,  TRUE, TRUE, TRUE, FALSE, FALSE);"</f>
        <v>INSERT INTO attributes (parent_id, tag, name, priority, allow_as_filter, allow_for_dataset, allow_for_measurement, allow_for_users, allow_for_qc) VALUES (NULL, 'att_software',  'Software',  500,  TRUE, TRUE, TRUE, FALSE, FALSE);</v>
      </c>
      <c r="O350" s="8" t="str">
        <f aca="false">"INSERT INTO attribute_values (attribute_id, tag, name, details) VALUES ((SELECT id FROM attributes WHERE tag = '"&amp;H350&amp;"' LIMIT 1),  '"&amp;J350&amp;"',  '"&amp;D350&amp;"',  '"&amp;L350&amp;"'); "</f>
        <v>INSERT INTO attribute_values (attribute_id, tag, name, details) VALUES ((SELECT id FROM attributes WHERE tag = 'att_software' LIMIT 1),  'att_software:msfragger',  'MSFragger',  'Nesvilab’s MSFragger');</v>
      </c>
    </row>
    <row r="351" customFormat="false" ht="12.75" hidden="false" customHeight="false" outlineLevel="0" collapsed="false">
      <c r="A351" s="16" t="s">
        <v>21</v>
      </c>
      <c r="B351" s="17"/>
      <c r="C351" s="8" t="s">
        <v>2404</v>
      </c>
      <c r="D351" s="8" t="s">
        <v>2405</v>
      </c>
      <c r="E351" s="8" t="s">
        <v>17</v>
      </c>
      <c r="F351" s="8" t="s">
        <v>222</v>
      </c>
      <c r="G351" s="8" t="s">
        <v>2701</v>
      </c>
      <c r="H351" s="8" t="str">
        <f aca="false">"att_"&amp;G351</f>
        <v>att_software</v>
      </c>
      <c r="I351" s="8" t="s">
        <v>2404</v>
      </c>
      <c r="J351" s="8" t="str">
        <f aca="false">H351&amp;":"&amp;I351</f>
        <v>att_software:msgf</v>
      </c>
      <c r="K351" s="16" t="s">
        <v>21</v>
      </c>
      <c r="L351" s="8" t="s">
        <v>2406</v>
      </c>
      <c r="M351" s="8" t="s">
        <v>17</v>
      </c>
      <c r="N351" s="8" t="str">
        <f aca="false">"INSERT INTO attributes (parent_id, tag, name, priority, allow_as_filter, allow_for_dataset, allow_for_measurement, allow_for_users, allow_for_qc) VALUES (NULL, '"&amp;H351&amp;"',  '"&amp;F351&amp;"',  500,  TRUE, TRUE, TRUE, FALSE, FALSE);"</f>
        <v>INSERT INTO attributes (parent_id, tag, name, priority, allow_as_filter, allow_for_dataset, allow_for_measurement, allow_for_users, allow_for_qc) VALUES (NULL, 'att_software',  'Software',  500,  TRUE, TRUE, TRUE, FALSE, FALSE);</v>
      </c>
      <c r="O351" s="8" t="str">
        <f aca="false">"INSERT INTO attribute_values (attribute_id, tag, name, details) VALUES ((SELECT id FROM attributes WHERE tag = '"&amp;H351&amp;"' LIMIT 1),  '"&amp;J351&amp;"',  '"&amp;D351&amp;"',  '"&amp;L351&amp;"'); "</f>
        <v>INSERT INTO attribute_values (attribute_id, tag, name, details) VALUES ((SELECT id FROM attributes WHERE tag = 'att_software' LIMIT 1),  'att_software:msgf',  'MS-GF+',  'MS-GF+ (aka MSGF+ or MSGFPlus) ');</v>
      </c>
    </row>
    <row r="352" customFormat="false" ht="12.75" hidden="false" customHeight="false" outlineLevel="0" collapsed="false">
      <c r="A352" s="16" t="s">
        <v>21</v>
      </c>
      <c r="B352" s="17"/>
      <c r="C352" s="8" t="s">
        <v>2407</v>
      </c>
      <c r="D352" s="8" t="s">
        <v>2408</v>
      </c>
      <c r="E352" s="8" t="s">
        <v>17</v>
      </c>
      <c r="F352" s="8" t="s">
        <v>222</v>
      </c>
      <c r="G352" s="8" t="s">
        <v>2701</v>
      </c>
      <c r="H352" s="8" t="str">
        <f aca="false">"att_"&amp;G352</f>
        <v>att_software</v>
      </c>
      <c r="I352" s="8" t="s">
        <v>2407</v>
      </c>
      <c r="J352" s="8" t="str">
        <f aca="false">H352&amp;":"&amp;I352</f>
        <v>att_software:spectronaut</v>
      </c>
      <c r="K352" s="16" t="s">
        <v>21</v>
      </c>
      <c r="L352" s="8" t="s">
        <v>2409</v>
      </c>
      <c r="M352" s="8" t="s">
        <v>17</v>
      </c>
      <c r="N352" s="8" t="str">
        <f aca="false">"INSERT INTO attributes (parent_id, tag, name, priority, allow_as_filter, allow_for_dataset, allow_for_measurement, allow_for_users, allow_for_qc) VALUES (NULL, '"&amp;H352&amp;"',  '"&amp;F352&amp;"',  500,  TRUE, TRUE, TRUE, FALSE, FALSE);"</f>
        <v>INSERT INTO attributes (parent_id, tag, name, priority, allow_as_filter, allow_for_dataset, allow_for_measurement, allow_for_users, allow_for_qc) VALUES (NULL, 'att_software',  'Software',  500,  TRUE, TRUE, TRUE, FALSE, FALSE);</v>
      </c>
      <c r="O352" s="8" t="str">
        <f aca="false">"INSERT INTO attribute_values (attribute_id, tag, name, details) VALUES ((SELECT id FROM attributes WHERE tag = '"&amp;H352&amp;"' LIMIT 1),  '"&amp;J352&amp;"',  '"&amp;D352&amp;"',  '"&amp;L352&amp;"'); "</f>
        <v>INSERT INTO attribute_values (attribute_id, tag, name, details) VALUES ((SELECT id FROM attributes WHERE tag = 'att_software' LIMIT 1),  'att_software:spectronaut',  'Spectronaut',  'BioGnoSys’s Spectronaut; DIA proteomics analysis');</v>
      </c>
    </row>
    <row r="353" customFormat="false" ht="12.75" hidden="false" customHeight="false" outlineLevel="0" collapsed="false">
      <c r="A353" s="17" t="n">
        <f aca="false">FALSE()</f>
        <v>0</v>
      </c>
      <c r="B353" s="17"/>
      <c r="C353" s="8" t="s">
        <v>2410</v>
      </c>
      <c r="D353" s="8" t="s">
        <v>2411</v>
      </c>
      <c r="E353" s="8" t="s">
        <v>17</v>
      </c>
      <c r="F353" s="8" t="s">
        <v>243</v>
      </c>
      <c r="G353" s="8" t="s">
        <v>2702</v>
      </c>
      <c r="H353" s="8" t="str">
        <f aca="false">"att_"&amp;G353</f>
        <v>att_tissue</v>
      </c>
      <c r="I353" s="8" t="s">
        <v>2410</v>
      </c>
      <c r="J353" s="8" t="str">
        <f aca="false">H353&amp;":"&amp;I353</f>
        <v>att_tissue:adipose</v>
      </c>
      <c r="K353" s="16" t="s">
        <v>21</v>
      </c>
      <c r="L353" s="8" t="s">
        <v>2412</v>
      </c>
      <c r="M353" s="8" t="s">
        <v>17</v>
      </c>
      <c r="N353" s="8" t="str">
        <f aca="false">"INSERT INTO attributes (parent_id, tag, name, priority, allow_as_filter, allow_for_dataset, allow_for_measurement, allow_for_users, allow_for_qc) VALUES (NULL, '"&amp;H353&amp;"',  '"&amp;F353&amp;"',  500,  TRUE, TRUE, TRUE, FALSE, FALSE);"</f>
        <v>INSERT INTO attributes (parent_id, tag, name, priority, allow_as_filter, allow_for_dataset, allow_for_measurement, allow_for_users, allow_for_qc) VALUES (NULL, 'att_tissue',  'Tissue',  500,  TRUE, TRUE, TRUE, FALSE, FALSE);</v>
      </c>
      <c r="O353" s="8" t="str">
        <f aca="false">"INSERT INTO attribute_values (attribute_id, tag, name, details) VALUES ((SELECT id FROM attributes WHERE tag = '"&amp;H353&amp;"' LIMIT 1),  '"&amp;J353&amp;"',  '"&amp;D353&amp;"',  '"&amp;L353&amp;"'); "</f>
        <v>INSERT INTO attribute_values (attribute_id, tag, name, details) VALUES ((SELECT id FROM attributes WHERE tag = 'att_tissue' LIMIT 1),  'att_tissue:adipose',  'Adipose',  'Adipose connective tissue');</v>
      </c>
    </row>
    <row r="354" customFormat="false" ht="12.75" hidden="false" customHeight="false" outlineLevel="0" collapsed="false">
      <c r="A354" s="17" t="n">
        <f aca="false">FALSE()</f>
        <v>0</v>
      </c>
      <c r="B354" s="17"/>
      <c r="C354" s="8" t="s">
        <v>2413</v>
      </c>
      <c r="D354" s="8" t="s">
        <v>2414</v>
      </c>
      <c r="E354" s="8" t="s">
        <v>17</v>
      </c>
      <c r="F354" s="8" t="s">
        <v>243</v>
      </c>
      <c r="G354" s="8" t="s">
        <v>2702</v>
      </c>
      <c r="H354" s="8" t="str">
        <f aca="false">"att_"&amp;G354</f>
        <v>att_tissue</v>
      </c>
      <c r="I354" s="8" t="s">
        <v>2413</v>
      </c>
      <c r="J354" s="8" t="str">
        <f aca="false">H354&amp;":"&amp;I354</f>
        <v>att_tissue:areolar</v>
      </c>
      <c r="K354" s="16" t="s">
        <v>21</v>
      </c>
      <c r="L354" s="8" t="s">
        <v>2415</v>
      </c>
      <c r="M354" s="8" t="s">
        <v>17</v>
      </c>
      <c r="N354" s="8" t="str">
        <f aca="false">"INSERT INTO attributes (parent_id, tag, name, priority, allow_as_filter, allow_for_dataset, allow_for_measurement, allow_for_users, allow_for_qc) VALUES (NULL, '"&amp;H354&amp;"',  '"&amp;F354&amp;"',  500,  TRUE, TRUE, TRUE, FALSE, FALSE);"</f>
        <v>INSERT INTO attributes (parent_id, tag, name, priority, allow_as_filter, allow_for_dataset, allow_for_measurement, allow_for_users, allow_for_qc) VALUES (NULL, 'att_tissue',  'Tissue',  500,  TRUE, TRUE, TRUE, FALSE, FALSE);</v>
      </c>
      <c r="O354" s="8" t="str">
        <f aca="false">"INSERT INTO attribute_values (attribute_id, tag, name, details) VALUES ((SELECT id FROM attributes WHERE tag = '"&amp;H354&amp;"' LIMIT 1),  '"&amp;J354&amp;"',  '"&amp;D354&amp;"',  '"&amp;L354&amp;"'); "</f>
        <v>INSERT INTO attribute_values (attribute_id, tag, name, details) VALUES ((SELECT id FROM attributes WHERE tag = 'att_tissue' LIMIT 1),  'att_tissue:areolar',  'Areolar',  'Areolar connective tissue');</v>
      </c>
    </row>
    <row r="355" customFormat="false" ht="12.75" hidden="false" customHeight="false" outlineLevel="0" collapsed="false">
      <c r="A355" s="17" t="n">
        <f aca="false">FALSE()</f>
        <v>0</v>
      </c>
      <c r="B355" s="17"/>
      <c r="C355" s="8" t="s">
        <v>2416</v>
      </c>
      <c r="D355" s="8" t="s">
        <v>2417</v>
      </c>
      <c r="E355" s="8" t="s">
        <v>17</v>
      </c>
      <c r="F355" s="8" t="s">
        <v>243</v>
      </c>
      <c r="G355" s="8" t="s">
        <v>2702</v>
      </c>
      <c r="H355" s="8" t="str">
        <f aca="false">"att_"&amp;G355</f>
        <v>att_tissue</v>
      </c>
      <c r="I355" s="8" t="s">
        <v>2416</v>
      </c>
      <c r="J355" s="8" t="str">
        <f aca="false">H355&amp;":"&amp;I355</f>
        <v>att_tissue:blood</v>
      </c>
      <c r="K355" s="16" t="s">
        <v>21</v>
      </c>
      <c r="L355" s="8" t="s">
        <v>2417</v>
      </c>
      <c r="M355" s="8" t="s">
        <v>17</v>
      </c>
      <c r="N355" s="8" t="str">
        <f aca="false">"INSERT INTO attributes (parent_id, tag, name, priority, allow_as_filter, allow_for_dataset, allow_for_measurement, allow_for_users, allow_for_qc) VALUES (NULL, '"&amp;H355&amp;"',  '"&amp;F355&amp;"',  500,  TRUE, TRUE, TRUE, FALSE, FALSE);"</f>
        <v>INSERT INTO attributes (parent_id, tag, name, priority, allow_as_filter, allow_for_dataset, allow_for_measurement, allow_for_users, allow_for_qc) VALUES (NULL, 'att_tissue',  'Tissue',  500,  TRUE, TRUE, TRUE, FALSE, FALSE);</v>
      </c>
      <c r="O355" s="8" t="str">
        <f aca="false">"INSERT INTO attribute_values (attribute_id, tag, name, details) VALUES ((SELECT id FROM attributes WHERE tag = '"&amp;H355&amp;"' LIMIT 1),  '"&amp;J355&amp;"',  '"&amp;D355&amp;"',  '"&amp;L355&amp;"'); "</f>
        <v>INSERT INTO attribute_values (attribute_id, tag, name, details) VALUES ((SELECT id FROM attributes WHERE tag = 'att_tissue' LIMIT 1),  'att_tissue:blood',  'Blood',  'Blood');</v>
      </c>
    </row>
    <row r="356" customFormat="false" ht="12.75" hidden="false" customHeight="false" outlineLevel="0" collapsed="false">
      <c r="A356" s="17" t="n">
        <f aca="false">FALSE()</f>
        <v>0</v>
      </c>
      <c r="B356" s="17"/>
      <c r="C356" s="8" t="s">
        <v>2418</v>
      </c>
      <c r="D356" s="8" t="s">
        <v>2419</v>
      </c>
      <c r="E356" s="8" t="s">
        <v>17</v>
      </c>
      <c r="F356" s="8" t="s">
        <v>243</v>
      </c>
      <c r="G356" s="8" t="s">
        <v>2702</v>
      </c>
      <c r="H356" s="8" t="str">
        <f aca="false">"att_"&amp;G356</f>
        <v>att_tissue</v>
      </c>
      <c r="I356" s="8" t="s">
        <v>2418</v>
      </c>
      <c r="J356" s="8" t="str">
        <f aca="false">H356&amp;":"&amp;I356</f>
        <v>att_tissue:connective</v>
      </c>
      <c r="K356" s="16" t="s">
        <v>21</v>
      </c>
      <c r="L356" s="8" t="s">
        <v>2420</v>
      </c>
      <c r="M356" s="8" t="s">
        <v>17</v>
      </c>
      <c r="N356" s="8" t="str">
        <f aca="false">"INSERT INTO attributes (parent_id, tag, name, priority, allow_as_filter, allow_for_dataset, allow_for_measurement, allow_for_users, allow_for_qc) VALUES (NULL, '"&amp;H356&amp;"',  '"&amp;F356&amp;"',  500,  TRUE, TRUE, TRUE, FALSE, FALSE);"</f>
        <v>INSERT INTO attributes (parent_id, tag, name, priority, allow_as_filter, allow_for_dataset, allow_for_measurement, allow_for_users, allow_for_qc) VALUES (NULL, 'att_tissue',  'Tissue',  500,  TRUE, TRUE, TRUE, FALSE, FALSE);</v>
      </c>
      <c r="O356" s="8" t="str">
        <f aca="false">"INSERT INTO attribute_values (attribute_id, tag, name, details) VALUES ((SELECT id FROM attributes WHERE tag = '"&amp;H356&amp;"' LIMIT 1),  '"&amp;J356&amp;"',  '"&amp;D356&amp;"',  '"&amp;L356&amp;"'); "</f>
        <v>INSERT INTO attribute_values (attribute_id, tag, name, details) VALUES ((SELECT id FROM attributes WHERE tag = 'att_tissue' LIMIT 1),  'att_tissue:connective',  'Connective',  'Connective tissue');</v>
      </c>
    </row>
    <row r="357" customFormat="false" ht="12.75" hidden="false" customHeight="false" outlineLevel="0" collapsed="false">
      <c r="A357" s="17" t="n">
        <f aca="false">FALSE()</f>
        <v>0</v>
      </c>
      <c r="B357" s="17"/>
      <c r="C357" s="8" t="s">
        <v>2421</v>
      </c>
      <c r="D357" s="8" t="s">
        <v>2422</v>
      </c>
      <c r="E357" s="8" t="s">
        <v>17</v>
      </c>
      <c r="F357" s="8" t="s">
        <v>243</v>
      </c>
      <c r="G357" s="8" t="s">
        <v>2702</v>
      </c>
      <c r="H357" s="8" t="str">
        <f aca="false">"att_"&amp;G357</f>
        <v>att_tissue</v>
      </c>
      <c r="I357" s="8" t="s">
        <v>2421</v>
      </c>
      <c r="J357" s="8" t="str">
        <f aca="false">H357&amp;":"&amp;I357</f>
        <v>att_tissue:dermis</v>
      </c>
      <c r="K357" s="16" t="s">
        <v>21</v>
      </c>
      <c r="L357" s="8" t="s">
        <v>2422</v>
      </c>
      <c r="M357" s="8" t="s">
        <v>17</v>
      </c>
      <c r="N357" s="8" t="str">
        <f aca="false">"INSERT INTO attributes (parent_id, tag, name, priority, allow_as_filter, allow_for_dataset, allow_for_measurement, allow_for_users, allow_for_qc) VALUES (NULL, '"&amp;H357&amp;"',  '"&amp;F357&amp;"',  500,  TRUE, TRUE, TRUE, FALSE, FALSE);"</f>
        <v>INSERT INTO attributes (parent_id, tag, name, priority, allow_as_filter, allow_for_dataset, allow_for_measurement, allow_for_users, allow_for_qc) VALUES (NULL, 'att_tissue',  'Tissue',  500,  TRUE, TRUE, TRUE, FALSE, FALSE);</v>
      </c>
      <c r="O357" s="8" t="str">
        <f aca="false">"INSERT INTO attribute_values (attribute_id, tag, name, details) VALUES ((SELECT id FROM attributes WHERE tag = '"&amp;H357&amp;"' LIMIT 1),  '"&amp;J357&amp;"',  '"&amp;D357&amp;"',  '"&amp;L357&amp;"'); "</f>
        <v>INSERT INTO attribute_values (attribute_id, tag, name, details) VALUES ((SELECT id FROM attributes WHERE tag = 'att_tissue' LIMIT 1),  'att_tissue:dermis',  'Dermis',  'Dermis');</v>
      </c>
    </row>
    <row r="358" customFormat="false" ht="12.75" hidden="false" customHeight="false" outlineLevel="0" collapsed="false">
      <c r="A358" s="17" t="n">
        <f aca="false">FALSE()</f>
        <v>0</v>
      </c>
      <c r="B358" s="17"/>
      <c r="C358" s="8" t="s">
        <v>2423</v>
      </c>
      <c r="D358" s="8" t="s">
        <v>2424</v>
      </c>
      <c r="E358" s="8" t="s">
        <v>17</v>
      </c>
      <c r="F358" s="8" t="s">
        <v>243</v>
      </c>
      <c r="G358" s="8" t="s">
        <v>2702</v>
      </c>
      <c r="H358" s="8" t="str">
        <f aca="false">"att_"&amp;G358</f>
        <v>att_tissue</v>
      </c>
      <c r="I358" s="8" t="s">
        <v>2423</v>
      </c>
      <c r="J358" s="8" t="str">
        <f aca="false">H358&amp;":"&amp;I358</f>
        <v>att_tissue:epidermis</v>
      </c>
      <c r="K358" s="16" t="s">
        <v>21</v>
      </c>
      <c r="L358" s="8" t="s">
        <v>2424</v>
      </c>
      <c r="M358" s="8" t="s">
        <v>17</v>
      </c>
      <c r="N358" s="8" t="str">
        <f aca="false">"INSERT INTO attributes (parent_id, tag, name, priority, allow_as_filter, allow_for_dataset, allow_for_measurement, allow_for_users, allow_for_qc) VALUES (NULL, '"&amp;H358&amp;"',  '"&amp;F358&amp;"',  500,  TRUE, TRUE, TRUE, FALSE, FALSE);"</f>
        <v>INSERT INTO attributes (parent_id, tag, name, priority, allow_as_filter, allow_for_dataset, allow_for_measurement, allow_for_users, allow_for_qc) VALUES (NULL, 'att_tissue',  'Tissue',  500,  TRUE, TRUE, TRUE, FALSE, FALSE);</v>
      </c>
      <c r="O358" s="8" t="str">
        <f aca="false">"INSERT INTO attribute_values (attribute_id, tag, name, details) VALUES ((SELECT id FROM attributes WHERE tag = '"&amp;H358&amp;"' LIMIT 1),  '"&amp;J358&amp;"',  '"&amp;D358&amp;"',  '"&amp;L358&amp;"'); "</f>
        <v>INSERT INTO attribute_values (attribute_id, tag, name, details) VALUES ((SELECT id FROM attributes WHERE tag = 'att_tissue' LIMIT 1),  'att_tissue:epidermis',  'Epidermis',  'Epidermis');</v>
      </c>
    </row>
    <row r="359" customFormat="false" ht="12.75" hidden="false" customHeight="false" outlineLevel="0" collapsed="false">
      <c r="A359" s="17" t="n">
        <f aca="false">FALSE()</f>
        <v>0</v>
      </c>
      <c r="B359" s="17"/>
      <c r="C359" s="8" t="s">
        <v>2425</v>
      </c>
      <c r="D359" s="8" t="s">
        <v>2426</v>
      </c>
      <c r="E359" s="8" t="s">
        <v>17</v>
      </c>
      <c r="F359" s="8" t="s">
        <v>243</v>
      </c>
      <c r="G359" s="8" t="s">
        <v>2702</v>
      </c>
      <c r="H359" s="8" t="str">
        <f aca="false">"att_"&amp;G359</f>
        <v>att_tissue</v>
      </c>
      <c r="I359" s="8" t="s">
        <v>2425</v>
      </c>
      <c r="J359" s="8" t="str">
        <f aca="false">H359&amp;":"&amp;I359</f>
        <v>att_tissue:epithelial</v>
      </c>
      <c r="K359" s="16" t="s">
        <v>21</v>
      </c>
      <c r="L359" s="8" t="s">
        <v>2427</v>
      </c>
      <c r="M359" s="8" t="s">
        <v>17</v>
      </c>
      <c r="N359" s="8" t="str">
        <f aca="false">"INSERT INTO attributes (parent_id, tag, name, priority, allow_as_filter, allow_for_dataset, allow_for_measurement, allow_for_users, allow_for_qc) VALUES (NULL, '"&amp;H359&amp;"',  '"&amp;F359&amp;"',  500,  TRUE, TRUE, TRUE, FALSE, FALSE);"</f>
        <v>INSERT INTO attributes (parent_id, tag, name, priority, allow_as_filter, allow_for_dataset, allow_for_measurement, allow_for_users, allow_for_qc) VALUES (NULL, 'att_tissue',  'Tissue',  500,  TRUE, TRUE, TRUE, FALSE, FALSE);</v>
      </c>
      <c r="O359" s="8" t="str">
        <f aca="false">"INSERT INTO attribute_values (attribute_id, tag, name, details) VALUES ((SELECT id FROM attributes WHERE tag = '"&amp;H359&amp;"' LIMIT 1),  '"&amp;J359&amp;"',  '"&amp;D359&amp;"',  '"&amp;L359&amp;"'); "</f>
        <v>INSERT INTO attribute_values (attribute_id, tag, name, details) VALUES ((SELECT id FROM attributes WHERE tag = 'att_tissue' LIMIT 1),  'att_tissue:epithelial',  'Epithelial',  'Epithelial tissue');</v>
      </c>
    </row>
    <row r="360" customFormat="false" ht="12.75" hidden="false" customHeight="false" outlineLevel="0" collapsed="false">
      <c r="A360" s="17" t="n">
        <f aca="false">FALSE()</f>
        <v>0</v>
      </c>
      <c r="B360" s="17"/>
      <c r="C360" s="8" t="s">
        <v>2428</v>
      </c>
      <c r="D360" s="8" t="s">
        <v>2429</v>
      </c>
      <c r="E360" s="8" t="s">
        <v>17</v>
      </c>
      <c r="F360" s="8" t="s">
        <v>243</v>
      </c>
      <c r="G360" s="8" t="s">
        <v>2702</v>
      </c>
      <c r="H360" s="8" t="str">
        <f aca="false">"att_"&amp;G360</f>
        <v>att_tissue</v>
      </c>
      <c r="I360" s="8" t="s">
        <v>2428</v>
      </c>
      <c r="J360" s="8" t="str">
        <f aca="false">H360&amp;":"&amp;I360</f>
        <v>att_tissue:hypodermis</v>
      </c>
      <c r="K360" s="16" t="s">
        <v>21</v>
      </c>
      <c r="L360" s="8" t="s">
        <v>2429</v>
      </c>
      <c r="M360" s="8" t="s">
        <v>17</v>
      </c>
      <c r="N360" s="8" t="str">
        <f aca="false">"INSERT INTO attributes (parent_id, tag, name, priority, allow_as_filter, allow_for_dataset, allow_for_measurement, allow_for_users, allow_for_qc) VALUES (NULL, '"&amp;H360&amp;"',  '"&amp;F360&amp;"',  500,  TRUE, TRUE, TRUE, FALSE, FALSE);"</f>
        <v>INSERT INTO attributes (parent_id, tag, name, priority, allow_as_filter, allow_for_dataset, allow_for_measurement, allow_for_users, allow_for_qc) VALUES (NULL, 'att_tissue',  'Tissue',  500,  TRUE, TRUE, TRUE, FALSE, FALSE);</v>
      </c>
      <c r="O360" s="8" t="str">
        <f aca="false">"INSERT INTO attribute_values (attribute_id, tag, name, details) VALUES ((SELECT id FROM attributes WHERE tag = '"&amp;H360&amp;"' LIMIT 1),  '"&amp;J360&amp;"',  '"&amp;D360&amp;"',  '"&amp;L360&amp;"'); "</f>
        <v>INSERT INTO attribute_values (attribute_id, tag, name, details) VALUES ((SELECT id FROM attributes WHERE tag = 'att_tissue' LIMIT 1),  'att_tissue:hypodermis',  'Hypodermis',  'Hypodermis');</v>
      </c>
    </row>
    <row r="361" customFormat="false" ht="12.75" hidden="false" customHeight="false" outlineLevel="0" collapsed="false">
      <c r="A361" s="17" t="n">
        <f aca="false">FALSE()</f>
        <v>0</v>
      </c>
      <c r="B361" s="17"/>
      <c r="C361" s="8" t="s">
        <v>2430</v>
      </c>
      <c r="D361" s="8" t="s">
        <v>184</v>
      </c>
      <c r="E361" s="8" t="s">
        <v>17</v>
      </c>
      <c r="F361" s="8" t="s">
        <v>243</v>
      </c>
      <c r="G361" s="8" t="s">
        <v>2702</v>
      </c>
      <c r="H361" s="8" t="str">
        <f aca="false">"att_"&amp;G361</f>
        <v>att_tissue</v>
      </c>
      <c r="I361" s="8" t="s">
        <v>2430</v>
      </c>
      <c r="J361" s="8" t="str">
        <f aca="false">H361&amp;":"&amp;I361</f>
        <v>att_tissue:muscle</v>
      </c>
      <c r="K361" s="16" t="s">
        <v>21</v>
      </c>
      <c r="L361" s="8" t="s">
        <v>2431</v>
      </c>
      <c r="M361" s="8" t="s">
        <v>17</v>
      </c>
      <c r="N361" s="8" t="str">
        <f aca="false">"INSERT INTO attributes (parent_id, tag, name, priority, allow_as_filter, allow_for_dataset, allow_for_measurement, allow_for_users, allow_for_qc) VALUES (NULL, '"&amp;H361&amp;"',  '"&amp;F361&amp;"',  500,  TRUE, TRUE, TRUE, FALSE, FALSE);"</f>
        <v>INSERT INTO attributes (parent_id, tag, name, priority, allow_as_filter, allow_for_dataset, allow_for_measurement, allow_for_users, allow_for_qc) VALUES (NULL, 'att_tissue',  'Tissue',  500,  TRUE, TRUE, TRUE, FALSE, FALSE);</v>
      </c>
      <c r="O361" s="8" t="str">
        <f aca="false">"INSERT INTO attribute_values (attribute_id, tag, name, details) VALUES ((SELECT id FROM attributes WHERE tag = '"&amp;H361&amp;"' LIMIT 1),  '"&amp;J361&amp;"',  '"&amp;D361&amp;"',  '"&amp;L361&amp;"'); "</f>
        <v>INSERT INTO attribute_values (attribute_id, tag, name, details) VALUES ((SELECT id FROM attributes WHERE tag = 'att_tissue' LIMIT 1),  'att_tissue:muscle',  'Muscle',  'Muscle tissue');</v>
      </c>
    </row>
    <row r="362" customFormat="false" ht="12.75" hidden="false" customHeight="false" outlineLevel="0" collapsed="false">
      <c r="A362" s="17" t="n">
        <f aca="false">FALSE()</f>
        <v>0</v>
      </c>
      <c r="B362" s="17"/>
      <c r="C362" s="8" t="s">
        <v>2432</v>
      </c>
      <c r="D362" s="8" t="s">
        <v>2250</v>
      </c>
      <c r="E362" s="8" t="s">
        <v>17</v>
      </c>
      <c r="F362" s="8" t="s">
        <v>243</v>
      </c>
      <c r="G362" s="8" t="s">
        <v>2702</v>
      </c>
      <c r="H362" s="8" t="str">
        <f aca="false">"att_"&amp;G362</f>
        <v>att_tissue</v>
      </c>
      <c r="I362" s="8" t="s">
        <v>2432</v>
      </c>
      <c r="J362" s="8" t="str">
        <f aca="false">H362&amp;":"&amp;I362</f>
        <v>att_tissue:nervous</v>
      </c>
      <c r="K362" s="16" t="s">
        <v>21</v>
      </c>
      <c r="L362" s="8" t="s">
        <v>2433</v>
      </c>
      <c r="M362" s="8" t="s">
        <v>17</v>
      </c>
      <c r="N362" s="8" t="str">
        <f aca="false">"INSERT INTO attributes (parent_id, tag, name, priority, allow_as_filter, allow_for_dataset, allow_for_measurement, allow_for_users, allow_for_qc) VALUES (NULL, '"&amp;H362&amp;"',  '"&amp;F362&amp;"',  500,  TRUE, TRUE, TRUE, FALSE, FALSE);"</f>
        <v>INSERT INTO attributes (parent_id, tag, name, priority, allow_as_filter, allow_for_dataset, allow_for_measurement, allow_for_users, allow_for_qc) VALUES (NULL, 'att_tissue',  'Tissue',  500,  TRUE, TRUE, TRUE, FALSE, FALSE);</v>
      </c>
      <c r="O362" s="8" t="str">
        <f aca="false">"INSERT INTO attribute_values (attribute_id, tag, name, details) VALUES ((SELECT id FROM attributes WHERE tag = '"&amp;H362&amp;"' LIMIT 1),  '"&amp;J362&amp;"',  '"&amp;D362&amp;"',  '"&amp;L362&amp;"'); "</f>
        <v>INSERT INTO attribute_values (attribute_id, tag, name, details) VALUES ((SELECT id FROM attributes WHERE tag = 'att_tissue' LIMIT 1),  'att_tissue:nervous',  'Nervous',  'Nervous tissue');</v>
      </c>
    </row>
    <row r="363" customFormat="false" ht="12.75" hidden="false" customHeight="false" outlineLevel="0" collapsed="false">
      <c r="A363" s="17" t="n">
        <f aca="false">FALSE()</f>
        <v>0</v>
      </c>
      <c r="B363" s="17"/>
      <c r="C363" s="8" t="s">
        <v>2434</v>
      </c>
      <c r="D363" s="8" t="s">
        <v>2435</v>
      </c>
      <c r="E363" s="8" t="s">
        <v>17</v>
      </c>
      <c r="F363" s="8" t="s">
        <v>243</v>
      </c>
      <c r="G363" s="8" t="s">
        <v>2702</v>
      </c>
      <c r="H363" s="8" t="str">
        <f aca="false">"att_"&amp;G363</f>
        <v>att_tissue</v>
      </c>
      <c r="I363" s="8" t="s">
        <v>2434</v>
      </c>
      <c r="J363" s="8" t="str">
        <f aca="false">H363&amp;":"&amp;I363</f>
        <v>att_tissue:reticular</v>
      </c>
      <c r="K363" s="16" t="s">
        <v>21</v>
      </c>
      <c r="L363" s="8" t="s">
        <v>2436</v>
      </c>
      <c r="M363" s="8" t="s">
        <v>17</v>
      </c>
      <c r="N363" s="8" t="str">
        <f aca="false">"INSERT INTO attributes (parent_id, tag, name, priority, allow_as_filter, allow_for_dataset, allow_for_measurement, allow_for_users, allow_for_qc) VALUES (NULL, '"&amp;H363&amp;"',  '"&amp;F363&amp;"',  500,  TRUE, TRUE, TRUE, FALSE, FALSE);"</f>
        <v>INSERT INTO attributes (parent_id, tag, name, priority, allow_as_filter, allow_for_dataset, allow_for_measurement, allow_for_users, allow_for_qc) VALUES (NULL, 'att_tissue',  'Tissue',  500,  TRUE, TRUE, TRUE, FALSE, FALSE);</v>
      </c>
      <c r="O363" s="8" t="str">
        <f aca="false">"INSERT INTO attribute_values (attribute_id, tag, name, details) VALUES ((SELECT id FROM attributes WHERE tag = '"&amp;H363&amp;"' LIMIT 1),  '"&amp;J363&amp;"',  '"&amp;D363&amp;"',  '"&amp;L363&amp;"'); "</f>
        <v>INSERT INTO attribute_values (attribute_id, tag, name, details) VALUES ((SELECT id FROM attributes WHERE tag = 'att_tissue' LIMIT 1),  'att_tissue:reticular',  'Reticular',  'Reticular connective tissue');</v>
      </c>
    </row>
    <row r="364" customFormat="false" ht="12.75" hidden="false" customHeight="false" outlineLevel="0" collapsed="false">
      <c r="A364" s="17" t="n">
        <f aca="false">FALSE()</f>
        <v>0</v>
      </c>
      <c r="B364" s="17"/>
      <c r="C364" s="8" t="s">
        <v>2437</v>
      </c>
      <c r="D364" s="8" t="s">
        <v>2438</v>
      </c>
      <c r="E364" s="8" t="s">
        <v>17</v>
      </c>
      <c r="F364" s="8" t="s">
        <v>243</v>
      </c>
      <c r="G364" s="8" t="s">
        <v>2702</v>
      </c>
      <c r="H364" s="8" t="str">
        <f aca="false">"att_"&amp;G364</f>
        <v>att_tissue</v>
      </c>
      <c r="I364" s="8" t="s">
        <v>2437</v>
      </c>
      <c r="J364" s="8" t="str">
        <f aca="false">H364&amp;":"&amp;I364</f>
        <v>att_tissue:stromal</v>
      </c>
      <c r="K364" s="16" t="s">
        <v>21</v>
      </c>
      <c r="L364" s="8" t="s">
        <v>2439</v>
      </c>
      <c r="M364" s="8" t="s">
        <v>17</v>
      </c>
      <c r="N364" s="8" t="str">
        <f aca="false">"INSERT INTO attributes (parent_id, tag, name, priority, allow_as_filter, allow_for_dataset, allow_for_measurement, allow_for_users, allow_for_qc) VALUES (NULL, '"&amp;H364&amp;"',  '"&amp;F364&amp;"',  500,  TRUE, TRUE, TRUE, FALSE, FALSE);"</f>
        <v>INSERT INTO attributes (parent_id, tag, name, priority, allow_as_filter, allow_for_dataset, allow_for_measurement, allow_for_users, allow_for_qc) VALUES (NULL, 'att_tissue',  'Tissue',  500,  TRUE, TRUE, TRUE, FALSE, FALSE);</v>
      </c>
      <c r="O364" s="8" t="str">
        <f aca="false">"INSERT INTO attribute_values (attribute_id, tag, name, details) VALUES ((SELECT id FROM attributes WHERE tag = '"&amp;H364&amp;"' LIMIT 1),  '"&amp;J364&amp;"',  '"&amp;D364&amp;"',  '"&amp;L364&amp;"'); "</f>
        <v>INSERT INTO attribute_values (attribute_id, tag, name, details) VALUES ((SELECT id FROM attributes WHERE tag = 'att_tissue' LIMIT 1),  'att_tissue:stromal',  'Stromal',  'Stroma tissue');</v>
      </c>
    </row>
    <row r="365" customFormat="false" ht="12.75" hidden="false" customHeight="false" outlineLevel="0" collapsed="false">
      <c r="A365" s="16" t="s">
        <v>21</v>
      </c>
      <c r="B365" s="16"/>
      <c r="C365" s="8" t="s">
        <v>999</v>
      </c>
      <c r="D365" s="8" t="s">
        <v>1001</v>
      </c>
      <c r="E365" s="8" t="s">
        <v>17</v>
      </c>
      <c r="F365" s="8" t="s">
        <v>2590</v>
      </c>
      <c r="G365" s="8" t="s">
        <v>2591</v>
      </c>
      <c r="H365" s="8" t="str">
        <f aca="false">"att_"&amp;G365</f>
        <v>att_dataset</v>
      </c>
      <c r="I365" s="8" t="s">
        <v>2703</v>
      </c>
      <c r="J365" s="8" t="str">
        <f aca="false">H365&amp;":"&amp;I365</f>
        <v>att_dataset:database orf_search</v>
      </c>
      <c r="K365" s="16" t="s">
        <v>21</v>
      </c>
      <c r="L365" s="8" t="s">
        <v>1002</v>
      </c>
      <c r="M365" s="8" t="s">
        <v>17</v>
      </c>
      <c r="N365" s="8" t="str">
        <f aca="false">"INSERT INTO attributes (parent_id, tag, name, priority, allow_as_filter, allow_for_dataset, allow_for_measurement, allow_for_users, allow_for_qc) VALUES (NULL, '"&amp;H365&amp;"',  '"&amp;F365&amp;"',  500,  TRUE, TRUE, TRUE, FALSE, FALSE);"</f>
        <v>INSERT INTO attributes (parent_id, tag, name, priority, allow_as_filter, allow_for_dataset, allow_for_measurement, allow_for_users, allow_for_qc) VALUES (NULL, 'att_dataset',  'Spectral Interpretation',  500,  TRUE, TRUE, TRUE, FALSE, FALSE);</v>
      </c>
      <c r="O365" s="8" t="str">
        <f aca="false">"INSERT INTO attribute_values (attribute_id, tag, name, details) VALUES ((SELECT id FROM attributes WHERE tag = '"&amp;H365&amp;"' LIMIT 1),  '"&amp;J365&amp;"',  '"&amp;D365&amp;"',  '"&amp;L365&amp;"'); "</f>
        <v>INSERT INTO attribute_values (attribute_id, tag, name, details) VALUES ((SELECT id FROM attributes WHERE tag = 'att_dataset' LIMIT 1),  'att_dataset:database orf_search',  'Database + ORF search',  'database and orf search');</v>
      </c>
    </row>
    <row r="368" customFormat="false" ht="12.75" hidden="false" customHeight="false" outlineLevel="0" collapsed="false">
      <c r="C368" s="8" t="s">
        <v>2704</v>
      </c>
      <c r="D368" s="8" t="s">
        <v>1379</v>
      </c>
      <c r="F368" s="8" t="s">
        <v>156</v>
      </c>
      <c r="G368" s="8" t="s">
        <v>93</v>
      </c>
      <c r="H368" s="8" t="s">
        <v>155</v>
      </c>
      <c r="I368" s="8" t="s">
        <v>1023</v>
      </c>
      <c r="J368" s="8" t="str">
        <f aca="false">H368&amp;":"&amp;I368</f>
        <v>att_lysis_buffer:sds</v>
      </c>
      <c r="L368" s="8" t="s">
        <v>1380</v>
      </c>
    </row>
    <row r="369" customFormat="false" ht="12.75" hidden="false" customHeight="false" outlineLevel="0" collapsed="false">
      <c r="C369" s="8" t="s">
        <v>2705</v>
      </c>
      <c r="D369" s="8" t="s">
        <v>1385</v>
      </c>
      <c r="F369" s="8" t="s">
        <v>156</v>
      </c>
      <c r="G369" s="8" t="s">
        <v>93</v>
      </c>
      <c r="H369" s="8" t="s">
        <v>155</v>
      </c>
      <c r="I369" s="8" t="s">
        <v>1384</v>
      </c>
      <c r="J369" s="8" t="str">
        <f aca="false">H369&amp;":"&amp;I369</f>
        <v>att_lysis_buffer:urea</v>
      </c>
      <c r="L369" s="8" t="s">
        <v>1386</v>
      </c>
    </row>
    <row r="370" customFormat="false" ht="12.75" hidden="false" customHeight="false" outlineLevel="0" collapsed="false">
      <c r="C370" s="8" t="s">
        <v>2706</v>
      </c>
      <c r="D370" s="8" t="s">
        <v>1382</v>
      </c>
      <c r="F370" s="8" t="s">
        <v>156</v>
      </c>
      <c r="G370" s="8" t="s">
        <v>93</v>
      </c>
      <c r="H370" s="8" t="s">
        <v>155</v>
      </c>
      <c r="I370" s="8" t="s">
        <v>1381</v>
      </c>
      <c r="J370" s="8" t="str">
        <f aca="false">H370&amp;":"&amp;I370</f>
        <v>att_lysis_buffer:two_sdc</v>
      </c>
      <c r="L370" s="8" t="s">
        <v>1383</v>
      </c>
    </row>
    <row r="371" customFormat="false" ht="12.75" hidden="false" customHeight="false" outlineLevel="0" collapsed="false">
      <c r="C371" s="8" t="s">
        <v>2706</v>
      </c>
      <c r="D371" s="8" t="s">
        <v>1377</v>
      </c>
      <c r="F371" s="8" t="s">
        <v>156</v>
      </c>
      <c r="G371" s="8" t="s">
        <v>93</v>
      </c>
      <c r="H371" s="8" t="s">
        <v>155</v>
      </c>
      <c r="I371" s="8" t="s">
        <v>1376</v>
      </c>
      <c r="J371" s="8" t="str">
        <f aca="false">H371&amp;":"&amp;I371</f>
        <v>att_lysis_buffer:one_sdc</v>
      </c>
      <c r="L371" s="8" t="s">
        <v>1378</v>
      </c>
    </row>
    <row r="373" customFormat="false" ht="12.75" hidden="false" customHeight="false" outlineLevel="0" collapsed="false">
      <c r="C373" s="8" t="s">
        <v>93</v>
      </c>
      <c r="D373" s="8" t="s">
        <v>1388</v>
      </c>
      <c r="F373" s="8" t="s">
        <v>157</v>
      </c>
      <c r="G373" s="8" t="s">
        <v>93</v>
      </c>
      <c r="H373" s="8" t="s">
        <v>91</v>
      </c>
      <c r="I373" s="8" t="s">
        <v>1387</v>
      </c>
      <c r="J373" s="8" t="str">
        <f aca="false">H373&amp;":"&amp;I373</f>
        <v>att_lysis_method:dounce</v>
      </c>
      <c r="L373" s="8" t="s">
        <v>1389</v>
      </c>
    </row>
    <row r="374" customFormat="false" ht="12.75" hidden="false" customHeight="false" outlineLevel="0" collapsed="false">
      <c r="C374" s="8" t="s">
        <v>93</v>
      </c>
      <c r="D374" s="8" t="s">
        <v>1394</v>
      </c>
      <c r="F374" s="8" t="s">
        <v>157</v>
      </c>
      <c r="G374" s="8" t="s">
        <v>93</v>
      </c>
      <c r="H374" s="8" t="s">
        <v>91</v>
      </c>
      <c r="I374" s="8" t="s">
        <v>1393</v>
      </c>
      <c r="J374" s="8" t="str">
        <f aca="false">H374&amp;":"&amp;I374</f>
        <v>att_lysis_method:paracyllus</v>
      </c>
      <c r="L374" s="8" t="s">
        <v>1395</v>
      </c>
    </row>
    <row r="375" customFormat="false" ht="12.75" hidden="false" customHeight="false" outlineLevel="0" collapsed="false">
      <c r="C375" s="8" t="s">
        <v>93</v>
      </c>
      <c r="D375" s="8" t="s">
        <v>1391</v>
      </c>
      <c r="F375" s="8" t="s">
        <v>157</v>
      </c>
      <c r="G375" s="8" t="s">
        <v>93</v>
      </c>
      <c r="H375" s="8" t="s">
        <v>91</v>
      </c>
      <c r="I375" s="8" t="s">
        <v>1390</v>
      </c>
      <c r="J375" s="8" t="str">
        <f aca="false">H375&amp;":"&amp;I375</f>
        <v>att_lysis_method:motar_pestle</v>
      </c>
      <c r="L375" s="8" t="s">
        <v>1392</v>
      </c>
    </row>
    <row r="377" customFormat="false" ht="12.75" hidden="false" customHeight="false" outlineLevel="0" collapsed="false">
      <c r="C377" s="8" t="s">
        <v>2707</v>
      </c>
      <c r="D377" s="8" t="s">
        <v>1024</v>
      </c>
      <c r="F377" s="8" t="s">
        <v>92</v>
      </c>
      <c r="G377" s="8" t="s">
        <v>2708</v>
      </c>
      <c r="H377" s="8" t="s">
        <v>90</v>
      </c>
      <c r="I377" s="8" t="s">
        <v>1023</v>
      </c>
      <c r="J377" s="8" t="str">
        <f aca="false">H377&amp;":"&amp;I377</f>
        <v>att_detergent:sds</v>
      </c>
      <c r="L377" s="8" t="s">
        <v>1025</v>
      </c>
    </row>
    <row r="378" customFormat="false" ht="12.75" hidden="false" customHeight="false" outlineLevel="0" collapsed="false">
      <c r="C378" s="8" t="s">
        <v>2709</v>
      </c>
      <c r="D378" s="8" t="s">
        <v>1030</v>
      </c>
      <c r="F378" s="8" t="s">
        <v>92</v>
      </c>
      <c r="G378" s="8" t="s">
        <v>2708</v>
      </c>
      <c r="H378" s="8" t="s">
        <v>90</v>
      </c>
      <c r="I378" s="8" t="s">
        <v>1029</v>
      </c>
      <c r="J378" s="8" t="str">
        <f aca="false">H378&amp;":"&amp;I378</f>
        <v>att_detergent:tween20</v>
      </c>
      <c r="L378" s="8" t="s">
        <v>1031</v>
      </c>
    </row>
    <row r="379" customFormat="false" ht="12.75" hidden="false" customHeight="false" outlineLevel="0" collapsed="false">
      <c r="C379" s="8" t="s">
        <v>2710</v>
      </c>
      <c r="D379" s="8" t="s">
        <v>2711</v>
      </c>
      <c r="F379" s="8" t="s">
        <v>92</v>
      </c>
      <c r="G379" s="8" t="s">
        <v>2708</v>
      </c>
      <c r="H379" s="8" t="s">
        <v>90</v>
      </c>
      <c r="I379" s="8" t="s">
        <v>1032</v>
      </c>
      <c r="J379" s="8" t="str">
        <f aca="false">H379&amp;":"&amp;I379</f>
        <v>att_detergent:tween80</v>
      </c>
      <c r="L379" s="8" t="s">
        <v>1034</v>
      </c>
    </row>
    <row r="380" customFormat="false" ht="12.75" hidden="false" customHeight="false" outlineLevel="0" collapsed="false">
      <c r="C380" s="8" t="s">
        <v>2712</v>
      </c>
      <c r="D380" s="8" t="s">
        <v>1015</v>
      </c>
      <c r="F380" s="8" t="s">
        <v>92</v>
      </c>
      <c r="G380" s="8" t="s">
        <v>2708</v>
      </c>
      <c r="H380" s="8" t="s">
        <v>90</v>
      </c>
      <c r="I380" s="8" t="s">
        <v>1014</v>
      </c>
      <c r="J380" s="8" t="str">
        <f aca="false">H380&amp;":"&amp;I380</f>
        <v>att_detergent:np40</v>
      </c>
      <c r="L380" s="8" t="s">
        <v>1016</v>
      </c>
    </row>
    <row r="381" customFormat="false" ht="12.75" hidden="false" customHeight="false" outlineLevel="0" collapsed="false">
      <c r="C381" s="8" t="s">
        <v>2713</v>
      </c>
      <c r="D381" s="8" t="s">
        <v>1027</v>
      </c>
      <c r="F381" s="8" t="s">
        <v>92</v>
      </c>
      <c r="G381" s="8" t="s">
        <v>2708</v>
      </c>
      <c r="H381" s="8" t="s">
        <v>90</v>
      </c>
      <c r="I381" s="8" t="s">
        <v>1026</v>
      </c>
      <c r="J381" s="8" t="str">
        <f aca="false">H381&amp;":"&amp;I381</f>
        <v>att_detergent:tritonx100</v>
      </c>
      <c r="L381" s="8" t="s">
        <v>1028</v>
      </c>
    </row>
    <row r="382" customFormat="false" ht="12.75" hidden="false" customHeight="false" outlineLevel="0" collapsed="false">
      <c r="C382" s="8" t="s">
        <v>2714</v>
      </c>
      <c r="D382" s="8" t="s">
        <v>1009</v>
      </c>
      <c r="F382" s="8" t="s">
        <v>92</v>
      </c>
      <c r="G382" s="8" t="s">
        <v>2708</v>
      </c>
      <c r="H382" s="8" t="s">
        <v>90</v>
      </c>
      <c r="I382" s="8" t="s">
        <v>1008</v>
      </c>
      <c r="J382" s="8" t="str">
        <f aca="false">H382&amp;":"&amp;I382</f>
        <v>att_detergent:chaps</v>
      </c>
      <c r="L382" s="8" t="s">
        <v>1010</v>
      </c>
    </row>
    <row r="383" customFormat="false" ht="12.75" hidden="false" customHeight="false" outlineLevel="0" collapsed="false">
      <c r="C383" s="8" t="s">
        <v>2715</v>
      </c>
      <c r="D383" s="8" t="s">
        <v>1012</v>
      </c>
      <c r="F383" s="8" t="s">
        <v>92</v>
      </c>
      <c r="G383" s="8" t="s">
        <v>2708</v>
      </c>
      <c r="H383" s="8" t="s">
        <v>90</v>
      </c>
      <c r="I383" s="8" t="s">
        <v>1011</v>
      </c>
      <c r="J383" s="8" t="str">
        <f aca="false">H383&amp;":"&amp;I383</f>
        <v>att_detergent:dmm</v>
      </c>
      <c r="L383" s="8" t="s">
        <v>1013</v>
      </c>
    </row>
    <row r="384" customFormat="false" ht="12.75" hidden="false" customHeight="false" outlineLevel="0" collapsed="false">
      <c r="C384" s="8" t="s">
        <v>2716</v>
      </c>
      <c r="D384" s="8" t="s">
        <v>1018</v>
      </c>
      <c r="F384" s="8" t="s">
        <v>92</v>
      </c>
      <c r="G384" s="8" t="s">
        <v>2708</v>
      </c>
      <c r="H384" s="8" t="s">
        <v>90</v>
      </c>
      <c r="I384" s="8" t="s">
        <v>1017</v>
      </c>
      <c r="J384" s="8" t="str">
        <f aca="false">H384&amp;":"&amp;I384</f>
        <v>att_detergent:og</v>
      </c>
      <c r="L384" s="8" t="s">
        <v>1019</v>
      </c>
    </row>
    <row r="385" customFormat="false" ht="12.75" hidden="false" customHeight="false" outlineLevel="0" collapsed="false">
      <c r="C385" s="8" t="s">
        <v>2717</v>
      </c>
      <c r="D385" s="8" t="s">
        <v>1021</v>
      </c>
      <c r="F385" s="8" t="s">
        <v>92</v>
      </c>
      <c r="G385" s="8" t="s">
        <v>2708</v>
      </c>
      <c r="H385" s="8" t="s">
        <v>90</v>
      </c>
      <c r="I385" s="8" t="s">
        <v>1020</v>
      </c>
      <c r="J385" s="8" t="str">
        <f aca="false">H385&amp;":"&amp;I385</f>
        <v>att_detergent:otg</v>
      </c>
      <c r="L385" s="8" t="s">
        <v>1022</v>
      </c>
    </row>
    <row r="387" customFormat="false" ht="12.75" hidden="false" customHeight="false" outlineLevel="0" collapsed="false">
      <c r="C387" s="8" t="s">
        <v>2718</v>
      </c>
      <c r="D387" s="8" t="s">
        <v>2360</v>
      </c>
      <c r="F387" s="8" t="s">
        <v>2719</v>
      </c>
      <c r="G387" s="8" t="s">
        <v>2720</v>
      </c>
      <c r="H387" s="8" t="s">
        <v>218</v>
      </c>
      <c r="I387" s="8" t="s">
        <v>2359</v>
      </c>
      <c r="J387" s="8" t="str">
        <f aca="false">H387&amp;":"&amp;I387</f>
        <v>att_reduction:tcep</v>
      </c>
      <c r="L387" s="8" t="s">
        <v>2361</v>
      </c>
    </row>
    <row r="388" customFormat="false" ht="12.75" hidden="false" customHeight="false" outlineLevel="0" collapsed="false">
      <c r="C388" s="8" t="s">
        <v>2721</v>
      </c>
      <c r="D388" s="8" t="s">
        <v>2356</v>
      </c>
      <c r="F388" s="8" t="s">
        <v>2719</v>
      </c>
      <c r="G388" s="8" t="s">
        <v>2720</v>
      </c>
      <c r="H388" s="8" t="s">
        <v>218</v>
      </c>
      <c r="I388" s="8" t="s">
        <v>2355</v>
      </c>
      <c r="J388" s="8" t="str">
        <f aca="false">H388&amp;":"&amp;I388</f>
        <v>att_reduction:dtt</v>
      </c>
      <c r="L388" s="8" t="s">
        <v>2357</v>
      </c>
    </row>
    <row r="389" customFormat="false" ht="12.75" hidden="false" customHeight="false" outlineLevel="0" collapsed="false">
      <c r="C389" s="8" t="s">
        <v>2721</v>
      </c>
      <c r="D389" s="8" t="s">
        <v>1882</v>
      </c>
      <c r="F389" s="8" t="s">
        <v>2719</v>
      </c>
      <c r="G389" s="8" t="s">
        <v>2720</v>
      </c>
      <c r="H389" s="8" t="s">
        <v>218</v>
      </c>
      <c r="I389" s="8" t="s">
        <v>348</v>
      </c>
      <c r="J389" s="8" t="str">
        <f aca="false">H389&amp;":"&amp;I389</f>
        <v>att_reduction:none</v>
      </c>
      <c r="L389" s="8" t="s">
        <v>2358</v>
      </c>
    </row>
    <row r="391" customFormat="false" ht="12.75" hidden="false" customHeight="false" outlineLevel="0" collapsed="false">
      <c r="C391" s="8" t="s">
        <v>2722</v>
      </c>
      <c r="D391" s="8" t="s">
        <v>343</v>
      </c>
      <c r="F391" s="8" t="s">
        <v>2723</v>
      </c>
      <c r="G391" s="8" t="s">
        <v>2724</v>
      </c>
      <c r="H391" s="8" t="s">
        <v>218</v>
      </c>
      <c r="I391" s="8" t="s">
        <v>342</v>
      </c>
      <c r="J391" s="8" t="str">
        <f aca="false">H391&amp;":"&amp;I391</f>
        <v>att_reduction:caa</v>
      </c>
      <c r="L391" s="8" t="s">
        <v>344</v>
      </c>
    </row>
    <row r="392" customFormat="false" ht="12.75" hidden="false" customHeight="false" outlineLevel="0" collapsed="false">
      <c r="C392" s="8" t="s">
        <v>2725</v>
      </c>
      <c r="D392" s="8" t="s">
        <v>346</v>
      </c>
      <c r="F392" s="8" t="s">
        <v>2723</v>
      </c>
      <c r="G392" s="8" t="s">
        <v>2724</v>
      </c>
      <c r="H392" s="8" t="s">
        <v>218</v>
      </c>
      <c r="I392" s="8" t="s">
        <v>345</v>
      </c>
      <c r="J392" s="8" t="str">
        <f aca="false">H392&amp;":"&amp;I392</f>
        <v>att_reduction:iaa</v>
      </c>
      <c r="L392" s="8" t="s">
        <v>347</v>
      </c>
    </row>
    <row r="393" customFormat="false" ht="12.75" hidden="false" customHeight="false" outlineLevel="0" collapsed="false">
      <c r="C393" s="8" t="s">
        <v>2724</v>
      </c>
      <c r="D393" s="8" t="s">
        <v>1882</v>
      </c>
      <c r="F393" s="8" t="s">
        <v>2723</v>
      </c>
      <c r="G393" s="8" t="s">
        <v>2720</v>
      </c>
      <c r="H393" s="8" t="s">
        <v>218</v>
      </c>
      <c r="I393" s="8" t="s">
        <v>348</v>
      </c>
      <c r="J393" s="8" t="str">
        <f aca="false">H393&amp;":"&amp;I393</f>
        <v>att_reduction:none</v>
      </c>
      <c r="L393" s="8" t="s">
        <v>350</v>
      </c>
    </row>
    <row r="395" customFormat="false" ht="12.75" hidden="false" customHeight="false" outlineLevel="0" collapsed="false">
      <c r="A395" s="22" t="b">
        <f aca="false">TRUE()</f>
        <v>1</v>
      </c>
      <c r="C395" s="8" t="s">
        <v>2726</v>
      </c>
      <c r="D395" s="8" t="s">
        <v>2295</v>
      </c>
      <c r="F395" s="8" t="s">
        <v>208</v>
      </c>
      <c r="G395" s="8" t="s">
        <v>2727</v>
      </c>
      <c r="H395" s="8" t="s">
        <v>207</v>
      </c>
      <c r="I395" s="8" t="s">
        <v>2294</v>
      </c>
      <c r="J395" s="8" t="str">
        <f aca="false">H395&amp;":"&amp;I395</f>
        <v>att_protease:trypsin</v>
      </c>
      <c r="L395" s="8" t="s">
        <v>2296</v>
      </c>
    </row>
    <row r="396" customFormat="false" ht="12.75" hidden="false" customHeight="false" outlineLevel="0" collapsed="false">
      <c r="A396" s="22" t="b">
        <f aca="false">TRUE()</f>
        <v>1</v>
      </c>
      <c r="C396" s="8" t="s">
        <v>2726</v>
      </c>
      <c r="D396" s="8" t="s">
        <v>2289</v>
      </c>
      <c r="F396" s="8" t="s">
        <v>208</v>
      </c>
      <c r="G396" s="8" t="s">
        <v>2727</v>
      </c>
      <c r="H396" s="8" t="s">
        <v>207</v>
      </c>
      <c r="I396" s="8" t="s">
        <v>2288</v>
      </c>
      <c r="J396" s="8" t="str">
        <f aca="false">H396&amp;":"&amp;I396</f>
        <v>att_protease:lysc</v>
      </c>
      <c r="L396" s="8" t="s">
        <v>2290</v>
      </c>
    </row>
    <row r="397" customFormat="false" ht="12.75" hidden="false" customHeight="false" outlineLevel="0" collapsed="false">
      <c r="A397" s="22" t="b">
        <f aca="false">TRUE()</f>
        <v>1</v>
      </c>
      <c r="C397" s="8" t="s">
        <v>2726</v>
      </c>
      <c r="D397" s="8" t="s">
        <v>2274</v>
      </c>
      <c r="F397" s="8" t="s">
        <v>208</v>
      </c>
      <c r="G397" s="8" t="s">
        <v>2727</v>
      </c>
      <c r="H397" s="8" t="s">
        <v>207</v>
      </c>
      <c r="I397" s="8" t="s">
        <v>2273</v>
      </c>
      <c r="J397" s="8" t="str">
        <f aca="false">H397&amp;":"&amp;I397</f>
        <v>att_protease:argc</v>
      </c>
      <c r="L397" s="8" t="s">
        <v>2275</v>
      </c>
    </row>
    <row r="398" customFormat="false" ht="12.75" hidden="false" customHeight="false" outlineLevel="0" collapsed="false">
      <c r="A398" s="22" t="b">
        <f aca="false">TRUE()</f>
        <v>1</v>
      </c>
      <c r="C398" s="8" t="s">
        <v>2726</v>
      </c>
      <c r="D398" s="8" t="s">
        <v>2286</v>
      </c>
      <c r="F398" s="8" t="s">
        <v>208</v>
      </c>
      <c r="G398" s="8" t="s">
        <v>2727</v>
      </c>
      <c r="H398" s="8" t="s">
        <v>207</v>
      </c>
      <c r="I398" s="8" t="s">
        <v>2285</v>
      </c>
      <c r="J398" s="8" t="str">
        <f aca="false">H398&amp;":"&amp;I398</f>
        <v>att_protease:gluc</v>
      </c>
      <c r="L398" s="8" t="s">
        <v>2287</v>
      </c>
    </row>
    <row r="399" customFormat="false" ht="12.75" hidden="false" customHeight="false" outlineLevel="0" collapsed="false">
      <c r="A399" s="22" t="b">
        <f aca="false">TRUE()</f>
        <v>1</v>
      </c>
      <c r="C399" s="8" t="s">
        <v>2726</v>
      </c>
      <c r="D399" s="8" t="s">
        <v>2280</v>
      </c>
      <c r="F399" s="8" t="s">
        <v>208</v>
      </c>
      <c r="G399" s="8" t="s">
        <v>2727</v>
      </c>
      <c r="H399" s="8" t="s">
        <v>207</v>
      </c>
      <c r="I399" s="8" t="s">
        <v>2279</v>
      </c>
      <c r="J399" s="8" t="str">
        <f aca="false">H399&amp;":"&amp;I399</f>
        <v>att_protease:chymotrypsin</v>
      </c>
      <c r="L399" s="8" t="s">
        <v>2281</v>
      </c>
    </row>
    <row r="400" customFormat="false" ht="12.75" hidden="false" customHeight="false" outlineLevel="0" collapsed="false">
      <c r="A400" s="22" t="b">
        <f aca="false">TRUE()</f>
        <v>1</v>
      </c>
      <c r="C400" s="8" t="s">
        <v>2726</v>
      </c>
      <c r="D400" s="8" t="s">
        <v>2277</v>
      </c>
      <c r="F400" s="8" t="s">
        <v>208</v>
      </c>
      <c r="G400" s="8" t="s">
        <v>2727</v>
      </c>
      <c r="H400" s="8" t="s">
        <v>207</v>
      </c>
      <c r="I400" s="8" t="s">
        <v>2276</v>
      </c>
      <c r="J400" s="8" t="str">
        <f aca="false">H400&amp;":"&amp;I400</f>
        <v>att_protease:aspn</v>
      </c>
      <c r="L400" s="8" t="s">
        <v>2278</v>
      </c>
    </row>
    <row r="401" customFormat="false" ht="12.75" hidden="false" customHeight="false" outlineLevel="0" collapsed="false">
      <c r="A401" s="22" t="b">
        <f aca="false">TRUE()</f>
        <v>1</v>
      </c>
      <c r="C401" s="8" t="s">
        <v>2726</v>
      </c>
      <c r="D401" s="8" t="s">
        <v>2283</v>
      </c>
      <c r="F401" s="8" t="s">
        <v>208</v>
      </c>
      <c r="G401" s="8" t="s">
        <v>2727</v>
      </c>
      <c r="H401" s="8" t="s">
        <v>207</v>
      </c>
      <c r="I401" s="8" t="s">
        <v>2282</v>
      </c>
      <c r="J401" s="8" t="str">
        <f aca="false">H401&amp;":"&amp;I401</f>
        <v>att_protease:elastase</v>
      </c>
      <c r="L401" s="8" t="s">
        <v>2284</v>
      </c>
    </row>
    <row r="402" customFormat="false" ht="12.75" hidden="false" customHeight="false" outlineLevel="0" collapsed="false">
      <c r="A402" s="22" t="b">
        <f aca="false">TRUE()</f>
        <v>1</v>
      </c>
      <c r="C402" s="8" t="s">
        <v>2726</v>
      </c>
      <c r="D402" s="8" t="s">
        <v>2292</v>
      </c>
      <c r="F402" s="8" t="s">
        <v>208</v>
      </c>
      <c r="G402" s="8" t="s">
        <v>2727</v>
      </c>
      <c r="H402" s="8" t="s">
        <v>207</v>
      </c>
      <c r="I402" s="8" t="s">
        <v>2291</v>
      </c>
      <c r="J402" s="8" t="str">
        <f aca="false">H402&amp;":"&amp;I402</f>
        <v>att_protease:raspn</v>
      </c>
      <c r="L402" s="8" t="s">
        <v>2293</v>
      </c>
    </row>
    <row r="404" customFormat="false" ht="12.75" hidden="false" customHeight="false" outlineLevel="0" collapsed="false">
      <c r="C404" s="8" t="s">
        <v>2728</v>
      </c>
      <c r="D404" s="8" t="s">
        <v>1369</v>
      </c>
      <c r="F404" s="8" t="s">
        <v>154</v>
      </c>
      <c r="G404" s="8" t="s">
        <v>2729</v>
      </c>
      <c r="H404" s="8" t="s">
        <v>153</v>
      </c>
      <c r="I404" s="8" t="s">
        <v>1368</v>
      </c>
      <c r="J404" s="8" t="str">
        <f aca="false">H404&amp;":"&amp;I404</f>
        <v>att_liquid_handler:mosquitoLV</v>
      </c>
      <c r="L404" s="8" t="s">
        <v>1370</v>
      </c>
    </row>
    <row r="405" customFormat="false" ht="12.75" hidden="false" customHeight="false" outlineLevel="0" collapsed="false">
      <c r="C405" s="8" t="s">
        <v>2728</v>
      </c>
      <c r="D405" s="8" t="s">
        <v>1357</v>
      </c>
      <c r="F405" s="8" t="s">
        <v>154</v>
      </c>
      <c r="G405" s="8" t="s">
        <v>2729</v>
      </c>
      <c r="H405" s="8" t="s">
        <v>153</v>
      </c>
      <c r="I405" s="8" t="s">
        <v>1356</v>
      </c>
      <c r="J405" s="8" t="str">
        <f aca="false">H405&amp;":"&amp;I405</f>
        <v>att_liquid_handler:felix</v>
      </c>
      <c r="L405" s="8" t="s">
        <v>1358</v>
      </c>
    </row>
    <row r="406" customFormat="false" ht="12.75" hidden="false" customHeight="false" outlineLevel="0" collapsed="false">
      <c r="C406" s="8" t="s">
        <v>2728</v>
      </c>
      <c r="D406" s="8" t="s">
        <v>1366</v>
      </c>
      <c r="F406" s="8" t="s">
        <v>154</v>
      </c>
      <c r="G406" s="8" t="s">
        <v>2729</v>
      </c>
      <c r="H406" s="8" t="s">
        <v>153</v>
      </c>
      <c r="I406" s="8" t="s">
        <v>1365</v>
      </c>
      <c r="J406" s="8" t="str">
        <f aca="false">H406&amp;":"&amp;I406</f>
        <v>att_liquid_handler:mosquitoHV</v>
      </c>
      <c r="L406" s="8" t="s">
        <v>1367</v>
      </c>
    </row>
    <row r="407" customFormat="false" ht="12.75" hidden="false" customHeight="false" outlineLevel="0" collapsed="false">
      <c r="C407" s="8" t="s">
        <v>2728</v>
      </c>
      <c r="D407" s="8" t="s">
        <v>1372</v>
      </c>
      <c r="F407" s="8" t="s">
        <v>154</v>
      </c>
      <c r="G407" s="8" t="s">
        <v>2729</v>
      </c>
      <c r="H407" s="8" t="s">
        <v>153</v>
      </c>
      <c r="I407" s="8" t="s">
        <v>1371</v>
      </c>
      <c r="J407" s="8" t="str">
        <f aca="false">H407&amp;":"&amp;I407</f>
        <v>att_liquid_handler:opentrons</v>
      </c>
      <c r="L407" s="8" t="s">
        <v>1372</v>
      </c>
    </row>
    <row r="408" customFormat="false" ht="12.75" hidden="false" customHeight="false" outlineLevel="0" collapsed="false">
      <c r="C408" s="8" t="s">
        <v>2728</v>
      </c>
      <c r="D408" s="8" t="s">
        <v>1360</v>
      </c>
      <c r="F408" s="8" t="s">
        <v>154</v>
      </c>
      <c r="G408" s="8" t="s">
        <v>2729</v>
      </c>
      <c r="H408" s="8" t="s">
        <v>153</v>
      </c>
      <c r="I408" s="8" t="s">
        <v>1359</v>
      </c>
      <c r="J408" s="8" t="str">
        <f aca="false">H408&amp;":"&amp;I408</f>
        <v>att_liquid_handler:kingfisher</v>
      </c>
      <c r="L408" s="8" t="s">
        <v>1361</v>
      </c>
    </row>
    <row r="409" customFormat="false" ht="12.75" hidden="false" customHeight="false" outlineLevel="0" collapsed="false">
      <c r="C409" s="8" t="s">
        <v>2728</v>
      </c>
      <c r="D409" s="8" t="s">
        <v>1354</v>
      </c>
      <c r="F409" s="8" t="s">
        <v>154</v>
      </c>
      <c r="G409" s="8" t="s">
        <v>2729</v>
      </c>
      <c r="H409" s="8" t="s">
        <v>153</v>
      </c>
      <c r="I409" s="8" t="s">
        <v>1353</v>
      </c>
      <c r="J409" s="8" t="str">
        <f aca="false">H409&amp;":"&amp;I409</f>
        <v>att_liquid_handler:bravo</v>
      </c>
      <c r="L409" s="8" t="s">
        <v>1355</v>
      </c>
    </row>
    <row r="410" customFormat="false" ht="12.75" hidden="false" customHeight="false" outlineLevel="0" collapsed="false">
      <c r="C410" s="8" t="s">
        <v>2728</v>
      </c>
      <c r="D410" s="8" t="s">
        <v>1374</v>
      </c>
      <c r="F410" s="8" t="s">
        <v>154</v>
      </c>
      <c r="G410" s="8" t="s">
        <v>2729</v>
      </c>
      <c r="H410" s="8" t="s">
        <v>153</v>
      </c>
      <c r="I410" s="8" t="s">
        <v>1373</v>
      </c>
      <c r="J410" s="8" t="str">
        <f aca="false">H410&amp;":"&amp;I410</f>
        <v>att_liquid_handler:tecan</v>
      </c>
      <c r="L410" s="8" t="s">
        <v>1375</v>
      </c>
    </row>
    <row r="412" customFormat="false" ht="12.75" hidden="false" customHeight="false" outlineLevel="0" collapsed="false">
      <c r="C412" s="8" t="s">
        <v>2730</v>
      </c>
      <c r="D412" s="8" t="s">
        <v>1071</v>
      </c>
      <c r="F412" s="8" t="s">
        <v>106</v>
      </c>
      <c r="G412" s="8" t="s">
        <v>2731</v>
      </c>
      <c r="H412" s="8" t="s">
        <v>105</v>
      </c>
      <c r="I412" s="8" t="s">
        <v>1070</v>
      </c>
      <c r="J412" s="8" t="str">
        <f aca="false">H412&amp;":"&amp;I412</f>
        <v>att_digestion_vessel:96well_plate</v>
      </c>
      <c r="L412" s="8" t="s">
        <v>1072</v>
      </c>
    </row>
    <row r="413" customFormat="false" ht="12.75" hidden="false" customHeight="false" outlineLevel="0" collapsed="false">
      <c r="C413" s="8" t="s">
        <v>2730</v>
      </c>
      <c r="D413" s="8" t="s">
        <v>1069</v>
      </c>
      <c r="F413" s="8" t="s">
        <v>106</v>
      </c>
      <c r="G413" s="8" t="s">
        <v>2731</v>
      </c>
      <c r="H413" s="8" t="s">
        <v>105</v>
      </c>
      <c r="I413" s="8" t="s">
        <v>1068</v>
      </c>
      <c r="J413" s="8" t="str">
        <f aca="false">H413&amp;":"&amp;I413</f>
        <v>att_digestion_vessel:384well_plate</v>
      </c>
      <c r="L413" s="8" t="s">
        <v>1069</v>
      </c>
    </row>
    <row r="414" customFormat="false" ht="12.75" hidden="false" customHeight="false" outlineLevel="0" collapsed="false">
      <c r="C414" s="8" t="s">
        <v>2732</v>
      </c>
      <c r="D414" s="8" t="s">
        <v>1079</v>
      </c>
      <c r="F414" s="8" t="s">
        <v>106</v>
      </c>
      <c r="G414" s="8" t="s">
        <v>2731</v>
      </c>
      <c r="H414" s="8" t="s">
        <v>105</v>
      </c>
      <c r="I414" s="8" t="s">
        <v>1078</v>
      </c>
      <c r="J414" s="8" t="str">
        <f aca="false">H414&amp;":"&amp;I414</f>
        <v>att_digestion_vessel:two_ml_tube</v>
      </c>
      <c r="L414" s="8" t="s">
        <v>1080</v>
      </c>
    </row>
    <row r="415" customFormat="false" ht="12.75" hidden="false" customHeight="false" outlineLevel="0" collapsed="false">
      <c r="C415" s="8" t="s">
        <v>2732</v>
      </c>
      <c r="D415" s="8" t="s">
        <v>1074</v>
      </c>
      <c r="F415" s="8" t="s">
        <v>106</v>
      </c>
      <c r="G415" s="8" t="s">
        <v>2731</v>
      </c>
      <c r="H415" s="8" t="s">
        <v>105</v>
      </c>
      <c r="I415" s="8" t="s">
        <v>1073</v>
      </c>
      <c r="J415" s="8" t="str">
        <f aca="false">H415&amp;":"&amp;I415</f>
        <v>att_digestion_vessel:onefive_ml_tube</v>
      </c>
      <c r="L415" s="8" t="s">
        <v>1075</v>
      </c>
    </row>
    <row r="417" customFormat="false" ht="12.75" hidden="false" customHeight="false" outlineLevel="0" collapsed="false">
      <c r="C417" s="8" t="s">
        <v>2733</v>
      </c>
      <c r="D417" s="8" t="s">
        <v>2734</v>
      </c>
      <c r="F417" s="8" t="s">
        <v>18</v>
      </c>
      <c r="G417" s="8" t="s">
        <v>2735</v>
      </c>
      <c r="H417" s="8" t="s">
        <v>16</v>
      </c>
      <c r="I417" s="8" t="s">
        <v>275</v>
      </c>
      <c r="J417" s="8" t="str">
        <f aca="false">H417&amp;":"&amp;I417</f>
        <v>att_aa_starvation:arginine</v>
      </c>
      <c r="L417" s="8" t="s">
        <v>278</v>
      </c>
    </row>
    <row r="418" customFormat="false" ht="12.75" hidden="false" customHeight="false" outlineLevel="0" collapsed="false">
      <c r="C418" s="8" t="s">
        <v>2733</v>
      </c>
      <c r="D418" s="8" t="s">
        <v>2736</v>
      </c>
      <c r="F418" s="8" t="s">
        <v>18</v>
      </c>
      <c r="G418" s="8" t="s">
        <v>2735</v>
      </c>
      <c r="H418" s="8" t="s">
        <v>16</v>
      </c>
      <c r="I418" s="8" t="s">
        <v>279</v>
      </c>
      <c r="J418" s="8" t="str">
        <f aca="false">H418&amp;":"&amp;I418</f>
        <v>att_aa_starvation:asparagine</v>
      </c>
      <c r="L418" s="8" t="s">
        <v>281</v>
      </c>
    </row>
    <row r="419" customFormat="false" ht="12.75" hidden="false" customHeight="false" outlineLevel="0" collapsed="false">
      <c r="C419" s="8" t="s">
        <v>2733</v>
      </c>
      <c r="D419" s="8" t="s">
        <v>2737</v>
      </c>
      <c r="F419" s="8" t="s">
        <v>18</v>
      </c>
      <c r="G419" s="8" t="s">
        <v>2735</v>
      </c>
      <c r="H419" s="8" t="s">
        <v>16</v>
      </c>
      <c r="I419" s="8" t="s">
        <v>282</v>
      </c>
      <c r="J419" s="8" t="str">
        <f aca="false">H419&amp;":"&amp;I419</f>
        <v>att_aa_starvation:asparticacid</v>
      </c>
      <c r="L419" s="8" t="s">
        <v>284</v>
      </c>
    </row>
    <row r="420" customFormat="false" ht="12.75" hidden="false" customHeight="false" outlineLevel="0" collapsed="false">
      <c r="C420" s="8" t="s">
        <v>2733</v>
      </c>
      <c r="D420" s="8" t="s">
        <v>2738</v>
      </c>
      <c r="F420" s="8" t="s">
        <v>18</v>
      </c>
      <c r="G420" s="8" t="s">
        <v>2735</v>
      </c>
      <c r="H420" s="8" t="s">
        <v>16</v>
      </c>
      <c r="I420" s="8" t="s">
        <v>285</v>
      </c>
      <c r="J420" s="8" t="str">
        <f aca="false">H420&amp;":"&amp;I420</f>
        <v>att_aa_starvation:cysteine</v>
      </c>
      <c r="L420" s="8" t="s">
        <v>287</v>
      </c>
    </row>
    <row r="421" customFormat="false" ht="12.75" hidden="false" customHeight="false" outlineLevel="0" collapsed="false">
      <c r="C421" s="8" t="s">
        <v>2733</v>
      </c>
      <c r="D421" s="8" t="s">
        <v>2739</v>
      </c>
      <c r="F421" s="8" t="s">
        <v>18</v>
      </c>
      <c r="G421" s="8" t="s">
        <v>2735</v>
      </c>
      <c r="H421" s="8" t="s">
        <v>16</v>
      </c>
      <c r="I421" s="8" t="s">
        <v>288</v>
      </c>
      <c r="J421" s="8" t="str">
        <f aca="false">H421&amp;":"&amp;I421</f>
        <v>att_aa_starvation:glutamicacid</v>
      </c>
      <c r="L421" s="8" t="s">
        <v>290</v>
      </c>
    </row>
    <row r="422" customFormat="false" ht="12.75" hidden="false" customHeight="false" outlineLevel="0" collapsed="false">
      <c r="C422" s="8" t="s">
        <v>2733</v>
      </c>
      <c r="D422" s="8" t="s">
        <v>2740</v>
      </c>
      <c r="F422" s="8" t="s">
        <v>18</v>
      </c>
      <c r="G422" s="8" t="s">
        <v>2735</v>
      </c>
      <c r="H422" s="8" t="s">
        <v>16</v>
      </c>
      <c r="I422" s="8" t="s">
        <v>291</v>
      </c>
      <c r="J422" s="8" t="str">
        <f aca="false">H422&amp;":"&amp;I422</f>
        <v>att_aa_starvation:glutamine</v>
      </c>
      <c r="L422" s="8" t="s">
        <v>293</v>
      </c>
    </row>
    <row r="423" customFormat="false" ht="12.75" hidden="false" customHeight="false" outlineLevel="0" collapsed="false">
      <c r="C423" s="8" t="s">
        <v>2733</v>
      </c>
      <c r="D423" s="8" t="s">
        <v>2741</v>
      </c>
      <c r="F423" s="8" t="s">
        <v>18</v>
      </c>
      <c r="G423" s="8" t="s">
        <v>2735</v>
      </c>
      <c r="H423" s="8" t="s">
        <v>16</v>
      </c>
      <c r="I423" s="8" t="s">
        <v>294</v>
      </c>
      <c r="J423" s="8" t="str">
        <f aca="false">H423&amp;":"&amp;I423</f>
        <v>att_aa_starvation:glycine</v>
      </c>
      <c r="L423" s="8" t="s">
        <v>296</v>
      </c>
    </row>
    <row r="424" customFormat="false" ht="12.75" hidden="false" customHeight="false" outlineLevel="0" collapsed="false">
      <c r="C424" s="8" t="s">
        <v>2733</v>
      </c>
      <c r="D424" s="8" t="s">
        <v>2742</v>
      </c>
      <c r="F424" s="8" t="s">
        <v>18</v>
      </c>
      <c r="G424" s="8" t="s">
        <v>2735</v>
      </c>
      <c r="H424" s="8" t="s">
        <v>16</v>
      </c>
      <c r="I424" s="8" t="s">
        <v>297</v>
      </c>
      <c r="J424" s="8" t="str">
        <f aca="false">H424&amp;":"&amp;I424</f>
        <v>att_aa_starvation:histidine</v>
      </c>
      <c r="L424" s="8" t="s">
        <v>299</v>
      </c>
    </row>
    <row r="425" customFormat="false" ht="12.75" hidden="false" customHeight="false" outlineLevel="0" collapsed="false">
      <c r="C425" s="8" t="s">
        <v>2733</v>
      </c>
      <c r="D425" s="8" t="s">
        <v>2743</v>
      </c>
      <c r="F425" s="8" t="s">
        <v>18</v>
      </c>
      <c r="G425" s="8" t="s">
        <v>2735</v>
      </c>
      <c r="H425" s="8" t="s">
        <v>16</v>
      </c>
      <c r="I425" s="8" t="s">
        <v>300</v>
      </c>
      <c r="J425" s="8" t="str">
        <f aca="false">H425&amp;":"&amp;I425</f>
        <v>att_aa_starvation:isoleucine</v>
      </c>
      <c r="L425" s="8" t="s">
        <v>302</v>
      </c>
    </row>
    <row r="426" customFormat="false" ht="12.75" hidden="false" customHeight="false" outlineLevel="0" collapsed="false">
      <c r="C426" s="8" t="s">
        <v>2733</v>
      </c>
      <c r="D426" s="8" t="s">
        <v>2744</v>
      </c>
      <c r="F426" s="8" t="s">
        <v>18</v>
      </c>
      <c r="G426" s="8" t="s">
        <v>2735</v>
      </c>
      <c r="H426" s="8" t="s">
        <v>16</v>
      </c>
      <c r="I426" s="8" t="s">
        <v>303</v>
      </c>
      <c r="J426" s="8" t="str">
        <f aca="false">H426&amp;":"&amp;I426</f>
        <v>att_aa_starvation:leucine</v>
      </c>
      <c r="L426" s="8" t="s">
        <v>305</v>
      </c>
    </row>
    <row r="427" customFormat="false" ht="12.75" hidden="false" customHeight="false" outlineLevel="0" collapsed="false">
      <c r="C427" s="8" t="s">
        <v>2733</v>
      </c>
      <c r="D427" s="8" t="s">
        <v>2745</v>
      </c>
      <c r="F427" s="8" t="s">
        <v>18</v>
      </c>
      <c r="G427" s="8" t="s">
        <v>2735</v>
      </c>
      <c r="H427" s="8" t="s">
        <v>16</v>
      </c>
      <c r="I427" s="8" t="s">
        <v>306</v>
      </c>
      <c r="J427" s="8" t="str">
        <f aca="false">H427&amp;":"&amp;I427</f>
        <v>att_aa_starvation:lysine</v>
      </c>
      <c r="L427" s="8" t="s">
        <v>308</v>
      </c>
    </row>
    <row r="428" customFormat="false" ht="12.75" hidden="false" customHeight="false" outlineLevel="0" collapsed="false">
      <c r="C428" s="8" t="s">
        <v>2733</v>
      </c>
      <c r="D428" s="8" t="s">
        <v>2746</v>
      </c>
      <c r="F428" s="8" t="s">
        <v>18</v>
      </c>
      <c r="G428" s="8" t="s">
        <v>2735</v>
      </c>
      <c r="H428" s="8" t="s">
        <v>16</v>
      </c>
      <c r="I428" s="8" t="s">
        <v>309</v>
      </c>
      <c r="J428" s="8" t="str">
        <f aca="false">H428&amp;":"&amp;I428</f>
        <v>att_aa_starvation:methionine</v>
      </c>
      <c r="L428" s="8" t="s">
        <v>311</v>
      </c>
    </row>
    <row r="429" customFormat="false" ht="12.75" hidden="false" customHeight="false" outlineLevel="0" collapsed="false">
      <c r="C429" s="8" t="s">
        <v>2733</v>
      </c>
      <c r="D429" s="8" t="s">
        <v>2747</v>
      </c>
      <c r="F429" s="8" t="s">
        <v>18</v>
      </c>
      <c r="G429" s="8" t="s">
        <v>2735</v>
      </c>
      <c r="H429" s="8" t="s">
        <v>16</v>
      </c>
      <c r="I429" s="8" t="s">
        <v>312</v>
      </c>
      <c r="J429" s="8" t="str">
        <f aca="false">H429&amp;":"&amp;I429</f>
        <v>att_aa_starvation:phenylalanine</v>
      </c>
      <c r="L429" s="8" t="s">
        <v>314</v>
      </c>
    </row>
    <row r="430" customFormat="false" ht="12.75" hidden="false" customHeight="false" outlineLevel="0" collapsed="false">
      <c r="C430" s="8" t="s">
        <v>2733</v>
      </c>
      <c r="D430" s="8" t="s">
        <v>2748</v>
      </c>
      <c r="F430" s="8" t="s">
        <v>18</v>
      </c>
      <c r="G430" s="8" t="s">
        <v>2735</v>
      </c>
      <c r="H430" s="8" t="s">
        <v>16</v>
      </c>
      <c r="I430" s="8" t="s">
        <v>315</v>
      </c>
      <c r="J430" s="8" t="str">
        <f aca="false">H430&amp;":"&amp;I430</f>
        <v>att_aa_starvation:proline</v>
      </c>
      <c r="L430" s="8" t="s">
        <v>317</v>
      </c>
    </row>
    <row r="431" customFormat="false" ht="12.75" hidden="false" customHeight="false" outlineLevel="0" collapsed="false">
      <c r="C431" s="8" t="s">
        <v>2733</v>
      </c>
      <c r="D431" s="8" t="s">
        <v>2749</v>
      </c>
      <c r="F431" s="8" t="s">
        <v>18</v>
      </c>
      <c r="G431" s="8" t="s">
        <v>2735</v>
      </c>
      <c r="H431" s="8" t="s">
        <v>16</v>
      </c>
      <c r="I431" s="8" t="s">
        <v>318</v>
      </c>
      <c r="J431" s="8" t="str">
        <f aca="false">H431&amp;":"&amp;I431</f>
        <v>att_aa_starvation:serine</v>
      </c>
      <c r="L431" s="8" t="s">
        <v>320</v>
      </c>
    </row>
    <row r="432" customFormat="false" ht="12.75" hidden="false" customHeight="false" outlineLevel="0" collapsed="false">
      <c r="C432" s="8" t="s">
        <v>2733</v>
      </c>
      <c r="D432" s="8" t="s">
        <v>2750</v>
      </c>
      <c r="F432" s="8" t="s">
        <v>18</v>
      </c>
      <c r="G432" s="8" t="s">
        <v>2735</v>
      </c>
      <c r="H432" s="8" t="s">
        <v>16</v>
      </c>
      <c r="I432" s="8" t="s">
        <v>321</v>
      </c>
      <c r="J432" s="8" t="str">
        <f aca="false">H432&amp;":"&amp;I432</f>
        <v>att_aa_starvation:threonine</v>
      </c>
      <c r="L432" s="8" t="s">
        <v>323</v>
      </c>
    </row>
    <row r="433" customFormat="false" ht="12.75" hidden="false" customHeight="false" outlineLevel="0" collapsed="false">
      <c r="C433" s="8" t="s">
        <v>2733</v>
      </c>
      <c r="D433" s="8" t="s">
        <v>2751</v>
      </c>
      <c r="F433" s="8" t="s">
        <v>18</v>
      </c>
      <c r="G433" s="8" t="s">
        <v>2735</v>
      </c>
      <c r="H433" s="8" t="s">
        <v>16</v>
      </c>
      <c r="I433" s="8" t="s">
        <v>324</v>
      </c>
      <c r="J433" s="8" t="str">
        <f aca="false">H433&amp;":"&amp;I433</f>
        <v>att_aa_starvation:tryptophan</v>
      </c>
      <c r="L433" s="8" t="s">
        <v>326</v>
      </c>
    </row>
    <row r="434" customFormat="false" ht="12.75" hidden="false" customHeight="false" outlineLevel="0" collapsed="false">
      <c r="C434" s="8" t="s">
        <v>2733</v>
      </c>
      <c r="D434" s="8" t="s">
        <v>2752</v>
      </c>
      <c r="F434" s="8" t="s">
        <v>18</v>
      </c>
      <c r="G434" s="8" t="s">
        <v>2735</v>
      </c>
      <c r="H434" s="8" t="s">
        <v>16</v>
      </c>
      <c r="I434" s="8" t="s">
        <v>327</v>
      </c>
      <c r="J434" s="8" t="str">
        <f aca="false">H434&amp;":"&amp;I434</f>
        <v>att_aa_starvation:tyrosine</v>
      </c>
      <c r="L434" s="8" t="s">
        <v>329</v>
      </c>
    </row>
    <row r="435" customFormat="false" ht="12.75" hidden="false" customHeight="false" outlineLevel="0" collapsed="false">
      <c r="C435" s="8" t="s">
        <v>2733</v>
      </c>
      <c r="D435" s="8" t="s">
        <v>2753</v>
      </c>
      <c r="F435" s="8" t="s">
        <v>18</v>
      </c>
      <c r="G435" s="8" t="s">
        <v>2735</v>
      </c>
      <c r="H435" s="8" t="s">
        <v>16</v>
      </c>
      <c r="I435" s="8" t="s">
        <v>330</v>
      </c>
      <c r="J435" s="8" t="str">
        <f aca="false">H435&amp;":"&amp;I435</f>
        <v>att_aa_starvation:valine</v>
      </c>
      <c r="L435" s="8" t="s">
        <v>332</v>
      </c>
    </row>
    <row r="439" customFormat="false" ht="12.75" hidden="false" customHeight="false" outlineLevel="0" collapsed="false">
      <c r="A439" s="17" t="n">
        <f aca="false">FALSE()</f>
        <v>0</v>
      </c>
      <c r="B439" s="17"/>
      <c r="C439" s="8" t="s">
        <v>786</v>
      </c>
      <c r="D439" s="8" t="s">
        <v>787</v>
      </c>
      <c r="E439" s="8" t="s">
        <v>17</v>
      </c>
      <c r="F439" s="8" t="s">
        <v>2565</v>
      </c>
      <c r="G439" s="8" t="s">
        <v>2566</v>
      </c>
      <c r="H439" s="8" t="str">
        <f aca="false">"att_"&amp;G439</f>
        <v>att_compound</v>
      </c>
      <c r="I439" s="8" t="s">
        <v>786</v>
      </c>
      <c r="J439" s="8" t="str">
        <f aca="false">H439&amp;":"&amp;I439</f>
        <v>att_compound:torin</v>
      </c>
      <c r="K439" s="16" t="s">
        <v>21</v>
      </c>
      <c r="L439" s="8" t="s">
        <v>788</v>
      </c>
      <c r="M439" s="8" t="s">
        <v>17</v>
      </c>
      <c r="N439" s="8" t="str">
        <f aca="false">"INSERT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8" t="str">
        <f aca="false">"INSERT INTO attribute_values (attribute_id, tag, name, details) VALUES ((SELECT id FROM attributes WHERE tag = '"&amp;H439&amp;"' LIMIT 1),  '"&amp;J439&amp;"',  '"&amp;D439&amp;"',  '"&amp;L439&amp;"'); "</f>
        <v>INSERT INTO attribute_values (attribute_id, tag, name, details) VALUES ((SELECT id FROM attributes WHERE tag = 'att_compound' LIMIT 1),  'att_compound:torin',  'Torin',  'Torin Treatment');</v>
      </c>
    </row>
    <row r="440" customFormat="false" ht="12.75" hidden="false" customHeight="false" outlineLevel="0" collapsed="false">
      <c r="A440" s="17" t="n">
        <f aca="false">FALSE()</f>
        <v>0</v>
      </c>
      <c r="B440" s="17"/>
      <c r="C440" s="8" t="s">
        <v>778</v>
      </c>
      <c r="D440" s="8" t="s">
        <v>779</v>
      </c>
      <c r="E440" s="8" t="s">
        <v>17</v>
      </c>
      <c r="F440" s="8" t="s">
        <v>2565</v>
      </c>
      <c r="G440" s="8" t="s">
        <v>2566</v>
      </c>
      <c r="H440" s="8" t="str">
        <f aca="false">"att_"&amp;G440</f>
        <v>att_compound</v>
      </c>
      <c r="I440" s="8" t="s">
        <v>778</v>
      </c>
      <c r="J440" s="8" t="str">
        <f aca="false">H440&amp;":"&amp;I440</f>
        <v>att_compound:rapamycin</v>
      </c>
      <c r="K440" s="22" t="b">
        <f aca="false">TRUE()</f>
        <v>1</v>
      </c>
      <c r="L440" s="8" t="s">
        <v>780</v>
      </c>
    </row>
    <row r="441" customFormat="false" ht="12.75" hidden="false" customHeight="false" outlineLevel="0" collapsed="false">
      <c r="C441" s="8" t="s">
        <v>739</v>
      </c>
      <c r="D441" s="8" t="s">
        <v>740</v>
      </c>
      <c r="E441" s="8" t="s">
        <v>17</v>
      </c>
      <c r="F441" s="8" t="s">
        <v>2565</v>
      </c>
      <c r="G441" s="8" t="s">
        <v>2566</v>
      </c>
      <c r="H441" s="8" t="str">
        <f aca="false">"att_"&amp;G441</f>
        <v>att_compound</v>
      </c>
      <c r="I441" s="8" t="s">
        <v>739</v>
      </c>
      <c r="J441" s="8" t="str">
        <f aca="false">H441&amp;":"&amp;I441</f>
        <v>att_compound:antimycin</v>
      </c>
      <c r="K441" s="22" t="b">
        <f aca="false">TRUE()</f>
        <v>1</v>
      </c>
      <c r="L441" s="8" t="s">
        <v>741</v>
      </c>
    </row>
    <row r="442" customFormat="false" ht="12.75" hidden="false" customHeight="false" outlineLevel="0" collapsed="false">
      <c r="C442" s="8" t="s">
        <v>775</v>
      </c>
      <c r="D442" s="8" t="s">
        <v>776</v>
      </c>
      <c r="E442" s="8" t="s">
        <v>17</v>
      </c>
      <c r="F442" s="8" t="s">
        <v>2565</v>
      </c>
      <c r="G442" s="8" t="s">
        <v>2566</v>
      </c>
      <c r="H442" s="8" t="str">
        <f aca="false">"att_"&amp;G442</f>
        <v>att_compound</v>
      </c>
      <c r="I442" s="8" t="s">
        <v>775</v>
      </c>
      <c r="J442" s="8" t="str">
        <f aca="false">H442&amp;":"&amp;I442</f>
        <v>att_compound:oligomycin</v>
      </c>
      <c r="K442" s="22" t="b">
        <f aca="false">TRUE()</f>
        <v>1</v>
      </c>
      <c r="L442" s="8" t="s">
        <v>777</v>
      </c>
    </row>
    <row r="443" customFormat="false" ht="12.75" hidden="false" customHeight="false" outlineLevel="0" collapsed="false">
      <c r="C443" s="8" t="s">
        <v>772</v>
      </c>
      <c r="D443" s="8" t="s">
        <v>773</v>
      </c>
      <c r="E443" s="8" t="s">
        <v>17</v>
      </c>
      <c r="F443" s="8" t="s">
        <v>2565</v>
      </c>
      <c r="G443" s="8" t="s">
        <v>2566</v>
      </c>
      <c r="H443" s="8" t="str">
        <f aca="false">"att_"&amp;G443</f>
        <v>att_compound</v>
      </c>
      <c r="I443" s="8" t="s">
        <v>772</v>
      </c>
      <c r="J443" s="8" t="str">
        <f aca="false">H443&amp;":"&amp;I443</f>
        <v>att_compound:hydroxyurea</v>
      </c>
      <c r="K443" s="22" t="b">
        <f aca="false">TRUE()</f>
        <v>1</v>
      </c>
      <c r="L443" s="8" t="s">
        <v>774</v>
      </c>
    </row>
    <row r="444" customFormat="false" ht="12.75" hidden="false" customHeight="false" outlineLevel="0" collapsed="false">
      <c r="C444" s="8" t="s">
        <v>2754</v>
      </c>
      <c r="D444" s="8" t="s">
        <v>735</v>
      </c>
      <c r="E444" s="8" t="s">
        <v>17</v>
      </c>
      <c r="F444" s="8" t="s">
        <v>2565</v>
      </c>
      <c r="G444" s="8" t="s">
        <v>2566</v>
      </c>
      <c r="H444" s="8" t="str">
        <f aca="false">"att_"&amp;G444</f>
        <v>att_compound</v>
      </c>
      <c r="I444" s="8" t="s">
        <v>2754</v>
      </c>
      <c r="J444" s="8" t="str">
        <f aca="false">H444&amp;":"&amp;I444</f>
        <v>att_compound:5-fluorouracil</v>
      </c>
      <c r="K444" s="22" t="b">
        <f aca="false">TRUE()</f>
        <v>1</v>
      </c>
      <c r="L444" s="8" t="s">
        <v>736</v>
      </c>
    </row>
    <row r="445" customFormat="false" ht="12.75" hidden="false" customHeight="false" outlineLevel="0" collapsed="false">
      <c r="C445" s="8" t="s">
        <v>2755</v>
      </c>
      <c r="D445" s="8" t="s">
        <v>2756</v>
      </c>
      <c r="E445" s="8" t="s">
        <v>17</v>
      </c>
      <c r="F445" s="8" t="s">
        <v>2565</v>
      </c>
      <c r="G445" s="8" t="s">
        <v>2566</v>
      </c>
      <c r="H445" s="8" t="str">
        <f aca="false">"att_"&amp;G445</f>
        <v>att_compound</v>
      </c>
      <c r="I445" s="8" t="s">
        <v>2755</v>
      </c>
      <c r="J445" s="8" t="str">
        <f aca="false">H445&amp;":"&amp;I445</f>
        <v>att_compound:etoposide</v>
      </c>
      <c r="K445" s="22" t="b">
        <f aca="false">TRUE()</f>
        <v>1</v>
      </c>
      <c r="L445" s="8" t="s">
        <v>2757</v>
      </c>
    </row>
    <row r="446" customFormat="false" ht="12.75" hidden="false" customHeight="false" outlineLevel="0" collapsed="false">
      <c r="C446" s="8" t="s">
        <v>781</v>
      </c>
      <c r="D446" s="8" t="s">
        <v>782</v>
      </c>
      <c r="E446" s="8" t="s">
        <v>17</v>
      </c>
      <c r="F446" s="8" t="s">
        <v>2565</v>
      </c>
      <c r="G446" s="8" t="s">
        <v>2566</v>
      </c>
      <c r="H446" s="8" t="str">
        <f aca="false">"att_"&amp;G446</f>
        <v>att_compound</v>
      </c>
      <c r="I446" s="8" t="s">
        <v>781</v>
      </c>
      <c r="J446" s="8" t="str">
        <f aca="false">H446&amp;":"&amp;I446</f>
        <v>att_compound:rotenone</v>
      </c>
      <c r="K446" s="22" t="b">
        <f aca="false">TRUE()</f>
        <v>1</v>
      </c>
      <c r="L446" s="8" t="s">
        <v>783</v>
      </c>
    </row>
    <row r="447" customFormat="false" ht="12.75" hidden="false" customHeight="false" outlineLevel="0" collapsed="false">
      <c r="C447" s="8" t="s">
        <v>749</v>
      </c>
      <c r="D447" s="8" t="s">
        <v>750</v>
      </c>
      <c r="E447" s="8" t="s">
        <v>17</v>
      </c>
      <c r="F447" s="8" t="s">
        <v>2565</v>
      </c>
      <c r="G447" s="8" t="s">
        <v>2566</v>
      </c>
      <c r="H447" s="8" t="str">
        <f aca="false">"att_"&amp;G447</f>
        <v>att_compound</v>
      </c>
      <c r="I447" s="8" t="s">
        <v>749</v>
      </c>
      <c r="J447" s="8" t="str">
        <f aca="false">H447&amp;":"&amp;I447</f>
        <v>att_compound:cccp</v>
      </c>
      <c r="K447" s="22" t="b">
        <f aca="false">TRUE()</f>
        <v>1</v>
      </c>
      <c r="L447" s="8" t="s">
        <v>751</v>
      </c>
    </row>
    <row r="448" customFormat="false" ht="12.75" hidden="false" customHeight="false" outlineLevel="0" collapsed="false">
      <c r="C448" s="8" t="s">
        <v>766</v>
      </c>
      <c r="D448" s="8" t="s">
        <v>767</v>
      </c>
      <c r="E448" s="8" t="s">
        <v>17</v>
      </c>
      <c r="F448" s="8" t="s">
        <v>2565</v>
      </c>
      <c r="G448" s="8" t="s">
        <v>2566</v>
      </c>
      <c r="H448" s="8" t="str">
        <f aca="false">"att_"&amp;G448</f>
        <v>att_compound</v>
      </c>
      <c r="I448" s="8" t="s">
        <v>766</v>
      </c>
      <c r="J448" s="8" t="str">
        <f aca="false">H448&amp;":"&amp;I448</f>
        <v>att_compound:fccp</v>
      </c>
      <c r="K448" s="22" t="b">
        <f aca="false">TRUE()</f>
        <v>1</v>
      </c>
      <c r="L448" s="8" t="s">
        <v>768</v>
      </c>
    </row>
    <row r="451" customFormat="false" ht="12.75" hidden="false" customHeight="false" outlineLevel="0" collapsed="false">
      <c r="C451" s="8" t="s">
        <v>1318</v>
      </c>
      <c r="D451" s="8" t="s">
        <v>1319</v>
      </c>
      <c r="F451" s="8" t="s">
        <v>144</v>
      </c>
      <c r="G451" s="8" t="s">
        <v>2758</v>
      </c>
      <c r="H451" s="8" t="str">
        <f aca="false">"att_"&amp;G451</f>
        <v>att_knockdown_technique</v>
      </c>
      <c r="I451" s="8" t="s">
        <v>1318</v>
      </c>
      <c r="J451" s="8" t="str">
        <f aca="false">H451&amp;":"&amp;I451</f>
        <v>att_knockdown_technique:sirna</v>
      </c>
      <c r="K451" s="22" t="b">
        <f aca="false">TRUE()</f>
        <v>1</v>
      </c>
      <c r="L451" s="8" t="s">
        <v>1320</v>
      </c>
    </row>
    <row r="452" customFormat="false" ht="12.75" hidden="false" customHeight="false" outlineLevel="0" collapsed="false">
      <c r="C452" s="8" t="s">
        <v>1309</v>
      </c>
      <c r="D452" s="8" t="s">
        <v>1310</v>
      </c>
      <c r="F452" s="8" t="s">
        <v>144</v>
      </c>
      <c r="G452" s="8" t="s">
        <v>2758</v>
      </c>
      <c r="H452" s="8" t="str">
        <f aca="false">"att_"&amp;G452</f>
        <v>att_knockdown_technique</v>
      </c>
      <c r="I452" s="8" t="s">
        <v>1309</v>
      </c>
      <c r="J452" s="8" t="str">
        <f aca="false">H452&amp;":"&amp;I452</f>
        <v>att_knockdown_technique:grna</v>
      </c>
      <c r="K452" s="22" t="b">
        <f aca="false">TRUE()</f>
        <v>1</v>
      </c>
      <c r="L452" s="8" t="s">
        <v>1311</v>
      </c>
    </row>
    <row r="453" customFormat="false" ht="12.75" hidden="false" customHeight="false" outlineLevel="0" collapsed="false">
      <c r="C453" s="8" t="s">
        <v>1315</v>
      </c>
      <c r="D453" s="8" t="s">
        <v>1316</v>
      </c>
      <c r="F453" s="8" t="s">
        <v>144</v>
      </c>
      <c r="G453" s="8" t="s">
        <v>2758</v>
      </c>
      <c r="H453" s="8" t="str">
        <f aca="false">"att_"&amp;G453</f>
        <v>att_knockdown_technique</v>
      </c>
      <c r="I453" s="8" t="s">
        <v>1315</v>
      </c>
      <c r="J453" s="8" t="str">
        <f aca="false">H453&amp;":"&amp;I453</f>
        <v>att_knockdown_technique:shrna</v>
      </c>
      <c r="K453" s="22" t="b">
        <f aca="false">TRUE()</f>
        <v>1</v>
      </c>
      <c r="L453" s="8" t="s">
        <v>1317</v>
      </c>
    </row>
    <row r="454" customFormat="false" ht="12.75" hidden="false" customHeight="false" outlineLevel="0" collapsed="false">
      <c r="C454" s="8" t="s">
        <v>1312</v>
      </c>
      <c r="D454" s="8" t="s">
        <v>1313</v>
      </c>
      <c r="F454" s="8" t="s">
        <v>144</v>
      </c>
      <c r="G454" s="8" t="s">
        <v>2758</v>
      </c>
      <c r="H454" s="8" t="str">
        <f aca="false">"att_"&amp;G454</f>
        <v>att_knockdown_technique</v>
      </c>
      <c r="I454" s="8" t="s">
        <v>1312</v>
      </c>
      <c r="J454" s="8" t="str">
        <f aca="false">H454&amp;":"&amp;I454</f>
        <v>att_knockdown_technique:mirna</v>
      </c>
      <c r="L454" s="8" t="s">
        <v>1314</v>
      </c>
    </row>
    <row r="455" customFormat="false" ht="12.75" hidden="false" customHeight="false" outlineLevel="0" collapsed="false">
      <c r="C455" s="8" t="s">
        <v>1290</v>
      </c>
      <c r="D455" s="8" t="s">
        <v>1291</v>
      </c>
      <c r="F455" s="8" t="s">
        <v>2759</v>
      </c>
      <c r="G455" s="8" t="s">
        <v>2760</v>
      </c>
      <c r="H455" s="8" t="str">
        <f aca="false">"att_"&amp;G455</f>
        <v>att_gene_engineering</v>
      </c>
      <c r="I455" s="8" t="s">
        <v>1290</v>
      </c>
      <c r="J455" s="8" t="str">
        <f aca="false">H455&amp;":"&amp;I455</f>
        <v>att_gene_engineering:ko</v>
      </c>
      <c r="L455" s="8" t="s">
        <v>1292</v>
      </c>
    </row>
    <row r="456" customFormat="false" ht="12.75" hidden="false" customHeight="false" outlineLevel="0" collapsed="false">
      <c r="C456" s="8" t="s">
        <v>2761</v>
      </c>
      <c r="D456" s="8" t="s">
        <v>1288</v>
      </c>
      <c r="F456" s="8" t="s">
        <v>2759</v>
      </c>
      <c r="G456" s="8" t="s">
        <v>2760</v>
      </c>
      <c r="H456" s="8" t="str">
        <f aca="false">"att_"&amp;G456</f>
        <v>att_gene_engineering</v>
      </c>
      <c r="I456" s="8" t="s">
        <v>1287</v>
      </c>
      <c r="J456" s="8" t="str">
        <f aca="false">H456&amp;":"&amp;I456</f>
        <v>att_gene_engineering:knockin</v>
      </c>
      <c r="L456" s="8" t="s">
        <v>1289</v>
      </c>
    </row>
    <row r="457" customFormat="false" ht="12.75" hidden="false" customHeight="false" outlineLevel="0" collapsed="false">
      <c r="C457" s="8" t="s">
        <v>1281</v>
      </c>
      <c r="D457" s="8" t="s">
        <v>1282</v>
      </c>
      <c r="F457" s="8" t="s">
        <v>2759</v>
      </c>
      <c r="G457" s="8" t="s">
        <v>2760</v>
      </c>
      <c r="H457" s="8" t="str">
        <f aca="false">"att_"&amp;G457</f>
        <v>att_gene_engineering</v>
      </c>
      <c r="I457" s="8" t="s">
        <v>1281</v>
      </c>
      <c r="J457" s="8" t="str">
        <f aca="false">H457&amp;":"&amp;I457</f>
        <v>att_gene_engineering:deletion</v>
      </c>
      <c r="L457" s="8" t="s">
        <v>1283</v>
      </c>
    </row>
    <row r="458" customFormat="false" ht="12.75" hidden="false" customHeight="false" outlineLevel="0" collapsed="false">
      <c r="C458" s="8" t="s">
        <v>1285</v>
      </c>
      <c r="D458" s="8" t="s">
        <v>1285</v>
      </c>
      <c r="F458" s="8" t="s">
        <v>2759</v>
      </c>
      <c r="G458" s="8" t="s">
        <v>2760</v>
      </c>
      <c r="H458" s="8" t="str">
        <f aca="false">"att_"&amp;G458</f>
        <v>att_gene_engineering</v>
      </c>
      <c r="I458" s="8" t="s">
        <v>1284</v>
      </c>
      <c r="J458" s="8" t="str">
        <f aca="false">H458&amp;":"&amp;I458</f>
        <v>att_gene_engineering:inducible_expression</v>
      </c>
      <c r="L458" s="8" t="s">
        <v>1286</v>
      </c>
    </row>
    <row r="459" customFormat="false" ht="12.75" hidden="false" customHeight="false" outlineLevel="0" collapsed="false">
      <c r="C459" s="8" t="s">
        <v>2762</v>
      </c>
      <c r="D459" s="8" t="s">
        <v>1294</v>
      </c>
      <c r="F459" s="8" t="s">
        <v>2759</v>
      </c>
      <c r="G459" s="8" t="s">
        <v>2760</v>
      </c>
      <c r="H459" s="8" t="str">
        <f aca="false">"att_"&amp;G459</f>
        <v>att_gene_engineering</v>
      </c>
      <c r="I459" s="8" t="s">
        <v>1293</v>
      </c>
      <c r="J459" s="8" t="str">
        <f aca="false">H459&amp;":"&amp;I459</f>
        <v>att_gene_engineering:stable_expression</v>
      </c>
      <c r="L459" s="8" t="s">
        <v>1295</v>
      </c>
    </row>
    <row r="461" customFormat="false" ht="12.75" hidden="false" customHeight="false" outlineLevel="0" collapsed="false">
      <c r="C461" s="8" t="s">
        <v>1266</v>
      </c>
      <c r="D461" s="8" t="s">
        <v>1267</v>
      </c>
      <c r="F461" s="8" t="s">
        <v>2763</v>
      </c>
      <c r="G461" s="8" t="s">
        <v>2764</v>
      </c>
      <c r="H461" s="8" t="str">
        <f aca="false">"att_"&amp;G461</f>
        <v>att_gene_editing_method</v>
      </c>
      <c r="I461" s="8" t="s">
        <v>1266</v>
      </c>
      <c r="J461" s="8" t="str">
        <f aca="false">H461&amp;":"&amp;I461</f>
        <v>att_gene_editing_method:crispr</v>
      </c>
      <c r="L461" s="8" t="s">
        <v>1268</v>
      </c>
    </row>
    <row r="462" customFormat="false" ht="12.75" hidden="false" customHeight="false" outlineLevel="0" collapsed="false">
      <c r="C462" s="8" t="s">
        <v>2765</v>
      </c>
      <c r="D462" s="8" t="s">
        <v>1270</v>
      </c>
      <c r="F462" s="8" t="s">
        <v>2763</v>
      </c>
      <c r="G462" s="8" t="s">
        <v>2764</v>
      </c>
      <c r="H462" s="8" t="str">
        <f aca="false">"att_"&amp;G462</f>
        <v>att_gene_editing_method</v>
      </c>
      <c r="I462" s="8" t="s">
        <v>2766</v>
      </c>
      <c r="J462" s="8" t="str">
        <f aca="false">H462&amp;":"&amp;I462</f>
        <v>att_gene_editing_method:crispr-hdr</v>
      </c>
      <c r="L462" s="8" t="s">
        <v>1271</v>
      </c>
    </row>
    <row r="463" customFormat="false" ht="12.75" hidden="false" customHeight="false" outlineLevel="0" collapsed="false">
      <c r="C463" s="8" t="s">
        <v>2767</v>
      </c>
      <c r="D463" s="8" t="s">
        <v>1264</v>
      </c>
      <c r="F463" s="8" t="s">
        <v>2763</v>
      </c>
      <c r="G463" s="8" t="s">
        <v>2764</v>
      </c>
      <c r="H463" s="8" t="str">
        <f aca="false">"att_"&amp;G463</f>
        <v>att_gene_editing_method</v>
      </c>
      <c r="I463" s="8" t="s">
        <v>1263</v>
      </c>
      <c r="J463" s="8" t="str">
        <f aca="false">H463&amp;":"&amp;I463</f>
        <v>att_gene_editing_method:biggybac</v>
      </c>
      <c r="L463" s="8" t="s">
        <v>1265</v>
      </c>
    </row>
    <row r="464" customFormat="false" ht="12.75" hidden="false" customHeight="false" outlineLevel="0" collapsed="false">
      <c r="C464" s="8" t="s">
        <v>2768</v>
      </c>
      <c r="D464" s="8" t="s">
        <v>1273</v>
      </c>
      <c r="F464" s="8" t="s">
        <v>2763</v>
      </c>
      <c r="G464" s="8" t="s">
        <v>2764</v>
      </c>
      <c r="H464" s="8" t="str">
        <f aca="false">"att_"&amp;G464</f>
        <v>att_gene_editing_method</v>
      </c>
      <c r="I464" s="8" t="s">
        <v>1272</v>
      </c>
      <c r="J464" s="8" t="str">
        <f aca="false">H464&amp;":"&amp;I464</f>
        <v>att_gene_editing_method:lentiviral</v>
      </c>
      <c r="L464" s="8" t="s">
        <v>1274</v>
      </c>
    </row>
    <row r="465" customFormat="false" ht="12.75" hidden="false" customHeight="false" outlineLevel="0" collapsed="false">
      <c r="C465" s="8" t="s">
        <v>2769</v>
      </c>
      <c r="D465" s="8" t="s">
        <v>1276</v>
      </c>
      <c r="F465" s="8" t="s">
        <v>2763</v>
      </c>
      <c r="G465" s="8" t="s">
        <v>2764</v>
      </c>
      <c r="H465" s="8" t="str">
        <f aca="false">"att_"&amp;G465</f>
        <v>att_gene_editing_method</v>
      </c>
      <c r="I465" s="8" t="s">
        <v>1275</v>
      </c>
      <c r="J465" s="8" t="str">
        <f aca="false">H465&amp;":"&amp;I465</f>
        <v>att_gene_editing_method:talen</v>
      </c>
      <c r="L465" s="8" t="s">
        <v>1277</v>
      </c>
    </row>
    <row r="466" customFormat="false" ht="12.75" hidden="false" customHeight="false" outlineLevel="0" collapsed="false">
      <c r="C466" s="8" t="s">
        <v>2770</v>
      </c>
      <c r="D466" s="8" t="s">
        <v>1279</v>
      </c>
      <c r="F466" s="8" t="s">
        <v>2763</v>
      </c>
      <c r="G466" s="8" t="s">
        <v>2764</v>
      </c>
      <c r="H466" s="8" t="str">
        <f aca="false">"att_"&amp;G466</f>
        <v>att_gene_editing_method</v>
      </c>
      <c r="I466" s="8" t="s">
        <v>1278</v>
      </c>
      <c r="J466" s="8" t="str">
        <f aca="false">H466&amp;":"&amp;I466</f>
        <v>att_gene_editing_method:zincfinger</v>
      </c>
      <c r="L466" s="8" t="s">
        <v>1280</v>
      </c>
    </row>
    <row r="467" customFormat="false" ht="12.75" hidden="false" customHeight="false" outlineLevel="0" collapsed="false">
      <c r="C467" s="8" t="s">
        <v>2771</v>
      </c>
      <c r="D467" s="8" t="s">
        <v>2303</v>
      </c>
      <c r="F467" s="8" t="s">
        <v>2772</v>
      </c>
      <c r="G467" s="8" t="s">
        <v>2773</v>
      </c>
      <c r="H467" s="8" t="str">
        <f aca="false">"att_"&amp;G467</f>
        <v>att_protein_mutation</v>
      </c>
      <c r="I467" s="8" t="s">
        <v>2302</v>
      </c>
      <c r="J467" s="8" t="str">
        <f aca="false">H467&amp;":"&amp;I467</f>
        <v>att_protein_mutation:frameshift</v>
      </c>
      <c r="L467" s="8" t="s">
        <v>2304</v>
      </c>
    </row>
    <row r="468" customFormat="false" ht="12.75" hidden="false" customHeight="false" outlineLevel="0" collapsed="false">
      <c r="C468" s="8" t="s">
        <v>2774</v>
      </c>
      <c r="D468" s="8" t="s">
        <v>2323</v>
      </c>
      <c r="F468" s="8" t="s">
        <v>2772</v>
      </c>
      <c r="G468" s="8" t="s">
        <v>2773</v>
      </c>
      <c r="H468" s="8" t="str">
        <f aca="false">"att_"&amp;G468</f>
        <v>att_protein_mutation</v>
      </c>
      <c r="I468" s="8" t="s">
        <v>2322</v>
      </c>
      <c r="J468" s="8" t="str">
        <f aca="false">H468&amp;":"&amp;I468</f>
        <v>att_protein_mutation:substitution</v>
      </c>
      <c r="L468" s="8" t="s">
        <v>2324</v>
      </c>
    </row>
    <row r="469" customFormat="false" ht="12.75" hidden="false" customHeight="false" outlineLevel="0" collapsed="false">
      <c r="C469" s="8" t="s">
        <v>2775</v>
      </c>
      <c r="D469" s="8" t="s">
        <v>2297</v>
      </c>
      <c r="F469" s="8" t="s">
        <v>2772</v>
      </c>
      <c r="G469" s="8" t="s">
        <v>2773</v>
      </c>
      <c r="H469" s="8" t="str">
        <f aca="false">"att_"&amp;G469</f>
        <v>att_protein_mutation</v>
      </c>
      <c r="I469" s="8" t="s">
        <v>1281</v>
      </c>
      <c r="J469" s="8" t="str">
        <f aca="false">H469&amp;":"&amp;I469</f>
        <v>att_protein_mutation:deletion</v>
      </c>
      <c r="L469" s="8" t="s">
        <v>2298</v>
      </c>
    </row>
    <row r="470" customFormat="false" ht="12.75" hidden="false" customHeight="false" outlineLevel="0" collapsed="false">
      <c r="C470" s="8" t="s">
        <v>2314</v>
      </c>
      <c r="D470" s="8" t="s">
        <v>2315</v>
      </c>
      <c r="F470" s="8" t="s">
        <v>2772</v>
      </c>
      <c r="G470" s="8" t="s">
        <v>2773</v>
      </c>
      <c r="H470" s="8" t="str">
        <f aca="false">"att_"&amp;G470</f>
        <v>att_protein_mutation</v>
      </c>
      <c r="I470" s="8" t="s">
        <v>2314</v>
      </c>
      <c r="J470" s="8" t="str">
        <f aca="false">H470&amp;":"&amp;I470</f>
        <v>att_protein_mutation:insertion</v>
      </c>
      <c r="L470" s="8" t="s">
        <v>2316</v>
      </c>
    </row>
    <row r="471" customFormat="false" ht="12.75" hidden="false" customHeight="false" outlineLevel="0" collapsed="false">
      <c r="C471" s="8" t="s">
        <v>2776</v>
      </c>
      <c r="D471" s="8" t="s">
        <v>2326</v>
      </c>
      <c r="F471" s="8" t="s">
        <v>2772</v>
      </c>
      <c r="G471" s="8" t="s">
        <v>2773</v>
      </c>
      <c r="H471" s="8" t="str">
        <f aca="false">"att_"&amp;G471</f>
        <v>att_protein_mutation</v>
      </c>
      <c r="I471" s="8" t="s">
        <v>2325</v>
      </c>
      <c r="J471" s="8" t="str">
        <f aca="false">H471&amp;":"&amp;I471</f>
        <v>att_protein_mutation:truncation</v>
      </c>
      <c r="L471" s="8" t="s">
        <v>2327</v>
      </c>
    </row>
    <row r="472" customFormat="false" ht="12.75" hidden="false" customHeight="false" outlineLevel="0" collapsed="false">
      <c r="C472" s="8" t="s">
        <v>2777</v>
      </c>
      <c r="D472" s="8" t="s">
        <v>2300</v>
      </c>
      <c r="F472" s="8" t="s">
        <v>2772</v>
      </c>
      <c r="G472" s="8" t="s">
        <v>2773</v>
      </c>
      <c r="H472" s="8" t="str">
        <f aca="false">"att_"&amp;G472</f>
        <v>att_protein_mutation</v>
      </c>
      <c r="I472" s="8" t="s">
        <v>2299</v>
      </c>
      <c r="J472" s="8" t="str">
        <f aca="false">H472&amp;":"&amp;I472</f>
        <v>att_protein_mutation:flag</v>
      </c>
      <c r="L472" s="8" t="s">
        <v>2301</v>
      </c>
    </row>
    <row r="473" customFormat="false" ht="12.75" hidden="false" customHeight="false" outlineLevel="0" collapsed="false">
      <c r="C473" s="8" t="s">
        <v>2778</v>
      </c>
      <c r="D473" s="8" t="s">
        <v>2309</v>
      </c>
      <c r="F473" s="8" t="s">
        <v>2772</v>
      </c>
      <c r="G473" s="8" t="s">
        <v>2773</v>
      </c>
      <c r="H473" s="8" t="str">
        <f aca="false">"att_"&amp;G473</f>
        <v>att_protein_mutation</v>
      </c>
      <c r="I473" s="8" t="s">
        <v>2308</v>
      </c>
      <c r="J473" s="8" t="str">
        <f aca="false">H473&amp;":"&amp;I473</f>
        <v>att_protein_mutation:ha</v>
      </c>
      <c r="L473" s="8" t="s">
        <v>2310</v>
      </c>
    </row>
    <row r="474" customFormat="false" ht="12.75" hidden="false" customHeight="false" outlineLevel="0" collapsed="false">
      <c r="C474" s="8" t="s">
        <v>2779</v>
      </c>
      <c r="D474" s="8" t="s">
        <v>2318</v>
      </c>
      <c r="F474" s="8" t="s">
        <v>2772</v>
      </c>
      <c r="G474" s="8" t="s">
        <v>2773</v>
      </c>
      <c r="H474" s="8" t="str">
        <f aca="false">"att_"&amp;G474</f>
        <v>att_protein_mutation</v>
      </c>
      <c r="I474" s="8" t="s">
        <v>2317</v>
      </c>
      <c r="J474" s="8" t="str">
        <f aca="false">H474&amp;":"&amp;I474</f>
        <v>att_protein_mutation:myc</v>
      </c>
      <c r="L474" s="8" t="s">
        <v>2319</v>
      </c>
    </row>
    <row r="475" customFormat="false" ht="12.75" hidden="false" customHeight="false" outlineLevel="0" collapsed="false">
      <c r="C475" s="8" t="s">
        <v>2780</v>
      </c>
      <c r="D475" s="8" t="s">
        <v>2306</v>
      </c>
      <c r="F475" s="8" t="s">
        <v>2772</v>
      </c>
      <c r="G475" s="8" t="s">
        <v>2773</v>
      </c>
      <c r="H475" s="8" t="str">
        <f aca="false">"att_"&amp;G475</f>
        <v>att_protein_mutation</v>
      </c>
      <c r="I475" s="8" t="s">
        <v>2305</v>
      </c>
      <c r="J475" s="8" t="str">
        <f aca="false">H475&amp;":"&amp;I475</f>
        <v>att_protein_mutation:gfp</v>
      </c>
      <c r="L475" s="8" t="s">
        <v>2307</v>
      </c>
    </row>
    <row r="476" customFormat="false" ht="12.75" hidden="false" customHeight="false" outlineLevel="0" collapsed="false">
      <c r="C476" s="8" t="s">
        <v>2781</v>
      </c>
      <c r="D476" s="8" t="s">
        <v>2312</v>
      </c>
      <c r="F476" s="8" t="s">
        <v>2772</v>
      </c>
      <c r="G476" s="8" t="s">
        <v>2773</v>
      </c>
      <c r="H476" s="8" t="str">
        <f aca="false">"att_"&amp;G476</f>
        <v>att_protein_mutation</v>
      </c>
      <c r="I476" s="8" t="s">
        <v>2311</v>
      </c>
      <c r="J476" s="8" t="str">
        <f aca="false">H476&amp;":"&amp;I476</f>
        <v>att_protein_mutation:his</v>
      </c>
      <c r="L476" s="8" t="s">
        <v>2313</v>
      </c>
    </row>
    <row r="478" customFormat="false" ht="12.75" hidden="false" customHeight="false" outlineLevel="0" collapsed="false">
      <c r="C478" s="8" t="s">
        <v>2782</v>
      </c>
      <c r="D478" s="8" t="s">
        <v>2335</v>
      </c>
      <c r="F478" s="8" t="s">
        <v>2783</v>
      </c>
      <c r="G478" s="8" t="s">
        <v>2784</v>
      </c>
      <c r="H478" s="8" t="str">
        <f aca="false">"att_"&amp;G478</f>
        <v>att_protein_position</v>
      </c>
      <c r="I478" s="8" t="s">
        <v>2334</v>
      </c>
      <c r="J478" s="8" t="str">
        <f aca="false">H478&amp;":"&amp;I478</f>
        <v>att_protein_position:nterm</v>
      </c>
      <c r="L478" s="8" t="s">
        <v>2336</v>
      </c>
    </row>
    <row r="479" customFormat="false" ht="12.75" hidden="false" customHeight="false" outlineLevel="0" collapsed="false">
      <c r="C479" s="8" t="s">
        <v>2785</v>
      </c>
      <c r="D479" s="8" t="s">
        <v>2332</v>
      </c>
      <c r="F479" s="8" t="s">
        <v>2783</v>
      </c>
      <c r="G479" s="8" t="s">
        <v>2784</v>
      </c>
      <c r="H479" s="8" t="str">
        <f aca="false">"att_"&amp;G479</f>
        <v>att_protein_position</v>
      </c>
      <c r="I479" s="8" t="s">
        <v>2331</v>
      </c>
      <c r="J479" s="8" t="str">
        <f aca="false">H479&amp;":"&amp;I479</f>
        <v>att_protein_position:cterm</v>
      </c>
      <c r="L479" s="8" t="s">
        <v>2333</v>
      </c>
    </row>
    <row r="480" customFormat="false" ht="12.75" hidden="false" customHeight="false" outlineLevel="0" collapsed="false">
      <c r="C480" s="8" t="s">
        <v>2328</v>
      </c>
      <c r="D480" s="8" t="s">
        <v>2329</v>
      </c>
      <c r="F480" s="8" t="s">
        <v>2783</v>
      </c>
      <c r="G480" s="8" t="s">
        <v>2784</v>
      </c>
      <c r="H480" s="8" t="str">
        <f aca="false">"att_"&amp;G480</f>
        <v>att_protein_position</v>
      </c>
      <c r="I480" s="8" t="s">
        <v>2328</v>
      </c>
      <c r="J480" s="8" t="str">
        <f aca="false">H480&amp;":"&amp;I480</f>
        <v>att_protein_position:aa</v>
      </c>
      <c r="L480" s="8" t="s">
        <v>2330</v>
      </c>
    </row>
    <row r="481" customFormat="false" ht="12.75" hidden="false" customHeight="false" outlineLevel="0" collapsed="false">
      <c r="C481" s="8" t="s">
        <v>2337</v>
      </c>
      <c r="D481" s="8" t="s">
        <v>2338</v>
      </c>
      <c r="F481" s="8" t="s">
        <v>2783</v>
      </c>
      <c r="G481" s="8" t="s">
        <v>2784</v>
      </c>
      <c r="H481" s="8" t="str">
        <f aca="false">"att_"&amp;G481</f>
        <v>att_protein_position</v>
      </c>
      <c r="I481" s="8" t="s">
        <v>2337</v>
      </c>
      <c r="J481" s="8" t="str">
        <f aca="false">H481&amp;":"&amp;I481</f>
        <v>att_protein_position:region</v>
      </c>
      <c r="L481" s="8" t="s">
        <v>2339</v>
      </c>
    </row>
    <row r="485" customFormat="false" ht="12.75" hidden="false" customHeight="false" outlineLevel="0" collapsed="false">
      <c r="C485" s="8" t="s">
        <v>2786</v>
      </c>
      <c r="D485" s="8" t="s">
        <v>277</v>
      </c>
      <c r="F485" s="8" t="s">
        <v>2787</v>
      </c>
      <c r="G485" s="8" t="s">
        <v>2328</v>
      </c>
      <c r="H485" s="8" t="s">
        <v>276</v>
      </c>
      <c r="I485" s="8" t="s">
        <v>275</v>
      </c>
      <c r="J485" s="8" t="str">
        <f aca="false">H485&amp;":"&amp;I485</f>
        <v>att_aa:arginine</v>
      </c>
      <c r="L485" s="8" t="s">
        <v>278</v>
      </c>
    </row>
    <row r="486" customFormat="false" ht="12.75" hidden="false" customHeight="false" outlineLevel="0" collapsed="false">
      <c r="C486" s="8" t="s">
        <v>2786</v>
      </c>
      <c r="D486" s="8" t="s">
        <v>280</v>
      </c>
      <c r="F486" s="8" t="s">
        <v>2787</v>
      </c>
      <c r="G486" s="8" t="s">
        <v>2328</v>
      </c>
      <c r="H486" s="8" t="s">
        <v>276</v>
      </c>
      <c r="I486" s="8" t="s">
        <v>279</v>
      </c>
      <c r="J486" s="8" t="str">
        <f aca="false">H486&amp;":"&amp;I486</f>
        <v>att_aa:asparagine</v>
      </c>
      <c r="L486" s="8" t="s">
        <v>281</v>
      </c>
    </row>
    <row r="487" customFormat="false" ht="12.75" hidden="false" customHeight="false" outlineLevel="0" collapsed="false">
      <c r="C487" s="8" t="s">
        <v>2786</v>
      </c>
      <c r="D487" s="8" t="s">
        <v>283</v>
      </c>
      <c r="F487" s="8" t="s">
        <v>2787</v>
      </c>
      <c r="G487" s="8" t="s">
        <v>2328</v>
      </c>
      <c r="H487" s="8" t="s">
        <v>276</v>
      </c>
      <c r="I487" s="8" t="s">
        <v>282</v>
      </c>
      <c r="J487" s="8" t="str">
        <f aca="false">H487&amp;":"&amp;I487</f>
        <v>att_aa:asparticacid</v>
      </c>
      <c r="L487" s="8" t="s">
        <v>284</v>
      </c>
    </row>
    <row r="488" customFormat="false" ht="12.75" hidden="false" customHeight="false" outlineLevel="0" collapsed="false">
      <c r="C488" s="8" t="s">
        <v>2786</v>
      </c>
      <c r="D488" s="8" t="s">
        <v>286</v>
      </c>
      <c r="F488" s="8" t="s">
        <v>2787</v>
      </c>
      <c r="G488" s="8" t="s">
        <v>2328</v>
      </c>
      <c r="H488" s="8" t="s">
        <v>276</v>
      </c>
      <c r="I488" s="8" t="s">
        <v>285</v>
      </c>
      <c r="J488" s="8" t="str">
        <f aca="false">H488&amp;":"&amp;I488</f>
        <v>att_aa:cysteine</v>
      </c>
      <c r="L488" s="8" t="s">
        <v>287</v>
      </c>
    </row>
    <row r="489" customFormat="false" ht="12.75" hidden="false" customHeight="false" outlineLevel="0" collapsed="false">
      <c r="C489" s="8" t="s">
        <v>2786</v>
      </c>
      <c r="D489" s="8" t="s">
        <v>289</v>
      </c>
      <c r="F489" s="8" t="s">
        <v>2787</v>
      </c>
      <c r="G489" s="8" t="s">
        <v>2328</v>
      </c>
      <c r="H489" s="8" t="s">
        <v>276</v>
      </c>
      <c r="I489" s="8" t="s">
        <v>288</v>
      </c>
      <c r="J489" s="8" t="str">
        <f aca="false">H489&amp;":"&amp;I489</f>
        <v>att_aa:glutamicacid</v>
      </c>
      <c r="L489" s="8" t="s">
        <v>290</v>
      </c>
    </row>
    <row r="490" customFormat="false" ht="12.75" hidden="false" customHeight="false" outlineLevel="0" collapsed="false">
      <c r="C490" s="8" t="s">
        <v>2786</v>
      </c>
      <c r="D490" s="8" t="s">
        <v>292</v>
      </c>
      <c r="F490" s="8" t="s">
        <v>2787</v>
      </c>
      <c r="G490" s="8" t="s">
        <v>2328</v>
      </c>
      <c r="H490" s="8" t="s">
        <v>276</v>
      </c>
      <c r="I490" s="8" t="s">
        <v>291</v>
      </c>
      <c r="J490" s="8" t="str">
        <f aca="false">H490&amp;":"&amp;I490</f>
        <v>att_aa:glutamine</v>
      </c>
      <c r="L490" s="8" t="s">
        <v>293</v>
      </c>
    </row>
    <row r="491" customFormat="false" ht="12.75" hidden="false" customHeight="false" outlineLevel="0" collapsed="false">
      <c r="C491" s="8" t="s">
        <v>2786</v>
      </c>
      <c r="D491" s="8" t="s">
        <v>295</v>
      </c>
      <c r="F491" s="8" t="s">
        <v>2787</v>
      </c>
      <c r="G491" s="8" t="s">
        <v>2328</v>
      </c>
      <c r="H491" s="8" t="s">
        <v>276</v>
      </c>
      <c r="I491" s="8" t="s">
        <v>294</v>
      </c>
      <c r="J491" s="8" t="str">
        <f aca="false">H491&amp;":"&amp;I491</f>
        <v>att_aa:glycine</v>
      </c>
      <c r="L491" s="8" t="s">
        <v>296</v>
      </c>
    </row>
    <row r="492" customFormat="false" ht="12.75" hidden="false" customHeight="false" outlineLevel="0" collapsed="false">
      <c r="C492" s="8" t="s">
        <v>2786</v>
      </c>
      <c r="D492" s="8" t="s">
        <v>298</v>
      </c>
      <c r="F492" s="8" t="s">
        <v>2787</v>
      </c>
      <c r="G492" s="8" t="s">
        <v>2328</v>
      </c>
      <c r="H492" s="8" t="s">
        <v>276</v>
      </c>
      <c r="I492" s="8" t="s">
        <v>297</v>
      </c>
      <c r="J492" s="8" t="str">
        <f aca="false">H492&amp;":"&amp;I492</f>
        <v>att_aa:histidine</v>
      </c>
      <c r="L492" s="8" t="s">
        <v>299</v>
      </c>
    </row>
    <row r="493" customFormat="false" ht="12.75" hidden="false" customHeight="false" outlineLevel="0" collapsed="false">
      <c r="C493" s="8" t="s">
        <v>2786</v>
      </c>
      <c r="D493" s="8" t="s">
        <v>301</v>
      </c>
      <c r="F493" s="8" t="s">
        <v>2787</v>
      </c>
      <c r="G493" s="8" t="s">
        <v>2328</v>
      </c>
      <c r="H493" s="8" t="s">
        <v>276</v>
      </c>
      <c r="I493" s="8" t="s">
        <v>300</v>
      </c>
      <c r="J493" s="8" t="str">
        <f aca="false">H493&amp;":"&amp;I493</f>
        <v>att_aa:isoleucine</v>
      </c>
      <c r="L493" s="8" t="s">
        <v>302</v>
      </c>
    </row>
    <row r="494" customFormat="false" ht="12.75" hidden="false" customHeight="false" outlineLevel="0" collapsed="false">
      <c r="C494" s="8" t="s">
        <v>2786</v>
      </c>
      <c r="D494" s="8" t="s">
        <v>304</v>
      </c>
      <c r="F494" s="8" t="s">
        <v>2787</v>
      </c>
      <c r="G494" s="8" t="s">
        <v>2328</v>
      </c>
      <c r="H494" s="8" t="s">
        <v>276</v>
      </c>
      <c r="I494" s="8" t="s">
        <v>303</v>
      </c>
      <c r="J494" s="8" t="str">
        <f aca="false">H494&amp;":"&amp;I494</f>
        <v>att_aa:leucine</v>
      </c>
      <c r="L494" s="8" t="s">
        <v>305</v>
      </c>
    </row>
    <row r="495" customFormat="false" ht="12.75" hidden="false" customHeight="false" outlineLevel="0" collapsed="false">
      <c r="C495" s="8" t="s">
        <v>2786</v>
      </c>
      <c r="D495" s="8" t="s">
        <v>307</v>
      </c>
      <c r="F495" s="8" t="s">
        <v>2787</v>
      </c>
      <c r="G495" s="8" t="s">
        <v>2328</v>
      </c>
      <c r="H495" s="8" t="s">
        <v>276</v>
      </c>
      <c r="I495" s="8" t="s">
        <v>306</v>
      </c>
      <c r="J495" s="8" t="str">
        <f aca="false">H495&amp;":"&amp;I495</f>
        <v>att_aa:lysine</v>
      </c>
      <c r="L495" s="8" t="s">
        <v>308</v>
      </c>
    </row>
    <row r="496" customFormat="false" ht="12.75" hidden="false" customHeight="false" outlineLevel="0" collapsed="false">
      <c r="C496" s="8" t="s">
        <v>2786</v>
      </c>
      <c r="D496" s="8" t="s">
        <v>310</v>
      </c>
      <c r="F496" s="8" t="s">
        <v>2787</v>
      </c>
      <c r="G496" s="8" t="s">
        <v>2328</v>
      </c>
      <c r="H496" s="8" t="s">
        <v>276</v>
      </c>
      <c r="I496" s="8" t="s">
        <v>309</v>
      </c>
      <c r="J496" s="8" t="str">
        <f aca="false">H496&amp;":"&amp;I496</f>
        <v>att_aa:methionine</v>
      </c>
      <c r="L496" s="8" t="s">
        <v>311</v>
      </c>
    </row>
    <row r="497" customFormat="false" ht="12.75" hidden="false" customHeight="false" outlineLevel="0" collapsed="false">
      <c r="C497" s="8" t="s">
        <v>2786</v>
      </c>
      <c r="D497" s="8" t="s">
        <v>313</v>
      </c>
      <c r="F497" s="8" t="s">
        <v>2787</v>
      </c>
      <c r="G497" s="8" t="s">
        <v>2328</v>
      </c>
      <c r="H497" s="8" t="s">
        <v>276</v>
      </c>
      <c r="I497" s="8" t="s">
        <v>312</v>
      </c>
      <c r="J497" s="8" t="str">
        <f aca="false">H497&amp;":"&amp;I497</f>
        <v>att_aa:phenylalanine</v>
      </c>
      <c r="L497" s="8" t="s">
        <v>314</v>
      </c>
    </row>
    <row r="498" customFormat="false" ht="12.75" hidden="false" customHeight="false" outlineLevel="0" collapsed="false">
      <c r="C498" s="8" t="s">
        <v>2786</v>
      </c>
      <c r="D498" s="8" t="s">
        <v>316</v>
      </c>
      <c r="F498" s="8" t="s">
        <v>2787</v>
      </c>
      <c r="G498" s="8" t="s">
        <v>2328</v>
      </c>
      <c r="H498" s="8" t="s">
        <v>276</v>
      </c>
      <c r="I498" s="8" t="s">
        <v>315</v>
      </c>
      <c r="J498" s="8" t="str">
        <f aca="false">H498&amp;":"&amp;I498</f>
        <v>att_aa:proline</v>
      </c>
      <c r="L498" s="8" t="s">
        <v>317</v>
      </c>
    </row>
    <row r="499" customFormat="false" ht="12.75" hidden="false" customHeight="false" outlineLevel="0" collapsed="false">
      <c r="C499" s="8" t="s">
        <v>2786</v>
      </c>
      <c r="D499" s="8" t="s">
        <v>319</v>
      </c>
      <c r="F499" s="8" t="s">
        <v>2787</v>
      </c>
      <c r="G499" s="8" t="s">
        <v>2328</v>
      </c>
      <c r="H499" s="8" t="s">
        <v>276</v>
      </c>
      <c r="I499" s="8" t="s">
        <v>318</v>
      </c>
      <c r="J499" s="8" t="str">
        <f aca="false">H499&amp;":"&amp;I499</f>
        <v>att_aa:serine</v>
      </c>
      <c r="L499" s="8" t="s">
        <v>320</v>
      </c>
    </row>
    <row r="500" customFormat="false" ht="12.75" hidden="false" customHeight="false" outlineLevel="0" collapsed="false">
      <c r="C500" s="8" t="s">
        <v>2786</v>
      </c>
      <c r="D500" s="8" t="s">
        <v>322</v>
      </c>
      <c r="F500" s="8" t="s">
        <v>2787</v>
      </c>
      <c r="G500" s="8" t="s">
        <v>2328</v>
      </c>
      <c r="H500" s="8" t="s">
        <v>276</v>
      </c>
      <c r="I500" s="8" t="s">
        <v>321</v>
      </c>
      <c r="J500" s="8" t="str">
        <f aca="false">H500&amp;":"&amp;I500</f>
        <v>att_aa:threonine</v>
      </c>
      <c r="L500" s="8" t="s">
        <v>323</v>
      </c>
    </row>
    <row r="501" customFormat="false" ht="12.75" hidden="false" customHeight="false" outlineLevel="0" collapsed="false">
      <c r="C501" s="8" t="s">
        <v>2786</v>
      </c>
      <c r="D501" s="8" t="s">
        <v>325</v>
      </c>
      <c r="F501" s="8" t="s">
        <v>2787</v>
      </c>
      <c r="G501" s="8" t="s">
        <v>2328</v>
      </c>
      <c r="H501" s="8" t="s">
        <v>276</v>
      </c>
      <c r="I501" s="8" t="s">
        <v>324</v>
      </c>
      <c r="J501" s="8" t="str">
        <f aca="false">H501&amp;":"&amp;I501</f>
        <v>att_aa:tryptophan</v>
      </c>
      <c r="L501" s="8" t="s">
        <v>326</v>
      </c>
    </row>
    <row r="502" customFormat="false" ht="12.75" hidden="false" customHeight="false" outlineLevel="0" collapsed="false">
      <c r="C502" s="8" t="s">
        <v>2786</v>
      </c>
      <c r="D502" s="8" t="s">
        <v>328</v>
      </c>
      <c r="F502" s="8" t="s">
        <v>2787</v>
      </c>
      <c r="G502" s="8" t="s">
        <v>2328</v>
      </c>
      <c r="H502" s="8" t="s">
        <v>276</v>
      </c>
      <c r="I502" s="8" t="s">
        <v>327</v>
      </c>
      <c r="J502" s="8" t="str">
        <f aca="false">H502&amp;":"&amp;I502</f>
        <v>att_aa:tyrosine</v>
      </c>
      <c r="L502" s="8" t="s">
        <v>329</v>
      </c>
    </row>
    <row r="503" customFormat="false" ht="12.75" hidden="false" customHeight="false" outlineLevel="0" collapsed="false">
      <c r="C503" s="8" t="s">
        <v>2786</v>
      </c>
      <c r="D503" s="8" t="s">
        <v>331</v>
      </c>
      <c r="F503" s="8" t="s">
        <v>2787</v>
      </c>
      <c r="G503" s="8" t="s">
        <v>2328</v>
      </c>
      <c r="H503" s="8" t="s">
        <v>276</v>
      </c>
      <c r="I503" s="8" t="s">
        <v>330</v>
      </c>
      <c r="J503" s="8" t="str">
        <f aca="false">H503&amp;":"&amp;I503</f>
        <v>att_aa:valine</v>
      </c>
      <c r="L503" s="8" t="s">
        <v>332</v>
      </c>
    </row>
    <row r="507" customFormat="false" ht="12.75" hidden="false" customHeight="false" outlineLevel="0" collapsed="false">
      <c r="C507" s="8" t="s">
        <v>2788</v>
      </c>
      <c r="D507" s="8" t="n">
        <v>126</v>
      </c>
      <c r="F507" s="8" t="s">
        <v>245</v>
      </c>
      <c r="G507" s="8" t="s">
        <v>2789</v>
      </c>
      <c r="H507" s="8" t="s">
        <v>244</v>
      </c>
      <c r="I507" s="8" t="str">
        <f aca="false">"tmt10_"&amp;D507</f>
        <v>tmt10_126</v>
      </c>
      <c r="J507" s="8" t="str">
        <f aca="false">H507&amp;":"&amp;I507</f>
        <v>att_tmt_channel:tmt10_126</v>
      </c>
    </row>
    <row r="508" customFormat="false" ht="12.75" hidden="false" customHeight="false" outlineLevel="0" collapsed="false">
      <c r="C508" s="8" t="s">
        <v>2788</v>
      </c>
      <c r="D508" s="8" t="s">
        <v>2444</v>
      </c>
      <c r="F508" s="8" t="s">
        <v>245</v>
      </c>
      <c r="G508" s="8" t="s">
        <v>2789</v>
      </c>
      <c r="H508" s="8" t="s">
        <v>244</v>
      </c>
      <c r="I508" s="8" t="str">
        <f aca="false">"tmt10_"&amp;D508</f>
        <v>tmt10_127N</v>
      </c>
      <c r="J508" s="8" t="str">
        <f aca="false">H508&amp;":"&amp;I508</f>
        <v>att_tmt_channel:tmt10_127N</v>
      </c>
    </row>
    <row r="509" customFormat="false" ht="12.75" hidden="false" customHeight="false" outlineLevel="0" collapsed="false">
      <c r="C509" s="8" t="s">
        <v>2788</v>
      </c>
      <c r="D509" s="8" t="s">
        <v>2442</v>
      </c>
      <c r="F509" s="8" t="s">
        <v>245</v>
      </c>
      <c r="G509" s="8" t="s">
        <v>2789</v>
      </c>
      <c r="H509" s="8" t="s">
        <v>244</v>
      </c>
      <c r="I509" s="8" t="str">
        <f aca="false">"tmt10_"&amp;D509</f>
        <v>tmt10_127C</v>
      </c>
      <c r="J509" s="8" t="str">
        <f aca="false">H509&amp;":"&amp;I509</f>
        <v>att_tmt_channel:tmt10_127C</v>
      </c>
    </row>
    <row r="510" customFormat="false" ht="12.75" hidden="false" customHeight="false" outlineLevel="0" collapsed="false">
      <c r="C510" s="8" t="s">
        <v>2788</v>
      </c>
      <c r="D510" s="8" t="s">
        <v>2448</v>
      </c>
      <c r="F510" s="8" t="s">
        <v>245</v>
      </c>
      <c r="G510" s="8" t="s">
        <v>2789</v>
      </c>
      <c r="H510" s="8" t="s">
        <v>244</v>
      </c>
      <c r="I510" s="8" t="str">
        <f aca="false">"tmt10_"&amp;D510</f>
        <v>tmt10_128N</v>
      </c>
      <c r="J510" s="8" t="str">
        <f aca="false">H510&amp;":"&amp;I510</f>
        <v>att_tmt_channel:tmt10_128N</v>
      </c>
    </row>
    <row r="511" customFormat="false" ht="12.75" hidden="false" customHeight="false" outlineLevel="0" collapsed="false">
      <c r="C511" s="8" t="s">
        <v>2788</v>
      </c>
      <c r="D511" s="8" t="s">
        <v>2446</v>
      </c>
      <c r="F511" s="8" t="s">
        <v>245</v>
      </c>
      <c r="G511" s="8" t="s">
        <v>2789</v>
      </c>
      <c r="H511" s="8" t="s">
        <v>244</v>
      </c>
      <c r="I511" s="8" t="str">
        <f aca="false">"tmt10_"&amp;D511</f>
        <v>tmt10_128C</v>
      </c>
      <c r="J511" s="8" t="str">
        <f aca="false">H511&amp;":"&amp;I511</f>
        <v>att_tmt_channel:tmt10_128C</v>
      </c>
    </row>
    <row r="512" customFormat="false" ht="12.75" hidden="false" customHeight="false" outlineLevel="0" collapsed="false">
      <c r="C512" s="8" t="s">
        <v>2788</v>
      </c>
      <c r="D512" s="8" t="s">
        <v>2452</v>
      </c>
      <c r="F512" s="8" t="s">
        <v>245</v>
      </c>
      <c r="G512" s="8" t="s">
        <v>2789</v>
      </c>
      <c r="H512" s="8" t="s">
        <v>244</v>
      </c>
      <c r="I512" s="8" t="str">
        <f aca="false">"tmt10_"&amp;D512</f>
        <v>tmt10_129N</v>
      </c>
      <c r="J512" s="8" t="str">
        <f aca="false">H512&amp;":"&amp;I512</f>
        <v>att_tmt_channel:tmt10_129N</v>
      </c>
    </row>
    <row r="513" customFormat="false" ht="12.75" hidden="false" customHeight="false" outlineLevel="0" collapsed="false">
      <c r="C513" s="8" t="s">
        <v>2788</v>
      </c>
      <c r="D513" s="8" t="s">
        <v>2450</v>
      </c>
      <c r="F513" s="8" t="s">
        <v>245</v>
      </c>
      <c r="G513" s="8" t="s">
        <v>2789</v>
      </c>
      <c r="H513" s="8" t="s">
        <v>244</v>
      </c>
      <c r="I513" s="8" t="str">
        <f aca="false">"tmt10_"&amp;D513</f>
        <v>tmt10_129C</v>
      </c>
      <c r="J513" s="8" t="str">
        <f aca="false">H513&amp;":"&amp;I513</f>
        <v>att_tmt_channel:tmt10_129C</v>
      </c>
    </row>
    <row r="514" customFormat="false" ht="12.75" hidden="false" customHeight="false" outlineLevel="0" collapsed="false">
      <c r="C514" s="8" t="s">
        <v>2788</v>
      </c>
      <c r="D514" s="8" t="s">
        <v>2456</v>
      </c>
      <c r="F514" s="8" t="s">
        <v>245</v>
      </c>
      <c r="G514" s="8" t="s">
        <v>2789</v>
      </c>
      <c r="H514" s="8" t="s">
        <v>244</v>
      </c>
      <c r="I514" s="8" t="str">
        <f aca="false">"tmt10_"&amp;D514</f>
        <v>tmt10_130N</v>
      </c>
      <c r="J514" s="8" t="str">
        <f aca="false">H514&amp;":"&amp;I514</f>
        <v>att_tmt_channel:tmt10_130N</v>
      </c>
    </row>
    <row r="515" customFormat="false" ht="12.75" hidden="false" customHeight="false" outlineLevel="0" collapsed="false">
      <c r="C515" s="8" t="s">
        <v>2788</v>
      </c>
      <c r="D515" s="8" t="s">
        <v>2454</v>
      </c>
      <c r="F515" s="8" t="s">
        <v>245</v>
      </c>
      <c r="G515" s="8" t="s">
        <v>2789</v>
      </c>
      <c r="H515" s="8" t="s">
        <v>244</v>
      </c>
      <c r="I515" s="8" t="str">
        <f aca="false">"tmt10_"&amp;D515</f>
        <v>tmt10_130C</v>
      </c>
      <c r="J515" s="8" t="str">
        <f aca="false">H515&amp;":"&amp;I515</f>
        <v>att_tmt_channel:tmt10_130C</v>
      </c>
    </row>
    <row r="516" customFormat="false" ht="12.75" hidden="false" customHeight="false" outlineLevel="0" collapsed="false">
      <c r="C516" s="8" t="s">
        <v>2788</v>
      </c>
      <c r="D516" s="8" t="n">
        <v>131</v>
      </c>
      <c r="F516" s="8" t="s">
        <v>245</v>
      </c>
      <c r="G516" s="8" t="s">
        <v>2789</v>
      </c>
      <c r="H516" s="8" t="s">
        <v>244</v>
      </c>
      <c r="I516" s="8" t="str">
        <f aca="false">"tmt10_"&amp;D516</f>
        <v>tmt10_131</v>
      </c>
      <c r="J516" s="8" t="str">
        <f aca="false">H516&amp;":"&amp;I516</f>
        <v>att_tmt_channel:tmt10_131</v>
      </c>
    </row>
    <row r="518" customFormat="false" ht="12.75" hidden="false" customHeight="false" outlineLevel="0" collapsed="false">
      <c r="C518" s="8" t="s">
        <v>2788</v>
      </c>
      <c r="D518" s="8" t="n">
        <v>126</v>
      </c>
      <c r="F518" s="8" t="s">
        <v>2790</v>
      </c>
      <c r="G518" s="8" t="s">
        <v>2789</v>
      </c>
      <c r="H518" s="8" t="s">
        <v>244</v>
      </c>
      <c r="I518" s="8" t="str">
        <f aca="false">"tmt11_"&amp;D518</f>
        <v>tmt11_126</v>
      </c>
      <c r="J518" s="8" t="str">
        <f aca="false">H518&amp;":"&amp;I518</f>
        <v>att_tmt_channel:tmt11_126</v>
      </c>
    </row>
    <row r="519" customFormat="false" ht="12.75" hidden="false" customHeight="false" outlineLevel="0" collapsed="false">
      <c r="C519" s="8" t="s">
        <v>2788</v>
      </c>
      <c r="D519" s="8" t="s">
        <v>2444</v>
      </c>
      <c r="F519" s="8" t="s">
        <v>2790</v>
      </c>
      <c r="G519" s="8" t="s">
        <v>2789</v>
      </c>
      <c r="H519" s="8" t="s">
        <v>244</v>
      </c>
      <c r="I519" s="8" t="str">
        <f aca="false">"tmt11_"&amp;D519</f>
        <v>tmt11_127N</v>
      </c>
      <c r="J519" s="8" t="str">
        <f aca="false">H519&amp;":"&amp;I519</f>
        <v>att_tmt_channel:tmt11_127N</v>
      </c>
    </row>
    <row r="520" customFormat="false" ht="12.75" hidden="false" customHeight="false" outlineLevel="0" collapsed="false">
      <c r="C520" s="8" t="s">
        <v>2788</v>
      </c>
      <c r="D520" s="8" t="s">
        <v>2442</v>
      </c>
      <c r="F520" s="8" t="s">
        <v>2790</v>
      </c>
      <c r="G520" s="8" t="s">
        <v>2789</v>
      </c>
      <c r="H520" s="8" t="s">
        <v>244</v>
      </c>
      <c r="I520" s="8" t="str">
        <f aca="false">"tmt11_"&amp;D520</f>
        <v>tmt11_127C</v>
      </c>
      <c r="J520" s="8" t="str">
        <f aca="false">H520&amp;":"&amp;I520</f>
        <v>att_tmt_channel:tmt11_127C</v>
      </c>
    </row>
    <row r="521" customFormat="false" ht="12.75" hidden="false" customHeight="false" outlineLevel="0" collapsed="false">
      <c r="C521" s="8" t="s">
        <v>2788</v>
      </c>
      <c r="D521" s="8" t="s">
        <v>2448</v>
      </c>
      <c r="F521" s="8" t="s">
        <v>2790</v>
      </c>
      <c r="G521" s="8" t="s">
        <v>2789</v>
      </c>
      <c r="H521" s="8" t="s">
        <v>244</v>
      </c>
      <c r="I521" s="8" t="str">
        <f aca="false">"tmt11_"&amp;D521</f>
        <v>tmt11_128N</v>
      </c>
      <c r="J521" s="8" t="str">
        <f aca="false">H521&amp;":"&amp;I521</f>
        <v>att_tmt_channel:tmt11_128N</v>
      </c>
    </row>
    <row r="522" customFormat="false" ht="12.75" hidden="false" customHeight="false" outlineLevel="0" collapsed="false">
      <c r="C522" s="8" t="s">
        <v>2788</v>
      </c>
      <c r="D522" s="8" t="s">
        <v>2446</v>
      </c>
      <c r="F522" s="8" t="s">
        <v>2790</v>
      </c>
      <c r="G522" s="8" t="s">
        <v>2789</v>
      </c>
      <c r="H522" s="8" t="s">
        <v>244</v>
      </c>
      <c r="I522" s="8" t="str">
        <f aca="false">"tmt11_"&amp;D522</f>
        <v>tmt11_128C</v>
      </c>
      <c r="J522" s="8" t="str">
        <f aca="false">H522&amp;":"&amp;I522</f>
        <v>att_tmt_channel:tmt11_128C</v>
      </c>
    </row>
    <row r="523" customFormat="false" ht="12.75" hidden="false" customHeight="false" outlineLevel="0" collapsed="false">
      <c r="C523" s="8" t="s">
        <v>2788</v>
      </c>
      <c r="D523" s="8" t="s">
        <v>2452</v>
      </c>
      <c r="F523" s="8" t="s">
        <v>2790</v>
      </c>
      <c r="G523" s="8" t="s">
        <v>2789</v>
      </c>
      <c r="H523" s="8" t="s">
        <v>244</v>
      </c>
      <c r="I523" s="8" t="str">
        <f aca="false">"tmt11_"&amp;D523</f>
        <v>tmt11_129N</v>
      </c>
      <c r="J523" s="8" t="str">
        <f aca="false">H523&amp;":"&amp;I523</f>
        <v>att_tmt_channel:tmt11_129N</v>
      </c>
    </row>
    <row r="524" customFormat="false" ht="12.75" hidden="false" customHeight="false" outlineLevel="0" collapsed="false">
      <c r="C524" s="8" t="s">
        <v>2788</v>
      </c>
      <c r="D524" s="8" t="s">
        <v>2450</v>
      </c>
      <c r="F524" s="8" t="s">
        <v>2790</v>
      </c>
      <c r="G524" s="8" t="s">
        <v>2789</v>
      </c>
      <c r="H524" s="8" t="s">
        <v>244</v>
      </c>
      <c r="I524" s="8" t="str">
        <f aca="false">"tmt11_"&amp;D524</f>
        <v>tmt11_129C</v>
      </c>
      <c r="J524" s="8" t="str">
        <f aca="false">H524&amp;":"&amp;I524</f>
        <v>att_tmt_channel:tmt11_129C</v>
      </c>
    </row>
    <row r="525" customFormat="false" ht="12.75" hidden="false" customHeight="false" outlineLevel="0" collapsed="false">
      <c r="C525" s="8" t="s">
        <v>2788</v>
      </c>
      <c r="D525" s="8" t="s">
        <v>2456</v>
      </c>
      <c r="F525" s="8" t="s">
        <v>2790</v>
      </c>
      <c r="G525" s="8" t="s">
        <v>2789</v>
      </c>
      <c r="H525" s="8" t="s">
        <v>244</v>
      </c>
      <c r="I525" s="8" t="str">
        <f aca="false">"tmt11_"&amp;D525</f>
        <v>tmt11_130N</v>
      </c>
      <c r="J525" s="8" t="str">
        <f aca="false">H525&amp;":"&amp;I525</f>
        <v>att_tmt_channel:tmt11_130N</v>
      </c>
    </row>
    <row r="526" customFormat="false" ht="12.75" hidden="false" customHeight="false" outlineLevel="0" collapsed="false">
      <c r="C526" s="8" t="s">
        <v>2788</v>
      </c>
      <c r="D526" s="8" t="s">
        <v>2454</v>
      </c>
      <c r="F526" s="8" t="s">
        <v>2790</v>
      </c>
      <c r="G526" s="8" t="s">
        <v>2789</v>
      </c>
      <c r="H526" s="8" t="s">
        <v>244</v>
      </c>
      <c r="I526" s="8" t="str">
        <f aca="false">"tmt11_"&amp;D526</f>
        <v>tmt11_130C</v>
      </c>
      <c r="J526" s="8" t="str">
        <f aca="false">H526&amp;":"&amp;I526</f>
        <v>att_tmt_channel:tmt11_130C</v>
      </c>
    </row>
    <row r="527" customFormat="false" ht="12.75" hidden="false" customHeight="false" outlineLevel="0" collapsed="false">
      <c r="C527" s="8" t="s">
        <v>2788</v>
      </c>
      <c r="D527" s="8" t="s">
        <v>2470</v>
      </c>
      <c r="F527" s="8" t="s">
        <v>2790</v>
      </c>
      <c r="G527" s="8" t="s">
        <v>2789</v>
      </c>
      <c r="H527" s="8" t="s">
        <v>244</v>
      </c>
      <c r="I527" s="8" t="str">
        <f aca="false">"tmt11_"&amp;D527</f>
        <v>tmt11_131N</v>
      </c>
      <c r="J527" s="8" t="str">
        <f aca="false">H527&amp;":"&amp;I527</f>
        <v>att_tmt_channel:tmt11_131N</v>
      </c>
    </row>
    <row r="528" customFormat="false" ht="12.75" hidden="false" customHeight="false" outlineLevel="0" collapsed="false">
      <c r="C528" s="8" t="s">
        <v>2788</v>
      </c>
      <c r="D528" s="8" t="s">
        <v>2468</v>
      </c>
      <c r="F528" s="8" t="s">
        <v>2790</v>
      </c>
      <c r="G528" s="8" t="s">
        <v>2789</v>
      </c>
      <c r="H528" s="8" t="s">
        <v>244</v>
      </c>
      <c r="I528" s="8" t="str">
        <f aca="false">"tmt11_"&amp;D528</f>
        <v>tmt11_131C</v>
      </c>
      <c r="J528" s="8" t="str">
        <f aca="false">H528&amp;":"&amp;I528</f>
        <v>att_tmt_channel:tmt11_131C</v>
      </c>
    </row>
    <row r="531" customFormat="false" ht="12.75" hidden="false" customHeight="false" outlineLevel="0" collapsed="false">
      <c r="C531" s="8" t="s">
        <v>2788</v>
      </c>
      <c r="D531" s="8" t="n">
        <v>126</v>
      </c>
      <c r="F531" s="8" t="s">
        <v>2791</v>
      </c>
      <c r="G531" s="8" t="s">
        <v>2789</v>
      </c>
      <c r="H531" s="8" t="s">
        <v>244</v>
      </c>
      <c r="I531" s="8" t="str">
        <f aca="false">"tmt6_"&amp;D531</f>
        <v>tmt6_126</v>
      </c>
      <c r="J531" s="8" t="str">
        <f aca="false">H531&amp;":"&amp;I531</f>
        <v>att_tmt_channel:tmt6_126</v>
      </c>
    </row>
    <row r="532" customFormat="false" ht="12.75" hidden="false" customHeight="false" outlineLevel="0" collapsed="false">
      <c r="C532" s="8" t="s">
        <v>2788</v>
      </c>
      <c r="D532" s="8" t="n">
        <v>127</v>
      </c>
      <c r="F532" s="8" t="s">
        <v>2791</v>
      </c>
      <c r="G532" s="8" t="s">
        <v>2789</v>
      </c>
      <c r="H532" s="8" t="s">
        <v>244</v>
      </c>
      <c r="I532" s="8" t="str">
        <f aca="false">"tmt6_"&amp;D532</f>
        <v>tmt6_127</v>
      </c>
      <c r="J532" s="8" t="str">
        <f aca="false">H532&amp;":"&amp;I532</f>
        <v>att_tmt_channel:tmt6_127</v>
      </c>
    </row>
    <row r="533" customFormat="false" ht="12.75" hidden="false" customHeight="false" outlineLevel="0" collapsed="false">
      <c r="C533" s="8" t="s">
        <v>2788</v>
      </c>
      <c r="D533" s="8" t="n">
        <v>128</v>
      </c>
      <c r="F533" s="8" t="s">
        <v>2791</v>
      </c>
      <c r="G533" s="8" t="s">
        <v>2789</v>
      </c>
      <c r="H533" s="8" t="s">
        <v>244</v>
      </c>
      <c r="I533" s="8" t="str">
        <f aca="false">"tmt6_"&amp;D533</f>
        <v>tmt6_128</v>
      </c>
      <c r="J533" s="8" t="str">
        <f aca="false">H533&amp;":"&amp;I533</f>
        <v>att_tmt_channel:tmt6_128</v>
      </c>
    </row>
    <row r="534" customFormat="false" ht="12.75" hidden="false" customHeight="false" outlineLevel="0" collapsed="false">
      <c r="C534" s="8" t="s">
        <v>2788</v>
      </c>
      <c r="D534" s="8" t="n">
        <v>129</v>
      </c>
      <c r="F534" s="8" t="s">
        <v>2791</v>
      </c>
      <c r="G534" s="8" t="s">
        <v>2789</v>
      </c>
      <c r="H534" s="8" t="s">
        <v>244</v>
      </c>
      <c r="I534" s="8" t="str">
        <f aca="false">"tmt6_"&amp;D534</f>
        <v>tmt6_129</v>
      </c>
      <c r="J534" s="8" t="str">
        <f aca="false">H534&amp;":"&amp;I534</f>
        <v>att_tmt_channel:tmt6_129</v>
      </c>
    </row>
    <row r="535" customFormat="false" ht="12.75" hidden="false" customHeight="false" outlineLevel="0" collapsed="false">
      <c r="C535" s="8" t="s">
        <v>2788</v>
      </c>
      <c r="D535" s="8" t="n">
        <v>130</v>
      </c>
      <c r="F535" s="8" t="s">
        <v>2791</v>
      </c>
      <c r="G535" s="8" t="s">
        <v>2789</v>
      </c>
      <c r="H535" s="8" t="s">
        <v>244</v>
      </c>
      <c r="I535" s="8" t="str">
        <f aca="false">"tmt6_"&amp;D535</f>
        <v>tmt6_130</v>
      </c>
      <c r="J535" s="8" t="str">
        <f aca="false">H535&amp;":"&amp;I535</f>
        <v>att_tmt_channel:tmt6_130</v>
      </c>
    </row>
    <row r="536" customFormat="false" ht="12.75" hidden="false" customHeight="false" outlineLevel="0" collapsed="false">
      <c r="C536" s="8" t="s">
        <v>2788</v>
      </c>
      <c r="D536" s="8" t="n">
        <v>131</v>
      </c>
      <c r="F536" s="8" t="s">
        <v>2791</v>
      </c>
      <c r="G536" s="8" t="s">
        <v>2789</v>
      </c>
      <c r="H536" s="8" t="s">
        <v>244</v>
      </c>
      <c r="I536" s="8" t="str">
        <f aca="false">"tmt6_"&amp;D536</f>
        <v>tmt6_131</v>
      </c>
      <c r="J536" s="8" t="str">
        <f aca="false">H536&amp;":"&amp;I536</f>
        <v>att_tmt_channel:tmt6_131</v>
      </c>
    </row>
    <row r="539" customFormat="false" ht="12.75" hidden="false" customHeight="false" outlineLevel="0" collapsed="false">
      <c r="C539" s="8" t="s">
        <v>2788</v>
      </c>
      <c r="D539" s="8" t="n">
        <v>126</v>
      </c>
      <c r="F539" s="8" t="s">
        <v>2792</v>
      </c>
      <c r="G539" s="8" t="s">
        <v>2789</v>
      </c>
      <c r="H539" s="8" t="s">
        <v>244</v>
      </c>
      <c r="I539" s="8" t="str">
        <f aca="false">"tmt18_"&amp;D539</f>
        <v>tmt18_126</v>
      </c>
      <c r="J539" s="8" t="str">
        <f aca="false">H539&amp;":"&amp;I539</f>
        <v>att_tmt_channel:tmt18_126</v>
      </c>
    </row>
    <row r="540" customFormat="false" ht="12.75" hidden="false" customHeight="false" outlineLevel="0" collapsed="false">
      <c r="C540" s="8" t="s">
        <v>2788</v>
      </c>
      <c r="D540" s="8" t="s">
        <v>2444</v>
      </c>
      <c r="F540" s="8" t="s">
        <v>2792</v>
      </c>
      <c r="G540" s="8" t="s">
        <v>2789</v>
      </c>
      <c r="H540" s="8" t="s">
        <v>244</v>
      </c>
      <c r="I540" s="8" t="str">
        <f aca="false">"tmt18_"&amp;D540</f>
        <v>tmt18_127N</v>
      </c>
      <c r="J540" s="8" t="str">
        <f aca="false">H540&amp;":"&amp;I540</f>
        <v>att_tmt_channel:tmt18_127N</v>
      </c>
    </row>
    <row r="541" customFormat="false" ht="12.75" hidden="false" customHeight="false" outlineLevel="0" collapsed="false">
      <c r="C541" s="8" t="s">
        <v>2788</v>
      </c>
      <c r="D541" s="8" t="s">
        <v>2442</v>
      </c>
      <c r="F541" s="8" t="s">
        <v>2792</v>
      </c>
      <c r="G541" s="8" t="s">
        <v>2789</v>
      </c>
      <c r="H541" s="8" t="s">
        <v>244</v>
      </c>
      <c r="I541" s="8" t="str">
        <f aca="false">"tmt18_"&amp;D541</f>
        <v>tmt18_127C</v>
      </c>
      <c r="J541" s="8" t="str">
        <f aca="false">H541&amp;":"&amp;I541</f>
        <v>att_tmt_channel:tmt18_127C</v>
      </c>
    </row>
    <row r="542" customFormat="false" ht="12.75" hidden="false" customHeight="false" outlineLevel="0" collapsed="false">
      <c r="C542" s="8" t="s">
        <v>2788</v>
      </c>
      <c r="D542" s="8" t="s">
        <v>2448</v>
      </c>
      <c r="F542" s="8" t="s">
        <v>2792</v>
      </c>
      <c r="G542" s="8" t="s">
        <v>2789</v>
      </c>
      <c r="H542" s="8" t="s">
        <v>244</v>
      </c>
      <c r="I542" s="8" t="str">
        <f aca="false">"tmt18_"&amp;D542</f>
        <v>tmt18_128N</v>
      </c>
      <c r="J542" s="8" t="str">
        <f aca="false">H542&amp;":"&amp;I542</f>
        <v>att_tmt_channel:tmt18_128N</v>
      </c>
    </row>
    <row r="543" customFormat="false" ht="12.75" hidden="false" customHeight="false" outlineLevel="0" collapsed="false">
      <c r="C543" s="8" t="s">
        <v>2788</v>
      </c>
      <c r="D543" s="8" t="s">
        <v>2446</v>
      </c>
      <c r="F543" s="8" t="s">
        <v>2792</v>
      </c>
      <c r="G543" s="8" t="s">
        <v>2789</v>
      </c>
      <c r="H543" s="8" t="s">
        <v>244</v>
      </c>
      <c r="I543" s="8" t="str">
        <f aca="false">"tmt18_"&amp;D543</f>
        <v>tmt18_128C</v>
      </c>
      <c r="J543" s="8" t="str">
        <f aca="false">H543&amp;":"&amp;I543</f>
        <v>att_tmt_channel:tmt18_128C</v>
      </c>
    </row>
    <row r="544" customFormat="false" ht="12.75" hidden="false" customHeight="false" outlineLevel="0" collapsed="false">
      <c r="C544" s="8" t="s">
        <v>2788</v>
      </c>
      <c r="D544" s="8" t="s">
        <v>2452</v>
      </c>
      <c r="F544" s="8" t="s">
        <v>2792</v>
      </c>
      <c r="G544" s="8" t="s">
        <v>2789</v>
      </c>
      <c r="H544" s="8" t="s">
        <v>244</v>
      </c>
      <c r="I544" s="8" t="str">
        <f aca="false">"tmt18_"&amp;D544</f>
        <v>tmt18_129N</v>
      </c>
      <c r="J544" s="8" t="str">
        <f aca="false">H544&amp;":"&amp;I544</f>
        <v>att_tmt_channel:tmt18_129N</v>
      </c>
    </row>
    <row r="545" customFormat="false" ht="12.75" hidden="false" customHeight="false" outlineLevel="0" collapsed="false">
      <c r="C545" s="8" t="s">
        <v>2788</v>
      </c>
      <c r="D545" s="8" t="s">
        <v>2450</v>
      </c>
      <c r="F545" s="8" t="s">
        <v>2792</v>
      </c>
      <c r="G545" s="8" t="s">
        <v>2789</v>
      </c>
      <c r="H545" s="8" t="s">
        <v>244</v>
      </c>
      <c r="I545" s="8" t="str">
        <f aca="false">"tmt18_"&amp;D545</f>
        <v>tmt18_129C</v>
      </c>
      <c r="J545" s="8" t="str">
        <f aca="false">H545&amp;":"&amp;I545</f>
        <v>att_tmt_channel:tmt18_129C</v>
      </c>
    </row>
    <row r="546" customFormat="false" ht="12.75" hidden="false" customHeight="false" outlineLevel="0" collapsed="false">
      <c r="C546" s="8" t="s">
        <v>2788</v>
      </c>
      <c r="D546" s="8" t="s">
        <v>2456</v>
      </c>
      <c r="F546" s="8" t="s">
        <v>2792</v>
      </c>
      <c r="G546" s="8" t="s">
        <v>2789</v>
      </c>
      <c r="H546" s="8" t="s">
        <v>244</v>
      </c>
      <c r="I546" s="8" t="str">
        <f aca="false">"tmt18_"&amp;D546</f>
        <v>tmt18_130N</v>
      </c>
      <c r="J546" s="8" t="str">
        <f aca="false">H546&amp;":"&amp;I546</f>
        <v>att_tmt_channel:tmt18_130N</v>
      </c>
    </row>
    <row r="547" customFormat="false" ht="12.75" hidden="false" customHeight="false" outlineLevel="0" collapsed="false">
      <c r="C547" s="8" t="s">
        <v>2788</v>
      </c>
      <c r="D547" s="8" t="s">
        <v>2454</v>
      </c>
      <c r="F547" s="8" t="s">
        <v>2792</v>
      </c>
      <c r="G547" s="8" t="s">
        <v>2789</v>
      </c>
      <c r="H547" s="8" t="s">
        <v>244</v>
      </c>
      <c r="I547" s="8" t="str">
        <f aca="false">"tmt18_"&amp;D547</f>
        <v>tmt18_130C</v>
      </c>
      <c r="J547" s="8" t="str">
        <f aca="false">H547&amp;":"&amp;I547</f>
        <v>att_tmt_channel:tmt18_130C</v>
      </c>
    </row>
    <row r="548" customFormat="false" ht="12.75" hidden="false" customHeight="false" outlineLevel="0" collapsed="false">
      <c r="C548" s="8" t="s">
        <v>2788</v>
      </c>
      <c r="D548" s="8" t="s">
        <v>2470</v>
      </c>
      <c r="F548" s="8" t="s">
        <v>2792</v>
      </c>
      <c r="G548" s="8" t="s">
        <v>2789</v>
      </c>
      <c r="H548" s="8" t="s">
        <v>244</v>
      </c>
      <c r="I548" s="8" t="str">
        <f aca="false">"tmt18_"&amp;D548</f>
        <v>tmt18_131N</v>
      </c>
      <c r="J548" s="8" t="str">
        <f aca="false">H548&amp;":"&amp;I548</f>
        <v>att_tmt_channel:tmt18_131N</v>
      </c>
    </row>
    <row r="549" customFormat="false" ht="12.75" hidden="false" customHeight="false" outlineLevel="0" collapsed="false">
      <c r="C549" s="8" t="s">
        <v>2788</v>
      </c>
      <c r="D549" s="8" t="s">
        <v>2468</v>
      </c>
      <c r="F549" s="8" t="s">
        <v>2792</v>
      </c>
      <c r="G549" s="8" t="s">
        <v>2789</v>
      </c>
      <c r="H549" s="8" t="s">
        <v>244</v>
      </c>
      <c r="I549" s="8" t="str">
        <f aca="false">"tmt18_"&amp;D549</f>
        <v>tmt18_131C</v>
      </c>
      <c r="J549" s="8" t="str">
        <f aca="false">H549&amp;":"&amp;I549</f>
        <v>att_tmt_channel:tmt18_131C</v>
      </c>
    </row>
    <row r="550" customFormat="false" ht="12.75" hidden="false" customHeight="false" outlineLevel="0" collapsed="false">
      <c r="C550" s="8" t="s">
        <v>2788</v>
      </c>
      <c r="D550" s="8" t="s">
        <v>2485</v>
      </c>
      <c r="F550" s="8" t="s">
        <v>2792</v>
      </c>
      <c r="G550" s="8" t="s">
        <v>2789</v>
      </c>
      <c r="H550" s="8" t="s">
        <v>244</v>
      </c>
      <c r="I550" s="8" t="str">
        <f aca="false">"tmt18_"&amp;D550</f>
        <v>tmt18_132N</v>
      </c>
      <c r="J550" s="8" t="str">
        <f aca="false">H550&amp;":"&amp;I550</f>
        <v>att_tmt_channel:tmt18_132N</v>
      </c>
    </row>
    <row r="551" customFormat="false" ht="12.75" hidden="false" customHeight="false" outlineLevel="0" collapsed="false">
      <c r="C551" s="8" t="s">
        <v>2788</v>
      </c>
      <c r="D551" s="8" t="s">
        <v>2483</v>
      </c>
      <c r="F551" s="8" t="s">
        <v>2792</v>
      </c>
      <c r="G551" s="8" t="s">
        <v>2789</v>
      </c>
      <c r="H551" s="8" t="s">
        <v>244</v>
      </c>
      <c r="I551" s="8" t="str">
        <f aca="false">"tmt18_"&amp;D551</f>
        <v>tmt18_132C</v>
      </c>
      <c r="J551" s="8" t="str">
        <f aca="false">H551&amp;":"&amp;I551</f>
        <v>att_tmt_channel:tmt18_132C</v>
      </c>
    </row>
    <row r="552" customFormat="false" ht="12.75" hidden="false" customHeight="false" outlineLevel="0" collapsed="false">
      <c r="C552" s="8" t="s">
        <v>2788</v>
      </c>
      <c r="D552" s="8" t="s">
        <v>2489</v>
      </c>
      <c r="F552" s="8" t="s">
        <v>2792</v>
      </c>
      <c r="G552" s="8" t="s">
        <v>2789</v>
      </c>
      <c r="H552" s="8" t="s">
        <v>244</v>
      </c>
      <c r="I552" s="8" t="str">
        <f aca="false">"tmt18_"&amp;D552</f>
        <v>tmt18_133N</v>
      </c>
      <c r="J552" s="8" t="str">
        <f aca="false">H552&amp;":"&amp;I552</f>
        <v>att_tmt_channel:tmt18_133N</v>
      </c>
    </row>
    <row r="553" customFormat="false" ht="12.75" hidden="false" customHeight="false" outlineLevel="0" collapsed="false">
      <c r="C553" s="8" t="s">
        <v>2788</v>
      </c>
      <c r="D553" s="8" t="s">
        <v>2487</v>
      </c>
      <c r="F553" s="8" t="s">
        <v>2792</v>
      </c>
      <c r="G553" s="8" t="s">
        <v>2789</v>
      </c>
      <c r="H553" s="8" t="s">
        <v>244</v>
      </c>
      <c r="I553" s="8" t="str">
        <f aca="false">"tmt18_"&amp;D553</f>
        <v>tmt18_133C</v>
      </c>
      <c r="J553" s="8" t="str">
        <f aca="false">H553&amp;":"&amp;I553</f>
        <v>att_tmt_channel:tmt18_133C</v>
      </c>
    </row>
    <row r="554" customFormat="false" ht="12.75" hidden="false" customHeight="false" outlineLevel="0" collapsed="false">
      <c r="C554" s="8" t="s">
        <v>2788</v>
      </c>
      <c r="D554" s="8" t="s">
        <v>2493</v>
      </c>
      <c r="F554" s="8" t="s">
        <v>2792</v>
      </c>
      <c r="G554" s="8" t="s">
        <v>2789</v>
      </c>
      <c r="H554" s="8" t="s">
        <v>244</v>
      </c>
      <c r="I554" s="8" t="str">
        <f aca="false">"tmt18_"&amp;D554</f>
        <v>tmt18_134N</v>
      </c>
      <c r="J554" s="8" t="str">
        <f aca="false">H554&amp;":"&amp;I554</f>
        <v>att_tmt_channel:tmt18_134N</v>
      </c>
    </row>
    <row r="555" customFormat="false" ht="12.75" hidden="false" customHeight="false" outlineLevel="0" collapsed="false">
      <c r="C555" s="8" t="s">
        <v>2788</v>
      </c>
      <c r="D555" s="8" t="s">
        <v>2491</v>
      </c>
      <c r="F555" s="8" t="s">
        <v>2792</v>
      </c>
      <c r="G555" s="8" t="s">
        <v>2789</v>
      </c>
      <c r="H555" s="8" t="s">
        <v>244</v>
      </c>
      <c r="I555" s="8" t="str">
        <f aca="false">"tmt18_"&amp;D555</f>
        <v>tmt18_134C</v>
      </c>
      <c r="J555" s="8" t="str">
        <f aca="false">H555&amp;":"&amp;I555</f>
        <v>att_tmt_channel:tmt18_134C</v>
      </c>
    </row>
    <row r="556" customFormat="false" ht="12.75" hidden="false" customHeight="false" outlineLevel="0" collapsed="false">
      <c r="C556" s="8" t="s">
        <v>2788</v>
      </c>
      <c r="D556" s="8" t="s">
        <v>2495</v>
      </c>
      <c r="F556" s="8" t="s">
        <v>2792</v>
      </c>
      <c r="G556" s="8" t="s">
        <v>2789</v>
      </c>
      <c r="H556" s="8" t="s">
        <v>244</v>
      </c>
      <c r="I556" s="8" t="str">
        <f aca="false">"tmt18_"&amp;D556</f>
        <v>tmt18_135N</v>
      </c>
      <c r="J556" s="8" t="str">
        <f aca="false">H556&amp;":"&amp;I556</f>
        <v>att_tmt_channel:tmt18_135N</v>
      </c>
    </row>
    <row r="562" customFormat="false" ht="12.75" hidden="false" customHeight="false" outlineLevel="0" collapsed="false">
      <c r="C562" s="8" t="s">
        <v>2793</v>
      </c>
      <c r="D562" s="8" t="s">
        <v>2515</v>
      </c>
      <c r="F562" s="8" t="s">
        <v>2794</v>
      </c>
      <c r="G562" s="8" t="s">
        <v>2795</v>
      </c>
      <c r="H562" s="8" t="s">
        <v>2796</v>
      </c>
      <c r="I562" s="8" t="s">
        <v>2514</v>
      </c>
      <c r="J562" s="8" t="str">
        <f aca="false">H562&amp;":"&amp;I562</f>
        <v>att_user_group:mitoprotea</v>
      </c>
    </row>
    <row r="563" customFormat="false" ht="12.75" hidden="false" customHeight="false" outlineLevel="0" collapsed="false">
      <c r="C563" s="8" t="s">
        <v>2793</v>
      </c>
      <c r="D563" s="8" t="s">
        <v>2518</v>
      </c>
      <c r="F563" s="8" t="s">
        <v>2794</v>
      </c>
      <c r="G563" s="8" t="s">
        <v>2795</v>
      </c>
      <c r="H563" s="8" t="s">
        <v>2796</v>
      </c>
      <c r="I563" s="8" t="s">
        <v>2517</v>
      </c>
      <c r="J563" s="8" t="str">
        <f aca="false">H563&amp;":"&amp;I563</f>
        <v>att_user_group:molageing</v>
      </c>
    </row>
    <row r="566" customFormat="false" ht="12.75" hidden="false" customHeight="false" outlineLevel="0" collapsed="false">
      <c r="C566" s="8" t="s">
        <v>2797</v>
      </c>
      <c r="D566" s="8" t="s">
        <v>2509</v>
      </c>
      <c r="F566" s="8" t="s">
        <v>254</v>
      </c>
      <c r="G566" s="8" t="s">
        <v>2798</v>
      </c>
      <c r="H566" s="8" t="s">
        <v>253</v>
      </c>
      <c r="I566" s="8" t="s">
        <v>2508</v>
      </c>
      <c r="J566" s="8" t="str">
        <f aca="false">H566&amp;":"&amp;I566</f>
        <v>att_user_institute:mpiage</v>
      </c>
    </row>
    <row r="567" customFormat="false" ht="12.75" hidden="false" customHeight="false" outlineLevel="0" collapsed="false">
      <c r="C567" s="8" t="s">
        <v>2797</v>
      </c>
      <c r="D567" s="8" t="s">
        <v>2506</v>
      </c>
      <c r="F567" s="8" t="s">
        <v>254</v>
      </c>
      <c r="G567" s="8" t="s">
        <v>2798</v>
      </c>
      <c r="H567" s="8" t="s">
        <v>253</v>
      </c>
      <c r="I567" s="8" t="s">
        <v>2505</v>
      </c>
      <c r="J567" s="8" t="str">
        <f aca="false">H567&amp;":"&amp;I567</f>
        <v>att_user_institute:cecad</v>
      </c>
    </row>
    <row r="568" customFormat="false" ht="12.75" hidden="false" customHeight="false" outlineLevel="0" collapsed="false">
      <c r="C568" s="8" t="s">
        <v>2797</v>
      </c>
      <c r="D568" s="8" t="s">
        <v>2512</v>
      </c>
      <c r="F568" s="8" t="s">
        <v>254</v>
      </c>
      <c r="G568" s="8" t="s">
        <v>2798</v>
      </c>
      <c r="H568" s="8" t="s">
        <v>253</v>
      </c>
      <c r="I568" s="8" t="s">
        <v>2511</v>
      </c>
      <c r="J568" s="8" t="str">
        <f aca="false">H568&amp;":"&amp;I568</f>
        <v>att_user_institute:mpimetab</v>
      </c>
    </row>
    <row r="569" customFormat="false" ht="12.75" hidden="false" customHeight="false" outlineLevel="0" collapsed="false">
      <c r="C569" s="8" t="s">
        <v>2797</v>
      </c>
      <c r="D569" s="8" t="s">
        <v>2503</v>
      </c>
      <c r="F569" s="8" t="s">
        <v>254</v>
      </c>
      <c r="G569" s="8" t="s">
        <v>2798</v>
      </c>
      <c r="H569" s="8" t="s">
        <v>253</v>
      </c>
      <c r="I569" s="8" t="s">
        <v>2502</v>
      </c>
      <c r="J569" s="8" t="str">
        <f aca="false">H569&amp;":"&amp;I569</f>
        <v>att_user_institute:biochem</v>
      </c>
    </row>
  </sheetData>
  <autoFilter ref="A1:O365"/>
  <conditionalFormatting sqref="C323:C335 I320 I175:I177 C365 C2:C321">
    <cfRule type="cellIs" priority="2" operator="equal" aboveAverage="0" equalAverage="0" bottom="0" percent="0" rank="0" text="" dxfId="12">
      <formula>INDIRECT(ADDRESS(ROW()-1,COLUMN()))</formula>
    </cfRule>
  </conditionalFormatting>
  <conditionalFormatting sqref="C439">
    <cfRule type="cellIs" priority="3" operator="equal" aboveAverage="0" equalAverage="0" bottom="0" percent="0" rank="0" text="" dxfId="13">
      <formula>INDIRECT(ADDRESS(ROW()-1,COLUMN()))</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22" activeCellId="0" sqref="D22"/>
    </sheetView>
  </sheetViews>
  <sheetFormatPr defaultColWidth="11.58984375" defaultRowHeight="12.75" zeroHeight="false" outlineLevelRow="0" outlineLevelCol="0"/>
  <cols>
    <col collapsed="false" customWidth="true" hidden="false" outlineLevel="0" max="1" min="1" style="0" width="31.5"/>
    <col collapsed="false" customWidth="true" hidden="false" outlineLevel="0" max="2" min="2" style="0" width="75.49"/>
    <col collapsed="false" customWidth="true" hidden="false" outlineLevel="0" max="5" min="4" style="0" width="32.66"/>
  </cols>
  <sheetData>
    <row r="1" customFormat="false" ht="23.25" hidden="false" customHeight="true" outlineLevel="0" collapsed="false">
      <c r="A1" s="23" t="s">
        <v>2799</v>
      </c>
      <c r="B1" s="23" t="s">
        <v>2800</v>
      </c>
      <c r="C1" s="23"/>
      <c r="D1" s="23" t="s">
        <v>2799</v>
      </c>
      <c r="E1" s="23" t="s">
        <v>2800</v>
      </c>
      <c r="F1" s="23"/>
      <c r="G1" s="23"/>
      <c r="H1" s="23"/>
      <c r="I1" s="23"/>
      <c r="J1" s="23"/>
    </row>
    <row r="2" customFormat="false" ht="23.25" hidden="false" customHeight="true" outlineLevel="0" collapsed="false">
      <c r="A2" s="23" t="s">
        <v>404</v>
      </c>
      <c r="B2" s="23" t="s">
        <v>405</v>
      </c>
      <c r="C2" s="23"/>
      <c r="D2" s="23" t="s">
        <v>404</v>
      </c>
      <c r="E2" s="24" t="s">
        <v>405</v>
      </c>
      <c r="F2" s="23"/>
      <c r="G2" s="23"/>
      <c r="H2" s="23"/>
      <c r="I2" s="23"/>
      <c r="J2" s="23"/>
    </row>
    <row r="3" customFormat="false" ht="23.25" hidden="false" customHeight="true" outlineLevel="0" collapsed="false">
      <c r="A3" s="23" t="s">
        <v>401</v>
      </c>
      <c r="B3" s="23"/>
      <c r="C3" s="23"/>
      <c r="D3" s="23" t="s">
        <v>401</v>
      </c>
      <c r="E3" s="24"/>
      <c r="F3" s="23"/>
      <c r="G3" s="23"/>
      <c r="H3" s="23"/>
      <c r="I3" s="23"/>
      <c r="J3" s="23"/>
    </row>
    <row r="4" customFormat="false" ht="23.25" hidden="false" customHeight="true" outlineLevel="0" collapsed="false">
      <c r="A4" s="23" t="s">
        <v>409</v>
      </c>
      <c r="B4" s="23"/>
      <c r="C4" s="23"/>
      <c r="D4" s="23" t="s">
        <v>409</v>
      </c>
      <c r="E4" s="24"/>
      <c r="F4" s="23"/>
      <c r="G4" s="23"/>
      <c r="H4" s="23"/>
      <c r="I4" s="23"/>
      <c r="J4" s="24"/>
    </row>
    <row r="5" customFormat="false" ht="23.25" hidden="false" customHeight="true" outlineLevel="0" collapsed="false">
      <c r="A5" s="23" t="s">
        <v>375</v>
      </c>
      <c r="B5" s="23" t="s">
        <v>376</v>
      </c>
      <c r="C5" s="23"/>
      <c r="D5" s="23" t="s">
        <v>375</v>
      </c>
      <c r="E5" s="24" t="s">
        <v>376</v>
      </c>
      <c r="F5" s="23"/>
      <c r="G5" s="23"/>
      <c r="H5" s="23"/>
      <c r="I5" s="23"/>
      <c r="J5" s="23"/>
    </row>
    <row r="6" customFormat="false" ht="23.25" hidden="false" customHeight="true" outlineLevel="0" collapsed="false">
      <c r="A6" s="23" t="s">
        <v>378</v>
      </c>
      <c r="B6" s="23"/>
      <c r="C6" s="23"/>
      <c r="D6" s="23" t="s">
        <v>378</v>
      </c>
      <c r="E6" s="23"/>
      <c r="F6" s="23"/>
      <c r="G6" s="23"/>
      <c r="H6" s="23"/>
      <c r="I6" s="23"/>
      <c r="J6" s="23"/>
    </row>
    <row r="7" customFormat="false" ht="23.25" hidden="false" customHeight="true" outlineLevel="0" collapsed="false">
      <c r="A7" s="23" t="s">
        <v>386</v>
      </c>
      <c r="B7" s="23" t="s">
        <v>387</v>
      </c>
      <c r="C7" s="23"/>
      <c r="D7" s="23" t="s">
        <v>386</v>
      </c>
      <c r="E7" s="24" t="s">
        <v>387</v>
      </c>
      <c r="F7" s="23"/>
      <c r="G7" s="23"/>
      <c r="H7" s="23"/>
      <c r="I7" s="23"/>
      <c r="J7" s="23"/>
    </row>
    <row r="8" customFormat="false" ht="23.25" hidden="false" customHeight="true" outlineLevel="0" collapsed="false">
      <c r="A8" s="23" t="s">
        <v>389</v>
      </c>
      <c r="B8" s="23" t="s">
        <v>390</v>
      </c>
      <c r="C8" s="23"/>
      <c r="D8" s="23" t="s">
        <v>389</v>
      </c>
      <c r="E8" s="23" t="s">
        <v>390</v>
      </c>
      <c r="F8" s="23"/>
      <c r="G8" s="23"/>
      <c r="H8" s="23"/>
      <c r="I8" s="23"/>
      <c r="J8" s="24"/>
    </row>
    <row r="9" customFormat="false" ht="23.25" hidden="false" customHeight="true" outlineLevel="0" collapsed="false">
      <c r="A9" s="23" t="s">
        <v>372</v>
      </c>
      <c r="B9" s="23" t="s">
        <v>373</v>
      </c>
      <c r="C9" s="23"/>
      <c r="D9" s="23" t="s">
        <v>372</v>
      </c>
      <c r="E9" s="24" t="s">
        <v>373</v>
      </c>
      <c r="F9" s="23"/>
      <c r="G9" s="23"/>
      <c r="H9" s="23"/>
      <c r="I9" s="23"/>
      <c r="J9" s="24"/>
    </row>
    <row r="10" customFormat="false" ht="23.25" hidden="false" customHeight="true" outlineLevel="0" collapsed="false">
      <c r="A10" s="23" t="s">
        <v>380</v>
      </c>
      <c r="B10" s="23" t="s">
        <v>381</v>
      </c>
      <c r="C10" s="23"/>
      <c r="D10" s="23" t="s">
        <v>380</v>
      </c>
      <c r="E10" s="24" t="s">
        <v>381</v>
      </c>
      <c r="F10" s="23"/>
      <c r="G10" s="23"/>
      <c r="H10" s="23"/>
      <c r="I10" s="23"/>
      <c r="J10" s="23"/>
    </row>
    <row r="11" customFormat="false" ht="23.25" hidden="false" customHeight="true" outlineLevel="0" collapsed="false">
      <c r="A11" s="23" t="s">
        <v>383</v>
      </c>
      <c r="B11" s="23" t="s">
        <v>384</v>
      </c>
      <c r="C11" s="23"/>
      <c r="D11" s="23" t="s">
        <v>383</v>
      </c>
      <c r="E11" s="24" t="s">
        <v>384</v>
      </c>
      <c r="F11" s="23"/>
      <c r="G11" s="23"/>
      <c r="H11" s="23"/>
      <c r="I11" s="23"/>
      <c r="J11" s="23"/>
    </row>
    <row r="12" customFormat="false" ht="23.25" hidden="false" customHeight="true" outlineLevel="0" collapsed="false">
      <c r="A12" s="23" t="s">
        <v>362</v>
      </c>
      <c r="B12" s="23" t="s">
        <v>363</v>
      </c>
      <c r="C12" s="23"/>
      <c r="D12" s="23" t="s">
        <v>362</v>
      </c>
      <c r="E12" s="24" t="s">
        <v>363</v>
      </c>
      <c r="F12" s="23"/>
      <c r="G12" s="23"/>
      <c r="H12" s="23"/>
      <c r="I12" s="23"/>
      <c r="J12" s="23"/>
    </row>
    <row r="13" customFormat="false" ht="23.25" hidden="false" customHeight="true" outlineLevel="0" collapsed="false">
      <c r="A13" s="23" t="s">
        <v>411</v>
      </c>
      <c r="B13" s="23" t="s">
        <v>412</v>
      </c>
      <c r="C13" s="23"/>
      <c r="D13" s="23" t="s">
        <v>411</v>
      </c>
      <c r="E13" s="24" t="s">
        <v>412</v>
      </c>
      <c r="F13" s="23"/>
      <c r="G13" s="23"/>
      <c r="H13" s="23"/>
      <c r="I13" s="23"/>
      <c r="J13" s="23"/>
    </row>
    <row r="14" customFormat="false" ht="23.25" hidden="false" customHeight="true" outlineLevel="0" collapsed="false">
      <c r="A14" s="23" t="s">
        <v>367</v>
      </c>
      <c r="B14" s="23" t="s">
        <v>368</v>
      </c>
      <c r="C14" s="23"/>
      <c r="D14" s="23" t="s">
        <v>367</v>
      </c>
      <c r="E14" s="24" t="s">
        <v>368</v>
      </c>
      <c r="F14" s="23"/>
      <c r="G14" s="23"/>
      <c r="H14" s="23"/>
      <c r="I14" s="23"/>
      <c r="J14" s="23"/>
    </row>
    <row r="15" customFormat="false" ht="23.25" hidden="false" customHeight="true" outlineLevel="0" collapsed="false">
      <c r="A15" s="23" t="s">
        <v>417</v>
      </c>
      <c r="B15" s="23" t="s">
        <v>418</v>
      </c>
      <c r="C15" s="23"/>
      <c r="D15" s="23" t="s">
        <v>417</v>
      </c>
      <c r="E15" s="24" t="s">
        <v>418</v>
      </c>
      <c r="F15" s="23"/>
      <c r="G15" s="23"/>
      <c r="H15" s="23"/>
      <c r="I15" s="23"/>
      <c r="J15" s="23"/>
    </row>
    <row r="16" customFormat="false" ht="23.25" hidden="false" customHeight="true" outlineLevel="0" collapsed="false">
      <c r="A16" s="23" t="s">
        <v>392</v>
      </c>
      <c r="B16" s="23" t="s">
        <v>393</v>
      </c>
      <c r="C16" s="23"/>
      <c r="D16" s="23" t="s">
        <v>392</v>
      </c>
      <c r="E16" s="24" t="s">
        <v>393</v>
      </c>
      <c r="F16" s="23"/>
      <c r="G16" s="23"/>
      <c r="H16" s="23"/>
      <c r="I16" s="23"/>
      <c r="J16" s="23"/>
    </row>
    <row r="17" customFormat="false" ht="23.25" hidden="false" customHeight="true" outlineLevel="0" collapsed="false">
      <c r="A17" s="23" t="s">
        <v>359</v>
      </c>
      <c r="B17" s="23" t="s">
        <v>360</v>
      </c>
      <c r="C17" s="23"/>
      <c r="D17" s="23" t="s">
        <v>359</v>
      </c>
      <c r="E17" s="23" t="s">
        <v>360</v>
      </c>
      <c r="F17" s="23"/>
      <c r="G17" s="23"/>
      <c r="H17" s="23"/>
      <c r="I17" s="23"/>
      <c r="J17" s="23"/>
    </row>
    <row r="18" customFormat="false" ht="23.25" hidden="false" customHeight="true" outlineLevel="0" collapsed="false">
      <c r="A18" s="23" t="s">
        <v>414</v>
      </c>
      <c r="B18" s="23" t="s">
        <v>415</v>
      </c>
      <c r="C18" s="23"/>
      <c r="D18" s="23" t="s">
        <v>414</v>
      </c>
      <c r="E18" s="23" t="s">
        <v>415</v>
      </c>
      <c r="F18" s="23"/>
      <c r="G18" s="23"/>
      <c r="H18" s="23"/>
      <c r="I18" s="23"/>
      <c r="J18" s="23"/>
    </row>
    <row r="19" customFormat="false" ht="23.25" hidden="false" customHeight="true" outlineLevel="0" collapsed="false">
      <c r="A19" s="23" t="s">
        <v>370</v>
      </c>
      <c r="B19" s="23"/>
      <c r="C19" s="23"/>
      <c r="D19" s="23" t="s">
        <v>370</v>
      </c>
      <c r="E19" s="23"/>
      <c r="F19" s="23"/>
      <c r="G19" s="23"/>
      <c r="H19" s="23"/>
      <c r="I19" s="23"/>
      <c r="J19" s="23"/>
    </row>
    <row r="20" customFormat="false" ht="23.25" hidden="false" customHeight="true" outlineLevel="0" collapsed="false">
      <c r="A20" s="23" t="s">
        <v>365</v>
      </c>
      <c r="B20" s="23"/>
      <c r="C20" s="23"/>
      <c r="D20" s="23" t="s">
        <v>365</v>
      </c>
      <c r="E20" s="23"/>
      <c r="F20" s="23"/>
      <c r="G20" s="23"/>
      <c r="H20" s="23"/>
      <c r="I20" s="23"/>
      <c r="J20" s="23"/>
    </row>
    <row r="21" customFormat="false" ht="23.25" hidden="false" customHeight="true" outlineLevel="0" collapsed="false">
      <c r="A21" s="23" t="s">
        <v>407</v>
      </c>
      <c r="B21" s="23"/>
      <c r="C21" s="23"/>
      <c r="D21" s="23" t="s">
        <v>407</v>
      </c>
      <c r="E21" s="23"/>
      <c r="F21" s="23"/>
      <c r="G21" s="23"/>
      <c r="H21" s="23"/>
      <c r="I21" s="23"/>
      <c r="J21" s="23"/>
    </row>
    <row r="22" customFormat="false" ht="23.25" hidden="false" customHeight="true" outlineLevel="0" collapsed="false">
      <c r="A22" s="23" t="s">
        <v>395</v>
      </c>
      <c r="B22" s="23"/>
      <c r="C22" s="23"/>
      <c r="D22" s="23" t="s">
        <v>395</v>
      </c>
      <c r="E22" s="24"/>
      <c r="F22" s="23"/>
      <c r="G22" s="23"/>
      <c r="H22" s="23"/>
      <c r="I22" s="23"/>
      <c r="J22" s="23"/>
    </row>
    <row r="23" customFormat="false" ht="23.25" hidden="false" customHeight="true" outlineLevel="0" collapsed="false">
      <c r="A23" s="23" t="s">
        <v>397</v>
      </c>
      <c r="B23" s="23"/>
      <c r="C23" s="23"/>
      <c r="D23" s="23" t="s">
        <v>397</v>
      </c>
      <c r="E23" s="23"/>
      <c r="F23" s="23"/>
      <c r="G23" s="23"/>
      <c r="H23" s="23"/>
      <c r="I23" s="23"/>
      <c r="J23" s="23"/>
    </row>
    <row r="24" customFormat="false" ht="23.25" hidden="false" customHeight="true" outlineLevel="0" collapsed="false">
      <c r="A24" s="23" t="s">
        <v>399</v>
      </c>
      <c r="B24" s="23"/>
      <c r="C24" s="23"/>
      <c r="D24" s="23" t="s">
        <v>399</v>
      </c>
      <c r="E24" s="23"/>
      <c r="F24" s="23"/>
      <c r="G24" s="23"/>
      <c r="H24" s="23"/>
      <c r="I24" s="23"/>
      <c r="J24" s="2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0" activeCellId="0" sqref="E30"/>
    </sheetView>
  </sheetViews>
  <sheetFormatPr defaultColWidth="10.75" defaultRowHeight="12.75" zeroHeight="false" outlineLevelRow="0" outlineLevelCol="0"/>
  <sheetData>
    <row r="1" customFormat="false" ht="12.75" hidden="false" customHeight="false" outlineLevel="0" collapsed="false">
      <c r="B1" s="0" t="s">
        <v>2801</v>
      </c>
    </row>
    <row r="3" customFormat="false" ht="12.75" hidden="false" customHeight="false" outlineLevel="0" collapsed="false">
      <c r="A3" s="0" t="n">
        <v>-2</v>
      </c>
      <c r="B3" s="0" t="s">
        <v>2802</v>
      </c>
    </row>
    <row r="4" customFormat="false" ht="12.75" hidden="false" customHeight="false" outlineLevel="0" collapsed="false">
      <c r="A4" s="0" t="n">
        <v>-1</v>
      </c>
      <c r="B4" s="0" t="s">
        <v>2803</v>
      </c>
    </row>
    <row r="5" customFormat="false" ht="12.75" hidden="false" customHeight="false" outlineLevel="0" collapsed="false">
      <c r="A5" s="0" t="n">
        <v>0</v>
      </c>
      <c r="B5" s="0" t="s">
        <v>2804</v>
      </c>
    </row>
    <row r="6" customFormat="false" ht="12.75" hidden="false" customHeight="false" outlineLevel="0" collapsed="false">
      <c r="A6" s="0" t="n">
        <v>1</v>
      </c>
      <c r="B6" s="0" t="s">
        <v>2805</v>
      </c>
    </row>
    <row r="7" customFormat="false" ht="12.75" hidden="false" customHeight="false" outlineLevel="0" collapsed="false">
      <c r="A7" s="0" t="n">
        <v>2</v>
      </c>
      <c r="B7" s="0" t="s">
        <v>2806</v>
      </c>
    </row>
    <row r="8" customFormat="false" ht="12.75" hidden="false" customHeight="false" outlineLevel="0" collapsed="false">
      <c r="A8" s="0" t="n">
        <v>3</v>
      </c>
      <c r="B8" s="0" t="s">
        <v>2807</v>
      </c>
    </row>
    <row r="9" customFormat="false" ht="12.75" hidden="false" customHeight="false" outlineLevel="0" collapsed="false">
      <c r="A9" s="0" t="n">
        <v>4</v>
      </c>
      <c r="B9" s="0" t="s">
        <v>2808</v>
      </c>
    </row>
    <row r="10" customFormat="false" ht="12.75" hidden="false" customHeight="false" outlineLevel="0" collapsed="false">
      <c r="A10" s="0" t="n">
        <v>5</v>
      </c>
      <c r="B10" s="0" t="s">
        <v>2809</v>
      </c>
    </row>
    <row r="12" customFormat="false" ht="12.75" hidden="false" customHeight="false" outlineLevel="0" collapsed="false">
      <c r="B12" s="0" t="s">
        <v>2810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7825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2023-10-25T11:07:02Z</dcterms:created>
  <dc:creator/>
  <dc:description/>
  <dc:language>en-GB</dc:language>
  <cp:lastModifiedBy/>
  <dcterms:modified xsi:type="dcterms:W3CDTF">2023-12-12T12:28:02Z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