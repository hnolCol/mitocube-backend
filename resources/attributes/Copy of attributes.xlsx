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C26422B9-5677-2049-8140-CDF7EB15A872}" xr6:coauthVersionLast="47" xr6:coauthVersionMax="47" xr10:uidLastSave="{00000000-0000-0000-0000-000000000000}"/>
  <bookViews>
    <workbookView xWindow="5180" yWindow="500" windowWidth="29540" windowHeight="20040" tabRatio="500" xr2:uid="{00000000-000D-0000-FFFF-FFFF00000000}"/>
  </bookViews>
  <sheets>
    <sheet name="attributes" sheetId="1" r:id="rId1"/>
    <sheet name="attribute_values" sheetId="2" r:id="rId2"/>
    <sheet name="Sheet3" sheetId="7" r:id="rId3"/>
    <sheet name="Sheet1" sheetId="6" r:id="rId4"/>
    <sheet name="attribute_values_ar" sheetId="3" r:id="rId5"/>
    <sheet name="Sheet2" sheetId="4" r:id="rId6"/>
    <sheet name="STATES" sheetId="5" r:id="rId7"/>
  </sheets>
  <definedNames>
    <definedName name="_xlnm._FilterDatabase" localSheetId="4" hidden="1">attribute_values_ar!$A$1:$O$365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C239" i="2" l="1"/>
  <c r="C238" i="2"/>
  <c r="C237" i="2"/>
  <c r="C126" i="2"/>
  <c r="C226" i="2"/>
  <c r="C996" i="2"/>
  <c r="C995" i="2"/>
  <c r="C994" i="2"/>
  <c r="C992" i="2"/>
  <c r="C993" i="2"/>
  <c r="C325" i="2"/>
  <c r="C991" i="2"/>
  <c r="C990" i="2"/>
  <c r="C989" i="2"/>
  <c r="C375" i="2"/>
  <c r="C485" i="2"/>
  <c r="C473" i="2"/>
  <c r="C194" i="2"/>
  <c r="C6" i="7"/>
  <c r="C5" i="7"/>
  <c r="C4" i="7"/>
  <c r="C3" i="7"/>
  <c r="C2" i="7"/>
  <c r="C449" i="2"/>
  <c r="C385" i="2"/>
  <c r="C392" i="2"/>
  <c r="C479" i="2"/>
  <c r="C478" i="2"/>
  <c r="C988" i="2"/>
  <c r="C987" i="2"/>
  <c r="C986" i="2"/>
  <c r="C419" i="2"/>
  <c r="C418" i="2"/>
  <c r="C658" i="2"/>
  <c r="C668" i="2"/>
  <c r="C667" i="2"/>
  <c r="C666" i="2"/>
  <c r="C211" i="2"/>
  <c r="C210" i="2"/>
  <c r="C209" i="2"/>
  <c r="C208" i="2"/>
  <c r="C976" i="2"/>
  <c r="C977" i="2"/>
  <c r="C978" i="2"/>
  <c r="C979" i="2"/>
  <c r="C980" i="2"/>
  <c r="C981" i="2"/>
  <c r="C982" i="2"/>
  <c r="C983" i="2"/>
  <c r="C984" i="2"/>
  <c r="C985" i="2"/>
  <c r="C975" i="2"/>
  <c r="C44" i="2"/>
  <c r="C652" i="2"/>
  <c r="C193" i="2"/>
  <c r="C650" i="2"/>
  <c r="C651" i="2"/>
  <c r="C648" i="2"/>
  <c r="C649" i="2"/>
  <c r="C647" i="2"/>
  <c r="C646" i="2"/>
  <c r="C439" i="2"/>
  <c r="C440" i="2"/>
  <c r="C441" i="2"/>
  <c r="C935" i="2"/>
  <c r="C943" i="2"/>
  <c r="C944" i="2"/>
  <c r="C945" i="2"/>
  <c r="C946" i="2"/>
  <c r="C947" i="2"/>
  <c r="C948" i="2"/>
  <c r="C949" i="2"/>
  <c r="C950" i="2"/>
  <c r="C951" i="2"/>
  <c r="C952" i="2"/>
  <c r="C8" i="6"/>
  <c r="C7" i="6"/>
  <c r="C6" i="6"/>
  <c r="C5" i="6"/>
  <c r="C4" i="6"/>
  <c r="C3" i="6"/>
  <c r="C2" i="6"/>
  <c r="C1" i="6"/>
  <c r="C956" i="2"/>
  <c r="C435" i="2"/>
  <c r="C459" i="2"/>
  <c r="C672" i="2"/>
  <c r="C974" i="2"/>
  <c r="C973" i="2"/>
  <c r="C972" i="2"/>
  <c r="C971" i="2"/>
  <c r="C970" i="2"/>
  <c r="C964" i="2"/>
  <c r="C965" i="2"/>
  <c r="C966" i="2"/>
  <c r="C967" i="2"/>
  <c r="C968" i="2"/>
  <c r="C969" i="2"/>
  <c r="C963" i="2"/>
  <c r="C962" i="2"/>
  <c r="C838" i="2"/>
  <c r="C837" i="2"/>
  <c r="C836" i="2"/>
  <c r="C420" i="2"/>
  <c r="C438" i="2"/>
  <c r="C437" i="2"/>
  <c r="C869" i="2"/>
  <c r="C495" i="2"/>
  <c r="C494" i="2"/>
  <c r="C493" i="2"/>
  <c r="C868" i="2"/>
  <c r="C873" i="2"/>
  <c r="C872" i="2"/>
  <c r="C871" i="2"/>
  <c r="C870" i="2"/>
  <c r="C867" i="2"/>
  <c r="C866" i="2"/>
  <c r="C792" i="2"/>
  <c r="C955" i="2"/>
  <c r="C954" i="2"/>
  <c r="C953" i="2"/>
  <c r="C942" i="2"/>
  <c r="C941" i="2"/>
  <c r="C940" i="2"/>
  <c r="C939" i="2"/>
  <c r="C938" i="2"/>
  <c r="C937" i="2"/>
  <c r="C936" i="2"/>
  <c r="C223" i="2"/>
  <c r="C228" i="2"/>
  <c r="C471" i="2"/>
  <c r="C481" i="2"/>
  <c r="C480" i="2"/>
  <c r="C819" i="2"/>
  <c r="C818" i="2"/>
  <c r="C817" i="2"/>
  <c r="C808" i="2"/>
  <c r="C961" i="2"/>
  <c r="C960" i="2"/>
  <c r="C959" i="2"/>
  <c r="C958" i="2"/>
  <c r="C957" i="2"/>
  <c r="C743" i="2"/>
  <c r="C436" i="2"/>
  <c r="C830" i="2"/>
  <c r="C434" i="2"/>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5" i="2"/>
  <c r="C834" i="2"/>
  <c r="C833" i="2"/>
  <c r="C832" i="2"/>
  <c r="C831" i="2"/>
  <c r="C829" i="2"/>
  <c r="C828" i="2"/>
  <c r="C827" i="2"/>
  <c r="C826" i="2"/>
  <c r="C825" i="2"/>
  <c r="C824" i="2"/>
  <c r="C823" i="2"/>
  <c r="C822" i="2"/>
  <c r="C821" i="2"/>
  <c r="C820" i="2"/>
  <c r="C816" i="2"/>
  <c r="C815" i="2"/>
  <c r="C814" i="2"/>
  <c r="C813" i="2"/>
  <c r="C812" i="2"/>
  <c r="C811" i="2"/>
  <c r="C810" i="2"/>
  <c r="C809" i="2"/>
  <c r="C807" i="2"/>
  <c r="C806" i="2"/>
  <c r="C805" i="2"/>
  <c r="C804" i="2"/>
  <c r="C803" i="2"/>
  <c r="C802" i="2"/>
  <c r="C801" i="2"/>
  <c r="C800" i="2"/>
  <c r="C799" i="2"/>
  <c r="C798" i="2"/>
  <c r="C797" i="2"/>
  <c r="C796" i="2"/>
  <c r="C795" i="2"/>
  <c r="C794" i="2"/>
  <c r="C793"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1" i="2"/>
  <c r="C670" i="2"/>
  <c r="C669" i="2"/>
  <c r="C665" i="2"/>
  <c r="C664" i="2"/>
  <c r="C663" i="2"/>
  <c r="C662" i="2"/>
  <c r="C661" i="2"/>
  <c r="C660" i="2"/>
  <c r="C659" i="2"/>
  <c r="C657" i="2"/>
  <c r="C656" i="2"/>
  <c r="C655" i="2"/>
  <c r="C654" i="2"/>
  <c r="C653"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2" i="2"/>
  <c r="C491" i="2"/>
  <c r="C490" i="2"/>
  <c r="C489" i="2"/>
  <c r="C488" i="2"/>
  <c r="C487" i="2"/>
  <c r="C486" i="2"/>
  <c r="C484" i="2"/>
  <c r="C483" i="2"/>
  <c r="C482" i="2"/>
  <c r="C477" i="2"/>
  <c r="C476" i="2"/>
  <c r="C475" i="2"/>
  <c r="C474" i="2"/>
  <c r="C472" i="2"/>
  <c r="C470" i="2"/>
  <c r="C469" i="2"/>
  <c r="C468" i="2"/>
  <c r="C467" i="2"/>
  <c r="C466" i="2"/>
  <c r="C465" i="2"/>
  <c r="C464" i="2"/>
  <c r="C463" i="2"/>
  <c r="C462" i="2"/>
  <c r="C461" i="2"/>
  <c r="C460" i="2"/>
  <c r="C458" i="2"/>
  <c r="C457" i="2"/>
  <c r="C456" i="2"/>
  <c r="C455" i="2"/>
  <c r="C454" i="2"/>
  <c r="C453" i="2"/>
  <c r="C452" i="2"/>
  <c r="C451" i="2"/>
  <c r="C450" i="2"/>
  <c r="C448" i="2"/>
  <c r="C447" i="2"/>
  <c r="C446" i="2"/>
  <c r="C445" i="2"/>
  <c r="C444" i="2"/>
  <c r="C443" i="2"/>
  <c r="C442" i="2"/>
  <c r="C433" i="2"/>
  <c r="C432" i="2"/>
  <c r="C431" i="2"/>
  <c r="C430" i="2"/>
  <c r="C429" i="2"/>
  <c r="C428" i="2"/>
  <c r="C427" i="2"/>
  <c r="C426" i="2"/>
  <c r="C425" i="2"/>
  <c r="C424" i="2"/>
  <c r="C423" i="2"/>
  <c r="C422" i="2"/>
  <c r="C421"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1" i="2"/>
  <c r="C390" i="2"/>
  <c r="C389" i="2"/>
  <c r="C388" i="2"/>
  <c r="C387" i="2"/>
  <c r="C386" i="2"/>
  <c r="C384" i="2"/>
  <c r="C383" i="2"/>
  <c r="C382" i="2"/>
  <c r="C381" i="2"/>
  <c r="C380" i="2"/>
  <c r="C379" i="2"/>
  <c r="C378" i="2"/>
  <c r="C377" i="2"/>
  <c r="C376"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6" i="2"/>
  <c r="C235" i="2"/>
  <c r="C234" i="2"/>
  <c r="C233" i="2"/>
  <c r="C232" i="2"/>
  <c r="C231" i="2"/>
  <c r="C230" i="2"/>
  <c r="C229" i="2"/>
  <c r="C227" i="2"/>
  <c r="C225" i="2"/>
  <c r="C224" i="2"/>
  <c r="C222" i="2"/>
  <c r="C221" i="2"/>
  <c r="C220" i="2"/>
  <c r="C219" i="2"/>
  <c r="C218" i="2"/>
  <c r="C217" i="2"/>
  <c r="C216" i="2"/>
  <c r="C215" i="2"/>
  <c r="C214" i="2"/>
  <c r="C213" i="2"/>
  <c r="C212" i="2"/>
  <c r="C207" i="2"/>
  <c r="C206" i="2"/>
  <c r="C205" i="2"/>
  <c r="C204" i="2"/>
  <c r="C203" i="2"/>
  <c r="C202" i="2"/>
  <c r="C201" i="2"/>
  <c r="C200" i="2"/>
  <c r="C199" i="2"/>
  <c r="C198" i="2"/>
  <c r="C197" i="2"/>
  <c r="C196" i="2"/>
  <c r="C195"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alcChain>
</file>

<file path=xl/sharedStrings.xml><?xml version="1.0" encoding="utf-8"?>
<sst xmlns="http://schemas.openxmlformats.org/spreadsheetml/2006/main" count="11095" uniqueCount="3251">
  <si>
    <t>tag</t>
  </si>
  <si>
    <t>parent_tag</t>
  </si>
  <si>
    <t>text</t>
  </si>
  <si>
    <t>priority</t>
  </si>
  <si>
    <t>has_features_value</t>
  </si>
  <si>
    <t>has_numeric_input</t>
  </si>
  <si>
    <t>group_tag</t>
  </si>
  <si>
    <t>min_state</t>
  </si>
  <si>
    <t>mandatory_for_submission</t>
  </si>
  <si>
    <t>mandatory_for_active</t>
  </si>
  <si>
    <t>allow_as_filter</t>
  </si>
  <si>
    <t>allow_for_user</t>
  </si>
  <si>
    <t>allow_for_genotype</t>
  </si>
  <si>
    <t>allow_for_qc</t>
  </si>
  <si>
    <t>allow_for_dataset</t>
  </si>
  <si>
    <t>allow_for_sample</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</si>
  <si>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</si>
  <si>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</si>
  <si>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</si>
  <si>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</si>
  <si>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</si>
  <si>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</si>
  <si>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</si>
  <si>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</si>
  <si>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</si>
  <si>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</si>
  <si>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</si>
  <si>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</si>
  <si>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</si>
  <si>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</si>
  <si>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</si>
  <si>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</si>
  <si>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</si>
  <si>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</si>
  <si>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</si>
  <si>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</si>
  <si>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</si>
  <si>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</si>
  <si>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</si>
  <si>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Capillary Temp</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</si>
  <si>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</si>
  <si>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</si>
  <si>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</si>
  <si>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</si>
  <si>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</si>
  <si>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</si>
  <si>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</si>
  <si>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</si>
  <si>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</si>
  <si>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</si>
  <si>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</si>
  <si>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</si>
  <si>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</si>
  <si>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</si>
  <si>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Column Inner Diameter [um]</t>
  </si>
  <si>
    <t>lc</t>
  </si>
  <si>
    <t>att_column_length</t>
  </si>
  <si>
    <t>Column Length [cm]</t>
  </si>
  <si>
    <t>att_column_outer_diameter</t>
  </si>
  <si>
    <t>Column Outer Diameter [um]</t>
  </si>
  <si>
    <t>att_column_oven_temp</t>
  </si>
  <si>
    <t>Column Oven Temp</t>
  </si>
  <si>
    <t>att_column_particle_size</t>
  </si>
  <si>
    <t>Column Particle Size [um]</t>
  </si>
  <si>
    <t>att_column_pore_size</t>
  </si>
  <si>
    <t>Column Pore Size</t>
  </si>
  <si>
    <t>att_column_stat_phase</t>
  </si>
  <si>
    <t>Column Stationary Phase</t>
  </si>
  <si>
    <t>Column Type</t>
  </si>
  <si>
    <t>att_compound</t>
  </si>
  <si>
    <t>Chemical Compound Treatment</t>
  </si>
  <si>
    <t>att_concentration_m</t>
  </si>
  <si>
    <t>Concentration [M]</t>
  </si>
  <si>
    <t>att_concentration_mm</t>
  </si>
  <si>
    <t>Concentration [mM]</t>
  </si>
  <si>
    <t>att_concentration_per</t>
  </si>
  <si>
    <t>Concentration [%]</t>
  </si>
  <si>
    <t>att_concentration_um</t>
  </si>
  <si>
    <t>Concentration [uM]</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</si>
  <si>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</si>
  <si>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</si>
  <si>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</si>
  <si>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</si>
  <si>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</si>
  <si>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</si>
  <si>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</si>
  <si>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</si>
  <si>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</si>
  <si>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</si>
  <si>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Cycle Time [ms]</t>
  </si>
  <si>
    <t>att_detergent</t>
  </si>
  <si>
    <t>att_lysis_method</t>
  </si>
  <si>
    <t>Detergent</t>
  </si>
  <si>
    <t>lysis</t>
  </si>
  <si>
    <t>att_dia_mz_end</t>
  </si>
  <si>
    <t>att_diawindows</t>
  </si>
  <si>
    <t>DIA End [m/z]</t>
  </si>
  <si>
    <t>att_dia_mz_start</t>
  </si>
  <si>
    <t>DIA Start [m/z]</t>
  </si>
  <si>
    <t>Number DIA Windows</t>
  </si>
  <si>
    <t>Digestion Method</t>
  </si>
  <si>
    <t>att_digestion_temp</t>
  </si>
  <si>
    <t>att_digestion_time</t>
  </si>
  <si>
    <t>Digestion Time [h]</t>
  </si>
  <si>
    <t>att_digestion_vessel</t>
  </si>
  <si>
    <t>Digestion Vessel</t>
  </si>
  <si>
    <t>att_digestion_volume</t>
  </si>
  <si>
    <t>att_disease</t>
  </si>
  <si>
    <t>Disease</t>
  </si>
  <si>
    <t>att_environment_treatment</t>
  </si>
  <si>
    <t>Environment Treament</t>
  </si>
  <si>
    <t>att_experiment</t>
  </si>
  <si>
    <t>Experiment Type</t>
  </si>
  <si>
    <t>general</t>
  </si>
  <si>
    <t>att_faims_cv</t>
  </si>
  <si>
    <t>att_ms_interface</t>
  </si>
  <si>
    <t>att_faims_gasflow</t>
  </si>
  <si>
    <t>FAIMS Gas flow in mL/min</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</si>
  <si>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</si>
  <si>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</si>
  <si>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</si>
  <si>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</si>
  <si>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</si>
  <si>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</si>
  <si>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</si>
  <si>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</si>
  <si>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</si>
  <si>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</si>
  <si>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</si>
  <si>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</si>
  <si>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</si>
  <si>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</si>
  <si>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att_protein_coding_sequence</t>
  </si>
  <si>
    <t>Gene engineering</t>
  </si>
  <si>
    <t>Zygosity</t>
  </si>
  <si>
    <t>att_isolation_width</t>
  </si>
  <si>
    <t>Isolation Width [Th]</t>
  </si>
  <si>
    <t>att_knockdown</t>
  </si>
  <si>
    <t>att_knockdown_technique</t>
  </si>
  <si>
    <t>knockdown</t>
  </si>
  <si>
    <t>Knockdown Technique</t>
  </si>
  <si>
    <t>att_lc_flow_rate</t>
  </si>
  <si>
    <t>att_lc_system_name</t>
  </si>
  <si>
    <t>att_lc_gradient_length</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</si>
  <si>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</si>
  <si>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</si>
  <si>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</si>
  <si>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</si>
  <si>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</si>
  <si>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</si>
  <si>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</si>
  <si>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</si>
  <si>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</si>
  <si>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</si>
  <si>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</si>
  <si>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</si>
  <si>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</si>
  <si>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</si>
  <si>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</si>
  <si>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</si>
  <si>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</si>
  <si>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</si>
  <si>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</si>
  <si>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</si>
  <si>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</si>
  <si>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MS1 End [m/z]</t>
  </si>
  <si>
    <t>att_ms1_mz_start</t>
  </si>
  <si>
    <t>MS1 Start [m/z]</t>
  </si>
  <si>
    <t>MS1 Resolution</t>
  </si>
  <si>
    <t>att_ms2_mz_end</t>
  </si>
  <si>
    <t>att_ms2_resolution</t>
  </si>
  <si>
    <t>MS2 End [m/z]</t>
  </si>
  <si>
    <t>att_ms2_mz_start</t>
  </si>
  <si>
    <t>MS2 Start [m/z]</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</si>
  <si>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</si>
  <si>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</si>
  <si>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</si>
  <si>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</si>
  <si>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</si>
  <si>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</si>
  <si>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</si>
  <si>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</si>
  <si>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</si>
  <si>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</si>
  <si>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</si>
  <si>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</si>
  <si>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att_offline_gradient_length</t>
  </si>
  <si>
    <t>Offline Fractionation Gradient Length</t>
  </si>
  <si>
    <t>att_offline_num_fraction</t>
  </si>
  <si>
    <t>att_omics_type</t>
  </si>
  <si>
    <t>Omics Type</t>
  </si>
  <si>
    <t>Organ</t>
  </si>
  <si>
    <t>att_organism</t>
  </si>
  <si>
    <t>Organism</t>
  </si>
  <si>
    <t>att_phystraining</t>
  </si>
  <si>
    <t>Physical Training</t>
  </si>
  <si>
    <t>att_poi</t>
  </si>
  <si>
    <t>Protein(s) of interest</t>
  </si>
  <si>
    <t>project_background</t>
  </si>
  <si>
    <t>att_protease</t>
  </si>
  <si>
    <t>Protease</t>
  </si>
  <si>
    <t>Protein coding sequence</t>
  </si>
  <si>
    <t>att_protein_mutation</t>
  </si>
  <si>
    <t>Protein Mutation</t>
  </si>
  <si>
    <t>att_protein_position</t>
  </si>
  <si>
    <t>Protein 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</si>
  <si>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</si>
  <si>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</si>
  <si>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</si>
  <si>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</si>
  <si>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</si>
  <si>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</si>
  <si>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</si>
  <si>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</si>
  <si>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</si>
  <si>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</si>
  <si>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</si>
  <si>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att_spray_voltage</t>
  </si>
  <si>
    <t>att_time_a</t>
  </si>
  <si>
    <t>Time [a]</t>
  </si>
  <si>
    <t>att_time_d</t>
  </si>
  <si>
    <t>Time [d]</t>
  </si>
  <si>
    <t>att_time_h</t>
  </si>
  <si>
    <t>Time [h]</t>
  </si>
  <si>
    <t>att_time_min</t>
  </si>
  <si>
    <t>Time [min]</t>
  </si>
  <si>
    <t>att_time_ms</t>
  </si>
  <si>
    <t>Time [ms]</t>
  </si>
  <si>
    <t>att_time_s</t>
  </si>
  <si>
    <t>Time [s|</t>
  </si>
  <si>
    <t>att_time_w</t>
  </si>
  <si>
    <t>Time [weeks]</t>
  </si>
  <si>
    <t>att_tissue</t>
  </si>
  <si>
    <t>Tissue</t>
  </si>
  <si>
    <t>att_tmt_channel</t>
  </si>
  <si>
    <t>TMT 10 plex</t>
  </si>
  <si>
    <t>att_topn</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</si>
  <si>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</si>
  <si>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</si>
  <si>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</si>
  <si>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</si>
  <si>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</si>
  <si>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</si>
  <si>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</si>
  <si>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</si>
  <si>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</si>
  <si>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</si>
  <si>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</si>
  <si>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</si>
  <si>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</si>
  <si>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</si>
  <si>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</si>
  <si>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</si>
  <si>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</si>
  <si>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</si>
  <si>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</si>
  <si>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</si>
  <si>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</si>
  <si>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</si>
  <si>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</si>
  <si>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</si>
  <si>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</si>
  <si>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</si>
  <si>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</si>
  <si>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</si>
  <si>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</si>
  <si>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</si>
  <si>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</si>
  <si>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</si>
  <si>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</si>
  <si>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</si>
  <si>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</si>
  <si>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</si>
  <si>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</si>
  <si>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</si>
  <si>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</si>
  <si>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</si>
  <si>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</si>
  <si>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</si>
  <si>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</si>
  <si>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</si>
  <si>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</si>
  <si>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</si>
  <si>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</si>
  <si>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</si>
  <si>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</si>
  <si>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</si>
  <si>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</si>
  <si>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</si>
  <si>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</si>
  <si>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</si>
  <si>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</si>
  <si>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</si>
  <si>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</si>
  <si>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</si>
  <si>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</si>
  <si>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</si>
  <si>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</si>
  <si>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</si>
  <si>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</si>
  <si>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</si>
  <si>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</si>
  <si>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</si>
  <si>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</si>
  <si>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</si>
  <si>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</si>
  <si>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</si>
  <si>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</si>
  <si>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</si>
  <si>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</si>
  <si>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</si>
  <si>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</si>
  <si>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</si>
  <si>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</si>
  <si>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</si>
  <si>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</si>
  <si>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</si>
  <si>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</si>
  <si>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</si>
  <si>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</si>
  <si>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</si>
  <si>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</si>
  <si>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</si>
  <si>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</si>
  <si>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</si>
  <si>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</si>
  <si>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</si>
  <si>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</si>
  <si>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</si>
  <si>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</si>
  <si>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</si>
  <si>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</si>
  <si>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</si>
  <si>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</si>
  <si>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</si>
  <si>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</si>
  <si>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</si>
  <si>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</si>
  <si>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</si>
  <si>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</si>
  <si>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</si>
  <si>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</si>
  <si>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</si>
  <si>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</si>
  <si>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</si>
  <si>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</si>
  <si>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</si>
  <si>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</si>
  <si>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</si>
  <si>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</si>
  <si>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</si>
  <si>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</si>
  <si>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</si>
  <si>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</si>
  <si>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</si>
  <si>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</si>
  <si>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</si>
  <si>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</si>
  <si>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</si>
  <si>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</si>
  <si>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</si>
  <si>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</si>
  <si>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</si>
  <si>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</si>
  <si>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</si>
  <si>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</si>
  <si>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</si>
  <si>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</si>
  <si>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</si>
  <si>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</si>
  <si>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</si>
  <si>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</si>
  <si>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</si>
  <si>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</si>
  <si>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</si>
  <si>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</si>
  <si>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</si>
  <si>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</si>
  <si>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</si>
  <si>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</si>
  <si>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</si>
  <si>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</si>
  <si>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</si>
  <si>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</si>
  <si>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</si>
  <si>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</si>
  <si>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</si>
  <si>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</si>
  <si>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</si>
  <si>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</si>
  <si>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</si>
  <si>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</si>
  <si>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</si>
  <si>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</si>
  <si>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</si>
  <si>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</si>
  <si>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</si>
  <si>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</si>
  <si>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</si>
  <si>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</si>
  <si>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</si>
  <si>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</si>
  <si>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</si>
  <si>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</si>
  <si>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</si>
  <si>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</si>
  <si>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</si>
  <si>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</si>
  <si>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</si>
  <si>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</si>
  <si>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</si>
  <si>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</si>
  <si>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</si>
  <si>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</si>
  <si>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</si>
  <si>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</si>
  <si>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</si>
  <si>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</si>
  <si>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</si>
  <si>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</si>
  <si>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</si>
  <si>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</si>
  <si>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</si>
  <si>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</si>
  <si>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</si>
  <si>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</si>
  <si>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</si>
  <si>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</si>
  <si>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</si>
  <si>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</si>
  <si>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</si>
  <si>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</si>
  <si>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</si>
  <si>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</si>
  <si>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</si>
  <si>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</si>
  <si>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</si>
  <si>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</si>
  <si>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</si>
  <si>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</si>
  <si>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</si>
  <si>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</si>
  <si>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</si>
  <si>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</si>
  <si>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</si>
  <si>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</si>
  <si>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</si>
  <si>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</si>
  <si>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</si>
  <si>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</si>
  <si>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</si>
  <si>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</si>
  <si>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</si>
  <si>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</si>
  <si>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</si>
  <si>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</si>
  <si>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</si>
  <si>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</si>
  <si>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</si>
  <si>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</si>
  <si>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</si>
  <si>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</si>
  <si>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</si>
  <si>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</si>
  <si>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</si>
  <si>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</si>
  <si>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</si>
  <si>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</si>
  <si>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</si>
  <si>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</si>
  <si>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</si>
  <si>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</si>
  <si>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</si>
  <si>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</si>
  <si>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</si>
  <si>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</si>
  <si>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</si>
  <si>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</si>
  <si>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</si>
  <si>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</si>
  <si>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</si>
  <si>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</si>
  <si>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</si>
  <si>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</si>
  <si>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</si>
  <si>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</si>
  <si>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</si>
  <si>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</si>
  <si>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</si>
  <si>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</si>
  <si>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</si>
  <si>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</si>
  <si>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</si>
  <si>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</si>
  <si>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</si>
  <si>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</si>
  <si>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</si>
  <si>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</si>
  <si>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</si>
  <si>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</si>
  <si>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</si>
  <si>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</si>
  <si>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</si>
  <si>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</si>
  <si>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</si>
  <si>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</si>
  <si>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</si>
  <si>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</si>
  <si>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</si>
  <si>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</si>
  <si>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</si>
  <si>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</si>
  <si>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</si>
  <si>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</si>
  <si>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</si>
  <si>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</si>
  <si>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</si>
  <si>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</si>
  <si>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</si>
  <si>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</si>
  <si>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</si>
  <si>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</si>
  <si>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</si>
  <si>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</si>
  <si>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</si>
  <si>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</si>
  <si>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</si>
  <si>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</si>
  <si>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</si>
  <si>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</si>
  <si>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</si>
  <si>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</si>
  <si>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</si>
  <si>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</si>
  <si>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</si>
  <si>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</si>
  <si>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</si>
  <si>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</si>
  <si>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</si>
  <si>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</si>
  <si>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</si>
  <si>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</si>
  <si>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</si>
  <si>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</si>
  <si>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</si>
  <si>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</si>
  <si>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</si>
  <si>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</si>
  <si>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</si>
  <si>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</si>
  <si>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</si>
  <si>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</si>
  <si>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</si>
  <si>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</si>
  <si>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</si>
  <si>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</si>
  <si>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</si>
  <si>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</si>
  <si>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</si>
  <si>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</si>
  <si>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</si>
  <si>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</si>
  <si>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</si>
  <si>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</si>
  <si>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</si>
  <si>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</si>
  <si>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</si>
  <si>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</si>
  <si>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</si>
  <si>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</si>
  <si>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</si>
  <si>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</si>
  <si>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</si>
  <si>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</si>
  <si>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</si>
  <si>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</si>
  <si>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</si>
  <si>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</si>
  <si>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</si>
  <si>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</si>
  <si>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</si>
  <si>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</si>
  <si>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</si>
  <si>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</si>
  <si>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</si>
  <si>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</si>
  <si>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</si>
  <si>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</si>
  <si>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</si>
  <si>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</si>
  <si>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</si>
  <si>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</si>
  <si>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</si>
  <si>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</si>
  <si>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</si>
  <si>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</si>
  <si>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</si>
  <si>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</si>
  <si>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</si>
  <si>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</si>
  <si>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</si>
  <si>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</si>
  <si>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</si>
  <si>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</si>
  <si>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</si>
  <si>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</si>
  <si>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</si>
  <si>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</si>
  <si>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</si>
  <si>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</si>
  <si>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</si>
  <si>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</si>
  <si>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</si>
  <si>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</si>
  <si>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</si>
  <si>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</si>
  <si>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</si>
  <si>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</si>
  <si>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</si>
  <si>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</si>
  <si>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</si>
  <si>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</si>
  <si>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</si>
  <si>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</si>
  <si>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</si>
  <si>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</si>
  <si>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</si>
  <si>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</si>
  <si>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</si>
  <si>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</si>
  <si>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</si>
  <si>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</si>
  <si>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</si>
  <si>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</si>
  <si>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</si>
  <si>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</si>
  <si>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</si>
  <si>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</si>
  <si>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</si>
  <si>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</si>
  <si>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</si>
  <si>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</si>
  <si>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</si>
  <si>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</si>
  <si>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</si>
  <si>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</si>
  <si>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</si>
  <si>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</si>
  <si>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</si>
  <si>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</si>
  <si>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</si>
  <si>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</si>
  <si>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</si>
  <si>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</si>
  <si>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</si>
  <si>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</si>
  <si>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</si>
  <si>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</si>
  <si>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</si>
  <si>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</si>
  <si>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</si>
  <si>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</si>
  <si>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</si>
  <si>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</si>
  <si>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</si>
  <si>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</si>
  <si>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</si>
  <si>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</si>
  <si>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</si>
  <si>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</si>
  <si>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</si>
  <si>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</si>
  <si>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</si>
  <si>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</si>
  <si>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</si>
  <si>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</si>
  <si>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</si>
  <si>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</si>
  <si>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</si>
  <si>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</si>
  <si>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</si>
  <si>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</si>
  <si>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</si>
  <si>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</si>
  <si>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</si>
  <si>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</si>
  <si>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</si>
  <si>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</si>
  <si>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</si>
  <si>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</si>
  <si>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</si>
  <si>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</si>
  <si>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</si>
  <si>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</si>
  <si>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</si>
  <si>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</si>
  <si>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</si>
  <si>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</si>
  <si>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</si>
  <si>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</si>
  <si>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</si>
  <si>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</si>
  <si>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</si>
  <si>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</si>
  <si>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</si>
  <si>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</si>
  <si>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</si>
  <si>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</si>
  <si>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</si>
  <si>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</si>
  <si>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</si>
  <si>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</si>
  <si>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</si>
  <si>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</si>
  <si>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</si>
  <si>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</si>
  <si>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</si>
  <si>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</si>
  <si>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</si>
  <si>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</si>
  <si>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</si>
  <si>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</si>
  <si>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</si>
  <si>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</si>
  <si>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</si>
  <si>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</si>
  <si>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</si>
  <si>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</si>
  <si>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</si>
  <si>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</si>
  <si>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</si>
  <si>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</si>
  <si>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</si>
  <si>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</si>
  <si>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</si>
  <si>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</si>
  <si>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</si>
  <si>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</si>
  <si>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</si>
  <si>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</si>
  <si>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</si>
  <si>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</si>
  <si>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</si>
  <si>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</si>
  <si>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</si>
  <si>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</si>
  <si>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</si>
  <si>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</si>
  <si>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</si>
  <si>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</si>
  <si>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</si>
  <si>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</si>
  <si>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</si>
  <si>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</si>
  <si>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</si>
  <si>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</si>
  <si>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</si>
  <si>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</si>
  <si>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</si>
  <si>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</si>
  <si>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</si>
  <si>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</si>
  <si>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</si>
  <si>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</si>
  <si>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</si>
  <si>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</si>
  <si>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</si>
  <si>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</si>
  <si>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</si>
  <si>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</si>
  <si>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</si>
  <si>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</si>
  <si>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</si>
  <si>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</si>
  <si>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</si>
  <si>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</si>
  <si>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</si>
  <si>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</si>
  <si>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</si>
  <si>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</si>
  <si>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</si>
  <si>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</si>
  <si>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att_context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</si>
  <si>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</si>
  <si>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</si>
  <si>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</si>
  <si>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</si>
  <si>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</si>
  <si>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</si>
  <si>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</si>
  <si>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</si>
  <si>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</si>
  <si>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</si>
  <si>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</si>
  <si>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</si>
  <si>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</si>
  <si>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</si>
  <si>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</si>
  <si>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</si>
  <si>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</si>
  <si>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</si>
  <si>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</si>
  <si>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</si>
  <si>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</si>
  <si>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</si>
  <si>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</si>
  <si>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</si>
  <si>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</si>
  <si>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</si>
  <si>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</si>
  <si>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</si>
  <si>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</si>
  <si>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</si>
  <si>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</si>
  <si>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</si>
  <si>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</si>
  <si>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</si>
  <si>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</si>
  <si>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</si>
  <si>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</si>
  <si>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</si>
  <si>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</si>
  <si>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</si>
  <si>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</si>
  <si>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</si>
  <si>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</si>
  <si>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</si>
  <si>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</si>
  <si>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</si>
  <si>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</si>
  <si>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</si>
  <si>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</si>
  <si>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</si>
  <si>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</si>
  <si>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</si>
  <si>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</si>
  <si>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</si>
  <si>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</si>
  <si>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</si>
  <si>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</si>
  <si>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</si>
  <si>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</si>
  <si>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</si>
  <si>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</si>
  <si>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</si>
  <si>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</si>
  <si>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</si>
  <si>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</si>
  <si>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</si>
  <si>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</si>
  <si>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</si>
  <si>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</si>
  <si>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</si>
  <si>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</si>
  <si>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</si>
  <si>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</si>
  <si>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</si>
  <si>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</si>
  <si>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</si>
  <si>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</si>
  <si>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</si>
  <si>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</si>
  <si>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</si>
  <si>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</si>
  <si>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</si>
  <si>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</si>
  <si>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</si>
  <si>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</si>
  <si>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</si>
  <si>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</si>
  <si>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</si>
  <si>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</si>
  <si>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</si>
  <si>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</si>
  <si>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</si>
  <si>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</si>
  <si>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</si>
  <si>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</si>
  <si>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</si>
  <si>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</si>
  <si>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</si>
  <si>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</si>
  <si>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</si>
  <si>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</si>
  <si>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</si>
  <si>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</si>
  <si>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</si>
  <si>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</si>
  <si>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</si>
  <si>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</si>
  <si>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</si>
  <si>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</si>
  <si>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</si>
  <si>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</si>
  <si>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</si>
  <si>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</si>
  <si>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</si>
  <si>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</si>
  <si>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</si>
  <si>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</si>
  <si>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</si>
  <si>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</si>
  <si>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</si>
  <si>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</si>
  <si>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</si>
  <si>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</si>
  <si>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</si>
  <si>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</si>
  <si>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</si>
  <si>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</si>
  <si>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</si>
  <si>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</si>
  <si>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</si>
  <si>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</si>
  <si>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</si>
  <si>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</si>
  <si>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</si>
  <si>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</si>
  <si>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</si>
  <si>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</si>
  <si>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</si>
  <si>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</si>
  <si>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</si>
  <si>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</si>
  <si>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</si>
  <si>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</si>
  <si>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</si>
  <si>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</si>
  <si>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</si>
  <si>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</si>
  <si>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</si>
  <si>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</si>
  <si>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</si>
  <si>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</si>
  <si>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</si>
  <si>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</si>
  <si>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</si>
  <si>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</si>
  <si>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</si>
  <si>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</si>
  <si>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</si>
  <si>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</si>
  <si>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</si>
  <si>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</si>
  <si>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</si>
  <si>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</si>
  <si>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</si>
  <si>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</si>
  <si>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</si>
  <si>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</si>
  <si>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</si>
  <si>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</si>
  <si>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</si>
  <si>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</si>
  <si>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</si>
  <si>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</si>
  <si>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</si>
  <si>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</si>
  <si>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</si>
  <si>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</si>
  <si>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</si>
  <si>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</si>
  <si>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</si>
  <si>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</si>
  <si>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</si>
  <si>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</si>
  <si>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</si>
  <si>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</si>
  <si>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</si>
  <si>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</si>
  <si>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</si>
  <si>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</si>
  <si>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</si>
  <si>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</si>
  <si>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</si>
  <si>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</si>
  <si>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</si>
  <si>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</si>
  <si>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</si>
  <si>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</si>
  <si>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</si>
  <si>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</si>
  <si>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</si>
  <si>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</si>
  <si>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</si>
  <si>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</si>
  <si>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</si>
  <si>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</si>
  <si>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</si>
  <si>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</si>
  <si>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</si>
  <si>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</si>
  <si>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</si>
  <si>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</si>
  <si>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</si>
  <si>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</si>
  <si>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</si>
  <si>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</si>
  <si>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</si>
  <si>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</si>
  <si>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</si>
  <si>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</si>
  <si>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</si>
  <si>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</si>
  <si>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</si>
  <si>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</si>
  <si>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</si>
  <si>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</si>
  <si>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</si>
  <si>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</si>
  <si>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</si>
  <si>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</si>
  <si>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</si>
  <si>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</si>
  <si>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</si>
  <si>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</si>
  <si>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</si>
  <si>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</si>
  <si>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</si>
  <si>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</si>
  <si>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</si>
  <si>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</si>
  <si>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</si>
  <si>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</si>
  <si>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</si>
  <si>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</si>
  <si>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</si>
  <si>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</si>
  <si>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</si>
  <si>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</si>
  <si>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</si>
  <si>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</si>
  <si>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</si>
  <si>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</si>
  <si>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</si>
  <si>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</si>
  <si>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</si>
  <si>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</si>
  <si>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</si>
  <si>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</si>
  <si>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</si>
  <si>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</si>
  <si>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</si>
  <si>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</si>
  <si>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</si>
  <si>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</si>
  <si>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</si>
  <si>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</si>
  <si>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</si>
  <si>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</si>
  <si>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</si>
  <si>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</si>
  <si>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</si>
  <si>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</si>
  <si>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</si>
  <si>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</si>
  <si>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</si>
  <si>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</si>
  <si>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</si>
  <si>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</si>
  <si>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</si>
  <si>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</si>
  <si>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</si>
  <si>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</si>
  <si>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</si>
  <si>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</si>
  <si>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</si>
  <si>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</si>
  <si>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</si>
  <si>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</si>
  <si>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</si>
  <si>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</si>
  <si>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</si>
  <si>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</si>
  <si>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</si>
  <si>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</si>
  <si>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</si>
  <si>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</si>
  <si>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</si>
  <si>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</si>
  <si>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</si>
  <si>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</si>
  <si>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</si>
  <si>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</si>
  <si>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</si>
  <si>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</si>
  <si>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</si>
  <si>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</si>
  <si>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</si>
  <si>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</si>
  <si>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</si>
  <si>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</si>
  <si>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</si>
  <si>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</si>
  <si>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</si>
  <si>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</si>
  <si>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</si>
  <si>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</si>
  <si>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</si>
  <si>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</si>
  <si>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</si>
  <si>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</si>
  <si>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</si>
  <si>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</si>
  <si>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</si>
  <si>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</si>
  <si>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</si>
  <si>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</si>
  <si>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</si>
  <si>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</si>
  <si>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</si>
  <si>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</si>
  <si>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</si>
  <si>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</si>
  <si>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</si>
  <si>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</si>
  <si>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</si>
  <si>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</si>
  <si>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</si>
  <si>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</si>
  <si>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</si>
  <si>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</si>
  <si>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</si>
  <si>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</si>
  <si>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</si>
  <si>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</si>
  <si>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</si>
  <si>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</si>
  <si>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</si>
  <si>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</si>
  <si>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</si>
  <si>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</si>
  <si>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</si>
  <si>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</si>
  <si>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</si>
  <si>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</si>
  <si>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</si>
  <si>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</si>
  <si>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</si>
  <si>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</si>
  <si>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</si>
  <si>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</si>
  <si>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</si>
  <si>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</si>
  <si>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</si>
  <si>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</si>
  <si>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</si>
  <si>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</si>
  <si>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</si>
  <si>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</si>
  <si>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</si>
  <si>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</si>
  <si>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</si>
  <si>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</si>
  <si>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</si>
  <si>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</si>
  <si>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</si>
  <si>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</si>
  <si>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</si>
  <si>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</si>
  <si>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</si>
  <si>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</si>
  <si>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</si>
  <si>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</si>
  <si>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</si>
  <si>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</si>
  <si>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</si>
  <si>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</si>
  <si>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</si>
  <si>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</si>
  <si>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</si>
  <si>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</si>
  <si>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</si>
  <si>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</si>
  <si>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</si>
  <si>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</si>
  <si>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</si>
  <si>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</si>
  <si>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</si>
  <si>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</si>
  <si>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</si>
  <si>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</si>
  <si>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</si>
  <si>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</si>
  <si>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</si>
  <si>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</si>
  <si>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</si>
  <si>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</si>
  <si>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</si>
  <si>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</si>
  <si>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</si>
  <si>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</si>
  <si>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</si>
  <si>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</si>
  <si>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</si>
  <si>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</si>
  <si>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</si>
  <si>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</si>
  <si>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</si>
  <si>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</si>
  <si>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</si>
  <si>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</si>
  <si>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</si>
  <si>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</si>
  <si>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</si>
  <si>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</si>
  <si>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</si>
  <si>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</si>
  <si>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</si>
  <si>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</si>
  <si>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</si>
  <si>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</si>
  <si>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</si>
  <si>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</si>
  <si>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</si>
  <si>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</si>
  <si>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</si>
  <si>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</si>
  <si>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</si>
  <si>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</si>
  <si>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</si>
  <si>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</si>
  <si>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</si>
  <si>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</si>
  <si>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</si>
  <si>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</si>
  <si>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</si>
  <si>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</si>
  <si>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</si>
  <si>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</si>
  <si>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</si>
  <si>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</si>
  <si>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</si>
  <si>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</si>
  <si>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</si>
  <si>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</si>
  <si>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</si>
  <si>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</si>
  <si>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</si>
  <si>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</si>
  <si>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</si>
  <si>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</si>
  <si>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</si>
  <si>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</si>
  <si>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</si>
  <si>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</si>
  <si>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</si>
  <si>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</si>
  <si>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</si>
  <si>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</si>
  <si>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</si>
  <si>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</si>
  <si>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</si>
  <si>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</si>
  <si>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</si>
  <si>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</si>
  <si>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</si>
  <si>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</si>
  <si>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</si>
  <si>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</si>
  <si>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</si>
  <si>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</si>
  <si>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</si>
  <si>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</si>
  <si>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</si>
  <si>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</si>
  <si>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</si>
  <si>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</si>
  <si>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</si>
  <si>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</si>
  <si>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</si>
  <si>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</si>
  <si>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</si>
  <si>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</si>
  <si>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</si>
  <si>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</si>
  <si>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</si>
  <si>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</si>
  <si>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</si>
  <si>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</si>
  <si>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</si>
  <si>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</si>
  <si>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</si>
  <si>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</si>
  <si>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</si>
  <si>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</si>
  <si>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</si>
  <si>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</si>
  <si>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</si>
  <si>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</si>
  <si>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</si>
  <si>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</si>
  <si>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</si>
  <si>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</si>
  <si>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</si>
  <si>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</si>
  <si>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</si>
  <si>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</si>
  <si>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</si>
  <si>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</si>
  <si>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</si>
  <si>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</si>
  <si>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</si>
  <si>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</si>
  <si>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</si>
  <si>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</si>
  <si>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</si>
  <si>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</si>
  <si>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</si>
  <si>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</si>
  <si>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</si>
  <si>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</si>
  <si>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</si>
  <si>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</si>
  <si>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</si>
  <si>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</si>
  <si>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</si>
  <si>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</si>
  <si>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</si>
  <si>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</si>
  <si>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</si>
  <si>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</si>
  <si>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</si>
  <si>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</si>
  <si>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</si>
  <si>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</si>
  <si>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</si>
  <si>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</si>
  <si>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</si>
  <si>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</si>
  <si>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</si>
  <si>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</si>
  <si>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</si>
  <si>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</si>
  <si>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</si>
  <si>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</si>
  <si>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</si>
  <si>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</si>
  <si>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</si>
  <si>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</si>
  <si>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</si>
  <si>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</si>
  <si>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</si>
  <si>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</si>
  <si>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</si>
  <si>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</si>
  <si>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</si>
  <si>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</si>
  <si>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</si>
  <si>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</si>
  <si>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</si>
  <si>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</si>
  <si>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</si>
  <si>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</si>
  <si>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</si>
  <si>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</si>
  <si>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</si>
  <si>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</si>
  <si>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</si>
  <si>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</si>
  <si>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</si>
  <si>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</si>
  <si>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</si>
  <si>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</si>
  <si>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</si>
  <si>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</si>
  <si>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</si>
  <si>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</si>
  <si>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</si>
  <si>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</si>
  <si>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</si>
  <si>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</si>
  <si>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</si>
  <si>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</si>
  <si>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</si>
  <si>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</si>
  <si>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</si>
  <si>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</si>
  <si>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</si>
  <si>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</si>
  <si>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</si>
  <si>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</si>
  <si>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</si>
  <si>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</si>
  <si>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</si>
  <si>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</si>
  <si>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</si>
  <si>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</si>
  <si>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</si>
  <si>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</si>
  <si>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</si>
  <si>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</si>
  <si>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</si>
  <si>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</si>
  <si>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</si>
  <si>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</si>
  <si>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</si>
  <si>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</si>
  <si>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</si>
  <si>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</si>
  <si>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</si>
  <si>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</si>
  <si>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</si>
  <si>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</si>
  <si>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</si>
  <si>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</si>
  <si>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</si>
  <si>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</si>
  <si>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</si>
  <si>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</si>
  <si>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</si>
  <si>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</si>
  <si>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</si>
  <si>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</si>
  <si>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</si>
  <si>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</si>
  <si>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</si>
  <si>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</si>
  <si>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</si>
  <si>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</si>
  <si>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</si>
  <si>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</si>
  <si>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</si>
  <si>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</si>
  <si>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</si>
  <si>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</si>
  <si>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</si>
  <si>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</si>
  <si>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</si>
  <si>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</si>
  <si>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</si>
  <si>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</si>
  <si>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</si>
  <si>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</si>
  <si>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</si>
  <si>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</si>
  <si>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</si>
  <si>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</si>
  <si>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</si>
  <si>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</si>
  <si>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</si>
  <si>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</si>
  <si>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</si>
  <si>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</si>
  <si>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</si>
  <si>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</si>
  <si>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</si>
  <si>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</si>
  <si>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</si>
  <si>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</si>
  <si>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</si>
  <si>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</si>
  <si>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</si>
  <si>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</si>
  <si>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</si>
  <si>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</si>
  <si>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</si>
  <si>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</si>
  <si>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</si>
  <si>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</si>
  <si>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</si>
  <si>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</si>
  <si>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</si>
  <si>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</si>
  <si>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</si>
  <si>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</si>
  <si>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</si>
  <si>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</si>
  <si>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</si>
  <si>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</si>
  <si>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</si>
  <si>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</si>
  <si>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</si>
  <si>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</si>
  <si>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</si>
  <si>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</si>
  <si>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</si>
  <si>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</si>
  <si>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</si>
  <si>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</si>
  <si>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</si>
  <si>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</si>
  <si>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</si>
  <si>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</si>
  <si>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</si>
  <si>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</si>
  <si>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</si>
  <si>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</si>
  <si>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</si>
  <si>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</si>
  <si>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</si>
  <si>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</si>
  <si>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</si>
  <si>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</si>
  <si>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</si>
  <si>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</si>
  <si>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</si>
  <si>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</si>
  <si>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</si>
  <si>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</si>
  <si>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</si>
  <si>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</si>
  <si>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</si>
  <si>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</si>
  <si>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</si>
  <si>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</si>
  <si>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</si>
  <si>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</si>
  <si>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</si>
  <si>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</si>
  <si>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</si>
  <si>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</si>
  <si>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</si>
  <si>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</si>
  <si>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</si>
  <si>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</si>
  <si>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</si>
  <si>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</si>
  <si>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</si>
  <si>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</si>
  <si>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</si>
  <si>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</si>
  <si>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</si>
  <si>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</si>
  <si>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</si>
  <si>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</si>
  <si>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</si>
  <si>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</si>
  <si>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</si>
  <si>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</si>
  <si>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</si>
  <si>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</si>
  <si>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</si>
  <si>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</si>
  <si>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</si>
  <si>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</si>
  <si>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</si>
  <si>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</si>
  <si>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</si>
  <si>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</si>
  <si>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</si>
  <si>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</si>
  <si>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</si>
  <si>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</si>
  <si>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</si>
  <si>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</si>
  <si>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</si>
  <si>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</si>
  <si>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</si>
  <si>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</si>
  <si>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</si>
  <si>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</si>
  <si>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</si>
  <si>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</si>
  <si>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</si>
  <si>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</si>
  <si>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</si>
  <si>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</si>
  <si>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</si>
  <si>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</si>
  <si>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</si>
  <si>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</si>
  <si>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</si>
  <si>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</si>
  <si>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</si>
  <si>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</si>
  <si>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</si>
  <si>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</si>
  <si>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</si>
  <si>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</si>
  <si>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</si>
  <si>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</si>
  <si>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</si>
  <si>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</si>
  <si>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</si>
  <si>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</si>
  <si>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</si>
  <si>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</si>
  <si>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</si>
  <si>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</si>
  <si>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</si>
  <si>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</si>
  <si>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</si>
  <si>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</si>
  <si>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</si>
  <si>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</si>
  <si>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</si>
  <si>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</si>
  <si>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</si>
  <si>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</si>
  <si>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</si>
  <si>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</si>
  <si>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</si>
  <si>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</si>
  <si>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</si>
  <si>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</si>
  <si>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</si>
  <si>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</si>
  <si>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</si>
  <si>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</si>
  <si>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</si>
  <si>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</si>
  <si>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</si>
  <si>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</si>
  <si>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</si>
  <si>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</si>
  <si>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</si>
  <si>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</si>
  <si>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</si>
  <si>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</si>
  <si>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</si>
  <si>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</si>
  <si>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</si>
  <si>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</si>
  <si>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</si>
  <si>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</si>
  <si>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</si>
  <si>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</si>
  <si>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</si>
  <si>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</si>
  <si>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</si>
  <si>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</si>
  <si>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</si>
  <si>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</si>
  <si>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</si>
  <si>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</si>
  <si>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</si>
  <si>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</si>
  <si>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</si>
  <si>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</si>
  <si>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</si>
  <si>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</si>
  <si>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</si>
  <si>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</si>
  <si>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</si>
  <si>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</si>
  <si>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</si>
  <si>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</si>
  <si>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</si>
  <si>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</si>
  <si>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</si>
  <si>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</si>
  <si>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</si>
  <si>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</si>
  <si>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</si>
  <si>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</si>
  <si>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</si>
  <si>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</si>
  <si>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</si>
  <si>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</si>
  <si>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</si>
  <si>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</si>
  <si>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</si>
  <si>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</si>
  <si>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</si>
  <si>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</si>
  <si>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</si>
  <si>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</si>
  <si>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</si>
  <si>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</si>
  <si>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</si>
  <si>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</si>
  <si>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</si>
  <si>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</si>
  <si>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</si>
  <si>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</si>
  <si>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</si>
  <si>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</si>
  <si>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</si>
  <si>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</si>
  <si>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</si>
  <si>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</si>
  <si>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</si>
  <si>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</si>
  <si>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</si>
  <si>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</si>
  <si>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</si>
  <si>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</si>
  <si>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</si>
  <si>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</si>
  <si>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</si>
  <si>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</si>
  <si>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</si>
  <si>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</si>
  <si>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</si>
  <si>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</si>
  <si>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</si>
  <si>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</si>
  <si>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</si>
  <si>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</si>
  <si>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</si>
  <si>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</si>
  <si>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</si>
  <si>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</si>
  <si>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</si>
  <si>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</si>
  <si>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</si>
  <si>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</si>
  <si>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</si>
  <si>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</si>
  <si>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</si>
  <si>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</si>
  <si>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</si>
  <si>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</si>
  <si>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</si>
  <si>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</si>
  <si>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</si>
  <si>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</si>
  <si>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</si>
  <si>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</si>
  <si>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</si>
  <si>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</si>
  <si>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</si>
  <si>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</si>
  <si>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</si>
  <si>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</si>
  <si>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</si>
  <si>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</si>
  <si>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</si>
  <si>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</si>
  <si>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</si>
  <si>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</si>
  <si>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</si>
  <si>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</si>
  <si>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</si>
  <si>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</si>
  <si>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</si>
  <si>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</si>
  <si>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</si>
  <si>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</si>
  <si>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</si>
  <si>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</si>
  <si>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</si>
  <si>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</si>
  <si>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</si>
  <si>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</si>
  <si>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</si>
  <si>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</si>
  <si>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</si>
  <si>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</si>
  <si>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</si>
  <si>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</si>
  <si>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</si>
  <si>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</si>
  <si>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</si>
  <si>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</si>
  <si>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</si>
  <si>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</si>
  <si>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</si>
  <si>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</si>
  <si>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</si>
  <si>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</si>
  <si>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</si>
  <si>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</si>
  <si>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</si>
  <si>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</si>
  <si>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</si>
  <si>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</si>
  <si>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</si>
  <si>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</si>
  <si>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</si>
  <si>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</si>
  <si>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</si>
  <si>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</si>
  <si>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</si>
  <si>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</si>
  <si>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</si>
  <si>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</si>
  <si>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</si>
  <si>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</si>
  <si>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</si>
  <si>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</si>
  <si>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</si>
  <si>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</si>
  <si>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</si>
  <si>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</si>
  <si>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</si>
  <si>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</si>
  <si>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</si>
  <si>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</si>
  <si>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</si>
  <si>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</si>
  <si>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</si>
  <si>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</si>
  <si>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</si>
  <si>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</si>
  <si>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</si>
  <si>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</si>
  <si>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</si>
  <si>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</si>
  <si>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</si>
  <si>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</si>
  <si>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</si>
  <si>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</si>
  <si>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</si>
  <si>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</si>
  <si>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</si>
  <si>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</si>
  <si>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</si>
  <si>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</si>
  <si>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</si>
  <si>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</si>
  <si>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</si>
  <si>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</si>
  <si>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</si>
  <si>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</si>
  <si>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</si>
  <si>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</si>
  <si>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</si>
  <si>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</si>
  <si>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</si>
  <si>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</si>
  <si>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</si>
  <si>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</si>
  <si>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</si>
  <si>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</si>
  <si>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</si>
  <si>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</si>
  <si>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</si>
  <si>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</si>
  <si>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</si>
  <si>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</si>
  <si>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</si>
  <si>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</si>
  <si>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</si>
  <si>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</si>
  <si>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</si>
  <si>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</si>
  <si>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</si>
  <si>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</si>
  <si>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</si>
  <si>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</si>
  <si>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</si>
  <si>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</si>
  <si>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</si>
  <si>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</si>
  <si>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</si>
  <si>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</si>
  <si>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</si>
  <si>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</si>
  <si>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</si>
  <si>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</si>
  <si>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</si>
  <si>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</si>
  <si>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</si>
  <si>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</si>
  <si>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</si>
  <si>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</si>
  <si>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</si>
  <si>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</si>
  <si>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</si>
  <si>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</si>
  <si>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</si>
  <si>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</si>
  <si>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</si>
  <si>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</si>
  <si>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</si>
  <si>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</si>
  <si>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</si>
  <si>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</si>
  <si>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</si>
  <si>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</si>
  <si>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</si>
  <si>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</si>
  <si>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</si>
  <si>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</si>
  <si>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</si>
  <si>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</si>
  <si>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</si>
  <si>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</si>
  <si>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</si>
  <si>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</si>
  <si>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</si>
  <si>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</si>
  <si>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</si>
  <si>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</si>
  <si>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</si>
  <si>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</si>
  <si>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</si>
  <si>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</si>
  <si>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</si>
  <si>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</si>
  <si>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</si>
  <si>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</si>
  <si>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</si>
  <si>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</si>
  <si>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</si>
  <si>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</si>
  <si>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</si>
  <si>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</si>
  <si>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</si>
  <si>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</si>
  <si>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</si>
  <si>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</si>
  <si>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</si>
  <si>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</si>
  <si>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</si>
  <si>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</si>
  <si>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</si>
  <si>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</si>
  <si>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</si>
  <si>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</si>
  <si>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</si>
  <si>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</si>
  <si>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</si>
  <si>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</si>
  <si>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</si>
  <si>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</si>
  <si>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</si>
  <si>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</si>
  <si>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</si>
  <si>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</si>
  <si>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</si>
  <si>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</si>
  <si>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</si>
  <si>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</si>
  <si>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</si>
  <si>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</si>
  <si>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</si>
  <si>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</si>
  <si>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</si>
  <si>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</si>
  <si>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</si>
  <si>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</si>
  <si>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</si>
  <si>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</si>
  <si>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</si>
  <si>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</si>
  <si>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</si>
  <si>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</si>
  <si>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</si>
  <si>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</si>
  <si>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</si>
  <si>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</si>
  <si>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</si>
  <si>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</si>
  <si>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</si>
  <si>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</si>
  <si>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</si>
  <si>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</si>
  <si>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</si>
  <si>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</si>
  <si>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</si>
  <si>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</si>
  <si>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</si>
  <si>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</si>
  <si>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</si>
  <si>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</si>
  <si>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</si>
  <si>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</si>
  <si>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</si>
  <si>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</si>
  <si>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</si>
  <si>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</si>
  <si>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</si>
  <si>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</si>
  <si>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</si>
  <si>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</si>
  <si>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</si>
  <si>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</si>
  <si>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</si>
  <si>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</si>
  <si>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</si>
  <si>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</si>
  <si>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</si>
  <si>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</si>
  <si>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</si>
  <si>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</si>
  <si>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</si>
  <si>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</si>
  <si>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</si>
  <si>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</si>
  <si>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</si>
  <si>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</si>
  <si>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</si>
  <si>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</si>
  <si>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</si>
  <si>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</si>
  <si>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</si>
  <si>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</si>
  <si>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</si>
  <si>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</si>
  <si>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</si>
  <si>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</si>
  <si>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</si>
  <si>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</si>
  <si>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</si>
  <si>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</si>
  <si>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</si>
  <si>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</si>
  <si>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</si>
  <si>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</si>
  <si>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</si>
  <si>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</si>
  <si>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</si>
  <si>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</si>
  <si>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</si>
  <si>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</si>
  <si>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</si>
  <si>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</si>
  <si>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</si>
  <si>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</si>
  <si>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</si>
  <si>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</si>
  <si>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</si>
  <si>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</si>
  <si>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</si>
  <si>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</si>
  <si>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</si>
  <si>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</si>
  <si>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</si>
  <si>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</si>
  <si>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</si>
  <si>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</si>
  <si>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</si>
  <si>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</si>
  <si>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</si>
  <si>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</si>
  <si>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</si>
  <si>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</si>
  <si>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</si>
  <si>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</si>
  <si>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</si>
  <si>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</si>
  <si>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</si>
  <si>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</si>
  <si>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</si>
  <si>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</si>
  <si>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</si>
  <si>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</si>
  <si>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</si>
  <si>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</si>
  <si>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</si>
  <si>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</si>
  <si>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</si>
  <si>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</si>
  <si>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</si>
  <si>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</si>
  <si>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</si>
  <si>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</si>
  <si>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</si>
  <si>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</si>
  <si>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</si>
  <si>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</si>
  <si>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</si>
  <si>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</si>
  <si>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</si>
  <si>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</si>
  <si>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</si>
  <si>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</si>
  <si>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</si>
  <si>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</si>
  <si>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</si>
  <si>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</si>
  <si>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</si>
  <si>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</si>
  <si>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</si>
  <si>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</si>
  <si>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</si>
  <si>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</si>
  <si>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</si>
  <si>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</si>
  <si>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</si>
  <si>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</si>
  <si>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</si>
  <si>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</si>
  <si>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</si>
  <si>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</si>
  <si>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</si>
  <si>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</si>
  <si>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</si>
  <si>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</si>
  <si>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</si>
  <si>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</si>
  <si>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</si>
  <si>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</si>
  <si>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</si>
  <si>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</si>
  <si>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</si>
  <si>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</si>
  <si>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</si>
  <si>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</si>
  <si>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</si>
  <si>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</si>
  <si>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</si>
  <si>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</si>
  <si>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</si>
  <si>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</si>
  <si>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</si>
  <si>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</si>
  <si>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</si>
  <si>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</si>
  <si>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</si>
  <si>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</si>
  <si>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</si>
  <si>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</si>
  <si>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</si>
  <si>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</si>
  <si>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</si>
  <si>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</si>
  <si>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</si>
  <si>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</si>
  <si>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</si>
  <si>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</si>
  <si>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</si>
  <si>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</si>
  <si>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</si>
  <si>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</si>
  <si>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</si>
  <si>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</si>
  <si>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</si>
  <si>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</si>
  <si>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</si>
  <si>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</si>
  <si>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</si>
  <si>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</si>
  <si>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</si>
  <si>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</si>
  <si>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</si>
  <si>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</si>
  <si>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</si>
  <si>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</si>
  <si>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</si>
  <si>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</si>
  <si>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</si>
  <si>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</si>
  <si>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</si>
  <si>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</si>
  <si>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</si>
  <si>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</si>
  <si>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</si>
  <si>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</si>
  <si>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</si>
  <si>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</si>
  <si>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</si>
  <si>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</si>
  <si>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</si>
  <si>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</si>
  <si>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</si>
  <si>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</si>
  <si>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</si>
  <si>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</si>
  <si>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</si>
  <si>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</si>
  <si>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</si>
  <si>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</si>
  <si>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</si>
  <si>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</si>
  <si>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</si>
  <si>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</si>
  <si>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</si>
  <si>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</si>
  <si>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</si>
  <si>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</si>
  <si>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</si>
  <si>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</si>
  <si>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</si>
  <si>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</si>
  <si>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</si>
  <si>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</si>
  <si>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</si>
  <si>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</si>
  <si>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</si>
  <si>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</si>
  <si>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</si>
  <si>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</si>
  <si>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</si>
  <si>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</si>
  <si>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</si>
  <si>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</si>
  <si>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</si>
  <si>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</si>
  <si>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</si>
  <si>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</si>
  <si>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</si>
  <si>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</si>
  <si>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</si>
  <si>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</si>
  <si>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</si>
  <si>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</si>
  <si>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</si>
  <si>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</si>
  <si>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</si>
  <si>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</si>
  <si>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</si>
  <si>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</si>
  <si>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</si>
  <si>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</si>
  <si>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</si>
  <si>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</si>
  <si>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</si>
  <si>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</si>
  <si>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</si>
  <si>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</si>
  <si>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</si>
  <si>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</si>
  <si>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</si>
  <si>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</si>
  <si>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</si>
  <si>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</si>
  <si>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</si>
  <si>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</si>
  <si>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</si>
  <si>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</si>
  <si>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</si>
  <si>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</si>
  <si>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</si>
  <si>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</si>
  <si>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</si>
  <si>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</si>
  <si>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</si>
  <si>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</si>
  <si>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</si>
  <si>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</si>
  <si>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</si>
  <si>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</si>
  <si>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</si>
  <si>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</si>
  <si>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</si>
  <si>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</si>
  <si>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</si>
  <si>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</si>
  <si>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</si>
  <si>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</si>
  <si>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</si>
  <si>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</si>
  <si>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</si>
  <si>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</si>
  <si>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</si>
  <si>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</si>
  <si>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</si>
  <si>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</si>
  <si>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</si>
  <si>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</si>
  <si>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</si>
  <si>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</si>
  <si>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</si>
  <si>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</si>
  <si>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</si>
  <si>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</si>
  <si>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</si>
  <si>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</si>
  <si>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</si>
  <si>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</si>
  <si>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</si>
  <si>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</si>
  <si>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</si>
  <si>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</si>
  <si>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</si>
  <si>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</si>
  <si>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</si>
  <si>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</si>
  <si>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</si>
  <si>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</si>
  <si>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</si>
  <si>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</si>
  <si>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</si>
  <si>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</si>
  <si>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</si>
  <si>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</si>
  <si>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</si>
  <si>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</si>
  <si>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</si>
  <si>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</si>
  <si>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</si>
  <si>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</si>
  <si>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</si>
  <si>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</si>
  <si>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</si>
  <si>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</si>
  <si>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</si>
  <si>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</si>
  <si>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</si>
  <si>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</si>
  <si>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</si>
  <si>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</si>
  <si>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</si>
  <si>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</si>
  <si>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</si>
  <si>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</si>
  <si>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</si>
  <si>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</si>
  <si>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</si>
  <si>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</si>
  <si>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</si>
  <si>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</si>
  <si>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</si>
  <si>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</si>
  <si>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</si>
  <si>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</si>
  <si>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</si>
  <si>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</si>
  <si>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</si>
  <si>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</si>
  <si>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</si>
  <si>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</si>
  <si>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</si>
  <si>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</si>
  <si>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</si>
  <si>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</si>
  <si>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</si>
  <si>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</si>
  <si>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</si>
  <si>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</si>
  <si>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</si>
  <si>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</si>
  <si>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</si>
  <si>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</si>
  <si>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</si>
  <si>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</si>
  <si>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</si>
  <si>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</si>
  <si>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</si>
  <si>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</si>
  <si>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</si>
  <si>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</si>
  <si>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</si>
  <si>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</si>
  <si>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</si>
  <si>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</si>
  <si>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</si>
  <si>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</si>
  <si>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</si>
  <si>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</si>
  <si>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</si>
  <si>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</si>
  <si>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</si>
  <si>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</si>
  <si>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</si>
  <si>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</si>
  <si>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</si>
  <si>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</si>
  <si>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</si>
  <si>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</si>
  <si>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</si>
  <si>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</si>
  <si>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</si>
  <si>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</si>
  <si>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</si>
  <si>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</si>
  <si>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</si>
  <si>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</si>
  <si>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</si>
  <si>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</si>
  <si>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</si>
  <si>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</si>
  <si>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</si>
  <si>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</si>
  <si>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</si>
  <si>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</si>
  <si>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</si>
  <si>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</si>
  <si>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</si>
  <si>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</si>
  <si>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</si>
  <si>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</si>
  <si>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</si>
  <si>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</si>
  <si>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</si>
  <si>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</si>
  <si>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</si>
  <si>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</si>
  <si>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</si>
  <si>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</si>
  <si>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</si>
  <si>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</si>
  <si>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</si>
  <si>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</si>
  <si>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</si>
  <si>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</si>
  <si>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</si>
  <si>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</si>
  <si>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</si>
  <si>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</si>
  <si>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</si>
  <si>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</si>
  <si>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</si>
  <si>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</si>
  <si>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</si>
  <si>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</si>
  <si>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</si>
  <si>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</si>
  <si>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</si>
  <si>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</si>
  <si>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</si>
  <si>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</si>
  <si>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</si>
  <si>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</si>
  <si>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</si>
  <si>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</si>
  <si>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</si>
  <si>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</si>
  <si>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</si>
  <si>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</si>
  <si>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</si>
  <si>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</si>
  <si>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</si>
  <si>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</si>
  <si>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</si>
  <si>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</si>
  <si>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</si>
  <si>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</si>
  <si>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</si>
  <si>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</si>
  <si>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</si>
  <si>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</si>
  <si>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</si>
  <si>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</si>
  <si>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</si>
  <si>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</si>
  <si>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</si>
  <si>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</si>
  <si>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</si>
  <si>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</si>
  <si>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</si>
  <si>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</si>
  <si>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</si>
  <si>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</si>
  <si>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</si>
  <si>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</si>
  <si>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</si>
  <si>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</si>
  <si>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</si>
  <si>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</si>
  <si>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</si>
  <si>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</si>
  <si>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</si>
  <si>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</si>
  <si>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</si>
  <si>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</si>
  <si>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</si>
  <si>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</si>
  <si>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</si>
  <si>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</si>
  <si>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</si>
  <si>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</si>
  <si>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</si>
  <si>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</si>
  <si>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</si>
  <si>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</si>
  <si>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</si>
  <si>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</si>
  <si>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</si>
  <si>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</si>
  <si>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</si>
  <si>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</si>
  <si>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</si>
  <si>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</si>
  <si>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</si>
  <si>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</si>
  <si>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</si>
  <si>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</si>
  <si>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</si>
  <si>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</si>
  <si>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</si>
  <si>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</si>
  <si>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</si>
  <si>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</si>
  <si>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</si>
  <si>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</si>
  <si>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</si>
  <si>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</si>
  <si>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</si>
  <si>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</si>
  <si>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</si>
  <si>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</si>
  <si>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</si>
  <si>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</si>
  <si>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</si>
  <si>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</si>
  <si>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</si>
  <si>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</si>
  <si>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</si>
  <si>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</si>
  <si>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</si>
  <si>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</si>
  <si>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</si>
  <si>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</si>
  <si>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</si>
  <si>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</si>
  <si>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</si>
  <si>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</si>
  <si>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</si>
  <si>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</si>
  <si>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</si>
  <si>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</si>
  <si>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</si>
  <si>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</si>
  <si>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</si>
  <si>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</si>
  <si>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</si>
  <si>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</si>
  <si>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</si>
  <si>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</si>
  <si>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</si>
  <si>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</si>
  <si>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</si>
  <si>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</si>
  <si>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</si>
  <si>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</si>
  <si>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</si>
  <si>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</si>
  <si>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</si>
  <si>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</si>
  <si>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</si>
  <si>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</si>
  <si>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</si>
  <si>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</si>
  <si>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</si>
  <si>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</si>
  <si>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</si>
  <si>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</si>
  <si>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</si>
  <si>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</si>
  <si>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</si>
  <si>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</si>
  <si>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</si>
  <si>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</si>
  <si>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</si>
  <si>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</si>
  <si>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</si>
  <si>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</si>
  <si>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</si>
  <si>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</si>
  <si>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</si>
  <si>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</si>
  <si>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</si>
  <si>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</si>
  <si>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</si>
  <si>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</si>
  <si>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</si>
  <si>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</si>
  <si>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</si>
  <si>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</si>
  <si>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</si>
  <si>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</si>
  <si>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</si>
  <si>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</si>
  <si>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</si>
  <si>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</si>
  <si>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</si>
  <si>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</si>
  <si>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</si>
  <si>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</si>
  <si>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</si>
  <si>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</si>
  <si>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</si>
  <si>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</si>
  <si>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</si>
  <si>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</si>
  <si>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</si>
  <si>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</si>
  <si>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</si>
  <si>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</si>
  <si>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</si>
  <si>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</si>
  <si>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</si>
  <si>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</si>
  <si>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</si>
  <si>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</si>
  <si>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</si>
  <si>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</si>
  <si>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</si>
  <si>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</si>
  <si>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</si>
  <si>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</si>
  <si>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</si>
  <si>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</si>
  <si>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</si>
  <si>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</si>
  <si>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</si>
  <si>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</si>
  <si>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</si>
  <si>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</si>
  <si>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</si>
  <si>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</si>
  <si>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</si>
  <si>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</si>
  <si>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</si>
  <si>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</si>
  <si>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</si>
  <si>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</si>
  <si>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</si>
  <si>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</si>
  <si>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</si>
  <si>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</si>
  <si>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</si>
  <si>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</si>
  <si>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</si>
  <si>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</si>
  <si>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</si>
  <si>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</si>
  <si>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</si>
  <si>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</si>
  <si>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</si>
  <si>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</si>
  <si>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</si>
  <si>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</si>
  <si>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</si>
  <si>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</si>
  <si>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</si>
  <si>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</si>
  <si>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</si>
  <si>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</si>
  <si>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</si>
  <si>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</si>
  <si>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</si>
  <si>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</si>
  <si>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</si>
  <si>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</si>
  <si>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</si>
  <si>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</si>
  <si>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</si>
  <si>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</si>
  <si>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</si>
  <si>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</si>
  <si>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</si>
  <si>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</si>
  <si>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</si>
  <si>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</si>
  <si>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</si>
  <si>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</si>
  <si>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</si>
  <si>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</si>
  <si>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</si>
  <si>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</si>
  <si>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</si>
  <si>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</si>
  <si>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</si>
  <si>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</si>
  <si>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</si>
  <si>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</si>
  <si>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</si>
  <si>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</si>
  <si>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</si>
  <si>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</si>
  <si>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</si>
  <si>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</si>
  <si>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</si>
  <si>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</si>
  <si>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</si>
  <si>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</si>
  <si>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</si>
  <si>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</si>
  <si>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</si>
  <si>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</si>
  <si>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</si>
  <si>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</si>
  <si>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</si>
  <si>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</si>
  <si>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</si>
  <si>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</si>
  <si>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</si>
  <si>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</si>
  <si>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</si>
  <si>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</si>
  <si>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</si>
  <si>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</si>
  <si>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</si>
  <si>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</si>
  <si>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</si>
  <si>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</si>
  <si>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</si>
  <si>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</si>
  <si>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</si>
  <si>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</si>
  <si>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</si>
  <si>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</si>
  <si>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</si>
  <si>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</si>
  <si>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</si>
  <si>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</si>
  <si>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</si>
  <si>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</si>
  <si>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</si>
  <si>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</si>
  <si>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</si>
  <si>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</si>
  <si>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</si>
  <si>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</si>
  <si>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</si>
  <si>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</si>
  <si>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</si>
  <si>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</si>
  <si>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</si>
  <si>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</si>
  <si>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</si>
  <si>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</si>
  <si>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</si>
  <si>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</si>
  <si>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</si>
  <si>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</si>
  <si>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</si>
  <si>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</si>
  <si>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</si>
  <si>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</si>
  <si>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</si>
  <si>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</si>
  <si>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</si>
  <si>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</si>
  <si>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</si>
  <si>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</si>
  <si>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</si>
  <si>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</si>
  <si>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</si>
  <si>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</si>
  <si>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</si>
  <si>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</si>
  <si>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</si>
  <si>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</si>
  <si>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</si>
  <si>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</si>
  <si>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</si>
  <si>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</si>
  <si>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</si>
  <si>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</si>
  <si>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</si>
  <si>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</si>
  <si>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</si>
  <si>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</si>
  <si>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</si>
  <si>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</si>
  <si>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</si>
  <si>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</si>
  <si>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</si>
  <si>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</si>
  <si>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</si>
  <si>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</si>
  <si>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</si>
  <si>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</si>
  <si>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</si>
  <si>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</si>
  <si>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</si>
  <si>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</si>
  <si>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</si>
  <si>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</si>
  <si>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</si>
  <si>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</si>
  <si>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</si>
  <si>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</si>
  <si>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</si>
  <si>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</si>
  <si>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</si>
  <si>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</si>
  <si>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</si>
  <si>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</si>
  <si>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</si>
  <si>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</si>
  <si>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</si>
  <si>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</si>
  <si>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</si>
  <si>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</si>
  <si>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</si>
  <si>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</si>
  <si>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</si>
  <si>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</si>
  <si>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</si>
  <si>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</si>
  <si>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</si>
  <si>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</si>
  <si>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</si>
  <si>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</si>
  <si>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</si>
  <si>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</si>
  <si>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</si>
  <si>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</si>
  <si>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</si>
  <si>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</si>
  <si>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</si>
  <si>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</si>
  <si>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</si>
  <si>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</si>
  <si>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</si>
  <si>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</si>
  <si>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</si>
  <si>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</si>
  <si>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</si>
  <si>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Strain</t>
  </si>
  <si>
    <t>Description</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</si>
  <si>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</si>
  <si>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</si>
  <si>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</si>
  <si>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</si>
  <si>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</si>
  <si>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</si>
  <si>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</si>
  <si>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</si>
  <si>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</si>
  <si>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</si>
  <si>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</si>
  <si>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</si>
  <si>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</si>
  <si>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</si>
  <si>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</si>
  <si>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</si>
  <si>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</si>
  <si>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t>
  </si>
  <si>
    <t>(-/-)</t>
  </si>
  <si>
    <t>(+/+)</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</si>
  <si>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</si>
  <si>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</si>
  <si>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</si>
  <si>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</si>
  <si>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</si>
  <si>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</si>
  <si>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</si>
  <si>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</si>
  <si>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</si>
  <si>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</si>
  <si>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</si>
  <si>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</si>
  <si>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</si>
  <si>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</si>
  <si>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</si>
  <si>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</si>
  <si>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</si>
  <si>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</si>
  <si>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</si>
  <si>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</si>
  <si>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</si>
  <si>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</si>
  <si>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</si>
  <si>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</si>
  <si>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</si>
  <si>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</si>
  <si>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</si>
  <si>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</si>
  <si>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</si>
  <si>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</si>
  <si>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</si>
  <si>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</si>
  <si>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</si>
  <si>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</si>
  <si>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</si>
  <si>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</si>
  <si>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</si>
  <si>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</si>
  <si>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</si>
  <si>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</si>
  <si>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</si>
  <si>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</si>
  <si>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Digestion Volume [uL]</t>
  </si>
  <si>
    <t>Opentrons Flex</t>
  </si>
  <si>
    <t>Opentrons OT-2</t>
  </si>
  <si>
    <t>Aurora Frontiers</t>
  </si>
  <si>
    <t>IonOpticks Aurora Frontiers Column</t>
  </si>
  <si>
    <t>E-Mail</t>
  </si>
  <si>
    <t>Unknown/Random</t>
  </si>
  <si>
    <t>Number Offline Fractions</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</si>
  <si>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</si>
  <si>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</si>
  <si>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</si>
  <si>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</si>
  <si>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</si>
  <si>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</si>
  <si>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</si>
  <si>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</si>
  <si>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</si>
  <si>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</si>
  <si>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</si>
  <si>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</si>
  <si>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</si>
  <si>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</si>
  <si>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</si>
  <si>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</si>
  <si>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</si>
  <si>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</si>
  <si>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</si>
  <si>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</si>
  <si>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</si>
  <si>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</si>
  <si>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</si>
  <si>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</si>
  <si>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</si>
  <si>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</si>
  <si>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</si>
  <si>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</si>
  <si>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</si>
  <si>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</si>
  <si>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</si>
  <si>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</si>
  <si>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</si>
  <si>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</si>
  <si>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</si>
  <si>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</si>
  <si>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</si>
  <si>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</si>
  <si>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</si>
  <si>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</si>
  <si>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</si>
  <si>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</si>
  <si>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</si>
  <si>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</si>
  <si>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</si>
  <si>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</si>
  <si>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</si>
  <si>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</si>
  <si>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</si>
  <si>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</si>
  <si>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</si>
  <si>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</si>
  <si>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</si>
  <si>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Pulldown Bait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</si>
  <si>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</si>
  <si>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</si>
  <si>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</si>
  <si>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</si>
  <si>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</si>
  <si>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</si>
  <si>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</si>
  <si>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</si>
  <si>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</si>
  <si>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</si>
  <si>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</si>
  <si>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</si>
  <si>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</si>
  <si>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</si>
  <si>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</si>
  <si>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</si>
  <si>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</si>
  <si>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</si>
  <si>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</si>
  <si>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</si>
  <si>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</si>
  <si>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</si>
  <si>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</si>
  <si>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</si>
  <si>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</si>
  <si>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</si>
  <si>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</si>
  <si>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</si>
  <si>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</si>
  <si>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</si>
  <si>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</si>
  <si>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</si>
  <si>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</si>
  <si>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</si>
  <si>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</si>
  <si>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</si>
  <si>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</si>
  <si>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</si>
  <si>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</si>
  <si>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</si>
  <si>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</si>
  <si>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</si>
  <si>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</si>
  <si>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</si>
  <si>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</si>
  <si>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</si>
  <si>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att_mouse_id</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</si>
  <si>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</si>
  <si>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</si>
  <si>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</si>
  <si>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Mouse ID</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</si>
  <si>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</si>
  <si>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</si>
  <si>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</si>
  <si>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</si>
  <si>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</si>
  <si>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</si>
  <si>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</si>
  <si>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</si>
  <si>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</si>
  <si>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</si>
  <si>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</si>
  <si>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</si>
  <si>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att_protein_input</t>
  </si>
  <si>
    <t>Protein amount [µg]</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</si>
  <si>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</si>
  <si>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</si>
  <si>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</si>
  <si>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</si>
  <si>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</si>
  <si>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</si>
  <si>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</si>
  <si>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</si>
  <si>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</si>
  <si>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</si>
  <si>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</si>
  <si>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</si>
  <si>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</si>
  <si>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</si>
  <si>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</si>
  <si>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</si>
  <si>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</si>
  <si>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</si>
  <si>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</si>
  <si>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</si>
  <si>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</si>
  <si>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</si>
  <si>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</si>
  <si>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</si>
  <si>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</si>
  <si>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</si>
  <si>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</si>
  <si>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</si>
  <si>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</si>
  <si>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</si>
  <si>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</si>
  <si>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</si>
  <si>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</si>
  <si>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</si>
  <si>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</si>
  <si>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</si>
  <si>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</si>
  <si>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Gene Knockdown</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</si>
  <si>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</si>
  <si>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</si>
  <si>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</si>
  <si>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</si>
  <si>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</si>
  <si>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</si>
  <si>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</si>
  <si>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</si>
  <si>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</si>
  <si>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</si>
  <si>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</si>
  <si>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</si>
  <si>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</si>
  <si>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</si>
  <si>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</si>
  <si>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</si>
  <si>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</si>
  <si>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</si>
  <si>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</si>
  <si>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</si>
  <si>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</si>
  <si>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</si>
  <si>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</si>
  <si>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</si>
  <si>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</si>
  <si>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</si>
  <si>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</si>
  <si>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</si>
  <si>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</si>
  <si>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</si>
  <si>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</si>
  <si>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</si>
  <si>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</si>
  <si>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</si>
  <si>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</si>
  <si>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</si>
  <si>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</si>
  <si>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</si>
  <si>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</si>
  <si>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</si>
  <si>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</si>
  <si>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</si>
  <si>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</si>
  <si>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</si>
  <si>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</si>
  <si>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</si>
  <si>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</si>
  <si>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</si>
  <si>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</si>
  <si>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</si>
  <si>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</si>
  <si>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120 min</t>
  </si>
  <si>
    <t>A total gradient length of 120min</t>
  </si>
  <si>
    <t>90 min</t>
  </si>
  <si>
    <t>60 min</t>
  </si>
  <si>
    <t>A total gradient length of 60min</t>
  </si>
  <si>
    <t>A total gradient length of 90min</t>
  </si>
  <si>
    <t>att_mouse_cre</t>
  </si>
  <si>
    <t>Mouse Cre Background</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</si>
  <si>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</si>
  <si>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</si>
  <si>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</si>
  <si>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</si>
  <si>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</si>
  <si>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</si>
  <si>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</si>
  <si>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</si>
  <si>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</si>
  <si>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</si>
  <si>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</si>
  <si>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</si>
  <si>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</si>
  <si>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</si>
  <si>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</si>
  <si>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</si>
  <si>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</si>
  <si>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</si>
  <si>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</si>
  <si>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</si>
  <si>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</si>
  <si>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</si>
  <si>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</si>
  <si>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</si>
  <si>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</si>
  <si>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</si>
  <si>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</si>
  <si>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</si>
  <si>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</si>
  <si>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</si>
  <si>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</si>
  <si>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</si>
  <si>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</si>
  <si>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</si>
  <si>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</si>
  <si>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</si>
  <si>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</si>
  <si>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</si>
  <si>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</si>
  <si>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</si>
  <si>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</si>
  <si>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</si>
  <si>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</si>
  <si>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</si>
  <si>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</si>
  <si>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</si>
  <si>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</si>
  <si>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</si>
  <si>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</si>
  <si>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</si>
  <si>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</si>
  <si>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</si>
  <si>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</si>
  <si>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</si>
  <si>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</si>
  <si>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</si>
  <si>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</si>
  <si>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</si>
  <si>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</si>
  <si>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</si>
  <si>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</si>
  <si>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</si>
  <si>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</si>
  <si>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</si>
  <si>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</si>
  <si>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</si>
  <si>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</si>
  <si>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</si>
  <si>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</si>
  <si>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</si>
  <si>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</si>
  <si>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</si>
  <si>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</si>
  <si>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</si>
  <si>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</si>
  <si>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</si>
  <si>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</si>
  <si>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</si>
  <si>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</si>
  <si>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</si>
  <si>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</si>
  <si>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</si>
  <si>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</si>
  <si>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</si>
  <si>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</si>
  <si>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</si>
  <si>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</si>
  <si>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</si>
  <si>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</si>
  <si>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</si>
  <si>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</si>
  <si>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</si>
  <si>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</si>
  <si>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</si>
  <si>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</si>
  <si>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</si>
  <si>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</si>
  <si>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</si>
  <si>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</si>
  <si>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</si>
  <si>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att_overexpression</t>
  </si>
  <si>
    <t>Overexpression</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</si>
  <si>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</si>
  <si>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</si>
  <si>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</si>
  <si>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</si>
  <si>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</si>
  <si>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</si>
  <si>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</si>
  <si>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</si>
  <si>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</si>
  <si>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</si>
  <si>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</si>
  <si>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</si>
  <si>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</si>
  <si>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</si>
  <si>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</si>
  <si>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</si>
  <si>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</si>
  <si>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</si>
  <si>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</si>
  <si>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</si>
  <si>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</si>
  <si>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</si>
  <si>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</si>
  <si>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</si>
  <si>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</si>
  <si>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</si>
  <si>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</si>
  <si>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</si>
  <si>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</si>
  <si>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</si>
  <si>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has_unit</t>
  </si>
  <si>
    <t>unit</t>
  </si>
  <si>
    <t>concentration;time</t>
  </si>
  <si>
    <t>att_mouse_strain</t>
  </si>
  <si>
    <t>Mouse Strain</t>
  </si>
  <si>
    <t>time</t>
  </si>
  <si>
    <t>C57BL/6J</t>
  </si>
  <si>
    <t>C57BL/6J (Black 6), inbred, low susceptibility to tumors, high susceptibility to diet-induced
obesity, moderate hyperglycemia and
hyperinsulinemia</t>
  </si>
  <si>
    <t>temperature</t>
  </si>
  <si>
    <t>Spray Voltage</t>
  </si>
  <si>
    <t>voltage</t>
  </si>
  <si>
    <t>weight</t>
  </si>
  <si>
    <t>volume</t>
  </si>
  <si>
    <t>Digestion Temperature</t>
  </si>
  <si>
    <t>flow</t>
  </si>
  <si>
    <t>LC Flow rate</t>
  </si>
  <si>
    <t>Gradient Length</t>
  </si>
  <si>
    <t>proximity</t>
  </si>
  <si>
    <t>bioid, proxomity</t>
  </si>
  <si>
    <t>Proximity Labeling</t>
  </si>
  <si>
    <t>Proximity Labeling using BioID or Apex based assays</t>
  </si>
  <si>
    <t xml:space="preserve">FAIMS Compensation Voltage </t>
  </si>
  <si>
    <t>34 DIA windows (MS2) Scans within one cycle.</t>
  </si>
  <si>
    <t>att_time</t>
  </si>
  <si>
    <t>Time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</si>
  <si>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</si>
  <si>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</si>
  <si>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</si>
  <si>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</si>
  <si>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</si>
  <si>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</si>
  <si>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</si>
  <si>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</si>
  <si>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</si>
  <si>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</si>
  <si>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</si>
  <si>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</si>
  <si>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</si>
  <si>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</si>
  <si>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</si>
  <si>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Cell culture media</t>
  </si>
  <si>
    <t>att_cellculture_media</t>
  </si>
  <si>
    <t>fbs</t>
  </si>
  <si>
    <t>10 % FBS (Fetal bovine serum)</t>
  </si>
  <si>
    <t>Fetal bovine serum (FBS) is derived from the blood drawn from a bovine fetus via a closed system of collection at the slaughterhouse. Fetal bovine serum is the most widely used serum-supplement for the in vitro cell culture of eukaryotic cells. This is due to it having a very low level of antibodies and containing more growth factors, allowing for versatility in many different cell culture applications.</t>
  </si>
  <si>
    <t>nofbs</t>
  </si>
  <si>
    <t>No (0%) FBS</t>
  </si>
  <si>
    <t>No FB serum has been added to the cell culture media.</t>
  </si>
  <si>
    <t>Fatostatin</t>
  </si>
  <si>
    <t>fatostatin</t>
  </si>
  <si>
    <t>A cell-permeable diarylthiazole compound that prevents the cellular activation of the SREBP-1/2 precursors to the active nuclear forms by blocking SREBPs-SCAP ER to Golgi translocation.</t>
  </si>
  <si>
    <t>hepg2</t>
  </si>
  <si>
    <t>Hep G2 is an immortal cell line which was derived in 1975 from the liver tissue of a 15-year-old Caucasian male from Argentina with a well-differentiated hepatocellular carcinoma.</t>
  </si>
  <si>
    <t>HepG2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</si>
</sst>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dd/mm/yyyy"/>
  </numFmts>
  <fonts count="13"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sz val="12"/>
      <name val="Arial"/>
      <family val="2"/>
      <charset val="1"/>
    </font>
    <font>
      <b/>
      <i/>
      <sz val="10"/>
      <color theme="0"/>
      <name val="Arial"/>
      <family val="2"/>
      <charset val="1"/>
    </font>
    <font>
      <sz val="10"/>
      <color theme="0"/>
      <name val="Arial"/>
      <family val="2"/>
      <charset val="1"/>
    </font>
    <font>
      <sz val="12"/>
      <color rgb="FFCCCCCC"/>
      <name val="Menlo"/>
      <family val="2"/>
    </font>
    <font>
      <sz val="12"/>
      <color rgb="FF9CDCFE"/>
      <name val="Menlo"/>
      <family val="2"/>
    </font>
    <font>
      <u/>
      <sz val="10"/>
      <color theme="10"/>
      <name val="Arial"/>
      <family val="2"/>
      <charset val="1"/>
    </font>
    <font>
      <sz val="16"/>
      <color rgb="FF000000"/>
      <name val="Arial"/>
      <family val="2"/>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9">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0" borderId="0" xfId="0" applyFont="1" applyAlignment="1">
      <alignment horizontal="justify"/>
    </xf>
    <xf numFmtId="165" fontId="6" fillId="0" borderId="0" xfId="0" applyNumberFormat="1" applyFont="1" applyAlignment="1">
      <alignment horizontal="justify"/>
    </xf>
    <xf numFmtId="0" fontId="7" fillId="2" borderId="0" xfId="0" applyFont="1" applyFill="1" applyAlignment="1">
      <alignment horizontal="right"/>
    </xf>
    <xf numFmtId="0" fontId="8" fillId="0" borderId="0" xfId="0" applyFont="1" applyAlignment="1">
      <alignment horizontal="right"/>
    </xf>
    <xf numFmtId="0" fontId="8"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9" fillId="0" borderId="0" xfId="0" applyFont="1"/>
    <xf numFmtId="0" fontId="10" fillId="0" borderId="0" xfId="0" applyFont="1"/>
    <xf numFmtId="0" fontId="0" fillId="0" borderId="0" xfId="0" applyAlignment="1">
      <alignment horizontal="right" wrapText="1"/>
    </xf>
    <xf numFmtId="0" fontId="11" fillId="0" borderId="0" xfId="1"/>
    <xf numFmtId="0" fontId="12" fillId="0" borderId="0" xfId="0" applyFont="1"/>
  </cellXfs>
  <cellStyles count="2">
    <cellStyle name="Hyperlink" xfId="1" builtinId="8"/>
    <cellStyle name="Normal" xfId="0" builtinId="0"/>
  </cellStyles>
  <dxfs count="8">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H135"/>
  <sheetViews>
    <sheetView tabSelected="1" zoomScaleNormal="100" workbookViewId="0">
      <pane ySplit="1" topLeftCell="A68" activePane="bottomLeft" state="frozen"/>
      <selection pane="bottomLeft" activeCell="B80" sqref="B80"/>
    </sheetView>
  </sheetViews>
  <sheetFormatPr baseColWidth="10" defaultColWidth="10.6640625" defaultRowHeight="13" x14ac:dyDescent="0.15"/>
  <cols>
    <col min="1" max="1" width="24.6640625" customWidth="1"/>
    <col min="2" max="2" width="24.1640625" customWidth="1"/>
    <col min="3" max="3" width="32.6640625" customWidth="1"/>
    <col min="5" max="6" width="21.33203125" style="1" customWidth="1"/>
    <col min="7" max="7" width="11.6640625" customWidth="1"/>
    <col min="8" max="8" width="11" customWidth="1"/>
    <col min="9" max="10" width="10.6640625" style="2" customWidth="1"/>
    <col min="11" max="12" width="15.6640625" style="1" customWidth="1"/>
    <col min="13" max="13" width="20.6640625" style="1" customWidth="1"/>
    <col min="14" max="14" width="15.6640625" style="1" customWidth="1"/>
    <col min="15" max="15" width="19.1640625" style="1" customWidth="1"/>
    <col min="16" max="16" width="22" style="1" customWidth="1"/>
  </cols>
  <sheetData>
    <row r="1" spans="1:1022" s="3" customFormat="1" ht="15.75" customHeight="1" x14ac:dyDescent="0.15">
      <c r="A1" s="3" t="s">
        <v>0</v>
      </c>
      <c r="B1" s="3" t="s">
        <v>1</v>
      </c>
      <c r="C1" s="3" t="s">
        <v>2</v>
      </c>
      <c r="D1" s="3" t="s">
        <v>3</v>
      </c>
      <c r="E1" s="4" t="s">
        <v>4</v>
      </c>
      <c r="F1" s="4" t="s">
        <v>5</v>
      </c>
      <c r="G1" s="3" t="s">
        <v>6</v>
      </c>
      <c r="H1" s="3" t="s">
        <v>7</v>
      </c>
      <c r="I1" s="3" t="s">
        <v>8</v>
      </c>
      <c r="J1" s="3" t="s">
        <v>9</v>
      </c>
      <c r="K1" s="4" t="s">
        <v>10</v>
      </c>
      <c r="L1" s="4" t="s">
        <v>11</v>
      </c>
      <c r="M1" s="4" t="s">
        <v>12</v>
      </c>
      <c r="N1" s="4" t="s">
        <v>13</v>
      </c>
      <c r="O1" s="4" t="s">
        <v>14</v>
      </c>
      <c r="P1" s="4" t="s">
        <v>15</v>
      </c>
      <c r="Q1" s="3" t="s">
        <v>3197</v>
      </c>
      <c r="R1" s="3" t="s">
        <v>3198</v>
      </c>
      <c r="AMB1" s="5"/>
      <c r="AMC1" s="5"/>
      <c r="AMD1" s="5"/>
      <c r="AME1" s="5"/>
      <c r="AMF1"/>
      <c r="AMG1"/>
      <c r="AMH1"/>
    </row>
    <row r="2" spans="1:1022" x14ac:dyDescent="0.15">
      <c r="A2" s="6" t="s">
        <v>264</v>
      </c>
      <c r="B2" t="s">
        <v>17</v>
      </c>
      <c r="C2" t="s">
        <v>3236</v>
      </c>
      <c r="D2">
        <v>500</v>
      </c>
      <c r="E2" s="1" t="s">
        <v>19</v>
      </c>
      <c r="F2" s="1" t="s">
        <v>19</v>
      </c>
      <c r="G2" t="s">
        <v>20</v>
      </c>
      <c r="H2">
        <v>0</v>
      </c>
      <c r="I2" s="7" t="b">
        <v>0</v>
      </c>
      <c r="J2" s="7" t="b">
        <v>0</v>
      </c>
      <c r="K2" s="1" t="s">
        <v>21</v>
      </c>
      <c r="L2" s="1" t="s">
        <v>19</v>
      </c>
      <c r="M2" s="1" t="s">
        <v>19</v>
      </c>
      <c r="N2" s="1" t="s">
        <v>19</v>
      </c>
      <c r="O2" s="1" t="s">
        <v>21</v>
      </c>
      <c r="P2" s="1" t="s">
        <v>19</v>
      </c>
      <c r="Q2" t="b">
        <v>0</v>
      </c>
      <c r="R2" s="1" t="s">
        <v>17</v>
      </c>
    </row>
    <row r="3" spans="1:1022" x14ac:dyDescent="0.15">
      <c r="A3" s="6" t="s">
        <v>16</v>
      </c>
      <c r="B3" t="s">
        <v>17</v>
      </c>
      <c r="C3" t="s">
        <v>18</v>
      </c>
      <c r="D3">
        <v>500</v>
      </c>
      <c r="E3" s="1" t="s">
        <v>19</v>
      </c>
      <c r="F3" s="1" t="s">
        <v>19</v>
      </c>
      <c r="G3" t="s">
        <v>20</v>
      </c>
      <c r="H3">
        <v>0</v>
      </c>
      <c r="I3" s="7" t="b">
        <v>0</v>
      </c>
      <c r="J3" s="7" t="b">
        <v>0</v>
      </c>
      <c r="K3" s="1" t="s">
        <v>21</v>
      </c>
      <c r="L3" s="1" t="s">
        <v>19</v>
      </c>
      <c r="M3" s="1" t="s">
        <v>19</v>
      </c>
      <c r="N3" s="1" t="s">
        <v>19</v>
      </c>
      <c r="O3" s="1" t="s">
        <v>21</v>
      </c>
      <c r="P3" s="1" t="s">
        <v>19</v>
      </c>
      <c r="Q3" t="b">
        <v>0</v>
      </c>
      <c r="R3" s="1" t="s">
        <v>17</v>
      </c>
    </row>
    <row r="4" spans="1:1022" x14ac:dyDescent="0.15">
      <c r="A4" s="6" t="s">
        <v>22</v>
      </c>
      <c r="B4" t="s">
        <v>23</v>
      </c>
      <c r="C4" t="s">
        <v>24</v>
      </c>
      <c r="D4">
        <v>500</v>
      </c>
      <c r="E4" s="1" t="s">
        <v>19</v>
      </c>
      <c r="F4" s="1" t="s">
        <v>19</v>
      </c>
      <c r="G4" t="s">
        <v>25</v>
      </c>
      <c r="H4">
        <v>2</v>
      </c>
      <c r="I4" s="7" t="b">
        <v>0</v>
      </c>
      <c r="J4" s="7" t="b">
        <v>1</v>
      </c>
      <c r="K4" s="1" t="s">
        <v>21</v>
      </c>
      <c r="L4" s="1" t="s">
        <v>19</v>
      </c>
      <c r="M4" s="1" t="s">
        <v>19</v>
      </c>
      <c r="N4" s="1" t="s">
        <v>19</v>
      </c>
      <c r="O4" s="1" t="s">
        <v>21</v>
      </c>
      <c r="P4" s="1" t="s">
        <v>21</v>
      </c>
      <c r="Q4" t="b">
        <v>0</v>
      </c>
      <c r="R4" s="1" t="s">
        <v>17</v>
      </c>
    </row>
    <row r="5" spans="1:1022" x14ac:dyDescent="0.15">
      <c r="A5" s="6" t="s">
        <v>26</v>
      </c>
      <c r="B5" s="6" t="s">
        <v>27</v>
      </c>
      <c r="C5" s="6" t="s">
        <v>28</v>
      </c>
      <c r="D5">
        <v>550</v>
      </c>
      <c r="E5" s="1" t="s">
        <v>19</v>
      </c>
      <c r="F5" s="1" t="s">
        <v>19</v>
      </c>
      <c r="G5" t="s">
        <v>29</v>
      </c>
      <c r="H5">
        <v>1</v>
      </c>
      <c r="I5" s="7" t="b">
        <v>0</v>
      </c>
      <c r="J5" s="7" t="b">
        <v>0</v>
      </c>
      <c r="K5" s="1" t="s">
        <v>21</v>
      </c>
      <c r="L5" s="1" t="s">
        <v>19</v>
      </c>
      <c r="M5" s="1" t="s">
        <v>19</v>
      </c>
      <c r="N5" s="1" t="s">
        <v>19</v>
      </c>
      <c r="O5" s="1" t="s">
        <v>21</v>
      </c>
      <c r="P5" s="1" t="s">
        <v>19</v>
      </c>
      <c r="Q5" t="b">
        <v>0</v>
      </c>
      <c r="R5" s="1" t="s">
        <v>17</v>
      </c>
    </row>
    <row r="6" spans="1:1022" x14ac:dyDescent="0.15">
      <c r="A6" s="6" t="s">
        <v>30</v>
      </c>
      <c r="B6" t="s">
        <v>31</v>
      </c>
      <c r="C6" t="s">
        <v>32</v>
      </c>
      <c r="D6">
        <v>500</v>
      </c>
      <c r="E6" s="1" t="s">
        <v>19</v>
      </c>
      <c r="F6" s="1" t="s">
        <v>19</v>
      </c>
      <c r="G6" t="s">
        <v>33</v>
      </c>
      <c r="H6">
        <v>0</v>
      </c>
      <c r="I6" s="7" t="b">
        <v>0</v>
      </c>
      <c r="J6" s="7" t="b">
        <v>0</v>
      </c>
      <c r="K6" s="1" t="s">
        <v>21</v>
      </c>
      <c r="L6" s="1" t="s">
        <v>19</v>
      </c>
      <c r="M6" s="1" t="s">
        <v>19</v>
      </c>
      <c r="N6" s="1" t="s">
        <v>19</v>
      </c>
      <c r="O6" s="1" t="s">
        <v>21</v>
      </c>
      <c r="P6" s="1" t="s">
        <v>19</v>
      </c>
      <c r="Q6" t="b">
        <v>0</v>
      </c>
      <c r="R6" s="1" t="s">
        <v>17</v>
      </c>
    </row>
    <row r="7" spans="1:1022" x14ac:dyDescent="0.15">
      <c r="A7" t="s">
        <v>34</v>
      </c>
      <c r="B7" t="s">
        <v>17</v>
      </c>
      <c r="C7" t="s">
        <v>35</v>
      </c>
      <c r="D7">
        <v>500</v>
      </c>
      <c r="E7" s="1" t="s">
        <v>19</v>
      </c>
      <c r="F7" s="1" t="s">
        <v>21</v>
      </c>
      <c r="G7" t="s">
        <v>36</v>
      </c>
      <c r="H7">
        <v>0</v>
      </c>
      <c r="I7" s="7" t="b">
        <v>0</v>
      </c>
      <c r="J7" s="7" t="b">
        <v>0</v>
      </c>
      <c r="K7" s="1" t="s">
        <v>19</v>
      </c>
      <c r="L7" s="1" t="s">
        <v>19</v>
      </c>
      <c r="M7" s="1" t="s">
        <v>19</v>
      </c>
      <c r="N7" s="1" t="s">
        <v>19</v>
      </c>
      <c r="O7" s="1" t="s">
        <v>21</v>
      </c>
      <c r="P7" s="1" t="s">
        <v>19</v>
      </c>
      <c r="Q7" t="b">
        <v>0</v>
      </c>
      <c r="R7" s="1" t="s">
        <v>17</v>
      </c>
    </row>
    <row r="8" spans="1:1022" x14ac:dyDescent="0.15">
      <c r="A8" t="s">
        <v>37</v>
      </c>
      <c r="B8" t="s">
        <v>38</v>
      </c>
      <c r="C8" t="s">
        <v>39</v>
      </c>
      <c r="D8">
        <v>500</v>
      </c>
      <c r="E8" s="1" t="s">
        <v>19</v>
      </c>
      <c r="F8" s="1" t="s">
        <v>21</v>
      </c>
      <c r="G8" t="s">
        <v>25</v>
      </c>
      <c r="H8">
        <v>2</v>
      </c>
      <c r="I8" s="7" t="b">
        <v>0</v>
      </c>
      <c r="J8" s="7" t="b">
        <v>0</v>
      </c>
      <c r="K8" s="1" t="s">
        <v>21</v>
      </c>
      <c r="L8" s="1" t="s">
        <v>19</v>
      </c>
      <c r="M8" s="1" t="s">
        <v>19</v>
      </c>
      <c r="N8" s="1" t="s">
        <v>21</v>
      </c>
      <c r="O8" s="1" t="s">
        <v>21</v>
      </c>
      <c r="P8" s="1" t="s">
        <v>21</v>
      </c>
      <c r="Q8" t="b">
        <v>1</v>
      </c>
      <c r="R8" s="1" t="s">
        <v>3205</v>
      </c>
    </row>
    <row r="9" spans="1:1022" x14ac:dyDescent="0.15">
      <c r="A9" t="s">
        <v>40</v>
      </c>
      <c r="B9" t="s">
        <v>17</v>
      </c>
      <c r="C9" t="s">
        <v>41</v>
      </c>
      <c r="D9">
        <v>500</v>
      </c>
      <c r="E9" s="1" t="s">
        <v>19</v>
      </c>
      <c r="F9" s="1" t="s">
        <v>19</v>
      </c>
      <c r="G9" t="s">
        <v>42</v>
      </c>
      <c r="H9">
        <v>0</v>
      </c>
      <c r="I9" s="7" t="b">
        <v>0</v>
      </c>
      <c r="J9" s="7" t="b">
        <v>0</v>
      </c>
      <c r="K9" s="1" t="s">
        <v>21</v>
      </c>
      <c r="L9" s="1" t="s">
        <v>19</v>
      </c>
      <c r="M9" s="1" t="s">
        <v>19</v>
      </c>
      <c r="N9" s="1" t="s">
        <v>19</v>
      </c>
      <c r="O9" s="1" t="s">
        <v>21</v>
      </c>
      <c r="P9" s="1" t="s">
        <v>19</v>
      </c>
      <c r="Q9" t="b">
        <v>0</v>
      </c>
      <c r="R9" s="1" t="s">
        <v>17</v>
      </c>
    </row>
    <row r="10" spans="1:1022" x14ac:dyDescent="0.15">
      <c r="A10" t="s">
        <v>43</v>
      </c>
      <c r="B10" t="s">
        <v>17</v>
      </c>
      <c r="C10" t="s">
        <v>44</v>
      </c>
      <c r="D10">
        <v>600</v>
      </c>
      <c r="E10" s="1" t="s">
        <v>19</v>
      </c>
      <c r="F10" s="1" t="s">
        <v>19</v>
      </c>
      <c r="G10" t="s">
        <v>42</v>
      </c>
      <c r="H10">
        <v>0</v>
      </c>
      <c r="I10" s="7" t="b">
        <v>0</v>
      </c>
      <c r="J10" s="7" t="b">
        <v>0</v>
      </c>
      <c r="K10" s="1" t="s">
        <v>21</v>
      </c>
      <c r="L10" s="1" t="s">
        <v>19</v>
      </c>
      <c r="M10" s="1" t="s">
        <v>19</v>
      </c>
      <c r="N10" s="1" t="s">
        <v>19</v>
      </c>
      <c r="O10" s="1" t="s">
        <v>21</v>
      </c>
      <c r="P10" s="1" t="s">
        <v>19</v>
      </c>
      <c r="Q10" t="b">
        <v>0</v>
      </c>
      <c r="R10" s="1" t="s">
        <v>17</v>
      </c>
    </row>
    <row r="11" spans="1:1022" x14ac:dyDescent="0.15">
      <c r="A11" t="s">
        <v>3238</v>
      </c>
      <c r="B11" t="s">
        <v>17</v>
      </c>
      <c r="C11" t="s">
        <v>3237</v>
      </c>
      <c r="D11">
        <v>600</v>
      </c>
      <c r="E11" s="1" t="s">
        <v>19</v>
      </c>
      <c r="F11" s="1" t="s">
        <v>19</v>
      </c>
      <c r="G11" t="s">
        <v>47</v>
      </c>
      <c r="H11">
        <v>0</v>
      </c>
      <c r="I11" s="7" t="b">
        <v>0</v>
      </c>
      <c r="J11" s="7" t="b">
        <v>0</v>
      </c>
      <c r="K11" s="1" t="s">
        <v>21</v>
      </c>
      <c r="L11" s="1" t="s">
        <v>19</v>
      </c>
      <c r="M11" s="1" t="s">
        <v>19</v>
      </c>
      <c r="N11" s="1" t="s">
        <v>19</v>
      </c>
      <c r="O11" s="1" t="s">
        <v>21</v>
      </c>
      <c r="P11" s="1" t="s">
        <v>21</v>
      </c>
      <c r="Q11" t="b">
        <v>0</v>
      </c>
      <c r="R11" s="1" t="s">
        <v>17</v>
      </c>
    </row>
    <row r="12" spans="1:1022" x14ac:dyDescent="0.15">
      <c r="A12" s="6" t="s">
        <v>45</v>
      </c>
      <c r="B12" t="s">
        <v>17</v>
      </c>
      <c r="C12" t="s">
        <v>46</v>
      </c>
      <c r="D12">
        <v>200</v>
      </c>
      <c r="E12" s="1" t="s">
        <v>19</v>
      </c>
      <c r="F12" s="1" t="s">
        <v>21</v>
      </c>
      <c r="G12" t="s">
        <v>47</v>
      </c>
      <c r="H12">
        <v>1</v>
      </c>
      <c r="I12" s="7" t="b">
        <v>0</v>
      </c>
      <c r="J12" s="7" t="b">
        <v>0</v>
      </c>
      <c r="K12" s="1" t="s">
        <v>21</v>
      </c>
      <c r="L12" s="1" t="s">
        <v>19</v>
      </c>
      <c r="M12" s="1" t="s">
        <v>19</v>
      </c>
      <c r="N12" s="1" t="s">
        <v>19</v>
      </c>
      <c r="O12" s="1" t="s">
        <v>21</v>
      </c>
      <c r="P12" s="1" t="s">
        <v>19</v>
      </c>
      <c r="Q12" t="b">
        <v>0</v>
      </c>
      <c r="R12" s="1" t="s">
        <v>17</v>
      </c>
    </row>
    <row r="13" spans="1:1022" x14ac:dyDescent="0.15">
      <c r="A13" s="6" t="s">
        <v>48</v>
      </c>
      <c r="B13" t="s">
        <v>17</v>
      </c>
      <c r="C13" t="s">
        <v>49</v>
      </c>
      <c r="D13">
        <v>200</v>
      </c>
      <c r="E13" s="1" t="s">
        <v>19</v>
      </c>
      <c r="F13" s="1" t="s">
        <v>21</v>
      </c>
      <c r="G13" t="s">
        <v>47</v>
      </c>
      <c r="H13">
        <v>1</v>
      </c>
      <c r="I13" s="7" t="b">
        <v>0</v>
      </c>
      <c r="J13" s="7" t="b">
        <v>0</v>
      </c>
      <c r="K13" s="1" t="s">
        <v>21</v>
      </c>
      <c r="L13" s="1" t="s">
        <v>19</v>
      </c>
      <c r="M13" s="1" t="s">
        <v>19</v>
      </c>
      <c r="N13" s="1" t="s">
        <v>19</v>
      </c>
      <c r="O13" s="1" t="s">
        <v>21</v>
      </c>
      <c r="P13" s="1" t="s">
        <v>19</v>
      </c>
      <c r="Q13" t="b">
        <v>0</v>
      </c>
      <c r="R13" s="1" t="s">
        <v>17</v>
      </c>
    </row>
    <row r="14" spans="1:1022" x14ac:dyDescent="0.15">
      <c r="A14" s="6" t="s">
        <v>2954</v>
      </c>
      <c r="B14" t="s">
        <v>17</v>
      </c>
      <c r="C14" t="s">
        <v>2968</v>
      </c>
      <c r="D14">
        <v>500</v>
      </c>
      <c r="E14" s="1" t="s">
        <v>19</v>
      </c>
      <c r="F14" s="1" t="s">
        <v>21</v>
      </c>
      <c r="G14" t="s">
        <v>42</v>
      </c>
      <c r="H14">
        <v>0</v>
      </c>
      <c r="I14" s="7" t="b">
        <v>0</v>
      </c>
      <c r="J14" s="7" t="b">
        <v>0</v>
      </c>
      <c r="K14" s="23" t="b">
        <v>0</v>
      </c>
      <c r="L14" s="23" t="b">
        <v>0</v>
      </c>
      <c r="M14" s="23" t="b">
        <v>0</v>
      </c>
      <c r="N14" s="23" t="b">
        <v>0</v>
      </c>
      <c r="O14" s="23" t="b">
        <v>1</v>
      </c>
      <c r="P14" s="11" t="s">
        <v>21</v>
      </c>
      <c r="Q14" t="b">
        <v>0</v>
      </c>
      <c r="R14" s="1" t="s">
        <v>17</v>
      </c>
    </row>
    <row r="15" spans="1:1022" x14ac:dyDescent="0.15">
      <c r="A15" s="6" t="s">
        <v>50</v>
      </c>
      <c r="B15" s="6" t="s">
        <v>22</v>
      </c>
      <c r="C15" s="6" t="s">
        <v>51</v>
      </c>
      <c r="D15">
        <v>500</v>
      </c>
      <c r="E15" s="1" t="s">
        <v>19</v>
      </c>
      <c r="F15" s="1" t="s">
        <v>21</v>
      </c>
      <c r="G15" t="s">
        <v>25</v>
      </c>
      <c r="H15">
        <v>2</v>
      </c>
      <c r="I15" s="7" t="b">
        <v>0</v>
      </c>
      <c r="J15" s="7" t="b">
        <v>0</v>
      </c>
      <c r="K15" s="1" t="s">
        <v>21</v>
      </c>
      <c r="L15" s="1" t="s">
        <v>19</v>
      </c>
      <c r="M15" s="1" t="s">
        <v>19</v>
      </c>
      <c r="N15" s="1" t="s">
        <v>19</v>
      </c>
      <c r="O15" s="1" t="s">
        <v>21</v>
      </c>
      <c r="P15" s="1" t="s">
        <v>21</v>
      </c>
      <c r="Q15" t="b">
        <v>0</v>
      </c>
      <c r="R15" s="1" t="s">
        <v>17</v>
      </c>
    </row>
    <row r="16" spans="1:1022" x14ac:dyDescent="0.15">
      <c r="A16" t="s">
        <v>52</v>
      </c>
      <c r="B16" t="s">
        <v>53</v>
      </c>
      <c r="C16" t="s">
        <v>54</v>
      </c>
      <c r="D16">
        <v>500</v>
      </c>
      <c r="E16" s="1" t="s">
        <v>19</v>
      </c>
      <c r="F16" s="1" t="s">
        <v>21</v>
      </c>
      <c r="G16" t="s">
        <v>55</v>
      </c>
      <c r="H16">
        <v>2</v>
      </c>
      <c r="I16" s="7" t="b">
        <v>0</v>
      </c>
      <c r="J16" s="7" t="b">
        <v>0</v>
      </c>
      <c r="K16" s="1" t="s">
        <v>19</v>
      </c>
      <c r="L16" s="1" t="s">
        <v>19</v>
      </c>
      <c r="M16" s="1" t="s">
        <v>19</v>
      </c>
      <c r="N16" s="1" t="s">
        <v>21</v>
      </c>
      <c r="O16" s="1" t="s">
        <v>21</v>
      </c>
      <c r="P16" s="1" t="s">
        <v>21</v>
      </c>
      <c r="Q16" t="b">
        <v>0</v>
      </c>
      <c r="R16" s="1" t="s">
        <v>17</v>
      </c>
    </row>
    <row r="17" spans="1:18" x14ac:dyDescent="0.15">
      <c r="A17" t="s">
        <v>56</v>
      </c>
      <c r="B17" t="s">
        <v>53</v>
      </c>
      <c r="C17" t="s">
        <v>57</v>
      </c>
      <c r="D17">
        <v>500</v>
      </c>
      <c r="E17" s="1" t="s">
        <v>19</v>
      </c>
      <c r="F17" s="1" t="s">
        <v>21</v>
      </c>
      <c r="G17" t="s">
        <v>55</v>
      </c>
      <c r="H17">
        <v>2</v>
      </c>
      <c r="I17" s="7" t="b">
        <v>0</v>
      </c>
      <c r="J17" s="7" t="b">
        <v>0</v>
      </c>
      <c r="K17" s="1" t="s">
        <v>19</v>
      </c>
      <c r="L17" s="1" t="s">
        <v>19</v>
      </c>
      <c r="M17" s="1" t="s">
        <v>19</v>
      </c>
      <c r="N17" s="1" t="s">
        <v>21</v>
      </c>
      <c r="O17" s="1" t="s">
        <v>21</v>
      </c>
      <c r="P17" s="1" t="s">
        <v>21</v>
      </c>
      <c r="Q17" t="b">
        <v>0</v>
      </c>
      <c r="R17" s="1" t="s">
        <v>17</v>
      </c>
    </row>
    <row r="18" spans="1:18" x14ac:dyDescent="0.15">
      <c r="A18" t="s">
        <v>58</v>
      </c>
      <c r="B18" t="s">
        <v>53</v>
      </c>
      <c r="C18" t="s">
        <v>59</v>
      </c>
      <c r="D18">
        <v>500</v>
      </c>
      <c r="E18" s="1" t="s">
        <v>19</v>
      </c>
      <c r="F18" s="1" t="s">
        <v>21</v>
      </c>
      <c r="G18" t="s">
        <v>55</v>
      </c>
      <c r="H18">
        <v>2</v>
      </c>
      <c r="I18" s="7" t="b">
        <v>0</v>
      </c>
      <c r="J18" s="7" t="b">
        <v>0</v>
      </c>
      <c r="K18" s="1" t="s">
        <v>19</v>
      </c>
      <c r="L18" s="1" t="s">
        <v>19</v>
      </c>
      <c r="M18" s="1" t="s">
        <v>19</v>
      </c>
      <c r="N18" s="1" t="s">
        <v>21</v>
      </c>
      <c r="O18" s="1" t="s">
        <v>21</v>
      </c>
      <c r="P18" s="1" t="s">
        <v>21</v>
      </c>
      <c r="Q18" t="b">
        <v>0</v>
      </c>
      <c r="R18" s="1" t="s">
        <v>17</v>
      </c>
    </row>
    <row r="19" spans="1:18" x14ac:dyDescent="0.15">
      <c r="A19" t="s">
        <v>60</v>
      </c>
      <c r="B19" t="s">
        <v>53</v>
      </c>
      <c r="C19" t="s">
        <v>61</v>
      </c>
      <c r="D19">
        <v>500</v>
      </c>
      <c r="E19" s="1" t="s">
        <v>19</v>
      </c>
      <c r="F19" s="1" t="s">
        <v>21</v>
      </c>
      <c r="G19" t="s">
        <v>55</v>
      </c>
      <c r="H19">
        <v>2</v>
      </c>
      <c r="I19" s="7" t="b">
        <v>0</v>
      </c>
      <c r="J19" s="7" t="b">
        <v>0</v>
      </c>
      <c r="K19" s="1" t="s">
        <v>19</v>
      </c>
      <c r="L19" s="1" t="s">
        <v>19</v>
      </c>
      <c r="M19" s="1" t="s">
        <v>19</v>
      </c>
      <c r="N19" s="1" t="s">
        <v>19</v>
      </c>
      <c r="O19" s="1" t="s">
        <v>21</v>
      </c>
      <c r="P19" s="1" t="s">
        <v>21</v>
      </c>
      <c r="Q19" t="b">
        <v>0</v>
      </c>
      <c r="R19" s="1" t="s">
        <v>17</v>
      </c>
    </row>
    <row r="20" spans="1:18" x14ac:dyDescent="0.15">
      <c r="A20" t="s">
        <v>62</v>
      </c>
      <c r="B20" t="s">
        <v>53</v>
      </c>
      <c r="C20" t="s">
        <v>63</v>
      </c>
      <c r="D20">
        <v>500</v>
      </c>
      <c r="E20" s="1" t="s">
        <v>19</v>
      </c>
      <c r="F20" s="1" t="s">
        <v>21</v>
      </c>
      <c r="G20" t="s">
        <v>55</v>
      </c>
      <c r="H20">
        <v>2</v>
      </c>
      <c r="I20" s="7" t="b">
        <v>0</v>
      </c>
      <c r="J20" s="7" t="b">
        <v>0</v>
      </c>
      <c r="K20" s="1" t="s">
        <v>19</v>
      </c>
      <c r="L20" s="1" t="s">
        <v>19</v>
      </c>
      <c r="M20" s="1" t="s">
        <v>19</v>
      </c>
      <c r="N20" s="1" t="s">
        <v>21</v>
      </c>
      <c r="O20" s="1" t="s">
        <v>21</v>
      </c>
      <c r="P20" s="1" t="s">
        <v>21</v>
      </c>
      <c r="Q20" t="b">
        <v>0</v>
      </c>
      <c r="R20" s="1" t="s">
        <v>17</v>
      </c>
    </row>
    <row r="21" spans="1:18" x14ac:dyDescent="0.15">
      <c r="A21" t="s">
        <v>64</v>
      </c>
      <c r="B21" t="s">
        <v>53</v>
      </c>
      <c r="C21" t="s">
        <v>65</v>
      </c>
      <c r="D21">
        <v>500</v>
      </c>
      <c r="E21" s="1" t="s">
        <v>19</v>
      </c>
      <c r="F21" s="1" t="s">
        <v>21</v>
      </c>
      <c r="G21" t="s">
        <v>55</v>
      </c>
      <c r="H21">
        <v>2</v>
      </c>
      <c r="I21" s="7" t="b">
        <v>0</v>
      </c>
      <c r="J21" s="7" t="b">
        <v>0</v>
      </c>
      <c r="K21" s="1" t="s">
        <v>19</v>
      </c>
      <c r="L21" s="1" t="s">
        <v>19</v>
      </c>
      <c r="M21" s="1" t="s">
        <v>19</v>
      </c>
      <c r="N21" s="1" t="s">
        <v>21</v>
      </c>
      <c r="O21" s="1" t="s">
        <v>21</v>
      </c>
      <c r="P21" s="1" t="s">
        <v>21</v>
      </c>
      <c r="Q21" t="b">
        <v>0</v>
      </c>
      <c r="R21" s="1" t="s">
        <v>17</v>
      </c>
    </row>
    <row r="22" spans="1:18" x14ac:dyDescent="0.15">
      <c r="A22" t="s">
        <v>66</v>
      </c>
      <c r="B22" t="s">
        <v>53</v>
      </c>
      <c r="C22" t="s">
        <v>67</v>
      </c>
      <c r="D22">
        <v>500</v>
      </c>
      <c r="E22" s="1" t="s">
        <v>19</v>
      </c>
      <c r="F22" s="1" t="s">
        <v>21</v>
      </c>
      <c r="G22" t="s">
        <v>55</v>
      </c>
      <c r="H22">
        <v>2</v>
      </c>
      <c r="I22" s="7" t="b">
        <v>0</v>
      </c>
      <c r="J22" s="7" t="b">
        <v>0</v>
      </c>
      <c r="K22" s="1" t="s">
        <v>19</v>
      </c>
      <c r="L22" s="1" t="s">
        <v>19</v>
      </c>
      <c r="M22" s="1" t="s">
        <v>19</v>
      </c>
      <c r="N22" s="1" t="s">
        <v>21</v>
      </c>
      <c r="O22" s="1" t="s">
        <v>21</v>
      </c>
      <c r="P22" s="1" t="s">
        <v>21</v>
      </c>
      <c r="Q22" t="b">
        <v>0</v>
      </c>
      <c r="R22" s="1" t="s">
        <v>17</v>
      </c>
    </row>
    <row r="23" spans="1:18" x14ac:dyDescent="0.15">
      <c r="A23" t="s">
        <v>53</v>
      </c>
      <c r="B23" t="s">
        <v>17</v>
      </c>
      <c r="C23" t="s">
        <v>68</v>
      </c>
      <c r="D23">
        <v>500</v>
      </c>
      <c r="E23" s="1" t="s">
        <v>19</v>
      </c>
      <c r="F23" s="1" t="s">
        <v>19</v>
      </c>
      <c r="G23" t="s">
        <v>55</v>
      </c>
      <c r="H23">
        <v>2</v>
      </c>
      <c r="I23" s="7" t="b">
        <v>0</v>
      </c>
      <c r="J23" s="7" t="b">
        <v>0</v>
      </c>
      <c r="K23" s="1" t="s">
        <v>21</v>
      </c>
      <c r="L23" s="1" t="s">
        <v>19</v>
      </c>
      <c r="M23" s="1" t="s">
        <v>19</v>
      </c>
      <c r="N23" s="1" t="s">
        <v>21</v>
      </c>
      <c r="O23" s="1" t="s">
        <v>21</v>
      </c>
      <c r="P23" s="1" t="s">
        <v>21</v>
      </c>
      <c r="Q23" t="b">
        <v>0</v>
      </c>
      <c r="R23" s="1" t="s">
        <v>17</v>
      </c>
    </row>
    <row r="24" spans="1:18" x14ac:dyDescent="0.15">
      <c r="A24" s="6" t="s">
        <v>69</v>
      </c>
      <c r="B24" t="s">
        <v>17</v>
      </c>
      <c r="C24" t="s">
        <v>70</v>
      </c>
      <c r="D24">
        <v>600</v>
      </c>
      <c r="E24" s="1" t="s">
        <v>19</v>
      </c>
      <c r="F24" s="1" t="s">
        <v>19</v>
      </c>
      <c r="G24" t="s">
        <v>20</v>
      </c>
      <c r="H24">
        <v>0</v>
      </c>
      <c r="I24" s="7" t="b">
        <v>0</v>
      </c>
      <c r="J24" s="7" t="b">
        <v>0</v>
      </c>
      <c r="K24" s="1" t="s">
        <v>21</v>
      </c>
      <c r="L24" s="1" t="s">
        <v>19</v>
      </c>
      <c r="M24" s="1" t="s">
        <v>19</v>
      </c>
      <c r="N24" s="1" t="s">
        <v>19</v>
      </c>
      <c r="O24" s="1" t="s">
        <v>21</v>
      </c>
      <c r="P24" s="1" t="s">
        <v>19</v>
      </c>
      <c r="Q24" t="b">
        <v>1</v>
      </c>
      <c r="R24" s="1" t="s">
        <v>3199</v>
      </c>
    </row>
    <row r="25" spans="1:18" x14ac:dyDescent="0.15">
      <c r="A25" s="6" t="s">
        <v>71</v>
      </c>
      <c r="B25" t="s">
        <v>17</v>
      </c>
      <c r="C25" t="s">
        <v>72</v>
      </c>
      <c r="D25">
        <v>500</v>
      </c>
      <c r="E25" s="1" t="s">
        <v>19</v>
      </c>
      <c r="F25" s="1" t="s">
        <v>19</v>
      </c>
      <c r="G25" t="s">
        <v>20</v>
      </c>
      <c r="H25">
        <v>0</v>
      </c>
      <c r="I25" s="7" t="b">
        <v>0</v>
      </c>
      <c r="J25" s="7" t="b">
        <v>0</v>
      </c>
      <c r="K25" s="1" t="s">
        <v>21</v>
      </c>
      <c r="L25" s="1" t="s">
        <v>19</v>
      </c>
      <c r="M25" s="1" t="s">
        <v>19</v>
      </c>
      <c r="N25" s="1" t="s">
        <v>19</v>
      </c>
      <c r="O25" s="1" t="s">
        <v>21</v>
      </c>
      <c r="P25" s="1" t="s">
        <v>19</v>
      </c>
      <c r="Q25" t="b">
        <v>0</v>
      </c>
      <c r="R25" s="1" t="s">
        <v>17</v>
      </c>
    </row>
    <row r="26" spans="1:18" x14ac:dyDescent="0.15">
      <c r="A26" s="6" t="s">
        <v>73</v>
      </c>
      <c r="B26" t="s">
        <v>17</v>
      </c>
      <c r="C26" t="s">
        <v>74</v>
      </c>
      <c r="D26">
        <v>500</v>
      </c>
      <c r="E26" s="1" t="s">
        <v>19</v>
      </c>
      <c r="F26" s="1" t="s">
        <v>19</v>
      </c>
      <c r="G26" t="s">
        <v>20</v>
      </c>
      <c r="H26">
        <v>0</v>
      </c>
      <c r="I26" s="7" t="b">
        <v>0</v>
      </c>
      <c r="J26" s="7" t="b">
        <v>0</v>
      </c>
      <c r="K26" s="1" t="s">
        <v>21</v>
      </c>
      <c r="L26" s="1" t="s">
        <v>19</v>
      </c>
      <c r="M26" s="1" t="s">
        <v>19</v>
      </c>
      <c r="N26" s="1" t="s">
        <v>19</v>
      </c>
      <c r="O26" s="1" t="s">
        <v>21</v>
      </c>
      <c r="P26" s="1" t="s">
        <v>19</v>
      </c>
      <c r="Q26" t="b">
        <v>0</v>
      </c>
      <c r="R26" s="1" t="s">
        <v>17</v>
      </c>
    </row>
    <row r="27" spans="1:18" x14ac:dyDescent="0.15">
      <c r="A27" s="6" t="s">
        <v>75</v>
      </c>
      <c r="B27" t="s">
        <v>17</v>
      </c>
      <c r="C27" t="s">
        <v>76</v>
      </c>
      <c r="D27">
        <v>500</v>
      </c>
      <c r="E27" s="1" t="s">
        <v>19</v>
      </c>
      <c r="F27" s="1" t="s">
        <v>19</v>
      </c>
      <c r="G27" t="s">
        <v>20</v>
      </c>
      <c r="H27">
        <v>0</v>
      </c>
      <c r="I27" s="7" t="b">
        <v>0</v>
      </c>
      <c r="J27" s="7" t="b">
        <v>0</v>
      </c>
      <c r="K27" s="1" t="s">
        <v>21</v>
      </c>
      <c r="L27" s="1" t="s">
        <v>19</v>
      </c>
      <c r="M27" s="1" t="s">
        <v>19</v>
      </c>
      <c r="N27" s="1" t="s">
        <v>19</v>
      </c>
      <c r="O27" s="1" t="s">
        <v>21</v>
      </c>
      <c r="P27" s="1" t="s">
        <v>19</v>
      </c>
      <c r="Q27" t="b">
        <v>0</v>
      </c>
      <c r="R27" s="1" t="s">
        <v>17</v>
      </c>
    </row>
    <row r="28" spans="1:18" x14ac:dyDescent="0.15">
      <c r="A28" s="6" t="s">
        <v>77</v>
      </c>
      <c r="B28" t="s">
        <v>17</v>
      </c>
      <c r="C28" t="s">
        <v>78</v>
      </c>
      <c r="D28">
        <v>500</v>
      </c>
      <c r="E28" s="1" t="s">
        <v>19</v>
      </c>
      <c r="F28" s="1" t="s">
        <v>19</v>
      </c>
      <c r="G28" t="s">
        <v>20</v>
      </c>
      <c r="H28">
        <v>0</v>
      </c>
      <c r="I28" s="7" t="b">
        <v>0</v>
      </c>
      <c r="J28" s="7" t="b">
        <v>0</v>
      </c>
      <c r="K28" s="1" t="s">
        <v>21</v>
      </c>
      <c r="L28" s="1" t="s">
        <v>19</v>
      </c>
      <c r="M28" s="1" t="s">
        <v>19</v>
      </c>
      <c r="N28" s="1" t="s">
        <v>19</v>
      </c>
      <c r="O28" s="1" t="s">
        <v>21</v>
      </c>
      <c r="P28" s="1" t="s">
        <v>19</v>
      </c>
      <c r="Q28" t="b">
        <v>0</v>
      </c>
      <c r="R28" s="1" t="s">
        <v>17</v>
      </c>
    </row>
    <row r="29" spans="1:18" x14ac:dyDescent="0.15">
      <c r="A29" t="s">
        <v>79</v>
      </c>
      <c r="B29" t="s">
        <v>17</v>
      </c>
      <c r="C29" t="s">
        <v>80</v>
      </c>
      <c r="D29">
        <v>200</v>
      </c>
      <c r="E29" s="1" t="s">
        <v>19</v>
      </c>
      <c r="F29" s="1" t="s">
        <v>19</v>
      </c>
      <c r="G29" t="s">
        <v>81</v>
      </c>
      <c r="H29">
        <v>0</v>
      </c>
      <c r="I29" s="7" t="b">
        <v>0</v>
      </c>
      <c r="J29" s="7" t="b">
        <v>0</v>
      </c>
      <c r="K29" s="1" t="s">
        <v>21</v>
      </c>
      <c r="L29" s="1" t="s">
        <v>19</v>
      </c>
      <c r="M29" s="1" t="s">
        <v>19</v>
      </c>
      <c r="N29" s="1" t="s">
        <v>19</v>
      </c>
      <c r="O29" s="1" t="s">
        <v>21</v>
      </c>
      <c r="P29" s="1" t="s">
        <v>19</v>
      </c>
      <c r="Q29" t="b">
        <v>0</v>
      </c>
      <c r="R29" s="1" t="s">
        <v>17</v>
      </c>
    </row>
    <row r="30" spans="1:18" x14ac:dyDescent="0.15">
      <c r="A30" t="s">
        <v>82</v>
      </c>
      <c r="B30" t="s">
        <v>17</v>
      </c>
      <c r="C30" t="s">
        <v>83</v>
      </c>
      <c r="D30">
        <v>200</v>
      </c>
      <c r="E30" s="1" t="s">
        <v>19</v>
      </c>
      <c r="F30" s="1" t="s">
        <v>19</v>
      </c>
      <c r="G30" t="s">
        <v>81</v>
      </c>
      <c r="H30">
        <v>0</v>
      </c>
      <c r="I30" s="7" t="b">
        <v>0</v>
      </c>
      <c r="J30" s="7" t="b">
        <v>0</v>
      </c>
      <c r="K30" s="1" t="s">
        <v>21</v>
      </c>
      <c r="L30" s="1" t="s">
        <v>19</v>
      </c>
      <c r="M30" s="1" t="s">
        <v>19</v>
      </c>
      <c r="N30" s="1" t="s">
        <v>19</v>
      </c>
      <c r="O30" s="1" t="s">
        <v>21</v>
      </c>
      <c r="P30" s="1" t="s">
        <v>19</v>
      </c>
      <c r="Q30" t="b">
        <v>0</v>
      </c>
      <c r="R30" s="1" t="s">
        <v>17</v>
      </c>
    </row>
    <row r="31" spans="1:18" x14ac:dyDescent="0.15">
      <c r="A31" s="6" t="s">
        <v>84</v>
      </c>
      <c r="B31" t="s">
        <v>17</v>
      </c>
      <c r="C31" t="s">
        <v>85</v>
      </c>
      <c r="D31">
        <v>200</v>
      </c>
      <c r="E31" s="1" t="s">
        <v>19</v>
      </c>
      <c r="F31" s="1" t="s">
        <v>19</v>
      </c>
      <c r="G31" t="s">
        <v>81</v>
      </c>
      <c r="H31">
        <v>0</v>
      </c>
      <c r="I31" s="7" t="b">
        <v>0</v>
      </c>
      <c r="J31" s="7" t="b">
        <v>0</v>
      </c>
      <c r="K31" s="1" t="s">
        <v>21</v>
      </c>
      <c r="L31" s="1" t="s">
        <v>19</v>
      </c>
      <c r="M31" s="1" t="s">
        <v>19</v>
      </c>
      <c r="N31" s="1" t="s">
        <v>19</v>
      </c>
      <c r="O31" s="1" t="s">
        <v>21</v>
      </c>
      <c r="P31" s="1" t="s">
        <v>19</v>
      </c>
      <c r="Q31" t="b">
        <v>0</v>
      </c>
      <c r="R31" s="1" t="s">
        <v>17</v>
      </c>
    </row>
    <row r="32" spans="1:18" x14ac:dyDescent="0.15">
      <c r="A32" t="s">
        <v>86</v>
      </c>
      <c r="B32" t="s">
        <v>17</v>
      </c>
      <c r="C32" t="s">
        <v>87</v>
      </c>
      <c r="D32">
        <v>200</v>
      </c>
      <c r="E32" s="1" t="s">
        <v>19</v>
      </c>
      <c r="F32" s="1" t="s">
        <v>19</v>
      </c>
      <c r="G32" t="s">
        <v>81</v>
      </c>
      <c r="H32">
        <v>0</v>
      </c>
      <c r="I32" s="7" t="b">
        <v>0</v>
      </c>
      <c r="J32" s="7" t="b">
        <v>0</v>
      </c>
      <c r="K32" s="1" t="s">
        <v>21</v>
      </c>
      <c r="L32" s="1" t="s">
        <v>19</v>
      </c>
      <c r="M32" s="1" t="s">
        <v>19</v>
      </c>
      <c r="N32" s="1" t="s">
        <v>19</v>
      </c>
      <c r="O32" s="1" t="s">
        <v>21</v>
      </c>
      <c r="P32" s="1" t="s">
        <v>19</v>
      </c>
      <c r="Q32" t="b">
        <v>0</v>
      </c>
      <c r="R32" s="1" t="s">
        <v>17</v>
      </c>
    </row>
    <row r="33" spans="1:18" x14ac:dyDescent="0.15">
      <c r="A33" s="6" t="s">
        <v>88</v>
      </c>
      <c r="B33" s="6" t="s">
        <v>22</v>
      </c>
      <c r="C33" s="6" t="s">
        <v>89</v>
      </c>
      <c r="D33">
        <v>500</v>
      </c>
      <c r="E33" s="1" t="s">
        <v>19</v>
      </c>
      <c r="F33" s="1" t="s">
        <v>21</v>
      </c>
      <c r="G33" t="s">
        <v>25</v>
      </c>
      <c r="H33">
        <v>2</v>
      </c>
      <c r="I33" s="7" t="b">
        <v>0</v>
      </c>
      <c r="J33" s="7" t="b">
        <v>0</v>
      </c>
      <c r="K33" s="1" t="s">
        <v>21</v>
      </c>
      <c r="L33" s="1" t="s">
        <v>19</v>
      </c>
      <c r="M33" s="1" t="s">
        <v>19</v>
      </c>
      <c r="N33" s="1" t="s">
        <v>19</v>
      </c>
      <c r="O33" s="1" t="s">
        <v>21</v>
      </c>
      <c r="P33" s="1" t="s">
        <v>21</v>
      </c>
      <c r="Q33" t="b">
        <v>0</v>
      </c>
      <c r="R33" s="1" t="s">
        <v>17</v>
      </c>
    </row>
    <row r="34" spans="1:18" x14ac:dyDescent="0.15">
      <c r="A34" s="6" t="s">
        <v>90</v>
      </c>
      <c r="B34" s="6" t="s">
        <v>91</v>
      </c>
      <c r="C34" s="6" t="s">
        <v>92</v>
      </c>
      <c r="D34">
        <v>450</v>
      </c>
      <c r="E34" s="1" t="s">
        <v>19</v>
      </c>
      <c r="F34" s="1" t="s">
        <v>19</v>
      </c>
      <c r="G34" t="s">
        <v>93</v>
      </c>
      <c r="H34">
        <v>1</v>
      </c>
      <c r="I34" s="7" t="b">
        <v>0</v>
      </c>
      <c r="J34" s="7" t="b">
        <v>0</v>
      </c>
      <c r="K34" s="1" t="s">
        <v>21</v>
      </c>
      <c r="L34" s="1" t="s">
        <v>19</v>
      </c>
      <c r="M34" s="1" t="s">
        <v>19</v>
      </c>
      <c r="N34" s="1" t="s">
        <v>19</v>
      </c>
      <c r="O34" s="1" t="s">
        <v>21</v>
      </c>
      <c r="P34" s="1" t="s">
        <v>19</v>
      </c>
      <c r="Q34" t="b">
        <v>0</v>
      </c>
      <c r="R34" s="1" t="s">
        <v>17</v>
      </c>
    </row>
    <row r="35" spans="1:18" x14ac:dyDescent="0.15">
      <c r="A35" s="6" t="s">
        <v>94</v>
      </c>
      <c r="B35" s="6" t="s">
        <v>95</v>
      </c>
      <c r="C35" s="6" t="s">
        <v>96</v>
      </c>
      <c r="D35">
        <v>500</v>
      </c>
      <c r="E35" s="1" t="s">
        <v>19</v>
      </c>
      <c r="F35" s="1" t="s">
        <v>21</v>
      </c>
      <c r="G35" t="s">
        <v>25</v>
      </c>
      <c r="H35">
        <v>2</v>
      </c>
      <c r="I35" s="7" t="b">
        <v>0</v>
      </c>
      <c r="J35" s="7" t="b">
        <v>0</v>
      </c>
      <c r="K35" s="1" t="s">
        <v>21</v>
      </c>
      <c r="L35" s="1" t="s">
        <v>19</v>
      </c>
      <c r="M35" s="1" t="s">
        <v>19</v>
      </c>
      <c r="N35" s="1" t="s">
        <v>19</v>
      </c>
      <c r="O35" s="1" t="s">
        <v>21</v>
      </c>
      <c r="P35" s="1" t="s">
        <v>21</v>
      </c>
      <c r="Q35" t="b">
        <v>0</v>
      </c>
      <c r="R35" s="1" t="s">
        <v>17</v>
      </c>
    </row>
    <row r="36" spans="1:18" x14ac:dyDescent="0.15">
      <c r="A36" s="6" t="s">
        <v>97</v>
      </c>
      <c r="B36" s="6" t="s">
        <v>95</v>
      </c>
      <c r="C36" s="6" t="s">
        <v>98</v>
      </c>
      <c r="D36">
        <v>500</v>
      </c>
      <c r="E36" s="1" t="s">
        <v>19</v>
      </c>
      <c r="F36" s="1" t="s">
        <v>21</v>
      </c>
      <c r="G36" t="s">
        <v>25</v>
      </c>
      <c r="H36">
        <v>2</v>
      </c>
      <c r="I36" s="7" t="b">
        <v>0</v>
      </c>
      <c r="J36" s="7" t="b">
        <v>0</v>
      </c>
      <c r="K36" s="1" t="s">
        <v>21</v>
      </c>
      <c r="L36" s="1" t="s">
        <v>19</v>
      </c>
      <c r="M36" s="1" t="s">
        <v>19</v>
      </c>
      <c r="N36" s="1" t="s">
        <v>19</v>
      </c>
      <c r="O36" s="1" t="s">
        <v>21</v>
      </c>
      <c r="P36" s="1" t="s">
        <v>21</v>
      </c>
      <c r="Q36" t="b">
        <v>0</v>
      </c>
      <c r="R36" s="1" t="s">
        <v>17</v>
      </c>
    </row>
    <row r="37" spans="1:18" x14ac:dyDescent="0.15">
      <c r="A37" s="6" t="s">
        <v>95</v>
      </c>
      <c r="B37" s="6" t="s">
        <v>22</v>
      </c>
      <c r="C37" s="6" t="s">
        <v>99</v>
      </c>
      <c r="D37">
        <v>500</v>
      </c>
      <c r="E37" s="1" t="s">
        <v>19</v>
      </c>
      <c r="F37" s="1" t="s">
        <v>21</v>
      </c>
      <c r="G37" t="s">
        <v>25</v>
      </c>
      <c r="H37">
        <v>2</v>
      </c>
      <c r="I37" s="7" t="b">
        <v>0</v>
      </c>
      <c r="J37" s="7" t="b">
        <v>0</v>
      </c>
      <c r="K37" s="1" t="s">
        <v>21</v>
      </c>
      <c r="L37" s="1" t="s">
        <v>19</v>
      </c>
      <c r="M37" s="1" t="s">
        <v>19</v>
      </c>
      <c r="N37" s="1" t="s">
        <v>19</v>
      </c>
      <c r="O37" s="1" t="s">
        <v>21</v>
      </c>
      <c r="P37" s="1" t="s">
        <v>21</v>
      </c>
      <c r="Q37" t="b">
        <v>0</v>
      </c>
      <c r="R37" s="1" t="s">
        <v>17</v>
      </c>
    </row>
    <row r="38" spans="1:18" x14ac:dyDescent="0.15">
      <c r="A38" s="6" t="s">
        <v>27</v>
      </c>
      <c r="B38" t="s">
        <v>17</v>
      </c>
      <c r="C38" t="s">
        <v>100</v>
      </c>
      <c r="D38">
        <v>500</v>
      </c>
      <c r="E38" s="1" t="s">
        <v>19</v>
      </c>
      <c r="F38" s="1" t="s">
        <v>19</v>
      </c>
      <c r="G38" t="s">
        <v>29</v>
      </c>
      <c r="H38">
        <v>1</v>
      </c>
      <c r="I38" s="7" t="b">
        <v>0</v>
      </c>
      <c r="J38" s="7" t="b">
        <v>1</v>
      </c>
      <c r="K38" s="1" t="s">
        <v>21</v>
      </c>
      <c r="L38" s="1" t="s">
        <v>19</v>
      </c>
      <c r="M38" s="1" t="s">
        <v>19</v>
      </c>
      <c r="N38" s="1" t="s">
        <v>19</v>
      </c>
      <c r="O38" s="1" t="s">
        <v>21</v>
      </c>
      <c r="P38" s="1" t="s">
        <v>19</v>
      </c>
      <c r="Q38" t="b">
        <v>0</v>
      </c>
      <c r="R38" s="1" t="s">
        <v>17</v>
      </c>
    </row>
    <row r="39" spans="1:18" x14ac:dyDescent="0.15">
      <c r="A39" s="6" t="s">
        <v>101</v>
      </c>
      <c r="B39" s="6" t="s">
        <v>27</v>
      </c>
      <c r="C39" s="6" t="s">
        <v>3210</v>
      </c>
      <c r="D39">
        <v>500</v>
      </c>
      <c r="E39" s="1" t="s">
        <v>19</v>
      </c>
      <c r="F39" s="1" t="s">
        <v>21</v>
      </c>
      <c r="G39" t="s">
        <v>29</v>
      </c>
      <c r="H39">
        <v>1</v>
      </c>
      <c r="I39" s="7" t="b">
        <v>0</v>
      </c>
      <c r="J39" s="7" t="b">
        <v>0</v>
      </c>
      <c r="K39" s="1" t="s">
        <v>21</v>
      </c>
      <c r="L39" s="1" t="s">
        <v>19</v>
      </c>
      <c r="M39" s="1" t="s">
        <v>19</v>
      </c>
      <c r="N39" s="1" t="s">
        <v>19</v>
      </c>
      <c r="O39" s="1" t="s">
        <v>21</v>
      </c>
      <c r="P39" s="1" t="s">
        <v>19</v>
      </c>
      <c r="Q39" t="b">
        <v>0</v>
      </c>
      <c r="R39" s="1" t="s">
        <v>3205</v>
      </c>
    </row>
    <row r="40" spans="1:18" x14ac:dyDescent="0.15">
      <c r="A40" s="6" t="s">
        <v>102</v>
      </c>
      <c r="B40" s="6" t="s">
        <v>27</v>
      </c>
      <c r="C40" s="6" t="s">
        <v>103</v>
      </c>
      <c r="D40">
        <v>500</v>
      </c>
      <c r="E40" s="1" t="s">
        <v>19</v>
      </c>
      <c r="F40" s="1" t="s">
        <v>21</v>
      </c>
      <c r="G40" t="s">
        <v>29</v>
      </c>
      <c r="H40">
        <v>1</v>
      </c>
      <c r="I40" s="7" t="b">
        <v>0</v>
      </c>
      <c r="J40" s="7" t="b">
        <v>0</v>
      </c>
      <c r="K40" s="1" t="s">
        <v>21</v>
      </c>
      <c r="L40" s="1" t="s">
        <v>19</v>
      </c>
      <c r="M40" s="1" t="s">
        <v>19</v>
      </c>
      <c r="N40" s="1" t="s">
        <v>19</v>
      </c>
      <c r="O40" s="1" t="s">
        <v>21</v>
      </c>
      <c r="P40" s="1" t="s">
        <v>19</v>
      </c>
      <c r="Q40" t="b">
        <v>1</v>
      </c>
      <c r="R40" s="1" t="s">
        <v>3202</v>
      </c>
    </row>
    <row r="41" spans="1:18" x14ac:dyDescent="0.15">
      <c r="A41" s="6" t="s">
        <v>104</v>
      </c>
      <c r="B41" s="6" t="s">
        <v>27</v>
      </c>
      <c r="C41" s="6" t="s">
        <v>105</v>
      </c>
      <c r="D41">
        <v>450</v>
      </c>
      <c r="E41" s="1" t="s">
        <v>19</v>
      </c>
      <c r="F41" s="1" t="s">
        <v>19</v>
      </c>
      <c r="G41" t="s">
        <v>29</v>
      </c>
      <c r="H41">
        <v>1</v>
      </c>
      <c r="I41" s="7" t="b">
        <v>0</v>
      </c>
      <c r="J41" s="7" t="b">
        <v>0</v>
      </c>
      <c r="K41" s="1" t="s">
        <v>21</v>
      </c>
      <c r="L41" s="1" t="s">
        <v>19</v>
      </c>
      <c r="M41" s="1" t="s">
        <v>19</v>
      </c>
      <c r="N41" s="1" t="s">
        <v>19</v>
      </c>
      <c r="O41" s="1" t="s">
        <v>21</v>
      </c>
      <c r="P41" s="1" t="s">
        <v>19</v>
      </c>
      <c r="Q41" t="b">
        <v>0</v>
      </c>
      <c r="R41" s="1" t="s">
        <v>17</v>
      </c>
    </row>
    <row r="42" spans="1:18" x14ac:dyDescent="0.15">
      <c r="A42" s="6" t="s">
        <v>106</v>
      </c>
      <c r="B42" s="6" t="s">
        <v>104</v>
      </c>
      <c r="C42" s="6" t="s">
        <v>2841</v>
      </c>
      <c r="D42">
        <v>400</v>
      </c>
      <c r="E42" s="1" t="s">
        <v>19</v>
      </c>
      <c r="F42" s="1" t="s">
        <v>21</v>
      </c>
      <c r="G42" t="s">
        <v>29</v>
      </c>
      <c r="H42">
        <v>1</v>
      </c>
      <c r="I42" s="7" t="b">
        <v>0</v>
      </c>
      <c r="J42" s="7" t="b">
        <v>0</v>
      </c>
      <c r="K42" s="1" t="s">
        <v>21</v>
      </c>
      <c r="L42" s="1" t="s">
        <v>19</v>
      </c>
      <c r="M42" s="1" t="s">
        <v>19</v>
      </c>
      <c r="N42" s="1" t="s">
        <v>19</v>
      </c>
      <c r="O42" s="1" t="s">
        <v>21</v>
      </c>
      <c r="P42" s="1" t="s">
        <v>19</v>
      </c>
      <c r="Q42" t="b">
        <v>1</v>
      </c>
      <c r="R42" s="1" t="s">
        <v>3209</v>
      </c>
    </row>
    <row r="43" spans="1:18" x14ac:dyDescent="0.15">
      <c r="A43" t="s">
        <v>107</v>
      </c>
      <c r="B43" t="s">
        <v>17</v>
      </c>
      <c r="C43" t="s">
        <v>108</v>
      </c>
      <c r="D43">
        <v>500</v>
      </c>
      <c r="E43" s="1" t="s">
        <v>19</v>
      </c>
      <c r="F43" s="1" t="s">
        <v>19</v>
      </c>
      <c r="G43" t="s">
        <v>42</v>
      </c>
      <c r="H43">
        <v>0</v>
      </c>
      <c r="I43" s="7" t="b">
        <v>0</v>
      </c>
      <c r="J43" s="7" t="b">
        <v>0</v>
      </c>
      <c r="K43" s="1" t="s">
        <v>21</v>
      </c>
      <c r="L43" s="1" t="s">
        <v>19</v>
      </c>
      <c r="M43" s="1" t="s">
        <v>19</v>
      </c>
      <c r="N43" s="1" t="s">
        <v>19</v>
      </c>
      <c r="O43" s="1" t="s">
        <v>21</v>
      </c>
      <c r="P43" s="1" t="s">
        <v>19</v>
      </c>
      <c r="Q43" t="b">
        <v>0</v>
      </c>
      <c r="R43" s="1" t="s">
        <v>17</v>
      </c>
    </row>
    <row r="44" spans="1:18" x14ac:dyDescent="0.15">
      <c r="A44" s="6" t="s">
        <v>109</v>
      </c>
      <c r="B44" t="s">
        <v>17</v>
      </c>
      <c r="C44" t="s">
        <v>110</v>
      </c>
      <c r="D44">
        <v>500</v>
      </c>
      <c r="E44" s="1" t="s">
        <v>19</v>
      </c>
      <c r="F44" s="1" t="s">
        <v>19</v>
      </c>
      <c r="G44" t="s">
        <v>20</v>
      </c>
      <c r="H44">
        <v>0</v>
      </c>
      <c r="I44" s="7" t="b">
        <v>0</v>
      </c>
      <c r="J44" s="7" t="b">
        <v>0</v>
      </c>
      <c r="K44" s="1" t="s">
        <v>21</v>
      </c>
      <c r="L44" s="1" t="s">
        <v>19</v>
      </c>
      <c r="M44" s="1" t="s">
        <v>19</v>
      </c>
      <c r="N44" s="1" t="s">
        <v>19</v>
      </c>
      <c r="O44" s="1" t="s">
        <v>21</v>
      </c>
      <c r="P44" s="1" t="s">
        <v>19</v>
      </c>
      <c r="Q44" t="b">
        <v>0</v>
      </c>
      <c r="R44" s="1" t="s">
        <v>17</v>
      </c>
    </row>
    <row r="45" spans="1:18" x14ac:dyDescent="0.15">
      <c r="A45" t="s">
        <v>111</v>
      </c>
      <c r="B45" t="s">
        <v>17</v>
      </c>
      <c r="C45" t="s">
        <v>112</v>
      </c>
      <c r="D45">
        <v>500</v>
      </c>
      <c r="E45" s="1" t="s">
        <v>19</v>
      </c>
      <c r="F45" s="1" t="s">
        <v>19</v>
      </c>
      <c r="G45" t="s">
        <v>113</v>
      </c>
      <c r="H45">
        <v>0</v>
      </c>
      <c r="I45" s="7" t="b">
        <v>1</v>
      </c>
      <c r="J45" s="7" t="b">
        <v>1</v>
      </c>
      <c r="K45" s="1" t="s">
        <v>21</v>
      </c>
      <c r="L45" s="1" t="s">
        <v>19</v>
      </c>
      <c r="M45" s="1" t="s">
        <v>19</v>
      </c>
      <c r="N45" s="1" t="s">
        <v>19</v>
      </c>
      <c r="O45" s="1" t="s">
        <v>21</v>
      </c>
      <c r="P45" s="1" t="s">
        <v>19</v>
      </c>
      <c r="Q45" t="b">
        <v>0</v>
      </c>
      <c r="R45" s="1" t="s">
        <v>17</v>
      </c>
    </row>
    <row r="46" spans="1:18" x14ac:dyDescent="0.15">
      <c r="A46" t="s">
        <v>114</v>
      </c>
      <c r="B46" s="6" t="s">
        <v>115</v>
      </c>
      <c r="C46" s="6" t="s">
        <v>3218</v>
      </c>
      <c r="D46">
        <v>500</v>
      </c>
      <c r="E46" s="1" t="s">
        <v>19</v>
      </c>
      <c r="F46" s="1" t="s">
        <v>21</v>
      </c>
      <c r="G46" t="s">
        <v>25</v>
      </c>
      <c r="H46">
        <v>2</v>
      </c>
      <c r="I46" s="7" t="b">
        <v>0</v>
      </c>
      <c r="J46" s="7" t="b">
        <v>0</v>
      </c>
      <c r="K46" s="1" t="s">
        <v>21</v>
      </c>
      <c r="L46" s="1" t="s">
        <v>19</v>
      </c>
      <c r="M46" s="1" t="s">
        <v>19</v>
      </c>
      <c r="N46" s="1" t="s">
        <v>19</v>
      </c>
      <c r="O46" s="1" t="s">
        <v>21</v>
      </c>
      <c r="P46" s="1" t="s">
        <v>21</v>
      </c>
      <c r="Q46" t="b">
        <v>0</v>
      </c>
      <c r="R46" s="1" t="s">
        <v>3207</v>
      </c>
    </row>
    <row r="47" spans="1:18" x14ac:dyDescent="0.15">
      <c r="A47" t="s">
        <v>116</v>
      </c>
      <c r="B47" s="6" t="s">
        <v>115</v>
      </c>
      <c r="C47" s="6" t="s">
        <v>117</v>
      </c>
      <c r="D47">
        <v>500</v>
      </c>
      <c r="E47" s="1" t="s">
        <v>19</v>
      </c>
      <c r="F47" s="1" t="s">
        <v>21</v>
      </c>
      <c r="G47" t="s">
        <v>25</v>
      </c>
      <c r="H47">
        <v>2</v>
      </c>
      <c r="I47" s="7" t="b">
        <v>0</v>
      </c>
      <c r="J47" s="7" t="b">
        <v>0</v>
      </c>
      <c r="K47" s="1" t="s">
        <v>21</v>
      </c>
      <c r="L47" s="1" t="s">
        <v>19</v>
      </c>
      <c r="M47" s="1" t="s">
        <v>19</v>
      </c>
      <c r="N47" s="1" t="s">
        <v>19</v>
      </c>
      <c r="O47" s="1" t="s">
        <v>21</v>
      </c>
      <c r="P47" s="1" t="s">
        <v>21</v>
      </c>
      <c r="Q47" t="b">
        <v>0</v>
      </c>
      <c r="R47" s="1" t="s">
        <v>17</v>
      </c>
    </row>
    <row r="48" spans="1:18" x14ac:dyDescent="0.15">
      <c r="A48" t="s">
        <v>118</v>
      </c>
      <c r="B48" s="6" t="s">
        <v>115</v>
      </c>
      <c r="C48" s="6" t="s">
        <v>119</v>
      </c>
      <c r="D48">
        <v>500</v>
      </c>
      <c r="E48" s="1" t="s">
        <v>19</v>
      </c>
      <c r="F48" s="1" t="s">
        <v>21</v>
      </c>
      <c r="G48" t="s">
        <v>25</v>
      </c>
      <c r="H48">
        <v>2</v>
      </c>
      <c r="I48" s="7" t="b">
        <v>0</v>
      </c>
      <c r="J48" s="7" t="b">
        <v>0</v>
      </c>
      <c r="K48" s="1" t="s">
        <v>21</v>
      </c>
      <c r="L48" s="1" t="s">
        <v>19</v>
      </c>
      <c r="M48" s="1" t="s">
        <v>19</v>
      </c>
      <c r="N48" s="1" t="s">
        <v>19</v>
      </c>
      <c r="O48" s="1" t="s">
        <v>21</v>
      </c>
      <c r="P48" s="1" t="s">
        <v>21</v>
      </c>
      <c r="Q48" t="b">
        <v>0</v>
      </c>
      <c r="R48" s="1" t="s">
        <v>3205</v>
      </c>
    </row>
    <row r="49" spans="1:18" x14ac:dyDescent="0.15">
      <c r="A49" t="s">
        <v>120</v>
      </c>
      <c r="B49" s="6" t="s">
        <v>115</v>
      </c>
      <c r="C49" s="6" t="s">
        <v>121</v>
      </c>
      <c r="D49">
        <v>500</v>
      </c>
      <c r="E49" s="1" t="s">
        <v>19</v>
      </c>
      <c r="F49" s="1" t="s">
        <v>21</v>
      </c>
      <c r="G49" t="s">
        <v>25</v>
      </c>
      <c r="H49">
        <v>2</v>
      </c>
      <c r="I49" s="7" t="b">
        <v>0</v>
      </c>
      <c r="J49" s="7" t="b">
        <v>0</v>
      </c>
      <c r="K49" s="1" t="s">
        <v>21</v>
      </c>
      <c r="L49" s="1" t="s">
        <v>19</v>
      </c>
      <c r="M49" s="1" t="s">
        <v>19</v>
      </c>
      <c r="N49" s="1" t="s">
        <v>19</v>
      </c>
      <c r="O49" s="1" t="s">
        <v>21</v>
      </c>
      <c r="P49" s="1" t="s">
        <v>21</v>
      </c>
      <c r="Q49" t="b">
        <v>0</v>
      </c>
      <c r="R49" s="1" t="s">
        <v>3205</v>
      </c>
    </row>
    <row r="50" spans="1:18" x14ac:dyDescent="0.15">
      <c r="A50" s="6" t="s">
        <v>122</v>
      </c>
      <c r="B50" t="s">
        <v>31</v>
      </c>
      <c r="C50" t="s">
        <v>123</v>
      </c>
      <c r="D50">
        <v>500</v>
      </c>
      <c r="E50" s="1" t="s">
        <v>19</v>
      </c>
      <c r="F50" s="1" t="s">
        <v>19</v>
      </c>
      <c r="G50" t="s">
        <v>33</v>
      </c>
      <c r="H50">
        <v>0</v>
      </c>
      <c r="I50" s="7" t="b">
        <v>0</v>
      </c>
      <c r="J50" s="7" t="b">
        <v>0</v>
      </c>
      <c r="K50" s="1" t="s">
        <v>21</v>
      </c>
      <c r="L50" s="1" t="s">
        <v>19</v>
      </c>
      <c r="M50" s="1" t="s">
        <v>19</v>
      </c>
      <c r="N50" s="1" t="s">
        <v>19</v>
      </c>
      <c r="O50" s="1" t="s">
        <v>21</v>
      </c>
      <c r="P50" s="1" t="s">
        <v>19</v>
      </c>
      <c r="Q50" t="b">
        <v>0</v>
      </c>
      <c r="R50" s="1" t="s">
        <v>17</v>
      </c>
    </row>
    <row r="51" spans="1:18" x14ac:dyDescent="0.15">
      <c r="A51" t="s">
        <v>124</v>
      </c>
      <c r="B51" t="s">
        <v>17</v>
      </c>
      <c r="C51" t="s">
        <v>125</v>
      </c>
      <c r="D51">
        <v>500</v>
      </c>
      <c r="E51" s="1" t="s">
        <v>19</v>
      </c>
      <c r="F51" s="1" t="s">
        <v>19</v>
      </c>
      <c r="G51" t="s">
        <v>126</v>
      </c>
      <c r="H51">
        <v>0</v>
      </c>
      <c r="I51" s="7" t="b">
        <v>0</v>
      </c>
      <c r="J51" s="7" t="b">
        <v>0</v>
      </c>
      <c r="K51" s="1" t="s">
        <v>21</v>
      </c>
      <c r="L51" s="1" t="s">
        <v>19</v>
      </c>
      <c r="M51" s="1" t="s">
        <v>19</v>
      </c>
      <c r="N51" s="1" t="s">
        <v>19</v>
      </c>
      <c r="O51" s="1" t="s">
        <v>21</v>
      </c>
      <c r="P51" s="1" t="s">
        <v>19</v>
      </c>
      <c r="Q51" t="b">
        <v>0</v>
      </c>
      <c r="R51" s="1" t="s">
        <v>17</v>
      </c>
    </row>
    <row r="52" spans="1:18" x14ac:dyDescent="0.15">
      <c r="A52" t="s">
        <v>1226</v>
      </c>
      <c r="B52" s="6" t="s">
        <v>17</v>
      </c>
      <c r="C52" s="6" t="s">
        <v>3183</v>
      </c>
      <c r="D52">
        <v>500</v>
      </c>
      <c r="E52" s="1" t="s">
        <v>19</v>
      </c>
      <c r="F52" s="1" t="s">
        <v>19</v>
      </c>
      <c r="G52" t="s">
        <v>47</v>
      </c>
      <c r="H52">
        <v>0</v>
      </c>
      <c r="I52" s="7" t="b">
        <v>0</v>
      </c>
      <c r="J52" s="7" t="b">
        <v>0</v>
      </c>
      <c r="K52" s="1" t="s">
        <v>21</v>
      </c>
      <c r="L52" s="1" t="s">
        <v>19</v>
      </c>
      <c r="M52" s="1" t="s">
        <v>19</v>
      </c>
      <c r="N52" s="1" t="s">
        <v>19</v>
      </c>
      <c r="O52" s="1" t="s">
        <v>21</v>
      </c>
      <c r="P52" s="1" t="s">
        <v>21</v>
      </c>
      <c r="Q52" t="b">
        <v>0</v>
      </c>
      <c r="R52" s="1" t="s">
        <v>17</v>
      </c>
    </row>
    <row r="53" spans="1:18" x14ac:dyDescent="0.15">
      <c r="A53" t="s">
        <v>127</v>
      </c>
      <c r="B53" t="s">
        <v>128</v>
      </c>
      <c r="C53" t="s">
        <v>129</v>
      </c>
      <c r="D53">
        <v>500</v>
      </c>
      <c r="E53" s="1" t="s">
        <v>19</v>
      </c>
      <c r="F53" s="1" t="s">
        <v>19</v>
      </c>
      <c r="G53" t="s">
        <v>130</v>
      </c>
      <c r="H53">
        <v>0</v>
      </c>
      <c r="I53" s="7" t="b">
        <v>0</v>
      </c>
      <c r="J53" s="7" t="b">
        <v>0</v>
      </c>
      <c r="K53" s="1" t="s">
        <v>21</v>
      </c>
      <c r="L53" s="1" t="s">
        <v>19</v>
      </c>
      <c r="M53" s="1" t="s">
        <v>21</v>
      </c>
      <c r="N53" s="1" t="s">
        <v>19</v>
      </c>
      <c r="O53" s="1" t="s">
        <v>19</v>
      </c>
      <c r="P53" s="1" t="s">
        <v>19</v>
      </c>
      <c r="Q53" t="b">
        <v>0</v>
      </c>
      <c r="R53" s="1" t="s">
        <v>17</v>
      </c>
    </row>
    <row r="54" spans="1:18" x14ac:dyDescent="0.15">
      <c r="A54" t="s">
        <v>131</v>
      </c>
      <c r="B54" t="s">
        <v>132</v>
      </c>
      <c r="C54" t="s">
        <v>133</v>
      </c>
      <c r="D54">
        <v>500</v>
      </c>
      <c r="E54" s="1" t="s">
        <v>19</v>
      </c>
      <c r="F54" s="1" t="s">
        <v>19</v>
      </c>
      <c r="G54" t="s">
        <v>130</v>
      </c>
      <c r="H54">
        <v>0</v>
      </c>
      <c r="I54" s="7" t="b">
        <v>0</v>
      </c>
      <c r="J54" s="7" t="b">
        <v>0</v>
      </c>
      <c r="K54" s="1" t="s">
        <v>21</v>
      </c>
      <c r="L54" s="1" t="s">
        <v>19</v>
      </c>
      <c r="M54" s="1" t="s">
        <v>21</v>
      </c>
      <c r="N54" s="1" t="s">
        <v>19</v>
      </c>
      <c r="O54" s="1" t="s">
        <v>19</v>
      </c>
      <c r="P54" s="1" t="s">
        <v>19</v>
      </c>
      <c r="Q54" t="b">
        <v>0</v>
      </c>
      <c r="R54" s="1" t="s">
        <v>17</v>
      </c>
    </row>
    <row r="55" spans="1:18" x14ac:dyDescent="0.15">
      <c r="A55" t="s">
        <v>128</v>
      </c>
      <c r="B55" t="s">
        <v>131</v>
      </c>
      <c r="C55" t="s">
        <v>134</v>
      </c>
      <c r="D55">
        <v>500</v>
      </c>
      <c r="E55" s="1" t="s">
        <v>19</v>
      </c>
      <c r="F55" s="1" t="s">
        <v>19</v>
      </c>
      <c r="G55" t="s">
        <v>130</v>
      </c>
      <c r="H55">
        <v>0</v>
      </c>
      <c r="I55" s="7" t="b">
        <v>0</v>
      </c>
      <c r="J55" s="7" t="b">
        <v>0</v>
      </c>
      <c r="K55" s="1" t="s">
        <v>21</v>
      </c>
      <c r="L55" s="1" t="s">
        <v>19</v>
      </c>
      <c r="M55" s="1" t="s">
        <v>21</v>
      </c>
      <c r="N55" s="1" t="s">
        <v>19</v>
      </c>
      <c r="O55" s="1" t="s">
        <v>19</v>
      </c>
      <c r="P55" s="1" t="s">
        <v>19</v>
      </c>
      <c r="Q55" t="b">
        <v>0</v>
      </c>
      <c r="R55" s="1" t="s">
        <v>17</v>
      </c>
    </row>
    <row r="56" spans="1:18" x14ac:dyDescent="0.15">
      <c r="A56" t="s">
        <v>2943</v>
      </c>
      <c r="B56" t="s">
        <v>17</v>
      </c>
      <c r="C56" t="s">
        <v>2944</v>
      </c>
      <c r="D56">
        <v>550</v>
      </c>
      <c r="E56" s="1" t="s">
        <v>19</v>
      </c>
      <c r="F56" s="1" t="s">
        <v>19</v>
      </c>
      <c r="G56" t="s">
        <v>42</v>
      </c>
      <c r="H56">
        <v>0</v>
      </c>
      <c r="I56" s="7" t="b">
        <v>0</v>
      </c>
      <c r="J56" s="7" t="b">
        <v>0</v>
      </c>
      <c r="K56" s="1" t="s">
        <v>21</v>
      </c>
      <c r="L56" s="1" t="s">
        <v>19</v>
      </c>
      <c r="M56" s="1" t="s">
        <v>19</v>
      </c>
      <c r="N56" s="1" t="s">
        <v>19</v>
      </c>
      <c r="O56" s="1" t="s">
        <v>21</v>
      </c>
      <c r="P56" s="1" t="s">
        <v>21</v>
      </c>
      <c r="Q56" t="b">
        <v>0</v>
      </c>
      <c r="R56" s="1" t="s">
        <v>17</v>
      </c>
    </row>
    <row r="57" spans="1:18" x14ac:dyDescent="0.15">
      <c r="A57" t="s">
        <v>3014</v>
      </c>
      <c r="B57" t="s">
        <v>17</v>
      </c>
      <c r="C57" t="s">
        <v>3015</v>
      </c>
      <c r="D57">
        <v>600</v>
      </c>
      <c r="E57" s="1" t="s">
        <v>19</v>
      </c>
      <c r="F57" s="1" t="s">
        <v>19</v>
      </c>
      <c r="G57" t="s">
        <v>42</v>
      </c>
      <c r="H57">
        <v>0</v>
      </c>
      <c r="I57" s="7" t="b">
        <v>0</v>
      </c>
      <c r="J57" s="7" t="b">
        <v>0</v>
      </c>
      <c r="K57" s="1" t="s">
        <v>19</v>
      </c>
      <c r="L57" s="1" t="s">
        <v>19</v>
      </c>
      <c r="M57" s="1" t="s">
        <v>19</v>
      </c>
      <c r="N57" s="1" t="s">
        <v>19</v>
      </c>
      <c r="O57" s="1" t="s">
        <v>19</v>
      </c>
      <c r="P57" s="1" t="s">
        <v>19</v>
      </c>
      <c r="Q57" t="b">
        <v>0</v>
      </c>
      <c r="R57" s="1" t="s">
        <v>17</v>
      </c>
    </row>
    <row r="58" spans="1:18" x14ac:dyDescent="0.15">
      <c r="A58" s="6" t="s">
        <v>135</v>
      </c>
      <c r="B58" s="6" t="s">
        <v>22</v>
      </c>
      <c r="C58" s="6" t="s">
        <v>136</v>
      </c>
      <c r="D58">
        <v>500</v>
      </c>
      <c r="E58" s="1" t="s">
        <v>19</v>
      </c>
      <c r="F58" s="1" t="s">
        <v>21</v>
      </c>
      <c r="G58" t="s">
        <v>25</v>
      </c>
      <c r="H58">
        <v>2</v>
      </c>
      <c r="I58" s="7" t="b">
        <v>0</v>
      </c>
      <c r="J58" s="7" t="b">
        <v>0</v>
      </c>
      <c r="K58" s="1" t="s">
        <v>21</v>
      </c>
      <c r="L58" s="1" t="s">
        <v>19</v>
      </c>
      <c r="M58" s="1" t="s">
        <v>19</v>
      </c>
      <c r="N58" s="1" t="s">
        <v>19</v>
      </c>
      <c r="O58" s="1" t="s">
        <v>21</v>
      </c>
      <c r="P58" s="1" t="s">
        <v>21</v>
      </c>
      <c r="Q58" t="b">
        <v>0</v>
      </c>
      <c r="R58" s="1" t="s">
        <v>17</v>
      </c>
    </row>
    <row r="59" spans="1:18" x14ac:dyDescent="0.15">
      <c r="A59" t="s">
        <v>137</v>
      </c>
      <c r="B59" s="6" t="s">
        <v>138</v>
      </c>
      <c r="C59" s="6" t="s">
        <v>3005</v>
      </c>
      <c r="D59">
        <v>650</v>
      </c>
      <c r="E59" s="1" t="s">
        <v>21</v>
      </c>
      <c r="F59" s="1" t="s">
        <v>19</v>
      </c>
      <c r="G59" t="s">
        <v>139</v>
      </c>
      <c r="H59">
        <v>0</v>
      </c>
      <c r="I59" s="7" t="b">
        <v>0</v>
      </c>
      <c r="J59" s="7" t="b">
        <v>0</v>
      </c>
      <c r="K59" s="1" t="s">
        <v>21</v>
      </c>
      <c r="L59" s="1" t="s">
        <v>19</v>
      </c>
      <c r="M59" s="1" t="s">
        <v>19</v>
      </c>
      <c r="N59" s="1" t="s">
        <v>19</v>
      </c>
      <c r="O59" s="1" t="s">
        <v>21</v>
      </c>
      <c r="P59" s="1" t="s">
        <v>19</v>
      </c>
      <c r="Q59" t="b">
        <v>0</v>
      </c>
      <c r="R59" s="1" t="s">
        <v>17</v>
      </c>
    </row>
    <row r="60" spans="1:18" x14ac:dyDescent="0.15">
      <c r="A60" s="6" t="s">
        <v>138</v>
      </c>
      <c r="B60" t="s">
        <v>17</v>
      </c>
      <c r="C60" t="s">
        <v>2836</v>
      </c>
      <c r="D60">
        <v>500</v>
      </c>
      <c r="E60" s="1" t="s">
        <v>19</v>
      </c>
      <c r="F60" s="1" t="s">
        <v>19</v>
      </c>
      <c r="G60" t="s">
        <v>139</v>
      </c>
      <c r="H60">
        <v>0</v>
      </c>
      <c r="I60" s="7" t="b">
        <v>0</v>
      </c>
      <c r="J60" s="7" t="b">
        <v>0</v>
      </c>
      <c r="K60" s="1" t="s">
        <v>21</v>
      </c>
      <c r="L60" s="1" t="s">
        <v>19</v>
      </c>
      <c r="M60" s="1" t="s">
        <v>19</v>
      </c>
      <c r="N60" s="1" t="s">
        <v>19</v>
      </c>
      <c r="O60" s="1" t="s">
        <v>21</v>
      </c>
      <c r="P60" s="1" t="s">
        <v>19</v>
      </c>
      <c r="Q60" t="b">
        <v>0</v>
      </c>
      <c r="R60" s="1" t="s">
        <v>17</v>
      </c>
    </row>
    <row r="61" spans="1:18" x14ac:dyDescent="0.15">
      <c r="A61" t="s">
        <v>141</v>
      </c>
      <c r="B61" t="s">
        <v>142</v>
      </c>
      <c r="C61" t="s">
        <v>3212</v>
      </c>
      <c r="D61">
        <v>500</v>
      </c>
      <c r="E61" s="1" t="s">
        <v>19</v>
      </c>
      <c r="F61" s="1" t="s">
        <v>21</v>
      </c>
      <c r="G61" t="s">
        <v>55</v>
      </c>
      <c r="H61">
        <v>2</v>
      </c>
      <c r="I61" s="7" t="b">
        <v>0</v>
      </c>
      <c r="J61" s="7" t="b">
        <v>0</v>
      </c>
      <c r="K61" s="1" t="s">
        <v>19</v>
      </c>
      <c r="L61" s="1" t="s">
        <v>19</v>
      </c>
      <c r="M61" s="1" t="s">
        <v>19</v>
      </c>
      <c r="N61" s="1" t="s">
        <v>21</v>
      </c>
      <c r="O61" s="1" t="s">
        <v>21</v>
      </c>
      <c r="P61" s="1" t="s">
        <v>21</v>
      </c>
      <c r="Q61" t="b">
        <v>1</v>
      </c>
      <c r="R61" s="1" t="s">
        <v>3211</v>
      </c>
    </row>
    <row r="62" spans="1:18" x14ac:dyDescent="0.15">
      <c r="A62" t="s">
        <v>143</v>
      </c>
      <c r="B62" t="s">
        <v>142</v>
      </c>
      <c r="C62" t="s">
        <v>3213</v>
      </c>
      <c r="D62">
        <v>500</v>
      </c>
      <c r="E62" s="1" t="s">
        <v>19</v>
      </c>
      <c r="F62" s="1" t="s">
        <v>21</v>
      </c>
      <c r="G62" t="s">
        <v>55</v>
      </c>
      <c r="H62">
        <v>2</v>
      </c>
      <c r="I62" s="7" t="b">
        <v>0</v>
      </c>
      <c r="J62" s="7" t="b">
        <v>1</v>
      </c>
      <c r="K62" s="1" t="s">
        <v>19</v>
      </c>
      <c r="L62" s="1" t="s">
        <v>19</v>
      </c>
      <c r="M62" s="1" t="s">
        <v>19</v>
      </c>
      <c r="N62" s="1" t="s">
        <v>21</v>
      </c>
      <c r="O62" s="1" t="s">
        <v>21</v>
      </c>
      <c r="P62" s="1" t="s">
        <v>21</v>
      </c>
      <c r="Q62" t="b">
        <v>1</v>
      </c>
      <c r="R62" s="1" t="s">
        <v>3202</v>
      </c>
    </row>
    <row r="63" spans="1:18" x14ac:dyDescent="0.15">
      <c r="A63" t="s">
        <v>144</v>
      </c>
      <c r="B63" t="s">
        <v>17</v>
      </c>
      <c r="C63" t="s">
        <v>2793</v>
      </c>
      <c r="D63">
        <v>600</v>
      </c>
      <c r="E63" s="1" t="s">
        <v>19</v>
      </c>
      <c r="F63" s="1" t="s">
        <v>19</v>
      </c>
      <c r="G63" t="s">
        <v>55</v>
      </c>
      <c r="H63">
        <v>2</v>
      </c>
      <c r="I63" s="7" t="b">
        <v>0</v>
      </c>
      <c r="J63" s="7" t="b">
        <v>1</v>
      </c>
      <c r="K63" s="1" t="s">
        <v>21</v>
      </c>
      <c r="L63" s="1" t="s">
        <v>19</v>
      </c>
      <c r="M63" s="1" t="s">
        <v>19</v>
      </c>
      <c r="N63" s="1" t="s">
        <v>21</v>
      </c>
      <c r="O63" s="1" t="s">
        <v>21</v>
      </c>
      <c r="P63" s="1" t="s">
        <v>21</v>
      </c>
      <c r="Q63" t="b">
        <v>0</v>
      </c>
      <c r="R63" s="1" t="s">
        <v>17</v>
      </c>
    </row>
    <row r="64" spans="1:18" x14ac:dyDescent="0.15">
      <c r="A64" t="s">
        <v>142</v>
      </c>
      <c r="B64" t="s">
        <v>144</v>
      </c>
      <c r="C64" t="s">
        <v>2794</v>
      </c>
      <c r="D64">
        <v>500</v>
      </c>
      <c r="E64" s="1" t="s">
        <v>19</v>
      </c>
      <c r="F64" s="1" t="s">
        <v>19</v>
      </c>
      <c r="G64" t="s">
        <v>55</v>
      </c>
      <c r="H64">
        <v>2</v>
      </c>
      <c r="I64" s="7" t="b">
        <v>0</v>
      </c>
      <c r="J64" s="7" t="b">
        <v>1</v>
      </c>
      <c r="K64" s="1" t="s">
        <v>21</v>
      </c>
      <c r="L64" s="1" t="s">
        <v>19</v>
      </c>
      <c r="M64" s="1" t="s">
        <v>19</v>
      </c>
      <c r="N64" s="1" t="s">
        <v>21</v>
      </c>
      <c r="O64" s="1" t="s">
        <v>21</v>
      </c>
      <c r="P64" s="1" t="s">
        <v>21</v>
      </c>
      <c r="Q64" t="b">
        <v>0</v>
      </c>
      <c r="R64" s="1" t="s">
        <v>17</v>
      </c>
    </row>
    <row r="65" spans="1:18" x14ac:dyDescent="0.15">
      <c r="A65" s="6" t="s">
        <v>146</v>
      </c>
      <c r="B65" s="6" t="s">
        <v>27</v>
      </c>
      <c r="C65" s="6" t="s">
        <v>147</v>
      </c>
      <c r="D65">
        <v>450</v>
      </c>
      <c r="E65" s="1" t="s">
        <v>19</v>
      </c>
      <c r="F65" s="1" t="s">
        <v>19</v>
      </c>
      <c r="G65" t="s">
        <v>29</v>
      </c>
      <c r="H65">
        <v>1</v>
      </c>
      <c r="I65" s="7" t="b">
        <v>0</v>
      </c>
      <c r="J65" s="7" t="b">
        <v>0</v>
      </c>
      <c r="K65" s="1" t="s">
        <v>21</v>
      </c>
      <c r="L65" s="1" t="s">
        <v>19</v>
      </c>
      <c r="M65" s="1" t="s">
        <v>19</v>
      </c>
      <c r="N65" s="1" t="s">
        <v>19</v>
      </c>
      <c r="O65" s="1" t="s">
        <v>21</v>
      </c>
      <c r="P65" s="1" t="s">
        <v>19</v>
      </c>
      <c r="Q65" t="b">
        <v>0</v>
      </c>
      <c r="R65" s="1" t="s">
        <v>17</v>
      </c>
    </row>
    <row r="66" spans="1:18" x14ac:dyDescent="0.15">
      <c r="A66" s="6" t="s">
        <v>148</v>
      </c>
      <c r="B66" s="6" t="s">
        <v>91</v>
      </c>
      <c r="C66" t="s">
        <v>149</v>
      </c>
      <c r="D66">
        <v>500</v>
      </c>
      <c r="E66" s="1" t="s">
        <v>19</v>
      </c>
      <c r="F66" s="1" t="s">
        <v>19</v>
      </c>
      <c r="G66" t="s">
        <v>93</v>
      </c>
      <c r="H66">
        <v>1</v>
      </c>
      <c r="I66" s="7" t="b">
        <v>0</v>
      </c>
      <c r="J66" s="7" t="b">
        <v>0</v>
      </c>
      <c r="K66" s="1" t="s">
        <v>21</v>
      </c>
      <c r="L66" s="1" t="s">
        <v>19</v>
      </c>
      <c r="M66" s="1" t="s">
        <v>19</v>
      </c>
      <c r="N66" s="1" t="s">
        <v>19</v>
      </c>
      <c r="O66" s="1" t="s">
        <v>21</v>
      </c>
      <c r="P66" s="1" t="s">
        <v>19</v>
      </c>
      <c r="Q66" t="b">
        <v>0</v>
      </c>
      <c r="R66" s="1" t="s">
        <v>17</v>
      </c>
    </row>
    <row r="67" spans="1:18" x14ac:dyDescent="0.15">
      <c r="A67" s="6" t="s">
        <v>91</v>
      </c>
      <c r="B67" t="s">
        <v>17</v>
      </c>
      <c r="C67" t="s">
        <v>150</v>
      </c>
      <c r="D67">
        <v>500</v>
      </c>
      <c r="E67" s="1" t="s">
        <v>19</v>
      </c>
      <c r="F67" s="1" t="s">
        <v>19</v>
      </c>
      <c r="G67" t="s">
        <v>93</v>
      </c>
      <c r="H67">
        <v>1</v>
      </c>
      <c r="I67" s="7" t="b">
        <v>0</v>
      </c>
      <c r="J67" s="7" t="b">
        <v>0</v>
      </c>
      <c r="K67" s="1" t="s">
        <v>21</v>
      </c>
      <c r="L67" s="1" t="s">
        <v>19</v>
      </c>
      <c r="M67" s="1" t="s">
        <v>19</v>
      </c>
      <c r="N67" s="1" t="s">
        <v>19</v>
      </c>
      <c r="O67" s="1" t="s">
        <v>21</v>
      </c>
      <c r="P67" s="1" t="s">
        <v>19</v>
      </c>
      <c r="Q67" t="b">
        <v>0</v>
      </c>
      <c r="R67" s="1" t="s">
        <v>17</v>
      </c>
    </row>
    <row r="68" spans="1:18" x14ac:dyDescent="0.15">
      <c r="A68" s="6" t="s">
        <v>151</v>
      </c>
      <c r="B68" t="s">
        <v>17</v>
      </c>
      <c r="C68" t="s">
        <v>152</v>
      </c>
      <c r="D68">
        <v>500</v>
      </c>
      <c r="E68" s="1" t="s">
        <v>19</v>
      </c>
      <c r="F68" s="1" t="s">
        <v>19</v>
      </c>
      <c r="G68" t="s">
        <v>42</v>
      </c>
      <c r="H68">
        <v>0</v>
      </c>
      <c r="I68" s="7" t="b">
        <v>0</v>
      </c>
      <c r="J68" s="7" t="b">
        <v>0</v>
      </c>
      <c r="K68" s="1" t="s">
        <v>21</v>
      </c>
      <c r="L68" s="1" t="s">
        <v>19</v>
      </c>
      <c r="M68" s="1" t="s">
        <v>19</v>
      </c>
      <c r="N68" s="1" t="s">
        <v>19</v>
      </c>
      <c r="O68" s="1" t="s">
        <v>21</v>
      </c>
      <c r="P68" s="1" t="s">
        <v>19</v>
      </c>
      <c r="Q68" t="b">
        <v>0</v>
      </c>
      <c r="R68" s="1" t="s">
        <v>17</v>
      </c>
    </row>
    <row r="69" spans="1:18" x14ac:dyDescent="0.15">
      <c r="A69" t="s">
        <v>153</v>
      </c>
      <c r="B69" t="s">
        <v>17</v>
      </c>
      <c r="C69" t="s">
        <v>154</v>
      </c>
      <c r="D69">
        <v>500</v>
      </c>
      <c r="E69" s="1" t="s">
        <v>19</v>
      </c>
      <c r="F69" s="1" t="s">
        <v>19</v>
      </c>
      <c r="G69" t="s">
        <v>155</v>
      </c>
      <c r="H69">
        <v>0</v>
      </c>
      <c r="I69" s="7" t="b">
        <v>0</v>
      </c>
      <c r="J69" s="7" t="b">
        <v>0</v>
      </c>
      <c r="K69" s="1" t="s">
        <v>21</v>
      </c>
      <c r="L69" s="1" t="s">
        <v>19</v>
      </c>
      <c r="M69" s="1" t="s">
        <v>19</v>
      </c>
      <c r="N69" s="1" t="s">
        <v>19</v>
      </c>
      <c r="O69" s="1" t="s">
        <v>21</v>
      </c>
      <c r="P69" s="1" t="s">
        <v>19</v>
      </c>
      <c r="Q69" t="b">
        <v>0</v>
      </c>
      <c r="R69" s="1" t="s">
        <v>17</v>
      </c>
    </row>
    <row r="70" spans="1:18" x14ac:dyDescent="0.15">
      <c r="A70" t="s">
        <v>156</v>
      </c>
      <c r="B70" t="s">
        <v>17</v>
      </c>
      <c r="C70" t="s">
        <v>157</v>
      </c>
      <c r="D70">
        <v>500</v>
      </c>
      <c r="E70" s="1" t="s">
        <v>19</v>
      </c>
      <c r="F70" s="1" t="s">
        <v>19</v>
      </c>
      <c r="G70" t="s">
        <v>42</v>
      </c>
      <c r="H70">
        <v>0</v>
      </c>
      <c r="I70" s="7" t="b">
        <v>0</v>
      </c>
      <c r="J70" s="7" t="b">
        <v>0</v>
      </c>
      <c r="K70" s="1" t="s">
        <v>21</v>
      </c>
      <c r="L70" s="1" t="s">
        <v>19</v>
      </c>
      <c r="M70" s="1" t="s">
        <v>19</v>
      </c>
      <c r="N70" s="1" t="s">
        <v>19</v>
      </c>
      <c r="O70" s="1" t="s">
        <v>21</v>
      </c>
      <c r="P70" s="1" t="s">
        <v>19</v>
      </c>
      <c r="Q70" t="b">
        <v>0</v>
      </c>
      <c r="R70" s="1" t="s">
        <v>17</v>
      </c>
    </row>
    <row r="71" spans="1:18" x14ac:dyDescent="0.15">
      <c r="A71" s="6" t="s">
        <v>3063</v>
      </c>
      <c r="B71" t="s">
        <v>3200</v>
      </c>
      <c r="C71" t="s">
        <v>3064</v>
      </c>
      <c r="D71">
        <v>600</v>
      </c>
      <c r="E71" s="1" t="s">
        <v>19</v>
      </c>
      <c r="F71" s="1" t="s">
        <v>19</v>
      </c>
      <c r="G71" t="s">
        <v>42</v>
      </c>
      <c r="H71">
        <v>0</v>
      </c>
      <c r="I71" s="7" t="b">
        <v>0</v>
      </c>
      <c r="J71" s="7" t="b">
        <v>0</v>
      </c>
      <c r="K71" s="1" t="s">
        <v>21</v>
      </c>
      <c r="L71" s="1" t="s">
        <v>19</v>
      </c>
      <c r="M71" s="1" t="s">
        <v>19</v>
      </c>
      <c r="N71" s="1" t="s">
        <v>19</v>
      </c>
      <c r="O71" s="1" t="s">
        <v>21</v>
      </c>
      <c r="P71" s="1" t="s">
        <v>21</v>
      </c>
      <c r="Q71" t="b">
        <v>0</v>
      </c>
      <c r="R71" s="1" t="s">
        <v>17</v>
      </c>
    </row>
    <row r="72" spans="1:18" x14ac:dyDescent="0.15">
      <c r="A72" s="6" t="s">
        <v>2949</v>
      </c>
      <c r="B72" t="s">
        <v>17</v>
      </c>
      <c r="C72" t="s">
        <v>2953</v>
      </c>
      <c r="D72">
        <v>500</v>
      </c>
      <c r="E72" s="1" t="s">
        <v>19</v>
      </c>
      <c r="F72" s="1" t="s">
        <v>21</v>
      </c>
      <c r="G72" t="s">
        <v>42</v>
      </c>
      <c r="H72">
        <v>0</v>
      </c>
      <c r="I72" s="7" t="b">
        <v>0</v>
      </c>
      <c r="J72" s="7" t="b">
        <v>0</v>
      </c>
      <c r="K72" s="1" t="s">
        <v>19</v>
      </c>
      <c r="L72" s="1" t="s">
        <v>19</v>
      </c>
      <c r="M72" s="1" t="s">
        <v>19</v>
      </c>
      <c r="N72" s="1" t="s">
        <v>19</v>
      </c>
      <c r="O72" s="1" t="s">
        <v>21</v>
      </c>
      <c r="P72" s="1" t="s">
        <v>21</v>
      </c>
      <c r="Q72" t="b">
        <v>0</v>
      </c>
      <c r="R72" s="1" t="s">
        <v>17</v>
      </c>
    </row>
    <row r="73" spans="1:18" x14ac:dyDescent="0.15">
      <c r="A73" s="6" t="s">
        <v>3200</v>
      </c>
      <c r="B73" t="s">
        <v>17</v>
      </c>
      <c r="C73" t="s">
        <v>3201</v>
      </c>
      <c r="D73">
        <v>600</v>
      </c>
      <c r="E73" s="1" t="s">
        <v>19</v>
      </c>
      <c r="F73" s="1" t="s">
        <v>19</v>
      </c>
      <c r="G73" t="s">
        <v>42</v>
      </c>
      <c r="H73">
        <v>0</v>
      </c>
      <c r="I73" s="7" t="b">
        <v>0</v>
      </c>
      <c r="J73" s="7" t="b">
        <v>0</v>
      </c>
      <c r="K73" s="1" t="s">
        <v>21</v>
      </c>
      <c r="L73" s="1" t="s">
        <v>19</v>
      </c>
      <c r="M73" s="1" t="s">
        <v>19</v>
      </c>
      <c r="N73" s="1" t="s">
        <v>19</v>
      </c>
      <c r="O73" s="1" t="s">
        <v>21</v>
      </c>
      <c r="P73" s="1" t="s">
        <v>21</v>
      </c>
      <c r="Q73" t="b">
        <v>1</v>
      </c>
      <c r="R73" s="1" t="s">
        <v>3202</v>
      </c>
    </row>
    <row r="74" spans="1:18" x14ac:dyDescent="0.15">
      <c r="A74" t="s">
        <v>23</v>
      </c>
      <c r="B74" t="s">
        <v>17</v>
      </c>
      <c r="C74" t="s">
        <v>158</v>
      </c>
      <c r="D74">
        <v>610</v>
      </c>
      <c r="E74" s="1" t="s">
        <v>19</v>
      </c>
      <c r="F74" s="1" t="s">
        <v>19</v>
      </c>
      <c r="G74" t="s">
        <v>25</v>
      </c>
      <c r="H74">
        <v>2</v>
      </c>
      <c r="I74" s="7" t="b">
        <v>0</v>
      </c>
      <c r="J74" s="7" t="b">
        <v>1</v>
      </c>
      <c r="K74" s="1" t="s">
        <v>21</v>
      </c>
      <c r="L74" s="1" t="s">
        <v>19</v>
      </c>
      <c r="M74" s="1" t="s">
        <v>19</v>
      </c>
      <c r="N74" s="1" t="s">
        <v>21</v>
      </c>
      <c r="O74" s="1" t="s">
        <v>21</v>
      </c>
      <c r="P74" s="1" t="s">
        <v>21</v>
      </c>
      <c r="Q74" t="b">
        <v>0</v>
      </c>
      <c r="R74" s="1" t="s">
        <v>17</v>
      </c>
    </row>
    <row r="75" spans="1:18" x14ac:dyDescent="0.15">
      <c r="A75" s="6" t="s">
        <v>115</v>
      </c>
      <c r="B75" t="s">
        <v>23</v>
      </c>
      <c r="C75" t="s">
        <v>159</v>
      </c>
      <c r="D75">
        <v>500</v>
      </c>
      <c r="E75" s="1" t="s">
        <v>19</v>
      </c>
      <c r="F75" s="1" t="s">
        <v>19</v>
      </c>
      <c r="G75" t="s">
        <v>25</v>
      </c>
      <c r="H75">
        <v>2</v>
      </c>
      <c r="I75" s="7" t="b">
        <v>0</v>
      </c>
      <c r="J75" s="7" t="b">
        <v>0</v>
      </c>
      <c r="K75" s="1" t="s">
        <v>21</v>
      </c>
      <c r="L75" s="1" t="s">
        <v>19</v>
      </c>
      <c r="M75" s="1" t="s">
        <v>19</v>
      </c>
      <c r="N75" s="1" t="s">
        <v>19</v>
      </c>
      <c r="O75" s="1" t="s">
        <v>21</v>
      </c>
      <c r="P75" s="1" t="s">
        <v>21</v>
      </c>
      <c r="Q75" t="b">
        <v>0</v>
      </c>
      <c r="R75" s="1" t="s">
        <v>17</v>
      </c>
    </row>
    <row r="76" spans="1:18" x14ac:dyDescent="0.15">
      <c r="A76" t="s">
        <v>38</v>
      </c>
      <c r="B76" t="s">
        <v>160</v>
      </c>
      <c r="C76" t="s">
        <v>161</v>
      </c>
      <c r="D76">
        <v>500</v>
      </c>
      <c r="E76" s="1" t="s">
        <v>19</v>
      </c>
      <c r="F76" s="1" t="s">
        <v>19</v>
      </c>
      <c r="G76" t="s">
        <v>25</v>
      </c>
      <c r="H76">
        <v>2</v>
      </c>
      <c r="I76" s="7" t="b">
        <v>0</v>
      </c>
      <c r="J76" s="7" t="b">
        <v>1</v>
      </c>
      <c r="K76" s="1" t="s">
        <v>21</v>
      </c>
      <c r="L76" s="1" t="s">
        <v>19</v>
      </c>
      <c r="M76" s="1" t="s">
        <v>19</v>
      </c>
      <c r="N76" s="1" t="s">
        <v>21</v>
      </c>
      <c r="O76" s="1" t="s">
        <v>21</v>
      </c>
      <c r="P76" s="1" t="s">
        <v>21</v>
      </c>
      <c r="Q76" t="b">
        <v>0</v>
      </c>
      <c r="R76" s="1" t="s">
        <v>17</v>
      </c>
    </row>
    <row r="77" spans="1:18" x14ac:dyDescent="0.15">
      <c r="A77" t="s">
        <v>160</v>
      </c>
      <c r="B77" t="s">
        <v>23</v>
      </c>
      <c r="C77" t="s">
        <v>162</v>
      </c>
      <c r="D77">
        <v>500</v>
      </c>
      <c r="E77" s="1" t="s">
        <v>19</v>
      </c>
      <c r="F77" s="1" t="s">
        <v>19</v>
      </c>
      <c r="G77" t="s">
        <v>25</v>
      </c>
      <c r="H77">
        <v>2</v>
      </c>
      <c r="I77" s="7" t="b">
        <v>0</v>
      </c>
      <c r="J77" s="7" t="b">
        <v>1</v>
      </c>
      <c r="K77" s="1" t="s">
        <v>21</v>
      </c>
      <c r="L77" s="1" t="s">
        <v>19</v>
      </c>
      <c r="M77" s="1" t="s">
        <v>19</v>
      </c>
      <c r="N77" s="1" t="s">
        <v>21</v>
      </c>
      <c r="O77" s="1" t="s">
        <v>21</v>
      </c>
      <c r="P77" s="1" t="s">
        <v>21</v>
      </c>
      <c r="Q77" t="b">
        <v>0</v>
      </c>
      <c r="R77" s="1" t="s">
        <v>17</v>
      </c>
    </row>
    <row r="78" spans="1:18" x14ac:dyDescent="0.15">
      <c r="A78" s="6" t="s">
        <v>163</v>
      </c>
      <c r="B78" t="s">
        <v>164</v>
      </c>
      <c r="C78" t="s">
        <v>165</v>
      </c>
      <c r="D78">
        <v>500</v>
      </c>
      <c r="E78" s="1" t="s">
        <v>19</v>
      </c>
      <c r="F78" s="1" t="s">
        <v>21</v>
      </c>
      <c r="G78" t="s">
        <v>25</v>
      </c>
      <c r="H78">
        <v>2</v>
      </c>
      <c r="I78" s="7" t="b">
        <v>0</v>
      </c>
      <c r="J78" s="7" t="b">
        <v>0</v>
      </c>
      <c r="K78" s="1" t="s">
        <v>21</v>
      </c>
      <c r="L78" s="1" t="s">
        <v>19</v>
      </c>
      <c r="M78" s="1" t="s">
        <v>19</v>
      </c>
      <c r="N78" s="1" t="s">
        <v>19</v>
      </c>
      <c r="O78" s="1" t="s">
        <v>21</v>
      </c>
      <c r="P78" s="1" t="s">
        <v>21</v>
      </c>
      <c r="Q78" t="b">
        <v>0</v>
      </c>
      <c r="R78" s="1" t="s">
        <v>17</v>
      </c>
    </row>
    <row r="79" spans="1:18" x14ac:dyDescent="0.15">
      <c r="A79" s="6" t="s">
        <v>166</v>
      </c>
      <c r="B79" t="s">
        <v>164</v>
      </c>
      <c r="C79" t="s">
        <v>167</v>
      </c>
      <c r="D79">
        <v>500</v>
      </c>
      <c r="E79" s="1" t="s">
        <v>19</v>
      </c>
      <c r="F79" s="1" t="s">
        <v>21</v>
      </c>
      <c r="G79" t="s">
        <v>25</v>
      </c>
      <c r="H79">
        <v>2</v>
      </c>
      <c r="I79" s="7" t="b">
        <v>0</v>
      </c>
      <c r="J79" s="7" t="b">
        <v>0</v>
      </c>
      <c r="K79" s="1" t="s">
        <v>21</v>
      </c>
      <c r="L79" s="1" t="s">
        <v>19</v>
      </c>
      <c r="M79" s="1" t="s">
        <v>19</v>
      </c>
      <c r="N79" s="1" t="s">
        <v>19</v>
      </c>
      <c r="O79" s="1" t="s">
        <v>21</v>
      </c>
      <c r="P79" s="1" t="s">
        <v>21</v>
      </c>
      <c r="Q79" t="b">
        <v>0</v>
      </c>
      <c r="R79" s="1" t="s">
        <v>17</v>
      </c>
    </row>
    <row r="80" spans="1:18" x14ac:dyDescent="0.15">
      <c r="A80" t="s">
        <v>164</v>
      </c>
      <c r="B80" s="6" t="s">
        <v>22</v>
      </c>
      <c r="C80" s="6" t="s">
        <v>168</v>
      </c>
      <c r="D80">
        <v>500</v>
      </c>
      <c r="E80" s="1" t="s">
        <v>19</v>
      </c>
      <c r="F80" s="1" t="s">
        <v>21</v>
      </c>
      <c r="G80" t="s">
        <v>25</v>
      </c>
      <c r="H80">
        <v>2</v>
      </c>
      <c r="I80" s="7" t="b">
        <v>0</v>
      </c>
      <c r="J80" s="7" t="b">
        <v>0</v>
      </c>
      <c r="K80" s="1" t="s">
        <v>21</v>
      </c>
      <c r="L80" s="1" t="s">
        <v>19</v>
      </c>
      <c r="M80" s="1" t="s">
        <v>19</v>
      </c>
      <c r="N80" s="1" t="s">
        <v>19</v>
      </c>
      <c r="O80" s="1" t="s">
        <v>21</v>
      </c>
      <c r="P80" s="1" t="s">
        <v>21</v>
      </c>
      <c r="Q80" t="b">
        <v>0</v>
      </c>
      <c r="R80" s="1" t="s">
        <v>17</v>
      </c>
    </row>
    <row r="81" spans="1:18" x14ac:dyDescent="0.15">
      <c r="A81" s="6" t="s">
        <v>169</v>
      </c>
      <c r="B81" t="s">
        <v>170</v>
      </c>
      <c r="C81" t="s">
        <v>171</v>
      </c>
      <c r="D81">
        <v>500</v>
      </c>
      <c r="E81" s="1" t="s">
        <v>19</v>
      </c>
      <c r="F81" s="1" t="s">
        <v>21</v>
      </c>
      <c r="G81" t="s">
        <v>25</v>
      </c>
      <c r="H81">
        <v>2</v>
      </c>
      <c r="I81" s="7" t="b">
        <v>0</v>
      </c>
      <c r="J81" s="7" t="b">
        <v>0</v>
      </c>
      <c r="K81" s="1" t="s">
        <v>21</v>
      </c>
      <c r="L81" s="1" t="s">
        <v>19</v>
      </c>
      <c r="M81" s="1" t="s">
        <v>19</v>
      </c>
      <c r="N81" s="1" t="s">
        <v>19</v>
      </c>
      <c r="O81" s="1" t="s">
        <v>21</v>
      </c>
      <c r="P81" s="1" t="s">
        <v>21</v>
      </c>
      <c r="Q81" t="b">
        <v>0</v>
      </c>
      <c r="R81" s="1" t="s">
        <v>17</v>
      </c>
    </row>
    <row r="82" spans="1:18" x14ac:dyDescent="0.15">
      <c r="A82" s="6" t="s">
        <v>172</v>
      </c>
      <c r="B82" t="s">
        <v>170</v>
      </c>
      <c r="C82" t="s">
        <v>173</v>
      </c>
      <c r="D82">
        <v>500</v>
      </c>
      <c r="E82" s="1" t="s">
        <v>19</v>
      </c>
      <c r="F82" s="1" t="s">
        <v>21</v>
      </c>
      <c r="G82" t="s">
        <v>25</v>
      </c>
      <c r="H82">
        <v>2</v>
      </c>
      <c r="I82" s="7" t="b">
        <v>0</v>
      </c>
      <c r="J82" s="7" t="b">
        <v>0</v>
      </c>
      <c r="K82" s="1" t="s">
        <v>21</v>
      </c>
      <c r="L82" s="1" t="s">
        <v>19</v>
      </c>
      <c r="M82" s="1" t="s">
        <v>19</v>
      </c>
      <c r="N82" s="1" t="s">
        <v>19</v>
      </c>
      <c r="O82" s="1" t="s">
        <v>21</v>
      </c>
      <c r="P82" s="1" t="s">
        <v>21</v>
      </c>
      <c r="Q82" t="b">
        <v>0</v>
      </c>
      <c r="R82" s="1" t="s">
        <v>17</v>
      </c>
    </row>
    <row r="83" spans="1:18" x14ac:dyDescent="0.15">
      <c r="A83" t="s">
        <v>170</v>
      </c>
      <c r="B83" s="6" t="s">
        <v>22</v>
      </c>
      <c r="C83" s="6" t="s">
        <v>174</v>
      </c>
      <c r="D83">
        <v>500</v>
      </c>
      <c r="E83" s="1" t="s">
        <v>19</v>
      </c>
      <c r="F83" s="1" t="s">
        <v>21</v>
      </c>
      <c r="G83" t="s">
        <v>25</v>
      </c>
      <c r="H83">
        <v>2</v>
      </c>
      <c r="I83" s="7" t="b">
        <v>0</v>
      </c>
      <c r="J83" s="7" t="b">
        <v>0</v>
      </c>
      <c r="K83" s="1" t="s">
        <v>21</v>
      </c>
      <c r="L83" s="1" t="s">
        <v>19</v>
      </c>
      <c r="M83" s="1" t="s">
        <v>19</v>
      </c>
      <c r="N83" s="1" t="s">
        <v>19</v>
      </c>
      <c r="O83" s="1" t="s">
        <v>21</v>
      </c>
      <c r="P83" s="1" t="s">
        <v>21</v>
      </c>
      <c r="Q83" t="b">
        <v>0</v>
      </c>
      <c r="R83" s="1" t="s">
        <v>17</v>
      </c>
    </row>
    <row r="84" spans="1:18" x14ac:dyDescent="0.15">
      <c r="A84" s="6" t="s">
        <v>3128</v>
      </c>
      <c r="B84" s="6" t="s">
        <v>23</v>
      </c>
      <c r="C84" s="6" t="s">
        <v>3143</v>
      </c>
      <c r="D84">
        <v>500</v>
      </c>
      <c r="E84" s="1" t="s">
        <v>19</v>
      </c>
      <c r="F84" s="1" t="s">
        <v>21</v>
      </c>
      <c r="G84" t="s">
        <v>25</v>
      </c>
      <c r="H84">
        <v>2</v>
      </c>
      <c r="I84" s="7" t="b">
        <v>0</v>
      </c>
      <c r="J84" s="7" t="b">
        <v>0</v>
      </c>
      <c r="K84" s="1" t="s">
        <v>21</v>
      </c>
      <c r="L84" s="1" t="s">
        <v>19</v>
      </c>
      <c r="M84" s="1" t="s">
        <v>19</v>
      </c>
      <c r="N84" s="1" t="s">
        <v>19</v>
      </c>
      <c r="O84" s="1" t="s">
        <v>21</v>
      </c>
      <c r="P84" s="1" t="s">
        <v>21</v>
      </c>
      <c r="Q84" t="b">
        <v>1</v>
      </c>
      <c r="R84" s="1" t="s">
        <v>1827</v>
      </c>
    </row>
    <row r="85" spans="1:18" x14ac:dyDescent="0.15">
      <c r="A85" s="6" t="s">
        <v>3129</v>
      </c>
      <c r="B85" s="6" t="s">
        <v>23</v>
      </c>
      <c r="C85" s="6" t="s">
        <v>3144</v>
      </c>
      <c r="D85">
        <v>500</v>
      </c>
      <c r="E85" s="1" t="s">
        <v>19</v>
      </c>
      <c r="F85" s="1" t="s">
        <v>21</v>
      </c>
      <c r="G85" t="s">
        <v>25</v>
      </c>
      <c r="H85">
        <v>2</v>
      </c>
      <c r="I85" s="7" t="b">
        <v>0</v>
      </c>
      <c r="J85" s="7" t="b">
        <v>0</v>
      </c>
      <c r="K85" s="1" t="s">
        <v>21</v>
      </c>
      <c r="L85" s="1" t="s">
        <v>19</v>
      </c>
      <c r="M85" s="1" t="s">
        <v>19</v>
      </c>
      <c r="N85" s="1" t="s">
        <v>19</v>
      </c>
      <c r="O85" s="1" t="s">
        <v>21</v>
      </c>
      <c r="P85" s="1" t="s">
        <v>21</v>
      </c>
      <c r="Q85" t="b">
        <v>1</v>
      </c>
      <c r="R85" s="1" t="s">
        <v>1827</v>
      </c>
    </row>
    <row r="86" spans="1:18" x14ac:dyDescent="0.15">
      <c r="A86" t="s">
        <v>175</v>
      </c>
      <c r="B86" t="s">
        <v>176</v>
      </c>
      <c r="C86" t="s">
        <v>2792</v>
      </c>
      <c r="D86">
        <v>500</v>
      </c>
      <c r="E86" s="1" t="s">
        <v>19</v>
      </c>
      <c r="F86" s="1" t="s">
        <v>19</v>
      </c>
      <c r="G86" t="s">
        <v>42</v>
      </c>
      <c r="H86">
        <v>0</v>
      </c>
      <c r="I86" s="7" t="b">
        <v>0</v>
      </c>
      <c r="J86" s="7" t="b">
        <v>0</v>
      </c>
      <c r="K86" s="1" t="s">
        <v>21</v>
      </c>
      <c r="L86" s="1" t="s">
        <v>19</v>
      </c>
      <c r="M86" s="1" t="s">
        <v>19</v>
      </c>
      <c r="N86" s="1" t="s">
        <v>19</v>
      </c>
      <c r="O86" s="1" t="s">
        <v>21</v>
      </c>
      <c r="P86" s="1" t="s">
        <v>19</v>
      </c>
      <c r="Q86" t="b">
        <v>0</v>
      </c>
      <c r="R86" s="1" t="s">
        <v>17</v>
      </c>
    </row>
    <row r="87" spans="1:18" x14ac:dyDescent="0.15">
      <c r="A87" t="s">
        <v>3093</v>
      </c>
      <c r="B87" t="s">
        <v>175</v>
      </c>
      <c r="C87" t="s">
        <v>3094</v>
      </c>
      <c r="D87">
        <v>500</v>
      </c>
      <c r="E87" s="1" t="s">
        <v>19</v>
      </c>
      <c r="F87" s="1" t="s">
        <v>19</v>
      </c>
      <c r="G87" t="s">
        <v>42</v>
      </c>
      <c r="H87">
        <v>0</v>
      </c>
      <c r="I87" s="7" t="b">
        <v>0</v>
      </c>
      <c r="J87" s="7" t="b">
        <v>0</v>
      </c>
      <c r="K87" s="1" t="s">
        <v>21</v>
      </c>
      <c r="L87" s="1" t="s">
        <v>19</v>
      </c>
      <c r="M87" s="1" t="s">
        <v>19</v>
      </c>
      <c r="N87" s="1" t="s">
        <v>19</v>
      </c>
      <c r="O87" s="1" t="s">
        <v>21</v>
      </c>
      <c r="P87" s="1" t="s">
        <v>19</v>
      </c>
      <c r="Q87" t="b">
        <v>0</v>
      </c>
      <c r="R87" s="1" t="s">
        <v>17</v>
      </c>
    </row>
    <row r="88" spans="1:18" x14ac:dyDescent="0.15">
      <c r="A88" s="6" t="s">
        <v>178</v>
      </c>
      <c r="B88" s="6" t="s">
        <v>179</v>
      </c>
      <c r="C88" s="6" t="s">
        <v>180</v>
      </c>
      <c r="D88">
        <v>400</v>
      </c>
      <c r="E88" s="1" t="s">
        <v>19</v>
      </c>
      <c r="F88" s="1" t="s">
        <v>21</v>
      </c>
      <c r="G88" t="s">
        <v>181</v>
      </c>
      <c r="H88">
        <v>1</v>
      </c>
      <c r="I88" s="7" t="b">
        <v>0</v>
      </c>
      <c r="J88" s="7" t="b">
        <v>0</v>
      </c>
      <c r="K88" s="1" t="s">
        <v>21</v>
      </c>
      <c r="L88" s="1" t="s">
        <v>19</v>
      </c>
      <c r="M88" s="1" t="s">
        <v>19</v>
      </c>
      <c r="N88" s="1" t="s">
        <v>19</v>
      </c>
      <c r="O88" s="1" t="s">
        <v>21</v>
      </c>
      <c r="P88" s="1" t="s">
        <v>19</v>
      </c>
      <c r="Q88" t="b">
        <v>0</v>
      </c>
      <c r="R88" s="1" t="s">
        <v>17</v>
      </c>
    </row>
    <row r="89" spans="1:18" x14ac:dyDescent="0.15">
      <c r="A89" s="6" t="s">
        <v>182</v>
      </c>
      <c r="B89" s="6" t="s">
        <v>183</v>
      </c>
      <c r="C89" s="6" t="s">
        <v>184</v>
      </c>
      <c r="D89">
        <v>400</v>
      </c>
      <c r="E89" s="1" t="s">
        <v>19</v>
      </c>
      <c r="F89" s="1" t="s">
        <v>21</v>
      </c>
      <c r="G89" t="s">
        <v>181</v>
      </c>
      <c r="H89">
        <v>1</v>
      </c>
      <c r="I89" s="7" t="b">
        <v>0</v>
      </c>
      <c r="J89" s="7" t="b">
        <v>0</v>
      </c>
      <c r="K89" s="1" t="s">
        <v>19</v>
      </c>
      <c r="L89" s="1" t="s">
        <v>19</v>
      </c>
      <c r="M89" s="1" t="s">
        <v>19</v>
      </c>
      <c r="N89" s="1" t="s">
        <v>19</v>
      </c>
      <c r="O89" s="1" t="s">
        <v>19</v>
      </c>
      <c r="P89" s="1" t="s">
        <v>21</v>
      </c>
      <c r="Q89" t="b">
        <v>0</v>
      </c>
      <c r="R89" s="1" t="s">
        <v>17</v>
      </c>
    </row>
    <row r="90" spans="1:18" x14ac:dyDescent="0.15">
      <c r="A90" s="6" t="s">
        <v>179</v>
      </c>
      <c r="B90" t="s">
        <v>17</v>
      </c>
      <c r="C90" t="s">
        <v>185</v>
      </c>
      <c r="D90">
        <v>400</v>
      </c>
      <c r="E90" s="1" t="s">
        <v>19</v>
      </c>
      <c r="F90" s="1" t="s">
        <v>19</v>
      </c>
      <c r="G90" t="s">
        <v>181</v>
      </c>
      <c r="H90">
        <v>1</v>
      </c>
      <c r="I90" s="7" t="b">
        <v>0</v>
      </c>
      <c r="J90" s="7" t="b">
        <v>0</v>
      </c>
      <c r="K90" s="1" t="s">
        <v>21</v>
      </c>
      <c r="L90" s="1" t="s">
        <v>19</v>
      </c>
      <c r="M90" s="1" t="s">
        <v>19</v>
      </c>
      <c r="N90" s="1" t="s">
        <v>19</v>
      </c>
      <c r="O90" s="1" t="s">
        <v>21</v>
      </c>
      <c r="P90" s="1" t="s">
        <v>19</v>
      </c>
      <c r="Q90" t="b">
        <v>0</v>
      </c>
      <c r="R90" s="1" t="s">
        <v>17</v>
      </c>
    </row>
    <row r="91" spans="1:18" x14ac:dyDescent="0.15">
      <c r="A91" s="6" t="s">
        <v>186</v>
      </c>
      <c r="B91" s="6" t="s">
        <v>179</v>
      </c>
      <c r="C91" s="6" t="s">
        <v>187</v>
      </c>
      <c r="D91">
        <v>400</v>
      </c>
      <c r="E91" s="1" t="s">
        <v>19</v>
      </c>
      <c r="F91" s="1" t="s">
        <v>21</v>
      </c>
      <c r="G91" t="s">
        <v>181</v>
      </c>
      <c r="H91">
        <v>1</v>
      </c>
      <c r="I91" s="7" t="b">
        <v>0</v>
      </c>
      <c r="J91" s="7" t="b">
        <v>0</v>
      </c>
      <c r="K91" s="1" t="s">
        <v>21</v>
      </c>
      <c r="L91" s="1" t="s">
        <v>19</v>
      </c>
      <c r="M91" s="1" t="s">
        <v>19</v>
      </c>
      <c r="N91" s="1" t="s">
        <v>19</v>
      </c>
      <c r="O91" s="1" t="s">
        <v>21</v>
      </c>
      <c r="P91" s="1" t="s">
        <v>19</v>
      </c>
      <c r="Q91" t="b">
        <v>0</v>
      </c>
      <c r="R91" s="1" t="s">
        <v>17</v>
      </c>
    </row>
    <row r="92" spans="1:18" x14ac:dyDescent="0.15">
      <c r="A92" s="6" t="s">
        <v>188</v>
      </c>
      <c r="B92" s="6" t="s">
        <v>179</v>
      </c>
      <c r="C92" s="6" t="s">
        <v>2848</v>
      </c>
      <c r="D92">
        <v>400</v>
      </c>
      <c r="E92" s="1" t="s">
        <v>19</v>
      </c>
      <c r="F92" s="1" t="s">
        <v>21</v>
      </c>
      <c r="G92" t="s">
        <v>181</v>
      </c>
      <c r="H92">
        <v>1</v>
      </c>
      <c r="I92" s="7" t="b">
        <v>0</v>
      </c>
      <c r="J92" s="7" t="b">
        <v>0</v>
      </c>
      <c r="K92" s="1" t="s">
        <v>21</v>
      </c>
      <c r="L92" s="1" t="s">
        <v>19</v>
      </c>
      <c r="M92" s="1" t="s">
        <v>19</v>
      </c>
      <c r="N92" s="1" t="s">
        <v>19</v>
      </c>
      <c r="O92" s="1" t="s">
        <v>21</v>
      </c>
      <c r="P92" s="1" t="s">
        <v>19</v>
      </c>
      <c r="Q92" t="b">
        <v>0</v>
      </c>
      <c r="R92" s="1" t="s">
        <v>17</v>
      </c>
    </row>
    <row r="93" spans="1:18" x14ac:dyDescent="0.15">
      <c r="A93" t="s">
        <v>189</v>
      </c>
      <c r="B93" t="s">
        <v>17</v>
      </c>
      <c r="C93" t="s">
        <v>190</v>
      </c>
      <c r="D93">
        <v>500</v>
      </c>
      <c r="E93" s="1" t="s">
        <v>19</v>
      </c>
      <c r="F93" s="1" t="s">
        <v>19</v>
      </c>
      <c r="G93" t="s">
        <v>113</v>
      </c>
      <c r="H93">
        <v>0</v>
      </c>
      <c r="I93" s="7" t="b">
        <v>1</v>
      </c>
      <c r="J93" s="7" t="b">
        <v>1</v>
      </c>
      <c r="K93" s="1" t="s">
        <v>21</v>
      </c>
      <c r="L93" s="1" t="s">
        <v>19</v>
      </c>
      <c r="M93" s="1" t="s">
        <v>19</v>
      </c>
      <c r="N93" s="1" t="s">
        <v>19</v>
      </c>
      <c r="O93" s="1" t="s">
        <v>21</v>
      </c>
      <c r="P93" s="1" t="s">
        <v>19</v>
      </c>
      <c r="Q93" t="b">
        <v>0</v>
      </c>
      <c r="R93" s="1" t="s">
        <v>17</v>
      </c>
    </row>
    <row r="94" spans="1:18" x14ac:dyDescent="0.15">
      <c r="A94" t="s">
        <v>176</v>
      </c>
      <c r="B94" t="s">
        <v>17</v>
      </c>
      <c r="C94" t="s">
        <v>191</v>
      </c>
      <c r="D94">
        <v>500</v>
      </c>
      <c r="E94" s="1" t="s">
        <v>19</v>
      </c>
      <c r="F94" s="1" t="s">
        <v>19</v>
      </c>
      <c r="G94" t="s">
        <v>42</v>
      </c>
      <c r="H94">
        <v>0</v>
      </c>
      <c r="I94" s="7" t="b">
        <v>0</v>
      </c>
      <c r="J94" s="7" t="b">
        <v>0</v>
      </c>
      <c r="K94" s="1" t="s">
        <v>21</v>
      </c>
      <c r="L94" s="1" t="s">
        <v>19</v>
      </c>
      <c r="M94" s="1" t="s">
        <v>19</v>
      </c>
      <c r="N94" s="1" t="s">
        <v>19</v>
      </c>
      <c r="O94" s="1" t="s">
        <v>21</v>
      </c>
      <c r="P94" s="1" t="s">
        <v>19</v>
      </c>
      <c r="Q94" t="b">
        <v>0</v>
      </c>
      <c r="R94" s="1" t="s">
        <v>17</v>
      </c>
    </row>
    <row r="95" spans="1:18" x14ac:dyDescent="0.15">
      <c r="A95" s="6" t="s">
        <v>3191</v>
      </c>
      <c r="B95" t="s">
        <v>17</v>
      </c>
      <c r="C95" t="s">
        <v>3190</v>
      </c>
      <c r="D95">
        <v>500</v>
      </c>
      <c r="E95" s="1" t="s">
        <v>19</v>
      </c>
      <c r="F95" s="1" t="s">
        <v>19</v>
      </c>
      <c r="G95" t="s">
        <v>42</v>
      </c>
      <c r="H95">
        <v>0</v>
      </c>
      <c r="I95" s="7" t="b">
        <v>1</v>
      </c>
      <c r="J95" s="7" t="b">
        <v>0</v>
      </c>
      <c r="K95" s="1" t="s">
        <v>21</v>
      </c>
      <c r="L95" s="1" t="s">
        <v>19</v>
      </c>
      <c r="M95" s="1" t="s">
        <v>19</v>
      </c>
      <c r="N95" s="1" t="s">
        <v>19</v>
      </c>
      <c r="O95" s="1" t="s">
        <v>21</v>
      </c>
      <c r="P95" s="1" t="s">
        <v>19</v>
      </c>
      <c r="Q95" t="b">
        <v>0</v>
      </c>
      <c r="R95" s="1" t="s">
        <v>17</v>
      </c>
    </row>
    <row r="96" spans="1:18" x14ac:dyDescent="0.15">
      <c r="A96" t="s">
        <v>194</v>
      </c>
      <c r="B96" t="s">
        <v>17</v>
      </c>
      <c r="C96" t="s">
        <v>195</v>
      </c>
      <c r="D96">
        <v>500</v>
      </c>
      <c r="E96" s="1" t="s">
        <v>19</v>
      </c>
      <c r="F96" s="1" t="s">
        <v>19</v>
      </c>
      <c r="G96" t="s">
        <v>42</v>
      </c>
      <c r="H96">
        <v>0</v>
      </c>
      <c r="I96" s="7" t="b">
        <v>0</v>
      </c>
      <c r="J96" s="7" t="b">
        <v>0</v>
      </c>
      <c r="K96" s="1" t="s">
        <v>21</v>
      </c>
      <c r="L96" s="1" t="s">
        <v>19</v>
      </c>
      <c r="M96" s="1" t="s">
        <v>19</v>
      </c>
      <c r="N96" s="1" t="s">
        <v>19</v>
      </c>
      <c r="O96" s="1" t="s">
        <v>21</v>
      </c>
      <c r="P96" s="1" t="s">
        <v>19</v>
      </c>
      <c r="Q96" t="b">
        <v>0</v>
      </c>
      <c r="R96" s="1" t="s">
        <v>17</v>
      </c>
    </row>
    <row r="97" spans="1:18" x14ac:dyDescent="0.15">
      <c r="A97" t="s">
        <v>196</v>
      </c>
      <c r="B97" t="s">
        <v>17</v>
      </c>
      <c r="C97" t="s">
        <v>197</v>
      </c>
      <c r="D97">
        <v>500</v>
      </c>
      <c r="E97" s="1" t="s">
        <v>21</v>
      </c>
      <c r="F97" s="1" t="s">
        <v>19</v>
      </c>
      <c r="G97" t="s">
        <v>198</v>
      </c>
      <c r="H97">
        <v>0</v>
      </c>
      <c r="I97" s="7" t="b">
        <v>1</v>
      </c>
      <c r="J97" s="7" t="b">
        <v>1</v>
      </c>
      <c r="K97" s="1" t="s">
        <v>21</v>
      </c>
      <c r="L97" s="1" t="s">
        <v>19</v>
      </c>
      <c r="M97" s="1" t="s">
        <v>19</v>
      </c>
      <c r="N97" s="1" t="s">
        <v>19</v>
      </c>
      <c r="O97" s="1" t="s">
        <v>21</v>
      </c>
      <c r="P97" s="1" t="s">
        <v>19</v>
      </c>
      <c r="Q97" t="b">
        <v>0</v>
      </c>
      <c r="R97" s="1" t="s">
        <v>17</v>
      </c>
    </row>
    <row r="98" spans="1:18" x14ac:dyDescent="0.15">
      <c r="A98" s="6" t="s">
        <v>199</v>
      </c>
      <c r="B98" s="6" t="s">
        <v>27</v>
      </c>
      <c r="C98" s="6" t="s">
        <v>200</v>
      </c>
      <c r="D98">
        <v>500</v>
      </c>
      <c r="E98" s="1" t="s">
        <v>19</v>
      </c>
      <c r="F98" s="1" t="s">
        <v>19</v>
      </c>
      <c r="G98" t="s">
        <v>29</v>
      </c>
      <c r="H98">
        <v>1</v>
      </c>
      <c r="I98" s="7" t="b">
        <v>0</v>
      </c>
      <c r="J98" s="7" t="b">
        <v>1</v>
      </c>
      <c r="K98" s="1" t="s">
        <v>21</v>
      </c>
      <c r="L98" s="1" t="s">
        <v>19</v>
      </c>
      <c r="M98" s="1" t="s">
        <v>19</v>
      </c>
      <c r="N98" s="1" t="s">
        <v>19</v>
      </c>
      <c r="O98" s="1" t="s">
        <v>21</v>
      </c>
      <c r="P98" s="1" t="s">
        <v>19</v>
      </c>
      <c r="Q98" t="b">
        <v>0</v>
      </c>
      <c r="R98" s="1" t="s">
        <v>17</v>
      </c>
    </row>
    <row r="99" spans="1:18" x14ac:dyDescent="0.15">
      <c r="A99" t="s">
        <v>132</v>
      </c>
      <c r="B99" t="s">
        <v>17</v>
      </c>
      <c r="C99" s="6" t="s">
        <v>201</v>
      </c>
      <c r="D99">
        <v>500</v>
      </c>
      <c r="E99" s="1" t="s">
        <v>21</v>
      </c>
      <c r="F99" s="1" t="s">
        <v>19</v>
      </c>
      <c r="G99" t="s">
        <v>130</v>
      </c>
      <c r="H99">
        <v>0</v>
      </c>
      <c r="I99" s="7" t="b">
        <v>0</v>
      </c>
      <c r="J99" s="7" t="b">
        <v>0</v>
      </c>
      <c r="K99" s="1" t="s">
        <v>21</v>
      </c>
      <c r="L99" s="1" t="s">
        <v>19</v>
      </c>
      <c r="M99" s="1" t="s">
        <v>21</v>
      </c>
      <c r="N99" s="1" t="s">
        <v>19</v>
      </c>
      <c r="O99" s="1" t="s">
        <v>19</v>
      </c>
      <c r="P99" s="1" t="s">
        <v>19</v>
      </c>
      <c r="Q99" t="b">
        <v>0</v>
      </c>
      <c r="R99" s="1" t="s">
        <v>17</v>
      </c>
    </row>
    <row r="100" spans="1:18" x14ac:dyDescent="0.15">
      <c r="A100" t="s">
        <v>2966</v>
      </c>
      <c r="B100" s="6" t="s">
        <v>27</v>
      </c>
      <c r="C100" s="6" t="s">
        <v>2967</v>
      </c>
      <c r="D100">
        <v>600</v>
      </c>
      <c r="E100" s="1" t="s">
        <v>19</v>
      </c>
      <c r="F100" s="1" t="s">
        <v>21</v>
      </c>
      <c r="G100" t="s">
        <v>29</v>
      </c>
      <c r="H100">
        <v>1</v>
      </c>
      <c r="I100" s="7" t="b">
        <v>0</v>
      </c>
      <c r="J100" s="7" t="b">
        <v>1</v>
      </c>
      <c r="K100" s="1" t="s">
        <v>19</v>
      </c>
      <c r="L100" s="1" t="s">
        <v>19</v>
      </c>
      <c r="M100" s="1" t="s">
        <v>19</v>
      </c>
      <c r="N100" s="1" t="s">
        <v>19</v>
      </c>
      <c r="O100" s="1" t="s">
        <v>21</v>
      </c>
      <c r="P100" s="1" t="s">
        <v>21</v>
      </c>
      <c r="Q100" t="b">
        <v>1</v>
      </c>
      <c r="R100" s="1" t="s">
        <v>3208</v>
      </c>
    </row>
    <row r="101" spans="1:18" x14ac:dyDescent="0.15">
      <c r="A101" t="s">
        <v>202</v>
      </c>
      <c r="B101" t="s">
        <v>127</v>
      </c>
      <c r="C101" t="s">
        <v>203</v>
      </c>
      <c r="D101">
        <v>500</v>
      </c>
      <c r="E101" s="1" t="s">
        <v>19</v>
      </c>
      <c r="F101" s="1" t="s">
        <v>19</v>
      </c>
      <c r="G101" t="s">
        <v>130</v>
      </c>
      <c r="H101">
        <v>0</v>
      </c>
      <c r="I101" s="7" t="b">
        <v>0</v>
      </c>
      <c r="J101" s="7" t="b">
        <v>0</v>
      </c>
      <c r="K101" s="1" t="s">
        <v>21</v>
      </c>
      <c r="L101" s="1" t="s">
        <v>19</v>
      </c>
      <c r="M101" s="1" t="s">
        <v>21</v>
      </c>
      <c r="N101" s="1" t="s">
        <v>19</v>
      </c>
      <c r="O101" s="1" t="s">
        <v>19</v>
      </c>
      <c r="P101" s="1" t="s">
        <v>19</v>
      </c>
      <c r="Q101" t="b">
        <v>0</v>
      </c>
      <c r="R101" s="1" t="s">
        <v>17</v>
      </c>
    </row>
    <row r="102" spans="1:18" x14ac:dyDescent="0.15">
      <c r="A102" t="s">
        <v>204</v>
      </c>
      <c r="B102" t="s">
        <v>202</v>
      </c>
      <c r="C102" t="s">
        <v>205</v>
      </c>
      <c r="D102">
        <v>500</v>
      </c>
      <c r="E102" s="1" t="s">
        <v>19</v>
      </c>
      <c r="F102" s="1" t="s">
        <v>19</v>
      </c>
      <c r="G102" t="s">
        <v>130</v>
      </c>
      <c r="H102">
        <v>0</v>
      </c>
      <c r="I102" s="7" t="b">
        <v>0</v>
      </c>
      <c r="J102" s="7" t="b">
        <v>0</v>
      </c>
      <c r="K102" s="1" t="s">
        <v>21</v>
      </c>
      <c r="L102" s="1" t="s">
        <v>19</v>
      </c>
      <c r="M102" s="1" t="s">
        <v>21</v>
      </c>
      <c r="N102" s="1" t="s">
        <v>19</v>
      </c>
      <c r="O102" s="1" t="s">
        <v>19</v>
      </c>
      <c r="P102" s="1" t="s">
        <v>19</v>
      </c>
      <c r="Q102" t="b">
        <v>0</v>
      </c>
      <c r="R102" s="1" t="s">
        <v>17</v>
      </c>
    </row>
    <row r="103" spans="1:18" x14ac:dyDescent="0.15">
      <c r="A103" t="s">
        <v>2955</v>
      </c>
      <c r="B103" t="s">
        <v>17</v>
      </c>
      <c r="C103" t="s">
        <v>2956</v>
      </c>
      <c r="D103">
        <v>500</v>
      </c>
      <c r="E103" s="1" t="s">
        <v>19</v>
      </c>
      <c r="F103" s="1" t="s">
        <v>19</v>
      </c>
      <c r="G103" t="s">
        <v>47</v>
      </c>
      <c r="H103">
        <v>1</v>
      </c>
      <c r="I103" s="7" t="b">
        <v>0</v>
      </c>
      <c r="J103" s="7" t="b">
        <v>0</v>
      </c>
      <c r="K103" s="1" t="s">
        <v>21</v>
      </c>
      <c r="L103" s="1" t="s">
        <v>19</v>
      </c>
      <c r="M103" s="1" t="s">
        <v>19</v>
      </c>
      <c r="N103" s="1" t="s">
        <v>19</v>
      </c>
      <c r="O103" s="1" t="s">
        <v>21</v>
      </c>
      <c r="P103" s="1" t="s">
        <v>21</v>
      </c>
      <c r="Q103" t="b">
        <v>0</v>
      </c>
      <c r="R103" s="1" t="s">
        <v>17</v>
      </c>
    </row>
    <row r="104" spans="1:18" x14ac:dyDescent="0.15">
      <c r="A104" s="6" t="s">
        <v>206</v>
      </c>
      <c r="B104" t="s">
        <v>207</v>
      </c>
      <c r="C104" t="s">
        <v>208</v>
      </c>
      <c r="D104">
        <v>500</v>
      </c>
      <c r="E104" s="1" t="s">
        <v>19</v>
      </c>
      <c r="F104" s="1" t="s">
        <v>19</v>
      </c>
      <c r="G104" t="s">
        <v>33</v>
      </c>
      <c r="H104">
        <v>3</v>
      </c>
      <c r="I104" s="7" t="b">
        <v>0</v>
      </c>
      <c r="J104" s="7" t="b">
        <v>1</v>
      </c>
      <c r="K104" s="1" t="s">
        <v>21</v>
      </c>
      <c r="L104" s="1" t="s">
        <v>19</v>
      </c>
      <c r="M104" s="1" t="s">
        <v>19</v>
      </c>
      <c r="N104" s="1" t="s">
        <v>19</v>
      </c>
      <c r="O104" s="1" t="s">
        <v>21</v>
      </c>
      <c r="P104" s="1" t="s">
        <v>19</v>
      </c>
      <c r="Q104" t="b">
        <v>0</v>
      </c>
      <c r="R104" s="1" t="s">
        <v>17</v>
      </c>
    </row>
    <row r="105" spans="1:18" x14ac:dyDescent="0.15">
      <c r="A105" s="6" t="s">
        <v>207</v>
      </c>
      <c r="B105" t="s">
        <v>17</v>
      </c>
      <c r="C105" t="s">
        <v>209</v>
      </c>
      <c r="D105">
        <v>500</v>
      </c>
      <c r="E105" s="1" t="s">
        <v>19</v>
      </c>
      <c r="F105" s="1" t="s">
        <v>19</v>
      </c>
      <c r="G105" t="s">
        <v>33</v>
      </c>
      <c r="H105">
        <v>3</v>
      </c>
      <c r="I105" s="7" t="b">
        <v>0</v>
      </c>
      <c r="J105" s="7" t="b">
        <v>1</v>
      </c>
      <c r="K105" s="1" t="s">
        <v>21</v>
      </c>
      <c r="L105" s="1" t="s">
        <v>19</v>
      </c>
      <c r="M105" s="1" t="s">
        <v>19</v>
      </c>
      <c r="N105" s="1" t="s">
        <v>19</v>
      </c>
      <c r="O105" s="1" t="s">
        <v>21</v>
      </c>
      <c r="P105" s="1" t="s">
        <v>19</v>
      </c>
      <c r="Q105" t="b">
        <v>0</v>
      </c>
      <c r="R105" s="1" t="s">
        <v>17</v>
      </c>
    </row>
    <row r="106" spans="1:18" x14ac:dyDescent="0.15">
      <c r="A106" s="6" t="s">
        <v>210</v>
      </c>
      <c r="B106" s="6" t="s">
        <v>27</v>
      </c>
      <c r="C106" s="6" t="s">
        <v>211</v>
      </c>
      <c r="D106">
        <v>550</v>
      </c>
      <c r="E106" s="1" t="s">
        <v>19</v>
      </c>
      <c r="F106" s="1" t="s">
        <v>19</v>
      </c>
      <c r="G106" t="s">
        <v>29</v>
      </c>
      <c r="H106">
        <v>1</v>
      </c>
      <c r="I106" s="7" t="b">
        <v>0</v>
      </c>
      <c r="J106" s="7" t="b">
        <v>0</v>
      </c>
      <c r="K106" s="1" t="s">
        <v>21</v>
      </c>
      <c r="L106" s="1" t="s">
        <v>19</v>
      </c>
      <c r="M106" s="1" t="s">
        <v>19</v>
      </c>
      <c r="N106" s="1" t="s">
        <v>19</v>
      </c>
      <c r="O106" s="1" t="s">
        <v>21</v>
      </c>
      <c r="P106" s="1" t="s">
        <v>19</v>
      </c>
      <c r="Q106" t="b">
        <v>0</v>
      </c>
      <c r="R106" s="1" t="s">
        <v>17</v>
      </c>
    </row>
    <row r="107" spans="1:18" x14ac:dyDescent="0.15">
      <c r="A107" t="s">
        <v>212</v>
      </c>
      <c r="B107" t="s">
        <v>23</v>
      </c>
      <c r="C107" t="s">
        <v>213</v>
      </c>
      <c r="D107">
        <v>500</v>
      </c>
      <c r="E107" s="1" t="s">
        <v>19</v>
      </c>
      <c r="F107" s="1" t="s">
        <v>21</v>
      </c>
      <c r="G107" t="s">
        <v>25</v>
      </c>
      <c r="H107">
        <v>2</v>
      </c>
      <c r="I107" s="7" t="b">
        <v>0</v>
      </c>
      <c r="J107" s="7" t="b">
        <v>0</v>
      </c>
      <c r="K107" s="1" t="s">
        <v>21</v>
      </c>
      <c r="L107" s="1" t="s">
        <v>19</v>
      </c>
      <c r="M107" s="1" t="s">
        <v>19</v>
      </c>
      <c r="N107" s="1" t="s">
        <v>21</v>
      </c>
      <c r="O107" s="1" t="s">
        <v>21</v>
      </c>
      <c r="P107" s="1" t="s">
        <v>21</v>
      </c>
      <c r="Q107" t="b">
        <v>0</v>
      </c>
      <c r="R107" s="1" t="s">
        <v>17</v>
      </c>
    </row>
    <row r="108" spans="1:18" x14ac:dyDescent="0.15">
      <c r="A108" t="s">
        <v>31</v>
      </c>
      <c r="B108" t="s">
        <v>17</v>
      </c>
      <c r="C108" t="s">
        <v>214</v>
      </c>
      <c r="D108">
        <v>500</v>
      </c>
      <c r="E108" s="1" t="s">
        <v>19</v>
      </c>
      <c r="F108" s="1" t="s">
        <v>19</v>
      </c>
      <c r="G108" t="s">
        <v>33</v>
      </c>
      <c r="H108">
        <v>3</v>
      </c>
      <c r="I108" s="7" t="b">
        <v>0</v>
      </c>
      <c r="J108" s="7" t="b">
        <v>1</v>
      </c>
      <c r="K108" s="1" t="s">
        <v>21</v>
      </c>
      <c r="L108" s="1" t="s">
        <v>19</v>
      </c>
      <c r="M108" s="1" t="s">
        <v>19</v>
      </c>
      <c r="N108" s="1" t="s">
        <v>19</v>
      </c>
      <c r="O108" s="1" t="s">
        <v>21</v>
      </c>
      <c r="P108" s="1" t="s">
        <v>19</v>
      </c>
      <c r="Q108" t="b">
        <v>0</v>
      </c>
      <c r="R108" s="1" t="s">
        <v>17</v>
      </c>
    </row>
    <row r="109" spans="1:18" x14ac:dyDescent="0.15">
      <c r="A109" s="6" t="s">
        <v>215</v>
      </c>
      <c r="B109" t="s">
        <v>17</v>
      </c>
      <c r="C109" t="s">
        <v>216</v>
      </c>
      <c r="D109">
        <v>500</v>
      </c>
      <c r="E109" s="1" t="s">
        <v>19</v>
      </c>
      <c r="F109" s="1" t="s">
        <v>19</v>
      </c>
      <c r="G109" t="s">
        <v>181</v>
      </c>
      <c r="H109">
        <v>1</v>
      </c>
      <c r="I109" s="7" t="b">
        <v>0</v>
      </c>
      <c r="J109" s="7" t="b">
        <v>0</v>
      </c>
      <c r="K109" s="1" t="s">
        <v>21</v>
      </c>
      <c r="L109" s="1" t="s">
        <v>19</v>
      </c>
      <c r="M109" s="1" t="s">
        <v>19</v>
      </c>
      <c r="N109" s="1" t="s">
        <v>19</v>
      </c>
      <c r="O109" s="1" t="s">
        <v>21</v>
      </c>
      <c r="P109" s="1" t="s">
        <v>19</v>
      </c>
      <c r="Q109" t="b">
        <v>0</v>
      </c>
      <c r="R109" s="1" t="s">
        <v>17</v>
      </c>
    </row>
    <row r="110" spans="1:18" x14ac:dyDescent="0.15">
      <c r="A110" t="s">
        <v>217</v>
      </c>
      <c r="B110" t="s">
        <v>38</v>
      </c>
      <c r="C110" t="s">
        <v>3206</v>
      </c>
      <c r="D110">
        <v>500</v>
      </c>
      <c r="E110" s="1" t="s">
        <v>19</v>
      </c>
      <c r="F110" s="1" t="s">
        <v>21</v>
      </c>
      <c r="G110" t="s">
        <v>25</v>
      </c>
      <c r="H110">
        <v>2</v>
      </c>
      <c r="I110" s="7" t="b">
        <v>0</v>
      </c>
      <c r="J110" s="7" t="b">
        <v>0</v>
      </c>
      <c r="K110" s="1" t="s">
        <v>21</v>
      </c>
      <c r="L110" s="1" t="s">
        <v>19</v>
      </c>
      <c r="M110" s="1" t="s">
        <v>19</v>
      </c>
      <c r="N110" s="1" t="s">
        <v>21</v>
      </c>
      <c r="O110" s="1" t="s">
        <v>21</v>
      </c>
      <c r="P110" s="1" t="s">
        <v>21</v>
      </c>
      <c r="Q110" t="b">
        <v>1</v>
      </c>
      <c r="R110" s="1" t="s">
        <v>3207</v>
      </c>
    </row>
    <row r="111" spans="1:18" x14ac:dyDescent="0.15">
      <c r="A111" t="s">
        <v>3220</v>
      </c>
      <c r="B111" t="s">
        <v>17</v>
      </c>
      <c r="C111" t="s">
        <v>3221</v>
      </c>
      <c r="D111">
        <v>500</v>
      </c>
      <c r="E111" s="1" t="s">
        <v>19</v>
      </c>
      <c r="F111" s="1" t="s">
        <v>21</v>
      </c>
      <c r="G111" t="s">
        <v>42</v>
      </c>
      <c r="H111">
        <v>0</v>
      </c>
      <c r="I111" s="7" t="b">
        <v>0</v>
      </c>
      <c r="J111" s="7" t="b">
        <v>0</v>
      </c>
      <c r="K111" s="1" t="s">
        <v>19</v>
      </c>
      <c r="L111" s="1" t="s">
        <v>19</v>
      </c>
      <c r="M111" s="1" t="s">
        <v>19</v>
      </c>
      <c r="N111" s="1" t="s">
        <v>19</v>
      </c>
      <c r="O111" s="1" t="s">
        <v>21</v>
      </c>
      <c r="P111" s="1" t="s">
        <v>19</v>
      </c>
      <c r="Q111" t="b">
        <v>0</v>
      </c>
      <c r="R111" s="1" t="s">
        <v>3202</v>
      </c>
    </row>
    <row r="112" spans="1:18" x14ac:dyDescent="0.15">
      <c r="A112" t="s">
        <v>218</v>
      </c>
      <c r="B112" t="s">
        <v>17</v>
      </c>
      <c r="C112" t="s">
        <v>219</v>
      </c>
      <c r="D112">
        <v>500</v>
      </c>
      <c r="E112" s="1" t="s">
        <v>19</v>
      </c>
      <c r="F112" s="1" t="s">
        <v>21</v>
      </c>
      <c r="G112" t="s">
        <v>42</v>
      </c>
      <c r="H112">
        <v>0</v>
      </c>
      <c r="I112" s="7" t="b">
        <v>0</v>
      </c>
      <c r="J112" s="7" t="b">
        <v>0</v>
      </c>
      <c r="K112" s="1" t="s">
        <v>19</v>
      </c>
      <c r="L112" s="1" t="s">
        <v>19</v>
      </c>
      <c r="M112" s="1" t="s">
        <v>19</v>
      </c>
      <c r="N112" s="1" t="s">
        <v>19</v>
      </c>
      <c r="O112" s="1" t="s">
        <v>21</v>
      </c>
      <c r="P112" s="1" t="s">
        <v>19</v>
      </c>
      <c r="Q112" t="b">
        <v>0</v>
      </c>
      <c r="R112" s="1" t="s">
        <v>17</v>
      </c>
    </row>
    <row r="113" spans="1:18" x14ac:dyDescent="0.15">
      <c r="A113" t="s">
        <v>220</v>
      </c>
      <c r="B113" t="s">
        <v>17</v>
      </c>
      <c r="C113" t="s">
        <v>221</v>
      </c>
      <c r="D113">
        <v>500</v>
      </c>
      <c r="E113" s="1" t="s">
        <v>19</v>
      </c>
      <c r="F113" s="1" t="s">
        <v>21</v>
      </c>
      <c r="G113" t="s">
        <v>42</v>
      </c>
      <c r="H113">
        <v>0</v>
      </c>
      <c r="I113" s="7" t="b">
        <v>0</v>
      </c>
      <c r="J113" s="7" t="b">
        <v>0</v>
      </c>
      <c r="K113" s="1" t="s">
        <v>19</v>
      </c>
      <c r="L113" s="1" t="s">
        <v>19</v>
      </c>
      <c r="M113" s="1" t="s">
        <v>19</v>
      </c>
      <c r="N113" s="1" t="s">
        <v>19</v>
      </c>
      <c r="O113" s="1" t="s">
        <v>21</v>
      </c>
      <c r="P113" s="1" t="s">
        <v>19</v>
      </c>
      <c r="Q113" t="b">
        <v>0</v>
      </c>
      <c r="R113" s="1" t="s">
        <v>17</v>
      </c>
    </row>
    <row r="114" spans="1:18" x14ac:dyDescent="0.15">
      <c r="A114" t="s">
        <v>222</v>
      </c>
      <c r="B114" t="s">
        <v>17</v>
      </c>
      <c r="C114" t="s">
        <v>223</v>
      </c>
      <c r="D114">
        <v>500</v>
      </c>
      <c r="E114" s="1" t="s">
        <v>19</v>
      </c>
      <c r="F114" s="1" t="s">
        <v>21</v>
      </c>
      <c r="G114" t="s">
        <v>42</v>
      </c>
      <c r="H114">
        <v>0</v>
      </c>
      <c r="I114" s="7" t="b">
        <v>0</v>
      </c>
      <c r="J114" s="7" t="b">
        <v>0</v>
      </c>
      <c r="K114" s="1" t="s">
        <v>19</v>
      </c>
      <c r="L114" s="1" t="s">
        <v>19</v>
      </c>
      <c r="M114" s="1" t="s">
        <v>19</v>
      </c>
      <c r="N114" s="1" t="s">
        <v>19</v>
      </c>
      <c r="O114" s="1" t="s">
        <v>21</v>
      </c>
      <c r="P114" s="1" t="s">
        <v>19</v>
      </c>
      <c r="Q114" t="b">
        <v>0</v>
      </c>
      <c r="R114" s="1" t="s">
        <v>17</v>
      </c>
    </row>
    <row r="115" spans="1:18" x14ac:dyDescent="0.15">
      <c r="A115" t="s">
        <v>224</v>
      </c>
      <c r="B115" t="s">
        <v>17</v>
      </c>
      <c r="C115" t="s">
        <v>225</v>
      </c>
      <c r="D115">
        <v>500</v>
      </c>
      <c r="E115" s="1" t="s">
        <v>19</v>
      </c>
      <c r="F115" s="1" t="s">
        <v>21</v>
      </c>
      <c r="G115" t="s">
        <v>42</v>
      </c>
      <c r="H115">
        <v>0</v>
      </c>
      <c r="I115" s="7" t="b">
        <v>0</v>
      </c>
      <c r="J115" s="7" t="b">
        <v>0</v>
      </c>
      <c r="K115" s="1" t="s">
        <v>19</v>
      </c>
      <c r="L115" s="1" t="s">
        <v>19</v>
      </c>
      <c r="M115" s="1" t="s">
        <v>19</v>
      </c>
      <c r="N115" s="1" t="s">
        <v>19</v>
      </c>
      <c r="O115" s="1" t="s">
        <v>21</v>
      </c>
      <c r="P115" s="1" t="s">
        <v>19</v>
      </c>
      <c r="Q115" t="b">
        <v>0</v>
      </c>
      <c r="R115" s="1" t="s">
        <v>17</v>
      </c>
    </row>
    <row r="116" spans="1:18" x14ac:dyDescent="0.15">
      <c r="A116" t="s">
        <v>226</v>
      </c>
      <c r="B116" t="s">
        <v>17</v>
      </c>
      <c r="C116" t="s">
        <v>227</v>
      </c>
      <c r="D116">
        <v>500</v>
      </c>
      <c r="E116" s="1" t="s">
        <v>19</v>
      </c>
      <c r="F116" s="1" t="s">
        <v>21</v>
      </c>
      <c r="G116" t="s">
        <v>42</v>
      </c>
      <c r="H116">
        <v>0</v>
      </c>
      <c r="I116" s="7" t="b">
        <v>0</v>
      </c>
      <c r="J116" s="7" t="b">
        <v>0</v>
      </c>
      <c r="K116" s="1" t="s">
        <v>19</v>
      </c>
      <c r="L116" s="1" t="s">
        <v>19</v>
      </c>
      <c r="M116" s="1" t="s">
        <v>19</v>
      </c>
      <c r="N116" s="1" t="s">
        <v>19</v>
      </c>
      <c r="O116" s="1" t="s">
        <v>21</v>
      </c>
      <c r="P116" s="1" t="s">
        <v>19</v>
      </c>
      <c r="Q116" t="b">
        <v>0</v>
      </c>
      <c r="R116" s="1" t="s">
        <v>17</v>
      </c>
    </row>
    <row r="117" spans="1:18" x14ac:dyDescent="0.15">
      <c r="A117" t="s">
        <v>228</v>
      </c>
      <c r="B117" t="s">
        <v>17</v>
      </c>
      <c r="C117" t="s">
        <v>229</v>
      </c>
      <c r="D117">
        <v>500</v>
      </c>
      <c r="E117" s="1" t="s">
        <v>19</v>
      </c>
      <c r="F117" s="1" t="s">
        <v>21</v>
      </c>
      <c r="G117" t="s">
        <v>42</v>
      </c>
      <c r="H117">
        <v>0</v>
      </c>
      <c r="I117" s="7" t="b">
        <v>0</v>
      </c>
      <c r="J117" s="7" t="b">
        <v>0</v>
      </c>
      <c r="K117" s="1" t="s">
        <v>19</v>
      </c>
      <c r="L117" s="1" t="s">
        <v>19</v>
      </c>
      <c r="M117" s="1" t="s">
        <v>19</v>
      </c>
      <c r="N117" s="1" t="s">
        <v>19</v>
      </c>
      <c r="O117" s="1" t="s">
        <v>21</v>
      </c>
      <c r="P117" s="1" t="s">
        <v>19</v>
      </c>
      <c r="Q117" t="b">
        <v>0</v>
      </c>
      <c r="R117" s="1" t="s">
        <v>17</v>
      </c>
    </row>
    <row r="118" spans="1:18" x14ac:dyDescent="0.15">
      <c r="A118" t="s">
        <v>230</v>
      </c>
      <c r="B118" t="s">
        <v>17</v>
      </c>
      <c r="C118" t="s">
        <v>231</v>
      </c>
      <c r="D118">
        <v>500</v>
      </c>
      <c r="E118" s="1" t="s">
        <v>19</v>
      </c>
      <c r="F118" s="1" t="s">
        <v>21</v>
      </c>
      <c r="G118" t="s">
        <v>42</v>
      </c>
      <c r="H118">
        <v>0</v>
      </c>
      <c r="I118" s="7" t="b">
        <v>0</v>
      </c>
      <c r="J118" s="7" t="b">
        <v>0</v>
      </c>
      <c r="K118" s="1" t="s">
        <v>19</v>
      </c>
      <c r="L118" s="1" t="s">
        <v>19</v>
      </c>
      <c r="M118" s="1" t="s">
        <v>19</v>
      </c>
      <c r="N118" s="1" t="s">
        <v>19</v>
      </c>
      <c r="O118" s="1" t="s">
        <v>21</v>
      </c>
      <c r="P118" s="1" t="s">
        <v>19</v>
      </c>
      <c r="Q118" t="b">
        <v>0</v>
      </c>
      <c r="R118" s="1" t="s">
        <v>17</v>
      </c>
    </row>
    <row r="119" spans="1:18" ht="13.5" customHeight="1" x14ac:dyDescent="0.15">
      <c r="A119" s="6" t="s">
        <v>232</v>
      </c>
      <c r="B119" t="s">
        <v>17</v>
      </c>
      <c r="C119" t="s">
        <v>233</v>
      </c>
      <c r="D119">
        <v>500</v>
      </c>
      <c r="E119" s="1" t="s">
        <v>19</v>
      </c>
      <c r="F119" s="1" t="s">
        <v>19</v>
      </c>
      <c r="G119" t="s">
        <v>42</v>
      </c>
      <c r="H119">
        <v>0</v>
      </c>
      <c r="I119" s="7" t="b">
        <v>0</v>
      </c>
      <c r="J119" s="7" t="b">
        <v>0</v>
      </c>
      <c r="K119" s="1" t="s">
        <v>21</v>
      </c>
      <c r="L119" s="1" t="s">
        <v>19</v>
      </c>
      <c r="M119" s="1" t="s">
        <v>19</v>
      </c>
      <c r="N119" s="1" t="s">
        <v>19</v>
      </c>
      <c r="O119" s="1" t="s">
        <v>21</v>
      </c>
      <c r="P119" s="1" t="s">
        <v>19</v>
      </c>
      <c r="Q119" t="b">
        <v>0</v>
      </c>
      <c r="R119" s="1" t="s">
        <v>17</v>
      </c>
    </row>
    <row r="120" spans="1:18" x14ac:dyDescent="0.15">
      <c r="A120" s="6" t="s">
        <v>234</v>
      </c>
      <c r="B120" t="s">
        <v>17</v>
      </c>
      <c r="C120" t="s">
        <v>2795</v>
      </c>
      <c r="D120">
        <v>500</v>
      </c>
      <c r="E120" s="1" t="s">
        <v>19</v>
      </c>
      <c r="F120" s="1" t="s">
        <v>19</v>
      </c>
      <c r="G120" t="s">
        <v>42</v>
      </c>
      <c r="H120">
        <v>0</v>
      </c>
      <c r="I120" s="7" t="b">
        <v>0</v>
      </c>
      <c r="J120" s="7" t="b">
        <v>0</v>
      </c>
      <c r="K120" s="1" t="s">
        <v>21</v>
      </c>
      <c r="L120" s="1" t="s">
        <v>19</v>
      </c>
      <c r="M120" s="1" t="s">
        <v>19</v>
      </c>
      <c r="N120" s="1" t="s">
        <v>19</v>
      </c>
      <c r="O120" s="1" t="s">
        <v>21</v>
      </c>
      <c r="P120" s="1" t="s">
        <v>19</v>
      </c>
      <c r="Q120" t="b">
        <v>0</v>
      </c>
      <c r="R120" s="1" t="s">
        <v>17</v>
      </c>
    </row>
    <row r="121" spans="1:18" x14ac:dyDescent="0.15">
      <c r="A121" s="6" t="s">
        <v>236</v>
      </c>
      <c r="B121" s="6" t="s">
        <v>22</v>
      </c>
      <c r="C121" s="6" t="s">
        <v>237</v>
      </c>
      <c r="D121">
        <v>500</v>
      </c>
      <c r="E121" s="1" t="s">
        <v>19</v>
      </c>
      <c r="F121" s="1" t="s">
        <v>21</v>
      </c>
      <c r="G121" t="s">
        <v>25</v>
      </c>
      <c r="H121">
        <v>2</v>
      </c>
      <c r="I121" s="7" t="b">
        <v>0</v>
      </c>
      <c r="J121" s="7" t="b">
        <v>0</v>
      </c>
      <c r="K121" s="1" t="s">
        <v>21</v>
      </c>
      <c r="L121" s="1" t="s">
        <v>19</v>
      </c>
      <c r="M121" s="1" t="s">
        <v>19</v>
      </c>
      <c r="N121" s="1" t="s">
        <v>19</v>
      </c>
      <c r="O121" s="1" t="s">
        <v>21</v>
      </c>
      <c r="P121" s="1" t="s">
        <v>21</v>
      </c>
      <c r="Q121" t="b">
        <v>0</v>
      </c>
      <c r="R121" s="1" t="s">
        <v>17</v>
      </c>
    </row>
    <row r="122" spans="1:18" x14ac:dyDescent="0.15">
      <c r="A122" t="s">
        <v>238</v>
      </c>
      <c r="B122" t="s">
        <v>17</v>
      </c>
      <c r="C122" t="s">
        <v>2846</v>
      </c>
      <c r="D122">
        <v>800</v>
      </c>
      <c r="E122" s="1" t="s">
        <v>19</v>
      </c>
      <c r="F122" s="1" t="s">
        <v>19</v>
      </c>
      <c r="G122" t="s">
        <v>239</v>
      </c>
      <c r="H122">
        <v>0</v>
      </c>
      <c r="I122" s="7" t="b">
        <v>0</v>
      </c>
      <c r="J122" s="7" t="b">
        <v>0</v>
      </c>
      <c r="K122" s="1" t="s">
        <v>19</v>
      </c>
      <c r="L122" s="1" t="s">
        <v>21</v>
      </c>
      <c r="M122" s="1" t="s">
        <v>19</v>
      </c>
      <c r="N122" s="1" t="s">
        <v>19</v>
      </c>
      <c r="O122" s="1" t="s">
        <v>19</v>
      </c>
      <c r="P122" s="1" t="s">
        <v>19</v>
      </c>
      <c r="Q122" t="b">
        <v>0</v>
      </c>
      <c r="R122" s="1" t="s">
        <v>17</v>
      </c>
    </row>
    <row r="123" spans="1:18" x14ac:dyDescent="0.15">
      <c r="A123" t="s">
        <v>240</v>
      </c>
      <c r="B123" t="s">
        <v>17</v>
      </c>
      <c r="C123" t="s">
        <v>241</v>
      </c>
      <c r="D123">
        <v>700</v>
      </c>
      <c r="E123" s="1" t="s">
        <v>19</v>
      </c>
      <c r="F123" s="1" t="s">
        <v>19</v>
      </c>
      <c r="G123" t="s">
        <v>239</v>
      </c>
      <c r="H123">
        <v>0</v>
      </c>
      <c r="I123" s="7" t="b">
        <v>0</v>
      </c>
      <c r="J123" s="7" t="b">
        <v>0</v>
      </c>
      <c r="K123" s="1" t="s">
        <v>19</v>
      </c>
      <c r="L123" s="1" t="s">
        <v>21</v>
      </c>
      <c r="M123" s="1" t="s">
        <v>19</v>
      </c>
      <c r="N123" s="1" t="s">
        <v>19</v>
      </c>
      <c r="O123" s="1" t="s">
        <v>19</v>
      </c>
      <c r="P123" s="1" t="s">
        <v>19</v>
      </c>
      <c r="Q123" t="b">
        <v>0</v>
      </c>
      <c r="R123" s="1" t="s">
        <v>17</v>
      </c>
    </row>
    <row r="124" spans="1:18" x14ac:dyDescent="0.15">
      <c r="A124" t="s">
        <v>242</v>
      </c>
      <c r="B124" t="s">
        <v>17</v>
      </c>
      <c r="C124" t="s">
        <v>243</v>
      </c>
      <c r="D124">
        <v>550</v>
      </c>
      <c r="E124" s="1" t="s">
        <v>19</v>
      </c>
      <c r="F124" s="1" t="s">
        <v>19</v>
      </c>
      <c r="G124" t="s">
        <v>239</v>
      </c>
      <c r="H124">
        <v>0</v>
      </c>
      <c r="I124" s="7" t="b">
        <v>0</v>
      </c>
      <c r="J124" s="7" t="b">
        <v>0</v>
      </c>
      <c r="K124" s="1" t="s">
        <v>21</v>
      </c>
      <c r="L124" s="1" t="s">
        <v>21</v>
      </c>
      <c r="M124" s="1" t="s">
        <v>19</v>
      </c>
      <c r="N124" s="1" t="s">
        <v>19</v>
      </c>
      <c r="O124" s="1" t="s">
        <v>19</v>
      </c>
      <c r="P124" s="1" t="s">
        <v>19</v>
      </c>
      <c r="Q124" t="b">
        <v>0</v>
      </c>
      <c r="R124" s="1" t="s">
        <v>17</v>
      </c>
    </row>
    <row r="125" spans="1:18" x14ac:dyDescent="0.15">
      <c r="A125" t="s">
        <v>244</v>
      </c>
      <c r="B125" t="s">
        <v>17</v>
      </c>
      <c r="C125" t="s">
        <v>245</v>
      </c>
      <c r="D125">
        <v>600</v>
      </c>
      <c r="E125" s="1" t="s">
        <v>19</v>
      </c>
      <c r="F125" s="1" t="s">
        <v>19</v>
      </c>
      <c r="G125" t="s">
        <v>239</v>
      </c>
      <c r="H125">
        <v>0</v>
      </c>
      <c r="I125" s="7" t="b">
        <v>0</v>
      </c>
      <c r="J125" s="7" t="b">
        <v>0</v>
      </c>
      <c r="K125" s="1" t="s">
        <v>19</v>
      </c>
      <c r="L125" s="1" t="s">
        <v>21</v>
      </c>
      <c r="M125" s="1" t="s">
        <v>19</v>
      </c>
      <c r="N125" s="1" t="s">
        <v>19</v>
      </c>
      <c r="O125" s="1" t="s">
        <v>19</v>
      </c>
      <c r="P125" s="1" t="s">
        <v>19</v>
      </c>
      <c r="Q125" t="b">
        <v>0</v>
      </c>
      <c r="R125" s="1" t="s">
        <v>17</v>
      </c>
    </row>
    <row r="126" spans="1:18" x14ac:dyDescent="0.15">
      <c r="A126" t="s">
        <v>246</v>
      </c>
      <c r="B126" t="s">
        <v>17</v>
      </c>
      <c r="C126" t="s">
        <v>247</v>
      </c>
      <c r="D126">
        <v>500</v>
      </c>
      <c r="E126" s="1" t="s">
        <v>19</v>
      </c>
      <c r="F126" s="1" t="s">
        <v>19</v>
      </c>
      <c r="G126" t="s">
        <v>239</v>
      </c>
      <c r="H126">
        <v>0</v>
      </c>
      <c r="I126" s="7" t="b">
        <v>0</v>
      </c>
      <c r="J126" s="7" t="b">
        <v>0</v>
      </c>
      <c r="K126" s="1" t="s">
        <v>21</v>
      </c>
      <c r="L126" s="1" t="s">
        <v>21</v>
      </c>
      <c r="M126" s="1" t="s">
        <v>19</v>
      </c>
      <c r="N126" s="1" t="s">
        <v>19</v>
      </c>
      <c r="O126" s="1" t="s">
        <v>19</v>
      </c>
      <c r="P126" s="1" t="s">
        <v>19</v>
      </c>
      <c r="Q126" t="b">
        <v>0</v>
      </c>
      <c r="R126" s="1" t="s">
        <v>17</v>
      </c>
    </row>
    <row r="127" spans="1:18" x14ac:dyDescent="0.15">
      <c r="A127" t="s">
        <v>248</v>
      </c>
      <c r="B127" t="s">
        <v>17</v>
      </c>
      <c r="C127" t="s">
        <v>249</v>
      </c>
      <c r="D127">
        <v>300</v>
      </c>
      <c r="E127" s="1" t="s">
        <v>19</v>
      </c>
      <c r="F127" s="1" t="s">
        <v>19</v>
      </c>
      <c r="G127" t="s">
        <v>239</v>
      </c>
      <c r="H127">
        <v>0</v>
      </c>
      <c r="I127" s="7" t="b">
        <v>0</v>
      </c>
      <c r="J127" s="7" t="b">
        <v>0</v>
      </c>
      <c r="K127" s="1" t="s">
        <v>19</v>
      </c>
      <c r="L127" s="1" t="s">
        <v>21</v>
      </c>
      <c r="M127" s="1" t="s">
        <v>19</v>
      </c>
      <c r="N127" s="1" t="s">
        <v>19</v>
      </c>
      <c r="O127" s="1" t="s">
        <v>19</v>
      </c>
      <c r="P127" s="1" t="s">
        <v>19</v>
      </c>
      <c r="Q127" t="b">
        <v>0</v>
      </c>
      <c r="R127" s="1" t="s">
        <v>17</v>
      </c>
    </row>
    <row r="128" spans="1:18" x14ac:dyDescent="0.15">
      <c r="A128" t="s">
        <v>2807</v>
      </c>
      <c r="B128" t="s">
        <v>17</v>
      </c>
      <c r="C128" t="s">
        <v>2808</v>
      </c>
      <c r="D128">
        <v>500</v>
      </c>
      <c r="E128" s="1" t="s">
        <v>19</v>
      </c>
      <c r="F128" s="1" t="s">
        <v>19</v>
      </c>
      <c r="G128" t="s">
        <v>20</v>
      </c>
      <c r="H128">
        <v>0</v>
      </c>
      <c r="I128" s="2" t="b">
        <v>0</v>
      </c>
      <c r="J128" s="7" t="b">
        <v>0</v>
      </c>
      <c r="K128" s="1" t="s">
        <v>21</v>
      </c>
      <c r="L128" s="1" t="s">
        <v>19</v>
      </c>
      <c r="M128" s="1" t="s">
        <v>19</v>
      </c>
      <c r="N128" s="1" t="s">
        <v>19</v>
      </c>
      <c r="O128" s="1" t="s">
        <v>21</v>
      </c>
      <c r="P128" s="1" t="s">
        <v>19</v>
      </c>
      <c r="Q128" t="b">
        <v>0</v>
      </c>
      <c r="R128" s="1" t="s">
        <v>17</v>
      </c>
    </row>
    <row r="129" spans="1:18" x14ac:dyDescent="0.15">
      <c r="A129" t="s">
        <v>2837</v>
      </c>
      <c r="B129" t="s">
        <v>17</v>
      </c>
      <c r="C129" t="s">
        <v>2902</v>
      </c>
      <c r="D129">
        <v>500</v>
      </c>
      <c r="E129" s="1" t="s">
        <v>21</v>
      </c>
      <c r="F129" s="1" t="s">
        <v>19</v>
      </c>
      <c r="G129" t="s">
        <v>42</v>
      </c>
      <c r="H129">
        <v>0</v>
      </c>
      <c r="I129" s="2" t="b">
        <v>0</v>
      </c>
      <c r="J129" s="7" t="b">
        <v>0</v>
      </c>
      <c r="K129" s="1" t="s">
        <v>21</v>
      </c>
      <c r="L129" s="1" t="s">
        <v>19</v>
      </c>
      <c r="M129" s="1" t="s">
        <v>19</v>
      </c>
      <c r="N129" s="1" t="s">
        <v>19</v>
      </c>
      <c r="O129" s="1" t="s">
        <v>21</v>
      </c>
      <c r="P129" s="1" t="s">
        <v>19</v>
      </c>
      <c r="Q129" t="b">
        <v>0</v>
      </c>
      <c r="R129" s="1" t="s">
        <v>17</v>
      </c>
    </row>
    <row r="130" spans="1:18" x14ac:dyDescent="0.15">
      <c r="A130" t="s">
        <v>2901</v>
      </c>
      <c r="B130" t="s">
        <v>17</v>
      </c>
      <c r="C130" t="s">
        <v>2903</v>
      </c>
      <c r="D130">
        <v>500</v>
      </c>
      <c r="E130" s="1" t="s">
        <v>21</v>
      </c>
      <c r="F130" s="1" t="s">
        <v>19</v>
      </c>
      <c r="G130" t="s">
        <v>42</v>
      </c>
      <c r="H130">
        <v>0</v>
      </c>
      <c r="I130" s="2" t="b">
        <v>0</v>
      </c>
      <c r="J130" s="2" t="b">
        <v>0</v>
      </c>
      <c r="K130" s="1" t="s">
        <v>19</v>
      </c>
      <c r="L130" s="1" t="s">
        <v>19</v>
      </c>
      <c r="M130" s="1" t="s">
        <v>19</v>
      </c>
      <c r="N130" s="1" t="s">
        <v>19</v>
      </c>
      <c r="O130" s="1" t="s">
        <v>21</v>
      </c>
      <c r="P130" s="1" t="s">
        <v>19</v>
      </c>
      <c r="Q130" t="b">
        <v>0</v>
      </c>
      <c r="R130" s="1" t="s">
        <v>17</v>
      </c>
    </row>
    <row r="131" spans="1:18" x14ac:dyDescent="0.15">
      <c r="A131" t="s">
        <v>2908</v>
      </c>
      <c r="B131" t="s">
        <v>17</v>
      </c>
      <c r="C131" t="s">
        <v>3171</v>
      </c>
      <c r="D131">
        <v>650</v>
      </c>
      <c r="E131" s="1" t="s">
        <v>19</v>
      </c>
      <c r="F131" s="1" t="s">
        <v>19</v>
      </c>
      <c r="G131" t="s">
        <v>47</v>
      </c>
      <c r="H131">
        <v>0</v>
      </c>
      <c r="I131" s="2" t="b">
        <v>0</v>
      </c>
      <c r="J131" s="2" t="b">
        <v>0</v>
      </c>
      <c r="K131" s="1" t="s">
        <v>21</v>
      </c>
      <c r="L131" s="1" t="s">
        <v>19</v>
      </c>
      <c r="M131" s="1" t="s">
        <v>19</v>
      </c>
      <c r="N131" s="1" t="s">
        <v>19</v>
      </c>
      <c r="O131" s="1" t="s">
        <v>21</v>
      </c>
      <c r="P131" s="1" t="s">
        <v>21</v>
      </c>
      <c r="Q131" t="b">
        <v>0</v>
      </c>
      <c r="R131" s="1" t="s">
        <v>17</v>
      </c>
    </row>
    <row r="132" spans="1:18" x14ac:dyDescent="0.15">
      <c r="A132" t="s">
        <v>2997</v>
      </c>
      <c r="B132" t="s">
        <v>17</v>
      </c>
      <c r="C132" t="s">
        <v>3026</v>
      </c>
      <c r="D132">
        <v>500</v>
      </c>
      <c r="E132" s="1" t="s">
        <v>19</v>
      </c>
      <c r="F132" s="1" t="s">
        <v>19</v>
      </c>
      <c r="G132" t="s">
        <v>42</v>
      </c>
      <c r="H132">
        <v>0</v>
      </c>
      <c r="I132" s="2" t="b">
        <v>0</v>
      </c>
      <c r="J132" s="2" t="b">
        <v>0</v>
      </c>
      <c r="K132" s="1" t="s">
        <v>21</v>
      </c>
      <c r="L132" s="1" t="s">
        <v>19</v>
      </c>
      <c r="M132" s="1" t="s">
        <v>19</v>
      </c>
      <c r="N132" s="1" t="s">
        <v>19</v>
      </c>
      <c r="O132" s="1" t="s">
        <v>21</v>
      </c>
      <c r="P132" s="1" t="s">
        <v>21</v>
      </c>
      <c r="Q132" t="b">
        <v>0</v>
      </c>
      <c r="R132" s="1" t="s">
        <v>17</v>
      </c>
    </row>
    <row r="133" spans="1:18" x14ac:dyDescent="0.15">
      <c r="A133" t="s">
        <v>3165</v>
      </c>
      <c r="B133" t="s">
        <v>17</v>
      </c>
      <c r="C133" t="s">
        <v>3166</v>
      </c>
      <c r="D133">
        <v>500</v>
      </c>
      <c r="E133" s="1" t="s">
        <v>21</v>
      </c>
      <c r="F133" s="1" t="s">
        <v>19</v>
      </c>
      <c r="G133" t="s">
        <v>42</v>
      </c>
      <c r="H133">
        <v>0</v>
      </c>
      <c r="I133" s="2" t="b">
        <v>0</v>
      </c>
      <c r="J133" s="7" t="b">
        <v>0</v>
      </c>
      <c r="K133" s="1" t="s">
        <v>21</v>
      </c>
      <c r="L133" s="1" t="s">
        <v>19</v>
      </c>
      <c r="M133" s="1" t="s">
        <v>19</v>
      </c>
      <c r="N133" s="1" t="s">
        <v>19</v>
      </c>
      <c r="O133" s="1" t="s">
        <v>21</v>
      </c>
      <c r="P133" s="1" t="s">
        <v>21</v>
      </c>
      <c r="Q133" t="b">
        <v>0</v>
      </c>
      <c r="R133" s="1" t="s">
        <v>17</v>
      </c>
    </row>
    <row r="134" spans="1:18" x14ac:dyDescent="0.15">
      <c r="A134" t="s">
        <v>3173</v>
      </c>
      <c r="B134" t="s">
        <v>17</v>
      </c>
      <c r="C134" t="s">
        <v>3172</v>
      </c>
      <c r="D134">
        <v>500</v>
      </c>
      <c r="E134" s="1" t="s">
        <v>19</v>
      </c>
      <c r="F134" s="1" t="s">
        <v>19</v>
      </c>
      <c r="G134" t="s">
        <v>42</v>
      </c>
      <c r="H134">
        <v>0</v>
      </c>
      <c r="I134" s="2" t="b">
        <v>0</v>
      </c>
      <c r="J134" s="2" t="b">
        <v>0</v>
      </c>
      <c r="K134" s="1" t="s">
        <v>21</v>
      </c>
      <c r="L134" s="1" t="s">
        <v>19</v>
      </c>
      <c r="M134" s="1" t="s">
        <v>19</v>
      </c>
      <c r="N134" s="1" t="s">
        <v>19</v>
      </c>
      <c r="O134" s="1" t="s">
        <v>21</v>
      </c>
      <c r="P134" s="1" t="s">
        <v>21</v>
      </c>
      <c r="Q134" t="b">
        <v>0</v>
      </c>
      <c r="R134" s="1" t="s">
        <v>17</v>
      </c>
    </row>
    <row r="135" spans="1:18" x14ac:dyDescent="0.15">
      <c r="A135" t="s">
        <v>3223</v>
      </c>
      <c r="B135" t="s">
        <v>17</v>
      </c>
      <c r="C135" t="s">
        <v>3222</v>
      </c>
      <c r="D135">
        <v>500</v>
      </c>
      <c r="E135" s="1" t="s">
        <v>19</v>
      </c>
      <c r="F135" s="1" t="s">
        <v>19</v>
      </c>
      <c r="G135" t="s">
        <v>42</v>
      </c>
      <c r="H135">
        <v>0</v>
      </c>
      <c r="I135" s="2" t="b">
        <v>0</v>
      </c>
      <c r="J135" s="2" t="b">
        <v>0</v>
      </c>
      <c r="K135" s="1" t="s">
        <v>21</v>
      </c>
      <c r="L135" s="1" t="s">
        <v>19</v>
      </c>
      <c r="M135" s="1" t="s">
        <v>19</v>
      </c>
      <c r="N135" s="1" t="s">
        <v>19</v>
      </c>
      <c r="O135" s="1" t="s">
        <v>21</v>
      </c>
      <c r="P135" s="1" t="s">
        <v>21</v>
      </c>
      <c r="Q135" t="b">
        <v>0</v>
      </c>
      <c r="R135" s="1" t="s">
        <v>17</v>
      </c>
    </row>
  </sheetData>
  <conditionalFormatting sqref="J133:P133">
    <cfRule type="containsText" dxfId="7" priority="1" operator="containsText" text="TRUE">
      <formula>NOT(ISERROR(SEARCH("TRUE",J133)))</formula>
    </cfRule>
  </conditionalFormatting>
  <conditionalFormatting sqref="K1:P1 E1:F127 I2:P127">
    <cfRule type="containsText" dxfId="6" priority="6" operator="containsText" text="TRUE">
      <formula>NOT(ISERROR(SEARCH("TRUE",E1)))</formula>
    </cfRule>
  </conditionalFormatting>
  <conditionalFormatting sqref="M130:P130">
    <cfRule type="containsText" dxfId="5" priority="2" operator="containsText" text="TRUE">
      <formula>NOT(ISERROR(SEARCH("TRUE",M130)))</formula>
    </cfRule>
  </conditionalFormatting>
  <conditionalFormatting sqref="R2:R135 J128:P129">
    <cfRule type="containsText" dxfId="4" priority="3" operator="containsText" text="TRUE">
      <formula>NOT(ISERROR(SEARCH("TRUE",J2)))</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92"/>
  <sheetViews>
    <sheetView topLeftCell="B972" zoomScale="120" zoomScaleNormal="120" workbookViewId="0">
      <selection activeCell="E995" sqref="E995:F996"/>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22" width="10.6640625" style="8"/>
  </cols>
  <sheetData>
    <row r="1" spans="1:1024" s="19" customFormat="1" x14ac:dyDescent="0.15">
      <c r="A1" s="19" t="s">
        <v>2789</v>
      </c>
      <c r="B1" s="19" t="s">
        <v>250</v>
      </c>
      <c r="C1" s="19" t="s">
        <v>0</v>
      </c>
      <c r="D1" s="19" t="s">
        <v>251</v>
      </c>
      <c r="E1" s="19" t="s">
        <v>2</v>
      </c>
      <c r="F1" s="19" t="s">
        <v>252</v>
      </c>
      <c r="AMF1" s="20"/>
      <c r="AMG1" s="20"/>
      <c r="AMH1" s="20"/>
      <c r="AMI1" s="21"/>
      <c r="AMJ1" s="21"/>
    </row>
    <row r="2" spans="1:1024" x14ac:dyDescent="0.15">
      <c r="A2" s="8" t="s">
        <v>253</v>
      </c>
      <c r="B2" s="8" t="s">
        <v>153</v>
      </c>
      <c r="C2" s="8" t="str">
        <f t="shared" ref="C2:C66" si="0">B2&amp;":"&amp;A2</f>
        <v>att_mitocarta_pathway:steroid_synthesis</v>
      </c>
      <c r="D2" s="9" t="s">
        <v>17</v>
      </c>
      <c r="E2" s="8" t="s">
        <v>254</v>
      </c>
      <c r="F2" s="8" t="s">
        <v>255</v>
      </c>
    </row>
    <row r="3" spans="1:1024" x14ac:dyDescent="0.15">
      <c r="A3" s="8" t="s">
        <v>256</v>
      </c>
      <c r="B3" s="8" t="s">
        <v>153</v>
      </c>
      <c r="C3" s="8" t="str">
        <f t="shared" si="0"/>
        <v>att_mitocarta_pathway:q_linked_reactions</v>
      </c>
      <c r="D3" s="9" t="s">
        <v>17</v>
      </c>
      <c r="E3" s="8" t="s">
        <v>257</v>
      </c>
      <c r="F3" s="8" t="s">
        <v>258</v>
      </c>
    </row>
    <row r="4" spans="1:1024" x14ac:dyDescent="0.15">
      <c r="A4" s="8" t="s">
        <v>259</v>
      </c>
      <c r="B4" s="8" t="s">
        <v>153</v>
      </c>
      <c r="C4" s="8" t="str">
        <f t="shared" si="0"/>
        <v>att_mitocarta_pathway:protein_import</v>
      </c>
      <c r="D4" s="9" t="s">
        <v>17</v>
      </c>
      <c r="E4" s="8" t="s">
        <v>260</v>
      </c>
      <c r="F4" s="8" t="s">
        <v>260</v>
      </c>
    </row>
    <row r="5" spans="1:1024" x14ac:dyDescent="0.15">
      <c r="A5" s="8" t="s">
        <v>261</v>
      </c>
      <c r="B5" s="8" t="s">
        <v>58</v>
      </c>
      <c r="C5" s="8" t="str">
        <f t="shared" si="0"/>
        <v>att_column_outer_diameter:360um</v>
      </c>
      <c r="D5" s="9" t="s">
        <v>17</v>
      </c>
      <c r="E5" s="8">
        <v>360</v>
      </c>
      <c r="F5" s="8" t="s">
        <v>262</v>
      </c>
    </row>
    <row r="6" spans="1:1024" x14ac:dyDescent="0.15">
      <c r="A6" s="8" t="s">
        <v>263</v>
      </c>
      <c r="B6" s="8" t="s">
        <v>264</v>
      </c>
      <c r="C6" s="8" t="str">
        <f t="shared" si="0"/>
        <v>att_aa:arginine</v>
      </c>
      <c r="D6" s="8" t="s">
        <v>263</v>
      </c>
      <c r="E6" s="8" t="s">
        <v>265</v>
      </c>
      <c r="F6" s="8" t="s">
        <v>266</v>
      </c>
    </row>
    <row r="7" spans="1:1024" x14ac:dyDescent="0.15">
      <c r="A7" s="8" t="s">
        <v>267</v>
      </c>
      <c r="B7" s="8" t="s">
        <v>264</v>
      </c>
      <c r="C7" s="8" t="str">
        <f t="shared" si="0"/>
        <v>att_aa:asparagine</v>
      </c>
      <c r="D7" s="8" t="s">
        <v>267</v>
      </c>
      <c r="E7" s="8" t="s">
        <v>268</v>
      </c>
      <c r="F7" s="8" t="s">
        <v>269</v>
      </c>
    </row>
    <row r="8" spans="1:1024" x14ac:dyDescent="0.15">
      <c r="A8" s="8" t="s">
        <v>270</v>
      </c>
      <c r="B8" s="8" t="s">
        <v>264</v>
      </c>
      <c r="C8" s="8" t="str">
        <f t="shared" si="0"/>
        <v>att_aa:asparticacid</v>
      </c>
      <c r="D8" s="8" t="s">
        <v>270</v>
      </c>
      <c r="E8" s="8" t="s">
        <v>271</v>
      </c>
      <c r="F8" s="8" t="s">
        <v>272</v>
      </c>
    </row>
    <row r="9" spans="1:1024" x14ac:dyDescent="0.15">
      <c r="A9" s="8" t="s">
        <v>273</v>
      </c>
      <c r="B9" s="8" t="s">
        <v>264</v>
      </c>
      <c r="C9" s="8" t="str">
        <f t="shared" si="0"/>
        <v>att_aa:cysteine</v>
      </c>
      <c r="D9" s="8" t="s">
        <v>273</v>
      </c>
      <c r="E9" s="8" t="s">
        <v>274</v>
      </c>
      <c r="F9" s="8" t="s">
        <v>275</v>
      </c>
    </row>
    <row r="10" spans="1:1024" x14ac:dyDescent="0.15">
      <c r="A10" s="8" t="s">
        <v>276</v>
      </c>
      <c r="B10" s="8" t="s">
        <v>264</v>
      </c>
      <c r="C10" s="8" t="str">
        <f t="shared" si="0"/>
        <v>att_aa:glutamicacid</v>
      </c>
      <c r="D10" s="8" t="s">
        <v>276</v>
      </c>
      <c r="E10" s="8" t="s">
        <v>277</v>
      </c>
      <c r="F10" s="8" t="s">
        <v>278</v>
      </c>
    </row>
    <row r="11" spans="1:1024" x14ac:dyDescent="0.15">
      <c r="A11" s="8" t="s">
        <v>279</v>
      </c>
      <c r="B11" s="8" t="s">
        <v>264</v>
      </c>
      <c r="C11" s="8" t="str">
        <f t="shared" si="0"/>
        <v>att_aa:glutamine</v>
      </c>
      <c r="D11" s="8" t="s">
        <v>279</v>
      </c>
      <c r="E11" s="8" t="s">
        <v>280</v>
      </c>
      <c r="F11" s="8" t="s">
        <v>281</v>
      </c>
    </row>
    <row r="12" spans="1:1024" x14ac:dyDescent="0.15">
      <c r="A12" s="8" t="s">
        <v>282</v>
      </c>
      <c r="B12" s="8" t="s">
        <v>264</v>
      </c>
      <c r="C12" s="8" t="str">
        <f t="shared" si="0"/>
        <v>att_aa:glycine</v>
      </c>
      <c r="D12" s="8" t="s">
        <v>282</v>
      </c>
      <c r="E12" s="8" t="s">
        <v>283</v>
      </c>
      <c r="F12" s="8" t="s">
        <v>284</v>
      </c>
    </row>
    <row r="13" spans="1:1024" x14ac:dyDescent="0.15">
      <c r="A13" s="8" t="s">
        <v>285</v>
      </c>
      <c r="B13" s="8" t="s">
        <v>264</v>
      </c>
      <c r="C13" s="8" t="str">
        <f t="shared" si="0"/>
        <v>att_aa:histidine</v>
      </c>
      <c r="D13" s="8" t="s">
        <v>285</v>
      </c>
      <c r="E13" s="8" t="s">
        <v>286</v>
      </c>
      <c r="F13" s="8" t="s">
        <v>287</v>
      </c>
    </row>
    <row r="14" spans="1:1024" x14ac:dyDescent="0.15">
      <c r="A14" s="8" t="s">
        <v>288</v>
      </c>
      <c r="B14" s="8" t="s">
        <v>264</v>
      </c>
      <c r="C14" s="8" t="str">
        <f t="shared" si="0"/>
        <v>att_aa:isoleucine</v>
      </c>
      <c r="D14" s="8" t="s">
        <v>288</v>
      </c>
      <c r="E14" s="8" t="s">
        <v>289</v>
      </c>
      <c r="F14" s="8" t="s">
        <v>290</v>
      </c>
    </row>
    <row r="15" spans="1:1024" x14ac:dyDescent="0.15">
      <c r="A15" s="8" t="s">
        <v>291</v>
      </c>
      <c r="B15" s="8" t="s">
        <v>264</v>
      </c>
      <c r="C15" s="8" t="str">
        <f t="shared" si="0"/>
        <v>att_aa:leucine</v>
      </c>
      <c r="D15" s="8" t="s">
        <v>291</v>
      </c>
      <c r="E15" s="8" t="s">
        <v>292</v>
      </c>
      <c r="F15" s="8" t="s">
        <v>293</v>
      </c>
    </row>
    <row r="16" spans="1:1024" x14ac:dyDescent="0.15">
      <c r="A16" s="8" t="s">
        <v>294</v>
      </c>
      <c r="B16" s="8" t="s">
        <v>264</v>
      </c>
      <c r="C16" s="8" t="str">
        <f t="shared" si="0"/>
        <v>att_aa:lysine</v>
      </c>
      <c r="D16" s="8" t="s">
        <v>294</v>
      </c>
      <c r="E16" s="8" t="s">
        <v>295</v>
      </c>
      <c r="F16" s="8" t="s">
        <v>296</v>
      </c>
    </row>
    <row r="17" spans="1:6" x14ac:dyDescent="0.15">
      <c r="A17" s="8" t="s">
        <v>297</v>
      </c>
      <c r="B17" s="8" t="s">
        <v>264</v>
      </c>
      <c r="C17" s="8" t="str">
        <f t="shared" si="0"/>
        <v>att_aa:methionine</v>
      </c>
      <c r="D17" s="8" t="s">
        <v>297</v>
      </c>
      <c r="E17" s="8" t="s">
        <v>298</v>
      </c>
      <c r="F17" s="8" t="s">
        <v>299</v>
      </c>
    </row>
    <row r="18" spans="1:6" x14ac:dyDescent="0.15">
      <c r="A18" s="8" t="s">
        <v>300</v>
      </c>
      <c r="B18" s="8" t="s">
        <v>264</v>
      </c>
      <c r="C18" s="8" t="str">
        <f t="shared" si="0"/>
        <v>att_aa:phenylalanine</v>
      </c>
      <c r="D18" s="8" t="s">
        <v>300</v>
      </c>
      <c r="E18" s="8" t="s">
        <v>301</v>
      </c>
      <c r="F18" s="8" t="s">
        <v>302</v>
      </c>
    </row>
    <row r="19" spans="1:6" x14ac:dyDescent="0.15">
      <c r="A19" s="8" t="s">
        <v>303</v>
      </c>
      <c r="B19" s="8" t="s">
        <v>264</v>
      </c>
      <c r="C19" s="8" t="str">
        <f t="shared" si="0"/>
        <v>att_aa:proline</v>
      </c>
      <c r="D19" s="8" t="s">
        <v>303</v>
      </c>
      <c r="E19" s="8" t="s">
        <v>304</v>
      </c>
      <c r="F19" s="8" t="s">
        <v>305</v>
      </c>
    </row>
    <row r="20" spans="1:6" x14ac:dyDescent="0.15">
      <c r="A20" s="8" t="s">
        <v>306</v>
      </c>
      <c r="B20" s="8" t="s">
        <v>264</v>
      </c>
      <c r="C20" s="8" t="str">
        <f t="shared" si="0"/>
        <v>att_aa:serine</v>
      </c>
      <c r="D20" s="8" t="s">
        <v>306</v>
      </c>
      <c r="E20" s="8" t="s">
        <v>307</v>
      </c>
      <c r="F20" s="8" t="s">
        <v>308</v>
      </c>
    </row>
    <row r="21" spans="1:6" x14ac:dyDescent="0.15">
      <c r="A21" s="8" t="s">
        <v>309</v>
      </c>
      <c r="B21" s="8" t="s">
        <v>264</v>
      </c>
      <c r="C21" s="8" t="str">
        <f t="shared" si="0"/>
        <v>att_aa:threonine</v>
      </c>
      <c r="D21" s="8" t="s">
        <v>309</v>
      </c>
      <c r="E21" s="8" t="s">
        <v>310</v>
      </c>
      <c r="F21" s="8" t="s">
        <v>311</v>
      </c>
    </row>
    <row r="22" spans="1:6" x14ac:dyDescent="0.15">
      <c r="A22" s="8" t="s">
        <v>312</v>
      </c>
      <c r="B22" s="8" t="s">
        <v>264</v>
      </c>
      <c r="C22" s="8" t="str">
        <f t="shared" si="0"/>
        <v>att_aa:tryptophan</v>
      </c>
      <c r="D22" s="8" t="s">
        <v>312</v>
      </c>
      <c r="E22" s="8" t="s">
        <v>313</v>
      </c>
      <c r="F22" s="8" t="s">
        <v>314</v>
      </c>
    </row>
    <row r="23" spans="1:6" x14ac:dyDescent="0.15">
      <c r="A23" s="8" t="s">
        <v>315</v>
      </c>
      <c r="B23" s="8" t="s">
        <v>264</v>
      </c>
      <c r="C23" s="8" t="str">
        <f t="shared" si="0"/>
        <v>att_aa:tyrosine</v>
      </c>
      <c r="D23" s="8" t="s">
        <v>315</v>
      </c>
      <c r="E23" s="8" t="s">
        <v>316</v>
      </c>
      <c r="F23" s="8" t="s">
        <v>317</v>
      </c>
    </row>
    <row r="24" spans="1:6" x14ac:dyDescent="0.15">
      <c r="A24" s="8" t="s">
        <v>318</v>
      </c>
      <c r="B24" s="8" t="s">
        <v>264</v>
      </c>
      <c r="C24" s="8" t="str">
        <f t="shared" si="0"/>
        <v>att_aa:valine</v>
      </c>
      <c r="D24" s="8" t="s">
        <v>318</v>
      </c>
      <c r="E24" s="8" t="s">
        <v>319</v>
      </c>
      <c r="F24" s="8" t="s">
        <v>320</v>
      </c>
    </row>
    <row r="25" spans="1:6" x14ac:dyDescent="0.15">
      <c r="A25" s="8" t="s">
        <v>263</v>
      </c>
      <c r="B25" s="8" t="s">
        <v>16</v>
      </c>
      <c r="C25" s="8" t="str">
        <f t="shared" si="0"/>
        <v>att_aa_starvation:arginine</v>
      </c>
      <c r="D25" s="9" t="s">
        <v>17</v>
      </c>
      <c r="E25" s="8" t="s">
        <v>265</v>
      </c>
      <c r="F25" s="8" t="s">
        <v>266</v>
      </c>
    </row>
    <row r="26" spans="1:6" x14ac:dyDescent="0.15">
      <c r="A26" s="8" t="s">
        <v>267</v>
      </c>
      <c r="B26" s="8" t="s">
        <v>16</v>
      </c>
      <c r="C26" s="8" t="str">
        <f t="shared" si="0"/>
        <v>att_aa_starvation:asparagine</v>
      </c>
      <c r="D26" s="9" t="s">
        <v>17</v>
      </c>
      <c r="E26" s="8" t="s">
        <v>268</v>
      </c>
      <c r="F26" s="8" t="s">
        <v>269</v>
      </c>
    </row>
    <row r="27" spans="1:6" x14ac:dyDescent="0.15">
      <c r="A27" s="8" t="s">
        <v>270</v>
      </c>
      <c r="B27" s="8" t="s">
        <v>16</v>
      </c>
      <c r="C27" s="8" t="str">
        <f t="shared" si="0"/>
        <v>att_aa_starvation:asparticacid</v>
      </c>
      <c r="D27" s="9" t="s">
        <v>17</v>
      </c>
      <c r="E27" s="8" t="s">
        <v>271</v>
      </c>
      <c r="F27" s="8" t="s">
        <v>272</v>
      </c>
    </row>
    <row r="28" spans="1:6" x14ac:dyDescent="0.15">
      <c r="A28" s="8" t="s">
        <v>273</v>
      </c>
      <c r="B28" s="8" t="s">
        <v>16</v>
      </c>
      <c r="C28" s="8" t="str">
        <f t="shared" si="0"/>
        <v>att_aa_starvation:cysteine</v>
      </c>
      <c r="D28" s="9" t="s">
        <v>17</v>
      </c>
      <c r="E28" s="8" t="s">
        <v>274</v>
      </c>
      <c r="F28" s="8" t="s">
        <v>275</v>
      </c>
    </row>
    <row r="29" spans="1:6" x14ac:dyDescent="0.15">
      <c r="A29" s="8" t="s">
        <v>276</v>
      </c>
      <c r="B29" s="8" t="s">
        <v>16</v>
      </c>
      <c r="C29" s="8" t="str">
        <f t="shared" si="0"/>
        <v>att_aa_starvation:glutamicacid</v>
      </c>
      <c r="D29" s="9" t="s">
        <v>17</v>
      </c>
      <c r="E29" s="8" t="s">
        <v>277</v>
      </c>
      <c r="F29" s="8" t="s">
        <v>278</v>
      </c>
    </row>
    <row r="30" spans="1:6" x14ac:dyDescent="0.15">
      <c r="A30" s="8" t="s">
        <v>279</v>
      </c>
      <c r="B30" s="8" t="s">
        <v>16</v>
      </c>
      <c r="C30" s="8" t="str">
        <f t="shared" si="0"/>
        <v>att_aa_starvation:glutamine</v>
      </c>
      <c r="D30" s="9" t="s">
        <v>17</v>
      </c>
      <c r="E30" s="8" t="s">
        <v>280</v>
      </c>
      <c r="F30" s="8" t="s">
        <v>281</v>
      </c>
    </row>
    <row r="31" spans="1:6" x14ac:dyDescent="0.15">
      <c r="A31" s="8" t="s">
        <v>282</v>
      </c>
      <c r="B31" s="8" t="s">
        <v>16</v>
      </c>
      <c r="C31" s="8" t="str">
        <f t="shared" si="0"/>
        <v>att_aa_starvation:glycine</v>
      </c>
      <c r="D31" s="9" t="s">
        <v>17</v>
      </c>
      <c r="E31" s="8" t="s">
        <v>283</v>
      </c>
      <c r="F31" s="8" t="s">
        <v>284</v>
      </c>
    </row>
    <row r="32" spans="1:6" x14ac:dyDescent="0.15">
      <c r="A32" s="8" t="s">
        <v>285</v>
      </c>
      <c r="B32" s="8" t="s">
        <v>16</v>
      </c>
      <c r="C32" s="8" t="str">
        <f t="shared" si="0"/>
        <v>att_aa_starvation:histidine</v>
      </c>
      <c r="D32" s="9" t="s">
        <v>17</v>
      </c>
      <c r="E32" s="8" t="s">
        <v>286</v>
      </c>
      <c r="F32" s="8" t="s">
        <v>287</v>
      </c>
    </row>
    <row r="33" spans="1:6" x14ac:dyDescent="0.15">
      <c r="A33" s="8" t="s">
        <v>288</v>
      </c>
      <c r="B33" s="8" t="s">
        <v>16</v>
      </c>
      <c r="C33" s="8" t="str">
        <f t="shared" si="0"/>
        <v>att_aa_starvation:isoleucine</v>
      </c>
      <c r="D33" s="9" t="s">
        <v>17</v>
      </c>
      <c r="E33" s="8" t="s">
        <v>289</v>
      </c>
      <c r="F33" s="8" t="s">
        <v>290</v>
      </c>
    </row>
    <row r="34" spans="1:6" x14ac:dyDescent="0.15">
      <c r="A34" s="8" t="s">
        <v>291</v>
      </c>
      <c r="B34" s="8" t="s">
        <v>16</v>
      </c>
      <c r="C34" s="8" t="str">
        <f t="shared" si="0"/>
        <v>att_aa_starvation:leucine</v>
      </c>
      <c r="D34" s="9" t="s">
        <v>17</v>
      </c>
      <c r="E34" s="8" t="s">
        <v>292</v>
      </c>
      <c r="F34" s="8" t="s">
        <v>293</v>
      </c>
    </row>
    <row r="35" spans="1:6" x14ac:dyDescent="0.15">
      <c r="A35" s="8" t="s">
        <v>294</v>
      </c>
      <c r="B35" s="8" t="s">
        <v>16</v>
      </c>
      <c r="C35" s="8" t="str">
        <f t="shared" si="0"/>
        <v>att_aa_starvation:lysine</v>
      </c>
      <c r="D35" s="9" t="s">
        <v>17</v>
      </c>
      <c r="E35" s="8" t="s">
        <v>295</v>
      </c>
      <c r="F35" s="8" t="s">
        <v>296</v>
      </c>
    </row>
    <row r="36" spans="1:6" x14ac:dyDescent="0.15">
      <c r="A36" s="8" t="s">
        <v>297</v>
      </c>
      <c r="B36" s="8" t="s">
        <v>16</v>
      </c>
      <c r="C36" s="8" t="str">
        <f t="shared" si="0"/>
        <v>att_aa_starvation:methionine</v>
      </c>
      <c r="D36" s="9" t="s">
        <v>17</v>
      </c>
      <c r="E36" s="8" t="s">
        <v>298</v>
      </c>
      <c r="F36" s="8" t="s">
        <v>299</v>
      </c>
    </row>
    <row r="37" spans="1:6" x14ac:dyDescent="0.15">
      <c r="A37" s="8" t="s">
        <v>300</v>
      </c>
      <c r="B37" s="8" t="s">
        <v>16</v>
      </c>
      <c r="C37" s="8" t="str">
        <f t="shared" si="0"/>
        <v>att_aa_starvation:phenylalanine</v>
      </c>
      <c r="D37" s="9" t="s">
        <v>17</v>
      </c>
      <c r="E37" s="8" t="s">
        <v>301</v>
      </c>
      <c r="F37" s="8" t="s">
        <v>302</v>
      </c>
    </row>
    <row r="38" spans="1:6" x14ac:dyDescent="0.15">
      <c r="A38" s="8" t="s">
        <v>303</v>
      </c>
      <c r="B38" s="8" t="s">
        <v>16</v>
      </c>
      <c r="C38" s="8" t="str">
        <f t="shared" si="0"/>
        <v>att_aa_starvation:proline</v>
      </c>
      <c r="D38" s="9" t="s">
        <v>17</v>
      </c>
      <c r="E38" s="8" t="s">
        <v>304</v>
      </c>
      <c r="F38" s="8" t="s">
        <v>305</v>
      </c>
    </row>
    <row r="39" spans="1:6" x14ac:dyDescent="0.15">
      <c r="A39" s="8" t="s">
        <v>306</v>
      </c>
      <c r="B39" s="8" t="s">
        <v>16</v>
      </c>
      <c r="C39" s="8" t="str">
        <f t="shared" si="0"/>
        <v>att_aa_starvation:serine</v>
      </c>
      <c r="D39" s="9" t="s">
        <v>17</v>
      </c>
      <c r="E39" s="8" t="s">
        <v>307</v>
      </c>
      <c r="F39" s="8" t="s">
        <v>308</v>
      </c>
    </row>
    <row r="40" spans="1:6" x14ac:dyDescent="0.15">
      <c r="A40" s="8" t="s">
        <v>309</v>
      </c>
      <c r="B40" s="8" t="s">
        <v>16</v>
      </c>
      <c r="C40" s="8" t="str">
        <f t="shared" si="0"/>
        <v>att_aa_starvation:threonine</v>
      </c>
      <c r="D40" s="9" t="s">
        <v>17</v>
      </c>
      <c r="E40" s="8" t="s">
        <v>310</v>
      </c>
      <c r="F40" s="8" t="s">
        <v>311</v>
      </c>
    </row>
    <row r="41" spans="1:6" x14ac:dyDescent="0.15">
      <c r="A41" s="8" t="s">
        <v>312</v>
      </c>
      <c r="B41" s="8" t="s">
        <v>16</v>
      </c>
      <c r="C41" s="8" t="str">
        <f t="shared" si="0"/>
        <v>att_aa_starvation:tryptophan</v>
      </c>
      <c r="D41" s="9" t="s">
        <v>17</v>
      </c>
      <c r="E41" s="8" t="s">
        <v>313</v>
      </c>
      <c r="F41" s="8" t="s">
        <v>314</v>
      </c>
    </row>
    <row r="42" spans="1:6" x14ac:dyDescent="0.15">
      <c r="A42" s="8" t="s">
        <v>315</v>
      </c>
      <c r="B42" s="8" t="s">
        <v>16</v>
      </c>
      <c r="C42" s="8" t="str">
        <f t="shared" si="0"/>
        <v>att_aa_starvation:tyrosine</v>
      </c>
      <c r="D42" s="9" t="s">
        <v>17</v>
      </c>
      <c r="E42" s="8" t="s">
        <v>316</v>
      </c>
      <c r="F42" s="8" t="s">
        <v>317</v>
      </c>
    </row>
    <row r="43" spans="1:6" x14ac:dyDescent="0.15">
      <c r="A43" s="8" t="s">
        <v>318</v>
      </c>
      <c r="B43" s="8" t="s">
        <v>16</v>
      </c>
      <c r="C43" s="8" t="str">
        <f t="shared" si="0"/>
        <v>att_aa_starvation:valine</v>
      </c>
      <c r="D43" s="9" t="s">
        <v>17</v>
      </c>
      <c r="E43" s="8" t="s">
        <v>319</v>
      </c>
      <c r="F43" s="8" t="s">
        <v>320</v>
      </c>
    </row>
    <row r="44" spans="1:6" x14ac:dyDescent="0.15">
      <c r="A44" s="8" t="s">
        <v>336</v>
      </c>
      <c r="B44" s="8" t="s">
        <v>16</v>
      </c>
      <c r="C44" s="8" t="str">
        <f t="shared" ref="C44" si="1">B44&amp;":"&amp;A44</f>
        <v>att_aa_starvation:none</v>
      </c>
      <c r="D44" s="9" t="s">
        <v>17</v>
      </c>
      <c r="E44" s="8" t="s">
        <v>3091</v>
      </c>
      <c r="F44" s="8" t="s">
        <v>3092</v>
      </c>
    </row>
    <row r="45" spans="1:6" x14ac:dyDescent="0.15">
      <c r="A45" s="8" t="s">
        <v>321</v>
      </c>
      <c r="B45" s="8" t="s">
        <v>22</v>
      </c>
      <c r="C45" s="8" t="str">
        <f t="shared" si="0"/>
        <v>att_acquisition:dda</v>
      </c>
      <c r="D45" s="8" t="s">
        <v>321</v>
      </c>
      <c r="E45" s="8" t="s">
        <v>322</v>
      </c>
      <c r="F45" s="8" t="s">
        <v>323</v>
      </c>
    </row>
    <row r="46" spans="1:6" x14ac:dyDescent="0.15">
      <c r="A46" s="8" t="s">
        <v>324</v>
      </c>
      <c r="B46" s="8" t="s">
        <v>22</v>
      </c>
      <c r="C46" s="8" t="str">
        <f t="shared" si="0"/>
        <v>att_acquisition:dia</v>
      </c>
      <c r="D46" s="8" t="s">
        <v>324</v>
      </c>
      <c r="E46" s="8" t="s">
        <v>325</v>
      </c>
      <c r="F46" s="8" t="s">
        <v>326</v>
      </c>
    </row>
    <row r="47" spans="1:6" x14ac:dyDescent="0.15">
      <c r="A47" s="8" t="s">
        <v>327</v>
      </c>
      <c r="B47" s="8" t="s">
        <v>22</v>
      </c>
      <c r="C47" s="8" t="str">
        <f t="shared" si="0"/>
        <v>att_acquisition:srm</v>
      </c>
      <c r="D47" s="8" t="s">
        <v>327</v>
      </c>
      <c r="E47" s="8" t="s">
        <v>328</v>
      </c>
      <c r="F47" s="8" t="s">
        <v>329</v>
      </c>
    </row>
    <row r="48" spans="1:6" x14ac:dyDescent="0.15">
      <c r="A48" s="8" t="s">
        <v>330</v>
      </c>
      <c r="B48" s="8" t="s">
        <v>26</v>
      </c>
      <c r="C48" s="8" t="str">
        <f t="shared" si="0"/>
        <v>att_alkylation:caa</v>
      </c>
      <c r="D48" s="9" t="s">
        <v>17</v>
      </c>
      <c r="E48" s="8" t="s">
        <v>331</v>
      </c>
      <c r="F48" s="8" t="s">
        <v>332</v>
      </c>
    </row>
    <row r="49" spans="1:6" x14ac:dyDescent="0.15">
      <c r="A49" s="8" t="s">
        <v>333</v>
      </c>
      <c r="B49" s="8" t="s">
        <v>26</v>
      </c>
      <c r="C49" s="8" t="str">
        <f t="shared" si="0"/>
        <v>att_alkylation:iaa</v>
      </c>
      <c r="D49" s="9" t="s">
        <v>17</v>
      </c>
      <c r="E49" s="8" t="s">
        <v>334</v>
      </c>
      <c r="F49" s="8" t="s">
        <v>335</v>
      </c>
    </row>
    <row r="50" spans="1:6" x14ac:dyDescent="0.15">
      <c r="A50" s="8" t="s">
        <v>336</v>
      </c>
      <c r="B50" s="8" t="s">
        <v>26</v>
      </c>
      <c r="C50" s="8" t="str">
        <f t="shared" si="0"/>
        <v>att_alkylation:none</v>
      </c>
      <c r="D50" s="9" t="s">
        <v>17</v>
      </c>
      <c r="E50" s="8" t="s">
        <v>337</v>
      </c>
      <c r="F50" s="8" t="s">
        <v>338</v>
      </c>
    </row>
    <row r="51" spans="1:6" x14ac:dyDescent="0.15">
      <c r="A51" s="8" t="s">
        <v>339</v>
      </c>
      <c r="B51" s="8" t="s">
        <v>30</v>
      </c>
      <c r="C51" s="8" t="str">
        <f t="shared" si="0"/>
        <v>att_analysis_mode:directdia</v>
      </c>
      <c r="D51" s="9" t="s">
        <v>17</v>
      </c>
      <c r="E51" s="8" t="s">
        <v>340</v>
      </c>
      <c r="F51" s="8" t="s">
        <v>341</v>
      </c>
    </row>
    <row r="52" spans="1:6" x14ac:dyDescent="0.15">
      <c r="A52" s="8" t="s">
        <v>342</v>
      </c>
      <c r="B52" s="8" t="s">
        <v>30</v>
      </c>
      <c r="C52" s="8" t="str">
        <f t="shared" si="0"/>
        <v>att_analysis_mode:libdia</v>
      </c>
      <c r="D52" s="9" t="s">
        <v>17</v>
      </c>
      <c r="E52" s="8" t="s">
        <v>343</v>
      </c>
      <c r="F52" s="8" t="s">
        <v>344</v>
      </c>
    </row>
    <row r="53" spans="1:6" x14ac:dyDescent="0.15">
      <c r="A53" s="8" t="s">
        <v>345</v>
      </c>
      <c r="B53" s="8" t="s">
        <v>346</v>
      </c>
      <c r="C53" s="8" t="str">
        <f t="shared" si="0"/>
        <v>att_animal_model:adipoq_cre</v>
      </c>
      <c r="D53" s="9" t="s">
        <v>17</v>
      </c>
      <c r="E53" s="8" t="s">
        <v>347</v>
      </c>
      <c r="F53" s="8" t="s">
        <v>348</v>
      </c>
    </row>
    <row r="54" spans="1:6" x14ac:dyDescent="0.15">
      <c r="A54" s="8" t="s">
        <v>349</v>
      </c>
      <c r="B54" s="8" t="s">
        <v>346</v>
      </c>
      <c r="C54" s="8" t="str">
        <f t="shared" si="0"/>
        <v>att_animal_model:alb_cre</v>
      </c>
      <c r="D54" s="9" t="s">
        <v>17</v>
      </c>
      <c r="E54" s="8" t="s">
        <v>350</v>
      </c>
      <c r="F54" s="8" t="s">
        <v>351</v>
      </c>
    </row>
    <row r="55" spans="1:6" x14ac:dyDescent="0.15">
      <c r="A55" s="8" t="s">
        <v>352</v>
      </c>
      <c r="B55" s="8" t="s">
        <v>346</v>
      </c>
      <c r="C55" s="8" t="str">
        <f t="shared" si="0"/>
        <v>att_animal_model:asc_ko</v>
      </c>
      <c r="D55" s="9" t="s">
        <v>17</v>
      </c>
      <c r="E55" s="8" t="s">
        <v>353</v>
      </c>
      <c r="F55" s="8" t="s">
        <v>353</v>
      </c>
    </row>
    <row r="56" spans="1:6" x14ac:dyDescent="0.15">
      <c r="A56" s="8" t="s">
        <v>354</v>
      </c>
      <c r="B56" s="8" t="s">
        <v>346</v>
      </c>
      <c r="C56" s="8" t="str">
        <f t="shared" si="0"/>
        <v>att_animal_model:baf53b_cre</v>
      </c>
      <c r="D56" s="9" t="s">
        <v>17</v>
      </c>
      <c r="E56" s="8" t="s">
        <v>355</v>
      </c>
      <c r="F56" s="8" t="s">
        <v>356</v>
      </c>
    </row>
    <row r="57" spans="1:6" x14ac:dyDescent="0.15">
      <c r="A57" s="8" t="s">
        <v>357</v>
      </c>
      <c r="B57" s="8" t="s">
        <v>346</v>
      </c>
      <c r="C57" s="8" t="str">
        <f t="shared" si="0"/>
        <v>att_animal_model:c57_bl6j</v>
      </c>
      <c r="D57" s="9" t="s">
        <v>17</v>
      </c>
      <c r="E57" s="8" t="s">
        <v>358</v>
      </c>
      <c r="F57" s="8" t="s">
        <v>358</v>
      </c>
    </row>
    <row r="58" spans="1:6" x14ac:dyDescent="0.15">
      <c r="A58" s="8" t="s">
        <v>359</v>
      </c>
      <c r="B58" s="8" t="s">
        <v>346</v>
      </c>
      <c r="C58" s="8" t="str">
        <f t="shared" si="0"/>
        <v>att_animal_model:clec4f_cre</v>
      </c>
      <c r="D58" s="9" t="s">
        <v>17</v>
      </c>
      <c r="E58" s="8" t="s">
        <v>360</v>
      </c>
      <c r="F58" s="8" t="s">
        <v>361</v>
      </c>
    </row>
    <row r="59" spans="1:6" x14ac:dyDescent="0.15">
      <c r="A59" s="8" t="s">
        <v>362</v>
      </c>
      <c r="B59" s="8" t="s">
        <v>346</v>
      </c>
      <c r="C59" s="8" t="str">
        <f t="shared" si="0"/>
        <v>att_animal_model:cx3cr1_cre</v>
      </c>
      <c r="D59" s="9" t="s">
        <v>17</v>
      </c>
      <c r="E59" s="8" t="s">
        <v>363</v>
      </c>
      <c r="F59" s="8" t="s">
        <v>364</v>
      </c>
    </row>
    <row r="60" spans="1:6" x14ac:dyDescent="0.15">
      <c r="A60" s="8" t="s">
        <v>365</v>
      </c>
      <c r="B60" s="8" t="s">
        <v>346</v>
      </c>
      <c r="C60" s="8" t="str">
        <f t="shared" si="0"/>
        <v>att_animal_model:cxcr4creert2</v>
      </c>
      <c r="D60" s="9" t="s">
        <v>17</v>
      </c>
      <c r="E60" s="8" t="s">
        <v>366</v>
      </c>
      <c r="F60" s="8" t="s">
        <v>366</v>
      </c>
    </row>
    <row r="61" spans="1:6" x14ac:dyDescent="0.15">
      <c r="A61" s="8" t="s">
        <v>367</v>
      </c>
      <c r="B61" s="8" t="s">
        <v>346</v>
      </c>
      <c r="C61" s="8" t="str">
        <f t="shared" si="0"/>
        <v>att_animal_model:glast_cre</v>
      </c>
      <c r="D61" s="9" t="s">
        <v>17</v>
      </c>
      <c r="E61" s="8" t="s">
        <v>368</v>
      </c>
      <c r="F61" s="8" t="s">
        <v>369</v>
      </c>
    </row>
    <row r="62" spans="1:6" x14ac:dyDescent="0.15">
      <c r="A62" s="8" t="s">
        <v>370</v>
      </c>
      <c r="B62" s="8" t="s">
        <v>346</v>
      </c>
      <c r="C62" s="8" t="str">
        <f t="shared" si="0"/>
        <v>att_animal_model:lrat_cre</v>
      </c>
      <c r="D62" s="9" t="s">
        <v>17</v>
      </c>
      <c r="E62" s="8" t="s">
        <v>371</v>
      </c>
      <c r="F62" s="8" t="s">
        <v>372</v>
      </c>
    </row>
    <row r="63" spans="1:6" x14ac:dyDescent="0.15">
      <c r="A63" s="8" t="s">
        <v>373</v>
      </c>
      <c r="B63" s="8" t="s">
        <v>346</v>
      </c>
      <c r="C63" s="8" t="str">
        <f t="shared" si="0"/>
        <v>att_animal_model:lysm_cre</v>
      </c>
      <c r="D63" s="9" t="s">
        <v>17</v>
      </c>
      <c r="E63" s="8" t="s">
        <v>374</v>
      </c>
      <c r="F63" s="8" t="s">
        <v>375</v>
      </c>
    </row>
    <row r="64" spans="1:6" x14ac:dyDescent="0.15">
      <c r="A64" s="8" t="s">
        <v>376</v>
      </c>
      <c r="B64" s="8" t="s">
        <v>346</v>
      </c>
      <c r="C64" s="8" t="str">
        <f t="shared" si="0"/>
        <v>att_animal_model:ms4a3_cre</v>
      </c>
      <c r="D64" s="9" t="s">
        <v>17</v>
      </c>
      <c r="E64" s="8" t="s">
        <v>377</v>
      </c>
      <c r="F64" s="8" t="s">
        <v>378</v>
      </c>
    </row>
    <row r="65" spans="1:6" x14ac:dyDescent="0.15">
      <c r="A65" s="8" t="s">
        <v>379</v>
      </c>
      <c r="B65" s="8" t="s">
        <v>346</v>
      </c>
      <c r="C65" s="8" t="str">
        <f t="shared" si="0"/>
        <v>att_animal_model:mt_nlrp3_cre</v>
      </c>
      <c r="D65" s="9" t="s">
        <v>17</v>
      </c>
      <c r="E65" s="8" t="s">
        <v>380</v>
      </c>
      <c r="F65" s="8" t="s">
        <v>381</v>
      </c>
    </row>
    <row r="66" spans="1:6" x14ac:dyDescent="0.15">
      <c r="A66" s="8" t="s">
        <v>382</v>
      </c>
      <c r="B66" s="8" t="s">
        <v>346</v>
      </c>
      <c r="C66" s="8" t="str">
        <f t="shared" si="0"/>
        <v>att_animal_model:nlrp3_flox</v>
      </c>
      <c r="D66" s="9" t="s">
        <v>17</v>
      </c>
      <c r="E66" s="8" t="s">
        <v>383</v>
      </c>
      <c r="F66" s="8" t="s">
        <v>383</v>
      </c>
    </row>
    <row r="67" spans="1:6" x14ac:dyDescent="0.15">
      <c r="A67" s="8" t="s">
        <v>384</v>
      </c>
      <c r="B67" s="8" t="s">
        <v>346</v>
      </c>
      <c r="C67" s="8" t="str">
        <f t="shared" ref="C67:C131" si="2">B67&amp;":"&amp;A67</f>
        <v>att_animal_model:nlrp3_ko</v>
      </c>
      <c r="D67" s="9" t="s">
        <v>17</v>
      </c>
      <c r="E67" s="8" t="s">
        <v>385</v>
      </c>
      <c r="F67" s="8" t="s">
        <v>385</v>
      </c>
    </row>
    <row r="68" spans="1:6" x14ac:dyDescent="0.15">
      <c r="A68" s="8" t="s">
        <v>386</v>
      </c>
      <c r="B68" s="8" t="s">
        <v>346</v>
      </c>
      <c r="C68" s="8" t="str">
        <f t="shared" si="2"/>
        <v>att_animal_model:oaf</v>
      </c>
      <c r="D68" s="9" t="s">
        <v>17</v>
      </c>
      <c r="E68" s="8" t="s">
        <v>387</v>
      </c>
      <c r="F68" s="8" t="s">
        <v>387</v>
      </c>
    </row>
    <row r="69" spans="1:6" x14ac:dyDescent="0.15">
      <c r="A69" s="8" t="s">
        <v>388</v>
      </c>
      <c r="B69" s="8" t="s">
        <v>346</v>
      </c>
      <c r="C69" s="8" t="str">
        <f t="shared" si="2"/>
        <v>att_animal_model:r26_ert2cre</v>
      </c>
      <c r="D69" s="9" t="s">
        <v>17</v>
      </c>
      <c r="E69" s="8" t="s">
        <v>389</v>
      </c>
      <c r="F69" s="8" t="s">
        <v>390</v>
      </c>
    </row>
    <row r="70" spans="1:6" x14ac:dyDescent="0.15">
      <c r="A70" s="8" t="s">
        <v>391</v>
      </c>
      <c r="B70" s="8" t="s">
        <v>346</v>
      </c>
      <c r="C70" s="8" t="str">
        <f t="shared" si="2"/>
        <v>att_animal_model:r26_metrs_flox</v>
      </c>
      <c r="D70" s="9" t="s">
        <v>17</v>
      </c>
      <c r="E70" s="9" t="s">
        <v>392</v>
      </c>
      <c r="F70" s="8" t="s">
        <v>393</v>
      </c>
    </row>
    <row r="71" spans="1:6" x14ac:dyDescent="0.15">
      <c r="A71" s="8" t="s">
        <v>394</v>
      </c>
      <c r="B71" s="8" t="s">
        <v>346</v>
      </c>
      <c r="C71" s="8" t="str">
        <f t="shared" si="2"/>
        <v>att_animal_model:r26_nlrp3_flox</v>
      </c>
      <c r="D71" s="9" t="s">
        <v>17</v>
      </c>
      <c r="E71" s="8" t="s">
        <v>395</v>
      </c>
      <c r="F71" s="8" t="s">
        <v>395</v>
      </c>
    </row>
    <row r="72" spans="1:6" x14ac:dyDescent="0.15">
      <c r="A72" s="8" t="s">
        <v>396</v>
      </c>
      <c r="B72" s="8" t="s">
        <v>346</v>
      </c>
      <c r="C72" s="8" t="str">
        <f t="shared" si="2"/>
        <v>att_animal_model:ribotag_lox</v>
      </c>
      <c r="D72" s="9" t="s">
        <v>17</v>
      </c>
      <c r="E72" s="8" t="s">
        <v>397</v>
      </c>
      <c r="F72" s="9" t="s">
        <v>17</v>
      </c>
    </row>
    <row r="73" spans="1:6" x14ac:dyDescent="0.15">
      <c r="A73" s="8" t="s">
        <v>398</v>
      </c>
      <c r="B73" s="8" t="s">
        <v>346</v>
      </c>
      <c r="C73" s="8" t="str">
        <f t="shared" si="2"/>
        <v>att_animal_model:sox10_cre</v>
      </c>
      <c r="D73" s="9" t="s">
        <v>17</v>
      </c>
      <c r="E73" s="8" t="s">
        <v>399</v>
      </c>
      <c r="F73" s="8" t="s">
        <v>400</v>
      </c>
    </row>
    <row r="74" spans="1:6" x14ac:dyDescent="0.15">
      <c r="A74" s="8" t="s">
        <v>401</v>
      </c>
      <c r="B74" s="8" t="s">
        <v>346</v>
      </c>
      <c r="C74" s="8" t="str">
        <f t="shared" si="2"/>
        <v>att_animal_model:ucp1_cre</v>
      </c>
      <c r="D74" s="9" t="s">
        <v>17</v>
      </c>
      <c r="E74" s="8" t="s">
        <v>402</v>
      </c>
      <c r="F74" s="8" t="s">
        <v>403</v>
      </c>
    </row>
    <row r="75" spans="1:6" x14ac:dyDescent="0.15">
      <c r="A75" s="8" t="s">
        <v>404</v>
      </c>
      <c r="B75" s="8" t="s">
        <v>346</v>
      </c>
      <c r="C75" s="8" t="str">
        <f t="shared" si="2"/>
        <v>att_animal_model:vil_cre</v>
      </c>
      <c r="D75" s="9" t="s">
        <v>17</v>
      </c>
      <c r="E75" s="8" t="s">
        <v>405</v>
      </c>
      <c r="F75" s="8" t="s">
        <v>406</v>
      </c>
    </row>
    <row r="76" spans="1:6" x14ac:dyDescent="0.15">
      <c r="A76" s="8" t="s">
        <v>407</v>
      </c>
      <c r="B76" s="8" t="s">
        <v>40</v>
      </c>
      <c r="C76" s="8" t="str">
        <f t="shared" si="2"/>
        <v>att_cell:adipose_macrophages</v>
      </c>
      <c r="D76" s="8" t="s">
        <v>408</v>
      </c>
      <c r="E76" s="8" t="s">
        <v>409</v>
      </c>
      <c r="F76" s="8" t="s">
        <v>410</v>
      </c>
    </row>
    <row r="77" spans="1:6" x14ac:dyDescent="0.15">
      <c r="A77" s="8" t="s">
        <v>411</v>
      </c>
      <c r="B77" s="8" t="s">
        <v>40</v>
      </c>
      <c r="C77" s="8" t="str">
        <f t="shared" si="2"/>
        <v>att_cell:astrocytes</v>
      </c>
      <c r="D77" s="8" t="s">
        <v>411</v>
      </c>
      <c r="E77" s="8" t="s">
        <v>369</v>
      </c>
      <c r="F77" s="8" t="s">
        <v>369</v>
      </c>
    </row>
    <row r="78" spans="1:6" x14ac:dyDescent="0.15">
      <c r="A78" s="8" t="s">
        <v>412</v>
      </c>
      <c r="B78" s="8" t="s">
        <v>40</v>
      </c>
      <c r="C78" s="8" t="str">
        <f t="shared" si="2"/>
        <v>att_cell:basophils</v>
      </c>
      <c r="D78" s="8" t="s">
        <v>412</v>
      </c>
      <c r="E78" s="8" t="s">
        <v>413</v>
      </c>
      <c r="F78" s="8" t="s">
        <v>414</v>
      </c>
    </row>
    <row r="79" spans="1:6" x14ac:dyDescent="0.15">
      <c r="A79" s="8" t="s">
        <v>415</v>
      </c>
      <c r="B79" s="8" t="s">
        <v>40</v>
      </c>
      <c r="C79" s="8" t="str">
        <f t="shared" si="2"/>
        <v>att_cell:bcells</v>
      </c>
      <c r="D79" s="8" t="s">
        <v>415</v>
      </c>
      <c r="E79" s="8" t="s">
        <v>416</v>
      </c>
      <c r="F79" s="8" t="s">
        <v>416</v>
      </c>
    </row>
    <row r="80" spans="1:6" x14ac:dyDescent="0.15">
      <c r="A80" s="8" t="s">
        <v>417</v>
      </c>
      <c r="B80" s="8" t="s">
        <v>40</v>
      </c>
      <c r="C80" s="8" t="str">
        <f t="shared" si="2"/>
        <v>att_cell:cytotoxict</v>
      </c>
      <c r="D80" s="8" t="s">
        <v>417</v>
      </c>
      <c r="E80" s="8" t="s">
        <v>418</v>
      </c>
      <c r="F80" s="8" t="s">
        <v>419</v>
      </c>
    </row>
    <row r="81" spans="1:6" x14ac:dyDescent="0.15">
      <c r="A81" s="8" t="s">
        <v>420</v>
      </c>
      <c r="B81" s="8" t="s">
        <v>40</v>
      </c>
      <c r="C81" s="8" t="str">
        <f t="shared" si="2"/>
        <v>att_cell:endothelial</v>
      </c>
      <c r="D81" s="8" t="s">
        <v>420</v>
      </c>
      <c r="E81" s="8" t="s">
        <v>421</v>
      </c>
      <c r="F81" s="8" t="s">
        <v>422</v>
      </c>
    </row>
    <row r="82" spans="1:6" x14ac:dyDescent="0.15">
      <c r="A82" s="8" t="s">
        <v>423</v>
      </c>
      <c r="B82" s="8" t="s">
        <v>40</v>
      </c>
      <c r="C82" s="8" t="str">
        <f t="shared" si="2"/>
        <v>att_cell:eosinophils</v>
      </c>
      <c r="D82" s="8" t="s">
        <v>423</v>
      </c>
      <c r="E82" s="8" t="s">
        <v>424</v>
      </c>
      <c r="F82" s="8" t="s">
        <v>425</v>
      </c>
    </row>
    <row r="83" spans="1:6" x14ac:dyDescent="0.15">
      <c r="A83" s="8" t="s">
        <v>426</v>
      </c>
      <c r="B83" s="8" t="s">
        <v>40</v>
      </c>
      <c r="C83" s="8" t="str">
        <f t="shared" si="2"/>
        <v>att_cell:epithelioid</v>
      </c>
      <c r="D83" s="8" t="s">
        <v>426</v>
      </c>
      <c r="E83" s="8" t="s">
        <v>427</v>
      </c>
      <c r="F83" s="8" t="s">
        <v>428</v>
      </c>
    </row>
    <row r="84" spans="1:6" x14ac:dyDescent="0.15">
      <c r="A84" s="8" t="s">
        <v>429</v>
      </c>
      <c r="B84" s="8" t="s">
        <v>40</v>
      </c>
      <c r="C84" s="8" t="str">
        <f t="shared" si="2"/>
        <v>att_cell:erythrocytes</v>
      </c>
      <c r="D84" s="8" t="s">
        <v>429</v>
      </c>
      <c r="E84" s="8" t="s">
        <v>430</v>
      </c>
      <c r="F84" s="8" t="s">
        <v>431</v>
      </c>
    </row>
    <row r="85" spans="1:6" x14ac:dyDescent="0.15">
      <c r="A85" s="8" t="s">
        <v>432</v>
      </c>
      <c r="B85" s="8" t="s">
        <v>40</v>
      </c>
      <c r="C85" s="8" t="str">
        <f t="shared" si="2"/>
        <v>att_cell:gammadeltat</v>
      </c>
      <c r="D85" s="8" t="s">
        <v>432</v>
      </c>
      <c r="E85" s="8" t="s">
        <v>433</v>
      </c>
      <c r="F85" s="8" t="s">
        <v>434</v>
      </c>
    </row>
    <row r="86" spans="1:6" x14ac:dyDescent="0.15">
      <c r="A86" s="8" t="s">
        <v>435</v>
      </c>
      <c r="B86" s="8" t="s">
        <v>40</v>
      </c>
      <c r="C86" s="8" t="str">
        <f t="shared" si="2"/>
        <v>att_cell:hofbauer</v>
      </c>
      <c r="D86" s="8" t="s">
        <v>435</v>
      </c>
      <c r="E86" s="8" t="s">
        <v>436</v>
      </c>
      <c r="F86" s="8" t="s">
        <v>437</v>
      </c>
    </row>
    <row r="87" spans="1:6" x14ac:dyDescent="0.15">
      <c r="A87" s="8" t="s">
        <v>438</v>
      </c>
      <c r="B87" s="8" t="s">
        <v>40</v>
      </c>
      <c r="C87" s="8" t="str">
        <f t="shared" si="2"/>
        <v>att_cell:keratinocytes</v>
      </c>
      <c r="D87" s="8" t="s">
        <v>438</v>
      </c>
      <c r="E87" s="8" t="s">
        <v>439</v>
      </c>
      <c r="F87" s="8" t="s">
        <v>440</v>
      </c>
    </row>
    <row r="88" spans="1:6" x14ac:dyDescent="0.15">
      <c r="A88" s="8" t="s">
        <v>441</v>
      </c>
      <c r="B88" s="8" t="s">
        <v>40</v>
      </c>
      <c r="C88" s="8" t="str">
        <f t="shared" si="2"/>
        <v>att_cell:kupffer</v>
      </c>
      <c r="D88" s="8" t="s">
        <v>441</v>
      </c>
      <c r="E88" s="8" t="s">
        <v>442</v>
      </c>
      <c r="F88" s="8" t="s">
        <v>443</v>
      </c>
    </row>
    <row r="89" spans="1:6" x14ac:dyDescent="0.15">
      <c r="A89" s="8" t="s">
        <v>444</v>
      </c>
      <c r="B89" s="8" t="s">
        <v>40</v>
      </c>
      <c r="C89" s="8" t="str">
        <f t="shared" si="2"/>
        <v>att_cell:langerhans</v>
      </c>
      <c r="D89" s="8" t="s">
        <v>444</v>
      </c>
      <c r="E89" s="8" t="s">
        <v>445</v>
      </c>
      <c r="F89" s="8" t="s">
        <v>446</v>
      </c>
    </row>
    <row r="90" spans="1:6" x14ac:dyDescent="0.15">
      <c r="A90" s="8" t="s">
        <v>447</v>
      </c>
      <c r="B90" s="8" t="s">
        <v>40</v>
      </c>
      <c r="C90" s="8" t="str">
        <f t="shared" si="2"/>
        <v>att_cell:leukocytes</v>
      </c>
      <c r="D90" s="8" t="s">
        <v>447</v>
      </c>
      <c r="E90" s="8" t="s">
        <v>448</v>
      </c>
      <c r="F90" s="8" t="s">
        <v>449</v>
      </c>
    </row>
    <row r="91" spans="1:6" x14ac:dyDescent="0.15">
      <c r="A91" s="8" t="s">
        <v>450</v>
      </c>
      <c r="B91" s="8" t="s">
        <v>40</v>
      </c>
      <c r="C91" s="8" t="str">
        <f t="shared" si="2"/>
        <v>att_cell:lymphocytes</v>
      </c>
      <c r="D91" s="8" t="s">
        <v>450</v>
      </c>
      <c r="E91" s="8" t="s">
        <v>451</v>
      </c>
      <c r="F91" s="8" t="s">
        <v>452</v>
      </c>
    </row>
    <row r="92" spans="1:6" x14ac:dyDescent="0.15">
      <c r="A92" s="8" t="s">
        <v>453</v>
      </c>
      <c r="B92" s="8" t="s">
        <v>40</v>
      </c>
      <c r="C92" s="8" t="str">
        <f t="shared" si="2"/>
        <v>att_cell:macrophage</v>
      </c>
      <c r="D92" s="8" t="s">
        <v>453</v>
      </c>
      <c r="E92" s="8" t="s">
        <v>454</v>
      </c>
      <c r="F92" s="8" t="s">
        <v>454</v>
      </c>
    </row>
    <row r="93" spans="1:6" x14ac:dyDescent="0.15">
      <c r="A93" s="8" t="s">
        <v>455</v>
      </c>
      <c r="B93" s="8" t="s">
        <v>40</v>
      </c>
      <c r="C93" s="8" t="str">
        <f t="shared" si="2"/>
        <v>att_cell:microglia</v>
      </c>
      <c r="D93" s="8" t="s">
        <v>455</v>
      </c>
      <c r="E93" s="8" t="s">
        <v>456</v>
      </c>
      <c r="F93" s="8" t="s">
        <v>457</v>
      </c>
    </row>
    <row r="94" spans="1:6" x14ac:dyDescent="0.15">
      <c r="A94" s="8" t="s">
        <v>458</v>
      </c>
      <c r="B94" s="8" t="s">
        <v>40</v>
      </c>
      <c r="C94" s="8" t="str">
        <f t="shared" si="2"/>
        <v>att_cell:monoblast</v>
      </c>
      <c r="D94" s="8" t="s">
        <v>458</v>
      </c>
      <c r="E94" s="8" t="s">
        <v>459</v>
      </c>
      <c r="F94" s="8" t="s">
        <v>459</v>
      </c>
    </row>
    <row r="95" spans="1:6" x14ac:dyDescent="0.15">
      <c r="A95" s="8" t="s">
        <v>460</v>
      </c>
      <c r="B95" s="8" t="s">
        <v>40</v>
      </c>
      <c r="C95" s="8" t="str">
        <f t="shared" si="2"/>
        <v>att_cell:monocytes</v>
      </c>
      <c r="D95" s="8" t="s">
        <v>460</v>
      </c>
      <c r="E95" s="8" t="s">
        <v>378</v>
      </c>
      <c r="F95" s="8" t="s">
        <v>461</v>
      </c>
    </row>
    <row r="96" spans="1:6" x14ac:dyDescent="0.15">
      <c r="A96" s="8" t="s">
        <v>462</v>
      </c>
      <c r="B96" s="8" t="s">
        <v>40</v>
      </c>
      <c r="C96" s="8" t="str">
        <f t="shared" si="2"/>
        <v>att_cell:neutrophils</v>
      </c>
      <c r="D96" s="8" t="s">
        <v>462</v>
      </c>
      <c r="E96" s="8" t="s">
        <v>463</v>
      </c>
      <c r="F96" s="8" t="s">
        <v>464</v>
      </c>
    </row>
    <row r="97" spans="1:6" x14ac:dyDescent="0.15">
      <c r="A97" s="8" t="s">
        <v>465</v>
      </c>
      <c r="B97" s="8" t="s">
        <v>40</v>
      </c>
      <c r="C97" s="8" t="str">
        <f t="shared" si="2"/>
        <v>att_cell:nk</v>
      </c>
      <c r="D97" s="8" t="s">
        <v>465</v>
      </c>
      <c r="E97" s="8" t="s">
        <v>466</v>
      </c>
      <c r="F97" s="8" t="s">
        <v>467</v>
      </c>
    </row>
    <row r="98" spans="1:6" x14ac:dyDescent="0.15">
      <c r="A98" s="8" t="s">
        <v>468</v>
      </c>
      <c r="B98" s="8" t="s">
        <v>40</v>
      </c>
      <c r="C98" s="8" t="str">
        <f t="shared" si="2"/>
        <v>att_cell:osteoblast</v>
      </c>
      <c r="D98" s="8" t="s">
        <v>468</v>
      </c>
      <c r="E98" s="8" t="s">
        <v>469</v>
      </c>
      <c r="F98" s="8" t="s">
        <v>470</v>
      </c>
    </row>
    <row r="99" spans="1:6" x14ac:dyDescent="0.15">
      <c r="A99" s="8" t="s">
        <v>471</v>
      </c>
      <c r="B99" s="8" t="s">
        <v>40</v>
      </c>
      <c r="C99" s="8" t="str">
        <f t="shared" si="2"/>
        <v>att_cell:osteoclast</v>
      </c>
      <c r="D99" s="8" t="s">
        <v>471</v>
      </c>
      <c r="E99" s="8" t="s">
        <v>472</v>
      </c>
      <c r="F99" s="8" t="s">
        <v>473</v>
      </c>
    </row>
    <row r="100" spans="1:6" x14ac:dyDescent="0.15">
      <c r="A100" s="8" t="s">
        <v>474</v>
      </c>
      <c r="B100" s="8" t="s">
        <v>40</v>
      </c>
      <c r="C100" s="8" t="str">
        <f t="shared" si="2"/>
        <v>att_cell:osteocytes</v>
      </c>
      <c r="D100" s="8" t="s">
        <v>474</v>
      </c>
      <c r="E100" s="8" t="s">
        <v>475</v>
      </c>
      <c r="F100" s="8" t="s">
        <v>476</v>
      </c>
    </row>
    <row r="101" spans="1:6" x14ac:dyDescent="0.15">
      <c r="A101" s="8" t="s">
        <v>477</v>
      </c>
      <c r="B101" s="8" t="s">
        <v>40</v>
      </c>
      <c r="C101" s="8" t="str">
        <f t="shared" si="2"/>
        <v>att_cell:osteogenic</v>
      </c>
      <c r="D101" s="8" t="s">
        <v>477</v>
      </c>
      <c r="E101" s="8" t="s">
        <v>478</v>
      </c>
      <c r="F101" s="8" t="s">
        <v>479</v>
      </c>
    </row>
    <row r="102" spans="1:6" x14ac:dyDescent="0.15">
      <c r="A102" s="8" t="s">
        <v>480</v>
      </c>
      <c r="B102" s="8" t="s">
        <v>40</v>
      </c>
      <c r="C102" s="8" t="str">
        <f t="shared" si="2"/>
        <v>att_cell:regt</v>
      </c>
      <c r="D102" s="8" t="s">
        <v>480</v>
      </c>
      <c r="E102" s="8" t="s">
        <v>481</v>
      </c>
      <c r="F102" s="8" t="s">
        <v>482</v>
      </c>
    </row>
    <row r="103" spans="1:6" x14ac:dyDescent="0.15">
      <c r="A103" s="8" t="s">
        <v>483</v>
      </c>
      <c r="B103" s="8" t="s">
        <v>40</v>
      </c>
      <c r="C103" s="8" t="str">
        <f t="shared" si="2"/>
        <v>att_cell:stemcells</v>
      </c>
      <c r="D103" s="8" t="s">
        <v>483</v>
      </c>
      <c r="E103" s="8" t="s">
        <v>484</v>
      </c>
      <c r="F103" s="8" t="s">
        <v>485</v>
      </c>
    </row>
    <row r="104" spans="1:6" x14ac:dyDescent="0.15">
      <c r="A104" s="8" t="s">
        <v>486</v>
      </c>
      <c r="B104" s="8" t="s">
        <v>40</v>
      </c>
      <c r="C104" s="8" t="str">
        <f t="shared" si="2"/>
        <v>att_cell:tcells</v>
      </c>
      <c r="D104" s="8" t="s">
        <v>486</v>
      </c>
      <c r="E104" s="8" t="s">
        <v>487</v>
      </c>
      <c r="F104" s="8" t="s">
        <v>487</v>
      </c>
    </row>
    <row r="105" spans="1:6" x14ac:dyDescent="0.15">
      <c r="A105" s="8" t="s">
        <v>488</v>
      </c>
      <c r="B105" s="8" t="s">
        <v>40</v>
      </c>
      <c r="C105" s="8" t="str">
        <f t="shared" si="2"/>
        <v>att_cell:thelper</v>
      </c>
      <c r="D105" s="8" t="s">
        <v>488</v>
      </c>
      <c r="E105" s="8" t="s">
        <v>489</v>
      </c>
      <c r="F105" s="8" t="s">
        <v>490</v>
      </c>
    </row>
    <row r="106" spans="1:6" x14ac:dyDescent="0.15">
      <c r="A106" s="8" t="s">
        <v>491</v>
      </c>
      <c r="B106" s="8" t="s">
        <v>40</v>
      </c>
      <c r="C106" s="8" t="str">
        <f t="shared" si="2"/>
        <v>att_cell:thrombocytes</v>
      </c>
      <c r="D106" s="8" t="s">
        <v>491</v>
      </c>
      <c r="E106" s="8" t="s">
        <v>492</v>
      </c>
      <c r="F106" s="8" t="s">
        <v>493</v>
      </c>
    </row>
    <row r="107" spans="1:6" x14ac:dyDescent="0.15">
      <c r="A107" s="8" t="s">
        <v>494</v>
      </c>
      <c r="B107" s="8" t="s">
        <v>43</v>
      </c>
      <c r="C107" s="8" t="str">
        <f t="shared" si="2"/>
        <v>att_cellline:786_0</v>
      </c>
      <c r="D107" s="8">
        <v>786</v>
      </c>
      <c r="E107" s="8" t="s">
        <v>495</v>
      </c>
      <c r="F107" s="8" t="s">
        <v>496</v>
      </c>
    </row>
    <row r="108" spans="1:6" x14ac:dyDescent="0.15">
      <c r="A108" s="8" t="s">
        <v>497</v>
      </c>
      <c r="B108" s="8" t="s">
        <v>43</v>
      </c>
      <c r="C108" s="8" t="str">
        <f t="shared" si="2"/>
        <v>att_cellline:a498</v>
      </c>
      <c r="D108" s="8" t="s">
        <v>497</v>
      </c>
      <c r="E108" s="8" t="s">
        <v>498</v>
      </c>
      <c r="F108" s="8" t="s">
        <v>496</v>
      </c>
    </row>
    <row r="109" spans="1:6" x14ac:dyDescent="0.15">
      <c r="A109" s="8" t="s">
        <v>499</v>
      </c>
      <c r="B109" s="8" t="s">
        <v>43</v>
      </c>
      <c r="C109" s="8" t="str">
        <f t="shared" si="2"/>
        <v>att_cellline:a549</v>
      </c>
      <c r="D109" s="8" t="s">
        <v>499</v>
      </c>
      <c r="E109" s="8" t="s">
        <v>500</v>
      </c>
      <c r="F109" s="8" t="s">
        <v>501</v>
      </c>
    </row>
    <row r="110" spans="1:6" x14ac:dyDescent="0.15">
      <c r="A110" s="8" t="s">
        <v>502</v>
      </c>
      <c r="B110" s="8" t="s">
        <v>43</v>
      </c>
      <c r="C110" s="8" t="str">
        <f t="shared" si="2"/>
        <v>att_cellline:achn</v>
      </c>
      <c r="D110" s="8" t="s">
        <v>502</v>
      </c>
      <c r="E110" s="8" t="s">
        <v>503</v>
      </c>
      <c r="F110" s="8" t="s">
        <v>496</v>
      </c>
    </row>
    <row r="111" spans="1:6" x14ac:dyDescent="0.15">
      <c r="A111" s="8" t="s">
        <v>504</v>
      </c>
      <c r="B111" s="8" t="s">
        <v>43</v>
      </c>
      <c r="C111" s="8" t="str">
        <f t="shared" si="2"/>
        <v>att_cellline:bmdc</v>
      </c>
      <c r="D111" s="8" t="s">
        <v>504</v>
      </c>
      <c r="E111" s="8" t="s">
        <v>505</v>
      </c>
      <c r="F111" s="8" t="s">
        <v>505</v>
      </c>
    </row>
    <row r="112" spans="1:6" x14ac:dyDescent="0.15">
      <c r="A112" s="8" t="s">
        <v>506</v>
      </c>
      <c r="B112" s="8" t="s">
        <v>43</v>
      </c>
      <c r="C112" s="8" t="str">
        <f t="shared" si="2"/>
        <v>att_cellline:bmm</v>
      </c>
      <c r="D112" s="8" t="s">
        <v>506</v>
      </c>
      <c r="E112" s="8" t="s">
        <v>507</v>
      </c>
      <c r="F112" s="8" t="s">
        <v>508</v>
      </c>
    </row>
    <row r="113" spans="1:6" x14ac:dyDescent="0.15">
      <c r="A113" s="8" t="s">
        <v>509</v>
      </c>
      <c r="B113" s="8" t="s">
        <v>43</v>
      </c>
      <c r="C113" s="8" t="str">
        <f t="shared" si="2"/>
        <v>att_cellline:bt549</v>
      </c>
      <c r="D113" s="8" t="s">
        <v>509</v>
      </c>
      <c r="E113" s="8" t="s">
        <v>510</v>
      </c>
      <c r="F113" s="8" t="s">
        <v>511</v>
      </c>
    </row>
    <row r="114" spans="1:6" x14ac:dyDescent="0.15">
      <c r="A114" s="8" t="s">
        <v>512</v>
      </c>
      <c r="B114" s="8" t="s">
        <v>43</v>
      </c>
      <c r="C114" s="8" t="str">
        <f t="shared" si="2"/>
        <v>att_cellline:caki1</v>
      </c>
      <c r="D114" s="8" t="s">
        <v>512</v>
      </c>
      <c r="E114" s="8" t="s">
        <v>513</v>
      </c>
      <c r="F114" s="8" t="s">
        <v>496</v>
      </c>
    </row>
    <row r="115" spans="1:6" x14ac:dyDescent="0.15">
      <c r="A115" s="8" t="s">
        <v>514</v>
      </c>
      <c r="B115" s="8" t="s">
        <v>43</v>
      </c>
      <c r="C115" s="8" t="str">
        <f t="shared" si="2"/>
        <v>att_cellline:cho</v>
      </c>
      <c r="D115" s="8" t="s">
        <v>514</v>
      </c>
      <c r="E115" s="8" t="s">
        <v>515</v>
      </c>
      <c r="F115" s="8" t="s">
        <v>516</v>
      </c>
    </row>
    <row r="116" spans="1:6" x14ac:dyDescent="0.15">
      <c r="A116" s="8" t="s">
        <v>517</v>
      </c>
      <c r="B116" s="8" t="s">
        <v>43</v>
      </c>
      <c r="C116" s="8" t="str">
        <f t="shared" si="2"/>
        <v>att_cellline:colo205</v>
      </c>
      <c r="D116" s="8" t="s">
        <v>517</v>
      </c>
      <c r="E116" s="8" t="s">
        <v>518</v>
      </c>
      <c r="F116" s="8" t="s">
        <v>519</v>
      </c>
    </row>
    <row r="117" spans="1:6" x14ac:dyDescent="0.15">
      <c r="A117" s="8" t="s">
        <v>520</v>
      </c>
      <c r="B117" s="8" t="s">
        <v>43</v>
      </c>
      <c r="C117" s="8" t="str">
        <f t="shared" si="2"/>
        <v>att_cellline:crfcem</v>
      </c>
      <c r="D117" s="8" t="s">
        <v>520</v>
      </c>
      <c r="E117" s="8" t="s">
        <v>521</v>
      </c>
      <c r="F117" s="8" t="s">
        <v>522</v>
      </c>
    </row>
    <row r="118" spans="1:6" x14ac:dyDescent="0.15">
      <c r="A118" s="8" t="s">
        <v>523</v>
      </c>
      <c r="B118" s="8" t="s">
        <v>43</v>
      </c>
      <c r="C118" s="8" t="str">
        <f t="shared" si="2"/>
        <v>att_cellline:du145</v>
      </c>
      <c r="D118" s="8" t="s">
        <v>523</v>
      </c>
      <c r="E118" s="8" t="s">
        <v>524</v>
      </c>
      <c r="F118" s="8" t="s">
        <v>525</v>
      </c>
    </row>
    <row r="119" spans="1:6" x14ac:dyDescent="0.15">
      <c r="A119" s="8" t="s">
        <v>526</v>
      </c>
      <c r="B119" s="8" t="s">
        <v>43</v>
      </c>
      <c r="C119" s="8" t="str">
        <f t="shared" si="2"/>
        <v>att_cellline:ekvx</v>
      </c>
      <c r="D119" s="8" t="s">
        <v>526</v>
      </c>
      <c r="E119" s="8" t="s">
        <v>527</v>
      </c>
      <c r="F119" s="8" t="s">
        <v>501</v>
      </c>
    </row>
    <row r="120" spans="1:6" x14ac:dyDescent="0.15">
      <c r="A120" s="8" t="s">
        <v>528</v>
      </c>
      <c r="B120" s="8" t="s">
        <v>43</v>
      </c>
      <c r="C120" s="8" t="str">
        <f t="shared" si="2"/>
        <v>att_cellline:hcc2998</v>
      </c>
      <c r="D120" s="8" t="s">
        <v>528</v>
      </c>
      <c r="E120" s="8" t="s">
        <v>529</v>
      </c>
      <c r="F120" s="8" t="s">
        <v>519</v>
      </c>
    </row>
    <row r="121" spans="1:6" x14ac:dyDescent="0.15">
      <c r="A121" s="8" t="s">
        <v>530</v>
      </c>
      <c r="B121" s="8" t="s">
        <v>43</v>
      </c>
      <c r="C121" s="8" t="str">
        <f t="shared" si="2"/>
        <v>att_cellline:hct116</v>
      </c>
      <c r="D121" s="8" t="s">
        <v>530</v>
      </c>
      <c r="E121" s="8" t="s">
        <v>531</v>
      </c>
      <c r="F121" s="8" t="s">
        <v>519</v>
      </c>
    </row>
    <row r="122" spans="1:6" x14ac:dyDescent="0.15">
      <c r="A122" s="8" t="s">
        <v>532</v>
      </c>
      <c r="B122" s="8" t="s">
        <v>43</v>
      </c>
      <c r="C122" s="8" t="str">
        <f t="shared" si="2"/>
        <v>att_cellline:hct15</v>
      </c>
      <c r="D122" s="8" t="s">
        <v>532</v>
      </c>
      <c r="E122" s="8" t="s">
        <v>533</v>
      </c>
      <c r="F122" s="8" t="s">
        <v>519</v>
      </c>
    </row>
    <row r="123" spans="1:6" x14ac:dyDescent="0.15">
      <c r="A123" s="8" t="s">
        <v>534</v>
      </c>
      <c r="B123" s="8" t="s">
        <v>43</v>
      </c>
      <c r="C123" s="8" t="str">
        <f t="shared" si="2"/>
        <v>att_cellline:hek293</v>
      </c>
      <c r="D123" s="8" t="s">
        <v>534</v>
      </c>
      <c r="E123" s="8" t="s">
        <v>535</v>
      </c>
      <c r="F123" s="8" t="s">
        <v>536</v>
      </c>
    </row>
    <row r="124" spans="1:6" x14ac:dyDescent="0.15">
      <c r="A124" s="8" t="s">
        <v>537</v>
      </c>
      <c r="B124" s="8" t="s">
        <v>43</v>
      </c>
      <c r="C124" s="8" t="str">
        <f t="shared" si="2"/>
        <v>att_cellline:hek293t</v>
      </c>
      <c r="D124" s="8" t="s">
        <v>537</v>
      </c>
      <c r="E124" s="8" t="s">
        <v>538</v>
      </c>
      <c r="F124" s="8" t="s">
        <v>539</v>
      </c>
    </row>
    <row r="125" spans="1:6" x14ac:dyDescent="0.15">
      <c r="A125" s="8" t="s">
        <v>540</v>
      </c>
      <c r="B125" s="8" t="s">
        <v>43</v>
      </c>
      <c r="C125" s="8" t="str">
        <f t="shared" si="2"/>
        <v>att_cellline:hela</v>
      </c>
      <c r="D125" s="8" t="s">
        <v>540</v>
      </c>
      <c r="E125" s="8" t="s">
        <v>541</v>
      </c>
      <c r="F125" s="8" t="s">
        <v>542</v>
      </c>
    </row>
    <row r="126" spans="1:6" x14ac:dyDescent="0.15">
      <c r="A126" s="8" t="s">
        <v>3248</v>
      </c>
      <c r="B126" s="8" t="s">
        <v>43</v>
      </c>
      <c r="C126" s="8" t="str">
        <f t="shared" si="2"/>
        <v>att_cellline:hepg2</v>
      </c>
      <c r="D126" s="8" t="s">
        <v>3248</v>
      </c>
      <c r="E126" s="8" t="s">
        <v>3250</v>
      </c>
      <c r="F126" s="8" t="s">
        <v>3249</v>
      </c>
    </row>
    <row r="127" spans="1:6" x14ac:dyDescent="0.15">
      <c r="A127" s="8" t="s">
        <v>543</v>
      </c>
      <c r="B127" s="8" t="s">
        <v>43</v>
      </c>
      <c r="C127" s="8" t="str">
        <f t="shared" si="2"/>
        <v>att_cellline:hl60</v>
      </c>
      <c r="D127" s="8" t="s">
        <v>543</v>
      </c>
      <c r="E127" s="8" t="s">
        <v>544</v>
      </c>
      <c r="F127" s="8" t="s">
        <v>522</v>
      </c>
    </row>
    <row r="128" spans="1:6" x14ac:dyDescent="0.15">
      <c r="A128" s="8" t="s">
        <v>545</v>
      </c>
      <c r="B128" s="8" t="s">
        <v>43</v>
      </c>
      <c r="C128" s="8" t="str">
        <f t="shared" si="2"/>
        <v>att_cellline:hop62</v>
      </c>
      <c r="D128" s="8" t="s">
        <v>545</v>
      </c>
      <c r="E128" s="8" t="s">
        <v>546</v>
      </c>
      <c r="F128" s="8" t="s">
        <v>501</v>
      </c>
    </row>
    <row r="129" spans="1:6" x14ac:dyDescent="0.15">
      <c r="A129" s="8" t="s">
        <v>547</v>
      </c>
      <c r="B129" s="8" t="s">
        <v>43</v>
      </c>
      <c r="C129" s="8" t="str">
        <f t="shared" si="2"/>
        <v>att_cellline:hop92</v>
      </c>
      <c r="D129" s="8" t="s">
        <v>547</v>
      </c>
      <c r="E129" s="8" t="s">
        <v>548</v>
      </c>
      <c r="F129" s="8" t="s">
        <v>501</v>
      </c>
    </row>
    <row r="130" spans="1:6" x14ac:dyDescent="0.15">
      <c r="A130" s="8" t="s">
        <v>549</v>
      </c>
      <c r="B130" s="8" t="s">
        <v>43</v>
      </c>
      <c r="C130" s="8" t="str">
        <f t="shared" si="2"/>
        <v>att_cellline:hs578t</v>
      </c>
      <c r="D130" s="8" t="s">
        <v>549</v>
      </c>
      <c r="E130" s="8" t="s">
        <v>550</v>
      </c>
      <c r="F130" s="8" t="s">
        <v>511</v>
      </c>
    </row>
    <row r="131" spans="1:6" x14ac:dyDescent="0.15">
      <c r="A131" s="8" t="s">
        <v>551</v>
      </c>
      <c r="B131" s="8" t="s">
        <v>43</v>
      </c>
      <c r="C131" s="8" t="str">
        <f t="shared" si="2"/>
        <v>att_cellline:ht29</v>
      </c>
      <c r="D131" s="8" t="s">
        <v>551</v>
      </c>
      <c r="E131" s="8" t="s">
        <v>552</v>
      </c>
      <c r="F131" s="8" t="s">
        <v>519</v>
      </c>
    </row>
    <row r="132" spans="1:6" x14ac:dyDescent="0.15">
      <c r="A132" s="8" t="s">
        <v>553</v>
      </c>
      <c r="B132" s="8" t="s">
        <v>43</v>
      </c>
      <c r="C132" s="8" t="str">
        <f t="shared" ref="C132:C197" si="3">B132&amp;":"&amp;A132</f>
        <v>att_cellline:igrov1</v>
      </c>
      <c r="D132" s="8" t="s">
        <v>553</v>
      </c>
      <c r="E132" s="8" t="s">
        <v>554</v>
      </c>
      <c r="F132" s="8" t="s">
        <v>555</v>
      </c>
    </row>
    <row r="133" spans="1:6" x14ac:dyDescent="0.15">
      <c r="A133" s="8" t="s">
        <v>556</v>
      </c>
      <c r="B133" s="8" t="s">
        <v>43</v>
      </c>
      <c r="C133" s="8" t="str">
        <f t="shared" si="3"/>
        <v>att_cellline:immmef</v>
      </c>
      <c r="D133" s="8" t="s">
        <v>556</v>
      </c>
      <c r="E133" s="8" t="s">
        <v>557</v>
      </c>
      <c r="F133" s="8" t="s">
        <v>558</v>
      </c>
    </row>
    <row r="134" spans="1:6" x14ac:dyDescent="0.15">
      <c r="A134" s="8" t="s">
        <v>559</v>
      </c>
      <c r="B134" s="8" t="s">
        <v>43</v>
      </c>
      <c r="C134" s="8" t="str">
        <f t="shared" si="3"/>
        <v>att_cellline:jeko1</v>
      </c>
      <c r="D134" s="8" t="s">
        <v>559</v>
      </c>
      <c r="E134" s="8" t="s">
        <v>560</v>
      </c>
      <c r="F134" s="8" t="s">
        <v>561</v>
      </c>
    </row>
    <row r="135" spans="1:6" x14ac:dyDescent="0.15">
      <c r="A135" s="8" t="s">
        <v>562</v>
      </c>
      <c r="B135" s="8" t="s">
        <v>43</v>
      </c>
      <c r="C135" s="8" t="str">
        <f t="shared" si="3"/>
        <v>att_cellline:jurkat</v>
      </c>
      <c r="D135" s="8" t="s">
        <v>562</v>
      </c>
      <c r="E135" s="8" t="s">
        <v>563</v>
      </c>
      <c r="F135" s="8" t="s">
        <v>564</v>
      </c>
    </row>
    <row r="136" spans="1:6" x14ac:dyDescent="0.15">
      <c r="A136" s="8" t="s">
        <v>565</v>
      </c>
      <c r="B136" s="8" t="s">
        <v>43</v>
      </c>
      <c r="C136" s="8" t="str">
        <f t="shared" si="3"/>
        <v>att_cellline:jvm13</v>
      </c>
      <c r="D136" s="8" t="s">
        <v>565</v>
      </c>
      <c r="E136" s="8" t="s">
        <v>566</v>
      </c>
      <c r="F136" s="8" t="s">
        <v>561</v>
      </c>
    </row>
    <row r="137" spans="1:6" x14ac:dyDescent="0.15">
      <c r="A137" s="8" t="s">
        <v>567</v>
      </c>
      <c r="B137" s="8" t="s">
        <v>43</v>
      </c>
      <c r="C137" s="8" t="str">
        <f t="shared" si="3"/>
        <v>att_cellline:jvm2</v>
      </c>
      <c r="D137" s="8" t="s">
        <v>567</v>
      </c>
      <c r="E137" s="8" t="s">
        <v>568</v>
      </c>
      <c r="F137" s="8" t="s">
        <v>561</v>
      </c>
    </row>
    <row r="138" spans="1:6" x14ac:dyDescent="0.15">
      <c r="A138" s="8" t="s">
        <v>569</v>
      </c>
      <c r="B138" s="8" t="s">
        <v>43</v>
      </c>
      <c r="C138" s="8" t="str">
        <f t="shared" si="3"/>
        <v>att_cellline:k562</v>
      </c>
      <c r="D138" s="8" t="s">
        <v>569</v>
      </c>
      <c r="E138" s="8" t="s">
        <v>570</v>
      </c>
      <c r="F138" s="8" t="s">
        <v>522</v>
      </c>
    </row>
    <row r="139" spans="1:6" x14ac:dyDescent="0.15">
      <c r="A139" s="8" t="s">
        <v>571</v>
      </c>
      <c r="B139" s="8" t="s">
        <v>43</v>
      </c>
      <c r="C139" s="8" t="str">
        <f t="shared" si="3"/>
        <v>att_cellline:km12</v>
      </c>
      <c r="D139" s="8" t="s">
        <v>571</v>
      </c>
      <c r="E139" s="8" t="s">
        <v>572</v>
      </c>
      <c r="F139" s="8" t="s">
        <v>519</v>
      </c>
    </row>
    <row r="140" spans="1:6" x14ac:dyDescent="0.15">
      <c r="A140" s="8" t="s">
        <v>573</v>
      </c>
      <c r="B140" s="8" t="s">
        <v>43</v>
      </c>
      <c r="C140" s="8" t="str">
        <f t="shared" si="3"/>
        <v>att_cellline:lox_imvi</v>
      </c>
      <c r="D140" s="8" t="s">
        <v>573</v>
      </c>
      <c r="E140" s="8" t="s">
        <v>574</v>
      </c>
      <c r="F140" s="8" t="s">
        <v>575</v>
      </c>
    </row>
    <row r="141" spans="1:6" x14ac:dyDescent="0.15">
      <c r="A141" s="8" t="s">
        <v>576</v>
      </c>
      <c r="B141" s="8" t="s">
        <v>43</v>
      </c>
      <c r="C141" s="8" t="str">
        <f t="shared" si="3"/>
        <v>att_cellline:m14</v>
      </c>
      <c r="D141" s="8" t="s">
        <v>576</v>
      </c>
      <c r="E141" s="8" t="s">
        <v>577</v>
      </c>
      <c r="F141" s="8" t="s">
        <v>575</v>
      </c>
    </row>
    <row r="142" spans="1:6" x14ac:dyDescent="0.15">
      <c r="A142" s="8" t="s">
        <v>578</v>
      </c>
      <c r="B142" s="8" t="s">
        <v>43</v>
      </c>
      <c r="C142" s="8" t="str">
        <f t="shared" si="3"/>
        <v>att_cellline:malme3m</v>
      </c>
      <c r="D142" s="8" t="s">
        <v>578</v>
      </c>
      <c r="E142" s="8" t="s">
        <v>579</v>
      </c>
      <c r="F142" s="8" t="s">
        <v>575</v>
      </c>
    </row>
    <row r="143" spans="1:6" x14ac:dyDescent="0.15">
      <c r="A143" s="8" t="s">
        <v>580</v>
      </c>
      <c r="B143" s="8" t="s">
        <v>43</v>
      </c>
      <c r="C143" s="8" t="str">
        <f t="shared" si="3"/>
        <v>att_cellline:maver1</v>
      </c>
      <c r="D143" s="8" t="s">
        <v>580</v>
      </c>
      <c r="E143" s="8" t="s">
        <v>581</v>
      </c>
      <c r="F143" s="8" t="s">
        <v>561</v>
      </c>
    </row>
    <row r="144" spans="1:6" x14ac:dyDescent="0.15">
      <c r="A144" s="8" t="s">
        <v>582</v>
      </c>
      <c r="B144" s="8" t="s">
        <v>43</v>
      </c>
      <c r="C144" s="8" t="str">
        <f t="shared" si="3"/>
        <v>att_cellline:mcf7</v>
      </c>
      <c r="D144" s="8" t="s">
        <v>582</v>
      </c>
      <c r="E144" s="8" t="s">
        <v>583</v>
      </c>
      <c r="F144" s="8" t="s">
        <v>511</v>
      </c>
    </row>
    <row r="145" spans="1:6" x14ac:dyDescent="0.15">
      <c r="A145" s="8" t="s">
        <v>584</v>
      </c>
      <c r="B145" s="8" t="s">
        <v>43</v>
      </c>
      <c r="C145" s="8" t="str">
        <f t="shared" si="3"/>
        <v>att_cellline:mdamb231</v>
      </c>
      <c r="D145" s="8" t="s">
        <v>584</v>
      </c>
      <c r="E145" s="8" t="s">
        <v>585</v>
      </c>
      <c r="F145" s="8" t="s">
        <v>511</v>
      </c>
    </row>
    <row r="146" spans="1:6" x14ac:dyDescent="0.15">
      <c r="A146" s="8" t="s">
        <v>586</v>
      </c>
      <c r="B146" s="8" t="s">
        <v>43</v>
      </c>
      <c r="C146" s="8" t="str">
        <f t="shared" si="3"/>
        <v>att_cellline:mdamb435</v>
      </c>
      <c r="D146" s="8" t="s">
        <v>586</v>
      </c>
      <c r="E146" s="8" t="s">
        <v>587</v>
      </c>
      <c r="F146" s="8" t="s">
        <v>575</v>
      </c>
    </row>
    <row r="147" spans="1:6" x14ac:dyDescent="0.15">
      <c r="A147" s="8" t="s">
        <v>588</v>
      </c>
      <c r="B147" s="8" t="s">
        <v>43</v>
      </c>
      <c r="C147" s="8" t="str">
        <f t="shared" si="3"/>
        <v>att_cellline:mdamb468</v>
      </c>
      <c r="D147" s="8" t="s">
        <v>588</v>
      </c>
      <c r="E147" s="8" t="s">
        <v>589</v>
      </c>
      <c r="F147" s="8" t="s">
        <v>511</v>
      </c>
    </row>
    <row r="148" spans="1:6" x14ac:dyDescent="0.15">
      <c r="A148" s="8" t="s">
        <v>590</v>
      </c>
      <c r="B148" s="8" t="s">
        <v>43</v>
      </c>
      <c r="C148" s="8" t="str">
        <f t="shared" si="3"/>
        <v>att_cellline:mef</v>
      </c>
      <c r="D148" s="8" t="s">
        <v>590</v>
      </c>
      <c r="E148" s="8" t="s">
        <v>591</v>
      </c>
      <c r="F148" s="8" t="s">
        <v>592</v>
      </c>
    </row>
    <row r="149" spans="1:6" x14ac:dyDescent="0.15">
      <c r="A149" s="8" t="s">
        <v>593</v>
      </c>
      <c r="B149" s="8" t="s">
        <v>43</v>
      </c>
      <c r="C149" s="8" t="str">
        <f t="shared" si="3"/>
        <v>att_cellline:mino</v>
      </c>
      <c r="D149" s="8" t="s">
        <v>593</v>
      </c>
      <c r="E149" s="8" t="s">
        <v>594</v>
      </c>
      <c r="F149" s="8" t="s">
        <v>561</v>
      </c>
    </row>
    <row r="150" spans="1:6" x14ac:dyDescent="0.15">
      <c r="A150" s="8" t="s">
        <v>595</v>
      </c>
      <c r="B150" s="8" t="s">
        <v>43</v>
      </c>
      <c r="C150" s="8" t="str">
        <f t="shared" si="3"/>
        <v>att_cellline:molt4</v>
      </c>
      <c r="D150" s="8" t="s">
        <v>595</v>
      </c>
      <c r="E150" s="8" t="s">
        <v>596</v>
      </c>
      <c r="F150" s="8" t="s">
        <v>522</v>
      </c>
    </row>
    <row r="151" spans="1:6" x14ac:dyDescent="0.15">
      <c r="A151" s="8" t="s">
        <v>597</v>
      </c>
      <c r="B151" s="8" t="s">
        <v>43</v>
      </c>
      <c r="C151" s="8" t="str">
        <f t="shared" si="3"/>
        <v>att_cellline:nceb1</v>
      </c>
      <c r="D151" s="8" t="s">
        <v>597</v>
      </c>
      <c r="E151" s="8" t="s">
        <v>598</v>
      </c>
      <c r="F151" s="8" t="s">
        <v>561</v>
      </c>
    </row>
    <row r="152" spans="1:6" x14ac:dyDescent="0.15">
      <c r="A152" s="8" t="s">
        <v>599</v>
      </c>
      <c r="B152" s="8" t="s">
        <v>43</v>
      </c>
      <c r="C152" s="8" t="str">
        <f t="shared" si="3"/>
        <v>att_cellline:nci_adrres</v>
      </c>
      <c r="D152" s="8" t="s">
        <v>600</v>
      </c>
      <c r="E152" s="8" t="s">
        <v>601</v>
      </c>
      <c r="F152" s="8" t="s">
        <v>555</v>
      </c>
    </row>
    <row r="153" spans="1:6" x14ac:dyDescent="0.15">
      <c r="A153" s="8" t="s">
        <v>602</v>
      </c>
      <c r="B153" s="8" t="s">
        <v>43</v>
      </c>
      <c r="C153" s="8" t="str">
        <f t="shared" si="3"/>
        <v>att_cellline:nci_h226</v>
      </c>
      <c r="D153" s="8" t="s">
        <v>603</v>
      </c>
      <c r="E153" s="8" t="s">
        <v>604</v>
      </c>
      <c r="F153" s="8" t="s">
        <v>501</v>
      </c>
    </row>
    <row r="154" spans="1:6" x14ac:dyDescent="0.15">
      <c r="A154" s="8" t="s">
        <v>605</v>
      </c>
      <c r="B154" s="8" t="s">
        <v>43</v>
      </c>
      <c r="C154" s="8" t="str">
        <f t="shared" si="3"/>
        <v>att_cellline:nci_h23</v>
      </c>
      <c r="D154" s="8" t="s">
        <v>606</v>
      </c>
      <c r="E154" s="8" t="s">
        <v>607</v>
      </c>
      <c r="F154" s="8" t="s">
        <v>501</v>
      </c>
    </row>
    <row r="155" spans="1:6" x14ac:dyDescent="0.15">
      <c r="A155" s="8" t="s">
        <v>608</v>
      </c>
      <c r="B155" s="8" t="s">
        <v>43</v>
      </c>
      <c r="C155" s="8" t="str">
        <f t="shared" si="3"/>
        <v>att_cellline:nci_h322m</v>
      </c>
      <c r="D155" s="8" t="s">
        <v>609</v>
      </c>
      <c r="E155" s="8" t="s">
        <v>610</v>
      </c>
      <c r="F155" s="8" t="s">
        <v>501</v>
      </c>
    </row>
    <row r="156" spans="1:6" x14ac:dyDescent="0.15">
      <c r="A156" s="8" t="s">
        <v>611</v>
      </c>
      <c r="B156" s="8" t="s">
        <v>43</v>
      </c>
      <c r="C156" s="8" t="str">
        <f t="shared" si="3"/>
        <v>att_cellline:nci_h460</v>
      </c>
      <c r="D156" s="8" t="s">
        <v>612</v>
      </c>
      <c r="E156" s="8" t="s">
        <v>613</v>
      </c>
      <c r="F156" s="8" t="s">
        <v>501</v>
      </c>
    </row>
    <row r="157" spans="1:6" x14ac:dyDescent="0.15">
      <c r="A157" s="8" t="s">
        <v>614</v>
      </c>
      <c r="B157" s="8" t="s">
        <v>43</v>
      </c>
      <c r="C157" s="8" t="str">
        <f t="shared" si="3"/>
        <v>att_cellline:nci_h522</v>
      </c>
      <c r="D157" s="8" t="s">
        <v>615</v>
      </c>
      <c r="E157" s="8" t="s">
        <v>616</v>
      </c>
      <c r="F157" s="8" t="s">
        <v>501</v>
      </c>
    </row>
    <row r="158" spans="1:6" x14ac:dyDescent="0.15">
      <c r="A158" s="8" t="s">
        <v>617</v>
      </c>
      <c r="B158" s="8" t="s">
        <v>43</v>
      </c>
      <c r="C158" s="8" t="str">
        <f t="shared" si="3"/>
        <v>att_cellline:ovcar3</v>
      </c>
      <c r="D158" s="8" t="s">
        <v>617</v>
      </c>
      <c r="E158" s="8" t="s">
        <v>618</v>
      </c>
      <c r="F158" s="8" t="s">
        <v>555</v>
      </c>
    </row>
    <row r="159" spans="1:6" x14ac:dyDescent="0.15">
      <c r="A159" s="8" t="s">
        <v>619</v>
      </c>
      <c r="B159" s="8" t="s">
        <v>43</v>
      </c>
      <c r="C159" s="8" t="str">
        <f t="shared" si="3"/>
        <v>att_cellline:ovcar4</v>
      </c>
      <c r="D159" s="8" t="s">
        <v>619</v>
      </c>
      <c r="E159" s="8" t="s">
        <v>620</v>
      </c>
      <c r="F159" s="8" t="s">
        <v>555</v>
      </c>
    </row>
    <row r="160" spans="1:6" x14ac:dyDescent="0.15">
      <c r="A160" s="8" t="s">
        <v>621</v>
      </c>
      <c r="B160" s="8" t="s">
        <v>43</v>
      </c>
      <c r="C160" s="8" t="str">
        <f t="shared" si="3"/>
        <v>att_cellline:ovcar5</v>
      </c>
      <c r="D160" s="8" t="s">
        <v>621</v>
      </c>
      <c r="E160" s="8" t="s">
        <v>622</v>
      </c>
      <c r="F160" s="8" t="s">
        <v>555</v>
      </c>
    </row>
    <row r="161" spans="1:6" x14ac:dyDescent="0.15">
      <c r="A161" s="8" t="s">
        <v>623</v>
      </c>
      <c r="B161" s="8" t="s">
        <v>43</v>
      </c>
      <c r="C161" s="8" t="str">
        <f t="shared" si="3"/>
        <v>att_cellline:ovcar8</v>
      </c>
      <c r="D161" s="8" t="s">
        <v>623</v>
      </c>
      <c r="E161" s="8" t="s">
        <v>624</v>
      </c>
      <c r="F161" s="8" t="s">
        <v>555</v>
      </c>
    </row>
    <row r="162" spans="1:6" x14ac:dyDescent="0.15">
      <c r="A162" s="8" t="s">
        <v>625</v>
      </c>
      <c r="B162" s="8" t="s">
        <v>43</v>
      </c>
      <c r="C162" s="8" t="str">
        <f t="shared" si="3"/>
        <v>att_cellline:p388</v>
      </c>
      <c r="D162" s="8" t="s">
        <v>625</v>
      </c>
      <c r="E162" s="8" t="s">
        <v>626</v>
      </c>
      <c r="F162" s="8" t="s">
        <v>627</v>
      </c>
    </row>
    <row r="163" spans="1:6" x14ac:dyDescent="0.15">
      <c r="A163" s="8" t="s">
        <v>628</v>
      </c>
      <c r="B163" s="8" t="s">
        <v>43</v>
      </c>
      <c r="C163" s="8" t="str">
        <f t="shared" si="3"/>
        <v>att_cellline:pc3</v>
      </c>
      <c r="D163" s="8" t="s">
        <v>628</v>
      </c>
      <c r="E163" s="8" t="s">
        <v>629</v>
      </c>
      <c r="F163" s="8" t="s">
        <v>525</v>
      </c>
    </row>
    <row r="164" spans="1:6" x14ac:dyDescent="0.15">
      <c r="A164" s="8" t="s">
        <v>630</v>
      </c>
      <c r="B164" s="8" t="s">
        <v>43</v>
      </c>
      <c r="C164" s="8" t="str">
        <f t="shared" si="3"/>
        <v>att_cellline:rec1</v>
      </c>
      <c r="D164" s="8" t="s">
        <v>630</v>
      </c>
      <c r="E164" s="8" t="s">
        <v>631</v>
      </c>
      <c r="F164" s="8" t="s">
        <v>561</v>
      </c>
    </row>
    <row r="165" spans="1:6" x14ac:dyDescent="0.15">
      <c r="A165" s="8" t="s">
        <v>632</v>
      </c>
      <c r="B165" s="8" t="s">
        <v>43</v>
      </c>
      <c r="C165" s="8" t="str">
        <f t="shared" si="3"/>
        <v>att_cellline:rpmi8226</v>
      </c>
      <c r="D165" s="8" t="s">
        <v>632</v>
      </c>
      <c r="E165" s="8" t="s">
        <v>633</v>
      </c>
      <c r="F165" s="8" t="s">
        <v>522</v>
      </c>
    </row>
    <row r="166" spans="1:6" x14ac:dyDescent="0.15">
      <c r="A166" s="8" t="s">
        <v>634</v>
      </c>
      <c r="B166" s="8" t="s">
        <v>43</v>
      </c>
      <c r="C166" s="8" t="str">
        <f t="shared" si="3"/>
        <v>att_cellline:rxf393</v>
      </c>
      <c r="D166" s="8" t="s">
        <v>634</v>
      </c>
      <c r="E166" s="8" t="s">
        <v>635</v>
      </c>
      <c r="F166" s="8" t="s">
        <v>496</v>
      </c>
    </row>
    <row r="167" spans="1:6" x14ac:dyDescent="0.15">
      <c r="A167" s="8" t="s">
        <v>636</v>
      </c>
      <c r="B167" s="8" t="s">
        <v>43</v>
      </c>
      <c r="C167" s="8" t="str">
        <f t="shared" si="3"/>
        <v>att_cellline:sf268</v>
      </c>
      <c r="D167" s="8" t="s">
        <v>636</v>
      </c>
      <c r="E167" s="8" t="s">
        <v>637</v>
      </c>
      <c r="F167" s="8" t="s">
        <v>638</v>
      </c>
    </row>
    <row r="168" spans="1:6" x14ac:dyDescent="0.15">
      <c r="A168" s="8" t="s">
        <v>639</v>
      </c>
      <c r="B168" s="8" t="s">
        <v>43</v>
      </c>
      <c r="C168" s="8" t="str">
        <f t="shared" si="3"/>
        <v>att_cellline:sf295</v>
      </c>
      <c r="D168" s="8" t="s">
        <v>639</v>
      </c>
      <c r="E168" s="8" t="s">
        <v>640</v>
      </c>
      <c r="F168" s="8" t="s">
        <v>638</v>
      </c>
    </row>
    <row r="169" spans="1:6" x14ac:dyDescent="0.15">
      <c r="A169" s="8" t="s">
        <v>641</v>
      </c>
      <c r="B169" s="8" t="s">
        <v>43</v>
      </c>
      <c r="C169" s="8" t="str">
        <f t="shared" si="3"/>
        <v>att_cellline:sf539</v>
      </c>
      <c r="D169" s="8" t="s">
        <v>641</v>
      </c>
      <c r="E169" s="8" t="s">
        <v>642</v>
      </c>
      <c r="F169" s="8" t="s">
        <v>638</v>
      </c>
    </row>
    <row r="170" spans="1:6" x14ac:dyDescent="0.15">
      <c r="A170" s="8" t="s">
        <v>643</v>
      </c>
      <c r="B170" s="8" t="s">
        <v>43</v>
      </c>
      <c r="C170" s="8" t="str">
        <f t="shared" si="3"/>
        <v>att_cellline:skmel2</v>
      </c>
      <c r="D170" s="8" t="s">
        <v>643</v>
      </c>
      <c r="E170" s="8" t="s">
        <v>644</v>
      </c>
      <c r="F170" s="8" t="s">
        <v>575</v>
      </c>
    </row>
    <row r="171" spans="1:6" x14ac:dyDescent="0.15">
      <c r="A171" s="8" t="s">
        <v>645</v>
      </c>
      <c r="B171" s="8" t="s">
        <v>43</v>
      </c>
      <c r="C171" s="8" t="str">
        <f t="shared" si="3"/>
        <v>att_cellline:skmel28</v>
      </c>
      <c r="D171" s="8" t="s">
        <v>645</v>
      </c>
      <c r="E171" s="8" t="s">
        <v>646</v>
      </c>
      <c r="F171" s="8" t="s">
        <v>575</v>
      </c>
    </row>
    <row r="172" spans="1:6" x14ac:dyDescent="0.15">
      <c r="A172" s="8" t="s">
        <v>647</v>
      </c>
      <c r="B172" s="8" t="s">
        <v>43</v>
      </c>
      <c r="C172" s="8" t="str">
        <f t="shared" si="3"/>
        <v>att_cellline:skmel5</v>
      </c>
      <c r="D172" s="8" t="s">
        <v>647</v>
      </c>
      <c r="E172" s="8" t="s">
        <v>648</v>
      </c>
      <c r="F172" s="8" t="s">
        <v>575</v>
      </c>
    </row>
    <row r="173" spans="1:6" x14ac:dyDescent="0.15">
      <c r="A173" s="8" t="s">
        <v>649</v>
      </c>
      <c r="B173" s="8" t="s">
        <v>43</v>
      </c>
      <c r="C173" s="8" t="str">
        <f t="shared" si="3"/>
        <v>att_cellline:skov3</v>
      </c>
      <c r="D173" s="8" t="s">
        <v>649</v>
      </c>
      <c r="E173" s="8" t="s">
        <v>650</v>
      </c>
      <c r="F173" s="8" t="s">
        <v>555</v>
      </c>
    </row>
    <row r="174" spans="1:6" x14ac:dyDescent="0.15">
      <c r="A174" s="8" t="s">
        <v>651</v>
      </c>
      <c r="B174" s="8" t="s">
        <v>43</v>
      </c>
      <c r="C174" s="8" t="str">
        <f t="shared" si="3"/>
        <v>att_cellline:sn12c</v>
      </c>
      <c r="D174" s="8" t="s">
        <v>651</v>
      </c>
      <c r="E174" s="8" t="s">
        <v>652</v>
      </c>
      <c r="F174" s="8" t="s">
        <v>496</v>
      </c>
    </row>
    <row r="175" spans="1:6" x14ac:dyDescent="0.15">
      <c r="A175" s="8" t="s">
        <v>653</v>
      </c>
      <c r="B175" s="8" t="s">
        <v>43</v>
      </c>
      <c r="C175" s="8" t="str">
        <f t="shared" si="3"/>
        <v>att_cellline:snb19</v>
      </c>
      <c r="D175" s="8" t="s">
        <v>653</v>
      </c>
      <c r="E175" s="8" t="s">
        <v>654</v>
      </c>
      <c r="F175" s="8" t="s">
        <v>638</v>
      </c>
    </row>
    <row r="176" spans="1:6" x14ac:dyDescent="0.15">
      <c r="A176" s="8" t="s">
        <v>655</v>
      </c>
      <c r="B176" s="8" t="s">
        <v>43</v>
      </c>
      <c r="C176" s="8" t="str">
        <f t="shared" si="3"/>
        <v>att_cellline:snb75</v>
      </c>
      <c r="D176" s="8" t="s">
        <v>655</v>
      </c>
      <c r="E176" s="8" t="s">
        <v>656</v>
      </c>
      <c r="F176" s="8" t="s">
        <v>638</v>
      </c>
    </row>
    <row r="177" spans="1:6" x14ac:dyDescent="0.15">
      <c r="A177" s="8" t="s">
        <v>657</v>
      </c>
      <c r="B177" s="8" t="s">
        <v>43</v>
      </c>
      <c r="C177" s="8" t="str">
        <f t="shared" si="3"/>
        <v>att_cellline:sr</v>
      </c>
      <c r="D177" s="8" t="s">
        <v>657</v>
      </c>
      <c r="E177" s="8" t="s">
        <v>658</v>
      </c>
      <c r="F177" s="8" t="s">
        <v>522</v>
      </c>
    </row>
    <row r="178" spans="1:6" x14ac:dyDescent="0.15">
      <c r="A178" s="8" t="s">
        <v>659</v>
      </c>
      <c r="B178" s="8" t="s">
        <v>43</v>
      </c>
      <c r="C178" s="8" t="str">
        <f t="shared" si="3"/>
        <v>att_cellline:sw620</v>
      </c>
      <c r="D178" s="8" t="s">
        <v>659</v>
      </c>
      <c r="E178" s="8" t="s">
        <v>660</v>
      </c>
      <c r="F178" s="8" t="s">
        <v>519</v>
      </c>
    </row>
    <row r="179" spans="1:6" x14ac:dyDescent="0.15">
      <c r="A179" s="8" t="s">
        <v>661</v>
      </c>
      <c r="B179" s="8" t="s">
        <v>43</v>
      </c>
      <c r="C179" s="8" t="str">
        <f t="shared" si="3"/>
        <v>att_cellline:t47d</v>
      </c>
      <c r="D179" s="8" t="s">
        <v>661</v>
      </c>
      <c r="E179" s="8" t="s">
        <v>662</v>
      </c>
      <c r="F179" s="8" t="s">
        <v>511</v>
      </c>
    </row>
    <row r="180" spans="1:6" x14ac:dyDescent="0.15">
      <c r="A180" s="8" t="s">
        <v>663</v>
      </c>
      <c r="B180" s="8" t="s">
        <v>43</v>
      </c>
      <c r="C180" s="8" t="str">
        <f t="shared" si="3"/>
        <v>att_cellline:thp1</v>
      </c>
      <c r="D180" s="8" t="s">
        <v>663</v>
      </c>
      <c r="E180" s="8" t="s">
        <v>664</v>
      </c>
      <c r="F180" s="8" t="s">
        <v>665</v>
      </c>
    </row>
    <row r="181" spans="1:6" x14ac:dyDescent="0.15">
      <c r="A181" s="8" t="s">
        <v>666</v>
      </c>
      <c r="B181" s="8" t="s">
        <v>43</v>
      </c>
      <c r="C181" s="8" t="str">
        <f t="shared" si="3"/>
        <v>att_cellline:tk10</v>
      </c>
      <c r="D181" s="8" t="s">
        <v>666</v>
      </c>
      <c r="E181" s="8" t="s">
        <v>667</v>
      </c>
      <c r="F181" s="8" t="s">
        <v>496</v>
      </c>
    </row>
    <row r="182" spans="1:6" x14ac:dyDescent="0.15">
      <c r="A182" s="8" t="s">
        <v>668</v>
      </c>
      <c r="B182" s="8" t="s">
        <v>43</v>
      </c>
      <c r="C182" s="8" t="str">
        <f t="shared" si="3"/>
        <v>att_cellline:u251</v>
      </c>
      <c r="D182" s="8" t="s">
        <v>668</v>
      </c>
      <c r="E182" s="8" t="s">
        <v>669</v>
      </c>
      <c r="F182" s="8" t="s">
        <v>638</v>
      </c>
    </row>
    <row r="183" spans="1:6" x14ac:dyDescent="0.15">
      <c r="A183" s="8" t="s">
        <v>670</v>
      </c>
      <c r="B183" s="8" t="s">
        <v>43</v>
      </c>
      <c r="C183" s="8" t="str">
        <f t="shared" si="3"/>
        <v>att_cellline:u937</v>
      </c>
      <c r="D183" s="8" t="s">
        <v>670</v>
      </c>
      <c r="E183" s="8" t="s">
        <v>671</v>
      </c>
      <c r="F183" s="8" t="s">
        <v>672</v>
      </c>
    </row>
    <row r="184" spans="1:6" x14ac:dyDescent="0.15">
      <c r="A184" s="8" t="s">
        <v>673</v>
      </c>
      <c r="B184" s="8" t="s">
        <v>43</v>
      </c>
      <c r="C184" s="8" t="str">
        <f t="shared" si="3"/>
        <v>att_cellline:uacc257</v>
      </c>
      <c r="D184" s="8" t="s">
        <v>673</v>
      </c>
      <c r="E184" s="8" t="s">
        <v>674</v>
      </c>
      <c r="F184" s="8" t="s">
        <v>575</v>
      </c>
    </row>
    <row r="185" spans="1:6" x14ac:dyDescent="0.15">
      <c r="A185" s="8" t="s">
        <v>675</v>
      </c>
      <c r="B185" s="8" t="s">
        <v>43</v>
      </c>
      <c r="C185" s="8" t="str">
        <f t="shared" si="3"/>
        <v>att_cellline:uacc62</v>
      </c>
      <c r="D185" s="8" t="s">
        <v>675</v>
      </c>
      <c r="E185" s="8" t="s">
        <v>676</v>
      </c>
      <c r="F185" s="8" t="s">
        <v>575</v>
      </c>
    </row>
    <row r="186" spans="1:6" x14ac:dyDescent="0.15">
      <c r="A186" s="8" t="s">
        <v>677</v>
      </c>
      <c r="B186" s="8" t="s">
        <v>43</v>
      </c>
      <c r="C186" s="8" t="str">
        <f t="shared" si="3"/>
        <v>att_cellline:uo31</v>
      </c>
      <c r="D186" s="8" t="s">
        <v>677</v>
      </c>
      <c r="E186" s="8" t="s">
        <v>678</v>
      </c>
      <c r="F186" s="8" t="s">
        <v>496</v>
      </c>
    </row>
    <row r="187" spans="1:6" x14ac:dyDescent="0.15">
      <c r="A187" s="8" t="s">
        <v>679</v>
      </c>
      <c r="B187" s="8" t="s">
        <v>43</v>
      </c>
      <c r="C187" s="8" t="str">
        <f t="shared" si="3"/>
        <v>att_cellline:z138</v>
      </c>
      <c r="D187" s="8" t="s">
        <v>679</v>
      </c>
      <c r="E187" s="8" t="s">
        <v>680</v>
      </c>
      <c r="F187" s="8" t="s">
        <v>561</v>
      </c>
    </row>
    <row r="188" spans="1:6" x14ac:dyDescent="0.15">
      <c r="A188" s="8" t="s">
        <v>681</v>
      </c>
      <c r="B188" s="8" t="s">
        <v>52</v>
      </c>
      <c r="C188" s="8" t="str">
        <f t="shared" si="3"/>
        <v>att_column_inner_diameter:75um</v>
      </c>
      <c r="D188" s="9" t="s">
        <v>17</v>
      </c>
      <c r="E188" s="8">
        <v>75</v>
      </c>
      <c r="F188" s="8" t="s">
        <v>682</v>
      </c>
    </row>
    <row r="189" spans="1:6" x14ac:dyDescent="0.15">
      <c r="A189" s="8" t="s">
        <v>683</v>
      </c>
      <c r="B189" s="8" t="s">
        <v>56</v>
      </c>
      <c r="C189" s="8" t="str">
        <f t="shared" si="3"/>
        <v>att_column_length:15cm</v>
      </c>
      <c r="D189" s="8" t="s">
        <v>683</v>
      </c>
      <c r="E189" s="8">
        <v>15</v>
      </c>
      <c r="F189" s="8" t="s">
        <v>684</v>
      </c>
    </row>
    <row r="190" spans="1:6" x14ac:dyDescent="0.15">
      <c r="A190" s="8" t="s">
        <v>685</v>
      </c>
      <c r="B190" s="8" t="s">
        <v>56</v>
      </c>
      <c r="C190" s="8" t="str">
        <f t="shared" si="3"/>
        <v>att_column_length:30cm</v>
      </c>
      <c r="D190" s="8" t="s">
        <v>685</v>
      </c>
      <c r="E190" s="8">
        <v>30</v>
      </c>
      <c r="F190" s="8" t="s">
        <v>686</v>
      </c>
    </row>
    <row r="191" spans="1:6" x14ac:dyDescent="0.15">
      <c r="A191" s="8" t="s">
        <v>687</v>
      </c>
      <c r="B191" s="8" t="s">
        <v>56</v>
      </c>
      <c r="C191" s="8" t="str">
        <f t="shared" si="3"/>
        <v>att_column_length:50cm</v>
      </c>
      <c r="D191" s="8" t="s">
        <v>687</v>
      </c>
      <c r="E191" s="8">
        <v>50</v>
      </c>
      <c r="F191" s="8" t="s">
        <v>688</v>
      </c>
    </row>
    <row r="192" spans="1:6" x14ac:dyDescent="0.15">
      <c r="A192" s="8" t="s">
        <v>689</v>
      </c>
      <c r="B192" s="8" t="s">
        <v>56</v>
      </c>
      <c r="C192" s="8" t="str">
        <f t="shared" si="3"/>
        <v>att_column_length:5cm</v>
      </c>
      <c r="D192" s="8" t="s">
        <v>689</v>
      </c>
      <c r="E192" s="8">
        <v>5</v>
      </c>
      <c r="F192" s="8" t="s">
        <v>3082</v>
      </c>
    </row>
    <row r="193" spans="1:6" x14ac:dyDescent="0.15">
      <c r="A193" s="8" t="s">
        <v>3081</v>
      </c>
      <c r="B193" s="8" t="s">
        <v>56</v>
      </c>
      <c r="C193" s="8" t="str">
        <f t="shared" ref="C193:C194" si="4">B193&amp;":"&amp;A193</f>
        <v>att_column_length:40cm</v>
      </c>
      <c r="D193" s="8">
        <v>40</v>
      </c>
      <c r="E193" s="8">
        <v>40</v>
      </c>
      <c r="F193" s="8" t="s">
        <v>3083</v>
      </c>
    </row>
    <row r="194" spans="1:6" x14ac:dyDescent="0.15">
      <c r="A194" s="8" t="s">
        <v>3192</v>
      </c>
      <c r="B194" s="8" t="s">
        <v>56</v>
      </c>
      <c r="C194" s="8" t="str">
        <f t="shared" si="4"/>
        <v>att_column_length:60cm</v>
      </c>
      <c r="D194" s="8" t="s">
        <v>3192</v>
      </c>
      <c r="E194" s="8">
        <v>60</v>
      </c>
      <c r="F194" s="8" t="s">
        <v>3193</v>
      </c>
    </row>
    <row r="195" spans="1:6" x14ac:dyDescent="0.15">
      <c r="A195" s="8" t="s">
        <v>690</v>
      </c>
      <c r="B195" s="8" t="s">
        <v>60</v>
      </c>
      <c r="C195" s="8" t="str">
        <f t="shared" si="3"/>
        <v>att_column_oven_temp:40c</v>
      </c>
      <c r="D195" s="9" t="s">
        <v>17</v>
      </c>
      <c r="E195" s="8">
        <v>40</v>
      </c>
      <c r="F195" s="9" t="s">
        <v>3085</v>
      </c>
    </row>
    <row r="196" spans="1:6" x14ac:dyDescent="0.15">
      <c r="A196" s="8" t="s">
        <v>3084</v>
      </c>
      <c r="B196" s="8" t="s">
        <v>60</v>
      </c>
      <c r="C196" s="8" t="str">
        <f t="shared" si="3"/>
        <v>att_column_oven_temp:50c</v>
      </c>
      <c r="D196" s="9" t="s">
        <v>17</v>
      </c>
      <c r="E196" s="8">
        <v>50</v>
      </c>
      <c r="F196" s="9" t="s">
        <v>3086</v>
      </c>
    </row>
    <row r="197" spans="1:6" x14ac:dyDescent="0.15">
      <c r="A197" s="8" t="s">
        <v>691</v>
      </c>
      <c r="B197" s="8" t="s">
        <v>60</v>
      </c>
      <c r="C197" s="8" t="str">
        <f t="shared" si="3"/>
        <v>att_column_oven_temp:55c</v>
      </c>
      <c r="D197" s="9" t="s">
        <v>17</v>
      </c>
      <c r="E197" s="8">
        <v>55</v>
      </c>
      <c r="F197" s="9" t="s">
        <v>3087</v>
      </c>
    </row>
    <row r="198" spans="1:6" x14ac:dyDescent="0.15">
      <c r="A198" s="8" t="s">
        <v>692</v>
      </c>
      <c r="B198" s="8" t="s">
        <v>62</v>
      </c>
      <c r="C198" s="8" t="str">
        <f t="shared" ref="C198:C271" si="5">B198&amp;":"&amp;A198</f>
        <v>att_column_particle_size:170nm</v>
      </c>
      <c r="D198" s="9" t="s">
        <v>17</v>
      </c>
      <c r="E198" s="8">
        <v>1.7</v>
      </c>
      <c r="F198" s="8" t="s">
        <v>693</v>
      </c>
    </row>
    <row r="199" spans="1:6" x14ac:dyDescent="0.15">
      <c r="A199" s="8" t="s">
        <v>694</v>
      </c>
      <c r="B199" s="8" t="s">
        <v>62</v>
      </c>
      <c r="C199" s="8" t="str">
        <f t="shared" si="5"/>
        <v>att_column_particle_size:270nm</v>
      </c>
      <c r="D199" s="9" t="s">
        <v>17</v>
      </c>
      <c r="E199" s="8">
        <v>2.7</v>
      </c>
      <c r="F199" s="8" t="s">
        <v>695</v>
      </c>
    </row>
    <row r="200" spans="1:6" x14ac:dyDescent="0.15">
      <c r="A200" s="8" t="s">
        <v>696</v>
      </c>
      <c r="B200" s="8" t="s">
        <v>66</v>
      </c>
      <c r="C200" s="8" t="str">
        <f t="shared" si="5"/>
        <v>att_column_stat_phase:c18</v>
      </c>
      <c r="D200" s="9" t="s">
        <v>17</v>
      </c>
      <c r="E200" s="8" t="s">
        <v>697</v>
      </c>
      <c r="F200" s="8" t="s">
        <v>698</v>
      </c>
    </row>
    <row r="201" spans="1:6" x14ac:dyDescent="0.15">
      <c r="A201" s="8" t="s">
        <v>699</v>
      </c>
      <c r="B201" s="8" t="s">
        <v>66</v>
      </c>
      <c r="C201" s="8" t="str">
        <f t="shared" si="5"/>
        <v>att_column_stat_phase:c8</v>
      </c>
      <c r="D201" s="9" t="s">
        <v>17</v>
      </c>
      <c r="E201" s="8" t="s">
        <v>700</v>
      </c>
      <c r="F201" s="8" t="s">
        <v>701</v>
      </c>
    </row>
    <row r="202" spans="1:6" x14ac:dyDescent="0.15">
      <c r="A202" s="8" t="s">
        <v>702</v>
      </c>
      <c r="B202" s="8" t="s">
        <v>53</v>
      </c>
      <c r="C202" s="8" t="str">
        <f t="shared" si="5"/>
        <v>att_column_type:aurora</v>
      </c>
      <c r="D202" s="9" t="s">
        <v>17</v>
      </c>
      <c r="E202" s="8" t="s">
        <v>2844</v>
      </c>
      <c r="F202" s="8" t="s">
        <v>2845</v>
      </c>
    </row>
    <row r="203" spans="1:6" x14ac:dyDescent="0.15">
      <c r="A203" s="8" t="s">
        <v>705</v>
      </c>
      <c r="B203" s="8" t="s">
        <v>53</v>
      </c>
      <c r="C203" s="8" t="str">
        <f t="shared" si="5"/>
        <v>att_column_type:easyspray</v>
      </c>
      <c r="D203" s="9" t="s">
        <v>17</v>
      </c>
      <c r="E203" s="8" t="s">
        <v>706</v>
      </c>
      <c r="F203" s="8" t="s">
        <v>707</v>
      </c>
    </row>
    <row r="204" spans="1:6" x14ac:dyDescent="0.15">
      <c r="A204" s="8" t="s">
        <v>708</v>
      </c>
      <c r="B204" s="8" t="s">
        <v>53</v>
      </c>
      <c r="C204" s="8" t="str">
        <f t="shared" si="5"/>
        <v>att_column_type:inhouse</v>
      </c>
      <c r="D204" s="9" t="s">
        <v>17</v>
      </c>
      <c r="E204" s="8" t="s">
        <v>709</v>
      </c>
      <c r="F204" s="8" t="s">
        <v>710</v>
      </c>
    </row>
    <row r="205" spans="1:6" x14ac:dyDescent="0.15">
      <c r="A205" s="8" t="s">
        <v>711</v>
      </c>
      <c r="B205" s="8" t="s">
        <v>53</v>
      </c>
      <c r="C205" s="8" t="str">
        <f t="shared" si="5"/>
        <v>att_column_type:upac_doubleviper</v>
      </c>
      <c r="D205" s="9" t="s">
        <v>17</v>
      </c>
      <c r="E205" s="8" t="s">
        <v>712</v>
      </c>
      <c r="F205" s="8" t="s">
        <v>713</v>
      </c>
    </row>
    <row r="206" spans="1:6" x14ac:dyDescent="0.15">
      <c r="A206" s="8" t="s">
        <v>714</v>
      </c>
      <c r="B206" s="8" t="s">
        <v>53</v>
      </c>
      <c r="C206" s="8" t="str">
        <f t="shared" si="5"/>
        <v>att_column_type:upac_low_loadneo</v>
      </c>
      <c r="D206" s="9" t="s">
        <v>17</v>
      </c>
      <c r="E206" s="8" t="s">
        <v>715</v>
      </c>
      <c r="F206" s="8" t="s">
        <v>716</v>
      </c>
    </row>
    <row r="207" spans="1:6" x14ac:dyDescent="0.15">
      <c r="A207" s="8" t="s">
        <v>717</v>
      </c>
      <c r="B207" s="8" t="s">
        <v>53</v>
      </c>
      <c r="C207" s="8" t="str">
        <f t="shared" si="5"/>
        <v>att_column_type:upac_neo</v>
      </c>
      <c r="D207" s="9" t="s">
        <v>17</v>
      </c>
      <c r="E207" s="8" t="s">
        <v>718</v>
      </c>
      <c r="F207" s="8" t="s">
        <v>719</v>
      </c>
    </row>
    <row r="208" spans="1:6" x14ac:dyDescent="0.15">
      <c r="A208" s="8" t="s">
        <v>3130</v>
      </c>
      <c r="B208" s="8" t="s">
        <v>53</v>
      </c>
      <c r="C208" s="8" t="str">
        <f t="shared" si="5"/>
        <v>att_column_type:pepsep</v>
      </c>
      <c r="D208" s="9" t="s">
        <v>3130</v>
      </c>
      <c r="E208" s="8" t="s">
        <v>3131</v>
      </c>
      <c r="F208" s="8" t="s">
        <v>3132</v>
      </c>
    </row>
    <row r="209" spans="1:6" x14ac:dyDescent="0.15">
      <c r="A209" s="8" t="s">
        <v>3133</v>
      </c>
      <c r="B209" s="8" t="s">
        <v>53</v>
      </c>
      <c r="C209" s="8" t="str">
        <f t="shared" ref="C209" si="6">B209&amp;":"&amp;A209</f>
        <v>att_column_type:pepsepultra</v>
      </c>
      <c r="D209" s="9" t="s">
        <v>3130</v>
      </c>
      <c r="E209" s="8" t="s">
        <v>3134</v>
      </c>
      <c r="F209" s="8" t="s">
        <v>3142</v>
      </c>
    </row>
    <row r="210" spans="1:6" x14ac:dyDescent="0.15">
      <c r="A210" s="8" t="s">
        <v>3135</v>
      </c>
      <c r="B210" s="8" t="s">
        <v>53</v>
      </c>
      <c r="C210" s="8" t="str">
        <f t="shared" ref="C210" si="7">B210&amp;":"&amp;A210</f>
        <v>att_column_type:pepsepmax</v>
      </c>
      <c r="D210" s="9" t="s">
        <v>3130</v>
      </c>
      <c r="E210" s="8" t="s">
        <v>3136</v>
      </c>
      <c r="F210" s="8" t="s">
        <v>3141</v>
      </c>
    </row>
    <row r="211" spans="1:6" x14ac:dyDescent="0.15">
      <c r="A211" s="8" t="s">
        <v>3137</v>
      </c>
      <c r="B211" s="8" t="s">
        <v>53</v>
      </c>
      <c r="C211" s="8" t="str">
        <f t="shared" ref="C211" si="8">B211&amp;":"&amp;A211</f>
        <v>att_column_type:pepsepmaxht</v>
      </c>
      <c r="D211" s="9" t="s">
        <v>3138</v>
      </c>
      <c r="E211" s="8" t="s">
        <v>3139</v>
      </c>
      <c r="F211" s="8" t="s">
        <v>3140</v>
      </c>
    </row>
    <row r="212" spans="1:6" x14ac:dyDescent="0.15">
      <c r="A212" s="8" t="s">
        <v>720</v>
      </c>
      <c r="B212" s="8" t="s">
        <v>69</v>
      </c>
      <c r="C212" s="8" t="str">
        <f t="shared" si="5"/>
        <v>att_compound:5_fluorouracil</v>
      </c>
      <c r="D212" s="8" t="s">
        <v>721</v>
      </c>
      <c r="E212" s="8" t="s">
        <v>722</v>
      </c>
      <c r="F212" s="8" t="s">
        <v>723</v>
      </c>
    </row>
    <row r="213" spans="1:6" x14ac:dyDescent="0.15">
      <c r="A213" s="8" t="s">
        <v>724</v>
      </c>
      <c r="B213" s="8" t="s">
        <v>69</v>
      </c>
      <c r="C213" s="8" t="str">
        <f t="shared" si="5"/>
        <v>att_compound:anisomycin</v>
      </c>
      <c r="D213" s="8" t="s">
        <v>724</v>
      </c>
      <c r="E213" s="8" t="s">
        <v>725</v>
      </c>
      <c r="F213" s="8" t="s">
        <v>725</v>
      </c>
    </row>
    <row r="214" spans="1:6" x14ac:dyDescent="0.15">
      <c r="A214" s="8" t="s">
        <v>726</v>
      </c>
      <c r="B214" s="8" t="s">
        <v>69</v>
      </c>
      <c r="C214" s="8" t="str">
        <f t="shared" si="5"/>
        <v>att_compound:antimycin</v>
      </c>
      <c r="D214" s="8" t="s">
        <v>726</v>
      </c>
      <c r="E214" s="8" t="s">
        <v>727</v>
      </c>
      <c r="F214" s="8" t="s">
        <v>728</v>
      </c>
    </row>
    <row r="215" spans="1:6" x14ac:dyDescent="0.15">
      <c r="A215" s="8" t="s">
        <v>729</v>
      </c>
      <c r="B215" s="8" t="s">
        <v>69</v>
      </c>
      <c r="C215" s="8" t="str">
        <f t="shared" si="5"/>
        <v>att_compound:atp</v>
      </c>
      <c r="D215" s="8" t="s">
        <v>729</v>
      </c>
      <c r="E215" s="8" t="s">
        <v>730</v>
      </c>
      <c r="F215" s="8" t="s">
        <v>731</v>
      </c>
    </row>
    <row r="216" spans="1:6" x14ac:dyDescent="0.15">
      <c r="A216" s="8" t="s">
        <v>732</v>
      </c>
      <c r="B216" s="8" t="s">
        <v>69</v>
      </c>
      <c r="C216" s="8" t="str">
        <f t="shared" si="5"/>
        <v>att_compound:berzosertib</v>
      </c>
      <c r="D216" s="8" t="s">
        <v>732</v>
      </c>
      <c r="E216" s="8" t="s">
        <v>732</v>
      </c>
      <c r="F216" s="8" t="s">
        <v>733</v>
      </c>
    </row>
    <row r="217" spans="1:6" x14ac:dyDescent="0.15">
      <c r="A217" s="8" t="s">
        <v>734</v>
      </c>
      <c r="B217" s="8" t="s">
        <v>69</v>
      </c>
      <c r="C217" s="8" t="str">
        <f t="shared" si="5"/>
        <v>att_compound:bortezomib</v>
      </c>
      <c r="D217" s="8" t="s">
        <v>734</v>
      </c>
      <c r="E217" s="8" t="s">
        <v>734</v>
      </c>
      <c r="F217" s="8" t="s">
        <v>735</v>
      </c>
    </row>
    <row r="218" spans="1:6" x14ac:dyDescent="0.15">
      <c r="A218" s="8" t="s">
        <v>736</v>
      </c>
      <c r="B218" s="8" t="s">
        <v>69</v>
      </c>
      <c r="C218" s="8" t="str">
        <f t="shared" si="5"/>
        <v>att_compound:cccp</v>
      </c>
      <c r="D218" s="8" t="s">
        <v>736</v>
      </c>
      <c r="E218" s="8" t="s">
        <v>737</v>
      </c>
      <c r="F218" s="8" t="s">
        <v>738</v>
      </c>
    </row>
    <row r="219" spans="1:6" x14ac:dyDescent="0.15">
      <c r="A219" s="8" t="s">
        <v>739</v>
      </c>
      <c r="B219" s="8" t="s">
        <v>69</v>
      </c>
      <c r="C219" s="8" t="str">
        <f t="shared" si="5"/>
        <v>att_compound:cycloheximide</v>
      </c>
      <c r="D219" s="8" t="s">
        <v>739</v>
      </c>
      <c r="E219" s="8" t="s">
        <v>740</v>
      </c>
      <c r="F219" s="8" t="s">
        <v>740</v>
      </c>
    </row>
    <row r="220" spans="1:6" x14ac:dyDescent="0.15">
      <c r="A220" s="8" t="s">
        <v>741</v>
      </c>
      <c r="B220" s="8" t="s">
        <v>69</v>
      </c>
      <c r="C220" s="8" t="str">
        <f t="shared" si="5"/>
        <v>att_compound:dmso</v>
      </c>
      <c r="D220" s="8" t="s">
        <v>741</v>
      </c>
      <c r="E220" s="8" t="s">
        <v>742</v>
      </c>
      <c r="F220" s="8" t="s">
        <v>743</v>
      </c>
    </row>
    <row r="221" spans="1:6" x14ac:dyDescent="0.15">
      <c r="A221" s="8" t="s">
        <v>744</v>
      </c>
      <c r="B221" s="8" t="s">
        <v>69</v>
      </c>
      <c r="C221" s="8" t="str">
        <f t="shared" si="5"/>
        <v>att_compound:doxorubicin</v>
      </c>
      <c r="D221" s="8" t="s">
        <v>744</v>
      </c>
      <c r="E221" s="8" t="s">
        <v>745</v>
      </c>
      <c r="F221" s="8" t="s">
        <v>746</v>
      </c>
    </row>
    <row r="222" spans="1:6" x14ac:dyDescent="0.15">
      <c r="A222" s="8" t="s">
        <v>747</v>
      </c>
      <c r="B222" s="8" t="s">
        <v>69</v>
      </c>
      <c r="C222" s="8" t="str">
        <f t="shared" si="5"/>
        <v>att_compound:doxycycline</v>
      </c>
      <c r="D222" s="8" t="s">
        <v>747</v>
      </c>
      <c r="E222" s="8" t="s">
        <v>748</v>
      </c>
      <c r="F222" s="8" t="s">
        <v>749</v>
      </c>
    </row>
    <row r="223" spans="1:6" x14ac:dyDescent="0.15">
      <c r="A223" s="8" t="s">
        <v>2857</v>
      </c>
      <c r="B223" s="8" t="s">
        <v>69</v>
      </c>
      <c r="C223" s="8" t="str">
        <f t="shared" si="5"/>
        <v>att_compound:epoximicin</v>
      </c>
      <c r="D223" s="8" t="s">
        <v>2856</v>
      </c>
      <c r="E223" s="8" t="s">
        <v>2855</v>
      </c>
      <c r="F223" s="8" t="s">
        <v>2858</v>
      </c>
    </row>
    <row r="224" spans="1:6" x14ac:dyDescent="0.15">
      <c r="A224" s="8" t="s">
        <v>750</v>
      </c>
      <c r="B224" s="8" t="s">
        <v>69</v>
      </c>
      <c r="C224" s="8" t="str">
        <f t="shared" si="5"/>
        <v>att_compound:etoposide</v>
      </c>
      <c r="D224" s="8" t="s">
        <v>750</v>
      </c>
      <c r="E224" s="8" t="s">
        <v>751</v>
      </c>
      <c r="F224" s="8" t="s">
        <v>752</v>
      </c>
    </row>
    <row r="225" spans="1:6" x14ac:dyDescent="0.15">
      <c r="A225" s="8" t="s">
        <v>753</v>
      </c>
      <c r="B225" s="8" t="s">
        <v>69</v>
      </c>
      <c r="C225" s="8" t="str">
        <f t="shared" si="5"/>
        <v>att_compound:fccp</v>
      </c>
      <c r="D225" s="8" t="s">
        <v>753</v>
      </c>
      <c r="E225" s="8" t="s">
        <v>754</v>
      </c>
      <c r="F225" s="8" t="s">
        <v>755</v>
      </c>
    </row>
    <row r="226" spans="1:6" ht="20" x14ac:dyDescent="0.2">
      <c r="A226" s="8" t="s">
        <v>3246</v>
      </c>
      <c r="B226" s="8" t="s">
        <v>69</v>
      </c>
      <c r="C226" s="8" t="str">
        <f t="shared" si="5"/>
        <v>att_compound:fatostatin</v>
      </c>
      <c r="D226" s="8" t="s">
        <v>3246</v>
      </c>
      <c r="E226" s="28" t="s">
        <v>3245</v>
      </c>
      <c r="F226" s="8" t="s">
        <v>3247</v>
      </c>
    </row>
    <row r="227" spans="1:6" x14ac:dyDescent="0.15">
      <c r="A227" s="8" t="s">
        <v>756</v>
      </c>
      <c r="B227" s="8" t="s">
        <v>69</v>
      </c>
      <c r="C227" s="8" t="str">
        <f t="shared" si="5"/>
        <v>att_compound:h2o</v>
      </c>
      <c r="D227" s="8" t="s">
        <v>756</v>
      </c>
      <c r="E227" s="8" t="s">
        <v>757</v>
      </c>
      <c r="F227" s="8" t="s">
        <v>758</v>
      </c>
    </row>
    <row r="228" spans="1:6" x14ac:dyDescent="0.15">
      <c r="A228" s="8" t="s">
        <v>2852</v>
      </c>
      <c r="B228" s="8" t="s">
        <v>69</v>
      </c>
      <c r="C228" s="8" t="str">
        <f t="shared" ref="C228" si="9">B228&amp;":"&amp;A228</f>
        <v>att_compound:h2o2</v>
      </c>
      <c r="D228" s="8" t="s">
        <v>2852</v>
      </c>
      <c r="E228" s="8" t="s">
        <v>2853</v>
      </c>
      <c r="F228" s="8" t="s">
        <v>2854</v>
      </c>
    </row>
    <row r="229" spans="1:6" x14ac:dyDescent="0.15">
      <c r="A229" s="8" t="s">
        <v>759</v>
      </c>
      <c r="B229" s="8" t="s">
        <v>69</v>
      </c>
      <c r="C229" s="8" t="str">
        <f t="shared" si="5"/>
        <v>att_compound:hydroxyurea</v>
      </c>
      <c r="D229" s="8" t="s">
        <v>759</v>
      </c>
      <c r="E229" s="8" t="s">
        <v>760</v>
      </c>
      <c r="F229" s="8" t="s">
        <v>761</v>
      </c>
    </row>
    <row r="230" spans="1:6" x14ac:dyDescent="0.15">
      <c r="A230" s="8" t="s">
        <v>762</v>
      </c>
      <c r="B230" s="8" t="s">
        <v>69</v>
      </c>
      <c r="C230" s="8" t="str">
        <f t="shared" si="5"/>
        <v>att_compound:oligomycin</v>
      </c>
      <c r="D230" s="8" t="s">
        <v>762</v>
      </c>
      <c r="E230" s="8" t="s">
        <v>763</v>
      </c>
      <c r="F230" s="8" t="s">
        <v>764</v>
      </c>
    </row>
    <row r="231" spans="1:6" x14ac:dyDescent="0.15">
      <c r="A231" s="8" t="s">
        <v>765</v>
      </c>
      <c r="B231" s="8" t="s">
        <v>69</v>
      </c>
      <c r="C231" s="8" t="str">
        <f t="shared" si="5"/>
        <v>att_compound:rapamycin</v>
      </c>
      <c r="D231" s="8" t="s">
        <v>765</v>
      </c>
      <c r="E231" s="8" t="s">
        <v>766</v>
      </c>
      <c r="F231" s="8" t="s">
        <v>767</v>
      </c>
    </row>
    <row r="232" spans="1:6" x14ac:dyDescent="0.15">
      <c r="A232" s="8" t="s">
        <v>768</v>
      </c>
      <c r="B232" s="8" t="s">
        <v>69</v>
      </c>
      <c r="C232" s="8" t="str">
        <f t="shared" si="5"/>
        <v>att_compound:rotenone</v>
      </c>
      <c r="D232" s="8" t="s">
        <v>768</v>
      </c>
      <c r="E232" s="8" t="s">
        <v>769</v>
      </c>
      <c r="F232" s="8" t="s">
        <v>770</v>
      </c>
    </row>
    <row r="233" spans="1:6" x14ac:dyDescent="0.15">
      <c r="A233" s="8" t="s">
        <v>771</v>
      </c>
      <c r="B233" s="8" t="s">
        <v>69</v>
      </c>
      <c r="C233" s="8" t="str">
        <f t="shared" si="5"/>
        <v>att_compound:tamoxifen</v>
      </c>
      <c r="D233" s="8" t="s">
        <v>771</v>
      </c>
      <c r="E233" s="8" t="s">
        <v>771</v>
      </c>
      <c r="F233" s="8" t="s">
        <v>772</v>
      </c>
    </row>
    <row r="234" spans="1:6" x14ac:dyDescent="0.15">
      <c r="A234" s="8" t="s">
        <v>773</v>
      </c>
      <c r="B234" s="8" t="s">
        <v>69</v>
      </c>
      <c r="C234" s="8" t="str">
        <f t="shared" si="5"/>
        <v>att_compound:torin</v>
      </c>
      <c r="D234" s="8" t="s">
        <v>773</v>
      </c>
      <c r="E234" s="8" t="s">
        <v>774</v>
      </c>
      <c r="F234" s="8" t="s">
        <v>775</v>
      </c>
    </row>
    <row r="235" spans="1:6" x14ac:dyDescent="0.15">
      <c r="A235" s="8" t="s">
        <v>776</v>
      </c>
      <c r="B235" s="8" t="s">
        <v>69</v>
      </c>
      <c r="C235" s="8" t="str">
        <f t="shared" si="5"/>
        <v>att_compound:trametinib</v>
      </c>
      <c r="D235" s="8" t="s">
        <v>776</v>
      </c>
      <c r="E235" s="8" t="s">
        <v>776</v>
      </c>
      <c r="F235" s="8" t="s">
        <v>777</v>
      </c>
    </row>
    <row r="236" spans="1:6" x14ac:dyDescent="0.15">
      <c r="A236" s="8" t="s">
        <v>778</v>
      </c>
      <c r="B236" s="8" t="s">
        <v>69</v>
      </c>
      <c r="C236" s="8" t="str">
        <f t="shared" si="5"/>
        <v>att_compound:unstimulated</v>
      </c>
      <c r="D236" s="8" t="s">
        <v>778</v>
      </c>
      <c r="E236" s="8" t="s">
        <v>779</v>
      </c>
      <c r="F236" s="8" t="s">
        <v>780</v>
      </c>
    </row>
    <row r="237" spans="1:6" x14ac:dyDescent="0.15">
      <c r="A237" s="8" t="s">
        <v>2552</v>
      </c>
      <c r="B237" s="8" t="s">
        <v>69</v>
      </c>
      <c r="C237" s="8" t="str">
        <f t="shared" si="5"/>
        <v>att_compound:lps</v>
      </c>
      <c r="D237" s="8" t="s">
        <v>17</v>
      </c>
      <c r="E237" s="8" t="s">
        <v>2553</v>
      </c>
      <c r="F237" s="8" t="s">
        <v>2554</v>
      </c>
    </row>
    <row r="238" spans="1:6" x14ac:dyDescent="0.15">
      <c r="A238" s="8" t="s">
        <v>2563</v>
      </c>
      <c r="B238" s="8" t="s">
        <v>69</v>
      </c>
      <c r="C238" s="8" t="str">
        <f t="shared" si="5"/>
        <v>att_compound:r848</v>
      </c>
      <c r="D238" s="8" t="s">
        <v>17</v>
      </c>
      <c r="E238" s="8" t="s">
        <v>2564</v>
      </c>
      <c r="F238" s="8" t="s">
        <v>2969</v>
      </c>
    </row>
    <row r="239" spans="1:6" x14ac:dyDescent="0.15">
      <c r="A239" s="8" t="s">
        <v>3235</v>
      </c>
      <c r="B239" s="8" t="s">
        <v>69</v>
      </c>
      <c r="C239" s="8" t="str">
        <f t="shared" si="5"/>
        <v>att_compound:mitoblock10</v>
      </c>
      <c r="D239" s="8" t="s">
        <v>17</v>
      </c>
      <c r="E239" s="8" t="s">
        <v>3233</v>
      </c>
      <c r="F239" s="8" t="s">
        <v>3234</v>
      </c>
    </row>
    <row r="240" spans="1:6" x14ac:dyDescent="0.15">
      <c r="A240" s="8" t="s">
        <v>781</v>
      </c>
      <c r="B240" s="8" t="s">
        <v>782</v>
      </c>
      <c r="C240" s="8" t="str">
        <f t="shared" si="5"/>
        <v>att_context:microenvironment</v>
      </c>
      <c r="D240" s="9" t="s">
        <v>17</v>
      </c>
      <c r="E240" s="8" t="s">
        <v>781</v>
      </c>
      <c r="F240" s="8" t="s">
        <v>781</v>
      </c>
    </row>
    <row r="241" spans="1:6" x14ac:dyDescent="0.15">
      <c r="A241" s="8" t="s">
        <v>783</v>
      </c>
      <c r="B241" s="8" t="s">
        <v>79</v>
      </c>
      <c r="C241" s="8" t="str">
        <f t="shared" si="5"/>
        <v>att_crosslink_hydroamine_cleavable:egs</v>
      </c>
      <c r="D241" s="9" t="s">
        <v>17</v>
      </c>
      <c r="E241" s="8" t="s">
        <v>784</v>
      </c>
      <c r="F241" s="8" t="s">
        <v>785</v>
      </c>
    </row>
    <row r="242" spans="1:6" x14ac:dyDescent="0.15">
      <c r="A242" s="8" t="s">
        <v>786</v>
      </c>
      <c r="B242" s="8" t="s">
        <v>79</v>
      </c>
      <c r="C242" s="8" t="str">
        <f t="shared" si="5"/>
        <v>att_crosslink_hydroamine_cleavable:suflo_egs</v>
      </c>
      <c r="D242" s="9" t="s">
        <v>17</v>
      </c>
      <c r="E242" s="8" t="s">
        <v>787</v>
      </c>
      <c r="F242" s="8" t="s">
        <v>788</v>
      </c>
    </row>
    <row r="243" spans="1:6" x14ac:dyDescent="0.15">
      <c r="A243" s="8" t="s">
        <v>789</v>
      </c>
      <c r="B243" s="8" t="s">
        <v>82</v>
      </c>
      <c r="C243" s="8" t="str">
        <f t="shared" si="5"/>
        <v>att_crosslink_ms_cleavable:dsbu</v>
      </c>
      <c r="D243" s="9" t="s">
        <v>17</v>
      </c>
      <c r="E243" s="8" t="s">
        <v>790</v>
      </c>
      <c r="F243" s="8" t="s">
        <v>791</v>
      </c>
    </row>
    <row r="244" spans="1:6" x14ac:dyDescent="0.15">
      <c r="A244" s="8" t="s">
        <v>792</v>
      </c>
      <c r="B244" s="8" t="s">
        <v>82</v>
      </c>
      <c r="C244" s="8" t="str">
        <f t="shared" si="5"/>
        <v>att_crosslink_ms_cleavable:dsso</v>
      </c>
      <c r="D244" s="9" t="s">
        <v>17</v>
      </c>
      <c r="E244" s="8" t="s">
        <v>793</v>
      </c>
      <c r="F244" s="8" t="s">
        <v>794</v>
      </c>
    </row>
    <row r="245" spans="1:6" x14ac:dyDescent="0.15">
      <c r="A245" s="8" t="s">
        <v>795</v>
      </c>
      <c r="B245" s="8" t="s">
        <v>84</v>
      </c>
      <c r="C245" s="8" t="str">
        <f t="shared" si="5"/>
        <v>att_crosslink_non_clevable:amas</v>
      </c>
      <c r="D245" s="9" t="s">
        <v>17</v>
      </c>
      <c r="E245" s="8" t="s">
        <v>796</v>
      </c>
      <c r="F245" s="8" t="s">
        <v>797</v>
      </c>
    </row>
    <row r="246" spans="1:6" x14ac:dyDescent="0.15">
      <c r="A246" s="8" t="s">
        <v>798</v>
      </c>
      <c r="B246" s="8" t="s">
        <v>84</v>
      </c>
      <c r="C246" s="8" t="str">
        <f t="shared" si="5"/>
        <v>att_crosslink_non_clevable:bm_peg_3</v>
      </c>
      <c r="D246" s="9" t="s">
        <v>17</v>
      </c>
      <c r="E246" s="8" t="s">
        <v>799</v>
      </c>
      <c r="F246" s="8" t="s">
        <v>800</v>
      </c>
    </row>
    <row r="247" spans="1:6" x14ac:dyDescent="0.15">
      <c r="A247" s="8" t="s">
        <v>801</v>
      </c>
      <c r="B247" s="8" t="s">
        <v>84</v>
      </c>
      <c r="C247" s="8" t="str">
        <f t="shared" si="5"/>
        <v>att_crosslink_non_clevable:bmb</v>
      </c>
      <c r="D247" s="9" t="s">
        <v>17</v>
      </c>
      <c r="E247" s="8" t="s">
        <v>802</v>
      </c>
      <c r="F247" s="8" t="s">
        <v>803</v>
      </c>
    </row>
    <row r="248" spans="1:6" x14ac:dyDescent="0.15">
      <c r="A248" s="8" t="s">
        <v>804</v>
      </c>
      <c r="B248" s="8" t="s">
        <v>84</v>
      </c>
      <c r="C248" s="8" t="str">
        <f t="shared" si="5"/>
        <v>att_crosslink_non_clevable:bmh</v>
      </c>
      <c r="D248" s="9" t="s">
        <v>17</v>
      </c>
      <c r="E248" s="8" t="s">
        <v>805</v>
      </c>
      <c r="F248" s="8" t="s">
        <v>806</v>
      </c>
    </row>
    <row r="249" spans="1:6" x14ac:dyDescent="0.15">
      <c r="A249" s="8" t="s">
        <v>807</v>
      </c>
      <c r="B249" s="8" t="s">
        <v>84</v>
      </c>
      <c r="C249" s="8" t="str">
        <f t="shared" si="5"/>
        <v>att_crosslink_non_clevable:bmoe</v>
      </c>
      <c r="D249" s="9" t="s">
        <v>17</v>
      </c>
      <c r="E249" s="8" t="s">
        <v>808</v>
      </c>
      <c r="F249" s="8" t="s">
        <v>809</v>
      </c>
    </row>
    <row r="250" spans="1:6" x14ac:dyDescent="0.15">
      <c r="A250" s="8" t="s">
        <v>810</v>
      </c>
      <c r="B250" s="8" t="s">
        <v>84</v>
      </c>
      <c r="C250" s="8" t="str">
        <f t="shared" si="5"/>
        <v>att_crosslink_non_clevable:bmph</v>
      </c>
      <c r="D250" s="9" t="s">
        <v>17</v>
      </c>
      <c r="E250" s="8" t="s">
        <v>811</v>
      </c>
      <c r="F250" s="8" t="s">
        <v>812</v>
      </c>
    </row>
    <row r="251" spans="1:6" x14ac:dyDescent="0.15">
      <c r="A251" s="8" t="s">
        <v>813</v>
      </c>
      <c r="B251" s="8" t="s">
        <v>84</v>
      </c>
      <c r="C251" s="8" t="str">
        <f t="shared" si="5"/>
        <v>att_crosslink_non_clevable:bmps</v>
      </c>
      <c r="D251" s="9" t="s">
        <v>17</v>
      </c>
      <c r="E251" s="8" t="s">
        <v>814</v>
      </c>
      <c r="F251" s="8" t="s">
        <v>815</v>
      </c>
    </row>
    <row r="252" spans="1:6" x14ac:dyDescent="0.15">
      <c r="A252" s="8" t="s">
        <v>816</v>
      </c>
      <c r="B252" s="8" t="s">
        <v>84</v>
      </c>
      <c r="C252" s="8" t="str">
        <f t="shared" si="5"/>
        <v>att_crosslink_non_clevable:bs_peg_5</v>
      </c>
      <c r="D252" s="9" t="s">
        <v>17</v>
      </c>
      <c r="E252" s="8" t="s">
        <v>817</v>
      </c>
      <c r="F252" s="8" t="s">
        <v>818</v>
      </c>
    </row>
    <row r="253" spans="1:6" x14ac:dyDescent="0.15">
      <c r="A253" s="8" t="s">
        <v>819</v>
      </c>
      <c r="B253" s="8" t="s">
        <v>84</v>
      </c>
      <c r="C253" s="8" t="str">
        <f t="shared" si="5"/>
        <v>att_crosslink_non_clevable:bs_peg_9</v>
      </c>
      <c r="D253" s="9" t="s">
        <v>17</v>
      </c>
      <c r="E253" s="8" t="s">
        <v>820</v>
      </c>
      <c r="F253" s="8" t="s">
        <v>821</v>
      </c>
    </row>
    <row r="254" spans="1:6" x14ac:dyDescent="0.15">
      <c r="A254" s="8" t="s">
        <v>822</v>
      </c>
      <c r="B254" s="8" t="s">
        <v>84</v>
      </c>
      <c r="C254" s="8" t="str">
        <f t="shared" si="5"/>
        <v>att_crosslink_non_clevable:bs2g_d0</v>
      </c>
      <c r="D254" s="9" t="s">
        <v>17</v>
      </c>
      <c r="E254" s="8" t="s">
        <v>823</v>
      </c>
      <c r="F254" s="8" t="s">
        <v>824</v>
      </c>
    </row>
    <row r="255" spans="1:6" x14ac:dyDescent="0.15">
      <c r="A255" s="8" t="s">
        <v>825</v>
      </c>
      <c r="B255" s="8" t="s">
        <v>84</v>
      </c>
      <c r="C255" s="8" t="str">
        <f t="shared" si="5"/>
        <v>att_crosslink_non_clevable:bs3</v>
      </c>
      <c r="D255" s="9" t="s">
        <v>17</v>
      </c>
      <c r="E255" s="8" t="s">
        <v>826</v>
      </c>
      <c r="F255" s="8" t="s">
        <v>827</v>
      </c>
    </row>
    <row r="256" spans="1:6" ht="10.5" customHeight="1" x14ac:dyDescent="0.15">
      <c r="A256" s="8" t="s">
        <v>828</v>
      </c>
      <c r="B256" s="8" t="s">
        <v>84</v>
      </c>
      <c r="C256" s="8" t="str">
        <f t="shared" si="5"/>
        <v>att_crosslink_non_clevable:bs3_d0</v>
      </c>
      <c r="D256" s="9" t="s">
        <v>17</v>
      </c>
      <c r="E256" s="8" t="s">
        <v>829</v>
      </c>
      <c r="F256" s="8" t="s">
        <v>830</v>
      </c>
    </row>
    <row r="257" spans="1:6" x14ac:dyDescent="0.15">
      <c r="A257" s="8" t="s">
        <v>831</v>
      </c>
      <c r="B257" s="8" t="s">
        <v>84</v>
      </c>
      <c r="C257" s="8" t="str">
        <f t="shared" si="5"/>
        <v>att_crosslink_non_clevable:bs3_d4</v>
      </c>
      <c r="D257" s="9" t="s">
        <v>17</v>
      </c>
      <c r="E257" s="8" t="s">
        <v>832</v>
      </c>
      <c r="F257" s="8" t="s">
        <v>830</v>
      </c>
    </row>
    <row r="258" spans="1:6" x14ac:dyDescent="0.15">
      <c r="A258" s="8" t="s">
        <v>833</v>
      </c>
      <c r="B258" s="8" t="s">
        <v>84</v>
      </c>
      <c r="C258" s="8" t="str">
        <f t="shared" si="5"/>
        <v>att_crosslink_non_clevable:dmp</v>
      </c>
      <c r="D258" s="9" t="s">
        <v>17</v>
      </c>
      <c r="E258" s="8" t="s">
        <v>834</v>
      </c>
      <c r="F258" s="8" t="s">
        <v>835</v>
      </c>
    </row>
    <row r="259" spans="1:6" x14ac:dyDescent="0.15">
      <c r="A259" s="8" t="s">
        <v>836</v>
      </c>
      <c r="B259" s="8" t="s">
        <v>84</v>
      </c>
      <c r="C259" s="8" t="str">
        <f t="shared" si="5"/>
        <v>att_crosslink_non_clevable:dms</v>
      </c>
      <c r="D259" s="9" t="s">
        <v>17</v>
      </c>
      <c r="E259" s="8" t="s">
        <v>837</v>
      </c>
      <c r="F259" s="8" t="s">
        <v>838</v>
      </c>
    </row>
    <row r="260" spans="1:6" x14ac:dyDescent="0.15">
      <c r="A260" s="8" t="s">
        <v>839</v>
      </c>
      <c r="B260" s="8" t="s">
        <v>84</v>
      </c>
      <c r="C260" s="8" t="str">
        <f t="shared" si="5"/>
        <v>att_crosslink_non_clevable:dss</v>
      </c>
      <c r="D260" s="9" t="s">
        <v>17</v>
      </c>
      <c r="E260" s="8" t="s">
        <v>840</v>
      </c>
      <c r="F260" s="8" t="s">
        <v>841</v>
      </c>
    </row>
    <row r="261" spans="1:6" x14ac:dyDescent="0.15">
      <c r="A261" s="8" t="s">
        <v>842</v>
      </c>
      <c r="B261" s="8" t="s">
        <v>84</v>
      </c>
      <c r="C261" s="8" t="str">
        <f t="shared" si="5"/>
        <v>att_crosslink_non_clevable:edc</v>
      </c>
      <c r="D261" s="9" t="s">
        <v>17</v>
      </c>
      <c r="E261" s="8" t="s">
        <v>843</v>
      </c>
      <c r="F261" s="8" t="s">
        <v>844</v>
      </c>
    </row>
    <row r="262" spans="1:6" x14ac:dyDescent="0.15">
      <c r="A262" s="8" t="s">
        <v>845</v>
      </c>
      <c r="B262" s="8" t="s">
        <v>84</v>
      </c>
      <c r="C262" s="8" t="str">
        <f t="shared" si="5"/>
        <v>att_crosslink_non_clevable:emch</v>
      </c>
      <c r="D262" s="9" t="s">
        <v>17</v>
      </c>
      <c r="E262" s="8" t="s">
        <v>846</v>
      </c>
      <c r="F262" s="8" t="s">
        <v>847</v>
      </c>
    </row>
    <row r="263" spans="1:6" x14ac:dyDescent="0.15">
      <c r="A263" s="8" t="s">
        <v>848</v>
      </c>
      <c r="B263" s="8" t="s">
        <v>84</v>
      </c>
      <c r="C263" s="8" t="str">
        <f t="shared" si="5"/>
        <v>att_crosslink_non_clevable:emcs</v>
      </c>
      <c r="D263" s="9" t="s">
        <v>17</v>
      </c>
      <c r="E263" s="8" t="s">
        <v>849</v>
      </c>
      <c r="F263" s="8" t="s">
        <v>850</v>
      </c>
    </row>
    <row r="264" spans="1:6" x14ac:dyDescent="0.15">
      <c r="A264" s="8" t="s">
        <v>851</v>
      </c>
      <c r="B264" s="8" t="s">
        <v>84</v>
      </c>
      <c r="C264" s="8" t="str">
        <f t="shared" si="5"/>
        <v>att_crosslink_non_clevable:gmbs</v>
      </c>
      <c r="D264" s="9" t="s">
        <v>17</v>
      </c>
      <c r="E264" s="8" t="s">
        <v>852</v>
      </c>
      <c r="F264" s="8" t="s">
        <v>853</v>
      </c>
    </row>
    <row r="265" spans="1:6" x14ac:dyDescent="0.15">
      <c r="A265" s="8" t="s">
        <v>854</v>
      </c>
      <c r="B265" s="8" t="s">
        <v>84</v>
      </c>
      <c r="C265" s="8" t="str">
        <f t="shared" si="5"/>
        <v>att_crosslink_non_clevable:kmuh</v>
      </c>
      <c r="D265" s="9" t="s">
        <v>17</v>
      </c>
      <c r="E265" s="8" t="s">
        <v>855</v>
      </c>
      <c r="F265" s="8" t="s">
        <v>856</v>
      </c>
    </row>
    <row r="266" spans="1:6" x14ac:dyDescent="0.15">
      <c r="A266" s="8" t="s">
        <v>857</v>
      </c>
      <c r="B266" s="8" t="s">
        <v>84</v>
      </c>
      <c r="C266" s="8" t="str">
        <f t="shared" si="5"/>
        <v>att_crosslink_non_clevable:l_photo_methionine</v>
      </c>
      <c r="D266" s="9" t="s">
        <v>17</v>
      </c>
      <c r="E266" s="8" t="s">
        <v>858</v>
      </c>
      <c r="F266" s="8" t="s">
        <v>859</v>
      </c>
    </row>
    <row r="267" spans="1:6" x14ac:dyDescent="0.15">
      <c r="A267" s="8" t="s">
        <v>860</v>
      </c>
      <c r="B267" s="8" t="s">
        <v>84</v>
      </c>
      <c r="C267" s="8" t="str">
        <f t="shared" si="5"/>
        <v>att_crosslink_non_clevable:lc_smcc</v>
      </c>
      <c r="D267" s="9" t="s">
        <v>17</v>
      </c>
      <c r="E267" s="8" t="s">
        <v>861</v>
      </c>
      <c r="F267" s="8" t="s">
        <v>862</v>
      </c>
    </row>
    <row r="268" spans="1:6" x14ac:dyDescent="0.15">
      <c r="A268" s="8" t="s">
        <v>863</v>
      </c>
      <c r="B268" s="8" t="s">
        <v>84</v>
      </c>
      <c r="C268" s="8" t="str">
        <f t="shared" si="5"/>
        <v>att_crosslink_non_clevable:maleimide_peg4_dbco</v>
      </c>
      <c r="D268" s="9" t="s">
        <v>17</v>
      </c>
      <c r="E268" s="8" t="s">
        <v>864</v>
      </c>
      <c r="F268" s="8" t="s">
        <v>865</v>
      </c>
    </row>
    <row r="269" spans="1:6" x14ac:dyDescent="0.15">
      <c r="A269" s="8" t="s">
        <v>866</v>
      </c>
      <c r="B269" s="8" t="s">
        <v>84</v>
      </c>
      <c r="C269" s="8" t="str">
        <f t="shared" si="5"/>
        <v>att_crosslink_non_clevable:mpbh</v>
      </c>
      <c r="D269" s="9" t="s">
        <v>17</v>
      </c>
      <c r="E269" s="8" t="s">
        <v>867</v>
      </c>
      <c r="F269" s="8" t="s">
        <v>868</v>
      </c>
    </row>
    <row r="270" spans="1:6" x14ac:dyDescent="0.15">
      <c r="A270" s="8" t="s">
        <v>869</v>
      </c>
      <c r="B270" s="8" t="s">
        <v>84</v>
      </c>
      <c r="C270" s="8" t="str">
        <f t="shared" si="5"/>
        <v>att_crosslink_non_clevable:nhs</v>
      </c>
      <c r="D270" s="9" t="s">
        <v>17</v>
      </c>
      <c r="E270" s="8" t="s">
        <v>870</v>
      </c>
      <c r="F270" s="8" t="s">
        <v>871</v>
      </c>
    </row>
    <row r="271" spans="1:6" x14ac:dyDescent="0.15">
      <c r="A271" s="8" t="s">
        <v>872</v>
      </c>
      <c r="B271" s="8" t="s">
        <v>84</v>
      </c>
      <c r="C271" s="8" t="str">
        <f t="shared" si="5"/>
        <v>att_crosslink_non_clevable:nhs_azide</v>
      </c>
      <c r="D271" s="9" t="s">
        <v>17</v>
      </c>
      <c r="E271" s="8" t="s">
        <v>873</v>
      </c>
      <c r="F271" s="8" t="s">
        <v>874</v>
      </c>
    </row>
    <row r="272" spans="1:6" x14ac:dyDescent="0.15">
      <c r="A272" s="8" t="s">
        <v>875</v>
      </c>
      <c r="B272" s="8" t="s">
        <v>84</v>
      </c>
      <c r="C272" s="8" t="str">
        <f t="shared" ref="C272:C336" si="10">B272&amp;":"&amp;A272</f>
        <v>att_crosslink_non_clevable:nhs_peg4_azide</v>
      </c>
      <c r="D272" s="9" t="s">
        <v>17</v>
      </c>
      <c r="E272" s="8" t="s">
        <v>876</v>
      </c>
      <c r="F272" s="8" t="s">
        <v>877</v>
      </c>
    </row>
    <row r="273" spans="1:6" x14ac:dyDescent="0.15">
      <c r="A273" s="8" t="s">
        <v>878</v>
      </c>
      <c r="B273" s="8" t="s">
        <v>84</v>
      </c>
      <c r="C273" s="8" t="str">
        <f t="shared" si="10"/>
        <v>att_crosslink_non_clevable:nhs_phosphine</v>
      </c>
      <c r="D273" s="9" t="s">
        <v>17</v>
      </c>
      <c r="E273" s="8" t="s">
        <v>879</v>
      </c>
      <c r="F273" s="8" t="s">
        <v>880</v>
      </c>
    </row>
    <row r="274" spans="1:6" x14ac:dyDescent="0.15">
      <c r="A274" s="8" t="s">
        <v>881</v>
      </c>
      <c r="B274" s="8" t="s">
        <v>84</v>
      </c>
      <c r="C274" s="8" t="str">
        <f t="shared" si="10"/>
        <v>att_crosslink_non_clevable:pmpi</v>
      </c>
      <c r="D274" s="9" t="s">
        <v>17</v>
      </c>
      <c r="E274" s="8" t="s">
        <v>882</v>
      </c>
      <c r="F274" s="8" t="s">
        <v>883</v>
      </c>
    </row>
    <row r="275" spans="1:6" x14ac:dyDescent="0.15">
      <c r="A275" s="8" t="s">
        <v>884</v>
      </c>
      <c r="B275" s="8" t="s">
        <v>84</v>
      </c>
      <c r="C275" s="8" t="str">
        <f t="shared" si="10"/>
        <v>att_crosslink_non_clevable:sbap</v>
      </c>
      <c r="D275" s="9" t="s">
        <v>17</v>
      </c>
      <c r="E275" s="8" t="s">
        <v>885</v>
      </c>
      <c r="F275" s="8" t="s">
        <v>886</v>
      </c>
    </row>
    <row r="276" spans="1:6" x14ac:dyDescent="0.15">
      <c r="A276" s="8" t="s">
        <v>887</v>
      </c>
      <c r="B276" s="8" t="s">
        <v>84</v>
      </c>
      <c r="C276" s="8" t="str">
        <f t="shared" si="10"/>
        <v>att_crosslink_non_clevable:sda</v>
      </c>
      <c r="D276" s="9" t="s">
        <v>17</v>
      </c>
      <c r="E276" s="8" t="s">
        <v>888</v>
      </c>
      <c r="F276" s="8" t="s">
        <v>889</v>
      </c>
    </row>
    <row r="277" spans="1:6" x14ac:dyDescent="0.15">
      <c r="A277" s="8" t="s">
        <v>890</v>
      </c>
      <c r="B277" s="8" t="s">
        <v>84</v>
      </c>
      <c r="C277" s="8" t="str">
        <f t="shared" si="10"/>
        <v>att_crosslink_non_clevable:sia</v>
      </c>
      <c r="D277" s="9" t="s">
        <v>17</v>
      </c>
      <c r="E277" s="8" t="s">
        <v>891</v>
      </c>
      <c r="F277" s="8" t="s">
        <v>892</v>
      </c>
    </row>
    <row r="278" spans="1:6" x14ac:dyDescent="0.15">
      <c r="A278" s="8" t="s">
        <v>893</v>
      </c>
      <c r="B278" s="8" t="s">
        <v>84</v>
      </c>
      <c r="C278" s="8" t="str">
        <f t="shared" si="10"/>
        <v>att_crosslink_non_clevable:smpb</v>
      </c>
      <c r="D278" s="9" t="s">
        <v>17</v>
      </c>
      <c r="E278" s="8" t="s">
        <v>894</v>
      </c>
      <c r="F278" s="8" t="s">
        <v>895</v>
      </c>
    </row>
    <row r="279" spans="1:6" x14ac:dyDescent="0.15">
      <c r="A279" s="8" t="s">
        <v>896</v>
      </c>
      <c r="B279" s="8" t="s">
        <v>84</v>
      </c>
      <c r="C279" s="8" t="str">
        <f t="shared" si="10"/>
        <v>att_crosslink_non_clevable:smph</v>
      </c>
      <c r="D279" s="9" t="s">
        <v>17</v>
      </c>
      <c r="E279" s="8" t="s">
        <v>897</v>
      </c>
      <c r="F279" s="8" t="s">
        <v>898</v>
      </c>
    </row>
    <row r="280" spans="1:6" x14ac:dyDescent="0.15">
      <c r="A280" s="8" t="s">
        <v>899</v>
      </c>
      <c r="B280" s="8" t="s">
        <v>84</v>
      </c>
      <c r="C280" s="8" t="str">
        <f t="shared" si="10"/>
        <v>att_crosslink_non_clevable:spb</v>
      </c>
      <c r="D280" s="9" t="s">
        <v>17</v>
      </c>
      <c r="E280" s="8" t="s">
        <v>900</v>
      </c>
      <c r="F280" s="8" t="s">
        <v>901</v>
      </c>
    </row>
    <row r="281" spans="1:6" x14ac:dyDescent="0.15">
      <c r="A281" s="8" t="s">
        <v>902</v>
      </c>
      <c r="B281" s="8" t="s">
        <v>84</v>
      </c>
      <c r="C281" s="8" t="str">
        <f t="shared" si="10"/>
        <v>att_crosslink_non_clevable:sulfo_emcs</v>
      </c>
      <c r="D281" s="9" t="s">
        <v>17</v>
      </c>
      <c r="E281" s="8" t="s">
        <v>903</v>
      </c>
      <c r="F281" s="8" t="s">
        <v>904</v>
      </c>
    </row>
    <row r="282" spans="1:6" x14ac:dyDescent="0.15">
      <c r="A282" s="8" t="s">
        <v>905</v>
      </c>
      <c r="B282" s="8" t="s">
        <v>84</v>
      </c>
      <c r="C282" s="8" t="str">
        <f t="shared" si="10"/>
        <v>att_crosslink_non_clevable:sulfo_kmus</v>
      </c>
      <c r="D282" s="9" t="s">
        <v>17</v>
      </c>
      <c r="E282" s="8" t="s">
        <v>906</v>
      </c>
      <c r="F282" s="8" t="s">
        <v>907</v>
      </c>
    </row>
    <row r="283" spans="1:6" x14ac:dyDescent="0.15">
      <c r="A283" s="8" t="s">
        <v>908</v>
      </c>
      <c r="B283" s="8" t="s">
        <v>84</v>
      </c>
      <c r="C283" s="8" t="str">
        <f t="shared" si="10"/>
        <v>att_crosslink_non_clevable:sulfo_lc_sda</v>
      </c>
      <c r="D283" s="9" t="s">
        <v>17</v>
      </c>
      <c r="E283" s="8" t="s">
        <v>909</v>
      </c>
      <c r="F283" s="8" t="s">
        <v>910</v>
      </c>
    </row>
    <row r="284" spans="1:6" x14ac:dyDescent="0.15">
      <c r="A284" s="8" t="s">
        <v>911</v>
      </c>
      <c r="B284" s="8" t="s">
        <v>84</v>
      </c>
      <c r="C284" s="8" t="str">
        <f t="shared" si="10"/>
        <v>att_crosslink_non_clevable:sulfo_mbs</v>
      </c>
      <c r="D284" s="9" t="s">
        <v>17</v>
      </c>
      <c r="E284" s="8" t="s">
        <v>912</v>
      </c>
      <c r="F284" s="8" t="s">
        <v>913</v>
      </c>
    </row>
    <row r="285" spans="1:6" x14ac:dyDescent="0.15">
      <c r="A285" s="8" t="s">
        <v>914</v>
      </c>
      <c r="B285" s="8" t="s">
        <v>84</v>
      </c>
      <c r="C285" s="8" t="str">
        <f t="shared" si="10"/>
        <v>att_crosslink_non_clevable:sulfo_sda</v>
      </c>
      <c r="D285" s="9" t="s">
        <v>17</v>
      </c>
      <c r="E285" s="8" t="s">
        <v>915</v>
      </c>
      <c r="F285" s="8" t="s">
        <v>916</v>
      </c>
    </row>
    <row r="286" spans="1:6" x14ac:dyDescent="0.15">
      <c r="A286" s="8" t="s">
        <v>917</v>
      </c>
      <c r="B286" s="8" t="s">
        <v>84</v>
      </c>
      <c r="C286" s="8" t="str">
        <f t="shared" si="10"/>
        <v>att_crosslink_non_clevable:sulfo_siab</v>
      </c>
      <c r="D286" s="9" t="s">
        <v>17</v>
      </c>
      <c r="E286" s="8" t="s">
        <v>918</v>
      </c>
      <c r="F286" s="8" t="s">
        <v>919</v>
      </c>
    </row>
    <row r="287" spans="1:6" x14ac:dyDescent="0.15">
      <c r="A287" s="8" t="s">
        <v>920</v>
      </c>
      <c r="B287" s="8" t="s">
        <v>84</v>
      </c>
      <c r="C287" s="8" t="str">
        <f t="shared" si="10"/>
        <v>att_crosslink_non_clevable:sulfo_smcc</v>
      </c>
      <c r="D287" s="9" t="s">
        <v>17</v>
      </c>
      <c r="E287" s="8" t="s">
        <v>921</v>
      </c>
      <c r="F287" s="8" t="s">
        <v>922</v>
      </c>
    </row>
    <row r="288" spans="1:6" x14ac:dyDescent="0.15">
      <c r="A288" s="8" t="s">
        <v>923</v>
      </c>
      <c r="B288" s="8" t="s">
        <v>84</v>
      </c>
      <c r="C288" s="8" t="str">
        <f t="shared" si="10"/>
        <v>att_crosslink_non_clevable:sulfo_smpb</v>
      </c>
      <c r="D288" s="9" t="s">
        <v>17</v>
      </c>
      <c r="E288" s="8" t="s">
        <v>924</v>
      </c>
      <c r="F288" s="8" t="s">
        <v>925</v>
      </c>
    </row>
    <row r="289" spans="1:6" x14ac:dyDescent="0.15">
      <c r="A289" s="8" t="s">
        <v>926</v>
      </c>
      <c r="B289" s="8" t="s">
        <v>84</v>
      </c>
      <c r="C289" s="8" t="str">
        <f t="shared" si="10"/>
        <v>att_crosslink_non_clevable:tbdspp</v>
      </c>
      <c r="D289" s="9" t="s">
        <v>17</v>
      </c>
      <c r="E289" s="8" t="s">
        <v>927</v>
      </c>
      <c r="F289" s="8" t="s">
        <v>928</v>
      </c>
    </row>
    <row r="290" spans="1:6" x14ac:dyDescent="0.15">
      <c r="A290" s="8" t="s">
        <v>929</v>
      </c>
      <c r="B290" s="8" t="s">
        <v>84</v>
      </c>
      <c r="C290" s="8" t="str">
        <f t="shared" si="10"/>
        <v>att_crosslink_non_clevable:tfpester_peg12_dbco</v>
      </c>
      <c r="D290" s="9" t="s">
        <v>17</v>
      </c>
      <c r="E290" s="8" t="s">
        <v>930</v>
      </c>
      <c r="F290" s="8" t="s">
        <v>931</v>
      </c>
    </row>
    <row r="291" spans="1:6" x14ac:dyDescent="0.15">
      <c r="A291" s="8" t="s">
        <v>932</v>
      </c>
      <c r="B291" s="8" t="s">
        <v>84</v>
      </c>
      <c r="C291" s="8" t="str">
        <f t="shared" si="10"/>
        <v>att_crosslink_non_clevable:tfpester_peg4_dbco</v>
      </c>
      <c r="D291" s="9" t="s">
        <v>17</v>
      </c>
      <c r="E291" s="8" t="s">
        <v>933</v>
      </c>
      <c r="F291" s="8" t="s">
        <v>934</v>
      </c>
    </row>
    <row r="292" spans="1:6" x14ac:dyDescent="0.15">
      <c r="A292" s="8" t="s">
        <v>935</v>
      </c>
      <c r="B292" s="8" t="s">
        <v>84</v>
      </c>
      <c r="C292" s="8" t="str">
        <f t="shared" si="10"/>
        <v>att_crosslink_non_clevable:tmea</v>
      </c>
      <c r="D292" s="9" t="s">
        <v>17</v>
      </c>
      <c r="E292" s="8" t="s">
        <v>936</v>
      </c>
      <c r="F292" s="8" t="s">
        <v>937</v>
      </c>
    </row>
    <row r="293" spans="1:6" x14ac:dyDescent="0.15">
      <c r="A293" s="8" t="s">
        <v>938</v>
      </c>
      <c r="B293" s="8" t="s">
        <v>84</v>
      </c>
      <c r="C293" s="8" t="str">
        <f t="shared" si="10"/>
        <v>att_crosslink_non_clevable:tsat</v>
      </c>
      <c r="D293" s="9" t="s">
        <v>17</v>
      </c>
      <c r="E293" s="8" t="s">
        <v>939</v>
      </c>
      <c r="F293" s="8" t="s">
        <v>940</v>
      </c>
    </row>
    <row r="294" spans="1:6" x14ac:dyDescent="0.15">
      <c r="A294" s="8" t="s">
        <v>941</v>
      </c>
      <c r="B294" s="8" t="s">
        <v>86</v>
      </c>
      <c r="C294" s="8" t="str">
        <f t="shared" si="10"/>
        <v>att_crosslink_thiol_cleavable:dsp</v>
      </c>
      <c r="D294" s="9" t="s">
        <v>17</v>
      </c>
      <c r="E294" s="8" t="s">
        <v>942</v>
      </c>
      <c r="F294" s="8" t="s">
        <v>943</v>
      </c>
    </row>
    <row r="295" spans="1:6" x14ac:dyDescent="0.15">
      <c r="A295" s="8" t="s">
        <v>944</v>
      </c>
      <c r="B295" s="8" t="s">
        <v>86</v>
      </c>
      <c r="C295" s="8" t="str">
        <f t="shared" si="10"/>
        <v>att_crosslink_thiol_cleavable:dtbp</v>
      </c>
      <c r="D295" s="9" t="s">
        <v>17</v>
      </c>
      <c r="E295" s="8" t="s">
        <v>945</v>
      </c>
      <c r="F295" s="8" t="s">
        <v>946</v>
      </c>
    </row>
    <row r="296" spans="1:6" x14ac:dyDescent="0.15">
      <c r="A296" s="8" t="s">
        <v>947</v>
      </c>
      <c r="B296" s="8" t="s">
        <v>86</v>
      </c>
      <c r="C296" s="8" t="str">
        <f t="shared" si="10"/>
        <v>att_crosslink_thiol_cleavable:dtme</v>
      </c>
      <c r="D296" s="9" t="s">
        <v>17</v>
      </c>
      <c r="E296" s="8" t="s">
        <v>948</v>
      </c>
      <c r="F296" s="8" t="s">
        <v>949</v>
      </c>
    </row>
    <row r="297" spans="1:6" x14ac:dyDescent="0.15">
      <c r="A297" s="8" t="s">
        <v>950</v>
      </c>
      <c r="B297" s="8" t="s">
        <v>86</v>
      </c>
      <c r="C297" s="8" t="str">
        <f t="shared" si="10"/>
        <v>att_crosslink_thiol_cleavable:dtssp</v>
      </c>
      <c r="D297" s="9" t="s">
        <v>17</v>
      </c>
      <c r="E297" s="8" t="s">
        <v>951</v>
      </c>
      <c r="F297" s="8" t="s">
        <v>952</v>
      </c>
    </row>
    <row r="298" spans="1:6" x14ac:dyDescent="0.15">
      <c r="A298" s="8" t="s">
        <v>953</v>
      </c>
      <c r="B298" s="8" t="s">
        <v>86</v>
      </c>
      <c r="C298" s="8" t="str">
        <f t="shared" si="10"/>
        <v>att_crosslink_thiol_cleavable:lc_spdp</v>
      </c>
      <c r="D298" s="9" t="s">
        <v>17</v>
      </c>
      <c r="E298" s="8" t="s">
        <v>954</v>
      </c>
      <c r="F298" s="8" t="s">
        <v>955</v>
      </c>
    </row>
    <row r="299" spans="1:6" x14ac:dyDescent="0.15">
      <c r="A299" s="8" t="s">
        <v>956</v>
      </c>
      <c r="B299" s="8" t="s">
        <v>86</v>
      </c>
      <c r="C299" s="8" t="str">
        <f t="shared" si="10"/>
        <v>att_crosslink_thiol_cleavable:pdph</v>
      </c>
      <c r="D299" s="9" t="s">
        <v>17</v>
      </c>
      <c r="E299" s="8" t="s">
        <v>957</v>
      </c>
      <c r="F299" s="8" t="s">
        <v>958</v>
      </c>
    </row>
    <row r="300" spans="1:6" x14ac:dyDescent="0.15">
      <c r="A300" s="8" t="s">
        <v>959</v>
      </c>
      <c r="B300" s="8" t="s">
        <v>86</v>
      </c>
      <c r="C300" s="8" t="str">
        <f t="shared" si="10"/>
        <v>att_crosslink_thiol_cleavable:peg12_spdp</v>
      </c>
      <c r="D300" s="9" t="s">
        <v>17</v>
      </c>
      <c r="E300" s="8" t="s">
        <v>960</v>
      </c>
      <c r="F300" s="8" t="s">
        <v>961</v>
      </c>
    </row>
    <row r="301" spans="1:6" x14ac:dyDescent="0.15">
      <c r="A301" s="8" t="s">
        <v>962</v>
      </c>
      <c r="B301" s="8" t="s">
        <v>86</v>
      </c>
      <c r="C301" s="8" t="str">
        <f t="shared" si="10"/>
        <v>att_crosslink_thiol_cleavable:peg4_spdp</v>
      </c>
      <c r="D301" s="9" t="s">
        <v>17</v>
      </c>
      <c r="E301" s="8" t="s">
        <v>963</v>
      </c>
      <c r="F301" s="8" t="s">
        <v>964</v>
      </c>
    </row>
    <row r="302" spans="1:6" x14ac:dyDescent="0.15">
      <c r="A302" s="8" t="s">
        <v>965</v>
      </c>
      <c r="B302" s="8" t="s">
        <v>86</v>
      </c>
      <c r="C302" s="8" t="str">
        <f t="shared" si="10"/>
        <v>att_crosslink_thiol_cleavable:sdad</v>
      </c>
      <c r="D302" s="9" t="s">
        <v>17</v>
      </c>
      <c r="E302" s="8" t="s">
        <v>966</v>
      </c>
      <c r="F302" s="8" t="s">
        <v>967</v>
      </c>
    </row>
    <row r="303" spans="1:6" x14ac:dyDescent="0.15">
      <c r="A303" s="8" t="s">
        <v>968</v>
      </c>
      <c r="B303" s="8" t="s">
        <v>86</v>
      </c>
      <c r="C303" s="8" t="str">
        <f t="shared" si="10"/>
        <v>att_crosslink_thiol_cleavable:smcc</v>
      </c>
      <c r="D303" s="9" t="s">
        <v>17</v>
      </c>
      <c r="E303" s="8" t="s">
        <v>969</v>
      </c>
      <c r="F303" s="8" t="s">
        <v>970</v>
      </c>
    </row>
    <row r="304" spans="1:6" x14ac:dyDescent="0.15">
      <c r="A304" s="8" t="s">
        <v>971</v>
      </c>
      <c r="B304" s="8" t="s">
        <v>86</v>
      </c>
      <c r="C304" s="8" t="str">
        <f t="shared" si="10"/>
        <v>att_crosslink_thiol_cleavable:smpt</v>
      </c>
      <c r="D304" s="9" t="s">
        <v>17</v>
      </c>
      <c r="E304" s="8" t="s">
        <v>972</v>
      </c>
      <c r="F304" s="8" t="s">
        <v>973</v>
      </c>
    </row>
    <row r="305" spans="1:6" x14ac:dyDescent="0.15">
      <c r="A305" s="8" t="s">
        <v>974</v>
      </c>
      <c r="B305" s="8" t="s">
        <v>86</v>
      </c>
      <c r="C305" s="8" t="str">
        <f t="shared" si="10"/>
        <v>att_crosslink_thiol_cleavable:spdp</v>
      </c>
      <c r="D305" s="9" t="s">
        <v>17</v>
      </c>
      <c r="E305" s="8" t="s">
        <v>975</v>
      </c>
      <c r="F305" s="8" t="s">
        <v>976</v>
      </c>
    </row>
    <row r="306" spans="1:6" x14ac:dyDescent="0.15">
      <c r="A306" s="8" t="s">
        <v>977</v>
      </c>
      <c r="B306" s="8" t="s">
        <v>86</v>
      </c>
      <c r="C306" s="8" t="str">
        <f t="shared" si="10"/>
        <v>att_crosslink_thiol_cleavable:sulfo_lc_spdp</v>
      </c>
      <c r="D306" s="9" t="s">
        <v>17</v>
      </c>
      <c r="E306" s="8" t="s">
        <v>978</v>
      </c>
      <c r="F306" s="8" t="s">
        <v>979</v>
      </c>
    </row>
    <row r="307" spans="1:6" x14ac:dyDescent="0.15">
      <c r="A307" s="8" t="s">
        <v>980</v>
      </c>
      <c r="B307" s="8" t="s">
        <v>86</v>
      </c>
      <c r="C307" s="8" t="str">
        <f t="shared" si="10"/>
        <v>att_crosslink_thiol_cleavable:sulfo_sanpah</v>
      </c>
      <c r="D307" s="9" t="s">
        <v>17</v>
      </c>
      <c r="E307" s="8" t="s">
        <v>981</v>
      </c>
      <c r="F307" s="8" t="s">
        <v>982</v>
      </c>
    </row>
    <row r="308" spans="1:6" x14ac:dyDescent="0.15">
      <c r="A308" s="8" t="s">
        <v>983</v>
      </c>
      <c r="B308" s="8" t="s">
        <v>86</v>
      </c>
      <c r="C308" s="8" t="str">
        <f t="shared" si="10"/>
        <v>att_crosslink_thiol_cleavable:sulfo_sdad</v>
      </c>
      <c r="D308" s="9" t="s">
        <v>17</v>
      </c>
      <c r="E308" s="8" t="s">
        <v>984</v>
      </c>
      <c r="F308" s="8" t="s">
        <v>985</v>
      </c>
    </row>
    <row r="309" spans="1:6" x14ac:dyDescent="0.15">
      <c r="A309" s="8" t="s">
        <v>986</v>
      </c>
      <c r="B309" s="8" t="s">
        <v>987</v>
      </c>
      <c r="C309" s="8" t="str">
        <f t="shared" si="10"/>
        <v>att_dataset:database_orf_search</v>
      </c>
      <c r="D309" s="9" t="s">
        <v>17</v>
      </c>
      <c r="E309" s="8" t="s">
        <v>988</v>
      </c>
      <c r="F309" s="8" t="s">
        <v>989</v>
      </c>
    </row>
    <row r="310" spans="1:6" x14ac:dyDescent="0.15">
      <c r="A310" s="8" t="s">
        <v>990</v>
      </c>
      <c r="B310" s="8" t="s">
        <v>987</v>
      </c>
      <c r="C310" s="8" t="str">
        <f t="shared" si="10"/>
        <v>att_dataset:database_search</v>
      </c>
      <c r="D310" s="9" t="s">
        <v>17</v>
      </c>
      <c r="E310" s="8" t="s">
        <v>991</v>
      </c>
      <c r="F310" s="8" t="s">
        <v>992</v>
      </c>
    </row>
    <row r="311" spans="1:6" x14ac:dyDescent="0.15">
      <c r="A311" s="8" t="s">
        <v>993</v>
      </c>
      <c r="B311" s="8" t="s">
        <v>987</v>
      </c>
      <c r="C311" s="8" t="str">
        <f t="shared" si="10"/>
        <v>att_dataset:de_novo</v>
      </c>
      <c r="D311" s="9" t="s">
        <v>17</v>
      </c>
      <c r="E311" s="8" t="s">
        <v>994</v>
      </c>
      <c r="F311" s="8" t="s">
        <v>994</v>
      </c>
    </row>
    <row r="312" spans="1:6" x14ac:dyDescent="0.15">
      <c r="A312" s="8" t="s">
        <v>995</v>
      </c>
      <c r="B312" s="8" t="s">
        <v>90</v>
      </c>
      <c r="C312" s="8" t="str">
        <f t="shared" si="10"/>
        <v>att_detergent:chaps</v>
      </c>
      <c r="D312" s="9" t="s">
        <v>17</v>
      </c>
      <c r="E312" s="8" t="s">
        <v>996</v>
      </c>
      <c r="F312" s="8" t="s">
        <v>997</v>
      </c>
    </row>
    <row r="313" spans="1:6" x14ac:dyDescent="0.15">
      <c r="A313" s="8" t="s">
        <v>998</v>
      </c>
      <c r="B313" s="8" t="s">
        <v>90</v>
      </c>
      <c r="C313" s="8" t="str">
        <f t="shared" si="10"/>
        <v>att_detergent:dmm</v>
      </c>
      <c r="D313" s="9" t="s">
        <v>17</v>
      </c>
      <c r="E313" s="8" t="s">
        <v>999</v>
      </c>
      <c r="F313" s="8" t="s">
        <v>1000</v>
      </c>
    </row>
    <row r="314" spans="1:6" x14ac:dyDescent="0.15">
      <c r="A314" s="8" t="s">
        <v>1001</v>
      </c>
      <c r="B314" s="8" t="s">
        <v>90</v>
      </c>
      <c r="C314" s="8" t="str">
        <f t="shared" si="10"/>
        <v>att_detergent:np40</v>
      </c>
      <c r="D314" s="9" t="s">
        <v>17</v>
      </c>
      <c r="E314" s="8" t="s">
        <v>1002</v>
      </c>
      <c r="F314" s="8" t="s">
        <v>1003</v>
      </c>
    </row>
    <row r="315" spans="1:6" x14ac:dyDescent="0.15">
      <c r="A315" s="8" t="s">
        <v>1004</v>
      </c>
      <c r="B315" s="8" t="s">
        <v>90</v>
      </c>
      <c r="C315" s="8" t="str">
        <f t="shared" si="10"/>
        <v>att_detergent:og</v>
      </c>
      <c r="D315" s="9" t="s">
        <v>17</v>
      </c>
      <c r="E315" s="8" t="s">
        <v>1005</v>
      </c>
      <c r="F315" s="8" t="s">
        <v>1006</v>
      </c>
    </row>
    <row r="316" spans="1:6" x14ac:dyDescent="0.15">
      <c r="A316" s="8" t="s">
        <v>1007</v>
      </c>
      <c r="B316" s="8" t="s">
        <v>90</v>
      </c>
      <c r="C316" s="8" t="str">
        <f t="shared" si="10"/>
        <v>att_detergent:otg</v>
      </c>
      <c r="D316" s="9" t="s">
        <v>17</v>
      </c>
      <c r="E316" s="8" t="s">
        <v>1008</v>
      </c>
      <c r="F316" s="8" t="s">
        <v>1009</v>
      </c>
    </row>
    <row r="317" spans="1:6" x14ac:dyDescent="0.15">
      <c r="A317" s="8" t="s">
        <v>1010</v>
      </c>
      <c r="B317" s="8" t="s">
        <v>90</v>
      </c>
      <c r="C317" s="8" t="str">
        <f t="shared" si="10"/>
        <v>att_detergent:sds</v>
      </c>
      <c r="D317" s="9" t="s">
        <v>17</v>
      </c>
      <c r="E317" s="8" t="s">
        <v>1011</v>
      </c>
      <c r="F317" s="8" t="s">
        <v>1012</v>
      </c>
    </row>
    <row r="318" spans="1:6" x14ac:dyDescent="0.15">
      <c r="A318" s="8" t="s">
        <v>1013</v>
      </c>
      <c r="B318" s="8" t="s">
        <v>90</v>
      </c>
      <c r="C318" s="8" t="str">
        <f t="shared" si="10"/>
        <v>att_detergent:tritonx100</v>
      </c>
      <c r="D318" s="9" t="s">
        <v>17</v>
      </c>
      <c r="E318" s="8" t="s">
        <v>1014</v>
      </c>
      <c r="F318" s="8" t="s">
        <v>1015</v>
      </c>
    </row>
    <row r="319" spans="1:6" x14ac:dyDescent="0.15">
      <c r="A319" s="8" t="s">
        <v>1016</v>
      </c>
      <c r="B319" s="8" t="s">
        <v>90</v>
      </c>
      <c r="C319" s="8" t="str">
        <f t="shared" si="10"/>
        <v>att_detergent:tween20</v>
      </c>
      <c r="D319" s="9" t="s">
        <v>17</v>
      </c>
      <c r="E319" s="8" t="s">
        <v>1017</v>
      </c>
      <c r="F319" s="8" t="s">
        <v>1018</v>
      </c>
    </row>
    <row r="320" spans="1:6" x14ac:dyDescent="0.15">
      <c r="A320" s="8" t="s">
        <v>1019</v>
      </c>
      <c r="B320" s="8" t="s">
        <v>90</v>
      </c>
      <c r="C320" s="8" t="str">
        <f t="shared" si="10"/>
        <v>att_detergent:tween80</v>
      </c>
      <c r="D320" s="9" t="s">
        <v>17</v>
      </c>
      <c r="E320" s="8" t="s">
        <v>1020</v>
      </c>
      <c r="F320" s="8" t="s">
        <v>1021</v>
      </c>
    </row>
    <row r="321" spans="1:6" x14ac:dyDescent="0.15">
      <c r="A321" s="8">
        <v>1200</v>
      </c>
      <c r="B321" s="8" t="s">
        <v>94</v>
      </c>
      <c r="C321" s="8" t="str">
        <f t="shared" si="10"/>
        <v>att_dia_mz_end:1200</v>
      </c>
      <c r="D321" s="9" t="s">
        <v>17</v>
      </c>
      <c r="E321" s="8">
        <v>1200</v>
      </c>
      <c r="F321" s="9" t="s">
        <v>17</v>
      </c>
    </row>
    <row r="322" spans="1:6" x14ac:dyDescent="0.15">
      <c r="A322" s="8">
        <v>800</v>
      </c>
      <c r="B322" s="8" t="s">
        <v>94</v>
      </c>
      <c r="C322" s="8" t="str">
        <f t="shared" si="10"/>
        <v>att_dia_mz_end:800</v>
      </c>
      <c r="D322" s="9" t="s">
        <v>17</v>
      </c>
      <c r="E322" s="8">
        <v>800</v>
      </c>
      <c r="F322" s="9" t="s">
        <v>17</v>
      </c>
    </row>
    <row r="323" spans="1:6" x14ac:dyDescent="0.15">
      <c r="A323" s="8">
        <v>400</v>
      </c>
      <c r="B323" s="8" t="s">
        <v>97</v>
      </c>
      <c r="C323" s="8" t="str">
        <f t="shared" si="10"/>
        <v>att_dia_mz_start:400</v>
      </c>
      <c r="D323" s="9" t="s">
        <v>17</v>
      </c>
      <c r="E323" s="8">
        <v>400</v>
      </c>
      <c r="F323" s="9" t="s">
        <v>17</v>
      </c>
    </row>
    <row r="324" spans="1:6" x14ac:dyDescent="0.15">
      <c r="A324" s="8">
        <v>30</v>
      </c>
      <c r="B324" s="8" t="s">
        <v>95</v>
      </c>
      <c r="C324" s="8" t="str">
        <f t="shared" si="10"/>
        <v>att_diawindows:30</v>
      </c>
      <c r="D324" s="9" t="s">
        <v>17</v>
      </c>
      <c r="E324" s="8">
        <v>30</v>
      </c>
      <c r="F324" s="8" t="s">
        <v>1022</v>
      </c>
    </row>
    <row r="325" spans="1:6" x14ac:dyDescent="0.15">
      <c r="A325" s="8">
        <v>34</v>
      </c>
      <c r="B325" s="8" t="s">
        <v>95</v>
      </c>
      <c r="C325" s="8" t="str">
        <f t="shared" ref="C325" si="11">B325&amp;":"&amp;A325</f>
        <v>att_diawindows:34</v>
      </c>
      <c r="D325" s="9" t="s">
        <v>17</v>
      </c>
      <c r="E325" s="8">
        <v>30</v>
      </c>
      <c r="F325" s="8" t="s">
        <v>3219</v>
      </c>
    </row>
    <row r="326" spans="1:6" x14ac:dyDescent="0.15">
      <c r="A326" s="8">
        <v>40</v>
      </c>
      <c r="B326" s="8" t="s">
        <v>95</v>
      </c>
      <c r="C326" s="8" t="str">
        <f t="shared" si="10"/>
        <v>att_diawindows:40</v>
      </c>
      <c r="D326" s="9" t="s">
        <v>17</v>
      </c>
      <c r="E326" s="8">
        <v>40</v>
      </c>
      <c r="F326" s="8" t="s">
        <v>1023</v>
      </c>
    </row>
    <row r="327" spans="1:6" x14ac:dyDescent="0.15">
      <c r="A327" s="8" t="s">
        <v>1024</v>
      </c>
      <c r="B327" s="8" t="s">
        <v>27</v>
      </c>
      <c r="C327" s="8" t="str">
        <f t="shared" si="10"/>
        <v>att_digestion_method:fasp</v>
      </c>
      <c r="D327" s="9" t="s">
        <v>17</v>
      </c>
      <c r="E327" s="8" t="s">
        <v>1025</v>
      </c>
      <c r="F327" s="8" t="s">
        <v>1026</v>
      </c>
    </row>
    <row r="328" spans="1:6" x14ac:dyDescent="0.15">
      <c r="A328" s="8" t="s">
        <v>1027</v>
      </c>
      <c r="B328" s="8" t="s">
        <v>27</v>
      </c>
      <c r="C328" s="8" t="str">
        <f t="shared" si="10"/>
        <v>att_digestion_method:ingel</v>
      </c>
      <c r="D328" s="9" t="s">
        <v>17</v>
      </c>
      <c r="E328" s="8" t="s">
        <v>1028</v>
      </c>
      <c r="F328" s="8" t="s">
        <v>1029</v>
      </c>
    </row>
    <row r="329" spans="1:6" x14ac:dyDescent="0.15">
      <c r="A329" s="8" t="s">
        <v>1030</v>
      </c>
      <c r="B329" s="8" t="s">
        <v>27</v>
      </c>
      <c r="C329" s="8" t="str">
        <f t="shared" si="10"/>
        <v>att_digestion_method:insol</v>
      </c>
      <c r="D329" s="9" t="s">
        <v>17</v>
      </c>
      <c r="E329" s="8" t="s">
        <v>1031</v>
      </c>
      <c r="F329" s="8" t="s">
        <v>1032</v>
      </c>
    </row>
    <row r="330" spans="1:6" x14ac:dyDescent="0.15">
      <c r="A330" s="8" t="s">
        <v>1033</v>
      </c>
      <c r="B330" s="8" t="s">
        <v>27</v>
      </c>
      <c r="C330" s="8" t="str">
        <f t="shared" si="10"/>
        <v>att_digestion_method:sp3</v>
      </c>
      <c r="D330" s="9" t="s">
        <v>17</v>
      </c>
      <c r="E330" s="8" t="s">
        <v>1034</v>
      </c>
      <c r="F330" s="8" t="s">
        <v>1035</v>
      </c>
    </row>
    <row r="331" spans="1:6" x14ac:dyDescent="0.15">
      <c r="A331" s="8" t="s">
        <v>1036</v>
      </c>
      <c r="B331" s="8" t="s">
        <v>101</v>
      </c>
      <c r="C331" s="8" t="str">
        <f t="shared" si="10"/>
        <v>att_digestion_temp:23c</v>
      </c>
      <c r="D331" s="9" t="s">
        <v>17</v>
      </c>
      <c r="E331" s="8" t="s">
        <v>1037</v>
      </c>
      <c r="F331" s="8" t="s">
        <v>1038</v>
      </c>
    </row>
    <row r="332" spans="1:6" x14ac:dyDescent="0.15">
      <c r="A332" s="8" t="s">
        <v>1039</v>
      </c>
      <c r="B332" s="8" t="s">
        <v>101</v>
      </c>
      <c r="C332" s="8" t="str">
        <f t="shared" si="10"/>
        <v>att_digestion_temp:37c</v>
      </c>
      <c r="D332" s="9" t="s">
        <v>17</v>
      </c>
      <c r="E332" s="8" t="s">
        <v>1040</v>
      </c>
      <c r="F332" s="8" t="s">
        <v>1041</v>
      </c>
    </row>
    <row r="333" spans="1:6" x14ac:dyDescent="0.15">
      <c r="A333" s="8" t="s">
        <v>1042</v>
      </c>
      <c r="B333" s="8" t="s">
        <v>102</v>
      </c>
      <c r="C333" s="8" t="str">
        <f t="shared" si="10"/>
        <v>att_digestion_time:12h</v>
      </c>
      <c r="D333" s="9" t="s">
        <v>17</v>
      </c>
      <c r="E333" s="8" t="s">
        <v>1043</v>
      </c>
      <c r="F333" s="8" t="s">
        <v>1044</v>
      </c>
    </row>
    <row r="334" spans="1:6" x14ac:dyDescent="0.15">
      <c r="A334" s="8" t="s">
        <v>1045</v>
      </c>
      <c r="B334" s="8" t="s">
        <v>102</v>
      </c>
      <c r="C334" s="8" t="str">
        <f t="shared" si="10"/>
        <v>att_digestion_time:16h</v>
      </c>
      <c r="D334" s="9" t="s">
        <v>17</v>
      </c>
      <c r="E334" s="8" t="s">
        <v>1046</v>
      </c>
      <c r="F334" s="8" t="s">
        <v>1047</v>
      </c>
    </row>
    <row r="335" spans="1:6" x14ac:dyDescent="0.15">
      <c r="A335" s="8" t="s">
        <v>1048</v>
      </c>
      <c r="B335" s="8" t="s">
        <v>102</v>
      </c>
      <c r="C335" s="8" t="str">
        <f t="shared" si="10"/>
        <v>att_digestion_time:8h</v>
      </c>
      <c r="D335" s="9" t="s">
        <v>17</v>
      </c>
      <c r="E335" s="8" t="s">
        <v>1049</v>
      </c>
      <c r="F335" s="8" t="s">
        <v>1050</v>
      </c>
    </row>
    <row r="336" spans="1:6" x14ac:dyDescent="0.15">
      <c r="A336" s="8" t="s">
        <v>1051</v>
      </c>
      <c r="B336" s="8" t="s">
        <v>104</v>
      </c>
      <c r="C336" s="8" t="str">
        <f t="shared" si="10"/>
        <v>att_digestion_vessel:384well_plate</v>
      </c>
      <c r="D336" s="9" t="s">
        <v>17</v>
      </c>
      <c r="E336" s="8" t="s">
        <v>1052</v>
      </c>
      <c r="F336" s="8" t="s">
        <v>1052</v>
      </c>
    </row>
    <row r="337" spans="1:6" x14ac:dyDescent="0.15">
      <c r="A337" s="8" t="s">
        <v>1053</v>
      </c>
      <c r="B337" s="8" t="s">
        <v>104</v>
      </c>
      <c r="C337" s="8" t="str">
        <f t="shared" ref="C337:C402" si="12">B337&amp;":"&amp;A337</f>
        <v>att_digestion_vessel:96well_plate</v>
      </c>
      <c r="D337" s="9" t="s">
        <v>17</v>
      </c>
      <c r="E337" s="8" t="s">
        <v>1054</v>
      </c>
      <c r="F337" s="8" t="s">
        <v>1055</v>
      </c>
    </row>
    <row r="338" spans="1:6" x14ac:dyDescent="0.15">
      <c r="A338" s="8" t="s">
        <v>1056</v>
      </c>
      <c r="B338" s="8" t="s">
        <v>104</v>
      </c>
      <c r="C338" s="8" t="str">
        <f t="shared" si="12"/>
        <v>att_digestion_vessel:onefive_ml_tube</v>
      </c>
      <c r="D338" s="9" t="s">
        <v>17</v>
      </c>
      <c r="E338" s="8" t="s">
        <v>1057</v>
      </c>
      <c r="F338" s="8" t="s">
        <v>1058</v>
      </c>
    </row>
    <row r="339" spans="1:6" x14ac:dyDescent="0.15">
      <c r="A339" s="8" t="s">
        <v>1059</v>
      </c>
      <c r="B339" s="8" t="s">
        <v>104</v>
      </c>
      <c r="C339" s="8" t="str">
        <f t="shared" si="12"/>
        <v>att_digestion_vessel:pcrstripe</v>
      </c>
      <c r="D339" s="9" t="s">
        <v>17</v>
      </c>
      <c r="E339" s="8" t="s">
        <v>1060</v>
      </c>
      <c r="F339" s="8" t="s">
        <v>1060</v>
      </c>
    </row>
    <row r="340" spans="1:6" x14ac:dyDescent="0.15">
      <c r="A340" s="8" t="s">
        <v>1061</v>
      </c>
      <c r="B340" s="8" t="s">
        <v>104</v>
      </c>
      <c r="C340" s="8" t="str">
        <f t="shared" si="12"/>
        <v>att_digestion_vessel:two_ml_tube</v>
      </c>
      <c r="D340" s="9" t="s">
        <v>17</v>
      </c>
      <c r="E340" s="8" t="s">
        <v>1062</v>
      </c>
      <c r="F340" s="8" t="s">
        <v>1063</v>
      </c>
    </row>
    <row r="341" spans="1:6" x14ac:dyDescent="0.15">
      <c r="A341" s="8" t="s">
        <v>1064</v>
      </c>
      <c r="B341" s="8" t="s">
        <v>107</v>
      </c>
      <c r="C341" s="8" t="str">
        <f t="shared" si="12"/>
        <v>att_disease:als</v>
      </c>
      <c r="D341" s="8" t="s">
        <v>1064</v>
      </c>
      <c r="E341" s="8" t="s">
        <v>1065</v>
      </c>
      <c r="F341" s="8" t="s">
        <v>1066</v>
      </c>
    </row>
    <row r="342" spans="1:6" x14ac:dyDescent="0.15">
      <c r="A342" s="8" t="s">
        <v>1067</v>
      </c>
      <c r="B342" s="8" t="s">
        <v>107</v>
      </c>
      <c r="C342" s="8" t="str">
        <f t="shared" si="12"/>
        <v>att_disease:alzheimer</v>
      </c>
      <c r="D342" s="8" t="s">
        <v>1067</v>
      </c>
      <c r="E342" s="8" t="s">
        <v>1068</v>
      </c>
      <c r="F342" s="8" t="s">
        <v>1069</v>
      </c>
    </row>
    <row r="343" spans="1:6" x14ac:dyDescent="0.15">
      <c r="A343" s="8" t="s">
        <v>1070</v>
      </c>
      <c r="B343" s="8" t="s">
        <v>107</v>
      </c>
      <c r="C343" s="8" t="str">
        <f t="shared" si="12"/>
        <v>att_disease:autoimmune</v>
      </c>
      <c r="D343" s="8" t="s">
        <v>1070</v>
      </c>
      <c r="E343" s="8" t="s">
        <v>1071</v>
      </c>
      <c r="F343" s="8" t="s">
        <v>1072</v>
      </c>
    </row>
    <row r="344" spans="1:6" x14ac:dyDescent="0.15">
      <c r="A344" s="8" t="s">
        <v>1073</v>
      </c>
      <c r="B344" s="8" t="s">
        <v>107</v>
      </c>
      <c r="C344" s="8" t="str">
        <f t="shared" si="12"/>
        <v>att_disease:cancer</v>
      </c>
      <c r="D344" s="8" t="s">
        <v>1073</v>
      </c>
      <c r="E344" s="8" t="s">
        <v>1074</v>
      </c>
      <c r="F344" s="8" t="s">
        <v>1075</v>
      </c>
    </row>
    <row r="345" spans="1:6" x14ac:dyDescent="0.15">
      <c r="A345" s="8" t="s">
        <v>1076</v>
      </c>
      <c r="B345" s="8" t="s">
        <v>107</v>
      </c>
      <c r="C345" s="8" t="str">
        <f t="shared" si="12"/>
        <v>att_disease:cardiovascular_diseases</v>
      </c>
      <c r="D345" s="8" t="s">
        <v>1077</v>
      </c>
      <c r="E345" s="8" t="s">
        <v>1078</v>
      </c>
      <c r="F345" s="8" t="s">
        <v>1079</v>
      </c>
    </row>
    <row r="346" spans="1:6" x14ac:dyDescent="0.15">
      <c r="A346" s="8" t="s">
        <v>1080</v>
      </c>
      <c r="B346" s="8" t="s">
        <v>107</v>
      </c>
      <c r="C346" s="8" t="str">
        <f t="shared" si="12"/>
        <v>att_disease:chronic_inflammation</v>
      </c>
      <c r="D346" s="8" t="s">
        <v>1081</v>
      </c>
      <c r="E346" s="8" t="s">
        <v>1082</v>
      </c>
      <c r="F346" s="8" t="s">
        <v>1083</v>
      </c>
    </row>
    <row r="347" spans="1:6" x14ac:dyDescent="0.15">
      <c r="A347" s="8" t="s">
        <v>1084</v>
      </c>
      <c r="B347" s="8" t="s">
        <v>107</v>
      </c>
      <c r="C347" s="8" t="str">
        <f t="shared" si="12"/>
        <v>att_disease:coeliac</v>
      </c>
      <c r="D347" s="8" t="s">
        <v>1084</v>
      </c>
      <c r="E347" s="8" t="s">
        <v>1085</v>
      </c>
      <c r="F347" s="8" t="s">
        <v>1086</v>
      </c>
    </row>
    <row r="348" spans="1:6" x14ac:dyDescent="0.15">
      <c r="A348" s="8" t="s">
        <v>1087</v>
      </c>
      <c r="B348" s="8" t="s">
        <v>107</v>
      </c>
      <c r="C348" s="8" t="str">
        <f t="shared" si="12"/>
        <v>att_disease:covid19</v>
      </c>
      <c r="D348" s="8" t="s">
        <v>1087</v>
      </c>
      <c r="E348" s="8" t="s">
        <v>1088</v>
      </c>
      <c r="F348" s="8" t="s">
        <v>1089</v>
      </c>
    </row>
    <row r="349" spans="1:6" x14ac:dyDescent="0.15">
      <c r="A349" s="8" t="s">
        <v>1090</v>
      </c>
      <c r="B349" s="8" t="s">
        <v>107</v>
      </c>
      <c r="C349" s="8" t="str">
        <f t="shared" si="12"/>
        <v>att_disease:dementia</v>
      </c>
      <c r="D349" s="8" t="s">
        <v>1090</v>
      </c>
      <c r="E349" s="8" t="s">
        <v>1091</v>
      </c>
      <c r="F349" s="8" t="s">
        <v>1091</v>
      </c>
    </row>
    <row r="350" spans="1:6" x14ac:dyDescent="0.15">
      <c r="A350" s="8" t="s">
        <v>1092</v>
      </c>
      <c r="B350" s="8" t="s">
        <v>107</v>
      </c>
      <c r="C350" s="8" t="str">
        <f t="shared" si="12"/>
        <v>att_disease:demyelinating</v>
      </c>
      <c r="D350" s="8" t="s">
        <v>1092</v>
      </c>
      <c r="E350" s="8" t="s">
        <v>1093</v>
      </c>
      <c r="F350" s="8" t="s">
        <v>1094</v>
      </c>
    </row>
    <row r="351" spans="1:6" x14ac:dyDescent="0.15">
      <c r="A351" s="8" t="s">
        <v>1095</v>
      </c>
      <c r="B351" s="8" t="s">
        <v>107</v>
      </c>
      <c r="C351" s="8" t="str">
        <f t="shared" si="12"/>
        <v>att_disease:diabetes</v>
      </c>
      <c r="D351" s="8" t="s">
        <v>1095</v>
      </c>
      <c r="E351" s="8" t="s">
        <v>1096</v>
      </c>
      <c r="F351" s="8" t="s">
        <v>1096</v>
      </c>
    </row>
    <row r="352" spans="1:6" x14ac:dyDescent="0.15">
      <c r="A352" s="8" t="s">
        <v>1097</v>
      </c>
      <c r="B352" s="8" t="s">
        <v>107</v>
      </c>
      <c r="C352" s="8" t="str">
        <f t="shared" si="12"/>
        <v>att_disease:glioblastoma</v>
      </c>
      <c r="D352" s="8" t="s">
        <v>1097</v>
      </c>
      <c r="E352" s="8" t="s">
        <v>1098</v>
      </c>
      <c r="F352" s="8" t="s">
        <v>1099</v>
      </c>
    </row>
    <row r="353" spans="1:6" x14ac:dyDescent="0.15">
      <c r="A353" s="8" t="s">
        <v>1100</v>
      </c>
      <c r="B353" s="8" t="s">
        <v>107</v>
      </c>
      <c r="C353" s="8" t="str">
        <f t="shared" si="12"/>
        <v>att_disease:hiv</v>
      </c>
      <c r="D353" s="8" t="s">
        <v>1100</v>
      </c>
      <c r="E353" s="8" t="s">
        <v>1101</v>
      </c>
      <c r="F353" s="8" t="s">
        <v>1102</v>
      </c>
    </row>
    <row r="354" spans="1:6" x14ac:dyDescent="0.15">
      <c r="A354" s="8" t="s">
        <v>1103</v>
      </c>
      <c r="B354" s="8" t="s">
        <v>107</v>
      </c>
      <c r="C354" s="8" t="str">
        <f t="shared" si="12"/>
        <v>att_disease:huntington</v>
      </c>
      <c r="D354" s="8" t="s">
        <v>1103</v>
      </c>
      <c r="E354" s="8" t="s">
        <v>1104</v>
      </c>
      <c r="F354" s="8" t="s">
        <v>1105</v>
      </c>
    </row>
    <row r="355" spans="1:6" x14ac:dyDescent="0.15">
      <c r="A355" s="8" t="s">
        <v>1106</v>
      </c>
      <c r="B355" s="8" t="s">
        <v>107</v>
      </c>
      <c r="C355" s="8" t="str">
        <f t="shared" si="12"/>
        <v>att_disease:ibd</v>
      </c>
      <c r="D355" s="8" t="s">
        <v>1106</v>
      </c>
      <c r="E355" s="8" t="s">
        <v>1107</v>
      </c>
      <c r="F355" s="8" t="s">
        <v>1108</v>
      </c>
    </row>
    <row r="356" spans="1:6" x14ac:dyDescent="0.15">
      <c r="A356" s="8" t="s">
        <v>1109</v>
      </c>
      <c r="B356" s="8" t="s">
        <v>107</v>
      </c>
      <c r="C356" s="8" t="str">
        <f t="shared" si="12"/>
        <v>att_disease:infection</v>
      </c>
      <c r="D356" s="8" t="s">
        <v>1109</v>
      </c>
      <c r="E356" s="8" t="s">
        <v>1110</v>
      </c>
      <c r="F356" s="8" t="s">
        <v>1111</v>
      </c>
    </row>
    <row r="357" spans="1:6" x14ac:dyDescent="0.15">
      <c r="A357" s="8" t="s">
        <v>1112</v>
      </c>
      <c r="B357" s="8" t="s">
        <v>107</v>
      </c>
      <c r="C357" s="8" t="str">
        <f t="shared" si="12"/>
        <v>att_disease:influenza</v>
      </c>
      <c r="D357" s="8" t="s">
        <v>1112</v>
      </c>
      <c r="E357" s="8" t="s">
        <v>1113</v>
      </c>
      <c r="F357" s="8" t="s">
        <v>1114</v>
      </c>
    </row>
    <row r="358" spans="1:6" x14ac:dyDescent="0.15">
      <c r="A358" s="8" t="s">
        <v>1115</v>
      </c>
      <c r="B358" s="8" t="s">
        <v>107</v>
      </c>
      <c r="C358" s="8" t="str">
        <f t="shared" si="12"/>
        <v>att_disease:leukemia</v>
      </c>
      <c r="D358" s="8" t="s">
        <v>1115</v>
      </c>
      <c r="E358" s="8" t="s">
        <v>627</v>
      </c>
      <c r="F358" s="8" t="s">
        <v>1116</v>
      </c>
    </row>
    <row r="359" spans="1:6" x14ac:dyDescent="0.15">
      <c r="A359" s="8" t="s">
        <v>1117</v>
      </c>
      <c r="B359" s="8" t="s">
        <v>107</v>
      </c>
      <c r="C359" s="8" t="str">
        <f t="shared" si="12"/>
        <v>att_disease:lymphoma</v>
      </c>
      <c r="D359" s="8" t="s">
        <v>1117</v>
      </c>
      <c r="E359" s="8" t="s">
        <v>1118</v>
      </c>
      <c r="F359" s="8" t="s">
        <v>1119</v>
      </c>
    </row>
    <row r="360" spans="1:6" x14ac:dyDescent="0.15">
      <c r="A360" s="8" t="s">
        <v>1120</v>
      </c>
      <c r="B360" s="8" t="s">
        <v>107</v>
      </c>
      <c r="C360" s="8" t="str">
        <f t="shared" si="12"/>
        <v>att_disease:malaria</v>
      </c>
      <c r="D360" s="8" t="s">
        <v>1120</v>
      </c>
      <c r="E360" s="8" t="s">
        <v>1121</v>
      </c>
      <c r="F360" s="8" t="s">
        <v>1122</v>
      </c>
    </row>
    <row r="361" spans="1:6" x14ac:dyDescent="0.15">
      <c r="A361" s="8" t="s">
        <v>25</v>
      </c>
      <c r="B361" s="8" t="s">
        <v>107</v>
      </c>
      <c r="C361" s="8" t="str">
        <f t="shared" si="12"/>
        <v>att_disease:ms</v>
      </c>
      <c r="D361" s="8" t="s">
        <v>25</v>
      </c>
      <c r="E361" s="8" t="s">
        <v>1123</v>
      </c>
      <c r="F361" s="8" t="s">
        <v>1124</v>
      </c>
    </row>
    <row r="362" spans="1:6" x14ac:dyDescent="0.15">
      <c r="A362" s="8" t="s">
        <v>1125</v>
      </c>
      <c r="B362" s="8" t="s">
        <v>107</v>
      </c>
      <c r="C362" s="8" t="str">
        <f t="shared" si="12"/>
        <v>att_disease:msa</v>
      </c>
      <c r="D362" s="8" t="s">
        <v>1125</v>
      </c>
      <c r="E362" s="8" t="s">
        <v>1126</v>
      </c>
      <c r="F362" s="8" t="s">
        <v>1127</v>
      </c>
    </row>
    <row r="363" spans="1:6" x14ac:dyDescent="0.15">
      <c r="A363" s="8" t="s">
        <v>1128</v>
      </c>
      <c r="B363" s="8" t="s">
        <v>107</v>
      </c>
      <c r="C363" s="8" t="str">
        <f t="shared" si="12"/>
        <v>att_disease:neurodegenerative</v>
      </c>
      <c r="D363" s="8" t="s">
        <v>1128</v>
      </c>
      <c r="E363" s="8" t="s">
        <v>1129</v>
      </c>
      <c r="F363" s="8" t="s">
        <v>1130</v>
      </c>
    </row>
    <row r="364" spans="1:6" x14ac:dyDescent="0.15">
      <c r="A364" s="8" t="s">
        <v>1131</v>
      </c>
      <c r="B364" s="8" t="s">
        <v>107</v>
      </c>
      <c r="C364" s="8" t="str">
        <f t="shared" si="12"/>
        <v>att_disease:parkinson</v>
      </c>
      <c r="D364" s="8" t="s">
        <v>1131</v>
      </c>
      <c r="E364" s="8" t="s">
        <v>1132</v>
      </c>
      <c r="F364" s="8" t="s">
        <v>1133</v>
      </c>
    </row>
    <row r="365" spans="1:6" x14ac:dyDescent="0.15">
      <c r="A365" s="8" t="s">
        <v>1134</v>
      </c>
      <c r="B365" s="8" t="s">
        <v>107</v>
      </c>
      <c r="C365" s="8" t="str">
        <f t="shared" si="12"/>
        <v>att_disease:prion</v>
      </c>
      <c r="D365" s="8" t="s">
        <v>1134</v>
      </c>
      <c r="E365" s="8" t="s">
        <v>1135</v>
      </c>
      <c r="F365" s="8" t="s">
        <v>1136</v>
      </c>
    </row>
    <row r="366" spans="1:6" x14ac:dyDescent="0.15">
      <c r="A366" s="8" t="s">
        <v>1137</v>
      </c>
      <c r="B366" s="8" t="s">
        <v>107</v>
      </c>
      <c r="C366" s="8" t="str">
        <f t="shared" si="12"/>
        <v>att_disease:rheumatoid</v>
      </c>
      <c r="D366" s="8" t="s">
        <v>1137</v>
      </c>
      <c r="E366" s="8" t="s">
        <v>1138</v>
      </c>
      <c r="F366" s="8" t="s">
        <v>1139</v>
      </c>
    </row>
    <row r="367" spans="1:6" x14ac:dyDescent="0.15">
      <c r="A367" s="8" t="s">
        <v>1140</v>
      </c>
      <c r="B367" s="8" t="s">
        <v>107</v>
      </c>
      <c r="C367" s="8" t="str">
        <f t="shared" si="12"/>
        <v>att_disease:stress</v>
      </c>
      <c r="D367" s="8" t="s">
        <v>1140</v>
      </c>
      <c r="E367" s="8" t="s">
        <v>1141</v>
      </c>
      <c r="F367" s="8" t="s">
        <v>1142</v>
      </c>
    </row>
    <row r="368" spans="1:6" x14ac:dyDescent="0.15">
      <c r="A368" s="8" t="s">
        <v>1143</v>
      </c>
      <c r="B368" s="8" t="s">
        <v>107</v>
      </c>
      <c r="C368" s="8" t="str">
        <f t="shared" si="12"/>
        <v>att_disease:stroke</v>
      </c>
      <c r="D368" s="8" t="s">
        <v>1143</v>
      </c>
      <c r="E368" s="8" t="s">
        <v>1144</v>
      </c>
      <c r="F368" s="8" t="s">
        <v>1145</v>
      </c>
    </row>
    <row r="369" spans="1:6" x14ac:dyDescent="0.15">
      <c r="A369" s="8" t="s">
        <v>1146</v>
      </c>
      <c r="B369" s="8" t="s">
        <v>107</v>
      </c>
      <c r="C369" s="8" t="str">
        <f t="shared" si="12"/>
        <v>att_disease:tuberculosis</v>
      </c>
      <c r="D369" s="8" t="s">
        <v>1146</v>
      </c>
      <c r="E369" s="8" t="s">
        <v>1147</v>
      </c>
      <c r="F369" s="8" t="s">
        <v>1148</v>
      </c>
    </row>
    <row r="370" spans="1:6" x14ac:dyDescent="0.15">
      <c r="A370" s="8" t="s">
        <v>1149</v>
      </c>
      <c r="B370" s="8" t="s">
        <v>109</v>
      </c>
      <c r="C370" s="8" t="str">
        <f t="shared" si="12"/>
        <v>att_environment_treatment:hypoxia</v>
      </c>
      <c r="D370" s="8" t="s">
        <v>1149</v>
      </c>
      <c r="E370" s="8" t="s">
        <v>1150</v>
      </c>
      <c r="F370" s="8" t="s">
        <v>1151</v>
      </c>
    </row>
    <row r="371" spans="1:6" x14ac:dyDescent="0.15">
      <c r="A371" s="8" t="s">
        <v>1152</v>
      </c>
      <c r="B371" s="8" t="s">
        <v>109</v>
      </c>
      <c r="C371" s="8" t="str">
        <f t="shared" si="12"/>
        <v>att_environment_treatment:normoxia</v>
      </c>
      <c r="D371" s="8" t="s">
        <v>1152</v>
      </c>
      <c r="E371" s="8" t="s">
        <v>1153</v>
      </c>
      <c r="F371" s="8" t="s">
        <v>1154</v>
      </c>
    </row>
    <row r="372" spans="1:6" x14ac:dyDescent="0.15">
      <c r="A372" s="8" t="s">
        <v>1155</v>
      </c>
      <c r="B372" s="8" t="s">
        <v>111</v>
      </c>
      <c r="C372" s="8" t="str">
        <f t="shared" si="12"/>
        <v>att_experiment:acetylome</v>
      </c>
      <c r="D372" s="8" t="s">
        <v>1155</v>
      </c>
      <c r="E372" s="8" t="s">
        <v>1156</v>
      </c>
      <c r="F372" s="8" t="s">
        <v>1156</v>
      </c>
    </row>
    <row r="373" spans="1:6" x14ac:dyDescent="0.15">
      <c r="A373" s="8" t="s">
        <v>1157</v>
      </c>
      <c r="B373" s="8" t="s">
        <v>111</v>
      </c>
      <c r="C373" s="8" t="str">
        <f t="shared" si="12"/>
        <v>att_experiment:dvp</v>
      </c>
      <c r="D373" s="8" t="s">
        <v>1157</v>
      </c>
      <c r="E373" s="8" t="s">
        <v>1158</v>
      </c>
      <c r="F373" s="8" t="s">
        <v>1159</v>
      </c>
    </row>
    <row r="374" spans="1:6" x14ac:dyDescent="0.15">
      <c r="A374" s="8" t="s">
        <v>1160</v>
      </c>
      <c r="B374" s="8" t="s">
        <v>111</v>
      </c>
      <c r="C374" s="8" t="str">
        <f t="shared" si="12"/>
        <v>att_experiment:expression_proteome</v>
      </c>
      <c r="D374" s="8" t="s">
        <v>1161</v>
      </c>
      <c r="E374" s="8" t="s">
        <v>1162</v>
      </c>
      <c r="F374" s="8" t="s">
        <v>1162</v>
      </c>
    </row>
    <row r="375" spans="1:6" x14ac:dyDescent="0.15">
      <c r="A375" s="8" t="s">
        <v>3214</v>
      </c>
      <c r="B375" s="8" t="s">
        <v>111</v>
      </c>
      <c r="C375" s="8" t="str">
        <f t="shared" si="12"/>
        <v>att_experiment:proximity</v>
      </c>
      <c r="D375" s="8" t="s">
        <v>3215</v>
      </c>
      <c r="E375" s="8" t="s">
        <v>3216</v>
      </c>
      <c r="F375" s="8" t="s">
        <v>3217</v>
      </c>
    </row>
    <row r="376" spans="1:6" x14ac:dyDescent="0.15">
      <c r="A376" s="8" t="s">
        <v>1163</v>
      </c>
      <c r="B376" s="8" t="s">
        <v>111</v>
      </c>
      <c r="C376" s="8" t="str">
        <f t="shared" si="12"/>
        <v>att_experiment:interaction</v>
      </c>
      <c r="D376" s="8" t="s">
        <v>1163</v>
      </c>
      <c r="E376" s="8" t="s">
        <v>1164</v>
      </c>
      <c r="F376" s="8" t="s">
        <v>1164</v>
      </c>
    </row>
    <row r="377" spans="1:6" x14ac:dyDescent="0.15">
      <c r="A377" s="8" t="s">
        <v>1165</v>
      </c>
      <c r="B377" s="8" t="s">
        <v>111</v>
      </c>
      <c r="C377" s="8" t="str">
        <f t="shared" si="12"/>
        <v>att_experiment:metrs</v>
      </c>
      <c r="D377" s="8" t="s">
        <v>1165</v>
      </c>
      <c r="E377" s="8" t="s">
        <v>1166</v>
      </c>
      <c r="F377" s="8" t="s">
        <v>1166</v>
      </c>
    </row>
    <row r="378" spans="1:6" x14ac:dyDescent="0.15">
      <c r="A378" s="8" t="s">
        <v>1167</v>
      </c>
      <c r="B378" s="8" t="s">
        <v>111</v>
      </c>
      <c r="C378" s="8" t="str">
        <f t="shared" si="12"/>
        <v>att_experiment:neo_nterm_enrichment</v>
      </c>
      <c r="D378" s="8" t="s">
        <v>1168</v>
      </c>
      <c r="E378" s="8" t="s">
        <v>1169</v>
      </c>
      <c r="F378" s="8" t="s">
        <v>1169</v>
      </c>
    </row>
    <row r="379" spans="1:6" x14ac:dyDescent="0.15">
      <c r="A379" s="8" t="s">
        <v>1170</v>
      </c>
      <c r="B379" s="8" t="s">
        <v>111</v>
      </c>
      <c r="C379" s="8" t="str">
        <f t="shared" si="12"/>
        <v>att_experiment:oxinome</v>
      </c>
      <c r="D379" s="8" t="s">
        <v>1170</v>
      </c>
      <c r="E379" s="8" t="s">
        <v>1171</v>
      </c>
      <c r="F379" s="8" t="s">
        <v>1171</v>
      </c>
    </row>
    <row r="380" spans="1:6" x14ac:dyDescent="0.15">
      <c r="A380" s="8" t="s">
        <v>1172</v>
      </c>
      <c r="B380" s="8" t="s">
        <v>111</v>
      </c>
      <c r="C380" s="8" t="str">
        <f t="shared" si="12"/>
        <v>att_experiment:phosphoproteome</v>
      </c>
      <c r="D380" s="8" t="s">
        <v>1172</v>
      </c>
      <c r="E380" s="8" t="s">
        <v>1173</v>
      </c>
      <c r="F380" s="8" t="s">
        <v>1173</v>
      </c>
    </row>
    <row r="381" spans="1:6" x14ac:dyDescent="0.15">
      <c r="A381" s="8" t="s">
        <v>1174</v>
      </c>
      <c r="B381" s="8" t="s">
        <v>111</v>
      </c>
      <c r="C381" s="8" t="str">
        <f t="shared" si="12"/>
        <v>att_experiment:pulse_silac</v>
      </c>
      <c r="D381" s="8" t="s">
        <v>1174</v>
      </c>
      <c r="E381" s="8" t="s">
        <v>1175</v>
      </c>
      <c r="F381" s="8" t="s">
        <v>1175</v>
      </c>
    </row>
    <row r="382" spans="1:6" x14ac:dyDescent="0.15">
      <c r="A382" s="8" t="s">
        <v>1176</v>
      </c>
      <c r="B382" s="8" t="s">
        <v>111</v>
      </c>
      <c r="C382" s="8" t="str">
        <f t="shared" si="12"/>
        <v>att_experiment:secretome</v>
      </c>
      <c r="D382" s="8" t="s">
        <v>1176</v>
      </c>
      <c r="E382" s="8" t="s">
        <v>1177</v>
      </c>
      <c r="F382" s="8" t="s">
        <v>1177</v>
      </c>
    </row>
    <row r="383" spans="1:6" x14ac:dyDescent="0.15">
      <c r="A383" s="8" t="s">
        <v>1178</v>
      </c>
      <c r="B383" s="8" t="s">
        <v>111</v>
      </c>
      <c r="C383" s="8" t="str">
        <f t="shared" si="12"/>
        <v>att_experiment:spatial</v>
      </c>
      <c r="D383" s="8" t="s">
        <v>1178</v>
      </c>
      <c r="E383" s="8" t="s">
        <v>1179</v>
      </c>
      <c r="F383" s="8" t="s">
        <v>1179</v>
      </c>
    </row>
    <row r="384" spans="1:6" x14ac:dyDescent="0.15">
      <c r="A384" s="8" t="s">
        <v>1180</v>
      </c>
      <c r="B384" s="8" t="s">
        <v>111</v>
      </c>
      <c r="C384" s="8" t="str">
        <f t="shared" si="12"/>
        <v>att_experiment:ubiquitinome</v>
      </c>
      <c r="D384" s="8" t="s">
        <v>1180</v>
      </c>
      <c r="E384" s="8" t="s">
        <v>1181</v>
      </c>
      <c r="F384" s="8" t="s">
        <v>1181</v>
      </c>
    </row>
    <row r="385" spans="1:6" x14ac:dyDescent="0.15">
      <c r="A385" s="8" t="s">
        <v>3184</v>
      </c>
      <c r="B385" s="8" t="s">
        <v>111</v>
      </c>
      <c r="C385" s="8" t="str">
        <f t="shared" si="12"/>
        <v>att_experiment:solub</v>
      </c>
      <c r="D385" s="8" t="s">
        <v>3185</v>
      </c>
      <c r="E385" s="8" t="s">
        <v>3186</v>
      </c>
      <c r="F385" s="8" t="s">
        <v>3187</v>
      </c>
    </row>
    <row r="386" spans="1:6" x14ac:dyDescent="0.15">
      <c r="A386" s="8" t="s">
        <v>1182</v>
      </c>
      <c r="B386" s="8" t="s">
        <v>118</v>
      </c>
      <c r="C386" s="8" t="str">
        <f t="shared" si="12"/>
        <v>att_faims_inner_temp:100c</v>
      </c>
      <c r="D386" s="9" t="s">
        <v>17</v>
      </c>
      <c r="E386" s="8">
        <v>100</v>
      </c>
      <c r="F386" s="9" t="s">
        <v>17</v>
      </c>
    </row>
    <row r="387" spans="1:6" x14ac:dyDescent="0.15">
      <c r="A387" s="8" t="s">
        <v>1183</v>
      </c>
      <c r="B387" s="8" t="s">
        <v>118</v>
      </c>
      <c r="C387" s="8" t="str">
        <f t="shared" si="12"/>
        <v>att_faims_inner_temp:95c</v>
      </c>
      <c r="D387" s="9" t="s">
        <v>17</v>
      </c>
      <c r="E387" s="8">
        <v>95</v>
      </c>
      <c r="F387" s="9" t="s">
        <v>17</v>
      </c>
    </row>
    <row r="388" spans="1:6" x14ac:dyDescent="0.15">
      <c r="A388" s="8" t="s">
        <v>1184</v>
      </c>
      <c r="B388" s="8" t="s">
        <v>118</v>
      </c>
      <c r="C388" s="8" t="str">
        <f t="shared" si="12"/>
        <v>att_faims_inner_temp:96c</v>
      </c>
      <c r="D388" s="9" t="s">
        <v>17</v>
      </c>
      <c r="E388" s="8">
        <v>96</v>
      </c>
      <c r="F388" s="9" t="s">
        <v>17</v>
      </c>
    </row>
    <row r="389" spans="1:6" x14ac:dyDescent="0.15">
      <c r="A389" s="8" t="s">
        <v>1185</v>
      </c>
      <c r="B389" s="8" t="s">
        <v>118</v>
      </c>
      <c r="C389" s="8" t="str">
        <f t="shared" si="12"/>
        <v>att_faims_inner_temp:97c</v>
      </c>
      <c r="D389" s="9" t="s">
        <v>17</v>
      </c>
      <c r="E389" s="8">
        <v>97</v>
      </c>
      <c r="F389" s="9" t="s">
        <v>17</v>
      </c>
    </row>
    <row r="390" spans="1:6" x14ac:dyDescent="0.15">
      <c r="A390" s="8" t="s">
        <v>1186</v>
      </c>
      <c r="B390" s="8" t="s">
        <v>118</v>
      </c>
      <c r="C390" s="8" t="str">
        <f t="shared" si="12"/>
        <v>att_faims_inner_temp:98c</v>
      </c>
      <c r="D390" s="9" t="s">
        <v>17</v>
      </c>
      <c r="E390" s="8">
        <v>98</v>
      </c>
      <c r="F390" s="9" t="s">
        <v>17</v>
      </c>
    </row>
    <row r="391" spans="1:6" x14ac:dyDescent="0.15">
      <c r="A391" s="8" t="s">
        <v>1187</v>
      </c>
      <c r="B391" s="8" t="s">
        <v>118</v>
      </c>
      <c r="C391" s="8" t="str">
        <f t="shared" si="12"/>
        <v>att_faims_inner_temp:99c</v>
      </c>
      <c r="D391" s="9" t="s">
        <v>17</v>
      </c>
      <c r="E391" s="8">
        <v>99</v>
      </c>
      <c r="F391" s="9" t="s">
        <v>17</v>
      </c>
    </row>
    <row r="392" spans="1:6" x14ac:dyDescent="0.15">
      <c r="A392" s="8" t="s">
        <v>1182</v>
      </c>
      <c r="B392" s="8" t="s">
        <v>120</v>
      </c>
      <c r="C392" s="8" t="str">
        <f t="shared" si="12"/>
        <v>att_faims_outer_temp:100c</v>
      </c>
      <c r="D392" s="9" t="s">
        <v>17</v>
      </c>
      <c r="E392" s="8">
        <v>100</v>
      </c>
      <c r="F392" s="9" t="s">
        <v>17</v>
      </c>
    </row>
    <row r="393" spans="1:6" x14ac:dyDescent="0.15">
      <c r="A393" s="8" t="s">
        <v>1183</v>
      </c>
      <c r="B393" s="8" t="s">
        <v>120</v>
      </c>
      <c r="C393" s="8" t="str">
        <f t="shared" si="12"/>
        <v>att_faims_outer_temp:95c</v>
      </c>
      <c r="D393" s="9" t="s">
        <v>17</v>
      </c>
      <c r="E393" s="8">
        <v>95</v>
      </c>
      <c r="F393" s="9" t="s">
        <v>17</v>
      </c>
    </row>
    <row r="394" spans="1:6" x14ac:dyDescent="0.15">
      <c r="A394" s="8" t="s">
        <v>1184</v>
      </c>
      <c r="B394" s="8" t="s">
        <v>120</v>
      </c>
      <c r="C394" s="8" t="str">
        <f t="shared" si="12"/>
        <v>att_faims_outer_temp:96c</v>
      </c>
      <c r="D394" s="9" t="s">
        <v>17</v>
      </c>
      <c r="E394" s="8">
        <v>96</v>
      </c>
      <c r="F394" s="9" t="s">
        <v>17</v>
      </c>
    </row>
    <row r="395" spans="1:6" x14ac:dyDescent="0.15">
      <c r="A395" s="8" t="s">
        <v>1185</v>
      </c>
      <c r="B395" s="8" t="s">
        <v>120</v>
      </c>
      <c r="C395" s="8" t="str">
        <f t="shared" si="12"/>
        <v>att_faims_outer_temp:97c</v>
      </c>
      <c r="D395" s="9" t="s">
        <v>17</v>
      </c>
      <c r="E395" s="8">
        <v>97</v>
      </c>
      <c r="F395" s="9" t="s">
        <v>17</v>
      </c>
    </row>
    <row r="396" spans="1:6" x14ac:dyDescent="0.15">
      <c r="A396" s="8" t="s">
        <v>1186</v>
      </c>
      <c r="B396" s="8" t="s">
        <v>120</v>
      </c>
      <c r="C396" s="8" t="str">
        <f t="shared" si="12"/>
        <v>att_faims_outer_temp:98c</v>
      </c>
      <c r="D396" s="9" t="s">
        <v>17</v>
      </c>
      <c r="E396" s="8">
        <v>98</v>
      </c>
      <c r="F396" s="9" t="s">
        <v>17</v>
      </c>
    </row>
    <row r="397" spans="1:6" x14ac:dyDescent="0.15">
      <c r="A397" s="8" t="s">
        <v>1187</v>
      </c>
      <c r="B397" s="8" t="s">
        <v>120</v>
      </c>
      <c r="C397" s="8" t="str">
        <f t="shared" si="12"/>
        <v>att_faims_outer_temp:99c</v>
      </c>
      <c r="D397" s="9" t="s">
        <v>17</v>
      </c>
      <c r="E397" s="8">
        <v>99</v>
      </c>
      <c r="F397" s="9" t="s">
        <v>17</v>
      </c>
    </row>
    <row r="398" spans="1:6" x14ac:dyDescent="0.15">
      <c r="A398" s="8" t="s">
        <v>1188</v>
      </c>
      <c r="B398" s="8" t="s">
        <v>1189</v>
      </c>
      <c r="C398" s="8" t="str">
        <f t="shared" si="12"/>
        <v>att_fluid:bal</v>
      </c>
      <c r="D398" s="9" t="s">
        <v>17</v>
      </c>
      <c r="E398" s="8" t="s">
        <v>1190</v>
      </c>
      <c r="F398" s="8" t="s">
        <v>1191</v>
      </c>
    </row>
    <row r="399" spans="1:6" x14ac:dyDescent="0.15">
      <c r="A399" s="8" t="s">
        <v>1192</v>
      </c>
      <c r="B399" s="8" t="s">
        <v>1189</v>
      </c>
      <c r="C399" s="8" t="str">
        <f t="shared" si="12"/>
        <v>att_fluid:cerebrospinal</v>
      </c>
      <c r="D399" s="9" t="s">
        <v>17</v>
      </c>
      <c r="E399" s="8" t="s">
        <v>1193</v>
      </c>
      <c r="F399" s="8" t="s">
        <v>1194</v>
      </c>
    </row>
    <row r="400" spans="1:6" x14ac:dyDescent="0.15">
      <c r="A400" s="8" t="s">
        <v>1195</v>
      </c>
      <c r="B400" s="8" t="s">
        <v>1189</v>
      </c>
      <c r="C400" s="8" t="str">
        <f t="shared" si="12"/>
        <v>att_fluid:feces</v>
      </c>
      <c r="D400" s="9" t="s">
        <v>17</v>
      </c>
      <c r="E400" s="8" t="s">
        <v>1196</v>
      </c>
      <c r="F400" s="8" t="s">
        <v>1197</v>
      </c>
    </row>
    <row r="401" spans="1:6" x14ac:dyDescent="0.15">
      <c r="A401" s="8" t="s">
        <v>1198</v>
      </c>
      <c r="B401" s="8" t="s">
        <v>1189</v>
      </c>
      <c r="C401" s="8" t="str">
        <f t="shared" si="12"/>
        <v>att_fluid:interstitial</v>
      </c>
      <c r="D401" s="9" t="s">
        <v>17</v>
      </c>
      <c r="E401" s="8" t="s">
        <v>1199</v>
      </c>
      <c r="F401" s="8" t="s">
        <v>1200</v>
      </c>
    </row>
    <row r="402" spans="1:6" x14ac:dyDescent="0.15">
      <c r="A402" s="8" t="s">
        <v>1201</v>
      </c>
      <c r="B402" s="8" t="s">
        <v>1189</v>
      </c>
      <c r="C402" s="8" t="str">
        <f t="shared" si="12"/>
        <v>att_fluid:lymph</v>
      </c>
      <c r="D402" s="9" t="s">
        <v>17</v>
      </c>
      <c r="E402" s="8" t="s">
        <v>1202</v>
      </c>
      <c r="F402" s="8" t="s">
        <v>1203</v>
      </c>
    </row>
    <row r="403" spans="1:6" x14ac:dyDescent="0.15">
      <c r="A403" s="8" t="s">
        <v>1204</v>
      </c>
      <c r="B403" s="8" t="s">
        <v>1189</v>
      </c>
      <c r="C403" s="8" t="str">
        <f t="shared" ref="C403:C447" si="13">B403&amp;":"&amp;A403</f>
        <v>att_fluid:peritoneal</v>
      </c>
      <c r="D403" s="9" t="s">
        <v>17</v>
      </c>
      <c r="E403" s="8" t="s">
        <v>1205</v>
      </c>
      <c r="F403" s="8" t="s">
        <v>1206</v>
      </c>
    </row>
    <row r="404" spans="1:6" x14ac:dyDescent="0.15">
      <c r="A404" s="8" t="s">
        <v>1207</v>
      </c>
      <c r="B404" s="8" t="s">
        <v>1189</v>
      </c>
      <c r="C404" s="8" t="str">
        <f t="shared" si="13"/>
        <v>att_fluid:plasma</v>
      </c>
      <c r="D404" s="9" t="s">
        <v>17</v>
      </c>
      <c r="E404" s="8" t="s">
        <v>1208</v>
      </c>
      <c r="F404" s="8" t="s">
        <v>1209</v>
      </c>
    </row>
    <row r="405" spans="1:6" x14ac:dyDescent="0.15">
      <c r="A405" s="8" t="s">
        <v>1210</v>
      </c>
      <c r="B405" s="8" t="s">
        <v>1189</v>
      </c>
      <c r="C405" s="8" t="str">
        <f t="shared" si="13"/>
        <v>att_fluid:pleural</v>
      </c>
      <c r="D405" s="9" t="s">
        <v>17</v>
      </c>
      <c r="E405" s="8" t="s">
        <v>1211</v>
      </c>
      <c r="F405" s="8" t="s">
        <v>1212</v>
      </c>
    </row>
    <row r="406" spans="1:6" x14ac:dyDescent="0.15">
      <c r="A406" s="8" t="s">
        <v>1213</v>
      </c>
      <c r="B406" s="8" t="s">
        <v>1189</v>
      </c>
      <c r="C406" s="8" t="str">
        <f t="shared" si="13"/>
        <v>att_fluid:saliva</v>
      </c>
      <c r="D406" s="9" t="s">
        <v>17</v>
      </c>
      <c r="E406" s="8" t="s">
        <v>1214</v>
      </c>
      <c r="F406" s="8" t="s">
        <v>1215</v>
      </c>
    </row>
    <row r="407" spans="1:6" x14ac:dyDescent="0.15">
      <c r="A407" s="8" t="s">
        <v>1216</v>
      </c>
      <c r="B407" s="8" t="s">
        <v>1189</v>
      </c>
      <c r="C407" s="8" t="str">
        <f t="shared" si="13"/>
        <v>att_fluid:seminal</v>
      </c>
      <c r="D407" s="9" t="s">
        <v>17</v>
      </c>
      <c r="E407" s="8" t="s">
        <v>1217</v>
      </c>
      <c r="F407" s="8" t="s">
        <v>1218</v>
      </c>
    </row>
    <row r="408" spans="1:6" x14ac:dyDescent="0.15">
      <c r="A408" s="8" t="s">
        <v>1219</v>
      </c>
      <c r="B408" s="8" t="s">
        <v>1189</v>
      </c>
      <c r="C408" s="8" t="str">
        <f t="shared" si="13"/>
        <v>att_fluid:serum</v>
      </c>
      <c r="D408" s="9" t="s">
        <v>17</v>
      </c>
      <c r="E408" s="8" t="s">
        <v>1220</v>
      </c>
      <c r="F408" s="8" t="s">
        <v>1221</v>
      </c>
    </row>
    <row r="409" spans="1:6" x14ac:dyDescent="0.15">
      <c r="A409" s="8" t="s">
        <v>1222</v>
      </c>
      <c r="B409" s="8" t="s">
        <v>1189</v>
      </c>
      <c r="C409" s="8" t="str">
        <f t="shared" si="13"/>
        <v>att_fluid:urine</v>
      </c>
      <c r="D409" s="9" t="s">
        <v>17</v>
      </c>
      <c r="E409" s="8" t="s">
        <v>1223</v>
      </c>
      <c r="F409" s="8" t="s">
        <v>1224</v>
      </c>
    </row>
    <row r="410" spans="1:6" x14ac:dyDescent="0.15">
      <c r="A410" s="8" t="s">
        <v>1225</v>
      </c>
      <c r="B410" s="8" t="s">
        <v>1226</v>
      </c>
      <c r="C410" s="8" t="str">
        <f t="shared" si="13"/>
        <v>att_fraction:01k</v>
      </c>
      <c r="D410" s="8" t="s">
        <v>1225</v>
      </c>
      <c r="E410" s="8" t="s">
        <v>1225</v>
      </c>
      <c r="F410" s="8" t="s">
        <v>1227</v>
      </c>
    </row>
    <row r="411" spans="1:6" x14ac:dyDescent="0.15">
      <c r="A411" s="8" t="s">
        <v>1228</v>
      </c>
      <c r="B411" s="8" t="s">
        <v>1226</v>
      </c>
      <c r="C411" s="8" t="str">
        <f t="shared" si="13"/>
        <v>att_fraction:05k</v>
      </c>
      <c r="D411" s="8" t="s">
        <v>1228</v>
      </c>
      <c r="E411" s="8" t="s">
        <v>1228</v>
      </c>
      <c r="F411" s="8" t="s">
        <v>1229</v>
      </c>
    </row>
    <row r="412" spans="1:6" x14ac:dyDescent="0.15">
      <c r="A412" s="8" t="s">
        <v>1230</v>
      </c>
      <c r="B412" s="8" t="s">
        <v>1226</v>
      </c>
      <c r="C412" s="8" t="str">
        <f t="shared" si="13"/>
        <v>att_fraction:12k</v>
      </c>
      <c r="D412" s="8" t="s">
        <v>1230</v>
      </c>
      <c r="E412" s="8" t="s">
        <v>1230</v>
      </c>
      <c r="F412" s="8" t="s">
        <v>1231</v>
      </c>
    </row>
    <row r="413" spans="1:6" x14ac:dyDescent="0.15">
      <c r="A413" s="8" t="s">
        <v>1232</v>
      </c>
      <c r="B413" s="8" t="s">
        <v>1226</v>
      </c>
      <c r="C413" s="8" t="str">
        <f t="shared" si="13"/>
        <v>att_fraction:24k</v>
      </c>
      <c r="D413" s="8" t="s">
        <v>1232</v>
      </c>
      <c r="E413" s="8" t="s">
        <v>1232</v>
      </c>
      <c r="F413" s="8" t="s">
        <v>1233</v>
      </c>
    </row>
    <row r="414" spans="1:6" x14ac:dyDescent="0.15">
      <c r="A414" s="8" t="s">
        <v>1234</v>
      </c>
      <c r="B414" s="8" t="s">
        <v>1226</v>
      </c>
      <c r="C414" s="8" t="str">
        <f t="shared" si="13"/>
        <v>att_fraction:79k</v>
      </c>
      <c r="D414" s="8" t="s">
        <v>1234</v>
      </c>
      <c r="E414" s="8" t="s">
        <v>1234</v>
      </c>
      <c r="F414" s="8" t="s">
        <v>1235</v>
      </c>
    </row>
    <row r="415" spans="1:6" x14ac:dyDescent="0.15">
      <c r="A415" s="8" t="s">
        <v>1236</v>
      </c>
      <c r="B415" s="8" t="s">
        <v>1226</v>
      </c>
      <c r="C415" s="8" t="str">
        <f t="shared" si="13"/>
        <v>att_fraction:crude_mito</v>
      </c>
      <c r="D415" s="8" t="s">
        <v>1237</v>
      </c>
      <c r="E415" s="8" t="s">
        <v>1238</v>
      </c>
      <c r="F415" s="8" t="s">
        <v>1239</v>
      </c>
    </row>
    <row r="416" spans="1:6" x14ac:dyDescent="0.15">
      <c r="A416" s="8" t="s">
        <v>1240</v>
      </c>
      <c r="B416" s="8" t="s">
        <v>1226</v>
      </c>
      <c r="C416" s="8" t="str">
        <f t="shared" si="13"/>
        <v>att_fraction:cytosolic</v>
      </c>
      <c r="D416" s="8" t="s">
        <v>1240</v>
      </c>
      <c r="E416" s="8" t="s">
        <v>1241</v>
      </c>
      <c r="F416" s="8" t="s">
        <v>1242</v>
      </c>
    </row>
    <row r="417" spans="1:6" x14ac:dyDescent="0.15">
      <c r="A417" s="8" t="s">
        <v>1243</v>
      </c>
      <c r="B417" s="8" t="s">
        <v>1226</v>
      </c>
      <c r="C417" s="8" t="str">
        <f t="shared" si="13"/>
        <v>att_fraction:total</v>
      </c>
      <c r="D417" s="8" t="s">
        <v>1243</v>
      </c>
      <c r="E417" s="8" t="s">
        <v>1244</v>
      </c>
      <c r="F417" s="8" t="s">
        <v>1245</v>
      </c>
    </row>
    <row r="418" spans="1:6" x14ac:dyDescent="0.15">
      <c r="A418" s="8" t="s">
        <v>3167</v>
      </c>
      <c r="B418" s="8" t="s">
        <v>1226</v>
      </c>
      <c r="C418" s="8" t="str">
        <f t="shared" si="13"/>
        <v>att_fraction:pellet</v>
      </c>
      <c r="D418" s="8" t="s">
        <v>3167</v>
      </c>
      <c r="E418" s="8" t="s">
        <v>3168</v>
      </c>
      <c r="F418" s="8" t="s">
        <v>3170</v>
      </c>
    </row>
    <row r="419" spans="1:6" x14ac:dyDescent="0.15">
      <c r="A419" s="8" t="s">
        <v>2994</v>
      </c>
      <c r="B419" s="8" t="s">
        <v>1226</v>
      </c>
      <c r="C419" s="8" t="str">
        <f t="shared" si="13"/>
        <v>att_fraction:supernatant</v>
      </c>
      <c r="D419" s="8" t="s">
        <v>2994</v>
      </c>
      <c r="E419" s="8" t="s">
        <v>2995</v>
      </c>
      <c r="F419" s="8" t="s">
        <v>3169</v>
      </c>
    </row>
    <row r="420" spans="1:6" x14ac:dyDescent="0.15">
      <c r="A420" s="8" t="s">
        <v>2950</v>
      </c>
      <c r="B420" s="8" t="s">
        <v>127</v>
      </c>
      <c r="C420" s="8" t="str">
        <f t="shared" si="13"/>
        <v>att_gene_editing_method:homologrecombination</v>
      </c>
      <c r="D420" s="8" t="s">
        <v>17</v>
      </c>
      <c r="E420" s="8" t="s">
        <v>2951</v>
      </c>
      <c r="F420" s="8" t="s">
        <v>2952</v>
      </c>
    </row>
    <row r="421" spans="1:6" x14ac:dyDescent="0.15">
      <c r="A421" s="8" t="s">
        <v>1246</v>
      </c>
      <c r="B421" s="8" t="s">
        <v>127</v>
      </c>
      <c r="C421" s="8" t="str">
        <f t="shared" si="13"/>
        <v>att_gene_editing_method:biggybac</v>
      </c>
      <c r="D421" s="9" t="s">
        <v>17</v>
      </c>
      <c r="E421" s="8" t="s">
        <v>1247</v>
      </c>
      <c r="F421" s="8" t="s">
        <v>1248</v>
      </c>
    </row>
    <row r="422" spans="1:6" x14ac:dyDescent="0.15">
      <c r="A422" s="8" t="s">
        <v>1249</v>
      </c>
      <c r="B422" s="8" t="s">
        <v>127</v>
      </c>
      <c r="C422" s="8" t="str">
        <f t="shared" si="13"/>
        <v>att_gene_editing_method:crispr</v>
      </c>
      <c r="D422" s="9" t="s">
        <v>17</v>
      </c>
      <c r="E422" s="8" t="s">
        <v>1250</v>
      </c>
      <c r="F422" s="8" t="s">
        <v>1251</v>
      </c>
    </row>
    <row r="423" spans="1:6" x14ac:dyDescent="0.15">
      <c r="A423" s="8" t="s">
        <v>1252</v>
      </c>
      <c r="B423" s="8" t="s">
        <v>127</v>
      </c>
      <c r="C423" s="8" t="str">
        <f t="shared" si="13"/>
        <v>att_gene_editing_method:crispr_hdr</v>
      </c>
      <c r="D423" s="9" t="s">
        <v>17</v>
      </c>
      <c r="E423" s="8" t="s">
        <v>1253</v>
      </c>
      <c r="F423" s="8" t="s">
        <v>1254</v>
      </c>
    </row>
    <row r="424" spans="1:6" x14ac:dyDescent="0.15">
      <c r="A424" s="8" t="s">
        <v>1255</v>
      </c>
      <c r="B424" s="8" t="s">
        <v>127</v>
      </c>
      <c r="C424" s="8" t="str">
        <f t="shared" si="13"/>
        <v>att_gene_editing_method:lentiviral</v>
      </c>
      <c r="D424" s="9" t="s">
        <v>17</v>
      </c>
      <c r="E424" s="8" t="s">
        <v>1256</v>
      </c>
      <c r="F424" s="8" t="s">
        <v>1257</v>
      </c>
    </row>
    <row r="425" spans="1:6" x14ac:dyDescent="0.15">
      <c r="A425" s="8" t="s">
        <v>1258</v>
      </c>
      <c r="B425" s="8" t="s">
        <v>127</v>
      </c>
      <c r="C425" s="8" t="str">
        <f t="shared" si="13"/>
        <v>att_gene_editing_method:talen</v>
      </c>
      <c r="D425" s="9" t="s">
        <v>17</v>
      </c>
      <c r="E425" s="8" t="s">
        <v>1259</v>
      </c>
      <c r="F425" s="8" t="s">
        <v>1260</v>
      </c>
    </row>
    <row r="426" spans="1:6" x14ac:dyDescent="0.15">
      <c r="A426" s="8" t="s">
        <v>1261</v>
      </c>
      <c r="B426" s="8" t="s">
        <v>127</v>
      </c>
      <c r="C426" s="8" t="str">
        <f t="shared" si="13"/>
        <v>att_gene_editing_method:zincfinger</v>
      </c>
      <c r="D426" s="9" t="s">
        <v>17</v>
      </c>
      <c r="E426" s="8" t="s">
        <v>1262</v>
      </c>
      <c r="F426" s="8" t="s">
        <v>1263</v>
      </c>
    </row>
    <row r="427" spans="1:6" x14ac:dyDescent="0.15">
      <c r="A427" s="8" t="s">
        <v>1264</v>
      </c>
      <c r="B427" s="8" t="s">
        <v>131</v>
      </c>
      <c r="C427" s="8" t="str">
        <f t="shared" si="13"/>
        <v>att_gene_engineering:deletion</v>
      </c>
      <c r="D427" s="9" t="s">
        <v>17</v>
      </c>
      <c r="E427" s="8" t="s">
        <v>1265</v>
      </c>
      <c r="F427" s="8" t="s">
        <v>1266</v>
      </c>
    </row>
    <row r="428" spans="1:6" x14ac:dyDescent="0.15">
      <c r="A428" s="8" t="s">
        <v>1267</v>
      </c>
      <c r="B428" s="8" t="s">
        <v>131</v>
      </c>
      <c r="C428" s="8" t="str">
        <f t="shared" si="13"/>
        <v>att_gene_engineering:inducible_expression</v>
      </c>
      <c r="D428" s="9" t="s">
        <v>17</v>
      </c>
      <c r="E428" s="8" t="s">
        <v>1268</v>
      </c>
      <c r="F428" s="8" t="s">
        <v>1269</v>
      </c>
    </row>
    <row r="429" spans="1:6" x14ac:dyDescent="0.15">
      <c r="A429" s="8" t="s">
        <v>1270</v>
      </c>
      <c r="B429" s="8" t="s">
        <v>131</v>
      </c>
      <c r="C429" s="8" t="str">
        <f t="shared" si="13"/>
        <v>att_gene_engineering:knockin</v>
      </c>
      <c r="D429" s="9" t="s">
        <v>17</v>
      </c>
      <c r="E429" s="8" t="s">
        <v>1271</v>
      </c>
      <c r="F429" s="8" t="s">
        <v>1272</v>
      </c>
    </row>
    <row r="430" spans="1:6" x14ac:dyDescent="0.15">
      <c r="A430" s="8" t="s">
        <v>1273</v>
      </c>
      <c r="B430" s="8" t="s">
        <v>131</v>
      </c>
      <c r="C430" s="8" t="str">
        <f t="shared" si="13"/>
        <v>att_gene_engineering:ko</v>
      </c>
      <c r="D430" s="9" t="s">
        <v>17</v>
      </c>
      <c r="E430" s="8" t="s">
        <v>1274</v>
      </c>
      <c r="F430" s="8" t="s">
        <v>1275</v>
      </c>
    </row>
    <row r="431" spans="1:6" x14ac:dyDescent="0.15">
      <c r="A431" s="8" t="s">
        <v>1276</v>
      </c>
      <c r="B431" s="8" t="s">
        <v>131</v>
      </c>
      <c r="C431" s="8" t="str">
        <f t="shared" si="13"/>
        <v>att_gene_engineering:stable_expression</v>
      </c>
      <c r="D431" s="9" t="s">
        <v>17</v>
      </c>
      <c r="E431" s="8" t="s">
        <v>1277</v>
      </c>
      <c r="F431" s="8" t="s">
        <v>1278</v>
      </c>
    </row>
    <row r="432" spans="1:6" x14ac:dyDescent="0.15">
      <c r="A432" s="8" t="s">
        <v>2796</v>
      </c>
      <c r="B432" s="8" t="s">
        <v>128</v>
      </c>
      <c r="C432" s="8" t="str">
        <f t="shared" si="13"/>
        <v>att_gene_zygosity:(+/-)</v>
      </c>
      <c r="D432" s="9" t="s">
        <v>17</v>
      </c>
      <c r="E432" s="8" t="s">
        <v>1279</v>
      </c>
      <c r="F432" s="8" t="s">
        <v>1280</v>
      </c>
    </row>
    <row r="433" spans="1:6" x14ac:dyDescent="0.15">
      <c r="A433" s="8" t="s">
        <v>2797</v>
      </c>
      <c r="B433" s="8" t="s">
        <v>128</v>
      </c>
      <c r="C433" s="8" t="str">
        <f t="shared" ref="C433:C441" si="14">B433&amp;":"&amp;A433</f>
        <v>att_gene_zygosity:(-/-)</v>
      </c>
      <c r="D433" s="9" t="s">
        <v>17</v>
      </c>
      <c r="E433" s="8" t="s">
        <v>1281</v>
      </c>
      <c r="F433" s="8" t="s">
        <v>1282</v>
      </c>
    </row>
    <row r="434" spans="1:6" x14ac:dyDescent="0.15">
      <c r="A434" s="8" t="s">
        <v>2798</v>
      </c>
      <c r="B434" s="8" t="s">
        <v>128</v>
      </c>
      <c r="C434" s="8" t="str">
        <f t="shared" si="14"/>
        <v>att_gene_zygosity:(+/+)</v>
      </c>
      <c r="D434" s="9" t="s">
        <v>17</v>
      </c>
      <c r="E434" s="8" t="s">
        <v>2790</v>
      </c>
      <c r="F434" s="8" t="s">
        <v>2791</v>
      </c>
    </row>
    <row r="435" spans="1:6" x14ac:dyDescent="0.15">
      <c r="A435" s="8" t="s">
        <v>3016</v>
      </c>
      <c r="B435" s="8" t="s">
        <v>128</v>
      </c>
      <c r="C435" s="8" t="str">
        <f t="shared" si="14"/>
        <v>att_gene_zygosity:hemi</v>
      </c>
      <c r="D435" s="9" t="s">
        <v>17</v>
      </c>
      <c r="E435" s="8" t="s">
        <v>3017</v>
      </c>
      <c r="F435" s="8" t="s">
        <v>3018</v>
      </c>
    </row>
    <row r="436" spans="1:6" x14ac:dyDescent="0.15">
      <c r="A436" s="8" t="s">
        <v>2801</v>
      </c>
      <c r="B436" s="8" t="s">
        <v>128</v>
      </c>
      <c r="C436" s="8" t="str">
        <f t="shared" si="14"/>
        <v>att_gene_zygosity:unknown</v>
      </c>
      <c r="D436" s="9" t="s">
        <v>17</v>
      </c>
      <c r="E436" s="8" t="s">
        <v>2847</v>
      </c>
      <c r="F436" s="8" t="s">
        <v>2802</v>
      </c>
    </row>
    <row r="437" spans="1:6" x14ac:dyDescent="0.15">
      <c r="A437" s="8" t="s">
        <v>2945</v>
      </c>
      <c r="B437" s="8" t="s">
        <v>2943</v>
      </c>
      <c r="C437" s="8" t="str">
        <f t="shared" si="14"/>
        <v>att_gender:male</v>
      </c>
      <c r="D437" s="9" t="s">
        <v>17</v>
      </c>
      <c r="E437" s="8" t="s">
        <v>2946</v>
      </c>
      <c r="F437" s="8" t="s">
        <v>2946</v>
      </c>
    </row>
    <row r="438" spans="1:6" x14ac:dyDescent="0.15">
      <c r="A438" s="8" t="s">
        <v>2947</v>
      </c>
      <c r="B438" s="8" t="s">
        <v>2943</v>
      </c>
      <c r="C438" s="8" t="str">
        <f t="shared" si="14"/>
        <v>att_gender:female</v>
      </c>
      <c r="D438" s="9" t="s">
        <v>17</v>
      </c>
      <c r="E438" s="8" t="s">
        <v>2948</v>
      </c>
      <c r="F438" s="8" t="s">
        <v>2948</v>
      </c>
    </row>
    <row r="439" spans="1:6" x14ac:dyDescent="0.15">
      <c r="A439" s="8">
        <v>60</v>
      </c>
      <c r="B439" s="8" t="s">
        <v>143</v>
      </c>
      <c r="C439" s="8" t="str">
        <f t="shared" si="14"/>
        <v>att_lc_gradient_length:60</v>
      </c>
      <c r="D439" s="9" t="s">
        <v>17</v>
      </c>
      <c r="E439" s="8" t="s">
        <v>3060</v>
      </c>
      <c r="F439" s="8" t="s">
        <v>3061</v>
      </c>
    </row>
    <row r="440" spans="1:6" x14ac:dyDescent="0.15">
      <c r="A440" s="8">
        <v>90</v>
      </c>
      <c r="B440" s="8" t="s">
        <v>143</v>
      </c>
      <c r="C440" s="8" t="str">
        <f t="shared" ref="C440" si="15">B440&amp;":"&amp;A440</f>
        <v>att_lc_gradient_length:90</v>
      </c>
      <c r="D440" s="9" t="s">
        <v>17</v>
      </c>
      <c r="E440" s="8" t="s">
        <v>3059</v>
      </c>
      <c r="F440" s="8" t="s">
        <v>3062</v>
      </c>
    </row>
    <row r="441" spans="1:6" x14ac:dyDescent="0.15">
      <c r="A441" s="8">
        <v>120</v>
      </c>
      <c r="B441" s="8" t="s">
        <v>143</v>
      </c>
      <c r="C441" s="8" t="str">
        <f t="shared" si="14"/>
        <v>att_lc_gradient_length:120</v>
      </c>
      <c r="D441" s="9" t="s">
        <v>17</v>
      </c>
      <c r="E441" s="8" t="s">
        <v>3057</v>
      </c>
      <c r="F441" s="8" t="s">
        <v>3058</v>
      </c>
    </row>
    <row r="442" spans="1:6" x14ac:dyDescent="0.15">
      <c r="A442" s="8" t="s">
        <v>1283</v>
      </c>
      <c r="B442" s="8" t="s">
        <v>135</v>
      </c>
      <c r="C442" s="8" t="str">
        <f t="shared" si="13"/>
        <v>att_isolation_width:14dia</v>
      </c>
      <c r="D442" s="9" t="s">
        <v>17</v>
      </c>
      <c r="E442" s="8">
        <v>14</v>
      </c>
      <c r="F442" s="8" t="s">
        <v>1284</v>
      </c>
    </row>
    <row r="443" spans="1:6" x14ac:dyDescent="0.15">
      <c r="A443" s="8" t="s">
        <v>1285</v>
      </c>
      <c r="B443" s="8" t="s">
        <v>135</v>
      </c>
      <c r="C443" s="8" t="str">
        <f t="shared" si="13"/>
        <v>att_isolation_width:onepointfour</v>
      </c>
      <c r="D443" s="9" t="s">
        <v>17</v>
      </c>
      <c r="E443" s="8">
        <v>1.4</v>
      </c>
      <c r="F443" s="8" t="s">
        <v>1286</v>
      </c>
    </row>
    <row r="444" spans="1:6" x14ac:dyDescent="0.15">
      <c r="A444" s="8" t="s">
        <v>1287</v>
      </c>
      <c r="B444" s="8" t="s">
        <v>138</v>
      </c>
      <c r="C444" s="8" t="str">
        <f t="shared" si="13"/>
        <v>att_knockdown_technique:esirna</v>
      </c>
      <c r="D444" s="8" t="s">
        <v>1287</v>
      </c>
      <c r="E444" s="8" t="s">
        <v>1288</v>
      </c>
      <c r="F444" s="8" t="s">
        <v>1289</v>
      </c>
    </row>
    <row r="445" spans="1:6" x14ac:dyDescent="0.15">
      <c r="A445" s="8" t="s">
        <v>1290</v>
      </c>
      <c r="B445" s="8" t="s">
        <v>138</v>
      </c>
      <c r="C445" s="8" t="str">
        <f t="shared" si="13"/>
        <v>att_knockdown_technique:grna</v>
      </c>
      <c r="D445" s="8" t="s">
        <v>1290</v>
      </c>
      <c r="E445" s="8" t="s">
        <v>1291</v>
      </c>
      <c r="F445" s="8" t="s">
        <v>1292</v>
      </c>
    </row>
    <row r="446" spans="1:6" x14ac:dyDescent="0.15">
      <c r="A446" s="8" t="s">
        <v>1293</v>
      </c>
      <c r="B446" s="8" t="s">
        <v>138</v>
      </c>
      <c r="C446" s="8" t="str">
        <f t="shared" si="13"/>
        <v>att_knockdown_technique:mirna</v>
      </c>
      <c r="D446" s="8" t="s">
        <v>1293</v>
      </c>
      <c r="E446" s="8" t="s">
        <v>1294</v>
      </c>
      <c r="F446" s="8" t="s">
        <v>1295</v>
      </c>
    </row>
    <row r="447" spans="1:6" x14ac:dyDescent="0.15">
      <c r="A447" s="8" t="s">
        <v>1296</v>
      </c>
      <c r="B447" s="8" t="s">
        <v>138</v>
      </c>
      <c r="C447" s="8" t="str">
        <f t="shared" si="13"/>
        <v>att_knockdown_technique:shrna</v>
      </c>
      <c r="D447" s="8" t="s">
        <v>1296</v>
      </c>
      <c r="E447" s="8" t="s">
        <v>1297</v>
      </c>
      <c r="F447" s="8" t="s">
        <v>1298</v>
      </c>
    </row>
    <row r="448" spans="1:6" x14ac:dyDescent="0.15">
      <c r="A448" s="8" t="s">
        <v>1299</v>
      </c>
      <c r="B448" s="8" t="s">
        <v>138</v>
      </c>
      <c r="C448" s="8" t="str">
        <f t="shared" ref="C448:C523" si="16">B448&amp;":"&amp;A448</f>
        <v>att_knockdown_technique:sirna</v>
      </c>
      <c r="D448" s="8" t="s">
        <v>1299</v>
      </c>
      <c r="E448" s="8" t="s">
        <v>1300</v>
      </c>
      <c r="F448" s="8" t="s">
        <v>1301</v>
      </c>
    </row>
    <row r="449" spans="1:6" x14ac:dyDescent="0.15">
      <c r="A449" s="8" t="s">
        <v>3189</v>
      </c>
      <c r="B449" s="8" t="s">
        <v>141</v>
      </c>
      <c r="C449" s="8" t="str">
        <f t="shared" ref="C449" si="17">B449&amp;":"&amp;A449</f>
        <v>att_lc_flow_rate:185nlmin</v>
      </c>
      <c r="D449" s="9" t="s">
        <v>17</v>
      </c>
      <c r="E449" s="8">
        <v>185</v>
      </c>
      <c r="F449" s="8" t="s">
        <v>3188</v>
      </c>
    </row>
    <row r="450" spans="1:6" x14ac:dyDescent="0.15">
      <c r="A450" s="8" t="s">
        <v>1302</v>
      </c>
      <c r="B450" s="8" t="s">
        <v>141</v>
      </c>
      <c r="C450" s="8" t="str">
        <f t="shared" si="16"/>
        <v>att_lc_flow_rate:200nlmin</v>
      </c>
      <c r="D450" s="9" t="s">
        <v>17</v>
      </c>
      <c r="E450" s="8">
        <v>200</v>
      </c>
      <c r="F450" s="8" t="s">
        <v>1303</v>
      </c>
    </row>
    <row r="451" spans="1:6" x14ac:dyDescent="0.15">
      <c r="A451" s="8" t="s">
        <v>1304</v>
      </c>
      <c r="B451" s="8" t="s">
        <v>141</v>
      </c>
      <c r="C451" s="8" t="str">
        <f t="shared" si="16"/>
        <v>att_lc_flow_rate:250nlmin</v>
      </c>
      <c r="D451" s="9" t="s">
        <v>17</v>
      </c>
      <c r="E451" s="8">
        <v>250</v>
      </c>
      <c r="F451" s="8" t="s">
        <v>1305</v>
      </c>
    </row>
    <row r="452" spans="1:6" x14ac:dyDescent="0.15">
      <c r="A452" s="8" t="s">
        <v>1306</v>
      </c>
      <c r="B452" s="8" t="s">
        <v>141</v>
      </c>
      <c r="C452" s="8" t="str">
        <f t="shared" si="16"/>
        <v>att_lc_flow_rate:500nlmin</v>
      </c>
      <c r="D452" s="9" t="s">
        <v>17</v>
      </c>
      <c r="E452" s="8">
        <v>500</v>
      </c>
      <c r="F452" s="8" t="s">
        <v>1307</v>
      </c>
    </row>
    <row r="453" spans="1:6" x14ac:dyDescent="0.15">
      <c r="A453" s="8" t="s">
        <v>1308</v>
      </c>
      <c r="B453" s="8" t="s">
        <v>144</v>
      </c>
      <c r="C453" s="8" t="str">
        <f t="shared" si="16"/>
        <v>att_lc_system:e1000</v>
      </c>
      <c r="D453" s="8" t="s">
        <v>1308</v>
      </c>
      <c r="E453" s="8" t="s">
        <v>1309</v>
      </c>
      <c r="F453" s="8" t="s">
        <v>1310</v>
      </c>
    </row>
    <row r="454" spans="1:6" x14ac:dyDescent="0.15">
      <c r="A454" s="8" t="s">
        <v>1311</v>
      </c>
      <c r="B454" s="8" t="s">
        <v>144</v>
      </c>
      <c r="C454" s="8" t="str">
        <f t="shared" si="16"/>
        <v>att_lc_system:e1200</v>
      </c>
      <c r="D454" s="8" t="s">
        <v>1311</v>
      </c>
      <c r="E454" s="8" t="s">
        <v>1312</v>
      </c>
      <c r="F454" s="8" t="s">
        <v>1313</v>
      </c>
    </row>
    <row r="455" spans="1:6" x14ac:dyDescent="0.15">
      <c r="A455" s="8" t="s">
        <v>1314</v>
      </c>
      <c r="B455" s="8" t="s">
        <v>144</v>
      </c>
      <c r="C455" s="8" t="str">
        <f t="shared" si="16"/>
        <v>att_lc_system:evosep</v>
      </c>
      <c r="D455" s="8" t="s">
        <v>1314</v>
      </c>
      <c r="E455" s="8" t="s">
        <v>1315</v>
      </c>
      <c r="F455" s="8" t="s">
        <v>1315</v>
      </c>
    </row>
    <row r="456" spans="1:6" x14ac:dyDescent="0.15">
      <c r="A456" s="8" t="s">
        <v>1316</v>
      </c>
      <c r="B456" s="8" t="s">
        <v>144</v>
      </c>
      <c r="C456" s="8" t="str">
        <f t="shared" si="16"/>
        <v>att_lc_system:nanoelute</v>
      </c>
      <c r="D456" s="8" t="s">
        <v>1316</v>
      </c>
      <c r="E456" s="8" t="s">
        <v>1317</v>
      </c>
      <c r="F456" s="8" t="s">
        <v>1318</v>
      </c>
    </row>
    <row r="457" spans="1:6" x14ac:dyDescent="0.15">
      <c r="A457" s="8" t="s">
        <v>1319</v>
      </c>
      <c r="B457" s="8" t="s">
        <v>144</v>
      </c>
      <c r="C457" s="8" t="str">
        <f t="shared" si="16"/>
        <v>att_lc_system:ultimate</v>
      </c>
      <c r="D457" s="8" t="s">
        <v>1319</v>
      </c>
      <c r="E457" s="8" t="s">
        <v>1320</v>
      </c>
      <c r="F457" s="8" t="s">
        <v>1321</v>
      </c>
    </row>
    <row r="458" spans="1:6" x14ac:dyDescent="0.15">
      <c r="A458" s="8" t="s">
        <v>1322</v>
      </c>
      <c r="B458" s="8" t="s">
        <v>144</v>
      </c>
      <c r="C458" s="8" t="str">
        <f t="shared" si="16"/>
        <v>att_lc_system:vanquish</v>
      </c>
      <c r="D458" s="8" t="s">
        <v>1322</v>
      </c>
      <c r="E458" s="8" t="s">
        <v>1323</v>
      </c>
      <c r="F458" s="8" t="s">
        <v>1324</v>
      </c>
    </row>
    <row r="459" spans="1:6" x14ac:dyDescent="0.15">
      <c r="A459" s="8" t="s">
        <v>3010</v>
      </c>
      <c r="B459" s="8" t="s">
        <v>142</v>
      </c>
      <c r="C459" s="8" t="str">
        <f t="shared" si="16"/>
        <v>att_lc_system_name:easy1200mpi</v>
      </c>
      <c r="D459" s="8" t="s">
        <v>17</v>
      </c>
      <c r="E459" s="8" t="s">
        <v>3011</v>
      </c>
      <c r="F459" s="8" t="s">
        <v>3012</v>
      </c>
    </row>
    <row r="460" spans="1:6" x14ac:dyDescent="0.15">
      <c r="A460" s="8" t="s">
        <v>1325</v>
      </c>
      <c r="B460" s="8" t="s">
        <v>142</v>
      </c>
      <c r="C460" s="8" t="str">
        <f t="shared" si="16"/>
        <v>att_lc_system_name:easylc1</v>
      </c>
      <c r="D460" s="9" t="s">
        <v>17</v>
      </c>
      <c r="E460" s="8" t="s">
        <v>1326</v>
      </c>
      <c r="F460" s="8" t="s">
        <v>1326</v>
      </c>
    </row>
    <row r="461" spans="1:6" x14ac:dyDescent="0.15">
      <c r="A461" s="8" t="s">
        <v>1327</v>
      </c>
      <c r="B461" s="8" t="s">
        <v>142</v>
      </c>
      <c r="C461" s="8" t="str">
        <f t="shared" si="16"/>
        <v>att_lc_system_name:easylc2</v>
      </c>
      <c r="D461" s="9" t="s">
        <v>17</v>
      </c>
      <c r="E461" s="8" t="s">
        <v>1328</v>
      </c>
      <c r="F461" s="8" t="s">
        <v>1328</v>
      </c>
    </row>
    <row r="462" spans="1:6" x14ac:dyDescent="0.15">
      <c r="A462" s="8" t="s">
        <v>1329</v>
      </c>
      <c r="B462" s="8" t="s">
        <v>142</v>
      </c>
      <c r="C462" s="8" t="str">
        <f t="shared" si="16"/>
        <v>att_lc_system_name:evosep1</v>
      </c>
      <c r="D462" s="9" t="s">
        <v>17</v>
      </c>
      <c r="E462" s="8" t="s">
        <v>1330</v>
      </c>
      <c r="F462" s="8" t="s">
        <v>1331</v>
      </c>
    </row>
    <row r="463" spans="1:6" x14ac:dyDescent="0.15">
      <c r="A463" s="8" t="s">
        <v>1332</v>
      </c>
      <c r="B463" s="8" t="s">
        <v>142</v>
      </c>
      <c r="C463" s="8" t="str">
        <f t="shared" si="16"/>
        <v>att_lc_system_name:vanquishneo1</v>
      </c>
      <c r="D463" s="9" t="s">
        <v>17</v>
      </c>
      <c r="E463" s="8" t="s">
        <v>1333</v>
      </c>
      <c r="F463" s="8" t="s">
        <v>1333</v>
      </c>
    </row>
    <row r="464" spans="1:6" x14ac:dyDescent="0.15">
      <c r="A464" s="8" t="s">
        <v>1334</v>
      </c>
      <c r="B464" s="8" t="s">
        <v>146</v>
      </c>
      <c r="C464" s="8" t="str">
        <f t="shared" si="16"/>
        <v>att_liquid_handler:bravo</v>
      </c>
      <c r="D464" s="8" t="s">
        <v>1334</v>
      </c>
      <c r="E464" s="8" t="s">
        <v>1335</v>
      </c>
      <c r="F464" s="8" t="s">
        <v>1336</v>
      </c>
    </row>
    <row r="465" spans="1:6" x14ac:dyDescent="0.15">
      <c r="A465" s="8" t="s">
        <v>1337</v>
      </c>
      <c r="B465" s="8" t="s">
        <v>146</v>
      </c>
      <c r="C465" s="8" t="str">
        <f t="shared" si="16"/>
        <v>att_liquid_handler:felix</v>
      </c>
      <c r="D465" s="8" t="s">
        <v>1337</v>
      </c>
      <c r="E465" s="8" t="s">
        <v>1338</v>
      </c>
      <c r="F465" s="8" t="s">
        <v>1339</v>
      </c>
    </row>
    <row r="466" spans="1:6" x14ac:dyDescent="0.15">
      <c r="A466" s="8" t="s">
        <v>1340</v>
      </c>
      <c r="B466" s="8" t="s">
        <v>146</v>
      </c>
      <c r="C466" s="8" t="str">
        <f t="shared" si="16"/>
        <v>att_liquid_handler:kingfisher</v>
      </c>
      <c r="D466" s="8" t="s">
        <v>1340</v>
      </c>
      <c r="E466" s="8" t="s">
        <v>1341</v>
      </c>
      <c r="F466" s="8" t="s">
        <v>1342</v>
      </c>
    </row>
    <row r="467" spans="1:6" x14ac:dyDescent="0.15">
      <c r="A467" s="8" t="s">
        <v>1343</v>
      </c>
      <c r="B467" s="8" t="s">
        <v>146</v>
      </c>
      <c r="C467" s="8" t="str">
        <f t="shared" si="16"/>
        <v>att_liquid_handler:microlabhamilton</v>
      </c>
      <c r="D467" s="8" t="s">
        <v>1343</v>
      </c>
      <c r="E467" s="8" t="s">
        <v>1344</v>
      </c>
      <c r="F467" s="8" t="s">
        <v>1345</v>
      </c>
    </row>
    <row r="468" spans="1:6" x14ac:dyDescent="0.15">
      <c r="A468" s="8" t="s">
        <v>1346</v>
      </c>
      <c r="B468" s="8" t="s">
        <v>146</v>
      </c>
      <c r="C468" s="8" t="str">
        <f t="shared" si="16"/>
        <v>att_liquid_handler:mosquitoHV</v>
      </c>
      <c r="D468" s="8" t="s">
        <v>1346</v>
      </c>
      <c r="E468" s="8" t="s">
        <v>1347</v>
      </c>
      <c r="F468" s="8" t="s">
        <v>1348</v>
      </c>
    </row>
    <row r="469" spans="1:6" x14ac:dyDescent="0.15">
      <c r="A469" s="8" t="s">
        <v>1349</v>
      </c>
      <c r="B469" s="8" t="s">
        <v>146</v>
      </c>
      <c r="C469" s="8" t="str">
        <f t="shared" si="16"/>
        <v>att_liquid_handler:mosquitoLV</v>
      </c>
      <c r="D469" s="8" t="s">
        <v>1349</v>
      </c>
      <c r="E469" s="8" t="s">
        <v>1350</v>
      </c>
      <c r="F469" s="8" t="s">
        <v>1351</v>
      </c>
    </row>
    <row r="470" spans="1:6" x14ac:dyDescent="0.15">
      <c r="A470" s="8" t="s">
        <v>1352</v>
      </c>
      <c r="B470" s="8" t="s">
        <v>146</v>
      </c>
      <c r="C470" s="8" t="str">
        <f t="shared" si="16"/>
        <v>att_liquid_handler:opentrons</v>
      </c>
      <c r="D470" s="8" t="s">
        <v>1352</v>
      </c>
      <c r="E470" s="8" t="s">
        <v>2842</v>
      </c>
      <c r="F470" s="8" t="s">
        <v>2842</v>
      </c>
    </row>
    <row r="471" spans="1:6" x14ac:dyDescent="0.15">
      <c r="A471" s="8" t="s">
        <v>3013</v>
      </c>
      <c r="B471" s="8" t="s">
        <v>146</v>
      </c>
      <c r="C471" s="8" t="str">
        <f t="shared" ref="C471" si="18">B471&amp;":"&amp;A471</f>
        <v>att_liquid_handler:opentronsot2</v>
      </c>
      <c r="D471" s="8" t="s">
        <v>1352</v>
      </c>
      <c r="E471" s="8" t="s">
        <v>2843</v>
      </c>
      <c r="F471" s="8" t="s">
        <v>2843</v>
      </c>
    </row>
    <row r="472" spans="1:6" x14ac:dyDescent="0.15">
      <c r="A472" s="8" t="s">
        <v>1354</v>
      </c>
      <c r="B472" s="8" t="s">
        <v>146</v>
      </c>
      <c r="C472" s="8" t="str">
        <f t="shared" si="16"/>
        <v>att_liquid_handler:tecan</v>
      </c>
      <c r="D472" s="8" t="s">
        <v>1354</v>
      </c>
      <c r="E472" s="8" t="s">
        <v>1355</v>
      </c>
      <c r="F472" s="8" t="s">
        <v>1356</v>
      </c>
    </row>
    <row r="473" spans="1:6" x14ac:dyDescent="0.15">
      <c r="A473" s="8" t="s">
        <v>336</v>
      </c>
      <c r="B473" s="8" t="s">
        <v>146</v>
      </c>
      <c r="C473" s="8" t="str">
        <f t="shared" si="16"/>
        <v>att_liquid_handler:none</v>
      </c>
      <c r="D473" s="8" t="s">
        <v>3194</v>
      </c>
      <c r="E473" s="8" t="s">
        <v>3195</v>
      </c>
      <c r="F473" s="8" t="s">
        <v>3196</v>
      </c>
    </row>
    <row r="474" spans="1:6" x14ac:dyDescent="0.15">
      <c r="A474" s="8" t="s">
        <v>1357</v>
      </c>
      <c r="B474" s="8" t="s">
        <v>148</v>
      </c>
      <c r="C474" s="8" t="str">
        <f t="shared" si="16"/>
        <v>att_lysis_buffer:one_sdc</v>
      </c>
      <c r="D474" s="9" t="s">
        <v>17</v>
      </c>
      <c r="E474" s="8" t="s">
        <v>1358</v>
      </c>
      <c r="F474" s="8" t="s">
        <v>1359</v>
      </c>
    </row>
    <row r="475" spans="1:6" x14ac:dyDescent="0.15">
      <c r="A475" s="8" t="s">
        <v>1010</v>
      </c>
      <c r="B475" s="8" t="s">
        <v>148</v>
      </c>
      <c r="C475" s="8" t="str">
        <f t="shared" si="16"/>
        <v>att_lysis_buffer:sds</v>
      </c>
      <c r="D475" s="9" t="s">
        <v>17</v>
      </c>
      <c r="E475" s="8" t="s">
        <v>1360</v>
      </c>
      <c r="F475" s="8" t="s">
        <v>1361</v>
      </c>
    </row>
    <row r="476" spans="1:6" x14ac:dyDescent="0.15">
      <c r="A476" s="8" t="s">
        <v>1362</v>
      </c>
      <c r="B476" s="8" t="s">
        <v>148</v>
      </c>
      <c r="C476" s="8" t="str">
        <f t="shared" si="16"/>
        <v>att_lysis_buffer:two_sdc</v>
      </c>
      <c r="D476" s="9" t="s">
        <v>17</v>
      </c>
      <c r="E476" s="8" t="s">
        <v>1363</v>
      </c>
      <c r="F476" s="8" t="s">
        <v>1364</v>
      </c>
    </row>
    <row r="477" spans="1:6" x14ac:dyDescent="0.15">
      <c r="A477" s="8" t="s">
        <v>1365</v>
      </c>
      <c r="B477" s="8" t="s">
        <v>148</v>
      </c>
      <c r="C477" s="8" t="str">
        <f t="shared" si="16"/>
        <v>att_lysis_buffer:urea</v>
      </c>
      <c r="D477" s="9" t="s">
        <v>17</v>
      </c>
      <c r="E477" s="8" t="s">
        <v>1366</v>
      </c>
      <c r="F477" s="8" t="s">
        <v>1367</v>
      </c>
    </row>
    <row r="478" spans="1:6" x14ac:dyDescent="0.15">
      <c r="A478" s="8" t="s">
        <v>3177</v>
      </c>
      <c r="B478" s="8" t="s">
        <v>148</v>
      </c>
      <c r="C478" s="8" t="str">
        <f t="shared" si="16"/>
        <v>att_lysis_buffer:ripa</v>
      </c>
      <c r="D478" s="9" t="s">
        <v>17</v>
      </c>
      <c r="E478" s="8" t="s">
        <v>3178</v>
      </c>
      <c r="F478" s="8" t="s">
        <v>3179</v>
      </c>
    </row>
    <row r="479" spans="1:6" x14ac:dyDescent="0.15">
      <c r="A479" s="8" t="s">
        <v>3180</v>
      </c>
      <c r="B479" s="8" t="s">
        <v>148</v>
      </c>
      <c r="C479" s="8" t="str">
        <f t="shared" ref="C479" si="19">B479&amp;":"&amp;A479</f>
        <v>att_lysis_buffer:ripasds</v>
      </c>
      <c r="D479" s="9" t="s">
        <v>17</v>
      </c>
      <c r="E479" s="8" t="s">
        <v>3181</v>
      </c>
      <c r="F479" s="8" t="s">
        <v>3182</v>
      </c>
    </row>
    <row r="480" spans="1:6" x14ac:dyDescent="0.15">
      <c r="A480" s="8" t="s">
        <v>2838</v>
      </c>
      <c r="B480" s="8" t="s">
        <v>91</v>
      </c>
      <c r="C480" s="8" t="str">
        <f t="shared" ref="C480" si="20">B480&amp;":"&amp;A480</f>
        <v>att_lysis_method:chemical</v>
      </c>
      <c r="D480" s="9" t="s">
        <v>17</v>
      </c>
      <c r="E480" s="8" t="s">
        <v>2839</v>
      </c>
      <c r="F480" s="8" t="s">
        <v>2840</v>
      </c>
    </row>
    <row r="481" spans="1:1022" x14ac:dyDescent="0.15">
      <c r="A481" s="8" t="s">
        <v>2850</v>
      </c>
      <c r="B481" s="8" t="s">
        <v>91</v>
      </c>
      <c r="C481" s="8" t="str">
        <f t="shared" ref="C481" si="21">B481&amp;":"&amp;A481</f>
        <v>att_lysis_method:sonicaton</v>
      </c>
      <c r="D481" s="9" t="s">
        <v>17</v>
      </c>
      <c r="E481" s="8" t="s">
        <v>2851</v>
      </c>
      <c r="F481" s="8" t="s">
        <v>2849</v>
      </c>
    </row>
    <row r="482" spans="1:1022" x14ac:dyDescent="0.15">
      <c r="A482" s="8" t="s">
        <v>1368</v>
      </c>
      <c r="B482" s="8" t="s">
        <v>91</v>
      </c>
      <c r="C482" s="8" t="str">
        <f t="shared" si="16"/>
        <v>att_lysis_method:dounce</v>
      </c>
      <c r="D482" s="9" t="s">
        <v>17</v>
      </c>
      <c r="E482" s="8" t="s">
        <v>1369</v>
      </c>
      <c r="F482" s="8" t="s">
        <v>1370</v>
      </c>
    </row>
    <row r="483" spans="1:1022" x14ac:dyDescent="0.15">
      <c r="A483" s="8" t="s">
        <v>1371</v>
      </c>
      <c r="B483" s="8" t="s">
        <v>91</v>
      </c>
      <c r="C483" s="8" t="str">
        <f t="shared" si="16"/>
        <v>att_lysis_method:motar_pestle</v>
      </c>
      <c r="D483" s="9" t="s">
        <v>17</v>
      </c>
      <c r="E483" s="8" t="s">
        <v>1372</v>
      </c>
      <c r="F483" s="8" t="s">
        <v>1373</v>
      </c>
    </row>
    <row r="484" spans="1:1022" x14ac:dyDescent="0.15">
      <c r="A484" s="8" t="s">
        <v>1374</v>
      </c>
      <c r="B484" s="8" t="s">
        <v>91</v>
      </c>
      <c r="C484" s="8" t="str">
        <f t="shared" si="16"/>
        <v>att_lysis_method:paracyllus</v>
      </c>
      <c r="D484" s="9" t="s">
        <v>17</v>
      </c>
      <c r="E484" s="8" t="s">
        <v>1375</v>
      </c>
      <c r="F484" s="8" t="s">
        <v>1376</v>
      </c>
    </row>
    <row r="485" spans="1:1022" ht="56" x14ac:dyDescent="0.15">
      <c r="A485" s="8" t="s">
        <v>2520</v>
      </c>
      <c r="B485" s="8" t="s">
        <v>3200</v>
      </c>
      <c r="C485" s="8" t="str">
        <f t="shared" si="16"/>
        <v>att_mouse_strain:c57bl6j</v>
      </c>
      <c r="D485"/>
      <c r="E485" s="8" t="s">
        <v>3203</v>
      </c>
      <c r="F485" s="26" t="s">
        <v>3204</v>
      </c>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c r="AFK485"/>
      <c r="AFL485"/>
      <c r="AFM485"/>
      <c r="AFN485"/>
      <c r="AFO485"/>
      <c r="AFP485"/>
      <c r="AFQ485"/>
      <c r="AFR485"/>
      <c r="AFS485"/>
      <c r="AFT485"/>
      <c r="AFU485"/>
      <c r="AFV485"/>
      <c r="AFW485"/>
      <c r="AFX485"/>
      <c r="AFY485"/>
      <c r="AFZ485"/>
      <c r="AGA485"/>
      <c r="AGB485"/>
      <c r="AGC485"/>
      <c r="AGD485"/>
      <c r="AGE485"/>
      <c r="AGF485"/>
      <c r="AGG485"/>
      <c r="AGH485"/>
      <c r="AGI485"/>
      <c r="AGJ485"/>
      <c r="AGK485"/>
      <c r="AGL485"/>
      <c r="AGM485"/>
      <c r="AGN485"/>
      <c r="AGO485"/>
      <c r="AGP485"/>
      <c r="AGQ485"/>
      <c r="AGR485"/>
      <c r="AGS485"/>
      <c r="AGT485"/>
      <c r="AGU485"/>
      <c r="AGV485"/>
      <c r="AGW485"/>
      <c r="AGX485"/>
      <c r="AGY485"/>
      <c r="AGZ485"/>
      <c r="AHA485"/>
      <c r="AHB485"/>
      <c r="AHC485"/>
      <c r="AHD485"/>
      <c r="AHE485"/>
      <c r="AHF485"/>
      <c r="AHG485"/>
      <c r="AHH485"/>
      <c r="AHI485"/>
      <c r="AHJ485"/>
      <c r="AHK485"/>
      <c r="AHL485"/>
      <c r="AHM485"/>
      <c r="AHN485"/>
      <c r="AHO485"/>
      <c r="AHP485"/>
      <c r="AHQ485"/>
      <c r="AHR485"/>
      <c r="AHS485"/>
      <c r="AHT485"/>
      <c r="AHU485"/>
      <c r="AHV485"/>
      <c r="AHW485"/>
      <c r="AHX485"/>
      <c r="AHY485"/>
      <c r="AHZ485"/>
      <c r="AIA485"/>
      <c r="AIB485"/>
      <c r="AIC485"/>
      <c r="AID485"/>
      <c r="AIE485"/>
      <c r="AIF485"/>
      <c r="AIG485"/>
      <c r="AIH485"/>
      <c r="AII485"/>
      <c r="AIJ485"/>
      <c r="AIK485"/>
      <c r="AIL485"/>
      <c r="AIM485"/>
      <c r="AIN485"/>
      <c r="AIO485"/>
      <c r="AIP485"/>
      <c r="AIQ485"/>
      <c r="AIR485"/>
      <c r="AIS485"/>
      <c r="AIT485"/>
      <c r="AIU485"/>
      <c r="AIV485"/>
      <c r="AIW485"/>
      <c r="AIX485"/>
      <c r="AIY485"/>
      <c r="AIZ485"/>
      <c r="AJA485"/>
      <c r="AJB485"/>
      <c r="AJC485"/>
      <c r="AJD485"/>
      <c r="AJE485"/>
      <c r="AJF485"/>
      <c r="AJG485"/>
      <c r="AJH485"/>
      <c r="AJI485"/>
      <c r="AJJ485"/>
      <c r="AJK485"/>
      <c r="AJL485"/>
      <c r="AJM485"/>
      <c r="AJN485"/>
      <c r="AJO485"/>
      <c r="AJP485"/>
      <c r="AJQ485"/>
      <c r="AJR485"/>
      <c r="AJS485"/>
      <c r="AJT485"/>
      <c r="AJU485"/>
      <c r="AJV485"/>
      <c r="AJW485"/>
      <c r="AJX485"/>
      <c r="AJY485"/>
      <c r="AJZ485"/>
      <c r="AKA485"/>
      <c r="AKB485"/>
      <c r="AKC485"/>
      <c r="AKD485"/>
      <c r="AKE485"/>
      <c r="AKF485"/>
      <c r="AKG485"/>
      <c r="AKH485"/>
      <c r="AKI485"/>
      <c r="AKJ485"/>
      <c r="AKK485"/>
      <c r="AKL485"/>
      <c r="AKM485"/>
      <c r="AKN485"/>
      <c r="AKO485"/>
      <c r="AKP485"/>
      <c r="AKQ485"/>
      <c r="AKR485"/>
      <c r="AKS485"/>
      <c r="AKT485"/>
      <c r="AKU485"/>
      <c r="AKV485"/>
      <c r="AKW485"/>
      <c r="AKX485"/>
      <c r="AKY485"/>
      <c r="AKZ485"/>
      <c r="ALA485"/>
      <c r="ALB485"/>
      <c r="ALC485"/>
      <c r="ALD485"/>
      <c r="ALE485"/>
      <c r="ALF485"/>
      <c r="ALG485"/>
      <c r="ALH485"/>
      <c r="ALI485"/>
      <c r="ALJ485"/>
      <c r="ALK485"/>
      <c r="ALL485"/>
      <c r="ALM485"/>
      <c r="ALN485"/>
      <c r="ALO485"/>
      <c r="ALP485"/>
      <c r="ALQ485"/>
      <c r="ALR485"/>
      <c r="ALS485"/>
      <c r="ALT485"/>
      <c r="ALU485"/>
      <c r="ALV485"/>
      <c r="ALW485"/>
      <c r="ALX485"/>
      <c r="ALY485"/>
      <c r="ALZ485"/>
      <c r="AMA485"/>
      <c r="AMB485"/>
      <c r="AMC485"/>
      <c r="AMD485"/>
      <c r="AME485"/>
      <c r="AMF485"/>
      <c r="AMG485"/>
      <c r="AMH485"/>
    </row>
    <row r="486" spans="1:1022" x14ac:dyDescent="0.15">
      <c r="A486" s="8" t="s">
        <v>1377</v>
      </c>
      <c r="B486" s="8" t="s">
        <v>151</v>
      </c>
      <c r="C486" s="8" t="str">
        <f t="shared" si="16"/>
        <v>att_metabolic_label:arg0</v>
      </c>
      <c r="D486" s="9" t="s">
        <v>17</v>
      </c>
      <c r="E486" s="8" t="s">
        <v>1378</v>
      </c>
      <c r="F486" s="8" t="s">
        <v>1379</v>
      </c>
    </row>
    <row r="487" spans="1:1022" x14ac:dyDescent="0.15">
      <c r="A487" s="8" t="s">
        <v>1380</v>
      </c>
      <c r="B487" s="8" t="s">
        <v>151</v>
      </c>
      <c r="C487" s="8" t="str">
        <f t="shared" si="16"/>
        <v>att_metabolic_label:arg10</v>
      </c>
      <c r="D487" s="9" t="s">
        <v>17</v>
      </c>
      <c r="E487" s="8" t="s">
        <v>1381</v>
      </c>
      <c r="F487" s="8" t="s">
        <v>1382</v>
      </c>
    </row>
    <row r="488" spans="1:1022" x14ac:dyDescent="0.15">
      <c r="A488" s="8" t="s">
        <v>1383</v>
      </c>
      <c r="B488" s="8" t="s">
        <v>151</v>
      </c>
      <c r="C488" s="8" t="str">
        <f t="shared" si="16"/>
        <v>att_metabolic_label:arg6</v>
      </c>
      <c r="D488" s="9" t="s">
        <v>17</v>
      </c>
      <c r="E488" s="8" t="s">
        <v>1384</v>
      </c>
      <c r="F488" s="8" t="s">
        <v>1385</v>
      </c>
    </row>
    <row r="489" spans="1:1022" x14ac:dyDescent="0.15">
      <c r="A489" s="8" t="s">
        <v>1386</v>
      </c>
      <c r="B489" s="8" t="s">
        <v>151</v>
      </c>
      <c r="C489" s="8" t="str">
        <f t="shared" si="16"/>
        <v>att_metabolic_label:lys0</v>
      </c>
      <c r="D489" s="9" t="s">
        <v>17</v>
      </c>
      <c r="E489" s="8" t="s">
        <v>1387</v>
      </c>
      <c r="F489" s="9" t="s">
        <v>2930</v>
      </c>
    </row>
    <row r="490" spans="1:1022" x14ac:dyDescent="0.15">
      <c r="A490" s="8" t="s">
        <v>1388</v>
      </c>
      <c r="B490" s="8" t="s">
        <v>151</v>
      </c>
      <c r="C490" s="8" t="str">
        <f t="shared" si="16"/>
        <v>att_metabolic_label:lys4</v>
      </c>
      <c r="D490" s="9" t="s">
        <v>17</v>
      </c>
      <c r="E490" s="8" t="s">
        <v>1389</v>
      </c>
      <c r="F490" s="8" t="s">
        <v>1390</v>
      </c>
    </row>
    <row r="491" spans="1:1022" x14ac:dyDescent="0.15">
      <c r="A491" s="8" t="s">
        <v>1391</v>
      </c>
      <c r="B491" s="8" t="s">
        <v>151</v>
      </c>
      <c r="C491" s="8" t="str">
        <f t="shared" si="16"/>
        <v>att_metabolic_label:lys6</v>
      </c>
      <c r="D491" s="9" t="s">
        <v>17</v>
      </c>
      <c r="E491" s="8" t="s">
        <v>1392</v>
      </c>
      <c r="F491" s="8" t="s">
        <v>1393</v>
      </c>
    </row>
    <row r="492" spans="1:1022" x14ac:dyDescent="0.15">
      <c r="A492" s="8" t="s">
        <v>1394</v>
      </c>
      <c r="B492" s="8" t="s">
        <v>151</v>
      </c>
      <c r="C492" s="8" t="str">
        <f t="shared" si="16"/>
        <v>att_metabolic_label:lys8</v>
      </c>
      <c r="D492" s="9" t="s">
        <v>17</v>
      </c>
      <c r="E492" s="8" t="s">
        <v>1395</v>
      </c>
      <c r="F492" s="8" t="s">
        <v>1396</v>
      </c>
    </row>
    <row r="493" spans="1:1022" x14ac:dyDescent="0.15">
      <c r="A493" s="8" t="s">
        <v>2932</v>
      </c>
      <c r="B493" s="8" t="s">
        <v>151</v>
      </c>
      <c r="C493" s="8" t="str">
        <f t="shared" ref="C493" si="22">B493&amp;":"&amp;A493</f>
        <v>att_metabolic_label:lys0arg0</v>
      </c>
      <c r="D493" s="9" t="s">
        <v>17</v>
      </c>
      <c r="E493" s="8" t="s">
        <v>2931</v>
      </c>
      <c r="F493" s="8" t="s">
        <v>2939</v>
      </c>
    </row>
    <row r="494" spans="1:1022" x14ac:dyDescent="0.15">
      <c r="A494" s="8" t="s">
        <v>2933</v>
      </c>
      <c r="B494" s="8" t="s">
        <v>151</v>
      </c>
      <c r="C494" s="8" t="str">
        <f t="shared" ref="C494:C495" si="23">B494&amp;":"&amp;A494</f>
        <v>att_metabolic_label:lys4arg6</v>
      </c>
      <c r="D494" s="9"/>
      <c r="E494" s="8" t="s">
        <v>2934</v>
      </c>
      <c r="F494" s="8" t="s">
        <v>2938</v>
      </c>
    </row>
    <row r="495" spans="1:1022" x14ac:dyDescent="0.15">
      <c r="A495" s="8" t="s">
        <v>2935</v>
      </c>
      <c r="B495" s="8" t="s">
        <v>151</v>
      </c>
      <c r="C495" s="8" t="str">
        <f t="shared" si="23"/>
        <v>att_metabolic_label:lys8arg10</v>
      </c>
      <c r="D495" s="9"/>
      <c r="E495" s="8" t="s">
        <v>2936</v>
      </c>
      <c r="F495" s="8" t="s">
        <v>2937</v>
      </c>
    </row>
    <row r="496" spans="1:1022" x14ac:dyDescent="0.15">
      <c r="A496" s="8" t="s">
        <v>1397</v>
      </c>
      <c r="B496" s="8" t="s">
        <v>153</v>
      </c>
      <c r="C496" s="8" t="str">
        <f t="shared" si="16"/>
        <v>att_mitocarta_pathway:abc_transporters</v>
      </c>
      <c r="D496" s="9" t="s">
        <v>17</v>
      </c>
      <c r="E496" s="8" t="s">
        <v>1398</v>
      </c>
      <c r="F496" s="8" t="s">
        <v>1399</v>
      </c>
    </row>
    <row r="497" spans="1:6" x14ac:dyDescent="0.15">
      <c r="A497" s="8" t="s">
        <v>1400</v>
      </c>
      <c r="B497" s="8" t="s">
        <v>153</v>
      </c>
      <c r="C497" s="8" t="str">
        <f t="shared" si="16"/>
        <v>att_mitocarta_pathway:amidoxime_reducing_complex</v>
      </c>
      <c r="D497" s="9" t="s">
        <v>17</v>
      </c>
      <c r="E497" s="8" t="s">
        <v>1401</v>
      </c>
      <c r="F497" s="8" t="s">
        <v>1402</v>
      </c>
    </row>
    <row r="498" spans="1:6" x14ac:dyDescent="0.15">
      <c r="A498" s="8" t="s">
        <v>1403</v>
      </c>
      <c r="B498" s="8" t="s">
        <v>153</v>
      </c>
      <c r="C498" s="8" t="str">
        <f t="shared" si="16"/>
        <v>att_mitocarta_pathway:amino_acid_metabolism</v>
      </c>
      <c r="D498" s="9" t="s">
        <v>17</v>
      </c>
      <c r="E498" s="8" t="s">
        <v>1404</v>
      </c>
      <c r="F498" s="8" t="s">
        <v>1405</v>
      </c>
    </row>
    <row r="499" spans="1:6" x14ac:dyDescent="0.15">
      <c r="A499" s="8" t="s">
        <v>1406</v>
      </c>
      <c r="B499" s="8" t="s">
        <v>153</v>
      </c>
      <c r="C499" s="8" t="str">
        <f t="shared" si="16"/>
        <v>att_mitocarta_pathway:apoptosis</v>
      </c>
      <c r="D499" s="9" t="s">
        <v>17</v>
      </c>
      <c r="E499" s="8" t="s">
        <v>1407</v>
      </c>
      <c r="F499" s="8" t="s">
        <v>1408</v>
      </c>
    </row>
    <row r="500" spans="1:6" x14ac:dyDescent="0.15">
      <c r="A500" s="8" t="s">
        <v>1409</v>
      </c>
      <c r="B500" s="8" t="s">
        <v>153</v>
      </c>
      <c r="C500" s="8" t="str">
        <f t="shared" si="16"/>
        <v>att_mitocarta_pathway:autophagy</v>
      </c>
      <c r="D500" s="9" t="s">
        <v>17</v>
      </c>
      <c r="E500" s="8" t="s">
        <v>1410</v>
      </c>
      <c r="F500" s="8" t="s">
        <v>1411</v>
      </c>
    </row>
    <row r="501" spans="1:6" x14ac:dyDescent="0.15">
      <c r="A501" s="8" t="s">
        <v>1412</v>
      </c>
      <c r="B501" s="8" t="s">
        <v>153</v>
      </c>
      <c r="C501" s="8" t="str">
        <f t="shared" si="16"/>
        <v>att_mitocarta_pathway:biotin_utilizing_proteins</v>
      </c>
      <c r="D501" s="9" t="s">
        <v>17</v>
      </c>
      <c r="E501" s="8" t="s">
        <v>1413</v>
      </c>
      <c r="F501" s="8" t="s">
        <v>1414</v>
      </c>
    </row>
    <row r="502" spans="1:6" x14ac:dyDescent="0.15">
      <c r="A502" s="8" t="s">
        <v>1415</v>
      </c>
      <c r="B502" s="8" t="s">
        <v>153</v>
      </c>
      <c r="C502" s="8" t="str">
        <f t="shared" si="16"/>
        <v>att_mitocarta_pathway:branched_chain_amino_acid_dehydrogenase_complex</v>
      </c>
      <c r="D502" s="9" t="s">
        <v>17</v>
      </c>
      <c r="E502" s="8" t="s">
        <v>1416</v>
      </c>
      <c r="F502" s="8" t="s">
        <v>1417</v>
      </c>
    </row>
    <row r="503" spans="1:6" x14ac:dyDescent="0.15">
      <c r="A503" s="8" t="s">
        <v>1418</v>
      </c>
      <c r="B503" s="8" t="s">
        <v>153</v>
      </c>
      <c r="C503" s="8" t="str">
        <f t="shared" si="16"/>
        <v>att_mitocarta_pathway:branched_chain_amino_acid_metabolism</v>
      </c>
      <c r="D503" s="9" t="s">
        <v>17</v>
      </c>
      <c r="E503" s="8" t="s">
        <v>1419</v>
      </c>
      <c r="F503" s="8" t="s">
        <v>1420</v>
      </c>
    </row>
    <row r="504" spans="1:6" x14ac:dyDescent="0.15">
      <c r="A504" s="8" t="s">
        <v>1421</v>
      </c>
      <c r="B504" s="8" t="s">
        <v>153</v>
      </c>
      <c r="C504" s="8" t="str">
        <f t="shared" si="16"/>
        <v>att_mitocarta_pathway:calcium_cycle</v>
      </c>
      <c r="D504" s="9" t="s">
        <v>17</v>
      </c>
      <c r="E504" s="8" t="s">
        <v>1422</v>
      </c>
      <c r="F504" s="8" t="s">
        <v>1423</v>
      </c>
    </row>
    <row r="505" spans="1:6" x14ac:dyDescent="0.15">
      <c r="A505" s="8" t="s">
        <v>1424</v>
      </c>
      <c r="B505" s="8" t="s">
        <v>153</v>
      </c>
      <c r="C505" s="8" t="str">
        <f t="shared" si="16"/>
        <v>att_mitocarta_pathway:calcium_homeostasis</v>
      </c>
      <c r="D505" s="9" t="s">
        <v>17</v>
      </c>
      <c r="E505" s="8" t="s">
        <v>1425</v>
      </c>
      <c r="F505" s="8" t="s">
        <v>1426</v>
      </c>
    </row>
    <row r="506" spans="1:6" x14ac:dyDescent="0.15">
      <c r="A506" s="8" t="s">
        <v>1427</v>
      </c>
      <c r="B506" s="8" t="s">
        <v>153</v>
      </c>
      <c r="C506" s="8" t="str">
        <f t="shared" si="16"/>
        <v>att_mitocarta_pathway:calcium_uniporter</v>
      </c>
      <c r="D506" s="9" t="s">
        <v>17</v>
      </c>
      <c r="E506" s="8" t="s">
        <v>1428</v>
      </c>
      <c r="F506" s="8" t="s">
        <v>1429</v>
      </c>
    </row>
    <row r="507" spans="1:6" x14ac:dyDescent="0.15">
      <c r="A507" s="8" t="s">
        <v>1430</v>
      </c>
      <c r="B507" s="8" t="s">
        <v>153</v>
      </c>
      <c r="C507" s="8" t="str">
        <f t="shared" si="16"/>
        <v>att_mitocarta_pathway:camp_pka_signaling</v>
      </c>
      <c r="D507" s="9" t="s">
        <v>17</v>
      </c>
      <c r="E507" s="8" t="s">
        <v>1431</v>
      </c>
      <c r="F507" s="8" t="s">
        <v>1432</v>
      </c>
    </row>
    <row r="508" spans="1:6" x14ac:dyDescent="0.15">
      <c r="A508" s="8" t="s">
        <v>1433</v>
      </c>
      <c r="B508" s="8" t="s">
        <v>153</v>
      </c>
      <c r="C508" s="8" t="str">
        <f t="shared" si="16"/>
        <v>att_mitocarta_pathway:carbohydrate_metabolism</v>
      </c>
      <c r="D508" s="9" t="s">
        <v>17</v>
      </c>
      <c r="E508" s="8" t="s">
        <v>1434</v>
      </c>
      <c r="F508" s="8" t="s">
        <v>1435</v>
      </c>
    </row>
    <row r="509" spans="1:6" x14ac:dyDescent="0.15">
      <c r="A509" s="8" t="s">
        <v>1436</v>
      </c>
      <c r="B509" s="8" t="s">
        <v>153</v>
      </c>
      <c r="C509" s="8" t="str">
        <f t="shared" si="16"/>
        <v>att_mitocarta_pathway:cardiolipin_synthesis</v>
      </c>
      <c r="D509" s="9" t="s">
        <v>17</v>
      </c>
      <c r="E509" s="8" t="s">
        <v>1437</v>
      </c>
      <c r="F509" s="8" t="s">
        <v>1438</v>
      </c>
    </row>
    <row r="510" spans="1:6" x14ac:dyDescent="0.15">
      <c r="A510" s="8" t="s">
        <v>1439</v>
      </c>
      <c r="B510" s="8" t="s">
        <v>153</v>
      </c>
      <c r="C510" s="8" t="str">
        <f t="shared" si="16"/>
        <v>att_mitocarta_pathway:carnitine_shuttle</v>
      </c>
      <c r="D510" s="9" t="s">
        <v>17</v>
      </c>
      <c r="E510" s="8" t="s">
        <v>1440</v>
      </c>
      <c r="F510" s="8" t="s">
        <v>1441</v>
      </c>
    </row>
    <row r="511" spans="1:6" x14ac:dyDescent="0.15">
      <c r="A511" s="8" t="s">
        <v>1442</v>
      </c>
      <c r="B511" s="8" t="s">
        <v>153</v>
      </c>
      <c r="C511" s="8" t="str">
        <f t="shared" si="16"/>
        <v>att_mitocarta_pathway:carnitine_synthesis_and_transport</v>
      </c>
      <c r="D511" s="9" t="s">
        <v>17</v>
      </c>
      <c r="E511" s="8" t="s">
        <v>1443</v>
      </c>
      <c r="F511" s="8" t="s">
        <v>1444</v>
      </c>
    </row>
    <row r="512" spans="1:6" x14ac:dyDescent="0.15">
      <c r="A512" s="8" t="s">
        <v>1445</v>
      </c>
      <c r="B512" s="8" t="s">
        <v>153</v>
      </c>
      <c r="C512" s="8" t="str">
        <f t="shared" si="16"/>
        <v>att_mitocarta_pathway:catechol_metabolism</v>
      </c>
      <c r="D512" s="9" t="s">
        <v>17</v>
      </c>
      <c r="E512" s="8" t="s">
        <v>1446</v>
      </c>
      <c r="F512" s="8" t="s">
        <v>1447</v>
      </c>
    </row>
    <row r="513" spans="1:6" x14ac:dyDescent="0.15">
      <c r="A513" s="8" t="s">
        <v>1448</v>
      </c>
      <c r="B513" s="8" t="s">
        <v>153</v>
      </c>
      <c r="C513" s="8" t="str">
        <f t="shared" si="16"/>
        <v>att_mitocarta_pathway:chaperones</v>
      </c>
      <c r="D513" s="9" t="s">
        <v>17</v>
      </c>
      <c r="E513" s="8" t="s">
        <v>1449</v>
      </c>
      <c r="F513" s="8" t="s">
        <v>1450</v>
      </c>
    </row>
    <row r="514" spans="1:6" x14ac:dyDescent="0.15">
      <c r="A514" s="8" t="s">
        <v>1451</v>
      </c>
      <c r="B514" s="8" t="s">
        <v>153</v>
      </c>
      <c r="C514" s="8" t="str">
        <f t="shared" si="16"/>
        <v>att_mitocarta_pathway:cholesterol_associated</v>
      </c>
      <c r="D514" s="9" t="s">
        <v>17</v>
      </c>
      <c r="E514" s="8" t="s">
        <v>1452</v>
      </c>
      <c r="F514" s="8" t="s">
        <v>1453</v>
      </c>
    </row>
    <row r="515" spans="1:6" x14ac:dyDescent="0.15">
      <c r="A515" s="8" t="s">
        <v>1454</v>
      </c>
      <c r="B515" s="8" t="s">
        <v>153</v>
      </c>
      <c r="C515" s="8" t="str">
        <f t="shared" si="16"/>
        <v>att_mitocarta_pathway:choline_and_betaine_metabolism</v>
      </c>
      <c r="D515" s="9" t="s">
        <v>17</v>
      </c>
      <c r="E515" s="8" t="s">
        <v>1455</v>
      </c>
      <c r="F515" s="8" t="s">
        <v>1456</v>
      </c>
    </row>
    <row r="516" spans="1:6" x14ac:dyDescent="0.15">
      <c r="A516" s="8" t="s">
        <v>1457</v>
      </c>
      <c r="B516" s="8" t="s">
        <v>153</v>
      </c>
      <c r="C516" s="8" t="str">
        <f t="shared" si="16"/>
        <v>att_mitocarta_pathway:ci_assembly_factors</v>
      </c>
      <c r="D516" s="9" t="s">
        <v>17</v>
      </c>
      <c r="E516" s="8" t="s">
        <v>1458</v>
      </c>
      <c r="F516" s="8" t="s">
        <v>1459</v>
      </c>
    </row>
    <row r="517" spans="1:6" x14ac:dyDescent="0.15">
      <c r="A517" s="8" t="s">
        <v>1460</v>
      </c>
      <c r="B517" s="8" t="s">
        <v>153</v>
      </c>
      <c r="C517" s="8" t="str">
        <f t="shared" si="16"/>
        <v>att_mitocarta_pathway:ci_subunits</v>
      </c>
      <c r="D517" s="9" t="s">
        <v>17</v>
      </c>
      <c r="E517" s="8" t="s">
        <v>1461</v>
      </c>
      <c r="F517" s="8" t="s">
        <v>1462</v>
      </c>
    </row>
    <row r="518" spans="1:6" x14ac:dyDescent="0.15">
      <c r="A518" s="8" t="s">
        <v>1463</v>
      </c>
      <c r="B518" s="8" t="s">
        <v>153</v>
      </c>
      <c r="C518" s="8" t="str">
        <f t="shared" si="16"/>
        <v>att_mitocarta_pathway:cii_assembly_factors</v>
      </c>
      <c r="D518" s="9" t="s">
        <v>17</v>
      </c>
      <c r="E518" s="8" t="s">
        <v>1464</v>
      </c>
      <c r="F518" s="8" t="s">
        <v>1465</v>
      </c>
    </row>
    <row r="519" spans="1:6" x14ac:dyDescent="0.15">
      <c r="A519" s="8" t="s">
        <v>1466</v>
      </c>
      <c r="B519" s="8" t="s">
        <v>153</v>
      </c>
      <c r="C519" s="8" t="str">
        <f t="shared" si="16"/>
        <v>att_mitocarta_pathway:cii_subunits</v>
      </c>
      <c r="D519" s="9" t="s">
        <v>17</v>
      </c>
      <c r="E519" s="8" t="s">
        <v>1467</v>
      </c>
      <c r="F519" s="8" t="s">
        <v>1468</v>
      </c>
    </row>
    <row r="520" spans="1:6" x14ac:dyDescent="0.15">
      <c r="A520" s="8" t="s">
        <v>1469</v>
      </c>
      <c r="B520" s="8" t="s">
        <v>153</v>
      </c>
      <c r="C520" s="8" t="str">
        <f t="shared" si="16"/>
        <v>att_mitocarta_pathway:ciii_assembly_factors</v>
      </c>
      <c r="D520" s="9" t="s">
        <v>17</v>
      </c>
      <c r="E520" s="8" t="s">
        <v>1470</v>
      </c>
      <c r="F520" s="8" t="s">
        <v>1471</v>
      </c>
    </row>
    <row r="521" spans="1:6" x14ac:dyDescent="0.15">
      <c r="A521" s="8" t="s">
        <v>1472</v>
      </c>
      <c r="B521" s="8" t="s">
        <v>153</v>
      </c>
      <c r="C521" s="8" t="str">
        <f t="shared" si="16"/>
        <v>att_mitocarta_pathway:ciii_subunits</v>
      </c>
      <c r="D521" s="9" t="s">
        <v>17</v>
      </c>
      <c r="E521" s="8" t="s">
        <v>1473</v>
      </c>
      <c r="F521" s="8" t="s">
        <v>1474</v>
      </c>
    </row>
    <row r="522" spans="1:6" x14ac:dyDescent="0.15">
      <c r="A522" s="8" t="s">
        <v>1475</v>
      </c>
      <c r="B522" s="8" t="s">
        <v>153</v>
      </c>
      <c r="C522" s="8" t="str">
        <f t="shared" si="16"/>
        <v>att_mitocarta_pathway:civ_assembly_factors</v>
      </c>
      <c r="D522" s="9" t="s">
        <v>17</v>
      </c>
      <c r="E522" s="8" t="s">
        <v>1476</v>
      </c>
      <c r="F522" s="8" t="s">
        <v>1477</v>
      </c>
    </row>
    <row r="523" spans="1:6" x14ac:dyDescent="0.15">
      <c r="A523" s="8" t="s">
        <v>1478</v>
      </c>
      <c r="B523" s="8" t="s">
        <v>153</v>
      </c>
      <c r="C523" s="8" t="str">
        <f t="shared" si="16"/>
        <v>att_mitocarta_pathway:civ_subunits</v>
      </c>
      <c r="D523" s="9" t="s">
        <v>17</v>
      </c>
      <c r="E523" s="8" t="s">
        <v>1479</v>
      </c>
      <c r="F523" s="8" t="s">
        <v>1480</v>
      </c>
    </row>
    <row r="524" spans="1:6" x14ac:dyDescent="0.15">
      <c r="A524" s="8" t="s">
        <v>1481</v>
      </c>
      <c r="B524" s="8" t="s">
        <v>153</v>
      </c>
      <c r="C524" s="8" t="str">
        <f t="shared" ref="C524:C587" si="24">B524&amp;":"&amp;A524</f>
        <v>att_mitocarta_pathway:coenzyme_a_metabolism</v>
      </c>
      <c r="D524" s="9" t="s">
        <v>17</v>
      </c>
      <c r="E524" s="8" t="s">
        <v>1482</v>
      </c>
      <c r="F524" s="8" t="s">
        <v>1483</v>
      </c>
    </row>
    <row r="525" spans="1:6" x14ac:dyDescent="0.15">
      <c r="A525" s="8" t="s">
        <v>1484</v>
      </c>
      <c r="B525" s="8" t="s">
        <v>153</v>
      </c>
      <c r="C525" s="8" t="str">
        <f t="shared" si="24"/>
        <v>att_mitocarta_pathway:coenzyme_q_metabolism</v>
      </c>
      <c r="D525" s="9" t="s">
        <v>17</v>
      </c>
      <c r="E525" s="8" t="s">
        <v>1485</v>
      </c>
      <c r="F525" s="8" t="s">
        <v>1486</v>
      </c>
    </row>
    <row r="526" spans="1:6" x14ac:dyDescent="0.15">
      <c r="A526" s="8" t="s">
        <v>1487</v>
      </c>
      <c r="B526" s="8" t="s">
        <v>153</v>
      </c>
      <c r="C526" s="8" t="str">
        <f t="shared" si="24"/>
        <v>att_mitocarta_pathway:complex_i</v>
      </c>
      <c r="D526" s="9" t="s">
        <v>17</v>
      </c>
      <c r="E526" s="8" t="s">
        <v>1488</v>
      </c>
      <c r="F526" s="8" t="s">
        <v>1489</v>
      </c>
    </row>
    <row r="527" spans="1:6" x14ac:dyDescent="0.15">
      <c r="A527" s="8" t="s">
        <v>1490</v>
      </c>
      <c r="B527" s="8" t="s">
        <v>153</v>
      </c>
      <c r="C527" s="8" t="str">
        <f t="shared" si="24"/>
        <v>att_mitocarta_pathway:complex_ii</v>
      </c>
      <c r="D527" s="9" t="s">
        <v>17</v>
      </c>
      <c r="E527" s="8" t="s">
        <v>1491</v>
      </c>
      <c r="F527" s="8" t="s">
        <v>1492</v>
      </c>
    </row>
    <row r="528" spans="1:6" x14ac:dyDescent="0.15">
      <c r="A528" s="8" t="s">
        <v>1493</v>
      </c>
      <c r="B528" s="8" t="s">
        <v>153</v>
      </c>
      <c r="C528" s="8" t="str">
        <f t="shared" si="24"/>
        <v>att_mitocarta_pathway:complex_iii</v>
      </c>
      <c r="D528" s="9" t="s">
        <v>17</v>
      </c>
      <c r="E528" s="8" t="s">
        <v>1494</v>
      </c>
      <c r="F528" s="8" t="s">
        <v>1495</v>
      </c>
    </row>
    <row r="529" spans="1:6" x14ac:dyDescent="0.15">
      <c r="A529" s="8" t="s">
        <v>1496</v>
      </c>
      <c r="B529" s="8" t="s">
        <v>153</v>
      </c>
      <c r="C529" s="8" t="str">
        <f t="shared" si="24"/>
        <v>att_mitocarta_pathway:complex_iv</v>
      </c>
      <c r="D529" s="9" t="s">
        <v>17</v>
      </c>
      <c r="E529" s="8" t="s">
        <v>1497</v>
      </c>
      <c r="F529" s="8" t="s">
        <v>1498</v>
      </c>
    </row>
    <row r="530" spans="1:6" x14ac:dyDescent="0.15">
      <c r="A530" s="8" t="s">
        <v>1499</v>
      </c>
      <c r="B530" s="8" t="s">
        <v>153</v>
      </c>
      <c r="C530" s="8" t="str">
        <f t="shared" si="24"/>
        <v>att_mitocarta_pathway:complex_v</v>
      </c>
      <c r="D530" s="9" t="s">
        <v>17</v>
      </c>
      <c r="E530" s="8" t="s">
        <v>1500</v>
      </c>
      <c r="F530" s="8" t="s">
        <v>1501</v>
      </c>
    </row>
    <row r="531" spans="1:6" x14ac:dyDescent="0.15">
      <c r="A531" s="8" t="s">
        <v>1502</v>
      </c>
      <c r="B531" s="8" t="s">
        <v>153</v>
      </c>
      <c r="C531" s="8" t="str">
        <f t="shared" si="24"/>
        <v>att_mitocarta_pathway:copper_metabolism</v>
      </c>
      <c r="D531" s="9" t="s">
        <v>17</v>
      </c>
      <c r="E531" s="8" t="s">
        <v>1503</v>
      </c>
      <c r="F531" s="8" t="s">
        <v>1504</v>
      </c>
    </row>
    <row r="532" spans="1:6" x14ac:dyDescent="0.15">
      <c r="A532" s="8" t="s">
        <v>1505</v>
      </c>
      <c r="B532" s="8" t="s">
        <v>153</v>
      </c>
      <c r="C532" s="8" t="str">
        <f t="shared" si="24"/>
        <v>att_mitocarta_pathway:creatine_metabolism</v>
      </c>
      <c r="D532" s="9" t="s">
        <v>17</v>
      </c>
      <c r="E532" s="8" t="s">
        <v>1506</v>
      </c>
      <c r="F532" s="8" t="s">
        <v>1507</v>
      </c>
    </row>
    <row r="533" spans="1:6" x14ac:dyDescent="0.15">
      <c r="A533" s="8" t="s">
        <v>1508</v>
      </c>
      <c r="B533" s="8" t="s">
        <v>153</v>
      </c>
      <c r="C533" s="8" t="str">
        <f t="shared" si="24"/>
        <v>att_mitocarta_pathway:cristae_formation</v>
      </c>
      <c r="D533" s="9" t="s">
        <v>17</v>
      </c>
      <c r="E533" s="8" t="s">
        <v>1509</v>
      </c>
      <c r="F533" s="8" t="s">
        <v>1510</v>
      </c>
    </row>
    <row r="534" spans="1:6" x14ac:dyDescent="0.15">
      <c r="A534" s="8" t="s">
        <v>1511</v>
      </c>
      <c r="B534" s="8" t="s">
        <v>153</v>
      </c>
      <c r="C534" s="8" t="str">
        <f t="shared" si="24"/>
        <v>att_mitocarta_pathway:cv_assembly_factors</v>
      </c>
      <c r="D534" s="9" t="s">
        <v>17</v>
      </c>
      <c r="E534" s="8" t="s">
        <v>1512</v>
      </c>
      <c r="F534" s="8" t="s">
        <v>1513</v>
      </c>
    </row>
    <row r="535" spans="1:6" x14ac:dyDescent="0.15">
      <c r="A535" s="8" t="s">
        <v>1514</v>
      </c>
      <c r="B535" s="8" t="s">
        <v>153</v>
      </c>
      <c r="C535" s="8" t="str">
        <f t="shared" si="24"/>
        <v>att_mitocarta_pathway:cv_subunits</v>
      </c>
      <c r="D535" s="9" t="s">
        <v>17</v>
      </c>
      <c r="E535" s="8" t="s">
        <v>1515</v>
      </c>
      <c r="F535" s="8" t="s">
        <v>1516</v>
      </c>
    </row>
    <row r="536" spans="1:6" x14ac:dyDescent="0.15">
      <c r="A536" s="8" t="s">
        <v>1517</v>
      </c>
      <c r="B536" s="8" t="s">
        <v>153</v>
      </c>
      <c r="C536" s="8" t="str">
        <f t="shared" si="24"/>
        <v>att_mitocarta_pathway:cytochrome_c</v>
      </c>
      <c r="D536" s="9" t="s">
        <v>17</v>
      </c>
      <c r="E536" s="8" t="s">
        <v>1518</v>
      </c>
      <c r="F536" s="8" t="s">
        <v>1519</v>
      </c>
    </row>
    <row r="537" spans="1:6" x14ac:dyDescent="0.15">
      <c r="A537" s="8" t="s">
        <v>1520</v>
      </c>
      <c r="B537" s="8" t="s">
        <v>153</v>
      </c>
      <c r="C537" s="8" t="str">
        <f t="shared" si="24"/>
        <v>att_mitocarta_pathway:cytochromes</v>
      </c>
      <c r="D537" s="9" t="s">
        <v>17</v>
      </c>
      <c r="E537" s="8" t="s">
        <v>1521</v>
      </c>
      <c r="F537" s="8" t="s">
        <v>1522</v>
      </c>
    </row>
    <row r="538" spans="1:6" x14ac:dyDescent="0.15">
      <c r="A538" s="8" t="s">
        <v>1523</v>
      </c>
      <c r="B538" s="8" t="s">
        <v>153</v>
      </c>
      <c r="C538" s="8" t="str">
        <f t="shared" si="24"/>
        <v>att_mitocarta_pathway:detoxification</v>
      </c>
      <c r="D538" s="9" t="s">
        <v>17</v>
      </c>
      <c r="E538" s="8" t="s">
        <v>1524</v>
      </c>
      <c r="F538" s="8" t="s">
        <v>1525</v>
      </c>
    </row>
    <row r="539" spans="1:6" x14ac:dyDescent="0.15">
      <c r="A539" s="8" t="s">
        <v>1526</v>
      </c>
      <c r="B539" s="8" t="s">
        <v>153</v>
      </c>
      <c r="C539" s="8" t="str">
        <f t="shared" si="24"/>
        <v>att_mitocarta_pathway:ef_hand_proteins</v>
      </c>
      <c r="D539" s="9" t="s">
        <v>17</v>
      </c>
      <c r="E539" s="8" t="s">
        <v>1527</v>
      </c>
      <c r="F539" s="8" t="s">
        <v>1528</v>
      </c>
    </row>
    <row r="540" spans="1:6" x14ac:dyDescent="0.15">
      <c r="A540" s="8" t="s">
        <v>1529</v>
      </c>
      <c r="B540" s="8" t="s">
        <v>153</v>
      </c>
      <c r="C540" s="8" t="str">
        <f t="shared" si="24"/>
        <v>att_mitocarta_pathway:eicosanoid_metabolism</v>
      </c>
      <c r="D540" s="9" t="s">
        <v>17</v>
      </c>
      <c r="E540" s="8" t="s">
        <v>1530</v>
      </c>
      <c r="F540" s="8" t="s">
        <v>1531</v>
      </c>
    </row>
    <row r="541" spans="1:6" x14ac:dyDescent="0.15">
      <c r="A541" s="8" t="s">
        <v>1532</v>
      </c>
      <c r="B541" s="8" t="s">
        <v>153</v>
      </c>
      <c r="C541" s="8" t="str">
        <f t="shared" si="24"/>
        <v>att_mitocarta_pathway:electron_carriers</v>
      </c>
      <c r="D541" s="9" t="s">
        <v>17</v>
      </c>
      <c r="E541" s="8" t="s">
        <v>1533</v>
      </c>
      <c r="F541" s="8" t="s">
        <v>1534</v>
      </c>
    </row>
    <row r="542" spans="1:6" x14ac:dyDescent="0.15">
      <c r="A542" s="8" t="s">
        <v>1535</v>
      </c>
      <c r="B542" s="8" t="s">
        <v>153</v>
      </c>
      <c r="C542" s="8" t="str">
        <f t="shared" si="24"/>
        <v>att_mitocarta_pathway:fatty_acid_oxidation</v>
      </c>
      <c r="D542" s="9" t="s">
        <v>17</v>
      </c>
      <c r="E542" s="8" t="s">
        <v>1536</v>
      </c>
      <c r="F542" s="8" t="s">
        <v>1537</v>
      </c>
    </row>
    <row r="543" spans="1:6" x14ac:dyDescent="0.15">
      <c r="A543" s="8" t="s">
        <v>1538</v>
      </c>
      <c r="B543" s="8" t="s">
        <v>153</v>
      </c>
      <c r="C543" s="8" t="str">
        <f t="shared" si="24"/>
        <v>att_mitocarta_pathway:fe_s_cluster_biosynthesis</v>
      </c>
      <c r="D543" s="9" t="s">
        <v>17</v>
      </c>
      <c r="E543" s="8" t="s">
        <v>1539</v>
      </c>
      <c r="F543" s="8" t="s">
        <v>1540</v>
      </c>
    </row>
    <row r="544" spans="1:6" x14ac:dyDescent="0.15">
      <c r="A544" s="8" t="s">
        <v>1541</v>
      </c>
      <c r="B544" s="8" t="s">
        <v>153</v>
      </c>
      <c r="C544" s="8" t="str">
        <f t="shared" si="24"/>
        <v>att_mitocarta_pathway:fe_s_containing_proteins</v>
      </c>
      <c r="D544" s="9" t="s">
        <v>17</v>
      </c>
      <c r="E544" s="8" t="s">
        <v>1542</v>
      </c>
      <c r="F544" s="8" t="s">
        <v>1543</v>
      </c>
    </row>
    <row r="545" spans="1:6" x14ac:dyDescent="0.15">
      <c r="A545" s="8" t="s">
        <v>1544</v>
      </c>
      <c r="B545" s="8" t="s">
        <v>153</v>
      </c>
      <c r="C545" s="8" t="str">
        <f t="shared" si="24"/>
        <v>att_mitocarta_pathway:fission</v>
      </c>
      <c r="D545" s="9" t="s">
        <v>17</v>
      </c>
      <c r="E545" s="8" t="s">
        <v>1545</v>
      </c>
      <c r="F545" s="8" t="s">
        <v>1546</v>
      </c>
    </row>
    <row r="546" spans="1:6" x14ac:dyDescent="0.15">
      <c r="A546" s="8" t="s">
        <v>1547</v>
      </c>
      <c r="B546" s="8" t="s">
        <v>153</v>
      </c>
      <c r="C546" s="8" t="str">
        <f t="shared" si="24"/>
        <v>att_mitocarta_pathway:fmet_processing</v>
      </c>
      <c r="D546" s="9" t="s">
        <v>17</v>
      </c>
      <c r="E546" s="8" t="s">
        <v>1548</v>
      </c>
      <c r="F546" s="8" t="s">
        <v>1549</v>
      </c>
    </row>
    <row r="547" spans="1:6" x14ac:dyDescent="0.15">
      <c r="A547" s="8" t="s">
        <v>1550</v>
      </c>
      <c r="B547" s="8" t="s">
        <v>153</v>
      </c>
      <c r="C547" s="8" t="str">
        <f t="shared" si="24"/>
        <v>att_mitocarta_pathway:folate_and_1_c_metabolism</v>
      </c>
      <c r="D547" s="9" t="s">
        <v>17</v>
      </c>
      <c r="E547" s="8" t="s">
        <v>1551</v>
      </c>
      <c r="F547" s="8" t="s">
        <v>1552</v>
      </c>
    </row>
    <row r="548" spans="1:6" x14ac:dyDescent="0.15">
      <c r="A548" s="8" t="s">
        <v>1553</v>
      </c>
      <c r="B548" s="8" t="s">
        <v>153</v>
      </c>
      <c r="C548" s="8" t="str">
        <f t="shared" si="24"/>
        <v>att_mitocarta_pathway:fusion</v>
      </c>
      <c r="D548" s="9" t="s">
        <v>17</v>
      </c>
      <c r="E548" s="8" t="s">
        <v>1554</v>
      </c>
      <c r="F548" s="8" t="s">
        <v>1555</v>
      </c>
    </row>
    <row r="549" spans="1:6" x14ac:dyDescent="0.15">
      <c r="A549" s="8" t="s">
        <v>1556</v>
      </c>
      <c r="B549" s="8" t="s">
        <v>153</v>
      </c>
      <c r="C549" s="8" t="str">
        <f t="shared" si="24"/>
        <v>att_mitocarta_pathway:gaba_metabolism</v>
      </c>
      <c r="D549" s="9" t="s">
        <v>17</v>
      </c>
      <c r="E549" s="8" t="s">
        <v>1557</v>
      </c>
      <c r="F549" s="8" t="s">
        <v>1558</v>
      </c>
    </row>
    <row r="550" spans="1:6" x14ac:dyDescent="0.15">
      <c r="A550" s="8" t="s">
        <v>1559</v>
      </c>
      <c r="B550" s="8" t="s">
        <v>153</v>
      </c>
      <c r="C550" s="8" t="str">
        <f t="shared" si="24"/>
        <v>att_mitocarta_pathway:gluconeogenesis</v>
      </c>
      <c r="D550" s="9" t="s">
        <v>17</v>
      </c>
      <c r="E550" s="8" t="s">
        <v>1560</v>
      </c>
      <c r="F550" s="8" t="s">
        <v>1561</v>
      </c>
    </row>
    <row r="551" spans="1:6" x14ac:dyDescent="0.15">
      <c r="A551" s="8" t="s">
        <v>1562</v>
      </c>
      <c r="B551" s="8" t="s">
        <v>153</v>
      </c>
      <c r="C551" s="8" t="str">
        <f t="shared" si="24"/>
        <v>att_mitocarta_pathway:glutamate_metabolism</v>
      </c>
      <c r="D551" s="9" t="s">
        <v>17</v>
      </c>
      <c r="E551" s="8" t="s">
        <v>1563</v>
      </c>
      <c r="F551" s="8" t="s">
        <v>1564</v>
      </c>
    </row>
    <row r="552" spans="1:6" x14ac:dyDescent="0.15">
      <c r="A552" s="8" t="s">
        <v>1565</v>
      </c>
      <c r="B552" s="8" t="s">
        <v>153</v>
      </c>
      <c r="C552" s="8" t="str">
        <f t="shared" si="24"/>
        <v>att_mitocarta_pathway:glycerol_phosphate_shuttle</v>
      </c>
      <c r="D552" s="9" t="s">
        <v>17</v>
      </c>
      <c r="E552" s="8" t="s">
        <v>1566</v>
      </c>
      <c r="F552" s="8" t="s">
        <v>1567</v>
      </c>
    </row>
    <row r="553" spans="1:6" x14ac:dyDescent="0.15">
      <c r="A553" s="8" t="s">
        <v>1568</v>
      </c>
      <c r="B553" s="8" t="s">
        <v>153</v>
      </c>
      <c r="C553" s="8" t="str">
        <f t="shared" si="24"/>
        <v>att_mitocarta_pathway:glycine_cleavage_system</v>
      </c>
      <c r="D553" s="9" t="s">
        <v>17</v>
      </c>
      <c r="E553" s="8" t="s">
        <v>1569</v>
      </c>
      <c r="F553" s="8" t="s">
        <v>1570</v>
      </c>
    </row>
    <row r="554" spans="1:6" x14ac:dyDescent="0.15">
      <c r="A554" s="8" t="s">
        <v>1571</v>
      </c>
      <c r="B554" s="8" t="s">
        <v>153</v>
      </c>
      <c r="C554" s="8" t="str">
        <f t="shared" si="24"/>
        <v>att_mitocarta_pathway:glycine_metabolism</v>
      </c>
      <c r="D554" s="9" t="s">
        <v>17</v>
      </c>
      <c r="E554" s="8" t="s">
        <v>1572</v>
      </c>
      <c r="F554" s="8" t="s">
        <v>1573</v>
      </c>
    </row>
    <row r="555" spans="1:6" x14ac:dyDescent="0.15">
      <c r="A555" s="8" t="s">
        <v>1574</v>
      </c>
      <c r="B555" s="8" t="s">
        <v>153</v>
      </c>
      <c r="C555" s="8" t="str">
        <f t="shared" si="24"/>
        <v>att_mitocarta_pathway:glyoxylate_metabolism</v>
      </c>
      <c r="D555" s="9" t="s">
        <v>17</v>
      </c>
      <c r="E555" s="8" t="s">
        <v>1575</v>
      </c>
      <c r="F555" s="8" t="s">
        <v>1576</v>
      </c>
    </row>
    <row r="556" spans="1:6" x14ac:dyDescent="0.15">
      <c r="A556" s="8" t="s">
        <v>1577</v>
      </c>
      <c r="B556" s="8" t="s">
        <v>153</v>
      </c>
      <c r="C556" s="8" t="str">
        <f t="shared" si="24"/>
        <v>att_mitocarta_pathway:heme_containing_proteins</v>
      </c>
      <c r="D556" s="9" t="s">
        <v>17</v>
      </c>
      <c r="E556" s="8" t="s">
        <v>1578</v>
      </c>
      <c r="F556" s="8" t="s">
        <v>1579</v>
      </c>
    </row>
    <row r="557" spans="1:6" x14ac:dyDescent="0.15">
      <c r="A557" s="8" t="s">
        <v>1580</v>
      </c>
      <c r="B557" s="8" t="s">
        <v>153</v>
      </c>
      <c r="C557" s="8" t="str">
        <f t="shared" si="24"/>
        <v>att_mitocarta_pathway:heme_synthesis_and_processing</v>
      </c>
      <c r="D557" s="9" t="s">
        <v>17</v>
      </c>
      <c r="E557" s="8" t="s">
        <v>1581</v>
      </c>
      <c r="F557" s="8" t="s">
        <v>1582</v>
      </c>
    </row>
    <row r="558" spans="1:6" x14ac:dyDescent="0.15">
      <c r="A558" s="8" t="s">
        <v>1583</v>
      </c>
      <c r="B558" s="8" t="s">
        <v>153</v>
      </c>
      <c r="C558" s="8" t="str">
        <f t="shared" si="24"/>
        <v>att_mitocarta_pathway:immune_response</v>
      </c>
      <c r="D558" s="9" t="s">
        <v>17</v>
      </c>
      <c r="E558" s="8" t="s">
        <v>1584</v>
      </c>
      <c r="F558" s="8" t="s">
        <v>1585</v>
      </c>
    </row>
    <row r="559" spans="1:6" x14ac:dyDescent="0.15">
      <c r="A559" s="8" t="s">
        <v>1586</v>
      </c>
      <c r="B559" s="8" t="s">
        <v>153</v>
      </c>
      <c r="C559" s="8" t="str">
        <f t="shared" si="24"/>
        <v>att_mitocarta_pathway:import_motor</v>
      </c>
      <c r="D559" s="9" t="s">
        <v>17</v>
      </c>
      <c r="E559" s="8" t="s">
        <v>1587</v>
      </c>
      <c r="F559" s="8" t="s">
        <v>1588</v>
      </c>
    </row>
    <row r="560" spans="1:6" x14ac:dyDescent="0.15">
      <c r="A560" s="8" t="s">
        <v>1589</v>
      </c>
      <c r="B560" s="8" t="s">
        <v>153</v>
      </c>
      <c r="C560" s="8" t="str">
        <f t="shared" si="24"/>
        <v>att_mitocarta_pathway:intramitochondrial_membrane_interactions</v>
      </c>
      <c r="D560" s="9" t="s">
        <v>17</v>
      </c>
      <c r="E560" s="8" t="s">
        <v>1590</v>
      </c>
      <c r="F560" s="8" t="s">
        <v>1591</v>
      </c>
    </row>
    <row r="561" spans="1:6" x14ac:dyDescent="0.15">
      <c r="A561" s="8" t="s">
        <v>1592</v>
      </c>
      <c r="B561" s="8" t="s">
        <v>153</v>
      </c>
      <c r="C561" s="8" t="str">
        <f t="shared" si="24"/>
        <v>att_mitocarta_pathway:iron_homeostasis</v>
      </c>
      <c r="D561" s="9" t="s">
        <v>17</v>
      </c>
      <c r="E561" s="8" t="s">
        <v>1593</v>
      </c>
      <c r="F561" s="8" t="s">
        <v>1594</v>
      </c>
    </row>
    <row r="562" spans="1:6" x14ac:dyDescent="0.15">
      <c r="A562" s="8" t="s">
        <v>1595</v>
      </c>
      <c r="B562" s="8" t="s">
        <v>153</v>
      </c>
      <c r="C562" s="8" t="str">
        <f t="shared" si="24"/>
        <v>att_mitocarta_pathway:itaconate_metabolism</v>
      </c>
      <c r="D562" s="9" t="s">
        <v>17</v>
      </c>
      <c r="E562" s="8" t="s">
        <v>1596</v>
      </c>
      <c r="F562" s="8" t="s">
        <v>1597</v>
      </c>
    </row>
    <row r="563" spans="1:6" x14ac:dyDescent="0.15">
      <c r="A563" s="8" t="s">
        <v>1598</v>
      </c>
      <c r="B563" s="8" t="s">
        <v>153</v>
      </c>
      <c r="C563" s="8" t="str">
        <f t="shared" si="24"/>
        <v>att_mitocarta_pathway:ketone_metabolism</v>
      </c>
      <c r="D563" s="9" t="s">
        <v>17</v>
      </c>
      <c r="E563" s="8" t="s">
        <v>1599</v>
      </c>
      <c r="F563" s="8" t="s">
        <v>1600</v>
      </c>
    </row>
    <row r="564" spans="1:6" x14ac:dyDescent="0.15">
      <c r="A564" s="8" t="s">
        <v>1601</v>
      </c>
      <c r="B564" s="8" t="s">
        <v>153</v>
      </c>
      <c r="C564" s="8" t="str">
        <f t="shared" si="24"/>
        <v>att_mitocarta_pathway:kynurenine_metabolism</v>
      </c>
      <c r="D564" s="9" t="s">
        <v>17</v>
      </c>
      <c r="E564" s="8" t="s">
        <v>1602</v>
      </c>
      <c r="F564" s="8" t="s">
        <v>1603</v>
      </c>
    </row>
    <row r="565" spans="1:6" x14ac:dyDescent="0.15">
      <c r="A565" s="8" t="s">
        <v>1604</v>
      </c>
      <c r="B565" s="8" t="s">
        <v>153</v>
      </c>
      <c r="C565" s="8" t="str">
        <f t="shared" si="24"/>
        <v>att_mitocarta_pathway:lipid_metabolism</v>
      </c>
      <c r="D565" s="9" t="s">
        <v>17</v>
      </c>
      <c r="E565" s="8" t="s">
        <v>1605</v>
      </c>
      <c r="F565" s="8" t="s">
        <v>1606</v>
      </c>
    </row>
    <row r="566" spans="1:6" x14ac:dyDescent="0.15">
      <c r="A566" s="8" t="s">
        <v>1607</v>
      </c>
      <c r="B566" s="8" t="s">
        <v>153</v>
      </c>
      <c r="C566" s="8" t="str">
        <f t="shared" si="24"/>
        <v>att_mitocarta_pathway:lipoate_insertion</v>
      </c>
      <c r="D566" s="9" t="s">
        <v>17</v>
      </c>
      <c r="E566" s="8" t="s">
        <v>1608</v>
      </c>
      <c r="F566" s="8" t="s">
        <v>1609</v>
      </c>
    </row>
    <row r="567" spans="1:6" x14ac:dyDescent="0.15">
      <c r="A567" s="8" t="s">
        <v>1610</v>
      </c>
      <c r="B567" s="8" t="s">
        <v>153</v>
      </c>
      <c r="C567" s="8" t="str">
        <f t="shared" si="24"/>
        <v>att_mitocarta_pathway:lysine_metabolism</v>
      </c>
      <c r="D567" s="9" t="s">
        <v>17</v>
      </c>
      <c r="E567" s="8" t="s">
        <v>1611</v>
      </c>
      <c r="F567" s="8" t="s">
        <v>1612</v>
      </c>
    </row>
    <row r="568" spans="1:6" x14ac:dyDescent="0.15">
      <c r="A568" s="8" t="s">
        <v>1613</v>
      </c>
      <c r="B568" s="8" t="s">
        <v>153</v>
      </c>
      <c r="C568" s="8" t="str">
        <f t="shared" si="24"/>
        <v>att_mitocarta_pathway:malate_aspartate_shuttle</v>
      </c>
      <c r="D568" s="9" t="s">
        <v>17</v>
      </c>
      <c r="E568" s="8" t="s">
        <v>1614</v>
      </c>
      <c r="F568" s="8" t="s">
        <v>1615</v>
      </c>
    </row>
    <row r="569" spans="1:6" x14ac:dyDescent="0.15">
      <c r="A569" s="8" t="s">
        <v>1616</v>
      </c>
      <c r="B569" s="8" t="s">
        <v>153</v>
      </c>
      <c r="C569" s="8" t="str">
        <f t="shared" si="24"/>
        <v>att_mitocarta_pathway:metabolism</v>
      </c>
      <c r="D569" s="9" t="s">
        <v>17</v>
      </c>
      <c r="E569" s="8" t="s">
        <v>1617</v>
      </c>
      <c r="F569" s="8" t="s">
        <v>1617</v>
      </c>
    </row>
    <row r="570" spans="1:6" x14ac:dyDescent="0.15">
      <c r="A570" s="8" t="s">
        <v>1618</v>
      </c>
      <c r="B570" s="8" t="s">
        <v>153</v>
      </c>
      <c r="C570" s="8" t="str">
        <f t="shared" si="24"/>
        <v>att_mitocarta_pathway:metals_and_cofactors</v>
      </c>
      <c r="D570" s="9" t="s">
        <v>17</v>
      </c>
      <c r="E570" s="8" t="s">
        <v>1619</v>
      </c>
      <c r="F570" s="8" t="s">
        <v>1620</v>
      </c>
    </row>
    <row r="571" spans="1:6" x14ac:dyDescent="0.15">
      <c r="A571" s="8" t="s">
        <v>1621</v>
      </c>
      <c r="B571" s="8" t="s">
        <v>153</v>
      </c>
      <c r="C571" s="8" t="str">
        <f t="shared" si="24"/>
        <v>att_mitocarta_pathway:mia40</v>
      </c>
      <c r="D571" s="9" t="s">
        <v>17</v>
      </c>
      <c r="E571" s="8" t="s">
        <v>1622</v>
      </c>
      <c r="F571" s="8" t="s">
        <v>1623</v>
      </c>
    </row>
    <row r="572" spans="1:6" x14ac:dyDescent="0.15">
      <c r="A572" s="8" t="s">
        <v>1624</v>
      </c>
      <c r="B572" s="8" t="s">
        <v>153</v>
      </c>
      <c r="C572" s="8" t="str">
        <f t="shared" si="24"/>
        <v>att_mitocarta_pathway:micos_complex</v>
      </c>
      <c r="D572" s="9" t="s">
        <v>17</v>
      </c>
      <c r="E572" s="8" t="s">
        <v>1625</v>
      </c>
      <c r="F572" s="8" t="s">
        <v>1626</v>
      </c>
    </row>
    <row r="573" spans="1:6" x14ac:dyDescent="0.15">
      <c r="A573" s="8" t="s">
        <v>1627</v>
      </c>
      <c r="B573" s="8" t="s">
        <v>153</v>
      </c>
      <c r="C573" s="8" t="str">
        <f t="shared" si="24"/>
        <v>att_mitocarta_pathway:mitochondrial_dynamics_and_surveillance</v>
      </c>
      <c r="D573" s="9" t="s">
        <v>17</v>
      </c>
      <c r="E573" s="8" t="s">
        <v>1628</v>
      </c>
      <c r="F573" s="8" t="s">
        <v>1628</v>
      </c>
    </row>
    <row r="574" spans="1:6" x14ac:dyDescent="0.15">
      <c r="A574" s="8" t="s">
        <v>1629</v>
      </c>
      <c r="B574" s="8" t="s">
        <v>153</v>
      </c>
      <c r="C574" s="8" t="str">
        <f t="shared" si="24"/>
        <v>att_mitocarta_pathway:mitochondrial_permeability_transition_pore</v>
      </c>
      <c r="D574" s="9" t="s">
        <v>17</v>
      </c>
      <c r="E574" s="8" t="s">
        <v>1630</v>
      </c>
      <c r="F574" s="8" t="s">
        <v>1631</v>
      </c>
    </row>
    <row r="575" spans="1:6" x14ac:dyDescent="0.15">
      <c r="A575" s="8" t="s">
        <v>1632</v>
      </c>
      <c r="B575" s="8" t="s">
        <v>153</v>
      </c>
      <c r="C575" s="8" t="str">
        <f t="shared" si="24"/>
        <v>att_mitocarta_pathway:mitochondrial_ribosome</v>
      </c>
      <c r="D575" s="9" t="s">
        <v>17</v>
      </c>
      <c r="E575" s="8" t="s">
        <v>1633</v>
      </c>
      <c r="F575" s="8" t="s">
        <v>1634</v>
      </c>
    </row>
    <row r="576" spans="1:6" x14ac:dyDescent="0.15">
      <c r="A576" s="8" t="s">
        <v>1635</v>
      </c>
      <c r="B576" s="8" t="s">
        <v>153</v>
      </c>
      <c r="C576" s="8" t="str">
        <f t="shared" si="24"/>
        <v>att_mitocarta_pathway:mitochondrial_ribosome_assembly</v>
      </c>
      <c r="D576" s="9" t="s">
        <v>17</v>
      </c>
      <c r="E576" s="8" t="s">
        <v>1636</v>
      </c>
      <c r="F576" s="8" t="s">
        <v>1637</v>
      </c>
    </row>
    <row r="577" spans="1:6" x14ac:dyDescent="0.15">
      <c r="A577" s="8" t="s">
        <v>1638</v>
      </c>
      <c r="B577" s="8" t="s">
        <v>153</v>
      </c>
      <c r="C577" s="8" t="str">
        <f t="shared" si="24"/>
        <v>att_mitocarta_pathway:mitophagy</v>
      </c>
      <c r="D577" s="9" t="s">
        <v>17</v>
      </c>
      <c r="E577" s="8" t="s">
        <v>1639</v>
      </c>
      <c r="F577" s="8" t="s">
        <v>1640</v>
      </c>
    </row>
    <row r="578" spans="1:6" x14ac:dyDescent="0.15">
      <c r="A578" s="8" t="s">
        <v>1641</v>
      </c>
      <c r="B578" s="8" t="s">
        <v>153</v>
      </c>
      <c r="C578" s="8" t="str">
        <f t="shared" si="24"/>
        <v>att_mitocarta_pathway:molybdenum_cofactor_synthesis_and_proteins</v>
      </c>
      <c r="D578" s="9" t="s">
        <v>17</v>
      </c>
      <c r="E578" s="8" t="s">
        <v>1642</v>
      </c>
      <c r="F578" s="8" t="s">
        <v>1643</v>
      </c>
    </row>
    <row r="579" spans="1:6" x14ac:dyDescent="0.15">
      <c r="A579" s="8" t="s">
        <v>1644</v>
      </c>
      <c r="B579" s="8" t="s">
        <v>153</v>
      </c>
      <c r="C579" s="8" t="str">
        <f t="shared" si="24"/>
        <v>att_mitocarta_pathway:mt_mrna_modifications</v>
      </c>
      <c r="D579" s="9" t="s">
        <v>17</v>
      </c>
      <c r="E579" s="8" t="s">
        <v>1645</v>
      </c>
      <c r="F579" s="8" t="s">
        <v>1646</v>
      </c>
    </row>
    <row r="580" spans="1:6" x14ac:dyDescent="0.15">
      <c r="A580" s="8" t="s">
        <v>1647</v>
      </c>
      <c r="B580" s="8" t="s">
        <v>153</v>
      </c>
      <c r="C580" s="8" t="str">
        <f t="shared" si="24"/>
        <v>att_mitocarta_pathway:mt_rrna_modifications</v>
      </c>
      <c r="D580" s="9" t="s">
        <v>17</v>
      </c>
      <c r="E580" s="8" t="s">
        <v>1648</v>
      </c>
      <c r="F580" s="8" t="s">
        <v>1649</v>
      </c>
    </row>
    <row r="581" spans="1:6" x14ac:dyDescent="0.15">
      <c r="A581" s="8" t="s">
        <v>1650</v>
      </c>
      <c r="B581" s="8" t="s">
        <v>153</v>
      </c>
      <c r="C581" s="8" t="str">
        <f t="shared" si="24"/>
        <v>att_mitocarta_pathway:mt_trna_modifications</v>
      </c>
      <c r="D581" s="9" t="s">
        <v>17</v>
      </c>
      <c r="E581" s="8" t="s">
        <v>1651</v>
      </c>
      <c r="F581" s="8" t="s">
        <v>1652</v>
      </c>
    </row>
    <row r="582" spans="1:6" x14ac:dyDescent="0.15">
      <c r="A582" s="8" t="s">
        <v>1653</v>
      </c>
      <c r="B582" s="8" t="s">
        <v>153</v>
      </c>
      <c r="C582" s="8" t="str">
        <f t="shared" si="24"/>
        <v>att_mitocarta_pathway:mt_trna_synthetases</v>
      </c>
      <c r="D582" s="9" t="s">
        <v>17</v>
      </c>
      <c r="E582" s="8" t="s">
        <v>1654</v>
      </c>
      <c r="F582" s="8" t="s">
        <v>1655</v>
      </c>
    </row>
    <row r="583" spans="1:6" x14ac:dyDescent="0.15">
      <c r="A583" s="8" t="s">
        <v>1656</v>
      </c>
      <c r="B583" s="8" t="s">
        <v>153</v>
      </c>
      <c r="C583" s="8" t="str">
        <f t="shared" si="24"/>
        <v>att_mitocarta_pathway:mtdna_maintenance</v>
      </c>
      <c r="D583" s="9" t="s">
        <v>17</v>
      </c>
      <c r="E583" s="8" t="s">
        <v>1657</v>
      </c>
      <c r="F583" s="8" t="s">
        <v>1658</v>
      </c>
    </row>
    <row r="584" spans="1:6" x14ac:dyDescent="0.15">
      <c r="A584" s="8" t="s">
        <v>1659</v>
      </c>
      <c r="B584" s="8" t="s">
        <v>153</v>
      </c>
      <c r="C584" s="8" t="str">
        <f t="shared" si="24"/>
        <v>att_mitocarta_pathway:mtdna_modifications</v>
      </c>
      <c r="D584" s="9" t="s">
        <v>17</v>
      </c>
      <c r="E584" s="8" t="s">
        <v>1660</v>
      </c>
      <c r="F584" s="8" t="s">
        <v>1661</v>
      </c>
    </row>
    <row r="585" spans="1:6" x14ac:dyDescent="0.15">
      <c r="A585" s="8" t="s">
        <v>1662</v>
      </c>
      <c r="B585" s="8" t="s">
        <v>153</v>
      </c>
      <c r="C585" s="8" t="str">
        <f t="shared" si="24"/>
        <v>att_mitocarta_pathway:mtdna_nucleoid</v>
      </c>
      <c r="D585" s="9" t="s">
        <v>17</v>
      </c>
      <c r="E585" s="8" t="s">
        <v>1663</v>
      </c>
      <c r="F585" s="8" t="s">
        <v>1664</v>
      </c>
    </row>
    <row r="586" spans="1:6" x14ac:dyDescent="0.15">
      <c r="A586" s="8" t="s">
        <v>1665</v>
      </c>
      <c r="B586" s="8" t="s">
        <v>153</v>
      </c>
      <c r="C586" s="8" t="str">
        <f t="shared" si="24"/>
        <v>att_mitocarta_pathway:mtdna_repair</v>
      </c>
      <c r="D586" s="9" t="s">
        <v>17</v>
      </c>
      <c r="E586" s="8" t="s">
        <v>1666</v>
      </c>
      <c r="F586" s="8" t="s">
        <v>1667</v>
      </c>
    </row>
    <row r="587" spans="1:6" x14ac:dyDescent="0.15">
      <c r="A587" s="8" t="s">
        <v>1668</v>
      </c>
      <c r="B587" s="8" t="s">
        <v>153</v>
      </c>
      <c r="C587" s="8" t="str">
        <f t="shared" si="24"/>
        <v>att_mitocarta_pathway:mtdna_replication</v>
      </c>
      <c r="D587" s="9" t="s">
        <v>17</v>
      </c>
      <c r="E587" s="8" t="s">
        <v>1669</v>
      </c>
      <c r="F587" s="8" t="s">
        <v>1670</v>
      </c>
    </row>
    <row r="588" spans="1:6" x14ac:dyDescent="0.15">
      <c r="A588" s="8" t="s">
        <v>1671</v>
      </c>
      <c r="B588" s="8" t="s">
        <v>153</v>
      </c>
      <c r="C588" s="8" t="str">
        <f t="shared" ref="C588:C659" si="25">B588&amp;":"&amp;A588</f>
        <v>att_mitocarta_pathway:mtdna_stability_and_decay</v>
      </c>
      <c r="D588" s="9" t="s">
        <v>17</v>
      </c>
      <c r="E588" s="8" t="s">
        <v>1672</v>
      </c>
      <c r="F588" s="8" t="s">
        <v>1673</v>
      </c>
    </row>
    <row r="589" spans="1:6" x14ac:dyDescent="0.15">
      <c r="A589" s="8" t="s">
        <v>1674</v>
      </c>
      <c r="B589" s="8" t="s">
        <v>153</v>
      </c>
      <c r="C589" s="8" t="str">
        <f t="shared" si="25"/>
        <v>att_mitocarta_pathway:mtrna_granules</v>
      </c>
      <c r="D589" s="9" t="s">
        <v>17</v>
      </c>
      <c r="E589" s="8" t="s">
        <v>1675</v>
      </c>
      <c r="F589" s="8" t="s">
        <v>1676</v>
      </c>
    </row>
    <row r="590" spans="1:6" x14ac:dyDescent="0.15">
      <c r="A590" s="8" t="s">
        <v>1677</v>
      </c>
      <c r="B590" s="8" t="s">
        <v>153</v>
      </c>
      <c r="C590" s="8" t="str">
        <f t="shared" si="25"/>
        <v>att_mitocarta_pathway:mtrna_metabolism</v>
      </c>
      <c r="D590" s="9" t="s">
        <v>17</v>
      </c>
      <c r="E590" s="8" t="s">
        <v>1678</v>
      </c>
      <c r="F590" s="8" t="s">
        <v>1679</v>
      </c>
    </row>
    <row r="591" spans="1:6" x14ac:dyDescent="0.15">
      <c r="A591" s="8" t="s">
        <v>1680</v>
      </c>
      <c r="B591" s="8" t="s">
        <v>153</v>
      </c>
      <c r="C591" s="8" t="str">
        <f t="shared" si="25"/>
        <v>att_mitocarta_pathway:mtrna_stability_and_decay</v>
      </c>
      <c r="D591" s="9" t="s">
        <v>17</v>
      </c>
      <c r="E591" s="8" t="s">
        <v>1681</v>
      </c>
      <c r="F591" s="8" t="s">
        <v>1682</v>
      </c>
    </row>
    <row r="592" spans="1:6" x14ac:dyDescent="0.15">
      <c r="A592" s="8" t="s">
        <v>1683</v>
      </c>
      <c r="B592" s="8" t="s">
        <v>153</v>
      </c>
      <c r="C592" s="8" t="str">
        <f t="shared" si="25"/>
        <v>att_mitocarta_pathway:nad_biosynthesis_and_metabolism</v>
      </c>
      <c r="D592" s="9" t="s">
        <v>17</v>
      </c>
      <c r="E592" s="8" t="s">
        <v>1684</v>
      </c>
      <c r="F592" s="8" t="s">
        <v>1685</v>
      </c>
    </row>
    <row r="593" spans="1:6" x14ac:dyDescent="0.15">
      <c r="A593" s="8" t="s">
        <v>1686</v>
      </c>
      <c r="B593" s="8" t="s">
        <v>153</v>
      </c>
      <c r="C593" s="8" t="str">
        <f t="shared" si="25"/>
        <v>att_mitocarta_pathway:nucleotide_import</v>
      </c>
      <c r="D593" s="9" t="s">
        <v>17</v>
      </c>
      <c r="E593" s="8" t="s">
        <v>1687</v>
      </c>
      <c r="F593" s="8" t="s">
        <v>1688</v>
      </c>
    </row>
    <row r="594" spans="1:6" x14ac:dyDescent="0.15">
      <c r="A594" s="8" t="s">
        <v>1689</v>
      </c>
      <c r="B594" s="8" t="s">
        <v>153</v>
      </c>
      <c r="C594" s="8" t="str">
        <f t="shared" si="25"/>
        <v>att_mitocarta_pathway:nucleotide_metabolism</v>
      </c>
      <c r="D594" s="9" t="s">
        <v>17</v>
      </c>
      <c r="E594" s="8" t="s">
        <v>1690</v>
      </c>
      <c r="F594" s="8" t="s">
        <v>1691</v>
      </c>
    </row>
    <row r="595" spans="1:6" x14ac:dyDescent="0.15">
      <c r="A595" s="8" t="s">
        <v>1692</v>
      </c>
      <c r="B595" s="8" t="s">
        <v>153</v>
      </c>
      <c r="C595" s="8" t="str">
        <f t="shared" si="25"/>
        <v>att_mitocarta_pathway:nucleotide_synthesis_and_processing</v>
      </c>
      <c r="D595" s="9" t="s">
        <v>17</v>
      </c>
      <c r="E595" s="8" t="s">
        <v>1693</v>
      </c>
      <c r="F595" s="8" t="s">
        <v>1694</v>
      </c>
    </row>
    <row r="596" spans="1:6" x14ac:dyDescent="0.15">
      <c r="A596" s="8" t="s">
        <v>1695</v>
      </c>
      <c r="B596" s="8" t="s">
        <v>153</v>
      </c>
      <c r="C596" s="8" t="str">
        <f t="shared" si="25"/>
        <v>att_mitocarta_pathway:organelle_contact_sites</v>
      </c>
      <c r="D596" s="9" t="s">
        <v>17</v>
      </c>
      <c r="E596" s="8" t="s">
        <v>1696</v>
      </c>
      <c r="F596" s="8" t="s">
        <v>1697</v>
      </c>
    </row>
    <row r="597" spans="1:6" x14ac:dyDescent="0.15">
      <c r="A597" s="8" t="s">
        <v>1698</v>
      </c>
      <c r="B597" s="8" t="s">
        <v>153</v>
      </c>
      <c r="C597" s="8" t="str">
        <f t="shared" si="25"/>
        <v>att_mitocarta_pathway:oxa</v>
      </c>
      <c r="D597" s="9" t="s">
        <v>17</v>
      </c>
      <c r="E597" s="8" t="s">
        <v>1699</v>
      </c>
      <c r="F597" s="8" t="s">
        <v>1700</v>
      </c>
    </row>
    <row r="598" spans="1:6" x14ac:dyDescent="0.15">
      <c r="A598" s="8" t="s">
        <v>1701</v>
      </c>
      <c r="B598" s="8" t="s">
        <v>153</v>
      </c>
      <c r="C598" s="8" t="str">
        <f t="shared" si="25"/>
        <v>att_mitocarta_pathway:oxphos</v>
      </c>
      <c r="D598" s="9" t="s">
        <v>17</v>
      </c>
      <c r="E598" s="8" t="s">
        <v>1702</v>
      </c>
      <c r="F598" s="8" t="s">
        <v>1702</v>
      </c>
    </row>
    <row r="599" spans="1:6" x14ac:dyDescent="0.15">
      <c r="A599" s="8" t="s">
        <v>1703</v>
      </c>
      <c r="B599" s="8" t="s">
        <v>153</v>
      </c>
      <c r="C599" s="8" t="str">
        <f t="shared" si="25"/>
        <v>att_mitocarta_pathway:oxphos_assembly_factors</v>
      </c>
      <c r="D599" s="9" t="s">
        <v>17</v>
      </c>
      <c r="E599" s="8" t="s">
        <v>1704</v>
      </c>
      <c r="F599" s="8" t="s">
        <v>1705</v>
      </c>
    </row>
    <row r="600" spans="1:6" x14ac:dyDescent="0.15">
      <c r="A600" s="8" t="s">
        <v>1706</v>
      </c>
      <c r="B600" s="8" t="s">
        <v>153</v>
      </c>
      <c r="C600" s="8" t="str">
        <f t="shared" si="25"/>
        <v>att_mitocarta_pathway:oxphos_subunits</v>
      </c>
      <c r="D600" s="9" t="s">
        <v>17</v>
      </c>
      <c r="E600" s="8" t="s">
        <v>1707</v>
      </c>
      <c r="F600" s="8" t="s">
        <v>1708</v>
      </c>
    </row>
    <row r="601" spans="1:6" x14ac:dyDescent="0.15">
      <c r="A601" s="8" t="s">
        <v>1709</v>
      </c>
      <c r="B601" s="8" t="s">
        <v>153</v>
      </c>
      <c r="C601" s="8" t="str">
        <f t="shared" si="25"/>
        <v>att_mitocarta_pathway:phospholipid_metabolism</v>
      </c>
      <c r="D601" s="9" t="s">
        <v>17</v>
      </c>
      <c r="E601" s="8" t="s">
        <v>1710</v>
      </c>
      <c r="F601" s="8" t="s">
        <v>1711</v>
      </c>
    </row>
    <row r="602" spans="1:6" x14ac:dyDescent="0.15">
      <c r="A602" s="8" t="s">
        <v>1712</v>
      </c>
      <c r="B602" s="8" t="s">
        <v>153</v>
      </c>
      <c r="C602" s="8" t="str">
        <f t="shared" si="25"/>
        <v>att_mitocarta_pathway:polycistronic_mtrna_processing</v>
      </c>
      <c r="D602" s="9" t="s">
        <v>17</v>
      </c>
      <c r="E602" s="8" t="s">
        <v>1713</v>
      </c>
      <c r="F602" s="8" t="s">
        <v>1714</v>
      </c>
    </row>
    <row r="603" spans="1:6" x14ac:dyDescent="0.15">
      <c r="A603" s="8" t="s">
        <v>1715</v>
      </c>
      <c r="B603" s="8" t="s">
        <v>153</v>
      </c>
      <c r="C603" s="8" t="str">
        <f t="shared" si="25"/>
        <v>att_mitocarta_pathway:preprotein_cleavage</v>
      </c>
      <c r="D603" s="9" t="s">
        <v>17</v>
      </c>
      <c r="E603" s="8" t="s">
        <v>1716</v>
      </c>
      <c r="F603" s="8" t="s">
        <v>1717</v>
      </c>
    </row>
    <row r="604" spans="1:6" x14ac:dyDescent="0.15">
      <c r="A604" s="8" t="s">
        <v>1718</v>
      </c>
      <c r="B604" s="8" t="s">
        <v>153</v>
      </c>
      <c r="C604" s="8" t="str">
        <f t="shared" si="25"/>
        <v>att_mitocarta_pathway:proline_metabolism</v>
      </c>
      <c r="D604" s="9" t="s">
        <v>17</v>
      </c>
      <c r="E604" s="8" t="s">
        <v>1719</v>
      </c>
      <c r="F604" s="8" t="s">
        <v>1720</v>
      </c>
    </row>
    <row r="605" spans="1:6" x14ac:dyDescent="0.15">
      <c r="A605" s="8" t="s">
        <v>1721</v>
      </c>
      <c r="B605" s="8" t="s">
        <v>153</v>
      </c>
      <c r="C605" s="8" t="str">
        <f t="shared" si="25"/>
        <v>att_mitocarta_pathway:propanoate_metabolism</v>
      </c>
      <c r="D605" s="9" t="s">
        <v>17</v>
      </c>
      <c r="E605" s="8" t="s">
        <v>1722</v>
      </c>
      <c r="F605" s="8" t="s">
        <v>1723</v>
      </c>
    </row>
    <row r="606" spans="1:6" x14ac:dyDescent="0.15">
      <c r="A606" s="8" t="s">
        <v>1724</v>
      </c>
      <c r="B606" s="8" t="s">
        <v>153</v>
      </c>
      <c r="C606" s="8" t="str">
        <f t="shared" si="25"/>
        <v>att_mitocarta_pathway:proteases</v>
      </c>
      <c r="D606" s="9" t="s">
        <v>17</v>
      </c>
      <c r="E606" s="8" t="s">
        <v>1725</v>
      </c>
      <c r="F606" s="8" t="s">
        <v>1726</v>
      </c>
    </row>
    <row r="607" spans="1:6" x14ac:dyDescent="0.15">
      <c r="A607" s="8" t="s">
        <v>1727</v>
      </c>
      <c r="B607" s="8" t="s">
        <v>153</v>
      </c>
      <c r="C607" s="8" t="str">
        <f t="shared" si="25"/>
        <v>att_mitocarta_pathway:protein_homeostasis</v>
      </c>
      <c r="D607" s="9" t="s">
        <v>17</v>
      </c>
      <c r="E607" s="8" t="s">
        <v>1728</v>
      </c>
      <c r="F607" s="8" t="s">
        <v>1729</v>
      </c>
    </row>
    <row r="608" spans="1:6" x14ac:dyDescent="0.15">
      <c r="A608" s="8" t="s">
        <v>1730</v>
      </c>
      <c r="B608" s="8" t="s">
        <v>153</v>
      </c>
      <c r="C608" s="8" t="str">
        <f t="shared" si="25"/>
        <v>att_mitocarta_pathway:protein_import_and_sorting</v>
      </c>
      <c r="D608" s="9" t="s">
        <v>17</v>
      </c>
      <c r="E608" s="8" t="s">
        <v>1731</v>
      </c>
      <c r="F608" s="8" t="s">
        <v>1732</v>
      </c>
    </row>
    <row r="609" spans="1:6" x14ac:dyDescent="0.15">
      <c r="A609" s="8" t="s">
        <v>1733</v>
      </c>
      <c r="B609" s="8" t="s">
        <v>153</v>
      </c>
      <c r="C609" s="8" t="str">
        <f t="shared" si="25"/>
        <v>att_mitocarta_pathway:pyruvate_metabolism</v>
      </c>
      <c r="D609" s="9" t="s">
        <v>17</v>
      </c>
      <c r="E609" s="8" t="s">
        <v>1734</v>
      </c>
      <c r="F609" s="8" t="s">
        <v>1735</v>
      </c>
    </row>
    <row r="610" spans="1:6" x14ac:dyDescent="0.15">
      <c r="A610" s="8" t="s">
        <v>1736</v>
      </c>
      <c r="B610" s="8" t="s">
        <v>153</v>
      </c>
      <c r="C610" s="8" t="str">
        <f t="shared" si="25"/>
        <v>att_mitocarta_pathway:respirasome_assembly</v>
      </c>
      <c r="D610" s="9" t="s">
        <v>17</v>
      </c>
      <c r="E610" s="8" t="s">
        <v>1737</v>
      </c>
      <c r="F610" s="8" t="s">
        <v>1738</v>
      </c>
    </row>
    <row r="611" spans="1:6" x14ac:dyDescent="0.15">
      <c r="A611" s="8" t="s">
        <v>1739</v>
      </c>
      <c r="B611" s="8" t="s">
        <v>153</v>
      </c>
      <c r="C611" s="8" t="str">
        <f t="shared" si="25"/>
        <v>att_mitocarta_pathway:ros_and_glutathione_metabolism</v>
      </c>
      <c r="D611" s="9" t="s">
        <v>17</v>
      </c>
      <c r="E611" s="8" t="s">
        <v>1740</v>
      </c>
      <c r="F611" s="8" t="s">
        <v>1741</v>
      </c>
    </row>
    <row r="612" spans="1:6" x14ac:dyDescent="0.15">
      <c r="A612" s="8" t="s">
        <v>1742</v>
      </c>
      <c r="B612" s="8" t="s">
        <v>153</v>
      </c>
      <c r="C612" s="8" t="str">
        <f t="shared" si="25"/>
        <v>att_mitocarta_pathway:sam</v>
      </c>
      <c r="D612" s="9" t="s">
        <v>17</v>
      </c>
      <c r="E612" s="8" t="s">
        <v>1743</v>
      </c>
      <c r="F612" s="8" t="s">
        <v>1744</v>
      </c>
    </row>
    <row r="613" spans="1:6" x14ac:dyDescent="0.15">
      <c r="A613" s="8" t="s">
        <v>1745</v>
      </c>
      <c r="B613" s="8" t="s">
        <v>153</v>
      </c>
      <c r="C613" s="8" t="str">
        <f t="shared" si="25"/>
        <v>att_mitocarta_pathway:selenoproteins</v>
      </c>
      <c r="D613" s="9" t="s">
        <v>17</v>
      </c>
      <c r="E613" s="8" t="s">
        <v>1746</v>
      </c>
      <c r="F613" s="8" t="s">
        <v>1747</v>
      </c>
    </row>
    <row r="614" spans="1:6" x14ac:dyDescent="0.15">
      <c r="A614" s="8" t="s">
        <v>1748</v>
      </c>
      <c r="B614" s="8" t="s">
        <v>153</v>
      </c>
      <c r="C614" s="8" t="str">
        <f t="shared" si="25"/>
        <v>att_mitocarta_pathway:serine_metabolism</v>
      </c>
      <c r="D614" s="9" t="s">
        <v>17</v>
      </c>
      <c r="E614" s="8" t="s">
        <v>1749</v>
      </c>
      <c r="F614" s="8" t="s">
        <v>1750</v>
      </c>
    </row>
    <row r="615" spans="1:6" x14ac:dyDescent="0.15">
      <c r="A615" s="8" t="s">
        <v>1751</v>
      </c>
      <c r="B615" s="8" t="s">
        <v>153</v>
      </c>
      <c r="C615" s="8" t="str">
        <f t="shared" si="25"/>
        <v>att_mitocarta_pathway:sideroflexins</v>
      </c>
      <c r="D615" s="9" t="s">
        <v>17</v>
      </c>
      <c r="E615" s="8" t="s">
        <v>1752</v>
      </c>
      <c r="F615" s="8" t="s">
        <v>1753</v>
      </c>
    </row>
    <row r="616" spans="1:6" x14ac:dyDescent="0.15">
      <c r="A616" s="8" t="s">
        <v>1754</v>
      </c>
      <c r="B616" s="8" t="s">
        <v>153</v>
      </c>
      <c r="C616" s="8" t="str">
        <f t="shared" si="25"/>
        <v>att_mitocarta_pathway:signaling</v>
      </c>
      <c r="D616" s="9" t="s">
        <v>17</v>
      </c>
      <c r="E616" s="8" t="s">
        <v>1755</v>
      </c>
      <c r="F616" s="8" t="s">
        <v>1755</v>
      </c>
    </row>
    <row r="617" spans="1:6" x14ac:dyDescent="0.15">
      <c r="A617" s="8" t="s">
        <v>1756</v>
      </c>
      <c r="B617" s="8" t="s">
        <v>153</v>
      </c>
      <c r="C617" s="8" t="str">
        <f t="shared" si="25"/>
        <v>att_mitocarta_pathway:slc25a_family</v>
      </c>
      <c r="D617" s="9" t="s">
        <v>17</v>
      </c>
      <c r="E617" s="8" t="s">
        <v>1757</v>
      </c>
      <c r="F617" s="8" t="s">
        <v>1758</v>
      </c>
    </row>
    <row r="618" spans="1:6" x14ac:dyDescent="0.15">
      <c r="A618" s="8" t="s">
        <v>1759</v>
      </c>
      <c r="B618" s="8" t="s">
        <v>153</v>
      </c>
      <c r="C618" s="8" t="str">
        <f t="shared" si="25"/>
        <v>att_mitocarta_pathway:small_molecule_transport</v>
      </c>
      <c r="D618" s="9" t="s">
        <v>17</v>
      </c>
      <c r="E618" s="8" t="s">
        <v>1760</v>
      </c>
      <c r="F618" s="8" t="s">
        <v>1760</v>
      </c>
    </row>
    <row r="619" spans="1:6" x14ac:dyDescent="0.15">
      <c r="A619" s="8" t="s">
        <v>1761</v>
      </c>
      <c r="B619" s="8" t="s">
        <v>153</v>
      </c>
      <c r="C619" s="8" t="str">
        <f t="shared" si="25"/>
        <v>att_mitocarta_pathway:sulfur_metabolism</v>
      </c>
      <c r="D619" s="9" t="s">
        <v>17</v>
      </c>
      <c r="E619" s="8" t="s">
        <v>1762</v>
      </c>
      <c r="F619" s="8" t="s">
        <v>1763</v>
      </c>
    </row>
    <row r="620" spans="1:6" x14ac:dyDescent="0.15">
      <c r="A620" s="8" t="s">
        <v>1764</v>
      </c>
      <c r="B620" s="8" t="s">
        <v>153</v>
      </c>
      <c r="C620" s="8" t="str">
        <f t="shared" si="25"/>
        <v>att_mitocarta_pathway:tca_associated</v>
      </c>
      <c r="D620" s="9" t="s">
        <v>17</v>
      </c>
      <c r="E620" s="8" t="s">
        <v>1765</v>
      </c>
      <c r="F620" s="8" t="s">
        <v>1766</v>
      </c>
    </row>
    <row r="621" spans="1:6" x14ac:dyDescent="0.15">
      <c r="A621" s="8" t="s">
        <v>1767</v>
      </c>
      <c r="B621" s="8" t="s">
        <v>153</v>
      </c>
      <c r="C621" s="8" t="str">
        <f t="shared" si="25"/>
        <v>att_mitocarta_pathway:tca_cycle</v>
      </c>
      <c r="D621" s="9" t="s">
        <v>17</v>
      </c>
      <c r="E621" s="8" t="s">
        <v>1768</v>
      </c>
      <c r="F621" s="8" t="s">
        <v>1769</v>
      </c>
    </row>
    <row r="622" spans="1:6" x14ac:dyDescent="0.15">
      <c r="A622" s="8" t="s">
        <v>1770</v>
      </c>
      <c r="B622" s="8" t="s">
        <v>153</v>
      </c>
      <c r="C622" s="8" t="str">
        <f t="shared" si="25"/>
        <v>att_mitocarta_pathway:tetrahydrobiopterin_synthesis</v>
      </c>
      <c r="D622" s="9" t="s">
        <v>17</v>
      </c>
      <c r="E622" s="8" t="s">
        <v>1771</v>
      </c>
      <c r="F622" s="8" t="s">
        <v>1772</v>
      </c>
    </row>
    <row r="623" spans="1:6" x14ac:dyDescent="0.15">
      <c r="A623" s="8" t="s">
        <v>1773</v>
      </c>
      <c r="B623" s="8" t="s">
        <v>153</v>
      </c>
      <c r="C623" s="8" t="str">
        <f t="shared" si="25"/>
        <v>att_mitocarta_pathway:tim22_carrier_pathway</v>
      </c>
      <c r="D623" s="9" t="s">
        <v>17</v>
      </c>
      <c r="E623" s="8" t="s">
        <v>1774</v>
      </c>
      <c r="F623" s="8" t="s">
        <v>1775</v>
      </c>
    </row>
    <row r="624" spans="1:6" x14ac:dyDescent="0.15">
      <c r="A624" s="8" t="s">
        <v>1776</v>
      </c>
      <c r="B624" s="8" t="s">
        <v>153</v>
      </c>
      <c r="C624" s="8" t="str">
        <f t="shared" si="25"/>
        <v>att_mitocarta_pathway:tim23_presequence_pathway</v>
      </c>
      <c r="D624" s="9" t="s">
        <v>17</v>
      </c>
      <c r="E624" s="8" t="s">
        <v>1777</v>
      </c>
      <c r="F624" s="8" t="s">
        <v>1778</v>
      </c>
    </row>
    <row r="625" spans="1:6" x14ac:dyDescent="0.15">
      <c r="A625" s="8" t="s">
        <v>1779</v>
      </c>
      <c r="B625" s="8" t="s">
        <v>153</v>
      </c>
      <c r="C625" s="8" t="str">
        <f t="shared" si="25"/>
        <v>att_mitocarta_pathway:tom</v>
      </c>
      <c r="D625" s="9" t="s">
        <v>17</v>
      </c>
      <c r="E625" s="8" t="s">
        <v>1780</v>
      </c>
      <c r="F625" s="8" t="s">
        <v>1781</v>
      </c>
    </row>
    <row r="626" spans="1:6" x14ac:dyDescent="0.15">
      <c r="A626" s="8" t="s">
        <v>1782</v>
      </c>
      <c r="B626" s="8" t="s">
        <v>153</v>
      </c>
      <c r="C626" s="8" t="str">
        <f t="shared" si="25"/>
        <v>att_mitocarta_pathway:trafficking</v>
      </c>
      <c r="D626" s="9" t="s">
        <v>17</v>
      </c>
      <c r="E626" s="8" t="s">
        <v>1783</v>
      </c>
      <c r="F626" s="8" t="s">
        <v>1784</v>
      </c>
    </row>
    <row r="627" spans="1:6" x14ac:dyDescent="0.15">
      <c r="A627" s="8" t="s">
        <v>1785</v>
      </c>
      <c r="B627" s="8" t="s">
        <v>153</v>
      </c>
      <c r="C627" s="8" t="str">
        <f t="shared" si="25"/>
        <v>att_mitocarta_pathway:transcription</v>
      </c>
      <c r="D627" s="9" t="s">
        <v>17</v>
      </c>
      <c r="E627" s="8" t="s">
        <v>1786</v>
      </c>
      <c r="F627" s="8" t="s">
        <v>1787</v>
      </c>
    </row>
    <row r="628" spans="1:6" x14ac:dyDescent="0.15">
      <c r="A628" s="8" t="s">
        <v>1788</v>
      </c>
      <c r="B628" s="8" t="s">
        <v>153</v>
      </c>
      <c r="C628" s="8" t="str">
        <f t="shared" si="25"/>
        <v>att_mitocarta_pathway:translation</v>
      </c>
      <c r="D628" s="9" t="s">
        <v>17</v>
      </c>
      <c r="E628" s="8" t="s">
        <v>1789</v>
      </c>
      <c r="F628" s="8" t="s">
        <v>1790</v>
      </c>
    </row>
    <row r="629" spans="1:6" x14ac:dyDescent="0.15">
      <c r="A629" s="8" t="s">
        <v>1791</v>
      </c>
      <c r="B629" s="8" t="s">
        <v>153</v>
      </c>
      <c r="C629" s="8" t="str">
        <f t="shared" si="25"/>
        <v>att_mitocarta_pathway:translation_factors</v>
      </c>
      <c r="D629" s="9" t="s">
        <v>17</v>
      </c>
      <c r="E629" s="8" t="s">
        <v>1792</v>
      </c>
      <c r="F629" s="8" t="s">
        <v>1793</v>
      </c>
    </row>
    <row r="630" spans="1:6" x14ac:dyDescent="0.15">
      <c r="A630" s="8" t="s">
        <v>1794</v>
      </c>
      <c r="B630" s="8" t="s">
        <v>153</v>
      </c>
      <c r="C630" s="8" t="str">
        <f t="shared" si="25"/>
        <v>att_mitocarta_pathway:type_ii_fatty_acid_synthesis</v>
      </c>
      <c r="D630" s="9" t="s">
        <v>17</v>
      </c>
      <c r="E630" s="8" t="s">
        <v>1795</v>
      </c>
      <c r="F630" s="8" t="s">
        <v>1796</v>
      </c>
    </row>
    <row r="631" spans="1:6" x14ac:dyDescent="0.15">
      <c r="A631" s="8" t="s">
        <v>1797</v>
      </c>
      <c r="B631" s="8" t="s">
        <v>153</v>
      </c>
      <c r="C631" s="8" t="str">
        <f t="shared" si="25"/>
        <v>att_mitocarta_pathway:urea_cycle</v>
      </c>
      <c r="D631" s="9" t="s">
        <v>17</v>
      </c>
      <c r="E631" s="8" t="s">
        <v>1798</v>
      </c>
      <c r="F631" s="8" t="s">
        <v>1799</v>
      </c>
    </row>
    <row r="632" spans="1:6" x14ac:dyDescent="0.15">
      <c r="A632" s="8" t="s">
        <v>1800</v>
      </c>
      <c r="B632" s="8" t="s">
        <v>153</v>
      </c>
      <c r="C632" s="8" t="str">
        <f t="shared" si="25"/>
        <v>att_mitocarta_pathway:vitamin_a_metabolism</v>
      </c>
      <c r="D632" s="9" t="s">
        <v>17</v>
      </c>
      <c r="E632" s="8" t="s">
        <v>1801</v>
      </c>
      <c r="F632" s="8" t="s">
        <v>1802</v>
      </c>
    </row>
    <row r="633" spans="1:6" x14ac:dyDescent="0.15">
      <c r="A633" s="8" t="s">
        <v>1803</v>
      </c>
      <c r="B633" s="8" t="s">
        <v>153</v>
      </c>
      <c r="C633" s="8" t="str">
        <f t="shared" si="25"/>
        <v>att_mitocarta_pathway:vitamin_b1_metabolism</v>
      </c>
      <c r="D633" s="9" t="s">
        <v>17</v>
      </c>
      <c r="E633" s="8" t="s">
        <v>1804</v>
      </c>
      <c r="F633" s="8" t="s">
        <v>1805</v>
      </c>
    </row>
    <row r="634" spans="1:6" x14ac:dyDescent="0.15">
      <c r="A634" s="8" t="s">
        <v>1806</v>
      </c>
      <c r="B634" s="8" t="s">
        <v>153</v>
      </c>
      <c r="C634" s="8" t="str">
        <f t="shared" si="25"/>
        <v>att_mitocarta_pathway:vitamin_b12_metabolism</v>
      </c>
      <c r="D634" s="9" t="s">
        <v>17</v>
      </c>
      <c r="E634" s="8" t="s">
        <v>1807</v>
      </c>
      <c r="F634" s="8" t="s">
        <v>1808</v>
      </c>
    </row>
    <row r="635" spans="1:6" x14ac:dyDescent="0.15">
      <c r="A635" s="8" t="s">
        <v>1809</v>
      </c>
      <c r="B635" s="8" t="s">
        <v>153</v>
      </c>
      <c r="C635" s="8" t="str">
        <f t="shared" si="25"/>
        <v>att_mitocarta_pathway:vitamin_b2_metabolism</v>
      </c>
      <c r="D635" s="9" t="s">
        <v>17</v>
      </c>
      <c r="E635" s="8" t="s">
        <v>1810</v>
      </c>
      <c r="F635" s="8" t="s">
        <v>1811</v>
      </c>
    </row>
    <row r="636" spans="1:6" x14ac:dyDescent="0.15">
      <c r="A636" s="8" t="s">
        <v>1812</v>
      </c>
      <c r="B636" s="8" t="s">
        <v>153</v>
      </c>
      <c r="C636" s="8" t="str">
        <f t="shared" si="25"/>
        <v>att_mitocarta_pathway:vitamin_b6_metabolism</v>
      </c>
      <c r="D636" s="9" t="s">
        <v>17</v>
      </c>
      <c r="E636" s="8" t="s">
        <v>1813</v>
      </c>
      <c r="F636" s="8" t="s">
        <v>1814</v>
      </c>
    </row>
    <row r="637" spans="1:6" x14ac:dyDescent="0.15">
      <c r="A637" s="8" t="s">
        <v>1815</v>
      </c>
      <c r="B637" s="8" t="s">
        <v>153</v>
      </c>
      <c r="C637" s="8" t="str">
        <f t="shared" si="25"/>
        <v>att_mitocarta_pathway:vitamin_c_metabolism</v>
      </c>
      <c r="D637" s="9" t="s">
        <v>17</v>
      </c>
      <c r="E637" s="8" t="s">
        <v>1816</v>
      </c>
      <c r="F637" s="8" t="s">
        <v>1817</v>
      </c>
    </row>
    <row r="638" spans="1:6" x14ac:dyDescent="0.15">
      <c r="A638" s="8" t="s">
        <v>1818</v>
      </c>
      <c r="B638" s="8" t="s">
        <v>153</v>
      </c>
      <c r="C638" s="8" t="str">
        <f t="shared" si="25"/>
        <v>att_mitocarta_pathway:vitamin_d_metabolism</v>
      </c>
      <c r="D638" s="9" t="s">
        <v>17</v>
      </c>
      <c r="E638" s="8" t="s">
        <v>1819</v>
      </c>
      <c r="F638" s="8" t="s">
        <v>1820</v>
      </c>
    </row>
    <row r="639" spans="1:6" x14ac:dyDescent="0.15">
      <c r="A639" s="8" t="s">
        <v>1821</v>
      </c>
      <c r="B639" s="8" t="s">
        <v>153</v>
      </c>
      <c r="C639" s="8" t="str">
        <f t="shared" si="25"/>
        <v>att_mitocarta_pathway:vitamin_metabolism</v>
      </c>
      <c r="D639" s="9" t="s">
        <v>17</v>
      </c>
      <c r="E639" s="8" t="s">
        <v>1822</v>
      </c>
      <c r="F639" s="8" t="s">
        <v>1823</v>
      </c>
    </row>
    <row r="640" spans="1:6" x14ac:dyDescent="0.15">
      <c r="A640" s="8" t="s">
        <v>1824</v>
      </c>
      <c r="B640" s="8" t="s">
        <v>153</v>
      </c>
      <c r="C640" s="8" t="str">
        <f t="shared" si="25"/>
        <v>att_mitocarta_pathway:xenobiotic_metabolism</v>
      </c>
      <c r="D640" s="9" t="s">
        <v>17</v>
      </c>
      <c r="E640" s="8" t="s">
        <v>1825</v>
      </c>
      <c r="F640" s="8" t="s">
        <v>1826</v>
      </c>
    </row>
    <row r="641" spans="1:6" x14ac:dyDescent="0.15">
      <c r="A641" s="8" t="s">
        <v>1827</v>
      </c>
      <c r="B641" s="8" t="s">
        <v>1828</v>
      </c>
      <c r="C641" s="8" t="str">
        <f t="shared" si="25"/>
        <v>att_mockup:arbitrary</v>
      </c>
      <c r="D641" s="9" t="s">
        <v>17</v>
      </c>
      <c r="E641" s="8" t="s">
        <v>1829</v>
      </c>
      <c r="F641" s="8" t="s">
        <v>1830</v>
      </c>
    </row>
    <row r="642" spans="1:6" x14ac:dyDescent="0.15">
      <c r="A642" s="8" t="s">
        <v>1831</v>
      </c>
      <c r="B642" s="8" t="s">
        <v>1828</v>
      </c>
      <c r="C642" s="8" t="str">
        <f t="shared" si="25"/>
        <v>att_mockup:random</v>
      </c>
      <c r="D642" s="9" t="s">
        <v>17</v>
      </c>
      <c r="E642" s="8" t="s">
        <v>1832</v>
      </c>
      <c r="F642" s="8" t="s">
        <v>1830</v>
      </c>
    </row>
    <row r="643" spans="1:6" x14ac:dyDescent="0.15">
      <c r="A643" s="8" t="s">
        <v>1833</v>
      </c>
      <c r="B643" s="8" t="s">
        <v>156</v>
      </c>
      <c r="C643" s="8" t="str">
        <f t="shared" si="25"/>
        <v>att_model:in_vitro</v>
      </c>
      <c r="D643" s="9" t="s">
        <v>17</v>
      </c>
      <c r="E643" s="8" t="s">
        <v>1834</v>
      </c>
      <c r="F643" s="8" t="s">
        <v>1835</v>
      </c>
    </row>
    <row r="644" spans="1:6" x14ac:dyDescent="0.15">
      <c r="A644" s="8" t="s">
        <v>1836</v>
      </c>
      <c r="B644" s="8" t="s">
        <v>156</v>
      </c>
      <c r="C644" s="8" t="str">
        <f t="shared" si="25"/>
        <v>att_model:in_vivo</v>
      </c>
      <c r="D644" s="9" t="s">
        <v>17</v>
      </c>
      <c r="E644" s="8" t="s">
        <v>1837</v>
      </c>
      <c r="F644" s="8" t="s">
        <v>1838</v>
      </c>
    </row>
    <row r="645" spans="1:6" s="6" customFormat="1" x14ac:dyDescent="0.15">
      <c r="A645" s="8" t="s">
        <v>1839</v>
      </c>
      <c r="B645" s="8" t="s">
        <v>156</v>
      </c>
      <c r="C645" s="8" t="str">
        <f t="shared" si="25"/>
        <v>att_model:xenografts</v>
      </c>
      <c r="D645" s="9" t="s">
        <v>17</v>
      </c>
      <c r="E645" s="8" t="s">
        <v>1839</v>
      </c>
      <c r="F645" s="8" t="s">
        <v>1840</v>
      </c>
    </row>
    <row r="646" spans="1:6" s="6" customFormat="1" x14ac:dyDescent="0.15">
      <c r="A646" s="8" t="s">
        <v>3066</v>
      </c>
      <c r="B646" s="8" t="s">
        <v>3063</v>
      </c>
      <c r="C646" s="8" t="str">
        <f t="shared" si="25"/>
        <v>att_mouse_cre:nestincre</v>
      </c>
      <c r="D646" s="8" t="s">
        <v>17</v>
      </c>
      <c r="E646" s="8" t="s">
        <v>3065</v>
      </c>
      <c r="F646" s="8" t="s">
        <v>3078</v>
      </c>
    </row>
    <row r="647" spans="1:6" x14ac:dyDescent="0.15">
      <c r="A647" s="8" t="s">
        <v>3068</v>
      </c>
      <c r="B647" s="8" t="s">
        <v>3063</v>
      </c>
      <c r="C647" s="8" t="str">
        <f t="shared" si="25"/>
        <v>att_mouse_cre:cmvcre</v>
      </c>
      <c r="D647" s="8" t="s">
        <v>17</v>
      </c>
      <c r="E647" s="8" t="s">
        <v>3067</v>
      </c>
      <c r="F647" s="8" t="s">
        <v>3077</v>
      </c>
    </row>
    <row r="648" spans="1:6" x14ac:dyDescent="0.15">
      <c r="A648" s="8" t="s">
        <v>3071</v>
      </c>
      <c r="B648" s="8" t="s">
        <v>3063</v>
      </c>
      <c r="C648" s="8" t="str">
        <f t="shared" si="25"/>
        <v>att_mouse_cre:myh6cre</v>
      </c>
      <c r="D648" s="8" t="s">
        <v>17</v>
      </c>
      <c r="E648" s="8" t="s">
        <v>3070</v>
      </c>
      <c r="F648" s="8" t="s">
        <v>3069</v>
      </c>
    </row>
    <row r="649" spans="1:6" x14ac:dyDescent="0.15">
      <c r="A649" s="8" t="s">
        <v>2517</v>
      </c>
      <c r="B649" s="8" t="s">
        <v>3063</v>
      </c>
      <c r="C649" s="8" t="str">
        <f t="shared" si="25"/>
        <v>att_mouse_cre:albcre</v>
      </c>
      <c r="D649" s="8" t="s">
        <v>17</v>
      </c>
      <c r="E649" s="8" t="s">
        <v>3072</v>
      </c>
      <c r="F649" s="8" t="s">
        <v>3076</v>
      </c>
    </row>
    <row r="650" spans="1:6" x14ac:dyDescent="0.15">
      <c r="A650" s="8" t="s">
        <v>3073</v>
      </c>
      <c r="B650" s="8" t="s">
        <v>3063</v>
      </c>
      <c r="C650" s="8" t="str">
        <f t="shared" ref="C650:C651" si="26">B650&amp;":"&amp;A650</f>
        <v>att_mouse_cre:ucpcre</v>
      </c>
      <c r="D650" s="8" t="s">
        <v>17</v>
      </c>
      <c r="E650" s="8" t="s">
        <v>3074</v>
      </c>
      <c r="F650" s="8" t="s">
        <v>3075</v>
      </c>
    </row>
    <row r="651" spans="1:6" x14ac:dyDescent="0.15">
      <c r="A651" s="8" t="s">
        <v>2514</v>
      </c>
      <c r="B651" s="8" t="s">
        <v>3063</v>
      </c>
      <c r="C651" s="8" t="str">
        <f t="shared" si="26"/>
        <v>att_mouse_cre:adipoqcre</v>
      </c>
      <c r="D651" s="8" t="s">
        <v>17</v>
      </c>
      <c r="E651" s="8" t="s">
        <v>3079</v>
      </c>
      <c r="F651" s="8" t="s">
        <v>3080</v>
      </c>
    </row>
    <row r="652" spans="1:6" x14ac:dyDescent="0.15">
      <c r="A652" s="8" t="s">
        <v>3088</v>
      </c>
      <c r="B652" s="8" t="s">
        <v>3063</v>
      </c>
      <c r="C652" s="8" t="str">
        <f t="shared" ref="C652" si="27">B652&amp;":"&amp;A652</f>
        <v>att_mouse_cre:ckmmcre</v>
      </c>
      <c r="D652" s="8" t="s">
        <v>17</v>
      </c>
      <c r="E652" s="8" t="s">
        <v>3089</v>
      </c>
      <c r="F652" s="8" t="s">
        <v>3090</v>
      </c>
    </row>
    <row r="653" spans="1:6" x14ac:dyDescent="0.15">
      <c r="A653" s="8" t="s">
        <v>1841</v>
      </c>
      <c r="B653" s="8" t="s">
        <v>23</v>
      </c>
      <c r="C653" s="8" t="str">
        <f>B653&amp;":"&amp;A653</f>
        <v>att_ms:eclips</v>
      </c>
      <c r="D653" s="9" t="s">
        <v>17</v>
      </c>
      <c r="E653" s="8" t="s">
        <v>1842</v>
      </c>
      <c r="F653" s="8" t="s">
        <v>1842</v>
      </c>
    </row>
    <row r="654" spans="1:6" x14ac:dyDescent="0.15">
      <c r="A654" s="8" t="s">
        <v>1843</v>
      </c>
      <c r="B654" s="8" t="s">
        <v>23</v>
      </c>
      <c r="C654" s="8" t="str">
        <f t="shared" si="25"/>
        <v>att_ms:exploris240</v>
      </c>
      <c r="D654" s="9" t="s">
        <v>17</v>
      </c>
      <c r="E654" s="8" t="s">
        <v>1844</v>
      </c>
      <c r="F654" s="8" t="s">
        <v>1845</v>
      </c>
    </row>
    <row r="655" spans="1:6" x14ac:dyDescent="0.15">
      <c r="A655" s="8" t="s">
        <v>1846</v>
      </c>
      <c r="B655" s="8" t="s">
        <v>23</v>
      </c>
      <c r="C655" s="8" t="str">
        <f t="shared" si="25"/>
        <v>att_ms:exploris480</v>
      </c>
      <c r="D655" s="9" t="s">
        <v>17</v>
      </c>
      <c r="E655" s="8" t="s">
        <v>1847</v>
      </c>
      <c r="F655" s="8" t="s">
        <v>1848</v>
      </c>
    </row>
    <row r="656" spans="1:6" x14ac:dyDescent="0.15">
      <c r="A656" s="8" t="s">
        <v>1849</v>
      </c>
      <c r="B656" s="8" t="s">
        <v>23</v>
      </c>
      <c r="C656" s="8" t="str">
        <f t="shared" si="25"/>
        <v>att_ms:qex</v>
      </c>
      <c r="D656" s="9" t="s">
        <v>17</v>
      </c>
      <c r="E656" s="8" t="s">
        <v>1850</v>
      </c>
      <c r="F656" s="8" t="s">
        <v>1851</v>
      </c>
    </row>
    <row r="657" spans="1:6" x14ac:dyDescent="0.15">
      <c r="A657" s="8" t="s">
        <v>1852</v>
      </c>
      <c r="B657" s="8" t="s">
        <v>23</v>
      </c>
      <c r="C657" s="8" t="str">
        <f t="shared" si="25"/>
        <v>att_ms:qexplus</v>
      </c>
      <c r="D657" s="9" t="s">
        <v>17</v>
      </c>
      <c r="E657" s="8" t="s">
        <v>1853</v>
      </c>
      <c r="F657" s="8" t="s">
        <v>1854</v>
      </c>
    </row>
    <row r="658" spans="1:6" x14ac:dyDescent="0.15">
      <c r="A658" s="8" t="s">
        <v>3160</v>
      </c>
      <c r="B658" s="8" t="s">
        <v>23</v>
      </c>
      <c r="C658" s="8" t="str">
        <f t="shared" si="25"/>
        <v>att_ms:tofpro2</v>
      </c>
      <c r="D658" s="9" t="s">
        <v>17</v>
      </c>
      <c r="E658" s="8" t="s">
        <v>3161</v>
      </c>
      <c r="F658" s="8" t="s">
        <v>3162</v>
      </c>
    </row>
    <row r="659" spans="1:6" x14ac:dyDescent="0.15">
      <c r="A659" s="8" t="s">
        <v>1855</v>
      </c>
      <c r="B659" s="8" t="s">
        <v>23</v>
      </c>
      <c r="C659" s="8" t="str">
        <f t="shared" si="25"/>
        <v>att_ms:ttofhct</v>
      </c>
      <c r="D659" s="9" t="s">
        <v>17</v>
      </c>
      <c r="E659" s="8" t="s">
        <v>1856</v>
      </c>
      <c r="F659" s="8" t="s">
        <v>3163</v>
      </c>
    </row>
    <row r="660" spans="1:6" x14ac:dyDescent="0.15">
      <c r="A660" s="8" t="s">
        <v>1857</v>
      </c>
      <c r="B660" s="8" t="s">
        <v>23</v>
      </c>
      <c r="C660" s="8" t="str">
        <f t="shared" ref="C660:C727" si="28">B660&amp;":"&amp;A660</f>
        <v>att_ms:ttofscp</v>
      </c>
      <c r="D660" s="9" t="s">
        <v>17</v>
      </c>
      <c r="E660" s="8" t="s">
        <v>1858</v>
      </c>
      <c r="F660" s="8" t="s">
        <v>3164</v>
      </c>
    </row>
    <row r="661" spans="1:6" x14ac:dyDescent="0.15">
      <c r="A661" s="8" t="s">
        <v>1859</v>
      </c>
      <c r="B661" s="8" t="s">
        <v>115</v>
      </c>
      <c r="C661" s="8" t="str">
        <f t="shared" si="28"/>
        <v>att_ms_interface:faims</v>
      </c>
      <c r="D661" s="9" t="s">
        <v>17</v>
      </c>
      <c r="E661" s="8" t="s">
        <v>1860</v>
      </c>
      <c r="F661" s="8" t="s">
        <v>1861</v>
      </c>
    </row>
    <row r="662" spans="1:6" x14ac:dyDescent="0.15">
      <c r="A662" s="8" t="s">
        <v>336</v>
      </c>
      <c r="B662" s="8" t="s">
        <v>115</v>
      </c>
      <c r="C662" s="8" t="str">
        <f t="shared" si="28"/>
        <v>att_ms_interface:none</v>
      </c>
      <c r="D662" s="9" t="s">
        <v>17</v>
      </c>
      <c r="E662" s="8" t="s">
        <v>1862</v>
      </c>
      <c r="F662" s="8" t="s">
        <v>1863</v>
      </c>
    </row>
    <row r="663" spans="1:6" x14ac:dyDescent="0.15">
      <c r="A663" s="8" t="s">
        <v>1864</v>
      </c>
      <c r="B663" s="8" t="s">
        <v>38</v>
      </c>
      <c r="C663" s="8" t="str">
        <f t="shared" si="28"/>
        <v>att_ms_ionsource:easy_spray</v>
      </c>
      <c r="D663" s="9" t="s">
        <v>17</v>
      </c>
      <c r="E663" s="8" t="s">
        <v>1865</v>
      </c>
      <c r="F663" s="8" t="s">
        <v>1866</v>
      </c>
    </row>
    <row r="664" spans="1:6" x14ac:dyDescent="0.15">
      <c r="A664" s="8" t="s">
        <v>1867</v>
      </c>
      <c r="B664" s="8" t="s">
        <v>38</v>
      </c>
      <c r="C664" s="8" t="str">
        <f t="shared" si="28"/>
        <v>att_ms_ionsource:flex</v>
      </c>
      <c r="D664" s="9" t="s">
        <v>17</v>
      </c>
      <c r="E664" s="8" t="s">
        <v>1868</v>
      </c>
      <c r="F664" s="8" t="s">
        <v>1869</v>
      </c>
    </row>
    <row r="665" spans="1:6" x14ac:dyDescent="0.15">
      <c r="A665" s="8" t="s">
        <v>1870</v>
      </c>
      <c r="B665" s="8" t="s">
        <v>38</v>
      </c>
      <c r="C665" s="8" t="str">
        <f t="shared" si="28"/>
        <v>att_ms_ionsource:ion_max</v>
      </c>
      <c r="D665" s="9" t="s">
        <v>17</v>
      </c>
      <c r="E665" s="8" t="s">
        <v>1871</v>
      </c>
      <c r="F665" s="8" t="s">
        <v>1872</v>
      </c>
    </row>
    <row r="666" spans="1:6" x14ac:dyDescent="0.15">
      <c r="A666" s="8" t="s">
        <v>3146</v>
      </c>
      <c r="B666" s="8" t="s">
        <v>38</v>
      </c>
      <c r="C666" s="8" t="str">
        <f t="shared" si="28"/>
        <v>att_ms_ionsource:captivespray</v>
      </c>
      <c r="D666" s="9" t="s">
        <v>3145</v>
      </c>
      <c r="E666" s="8" t="s">
        <v>3150</v>
      </c>
      <c r="F666" s="8" t="s">
        <v>3152</v>
      </c>
    </row>
    <row r="667" spans="1:6" x14ac:dyDescent="0.15">
      <c r="A667" s="8" t="s">
        <v>3147</v>
      </c>
      <c r="B667" s="8" t="s">
        <v>38</v>
      </c>
      <c r="C667" s="8" t="str">
        <f t="shared" ref="C667:C668" si="29">B667&amp;":"&amp;A667</f>
        <v>att_ms_ionsource:captivespraytwo</v>
      </c>
      <c r="D667" s="9" t="s">
        <v>3148</v>
      </c>
      <c r="E667" s="8" t="s">
        <v>3149</v>
      </c>
      <c r="F667" s="8" t="s">
        <v>3151</v>
      </c>
    </row>
    <row r="668" spans="1:6" x14ac:dyDescent="0.15">
      <c r="A668" s="8" t="s">
        <v>3153</v>
      </c>
      <c r="B668" s="8" t="s">
        <v>38</v>
      </c>
      <c r="C668" s="8" t="str">
        <f t="shared" si="29"/>
        <v>att_ms_ionsource:captiivespraypro</v>
      </c>
      <c r="D668" s="9" t="s">
        <v>3154</v>
      </c>
      <c r="E668" s="8" t="s">
        <v>3155</v>
      </c>
      <c r="F668" s="8" t="s">
        <v>3156</v>
      </c>
    </row>
    <row r="669" spans="1:6" x14ac:dyDescent="0.15">
      <c r="A669" s="8" t="s">
        <v>1873</v>
      </c>
      <c r="B669" s="8" t="s">
        <v>160</v>
      </c>
      <c r="C669" s="8" t="str">
        <f t="shared" si="28"/>
        <v>att_ms_name:e1</v>
      </c>
      <c r="D669" s="8" t="s">
        <v>1873</v>
      </c>
      <c r="E669" s="8" t="s">
        <v>1874</v>
      </c>
      <c r="F669" s="8" t="s">
        <v>1875</v>
      </c>
    </row>
    <row r="670" spans="1:6" x14ac:dyDescent="0.15">
      <c r="A670" s="8" t="s">
        <v>1876</v>
      </c>
      <c r="B670" s="8" t="s">
        <v>160</v>
      </c>
      <c r="C670" s="8" t="str">
        <f t="shared" si="28"/>
        <v>att_ms_name:e2</v>
      </c>
      <c r="D670" s="8" t="s">
        <v>1876</v>
      </c>
      <c r="E670" s="8" t="s">
        <v>1877</v>
      </c>
      <c r="F670" s="8" t="s">
        <v>1878</v>
      </c>
    </row>
    <row r="671" spans="1:6" x14ac:dyDescent="0.15">
      <c r="A671" s="8" t="s">
        <v>1879</v>
      </c>
      <c r="B671" s="8" t="s">
        <v>160</v>
      </c>
      <c r="C671" s="8" t="str">
        <f t="shared" si="28"/>
        <v>att_ms_name:expl480</v>
      </c>
      <c r="D671" s="8" t="s">
        <v>1879</v>
      </c>
      <c r="E671" s="8" t="s">
        <v>1880</v>
      </c>
      <c r="F671" s="8" t="s">
        <v>3009</v>
      </c>
    </row>
    <row r="672" spans="1:6" x14ac:dyDescent="0.15">
      <c r="A672" s="8" t="s">
        <v>3006</v>
      </c>
      <c r="B672" s="8" t="s">
        <v>160</v>
      </c>
      <c r="C672" s="8" t="str">
        <f t="shared" si="28"/>
        <v>att_ms_name:hfxage</v>
      </c>
      <c r="D672" s="8" t="s">
        <v>17</v>
      </c>
      <c r="E672" s="8" t="s">
        <v>3007</v>
      </c>
      <c r="F672" s="8" t="s">
        <v>3008</v>
      </c>
    </row>
    <row r="673" spans="1:6" x14ac:dyDescent="0.15">
      <c r="A673" s="8" t="s">
        <v>1881</v>
      </c>
      <c r="B673" s="8" t="s">
        <v>160</v>
      </c>
      <c r="C673" s="8" t="str">
        <f t="shared" si="28"/>
        <v>att_ms_name:ignarius</v>
      </c>
      <c r="D673" s="8" t="s">
        <v>1881</v>
      </c>
      <c r="E673" s="8" t="s">
        <v>1882</v>
      </c>
      <c r="F673" s="8" t="s">
        <v>1883</v>
      </c>
    </row>
    <row r="674" spans="1:6" x14ac:dyDescent="0.15">
      <c r="A674" s="8" t="s">
        <v>1884</v>
      </c>
      <c r="B674" s="8" t="s">
        <v>160</v>
      </c>
      <c r="C674" s="8" t="str">
        <f t="shared" si="28"/>
        <v>att_ms_name:timstof</v>
      </c>
      <c r="D674" s="8" t="s">
        <v>1884</v>
      </c>
      <c r="E674" s="8" t="s">
        <v>1885</v>
      </c>
      <c r="F674" s="8" t="s">
        <v>1886</v>
      </c>
    </row>
    <row r="675" spans="1:6" x14ac:dyDescent="0.15">
      <c r="A675" s="8" t="s">
        <v>1887</v>
      </c>
      <c r="B675" s="8" t="s">
        <v>170</v>
      </c>
      <c r="C675" s="8" t="str">
        <f t="shared" si="28"/>
        <v>att_ms2_resolution:120000res</v>
      </c>
      <c r="D675" s="9" t="s">
        <v>17</v>
      </c>
      <c r="E675" s="8">
        <v>120000</v>
      </c>
      <c r="F675" s="8" t="s">
        <v>1888</v>
      </c>
    </row>
    <row r="676" spans="1:6" x14ac:dyDescent="0.15">
      <c r="A676" s="8" t="s">
        <v>1889</v>
      </c>
      <c r="B676" s="8" t="s">
        <v>170</v>
      </c>
      <c r="C676" s="8" t="str">
        <f t="shared" si="28"/>
        <v>att_ms2_resolution:15000res</v>
      </c>
      <c r="D676" s="9" t="s">
        <v>17</v>
      </c>
      <c r="E676" s="8">
        <v>15000</v>
      </c>
      <c r="F676" s="8" t="s">
        <v>1888</v>
      </c>
    </row>
    <row r="677" spans="1:6" x14ac:dyDescent="0.15">
      <c r="A677" s="8" t="s">
        <v>1890</v>
      </c>
      <c r="B677" s="8" t="s">
        <v>170</v>
      </c>
      <c r="C677" s="8" t="str">
        <f t="shared" si="28"/>
        <v>att_ms2_resolution:17500res</v>
      </c>
      <c r="D677" s="9" t="s">
        <v>17</v>
      </c>
      <c r="E677" s="8">
        <v>17500</v>
      </c>
      <c r="F677" s="8" t="s">
        <v>1891</v>
      </c>
    </row>
    <row r="678" spans="1:6" x14ac:dyDescent="0.15">
      <c r="A678" s="8" t="s">
        <v>1892</v>
      </c>
      <c r="B678" s="8" t="s">
        <v>170</v>
      </c>
      <c r="C678" s="8" t="str">
        <f t="shared" si="28"/>
        <v>att_ms2_resolution:30000res</v>
      </c>
      <c r="D678" s="9" t="s">
        <v>17</v>
      </c>
      <c r="E678" s="8">
        <v>30000</v>
      </c>
      <c r="F678" s="8" t="s">
        <v>1888</v>
      </c>
    </row>
    <row r="679" spans="1:6" x14ac:dyDescent="0.15">
      <c r="A679" s="8" t="s">
        <v>1893</v>
      </c>
      <c r="B679" s="8" t="s">
        <v>170</v>
      </c>
      <c r="C679" s="8" t="str">
        <f t="shared" si="28"/>
        <v>att_ms2_resolution:35000res</v>
      </c>
      <c r="D679" s="9" t="s">
        <v>17</v>
      </c>
      <c r="E679" s="8">
        <v>35000</v>
      </c>
      <c r="F679" s="8" t="s">
        <v>1891</v>
      </c>
    </row>
    <row r="680" spans="1:6" x14ac:dyDescent="0.15">
      <c r="A680" s="8" t="s">
        <v>1894</v>
      </c>
      <c r="B680" s="8" t="s">
        <v>170</v>
      </c>
      <c r="C680" s="8" t="str">
        <f t="shared" si="28"/>
        <v>att_ms2_resolution:45000res</v>
      </c>
      <c r="D680" s="9" t="s">
        <v>17</v>
      </c>
      <c r="E680" s="8">
        <v>45000</v>
      </c>
      <c r="F680" s="8" t="s">
        <v>1888</v>
      </c>
    </row>
    <row r="681" spans="1:6" x14ac:dyDescent="0.15">
      <c r="A681" s="8" t="s">
        <v>1895</v>
      </c>
      <c r="B681" s="8" t="s">
        <v>170</v>
      </c>
      <c r="C681" s="8" t="str">
        <f t="shared" si="28"/>
        <v>att_ms2_resolution:60000res</v>
      </c>
      <c r="D681" s="9" t="s">
        <v>17</v>
      </c>
      <c r="E681" s="8">
        <v>60000</v>
      </c>
      <c r="F681" s="8" t="s">
        <v>1888</v>
      </c>
    </row>
    <row r="682" spans="1:6" x14ac:dyDescent="0.15">
      <c r="A682" s="8" t="s">
        <v>1896</v>
      </c>
      <c r="B682" s="8" t="s">
        <v>170</v>
      </c>
      <c r="C682" s="8" t="str">
        <f t="shared" si="28"/>
        <v>att_ms2_resolution:7500res</v>
      </c>
      <c r="D682" s="9" t="s">
        <v>17</v>
      </c>
      <c r="E682" s="8">
        <v>7500</v>
      </c>
      <c r="F682" s="8" t="s">
        <v>1888</v>
      </c>
    </row>
    <row r="683" spans="1:6" x14ac:dyDescent="0.15">
      <c r="A683" s="8" t="s">
        <v>1897</v>
      </c>
      <c r="B683" s="8" t="s">
        <v>175</v>
      </c>
      <c r="C683" s="8" t="str">
        <f t="shared" si="28"/>
        <v>att_muscle:ab</v>
      </c>
      <c r="D683" s="9" t="s">
        <v>17</v>
      </c>
      <c r="E683" s="8" t="s">
        <v>1899</v>
      </c>
      <c r="F683" s="8" t="s">
        <v>1898</v>
      </c>
    </row>
    <row r="684" spans="1:6" x14ac:dyDescent="0.15">
      <c r="A684" s="8" t="s">
        <v>1900</v>
      </c>
      <c r="B684" s="8" t="s">
        <v>175</v>
      </c>
      <c r="C684" s="8" t="str">
        <f t="shared" si="28"/>
        <v>att_muscle:al</v>
      </c>
      <c r="D684" s="9" t="s">
        <v>17</v>
      </c>
      <c r="E684" s="8" t="s">
        <v>1902</v>
      </c>
      <c r="F684" s="8" t="s">
        <v>1901</v>
      </c>
    </row>
    <row r="685" spans="1:6" x14ac:dyDescent="0.15">
      <c r="A685" s="8" t="s">
        <v>1903</v>
      </c>
      <c r="B685" s="8" t="s">
        <v>175</v>
      </c>
      <c r="C685" s="8" t="str">
        <f t="shared" si="28"/>
        <v>att_muscle:am</v>
      </c>
      <c r="D685" s="9" t="s">
        <v>17</v>
      </c>
      <c r="E685" s="8" t="s">
        <v>1905</v>
      </c>
      <c r="F685" s="8" t="s">
        <v>1904</v>
      </c>
    </row>
    <row r="686" spans="1:6" x14ac:dyDescent="0.15">
      <c r="A686" s="8" t="s">
        <v>1906</v>
      </c>
      <c r="B686" s="8" t="s">
        <v>175</v>
      </c>
      <c r="C686" s="8" t="str">
        <f t="shared" si="28"/>
        <v>att_muscle:an</v>
      </c>
      <c r="D686" s="9" t="s">
        <v>17</v>
      </c>
      <c r="E686" s="8" t="s">
        <v>1908</v>
      </c>
      <c r="F686" s="8" t="s">
        <v>1907</v>
      </c>
    </row>
    <row r="687" spans="1:6" x14ac:dyDescent="0.15">
      <c r="A687" s="8" t="s">
        <v>1909</v>
      </c>
      <c r="B687" s="8" t="s">
        <v>175</v>
      </c>
      <c r="C687" s="8" t="str">
        <f t="shared" si="28"/>
        <v>att_muscle:bbl</v>
      </c>
      <c r="D687" s="9" t="s">
        <v>17</v>
      </c>
      <c r="E687" s="8" t="s">
        <v>1911</v>
      </c>
      <c r="F687" s="8" t="s">
        <v>1910</v>
      </c>
    </row>
    <row r="688" spans="1:6" x14ac:dyDescent="0.15">
      <c r="A688" s="8" t="s">
        <v>1912</v>
      </c>
      <c r="B688" s="8" t="s">
        <v>175</v>
      </c>
      <c r="C688" s="8" t="str">
        <f t="shared" si="28"/>
        <v>att_muscle:bbs</v>
      </c>
      <c r="D688" s="9" t="s">
        <v>17</v>
      </c>
      <c r="E688" s="8" t="s">
        <v>1914</v>
      </c>
      <c r="F688" s="8" t="s">
        <v>1913</v>
      </c>
    </row>
    <row r="689" spans="1:6" x14ac:dyDescent="0.15">
      <c r="A689" s="8" t="s">
        <v>1915</v>
      </c>
      <c r="B689" s="8" t="s">
        <v>175</v>
      </c>
      <c r="C689" s="8" t="str">
        <f t="shared" si="28"/>
        <v>att_muscle:bfa</v>
      </c>
      <c r="D689" s="9" t="s">
        <v>17</v>
      </c>
      <c r="E689" s="8" t="s">
        <v>1917</v>
      </c>
      <c r="F689" s="8" t="s">
        <v>1916</v>
      </c>
    </row>
    <row r="690" spans="1:6" x14ac:dyDescent="0.15">
      <c r="A690" s="8" t="s">
        <v>1918</v>
      </c>
      <c r="B690" s="8" t="s">
        <v>175</v>
      </c>
      <c r="C690" s="8" t="str">
        <f t="shared" si="28"/>
        <v>att_muscle:bfp_ca</v>
      </c>
      <c r="D690" s="9" t="s">
        <v>17</v>
      </c>
      <c r="E690" s="8" t="s">
        <v>1920</v>
      </c>
      <c r="F690" s="8" t="s">
        <v>1919</v>
      </c>
    </row>
    <row r="691" spans="1:6" x14ac:dyDescent="0.15">
      <c r="A691" s="8" t="s">
        <v>1921</v>
      </c>
      <c r="B691" s="8" t="s">
        <v>175</v>
      </c>
      <c r="C691" s="8" t="str">
        <f t="shared" si="28"/>
        <v>att_muscle:bfp_cr</v>
      </c>
      <c r="D691" s="9" t="s">
        <v>17</v>
      </c>
      <c r="E691" s="8" t="s">
        <v>1923</v>
      </c>
      <c r="F691" s="8" t="s">
        <v>1922</v>
      </c>
    </row>
    <row r="692" spans="1:6" x14ac:dyDescent="0.15">
      <c r="A692" s="8" t="s">
        <v>1924</v>
      </c>
      <c r="B692" s="8" t="s">
        <v>175</v>
      </c>
      <c r="C692" s="8" t="str">
        <f t="shared" si="28"/>
        <v>att_muscle:bfp_mi</v>
      </c>
      <c r="D692" s="9" t="s">
        <v>17</v>
      </c>
      <c r="E692" s="8" t="s">
        <v>1926</v>
      </c>
      <c r="F692" s="8" t="s">
        <v>1925</v>
      </c>
    </row>
    <row r="693" spans="1:6" x14ac:dyDescent="0.15">
      <c r="A693" s="8" t="s">
        <v>1927</v>
      </c>
      <c r="B693" s="8" t="s">
        <v>175</v>
      </c>
      <c r="C693" s="8" t="str">
        <f t="shared" si="28"/>
        <v>att_muscle:bra</v>
      </c>
      <c r="D693" s="9" t="s">
        <v>17</v>
      </c>
      <c r="E693" s="8" t="s">
        <v>1929</v>
      </c>
      <c r="F693" s="8" t="s">
        <v>1928</v>
      </c>
    </row>
    <row r="694" spans="1:6" x14ac:dyDescent="0.15">
      <c r="A694" s="8" t="s">
        <v>1930</v>
      </c>
      <c r="B694" s="8" t="s">
        <v>175</v>
      </c>
      <c r="C694" s="8" t="str">
        <f t="shared" si="28"/>
        <v>att_muscle:cf</v>
      </c>
      <c r="D694" s="9" t="s">
        <v>17</v>
      </c>
      <c r="E694" s="8" t="s">
        <v>1932</v>
      </c>
      <c r="F694" s="8" t="s">
        <v>1931</v>
      </c>
    </row>
    <row r="695" spans="1:6" x14ac:dyDescent="0.15">
      <c r="A695" s="8" t="s">
        <v>1933</v>
      </c>
      <c r="B695" s="8" t="s">
        <v>175</v>
      </c>
      <c r="C695" s="8" t="str">
        <f t="shared" si="28"/>
        <v>att_muscle:cor</v>
      </c>
      <c r="D695" s="9" t="s">
        <v>17</v>
      </c>
      <c r="E695" s="8" t="s">
        <v>1935</v>
      </c>
      <c r="F695" s="8" t="s">
        <v>1934</v>
      </c>
    </row>
    <row r="696" spans="1:6" x14ac:dyDescent="0.15">
      <c r="A696" s="8" t="s">
        <v>1936</v>
      </c>
      <c r="B696" s="8" t="s">
        <v>175</v>
      </c>
      <c r="C696" s="8" t="str">
        <f t="shared" si="28"/>
        <v>att_muscle:ecrb</v>
      </c>
      <c r="D696" s="9" t="s">
        <v>17</v>
      </c>
      <c r="E696" s="8" t="s">
        <v>1938</v>
      </c>
      <c r="F696" s="8" t="s">
        <v>1937</v>
      </c>
    </row>
    <row r="697" spans="1:6" x14ac:dyDescent="0.15">
      <c r="A697" s="8" t="s">
        <v>1939</v>
      </c>
      <c r="B697" s="8" t="s">
        <v>175</v>
      </c>
      <c r="C697" s="8" t="str">
        <f t="shared" si="28"/>
        <v>att_muscle:ecrl</v>
      </c>
      <c r="D697" s="9" t="s">
        <v>17</v>
      </c>
      <c r="E697" s="8" t="s">
        <v>1941</v>
      </c>
      <c r="F697" s="8" t="s">
        <v>1940</v>
      </c>
    </row>
    <row r="698" spans="1:6" x14ac:dyDescent="0.15">
      <c r="A698" s="8" t="s">
        <v>1942</v>
      </c>
      <c r="B698" s="8" t="s">
        <v>175</v>
      </c>
      <c r="C698" s="8" t="str">
        <f t="shared" si="28"/>
        <v>att_muscle:ecu</v>
      </c>
      <c r="D698" s="9" t="s">
        <v>17</v>
      </c>
      <c r="E698" s="8" t="s">
        <v>1944</v>
      </c>
      <c r="F698" s="8" t="s">
        <v>1943</v>
      </c>
    </row>
    <row r="699" spans="1:6" x14ac:dyDescent="0.15">
      <c r="A699" s="8" t="s">
        <v>1945</v>
      </c>
      <c r="B699" s="8" t="s">
        <v>175</v>
      </c>
      <c r="C699" s="8" t="str">
        <f t="shared" si="28"/>
        <v>att_muscle:edl</v>
      </c>
      <c r="D699" s="9" t="s">
        <v>17</v>
      </c>
      <c r="E699" s="8" t="s">
        <v>1947</v>
      </c>
      <c r="F699" s="8" t="s">
        <v>1946</v>
      </c>
    </row>
    <row r="700" spans="1:6" x14ac:dyDescent="0.15">
      <c r="A700" s="8" t="s">
        <v>1948</v>
      </c>
      <c r="B700" s="8" t="s">
        <v>175</v>
      </c>
      <c r="C700" s="8" t="str">
        <f t="shared" si="28"/>
        <v>att_muscle:ehl</v>
      </c>
      <c r="D700" s="9" t="s">
        <v>17</v>
      </c>
      <c r="E700" s="8" t="s">
        <v>1950</v>
      </c>
      <c r="F700" s="8" t="s">
        <v>1949</v>
      </c>
    </row>
    <row r="701" spans="1:6" x14ac:dyDescent="0.15">
      <c r="A701" s="8" t="s">
        <v>1951</v>
      </c>
      <c r="B701" s="8" t="s">
        <v>175</v>
      </c>
      <c r="C701" s="8" t="str">
        <f t="shared" si="28"/>
        <v>att_muscle:eip1</v>
      </c>
      <c r="D701" s="9" t="s">
        <v>17</v>
      </c>
      <c r="E701" s="8" t="s">
        <v>1953</v>
      </c>
      <c r="F701" s="8" t="s">
        <v>1952</v>
      </c>
    </row>
    <row r="702" spans="1:6" x14ac:dyDescent="0.15">
      <c r="A702" s="8" t="s">
        <v>1954</v>
      </c>
      <c r="B702" s="8" t="s">
        <v>175</v>
      </c>
      <c r="C702" s="8" t="str">
        <f t="shared" si="28"/>
        <v>att_muscle:eip2</v>
      </c>
      <c r="D702" s="9" t="s">
        <v>17</v>
      </c>
      <c r="E702" s="8" t="s">
        <v>1956</v>
      </c>
      <c r="F702" s="8" t="s">
        <v>1955</v>
      </c>
    </row>
    <row r="703" spans="1:6" x14ac:dyDescent="0.15">
      <c r="A703" s="8" t="s">
        <v>1957</v>
      </c>
      <c r="B703" s="8" t="s">
        <v>175</v>
      </c>
      <c r="C703" s="8" t="str">
        <f t="shared" si="28"/>
        <v>att_muscle:fcr</v>
      </c>
      <c r="D703" s="9" t="s">
        <v>17</v>
      </c>
      <c r="E703" s="8" t="s">
        <v>1959</v>
      </c>
      <c r="F703" s="8" t="s">
        <v>1958</v>
      </c>
    </row>
    <row r="704" spans="1:6" x14ac:dyDescent="0.15">
      <c r="A704" s="8" t="s">
        <v>1960</v>
      </c>
      <c r="B704" s="8" t="s">
        <v>175</v>
      </c>
      <c r="C704" s="8" t="str">
        <f t="shared" si="28"/>
        <v>att_muscle:fcu</v>
      </c>
      <c r="D704" s="9" t="s">
        <v>17</v>
      </c>
      <c r="E704" s="8" t="s">
        <v>1962</v>
      </c>
      <c r="F704" s="8" t="s">
        <v>1961</v>
      </c>
    </row>
    <row r="705" spans="1:6" x14ac:dyDescent="0.15">
      <c r="A705" s="8" t="s">
        <v>1963</v>
      </c>
      <c r="B705" s="8" t="s">
        <v>175</v>
      </c>
      <c r="C705" s="8" t="str">
        <f t="shared" si="28"/>
        <v>att_muscle:fdl</v>
      </c>
      <c r="D705" s="9" t="s">
        <v>17</v>
      </c>
      <c r="E705" s="8" t="s">
        <v>1965</v>
      </c>
      <c r="F705" s="8" t="s">
        <v>1964</v>
      </c>
    </row>
    <row r="706" spans="1:6" x14ac:dyDescent="0.15">
      <c r="A706" s="8" t="s">
        <v>1966</v>
      </c>
      <c r="B706" s="8" t="s">
        <v>175</v>
      </c>
      <c r="C706" s="8" t="str">
        <f t="shared" si="28"/>
        <v>att_muscle:ga</v>
      </c>
      <c r="D706" s="9" t="s">
        <v>17</v>
      </c>
      <c r="E706" s="8" t="s">
        <v>1968</v>
      </c>
      <c r="F706" s="8" t="s">
        <v>1967</v>
      </c>
    </row>
    <row r="707" spans="1:6" x14ac:dyDescent="0.15">
      <c r="A707" s="8" t="s">
        <v>1969</v>
      </c>
      <c r="B707" s="8" t="s">
        <v>175</v>
      </c>
      <c r="C707" s="8" t="str">
        <f t="shared" si="28"/>
        <v>att_muscle:gem</v>
      </c>
      <c r="D707" s="9" t="s">
        <v>17</v>
      </c>
      <c r="E707" s="8" t="s">
        <v>1971</v>
      </c>
      <c r="F707" s="8" t="s">
        <v>1970</v>
      </c>
    </row>
    <row r="708" spans="1:6" x14ac:dyDescent="0.15">
      <c r="A708" s="8" t="s">
        <v>1972</v>
      </c>
      <c r="B708" s="8" t="s">
        <v>175</v>
      </c>
      <c r="C708" s="8" t="str">
        <f t="shared" si="28"/>
        <v>att_muscle:gm</v>
      </c>
      <c r="D708" s="9" t="s">
        <v>17</v>
      </c>
      <c r="E708" s="8" t="s">
        <v>1974</v>
      </c>
      <c r="F708" s="8" t="s">
        <v>1973</v>
      </c>
    </row>
    <row r="709" spans="1:6" x14ac:dyDescent="0.15">
      <c r="A709" s="8" t="s">
        <v>1975</v>
      </c>
      <c r="B709" s="8" t="s">
        <v>175</v>
      </c>
      <c r="C709" s="8" t="str">
        <f t="shared" si="28"/>
        <v>att_muscle:gm_dr</v>
      </c>
      <c r="D709" s="9" t="s">
        <v>17</v>
      </c>
      <c r="E709" s="8" t="s">
        <v>1977</v>
      </c>
      <c r="F709" s="8" t="s">
        <v>1976</v>
      </c>
    </row>
    <row r="710" spans="1:6" x14ac:dyDescent="0.15">
      <c r="A710" s="8" t="s">
        <v>1978</v>
      </c>
      <c r="B710" s="8" t="s">
        <v>175</v>
      </c>
      <c r="C710" s="8" t="str">
        <f t="shared" si="28"/>
        <v>att_muscle:gm_mi</v>
      </c>
      <c r="D710" s="9" t="s">
        <v>17</v>
      </c>
      <c r="E710" s="8" t="s">
        <v>1980</v>
      </c>
      <c r="F710" s="8" t="s">
        <v>1979</v>
      </c>
    </row>
    <row r="711" spans="1:6" x14ac:dyDescent="0.15">
      <c r="A711" s="8" t="s">
        <v>1981</v>
      </c>
      <c r="B711" s="8" t="s">
        <v>175</v>
      </c>
      <c r="C711" s="8" t="str">
        <f t="shared" si="28"/>
        <v>att_muscle:gm_ve</v>
      </c>
      <c r="D711" s="9" t="s">
        <v>17</v>
      </c>
      <c r="E711" s="8" t="s">
        <v>1983</v>
      </c>
      <c r="F711" s="8" t="s">
        <v>1982</v>
      </c>
    </row>
    <row r="712" spans="1:6" x14ac:dyDescent="0.15">
      <c r="A712" s="8" t="s">
        <v>1984</v>
      </c>
      <c r="B712" s="8" t="s">
        <v>175</v>
      </c>
      <c r="C712" s="8" t="str">
        <f t="shared" si="28"/>
        <v>att_muscle:gp</v>
      </c>
      <c r="D712" s="9" t="s">
        <v>17</v>
      </c>
      <c r="E712" s="8" t="s">
        <v>1986</v>
      </c>
      <c r="F712" s="8" t="s">
        <v>1985</v>
      </c>
    </row>
    <row r="713" spans="1:6" x14ac:dyDescent="0.15">
      <c r="A713" s="8" t="s">
        <v>1987</v>
      </c>
      <c r="B713" s="8" t="s">
        <v>175</v>
      </c>
      <c r="C713" s="8" t="str">
        <f t="shared" si="28"/>
        <v>att_muscle:ili</v>
      </c>
      <c r="D713" s="9" t="s">
        <v>17</v>
      </c>
      <c r="E713" s="8" t="s">
        <v>1989</v>
      </c>
      <c r="F713" s="8" t="s">
        <v>1988</v>
      </c>
    </row>
    <row r="714" spans="1:6" x14ac:dyDescent="0.15">
      <c r="A714" s="8" t="s">
        <v>1990</v>
      </c>
      <c r="B714" s="8" t="s">
        <v>175</v>
      </c>
      <c r="C714" s="8" t="str">
        <f t="shared" si="28"/>
        <v>att_muscle:lg</v>
      </c>
      <c r="D714" s="9" t="s">
        <v>17</v>
      </c>
      <c r="E714" s="8" t="s">
        <v>1992</v>
      </c>
      <c r="F714" s="8" t="s">
        <v>1991</v>
      </c>
    </row>
    <row r="715" spans="1:6" x14ac:dyDescent="0.15">
      <c r="A715" s="8" t="s">
        <v>1993</v>
      </c>
      <c r="B715" s="8" t="s">
        <v>175</v>
      </c>
      <c r="C715" s="8" t="str">
        <f t="shared" si="28"/>
        <v>att_muscle:mg</v>
      </c>
      <c r="D715" s="9" t="s">
        <v>17</v>
      </c>
      <c r="E715" s="8" t="s">
        <v>1995</v>
      </c>
      <c r="F715" s="8" t="s">
        <v>1994</v>
      </c>
    </row>
    <row r="716" spans="1:6" x14ac:dyDescent="0.15">
      <c r="A716" s="8" t="s">
        <v>1996</v>
      </c>
      <c r="B716" s="8" t="s">
        <v>175</v>
      </c>
      <c r="C716" s="8" t="str">
        <f t="shared" si="28"/>
        <v>att_muscle:oe</v>
      </c>
      <c r="D716" s="9" t="s">
        <v>17</v>
      </c>
      <c r="E716" s="8" t="s">
        <v>1998</v>
      </c>
      <c r="F716" s="8" t="s">
        <v>1997</v>
      </c>
    </row>
    <row r="717" spans="1:6" x14ac:dyDescent="0.15">
      <c r="A717" s="8" t="s">
        <v>1999</v>
      </c>
      <c r="B717" s="8" t="s">
        <v>175</v>
      </c>
      <c r="C717" s="8" t="str">
        <f t="shared" si="28"/>
        <v>att_muscle:oi</v>
      </c>
      <c r="D717" s="9" t="s">
        <v>17</v>
      </c>
      <c r="E717" s="8" t="s">
        <v>2001</v>
      </c>
      <c r="F717" s="8" t="s">
        <v>2000</v>
      </c>
    </row>
    <row r="718" spans="1:6" x14ac:dyDescent="0.15">
      <c r="A718" s="8" t="s">
        <v>2002</v>
      </c>
      <c r="B718" s="8" t="s">
        <v>175</v>
      </c>
      <c r="C718" s="8" t="str">
        <f t="shared" si="28"/>
        <v>att_muscle:pb</v>
      </c>
      <c r="D718" s="9" t="s">
        <v>17</v>
      </c>
      <c r="E718" s="8" t="s">
        <v>2004</v>
      </c>
      <c r="F718" s="8" t="s">
        <v>2003</v>
      </c>
    </row>
    <row r="719" spans="1:6" x14ac:dyDescent="0.15">
      <c r="A719" s="8" t="s">
        <v>2005</v>
      </c>
      <c r="B719" s="8" t="s">
        <v>175</v>
      </c>
      <c r="C719" s="8" t="str">
        <f t="shared" si="28"/>
        <v>att_muscle:pdqa</v>
      </c>
      <c r="D719" s="9" t="s">
        <v>17</v>
      </c>
      <c r="E719" s="8" t="s">
        <v>2007</v>
      </c>
      <c r="F719" s="8" t="s">
        <v>2006</v>
      </c>
    </row>
    <row r="720" spans="1:6" x14ac:dyDescent="0.15">
      <c r="A720" s="8" t="s">
        <v>2008</v>
      </c>
      <c r="B720" s="8" t="s">
        <v>175</v>
      </c>
      <c r="C720" s="8" t="str">
        <f t="shared" si="28"/>
        <v>att_muscle:pdqi</v>
      </c>
      <c r="D720" s="9" t="s">
        <v>17</v>
      </c>
      <c r="E720" s="8" t="s">
        <v>2010</v>
      </c>
      <c r="F720" s="8" t="s">
        <v>2009</v>
      </c>
    </row>
    <row r="721" spans="1:6" x14ac:dyDescent="0.15">
      <c r="A721" s="8" t="s">
        <v>2011</v>
      </c>
      <c r="B721" s="8" t="s">
        <v>175</v>
      </c>
      <c r="C721" s="8" t="str">
        <f t="shared" si="28"/>
        <v>att_muscle:pect</v>
      </c>
      <c r="D721" s="9" t="s">
        <v>17</v>
      </c>
      <c r="E721" s="8" t="s">
        <v>2013</v>
      </c>
      <c r="F721" s="8" t="s">
        <v>2012</v>
      </c>
    </row>
    <row r="722" spans="1:6" x14ac:dyDescent="0.15">
      <c r="A722" s="8" t="s">
        <v>2014</v>
      </c>
      <c r="B722" s="8" t="s">
        <v>175</v>
      </c>
      <c r="C722" s="8" t="str">
        <f t="shared" si="28"/>
        <v>att_muscle:pl</v>
      </c>
      <c r="D722" s="9" t="s">
        <v>17</v>
      </c>
      <c r="E722" s="8" t="s">
        <v>2016</v>
      </c>
      <c r="F722" s="8" t="s">
        <v>2015</v>
      </c>
    </row>
    <row r="723" spans="1:6" x14ac:dyDescent="0.15">
      <c r="A723" s="8" t="s">
        <v>2017</v>
      </c>
      <c r="B723" s="8" t="s">
        <v>175</v>
      </c>
      <c r="C723" s="8" t="str">
        <f t="shared" si="28"/>
        <v>att_muscle:plant</v>
      </c>
      <c r="D723" s="9" t="s">
        <v>17</v>
      </c>
      <c r="E723" s="8" t="s">
        <v>2019</v>
      </c>
      <c r="F723" s="8" t="s">
        <v>2018</v>
      </c>
    </row>
    <row r="724" spans="1:6" x14ac:dyDescent="0.15">
      <c r="A724" s="8" t="s">
        <v>2020</v>
      </c>
      <c r="B724" s="8" t="s">
        <v>175</v>
      </c>
      <c r="C724" s="8" t="str">
        <f t="shared" si="28"/>
        <v>att_muscle:plo</v>
      </c>
      <c r="D724" s="9" t="s">
        <v>17</v>
      </c>
      <c r="E724" s="8" t="s">
        <v>2022</v>
      </c>
      <c r="F724" s="8" t="s">
        <v>2021</v>
      </c>
    </row>
    <row r="725" spans="1:6" x14ac:dyDescent="0.15">
      <c r="A725" s="8" t="s">
        <v>2023</v>
      </c>
      <c r="B725" s="8" t="s">
        <v>175</v>
      </c>
      <c r="C725" s="8" t="str">
        <f t="shared" si="28"/>
        <v>att_muscle:pma</v>
      </c>
      <c r="D725" s="9" t="s">
        <v>17</v>
      </c>
      <c r="E725" s="8" t="s">
        <v>2025</v>
      </c>
      <c r="F725" s="8" t="s">
        <v>2024</v>
      </c>
    </row>
    <row r="726" spans="1:6" x14ac:dyDescent="0.15">
      <c r="A726" s="8" t="s">
        <v>2026</v>
      </c>
      <c r="B726" s="8" t="s">
        <v>175</v>
      </c>
      <c r="C726" s="8" t="str">
        <f t="shared" si="28"/>
        <v>att_muscle:pmi</v>
      </c>
      <c r="D726" s="9" t="s">
        <v>17</v>
      </c>
      <c r="E726" s="8" t="s">
        <v>2028</v>
      </c>
      <c r="F726" s="8" t="s">
        <v>2027</v>
      </c>
    </row>
    <row r="727" spans="1:6" x14ac:dyDescent="0.15">
      <c r="A727" s="8" t="s">
        <v>2029</v>
      </c>
      <c r="B727" s="8" t="s">
        <v>175</v>
      </c>
      <c r="C727" s="8" t="str">
        <f t="shared" si="28"/>
        <v>att_muscle:pop</v>
      </c>
      <c r="D727" s="9" t="s">
        <v>17</v>
      </c>
      <c r="E727" s="8" t="s">
        <v>2031</v>
      </c>
      <c r="F727" s="8" t="s">
        <v>2030</v>
      </c>
    </row>
    <row r="728" spans="1:6" x14ac:dyDescent="0.15">
      <c r="A728" s="8" t="s">
        <v>2032</v>
      </c>
      <c r="B728" s="8" t="s">
        <v>175</v>
      </c>
      <c r="C728" s="8" t="str">
        <f t="shared" ref="C728:C759" si="30">B728&amp;":"&amp;A728</f>
        <v>att_muscle:pt</v>
      </c>
      <c r="D728" s="9" t="s">
        <v>17</v>
      </c>
      <c r="E728" s="8" t="s">
        <v>2034</v>
      </c>
      <c r="F728" s="8" t="s">
        <v>2033</v>
      </c>
    </row>
    <row r="729" spans="1:6" x14ac:dyDescent="0.15">
      <c r="A729" s="8" t="s">
        <v>2035</v>
      </c>
      <c r="B729" s="8" t="s">
        <v>175</v>
      </c>
      <c r="C729" s="8" t="str">
        <f t="shared" si="30"/>
        <v>att_muscle:pte</v>
      </c>
      <c r="D729" s="9" t="s">
        <v>17</v>
      </c>
      <c r="E729" s="8" t="s">
        <v>2037</v>
      </c>
      <c r="F729" s="8" t="s">
        <v>2036</v>
      </c>
    </row>
    <row r="730" spans="1:6" x14ac:dyDescent="0.15">
      <c r="A730" s="8" t="s">
        <v>2038</v>
      </c>
      <c r="B730" s="8" t="s">
        <v>175</v>
      </c>
      <c r="C730" s="8" t="str">
        <f t="shared" si="30"/>
        <v>att_muscle:qf</v>
      </c>
      <c r="D730" s="9" t="s">
        <v>17</v>
      </c>
      <c r="E730" s="8" t="s">
        <v>2040</v>
      </c>
      <c r="F730" s="8" t="s">
        <v>2039</v>
      </c>
    </row>
    <row r="731" spans="1:6" x14ac:dyDescent="0.15">
      <c r="A731" s="8" t="s">
        <v>2041</v>
      </c>
      <c r="B731" s="8" t="s">
        <v>175</v>
      </c>
      <c r="C731" s="8" t="str">
        <f t="shared" si="30"/>
        <v>att_muscle:rf</v>
      </c>
      <c r="D731" s="9" t="s">
        <v>17</v>
      </c>
      <c r="E731" s="8" t="s">
        <v>2043</v>
      </c>
      <c r="F731" s="8" t="s">
        <v>2042</v>
      </c>
    </row>
    <row r="732" spans="1:6" x14ac:dyDescent="0.15">
      <c r="A732" s="8" t="s">
        <v>2044</v>
      </c>
      <c r="B732" s="8" t="s">
        <v>175</v>
      </c>
      <c r="C732" s="8" t="str">
        <f t="shared" si="30"/>
        <v>att_muscle:sm</v>
      </c>
      <c r="D732" s="9" t="s">
        <v>17</v>
      </c>
      <c r="E732" s="8" t="s">
        <v>2046</v>
      </c>
      <c r="F732" s="8" t="s">
        <v>2045</v>
      </c>
    </row>
    <row r="733" spans="1:6" x14ac:dyDescent="0.15">
      <c r="A733" s="8" t="s">
        <v>2047</v>
      </c>
      <c r="B733" s="8" t="s">
        <v>175</v>
      </c>
      <c r="C733" s="8" t="str">
        <f t="shared" si="30"/>
        <v>att_muscle:sol</v>
      </c>
      <c r="D733" s="9" t="s">
        <v>17</v>
      </c>
      <c r="E733" s="8" t="s">
        <v>2049</v>
      </c>
      <c r="F733" s="8" t="s">
        <v>2048</v>
      </c>
    </row>
    <row r="734" spans="1:6" x14ac:dyDescent="0.15">
      <c r="A734" s="8" t="s">
        <v>2050</v>
      </c>
      <c r="B734" s="8" t="s">
        <v>175</v>
      </c>
      <c r="C734" s="8" t="str">
        <f t="shared" si="30"/>
        <v>att_muscle:st</v>
      </c>
      <c r="D734" s="9" t="s">
        <v>17</v>
      </c>
      <c r="E734" s="8" t="s">
        <v>2052</v>
      </c>
      <c r="F734" s="8" t="s">
        <v>2051</v>
      </c>
    </row>
    <row r="735" spans="1:6" x14ac:dyDescent="0.15">
      <c r="A735" s="8" t="s">
        <v>2053</v>
      </c>
      <c r="B735" s="8" t="s">
        <v>175</v>
      </c>
      <c r="C735" s="8" t="str">
        <f t="shared" si="30"/>
        <v>att_muscle:ta</v>
      </c>
      <c r="D735" s="9" t="s">
        <v>17</v>
      </c>
      <c r="E735" s="8" t="s">
        <v>2055</v>
      </c>
      <c r="F735" s="8" t="s">
        <v>2054</v>
      </c>
    </row>
    <row r="736" spans="1:6" x14ac:dyDescent="0.15">
      <c r="A736" s="8" t="s">
        <v>2056</v>
      </c>
      <c r="B736" s="8" t="s">
        <v>175</v>
      </c>
      <c r="C736" s="8" t="str">
        <f t="shared" si="30"/>
        <v>att_muscle:tbl</v>
      </c>
      <c r="D736" s="9" t="s">
        <v>17</v>
      </c>
      <c r="E736" s="8" t="s">
        <v>2058</v>
      </c>
      <c r="F736" s="8" t="s">
        <v>2057</v>
      </c>
    </row>
    <row r="737" spans="1:6" x14ac:dyDescent="0.15">
      <c r="A737" s="8" t="s">
        <v>2059</v>
      </c>
      <c r="B737" s="8" t="s">
        <v>175</v>
      </c>
      <c r="C737" s="8" t="str">
        <f t="shared" si="30"/>
        <v>att_muscle:tbm</v>
      </c>
      <c r="D737" s="9" t="s">
        <v>17</v>
      </c>
      <c r="E737" s="8" t="s">
        <v>2061</v>
      </c>
      <c r="F737" s="8" t="s">
        <v>2060</v>
      </c>
    </row>
    <row r="738" spans="1:6" x14ac:dyDescent="0.15">
      <c r="A738" s="8" t="s">
        <v>2062</v>
      </c>
      <c r="B738" s="8" t="s">
        <v>175</v>
      </c>
      <c r="C738" s="8" t="str">
        <f t="shared" si="30"/>
        <v>att_muscle:tbo</v>
      </c>
      <c r="D738" s="9" t="s">
        <v>17</v>
      </c>
      <c r="E738" s="8" t="s">
        <v>2064</v>
      </c>
      <c r="F738" s="8" t="s">
        <v>2063</v>
      </c>
    </row>
    <row r="739" spans="1:6" x14ac:dyDescent="0.15">
      <c r="A739" s="8" t="s">
        <v>2065</v>
      </c>
      <c r="B739" s="8" t="s">
        <v>175</v>
      </c>
      <c r="C739" s="8" t="str">
        <f t="shared" si="30"/>
        <v>att_muscle:tp</v>
      </c>
      <c r="D739" s="9" t="s">
        <v>17</v>
      </c>
      <c r="E739" s="8" t="s">
        <v>2067</v>
      </c>
      <c r="F739" s="8" t="s">
        <v>2066</v>
      </c>
    </row>
    <row r="740" spans="1:6" x14ac:dyDescent="0.15">
      <c r="A740" s="8" t="s">
        <v>2068</v>
      </c>
      <c r="B740" s="8" t="s">
        <v>175</v>
      </c>
      <c r="C740" s="8" t="str">
        <f t="shared" si="30"/>
        <v>att_muscle:vi</v>
      </c>
      <c r="D740" s="9" t="s">
        <v>17</v>
      </c>
      <c r="E740" s="8" t="s">
        <v>2070</v>
      </c>
      <c r="F740" s="8" t="s">
        <v>2069</v>
      </c>
    </row>
    <row r="741" spans="1:6" x14ac:dyDescent="0.15">
      <c r="A741" s="8" t="s">
        <v>2071</v>
      </c>
      <c r="B741" s="8" t="s">
        <v>175</v>
      </c>
      <c r="C741" s="8" t="str">
        <f t="shared" si="30"/>
        <v>att_muscle:vl</v>
      </c>
      <c r="D741" s="9" t="s">
        <v>17</v>
      </c>
      <c r="E741" s="8" t="s">
        <v>2073</v>
      </c>
      <c r="F741" s="8" t="s">
        <v>2072</v>
      </c>
    </row>
    <row r="742" spans="1:6" x14ac:dyDescent="0.15">
      <c r="A742" s="8" t="s">
        <v>2074</v>
      </c>
      <c r="B742" s="8" t="s">
        <v>175</v>
      </c>
      <c r="C742" s="8" t="str">
        <f t="shared" si="30"/>
        <v>att_muscle:vm</v>
      </c>
      <c r="D742" s="9" t="s">
        <v>17</v>
      </c>
      <c r="E742" s="8" t="s">
        <v>2076</v>
      </c>
      <c r="F742" s="8" t="s">
        <v>2075</v>
      </c>
    </row>
    <row r="743" spans="1:6" x14ac:dyDescent="0.15">
      <c r="A743" s="8" t="s">
        <v>2803</v>
      </c>
      <c r="B743" s="8" t="s">
        <v>175</v>
      </c>
      <c r="C743" s="8" t="str">
        <f t="shared" si="30"/>
        <v>att_muscle:quad</v>
      </c>
      <c r="D743" s="9" t="s">
        <v>17</v>
      </c>
      <c r="E743" s="8" t="s">
        <v>2805</v>
      </c>
      <c r="F743" s="8" t="s">
        <v>2804</v>
      </c>
    </row>
    <row r="744" spans="1:6" x14ac:dyDescent="0.15">
      <c r="A744" s="8" t="s">
        <v>2077</v>
      </c>
      <c r="B744" s="8" t="s">
        <v>178</v>
      </c>
      <c r="C744" s="8" t="str">
        <f t="shared" si="30"/>
        <v>att_offline_frac_instrument:zirconium</v>
      </c>
      <c r="D744" s="9" t="s">
        <v>17</v>
      </c>
      <c r="E744" s="8" t="s">
        <v>2078</v>
      </c>
      <c r="F744" s="8" t="s">
        <v>2079</v>
      </c>
    </row>
    <row r="745" spans="1:6" x14ac:dyDescent="0.15">
      <c r="A745" s="8" t="s">
        <v>2080</v>
      </c>
      <c r="B745" s="8" t="s">
        <v>179</v>
      </c>
      <c r="C745" s="8" t="str">
        <f t="shared" si="30"/>
        <v>att_offline_fractionation:bgpage</v>
      </c>
      <c r="D745" s="9" t="s">
        <v>17</v>
      </c>
      <c r="E745" s="8" t="s">
        <v>2081</v>
      </c>
      <c r="F745" s="8" t="s">
        <v>2082</v>
      </c>
    </row>
    <row r="746" spans="1:6" x14ac:dyDescent="0.15">
      <c r="A746" s="8" t="s">
        <v>2083</v>
      </c>
      <c r="B746" s="8" t="s">
        <v>179</v>
      </c>
      <c r="C746" s="8" t="str">
        <f t="shared" si="30"/>
        <v>att_offline_fractionation:highph_hplc</v>
      </c>
      <c r="D746" s="9" t="s">
        <v>17</v>
      </c>
      <c r="E746" s="8" t="s">
        <v>2084</v>
      </c>
      <c r="F746" s="8" t="s">
        <v>2085</v>
      </c>
    </row>
    <row r="747" spans="1:6" x14ac:dyDescent="0.15">
      <c r="A747" s="8" t="s">
        <v>2086</v>
      </c>
      <c r="B747" s="8" t="s">
        <v>179</v>
      </c>
      <c r="C747" s="8" t="str">
        <f t="shared" si="30"/>
        <v>att_offline_fractionation:highph_tip</v>
      </c>
      <c r="D747" s="9" t="s">
        <v>17</v>
      </c>
      <c r="E747" s="8" t="s">
        <v>2087</v>
      </c>
      <c r="F747" s="8" t="s">
        <v>2088</v>
      </c>
    </row>
    <row r="748" spans="1:6" x14ac:dyDescent="0.15">
      <c r="A748" s="8" t="s">
        <v>2089</v>
      </c>
      <c r="B748" s="8" t="s">
        <v>179</v>
      </c>
      <c r="C748" s="8" t="str">
        <f t="shared" si="30"/>
        <v>att_offline_fractionation:sax</v>
      </c>
      <c r="D748" s="9" t="s">
        <v>17</v>
      </c>
      <c r="E748" s="8" t="s">
        <v>2090</v>
      </c>
      <c r="F748" s="8" t="s">
        <v>2091</v>
      </c>
    </row>
    <row r="749" spans="1:6" x14ac:dyDescent="0.15">
      <c r="A749" s="8" t="s">
        <v>2092</v>
      </c>
      <c r="B749" s="8" t="s">
        <v>179</v>
      </c>
      <c r="C749" s="8" t="str">
        <f t="shared" si="30"/>
        <v>att_offline_fractionation:scx</v>
      </c>
      <c r="D749" s="9" t="s">
        <v>17</v>
      </c>
      <c r="E749" s="8" t="s">
        <v>2093</v>
      </c>
      <c r="F749" s="8" t="s">
        <v>2094</v>
      </c>
    </row>
    <row r="750" spans="1:6" x14ac:dyDescent="0.15">
      <c r="A750" s="8" t="s">
        <v>2095</v>
      </c>
      <c r="B750" s="8" t="s">
        <v>179</v>
      </c>
      <c r="C750" s="8" t="str">
        <f t="shared" si="30"/>
        <v>att_offline_fractionation:sdspage</v>
      </c>
      <c r="D750" s="9" t="s">
        <v>17</v>
      </c>
      <c r="E750" s="8" t="s">
        <v>2096</v>
      </c>
      <c r="F750" s="8" t="s">
        <v>2097</v>
      </c>
    </row>
    <row r="751" spans="1:6" x14ac:dyDescent="0.15">
      <c r="A751" s="8" t="s">
        <v>2098</v>
      </c>
      <c r="B751" s="8" t="s">
        <v>189</v>
      </c>
      <c r="C751" s="8" t="str">
        <f t="shared" si="30"/>
        <v>att_omics_type:proteomics</v>
      </c>
      <c r="D751" s="9" t="s">
        <v>17</v>
      </c>
      <c r="E751" s="8" t="s">
        <v>2099</v>
      </c>
      <c r="F751" s="8" t="s">
        <v>2100</v>
      </c>
    </row>
    <row r="752" spans="1:6" x14ac:dyDescent="0.15">
      <c r="A752" s="8" t="s">
        <v>2101</v>
      </c>
      <c r="B752" s="8" t="s">
        <v>176</v>
      </c>
      <c r="C752" s="8" t="str">
        <f t="shared" si="30"/>
        <v>att_organ:appendix</v>
      </c>
      <c r="D752" s="8" t="s">
        <v>2101</v>
      </c>
      <c r="E752" s="8" t="s">
        <v>2102</v>
      </c>
      <c r="F752" s="8" t="s">
        <v>2102</v>
      </c>
    </row>
    <row r="753" spans="1:6" x14ac:dyDescent="0.15">
      <c r="A753" s="8" t="s">
        <v>2103</v>
      </c>
      <c r="B753" s="8" t="s">
        <v>176</v>
      </c>
      <c r="C753" s="8" t="str">
        <f t="shared" si="30"/>
        <v>att_organ:arteries</v>
      </c>
      <c r="D753" s="8" t="s">
        <v>2103</v>
      </c>
      <c r="E753" s="8" t="s">
        <v>2104</v>
      </c>
      <c r="F753" s="8" t="s">
        <v>2104</v>
      </c>
    </row>
    <row r="754" spans="1:6" x14ac:dyDescent="0.15">
      <c r="A754" s="8" t="s">
        <v>2105</v>
      </c>
      <c r="B754" s="8" t="s">
        <v>176</v>
      </c>
      <c r="C754" s="8" t="str">
        <f t="shared" si="30"/>
        <v>att_organ:bladder</v>
      </c>
      <c r="D754" s="8" t="s">
        <v>2105</v>
      </c>
      <c r="E754" s="8" t="s">
        <v>2106</v>
      </c>
      <c r="F754" s="8" t="s">
        <v>2106</v>
      </c>
    </row>
    <row r="755" spans="1:6" x14ac:dyDescent="0.15">
      <c r="A755" s="8" t="s">
        <v>2107</v>
      </c>
      <c r="B755" s="8" t="s">
        <v>176</v>
      </c>
      <c r="C755" s="8" t="str">
        <f t="shared" si="30"/>
        <v>att_organ:bone_marrow</v>
      </c>
      <c r="D755" s="8" t="s">
        <v>2107</v>
      </c>
      <c r="E755" s="8" t="s">
        <v>2108</v>
      </c>
      <c r="F755" s="8" t="s">
        <v>2108</v>
      </c>
    </row>
    <row r="756" spans="1:6" x14ac:dyDescent="0.15">
      <c r="A756" s="8" t="s">
        <v>2109</v>
      </c>
      <c r="B756" s="8" t="s">
        <v>176</v>
      </c>
      <c r="C756" s="8" t="str">
        <f t="shared" si="30"/>
        <v>att_organ:brain</v>
      </c>
      <c r="D756" s="8" t="s">
        <v>2109</v>
      </c>
      <c r="E756" s="8" t="s">
        <v>2110</v>
      </c>
      <c r="F756" s="8" t="s">
        <v>2110</v>
      </c>
    </row>
    <row r="757" spans="1:6" x14ac:dyDescent="0.15">
      <c r="A757" s="8" t="s">
        <v>2111</v>
      </c>
      <c r="B757" s="8" t="s">
        <v>176</v>
      </c>
      <c r="C757" s="8" t="str">
        <f t="shared" si="30"/>
        <v>att_organ:bronchi</v>
      </c>
      <c r="D757" s="8" t="s">
        <v>2111</v>
      </c>
      <c r="E757" s="8" t="s">
        <v>2112</v>
      </c>
      <c r="F757" s="8" t="s">
        <v>2112</v>
      </c>
    </row>
    <row r="758" spans="1:6" x14ac:dyDescent="0.15">
      <c r="A758" s="8" t="s">
        <v>2113</v>
      </c>
      <c r="B758" s="8" t="s">
        <v>176</v>
      </c>
      <c r="C758" s="8" t="str">
        <f t="shared" si="30"/>
        <v>att_organ:cecum</v>
      </c>
      <c r="D758" s="8" t="s">
        <v>2113</v>
      </c>
      <c r="E758" s="8" t="s">
        <v>2114</v>
      </c>
      <c r="F758" s="8" t="s">
        <v>2114</v>
      </c>
    </row>
    <row r="759" spans="1:6" x14ac:dyDescent="0.15">
      <c r="A759" s="8" t="s">
        <v>2115</v>
      </c>
      <c r="B759" s="8" t="s">
        <v>176</v>
      </c>
      <c r="C759" s="8" t="str">
        <f t="shared" si="30"/>
        <v>att_organ:cerebellum</v>
      </c>
      <c r="D759" s="8" t="s">
        <v>2115</v>
      </c>
      <c r="E759" s="8" t="s">
        <v>2116</v>
      </c>
      <c r="F759" s="8" t="s">
        <v>2116</v>
      </c>
    </row>
    <row r="760" spans="1:6" x14ac:dyDescent="0.15">
      <c r="A760" s="8" t="s">
        <v>2117</v>
      </c>
      <c r="B760" s="8" t="s">
        <v>176</v>
      </c>
      <c r="C760" s="8" t="str">
        <f t="shared" ref="C760:C791" si="31">B760&amp;":"&amp;A760</f>
        <v>att_organ:cerebrum</v>
      </c>
      <c r="D760" s="8" t="s">
        <v>2117</v>
      </c>
      <c r="E760" s="8" t="s">
        <v>2118</v>
      </c>
      <c r="F760" s="8" t="s">
        <v>2118</v>
      </c>
    </row>
    <row r="761" spans="1:6" x14ac:dyDescent="0.15">
      <c r="A761" s="8" t="s">
        <v>2119</v>
      </c>
      <c r="B761" s="8" t="s">
        <v>176</v>
      </c>
      <c r="C761" s="8" t="str">
        <f t="shared" si="31"/>
        <v>att_organ:ear</v>
      </c>
      <c r="D761" s="8" t="s">
        <v>2119</v>
      </c>
      <c r="E761" s="8" t="s">
        <v>2120</v>
      </c>
      <c r="F761" s="8" t="s">
        <v>2120</v>
      </c>
    </row>
    <row r="762" spans="1:6" x14ac:dyDescent="0.15">
      <c r="A762" s="8" t="s">
        <v>2121</v>
      </c>
      <c r="B762" s="8" t="s">
        <v>176</v>
      </c>
      <c r="C762" s="8" t="str">
        <f t="shared" si="31"/>
        <v>att_organ:esophagus</v>
      </c>
      <c r="D762" s="8" t="s">
        <v>2121</v>
      </c>
      <c r="E762" s="8" t="s">
        <v>2122</v>
      </c>
      <c r="F762" s="8" t="s">
        <v>2122</v>
      </c>
    </row>
    <row r="763" spans="1:6" x14ac:dyDescent="0.15">
      <c r="A763" s="8" t="s">
        <v>2123</v>
      </c>
      <c r="B763" s="8" t="s">
        <v>176</v>
      </c>
      <c r="C763" s="8" t="str">
        <f t="shared" si="31"/>
        <v>att_organ:eye</v>
      </c>
      <c r="D763" s="8" t="s">
        <v>2123</v>
      </c>
      <c r="E763" s="8" t="s">
        <v>2124</v>
      </c>
      <c r="F763" s="8" t="s">
        <v>2124</v>
      </c>
    </row>
    <row r="764" spans="1:6" x14ac:dyDescent="0.15">
      <c r="A764" s="8" t="s">
        <v>2125</v>
      </c>
      <c r="B764" s="8" t="s">
        <v>176</v>
      </c>
      <c r="C764" s="8" t="str">
        <f t="shared" si="31"/>
        <v>att_organ:gallbladder</v>
      </c>
      <c r="D764" s="8" t="s">
        <v>2125</v>
      </c>
      <c r="E764" s="8" t="s">
        <v>2126</v>
      </c>
      <c r="F764" s="8" t="s">
        <v>2126</v>
      </c>
    </row>
    <row r="765" spans="1:6" x14ac:dyDescent="0.15">
      <c r="A765" s="8" t="s">
        <v>2127</v>
      </c>
      <c r="B765" s="8" t="s">
        <v>176</v>
      </c>
      <c r="C765" s="8" t="str">
        <f t="shared" si="31"/>
        <v>att_organ:ganglia</v>
      </c>
      <c r="D765" s="8" t="s">
        <v>2127</v>
      </c>
      <c r="E765" s="8" t="s">
        <v>2128</v>
      </c>
      <c r="F765" s="8" t="s">
        <v>2128</v>
      </c>
    </row>
    <row r="766" spans="1:6" x14ac:dyDescent="0.15">
      <c r="A766" s="8" t="s">
        <v>2129</v>
      </c>
      <c r="B766" s="8" t="s">
        <v>176</v>
      </c>
      <c r="C766" s="8" t="str">
        <f t="shared" si="31"/>
        <v>att_organ:heart</v>
      </c>
      <c r="D766" s="8" t="s">
        <v>2129</v>
      </c>
      <c r="E766" s="8" t="s">
        <v>2130</v>
      </c>
      <c r="F766" s="8" t="s">
        <v>2130</v>
      </c>
    </row>
    <row r="767" spans="1:6" x14ac:dyDescent="0.15">
      <c r="A767" s="8" t="s">
        <v>2131</v>
      </c>
      <c r="B767" s="8" t="s">
        <v>176</v>
      </c>
      <c r="C767" s="8" t="str">
        <f t="shared" si="31"/>
        <v>att_organ:hypothalamus</v>
      </c>
      <c r="D767" s="8" t="s">
        <v>2131</v>
      </c>
      <c r="E767" s="8" t="s">
        <v>2132</v>
      </c>
      <c r="F767" s="8" t="s">
        <v>2132</v>
      </c>
    </row>
    <row r="768" spans="1:6" x14ac:dyDescent="0.15">
      <c r="A768" s="8" t="s">
        <v>2133</v>
      </c>
      <c r="B768" s="8" t="s">
        <v>176</v>
      </c>
      <c r="C768" s="8" t="str">
        <f t="shared" si="31"/>
        <v>att_organ:kidney</v>
      </c>
      <c r="D768" s="8" t="s">
        <v>2133</v>
      </c>
      <c r="E768" s="8" t="s">
        <v>2134</v>
      </c>
      <c r="F768" s="8" t="s">
        <v>2134</v>
      </c>
    </row>
    <row r="769" spans="1:6" x14ac:dyDescent="0.15">
      <c r="A769" s="8" t="s">
        <v>2135</v>
      </c>
      <c r="B769" s="8" t="s">
        <v>176</v>
      </c>
      <c r="C769" s="8" t="str">
        <f t="shared" si="31"/>
        <v>att_organ:large_intestine</v>
      </c>
      <c r="D769" s="8" t="s">
        <v>2136</v>
      </c>
      <c r="E769" s="8" t="s">
        <v>2137</v>
      </c>
      <c r="F769" s="8" t="s">
        <v>2138</v>
      </c>
    </row>
    <row r="770" spans="1:6" x14ac:dyDescent="0.15">
      <c r="A770" s="8" t="s">
        <v>2139</v>
      </c>
      <c r="B770" s="8" t="s">
        <v>176</v>
      </c>
      <c r="C770" s="8" t="str">
        <f t="shared" si="31"/>
        <v>att_organ:liver</v>
      </c>
      <c r="D770" s="8" t="s">
        <v>2139</v>
      </c>
      <c r="E770" s="8" t="s">
        <v>2140</v>
      </c>
      <c r="F770" s="8" t="s">
        <v>2140</v>
      </c>
    </row>
    <row r="771" spans="1:6" x14ac:dyDescent="0.15">
      <c r="A771" s="8" t="s">
        <v>2141</v>
      </c>
      <c r="B771" s="8" t="s">
        <v>176</v>
      </c>
      <c r="C771" s="8" t="str">
        <f t="shared" si="31"/>
        <v>att_organ:lung</v>
      </c>
      <c r="D771" s="8" t="s">
        <v>2141</v>
      </c>
      <c r="E771" s="8" t="s">
        <v>2142</v>
      </c>
      <c r="F771" s="8" t="s">
        <v>2142</v>
      </c>
    </row>
    <row r="772" spans="1:6" x14ac:dyDescent="0.15">
      <c r="A772" s="8" t="s">
        <v>2143</v>
      </c>
      <c r="B772" s="8" t="s">
        <v>176</v>
      </c>
      <c r="C772" s="8" t="str">
        <f t="shared" si="31"/>
        <v>att_organ:lymph_node</v>
      </c>
      <c r="D772" s="8" t="s">
        <v>1201</v>
      </c>
      <c r="E772" s="8" t="s">
        <v>2144</v>
      </c>
      <c r="F772" s="8" t="s">
        <v>2144</v>
      </c>
    </row>
    <row r="773" spans="1:6" x14ac:dyDescent="0.15">
      <c r="A773" s="8" t="s">
        <v>2145</v>
      </c>
      <c r="B773" s="8" t="s">
        <v>176</v>
      </c>
      <c r="C773" s="8" t="str">
        <f t="shared" si="31"/>
        <v>att_organ:medulla</v>
      </c>
      <c r="D773" s="8" t="s">
        <v>2145</v>
      </c>
      <c r="E773" s="8" t="s">
        <v>2146</v>
      </c>
      <c r="F773" s="8" t="s">
        <v>2146</v>
      </c>
    </row>
    <row r="774" spans="1:6" x14ac:dyDescent="0.15">
      <c r="A774" s="8" t="s">
        <v>2147</v>
      </c>
      <c r="B774" s="8" t="s">
        <v>176</v>
      </c>
      <c r="C774" s="8" t="str">
        <f t="shared" si="31"/>
        <v>att_organ:mesentery</v>
      </c>
      <c r="D774" s="8" t="s">
        <v>2147</v>
      </c>
      <c r="E774" s="8" t="s">
        <v>2148</v>
      </c>
      <c r="F774" s="8" t="s">
        <v>2148</v>
      </c>
    </row>
    <row r="775" spans="1:6" x14ac:dyDescent="0.15">
      <c r="A775" s="8" t="s">
        <v>2149</v>
      </c>
      <c r="B775" s="8" t="s">
        <v>176</v>
      </c>
      <c r="C775" s="8" t="str">
        <f t="shared" si="31"/>
        <v>att_organ:midbrain</v>
      </c>
      <c r="D775" s="8" t="s">
        <v>2149</v>
      </c>
      <c r="E775" s="8" t="s">
        <v>2150</v>
      </c>
      <c r="F775" s="8" t="s">
        <v>2150</v>
      </c>
    </row>
    <row r="776" spans="1:6" x14ac:dyDescent="0.15">
      <c r="A776" s="8" t="s">
        <v>2151</v>
      </c>
      <c r="B776" s="8" t="s">
        <v>176</v>
      </c>
      <c r="C776" s="8" t="str">
        <f t="shared" si="31"/>
        <v>att_organ:ovaries</v>
      </c>
      <c r="D776" s="8" t="s">
        <v>2151</v>
      </c>
      <c r="E776" s="8" t="s">
        <v>2152</v>
      </c>
      <c r="F776" s="8" t="s">
        <v>2152</v>
      </c>
    </row>
    <row r="777" spans="1:6" x14ac:dyDescent="0.15">
      <c r="A777" s="8" t="s">
        <v>2153</v>
      </c>
      <c r="B777" s="8" t="s">
        <v>176</v>
      </c>
      <c r="C777" s="8" t="str">
        <f t="shared" si="31"/>
        <v>att_organ:pancreas</v>
      </c>
      <c r="D777" s="8" t="s">
        <v>2153</v>
      </c>
      <c r="E777" s="8" t="s">
        <v>2154</v>
      </c>
      <c r="F777" s="8" t="s">
        <v>2154</v>
      </c>
    </row>
    <row r="778" spans="1:6" x14ac:dyDescent="0.15">
      <c r="A778" s="8" t="s">
        <v>2155</v>
      </c>
      <c r="B778" s="8" t="s">
        <v>176</v>
      </c>
      <c r="C778" s="8" t="str">
        <f t="shared" si="31"/>
        <v>att_organ:pons</v>
      </c>
      <c r="D778" s="8" t="s">
        <v>2155</v>
      </c>
      <c r="E778" s="8" t="s">
        <v>2156</v>
      </c>
      <c r="F778" s="8" t="s">
        <v>2156</v>
      </c>
    </row>
    <row r="779" spans="1:6" x14ac:dyDescent="0.15">
      <c r="A779" s="8" t="s">
        <v>2157</v>
      </c>
      <c r="B779" s="8" t="s">
        <v>176</v>
      </c>
      <c r="C779" s="8" t="str">
        <f t="shared" si="31"/>
        <v>att_organ:prostate</v>
      </c>
      <c r="D779" s="8" t="s">
        <v>2157</v>
      </c>
      <c r="E779" s="8" t="s">
        <v>2158</v>
      </c>
      <c r="F779" s="8" t="s">
        <v>2158</v>
      </c>
    </row>
    <row r="780" spans="1:6" x14ac:dyDescent="0.15">
      <c r="A780" s="8" t="s">
        <v>2159</v>
      </c>
      <c r="B780" s="8" t="s">
        <v>176</v>
      </c>
      <c r="C780" s="8" t="str">
        <f t="shared" si="31"/>
        <v>att_organ:rectum</v>
      </c>
      <c r="D780" s="8" t="s">
        <v>2159</v>
      </c>
      <c r="E780" s="8" t="s">
        <v>2160</v>
      </c>
      <c r="F780" s="8" t="s">
        <v>2160</v>
      </c>
    </row>
    <row r="781" spans="1:6" x14ac:dyDescent="0.15">
      <c r="A781" s="8" t="s">
        <v>2161</v>
      </c>
      <c r="B781" s="8" t="s">
        <v>176</v>
      </c>
      <c r="C781" s="8" t="str">
        <f t="shared" si="31"/>
        <v>att_organ:small_intestine</v>
      </c>
      <c r="D781" s="8" t="s">
        <v>2162</v>
      </c>
      <c r="E781" s="8" t="s">
        <v>2163</v>
      </c>
      <c r="F781" s="8" t="s">
        <v>2164</v>
      </c>
    </row>
    <row r="782" spans="1:6" x14ac:dyDescent="0.15">
      <c r="A782" s="8" t="s">
        <v>2165</v>
      </c>
      <c r="B782" s="8" t="s">
        <v>176</v>
      </c>
      <c r="C782" s="8" t="str">
        <f t="shared" si="31"/>
        <v>att_organ:spinal_cord</v>
      </c>
      <c r="D782" s="8" t="s">
        <v>2165</v>
      </c>
      <c r="E782" s="8" t="s">
        <v>2166</v>
      </c>
      <c r="F782" s="8" t="s">
        <v>2167</v>
      </c>
    </row>
    <row r="783" spans="1:6" x14ac:dyDescent="0.15">
      <c r="A783" s="8" t="s">
        <v>2168</v>
      </c>
      <c r="B783" s="8" t="s">
        <v>176</v>
      </c>
      <c r="C783" s="8" t="str">
        <f t="shared" si="31"/>
        <v>att_organ:spleen</v>
      </c>
      <c r="D783" s="8" t="s">
        <v>2168</v>
      </c>
      <c r="E783" s="8" t="s">
        <v>2169</v>
      </c>
      <c r="F783" s="8" t="s">
        <v>2169</v>
      </c>
    </row>
    <row r="784" spans="1:6" x14ac:dyDescent="0.15">
      <c r="A784" s="8" t="s">
        <v>2170</v>
      </c>
      <c r="B784" s="8" t="s">
        <v>176</v>
      </c>
      <c r="C784" s="8" t="str">
        <f t="shared" si="31"/>
        <v>att_organ:stomach</v>
      </c>
      <c r="D784" s="8" t="s">
        <v>2170</v>
      </c>
      <c r="E784" s="8" t="s">
        <v>2171</v>
      </c>
      <c r="F784" s="8" t="s">
        <v>2171</v>
      </c>
    </row>
    <row r="785" spans="1:6" x14ac:dyDescent="0.15">
      <c r="A785" s="8" t="s">
        <v>2172</v>
      </c>
      <c r="B785" s="8" t="s">
        <v>176</v>
      </c>
      <c r="C785" s="8" t="str">
        <f t="shared" si="31"/>
        <v>att_organ:testicles</v>
      </c>
      <c r="D785" s="8" t="s">
        <v>2172</v>
      </c>
      <c r="E785" s="8" t="s">
        <v>2173</v>
      </c>
      <c r="F785" s="8" t="s">
        <v>2173</v>
      </c>
    </row>
    <row r="786" spans="1:6" x14ac:dyDescent="0.15">
      <c r="A786" s="8" t="s">
        <v>2174</v>
      </c>
      <c r="B786" s="8" t="s">
        <v>176</v>
      </c>
      <c r="C786" s="8" t="str">
        <f t="shared" si="31"/>
        <v>att_organ:thalamus</v>
      </c>
      <c r="D786" s="8" t="s">
        <v>2174</v>
      </c>
      <c r="E786" s="8" t="s">
        <v>2175</v>
      </c>
      <c r="F786" s="8" t="s">
        <v>2175</v>
      </c>
    </row>
    <row r="787" spans="1:6" x14ac:dyDescent="0.15">
      <c r="A787" s="8" t="s">
        <v>2176</v>
      </c>
      <c r="B787" s="8" t="s">
        <v>176</v>
      </c>
      <c r="C787" s="8" t="str">
        <f t="shared" si="31"/>
        <v>att_organ:thymus</v>
      </c>
      <c r="D787" s="8" t="s">
        <v>2176</v>
      </c>
      <c r="E787" s="8" t="s">
        <v>2177</v>
      </c>
      <c r="F787" s="8" t="s">
        <v>2177</v>
      </c>
    </row>
    <row r="788" spans="1:6" x14ac:dyDescent="0.15">
      <c r="A788" s="8" t="s">
        <v>2178</v>
      </c>
      <c r="B788" s="8" t="s">
        <v>176</v>
      </c>
      <c r="C788" s="8" t="str">
        <f t="shared" si="31"/>
        <v>att_organ:tongue</v>
      </c>
      <c r="D788" s="8" t="s">
        <v>2178</v>
      </c>
      <c r="E788" s="8" t="s">
        <v>2179</v>
      </c>
      <c r="F788" s="8" t="s">
        <v>2179</v>
      </c>
    </row>
    <row r="789" spans="1:6" x14ac:dyDescent="0.15">
      <c r="A789" s="8" t="s">
        <v>2180</v>
      </c>
      <c r="B789" s="8" t="s">
        <v>176</v>
      </c>
      <c r="C789" s="8" t="str">
        <f t="shared" si="31"/>
        <v>att_organ:tonsils</v>
      </c>
      <c r="D789" s="8" t="s">
        <v>2180</v>
      </c>
      <c r="E789" s="8" t="s">
        <v>2181</v>
      </c>
      <c r="F789" s="8" t="s">
        <v>2181</v>
      </c>
    </row>
    <row r="790" spans="1:6" x14ac:dyDescent="0.15">
      <c r="A790" s="8" t="s">
        <v>2182</v>
      </c>
      <c r="B790" s="8" t="s">
        <v>176</v>
      </c>
      <c r="C790" s="8" t="str">
        <f t="shared" si="31"/>
        <v>att_organ:uterus</v>
      </c>
      <c r="D790" s="8" t="s">
        <v>2182</v>
      </c>
      <c r="E790" s="8" t="s">
        <v>2183</v>
      </c>
      <c r="F790" s="8" t="s">
        <v>2183</v>
      </c>
    </row>
    <row r="791" spans="1:6" x14ac:dyDescent="0.15">
      <c r="A791" s="8" t="s">
        <v>2184</v>
      </c>
      <c r="B791" s="8" t="s">
        <v>176</v>
      </c>
      <c r="C791" s="8" t="str">
        <f t="shared" si="31"/>
        <v>att_organ:veins</v>
      </c>
      <c r="D791" s="8" t="s">
        <v>2184</v>
      </c>
      <c r="E791" s="8" t="s">
        <v>2185</v>
      </c>
      <c r="F791" s="8" t="s">
        <v>2185</v>
      </c>
    </row>
    <row r="792" spans="1:6" x14ac:dyDescent="0.15">
      <c r="A792" s="8" t="s">
        <v>2907</v>
      </c>
      <c r="B792" s="8" t="s">
        <v>192</v>
      </c>
      <c r="C792" s="8" t="str">
        <f t="shared" ref="C792:C823" si="32">B792&amp;":"&amp;A792</f>
        <v>att_organism:controls</v>
      </c>
      <c r="D792" s="8" t="s">
        <v>2904</v>
      </c>
      <c r="E792" s="8" t="s">
        <v>2905</v>
      </c>
      <c r="F792" s="8" t="s">
        <v>2906</v>
      </c>
    </row>
    <row r="793" spans="1:6" x14ac:dyDescent="0.15">
      <c r="A793" s="8" t="s">
        <v>2206</v>
      </c>
      <c r="B793" s="8" t="s">
        <v>2207</v>
      </c>
      <c r="C793" s="8" t="str">
        <f t="shared" si="32"/>
        <v>att_organsystem:cardiovascular</v>
      </c>
      <c r="D793" s="9" t="s">
        <v>17</v>
      </c>
      <c r="E793" s="8" t="s">
        <v>2208</v>
      </c>
      <c r="F793" s="8" t="s">
        <v>2209</v>
      </c>
    </row>
    <row r="794" spans="1:6" x14ac:dyDescent="0.15">
      <c r="A794" s="8" t="s">
        <v>2210</v>
      </c>
      <c r="B794" s="8" t="s">
        <v>2207</v>
      </c>
      <c r="C794" s="8" t="str">
        <f t="shared" si="32"/>
        <v>att_organsystem:digestive</v>
      </c>
      <c r="D794" s="9" t="s">
        <v>17</v>
      </c>
      <c r="E794" s="8" t="s">
        <v>2211</v>
      </c>
      <c r="F794" s="8" t="s">
        <v>2212</v>
      </c>
    </row>
    <row r="795" spans="1:6" x14ac:dyDescent="0.15">
      <c r="A795" s="8" t="s">
        <v>2213</v>
      </c>
      <c r="B795" s="8" t="s">
        <v>2207</v>
      </c>
      <c r="C795" s="8" t="str">
        <f t="shared" si="32"/>
        <v>att_organsystem:endocrine</v>
      </c>
      <c r="D795" s="9" t="s">
        <v>17</v>
      </c>
      <c r="E795" s="8" t="s">
        <v>2214</v>
      </c>
      <c r="F795" s="8" t="s">
        <v>2215</v>
      </c>
    </row>
    <row r="796" spans="1:6" x14ac:dyDescent="0.15">
      <c r="A796" s="8" t="s">
        <v>2216</v>
      </c>
      <c r="B796" s="8" t="s">
        <v>2207</v>
      </c>
      <c r="C796" s="8" t="str">
        <f t="shared" si="32"/>
        <v>att_organsystem:excretory</v>
      </c>
      <c r="D796" s="9" t="s">
        <v>17</v>
      </c>
      <c r="E796" s="8" t="s">
        <v>2217</v>
      </c>
      <c r="F796" s="8" t="s">
        <v>2218</v>
      </c>
    </row>
    <row r="797" spans="1:6" x14ac:dyDescent="0.15">
      <c r="A797" s="8" t="s">
        <v>2219</v>
      </c>
      <c r="B797" s="8" t="s">
        <v>2207</v>
      </c>
      <c r="C797" s="8" t="str">
        <f t="shared" si="32"/>
        <v>att_organsystem:integumentary</v>
      </c>
      <c r="D797" s="9" t="s">
        <v>17</v>
      </c>
      <c r="E797" s="8" t="s">
        <v>2220</v>
      </c>
      <c r="F797" s="8" t="s">
        <v>2221</v>
      </c>
    </row>
    <row r="798" spans="1:6" x14ac:dyDescent="0.15">
      <c r="A798" s="8" t="s">
        <v>2222</v>
      </c>
      <c r="B798" s="8" t="s">
        <v>2207</v>
      </c>
      <c r="C798" s="8" t="str">
        <f t="shared" si="32"/>
        <v>att_organsystem:lymphatic</v>
      </c>
      <c r="D798" s="9" t="s">
        <v>17</v>
      </c>
      <c r="E798" s="8" t="s">
        <v>2223</v>
      </c>
      <c r="F798" s="8" t="s">
        <v>2224</v>
      </c>
    </row>
    <row r="799" spans="1:6" x14ac:dyDescent="0.15">
      <c r="A799" s="8" t="s">
        <v>2225</v>
      </c>
      <c r="B799" s="8" t="s">
        <v>2207</v>
      </c>
      <c r="C799" s="8" t="str">
        <f t="shared" si="32"/>
        <v>att_organsystem:muscular</v>
      </c>
      <c r="D799" s="9" t="s">
        <v>17</v>
      </c>
      <c r="E799" s="8" t="s">
        <v>2226</v>
      </c>
      <c r="F799" s="8" t="s">
        <v>2227</v>
      </c>
    </row>
    <row r="800" spans="1:6" x14ac:dyDescent="0.15">
      <c r="A800" s="8" t="s">
        <v>2228</v>
      </c>
      <c r="B800" s="8" t="s">
        <v>2207</v>
      </c>
      <c r="C800" s="8" t="str">
        <f t="shared" si="32"/>
        <v>att_organsystem:nervous_system</v>
      </c>
      <c r="D800" s="9" t="s">
        <v>17</v>
      </c>
      <c r="E800" s="8" t="s">
        <v>2229</v>
      </c>
      <c r="F800" s="8" t="s">
        <v>2230</v>
      </c>
    </row>
    <row r="801" spans="1:6" x14ac:dyDescent="0.15">
      <c r="A801" s="8" t="s">
        <v>2231</v>
      </c>
      <c r="B801" s="8" t="s">
        <v>2207</v>
      </c>
      <c r="C801" s="8" t="str">
        <f t="shared" si="32"/>
        <v>att_organsystem:reproductive</v>
      </c>
      <c r="D801" s="9" t="s">
        <v>17</v>
      </c>
      <c r="E801" s="8" t="s">
        <v>2232</v>
      </c>
      <c r="F801" s="8" t="s">
        <v>2233</v>
      </c>
    </row>
    <row r="802" spans="1:6" x14ac:dyDescent="0.15">
      <c r="A802" s="8" t="s">
        <v>2234</v>
      </c>
      <c r="B802" s="8" t="s">
        <v>2207</v>
      </c>
      <c r="C802" s="8" t="str">
        <f t="shared" si="32"/>
        <v>att_organsystem:respiratory</v>
      </c>
      <c r="D802" s="9" t="s">
        <v>17</v>
      </c>
      <c r="E802" s="8" t="s">
        <v>2235</v>
      </c>
      <c r="F802" s="8" t="s">
        <v>2236</v>
      </c>
    </row>
    <row r="803" spans="1:6" x14ac:dyDescent="0.15">
      <c r="A803" s="8" t="s">
        <v>2237</v>
      </c>
      <c r="B803" s="8" t="s">
        <v>2207</v>
      </c>
      <c r="C803" s="8" t="str">
        <f t="shared" si="32"/>
        <v>att_organsystem:skeletal</v>
      </c>
      <c r="D803" s="9" t="s">
        <v>17</v>
      </c>
      <c r="E803" s="8" t="s">
        <v>2238</v>
      </c>
      <c r="F803" s="8" t="s">
        <v>2239</v>
      </c>
    </row>
    <row r="804" spans="1:6" x14ac:dyDescent="0.15">
      <c r="A804" s="8" t="s">
        <v>2240</v>
      </c>
      <c r="B804" s="8" t="s">
        <v>2207</v>
      </c>
      <c r="C804" s="8" t="str">
        <f t="shared" si="32"/>
        <v>att_organsystem:urinary</v>
      </c>
      <c r="D804" s="9" t="s">
        <v>17</v>
      </c>
      <c r="E804" s="8" t="s">
        <v>2241</v>
      </c>
      <c r="F804" s="8" t="s">
        <v>2242</v>
      </c>
    </row>
    <row r="805" spans="1:6" x14ac:dyDescent="0.15">
      <c r="A805" s="8" t="s">
        <v>2243</v>
      </c>
      <c r="B805" s="8" t="s">
        <v>194</v>
      </c>
      <c r="C805" s="8" t="str">
        <f t="shared" si="32"/>
        <v>att_phystraining:intervalcardio</v>
      </c>
      <c r="D805" s="9" t="s">
        <v>17</v>
      </c>
      <c r="E805" s="8" t="s">
        <v>2244</v>
      </c>
      <c r="F805" s="8" t="s">
        <v>2245</v>
      </c>
    </row>
    <row r="806" spans="1:6" x14ac:dyDescent="0.15">
      <c r="A806" s="8" t="s">
        <v>2246</v>
      </c>
      <c r="B806" s="8" t="s">
        <v>194</v>
      </c>
      <c r="C806" s="8" t="str">
        <f t="shared" si="32"/>
        <v>att_phystraining:steadycardio</v>
      </c>
      <c r="D806" s="9" t="s">
        <v>17</v>
      </c>
      <c r="E806" s="8" t="s">
        <v>2823</v>
      </c>
      <c r="F806" s="8" t="s">
        <v>2247</v>
      </c>
    </row>
    <row r="807" spans="1:6" x14ac:dyDescent="0.15">
      <c r="A807" s="8" t="s">
        <v>2248</v>
      </c>
      <c r="B807" s="8" t="s">
        <v>194</v>
      </c>
      <c r="C807" s="8" t="str">
        <f t="shared" si="32"/>
        <v>att_phystraining:strength</v>
      </c>
      <c r="D807" s="9" t="s">
        <v>17</v>
      </c>
      <c r="E807" s="8" t="s">
        <v>2249</v>
      </c>
      <c r="F807" s="8" t="s">
        <v>2250</v>
      </c>
    </row>
    <row r="808" spans="1:6" x14ac:dyDescent="0.15">
      <c r="A808" s="8" t="s">
        <v>2824</v>
      </c>
      <c r="B808" s="8" t="s">
        <v>194</v>
      </c>
      <c r="C808" s="8" t="str">
        <f t="shared" si="32"/>
        <v>att_phystraining:hiit</v>
      </c>
      <c r="D808" s="9" t="s">
        <v>17</v>
      </c>
      <c r="E808" s="8" t="s">
        <v>2825</v>
      </c>
      <c r="F808" s="8" t="s">
        <v>2826</v>
      </c>
    </row>
    <row r="809" spans="1:6" x14ac:dyDescent="0.15">
      <c r="A809" s="8" t="s">
        <v>2251</v>
      </c>
      <c r="B809" s="8" t="s">
        <v>199</v>
      </c>
      <c r="C809" s="8" t="str">
        <f t="shared" si="32"/>
        <v>att_protease:argc</v>
      </c>
      <c r="D809" s="9" t="s">
        <v>17</v>
      </c>
      <c r="E809" s="8" t="s">
        <v>2252</v>
      </c>
      <c r="F809" s="8" t="s">
        <v>2253</v>
      </c>
    </row>
    <row r="810" spans="1:6" x14ac:dyDescent="0.15">
      <c r="A810" s="8" t="s">
        <v>2254</v>
      </c>
      <c r="B810" s="8" t="s">
        <v>199</v>
      </c>
      <c r="C810" s="8" t="str">
        <f t="shared" si="32"/>
        <v>att_protease:aspn</v>
      </c>
      <c r="D810" s="9" t="s">
        <v>17</v>
      </c>
      <c r="E810" s="8" t="s">
        <v>2255</v>
      </c>
      <c r="F810" s="8" t="s">
        <v>2256</v>
      </c>
    </row>
    <row r="811" spans="1:6" x14ac:dyDescent="0.15">
      <c r="A811" s="8" t="s">
        <v>2257</v>
      </c>
      <c r="B811" s="8" t="s">
        <v>199</v>
      </c>
      <c r="C811" s="8" t="str">
        <f t="shared" si="32"/>
        <v>att_protease:chymotrypsin</v>
      </c>
      <c r="D811" s="9" t="s">
        <v>17</v>
      </c>
      <c r="E811" s="8" t="s">
        <v>2258</v>
      </c>
      <c r="F811" s="8" t="s">
        <v>2259</v>
      </c>
    </row>
    <row r="812" spans="1:6" x14ac:dyDescent="0.15">
      <c r="A812" s="8" t="s">
        <v>2260</v>
      </c>
      <c r="B812" s="8" t="s">
        <v>199</v>
      </c>
      <c r="C812" s="8" t="str">
        <f t="shared" si="32"/>
        <v>att_protease:elastase</v>
      </c>
      <c r="D812" s="9" t="s">
        <v>17</v>
      </c>
      <c r="E812" s="8" t="s">
        <v>2261</v>
      </c>
      <c r="F812" s="8" t="s">
        <v>2262</v>
      </c>
    </row>
    <row r="813" spans="1:6" x14ac:dyDescent="0.15">
      <c r="A813" s="8" t="s">
        <v>2263</v>
      </c>
      <c r="B813" s="8" t="s">
        <v>199</v>
      </c>
      <c r="C813" s="8" t="str">
        <f t="shared" si="32"/>
        <v>att_protease:gluc</v>
      </c>
      <c r="D813" s="9" t="s">
        <v>17</v>
      </c>
      <c r="E813" s="8" t="s">
        <v>2264</v>
      </c>
      <c r="F813" s="8" t="s">
        <v>2265</v>
      </c>
    </row>
    <row r="814" spans="1:6" x14ac:dyDescent="0.15">
      <c r="A814" s="8" t="s">
        <v>2266</v>
      </c>
      <c r="B814" s="8" t="s">
        <v>199</v>
      </c>
      <c r="C814" s="8" t="str">
        <f t="shared" si="32"/>
        <v>att_protease:lysc</v>
      </c>
      <c r="D814" s="9" t="s">
        <v>17</v>
      </c>
      <c r="E814" s="8" t="s">
        <v>2267</v>
      </c>
      <c r="F814" s="8" t="s">
        <v>2268</v>
      </c>
    </row>
    <row r="815" spans="1:6" x14ac:dyDescent="0.15">
      <c r="A815" s="8" t="s">
        <v>2269</v>
      </c>
      <c r="B815" s="8" t="s">
        <v>199</v>
      </c>
      <c r="C815" s="8" t="str">
        <f t="shared" si="32"/>
        <v>att_protease:raspn</v>
      </c>
      <c r="D815" s="9" t="s">
        <v>17</v>
      </c>
      <c r="E815" s="8" t="s">
        <v>2270</v>
      </c>
      <c r="F815" s="8" t="s">
        <v>2271</v>
      </c>
    </row>
    <row r="816" spans="1:6" x14ac:dyDescent="0.15">
      <c r="A816" s="8" t="s">
        <v>2272</v>
      </c>
      <c r="B816" s="8" t="s">
        <v>199</v>
      </c>
      <c r="C816" s="8" t="str">
        <f t="shared" si="32"/>
        <v>att_protease:trypsin</v>
      </c>
      <c r="D816" s="9" t="s">
        <v>17</v>
      </c>
      <c r="E816" s="8" t="s">
        <v>2273</v>
      </c>
      <c r="F816" s="8" t="s">
        <v>2274</v>
      </c>
    </row>
    <row r="817" spans="1:6" x14ac:dyDescent="0.15">
      <c r="A817" s="8" t="s">
        <v>2827</v>
      </c>
      <c r="B817" s="8" t="s">
        <v>202</v>
      </c>
      <c r="C817" s="8" t="str">
        <f t="shared" si="32"/>
        <v>att_protein_mutation:apex</v>
      </c>
      <c r="D817" s="9" t="s">
        <v>17</v>
      </c>
      <c r="E817" s="8" t="s">
        <v>2828</v>
      </c>
      <c r="F817" s="8" t="s">
        <v>2829</v>
      </c>
    </row>
    <row r="818" spans="1:6" x14ac:dyDescent="0.15">
      <c r="A818" s="8" t="s">
        <v>2830</v>
      </c>
      <c r="B818" s="8" t="s">
        <v>202</v>
      </c>
      <c r="C818" s="8" t="str">
        <f t="shared" si="32"/>
        <v>att_protein_mutation:bioid</v>
      </c>
      <c r="D818" s="9" t="s">
        <v>17</v>
      </c>
      <c r="E818" s="8" t="s">
        <v>2831</v>
      </c>
      <c r="F818" s="8" t="s">
        <v>2832</v>
      </c>
    </row>
    <row r="819" spans="1:6" x14ac:dyDescent="0.15">
      <c r="A819" s="8" t="s">
        <v>2833</v>
      </c>
      <c r="B819" s="8" t="s">
        <v>202</v>
      </c>
      <c r="C819" s="8" t="str">
        <f t="shared" si="32"/>
        <v>att_protein_mutation:turboid</v>
      </c>
      <c r="D819" s="9" t="s">
        <v>17</v>
      </c>
      <c r="E819" s="8" t="s">
        <v>2834</v>
      </c>
      <c r="F819" s="8" t="s">
        <v>2835</v>
      </c>
    </row>
    <row r="820" spans="1:6" x14ac:dyDescent="0.15">
      <c r="A820" s="8" t="s">
        <v>1264</v>
      </c>
      <c r="B820" s="8" t="s">
        <v>202</v>
      </c>
      <c r="C820" s="8" t="str">
        <f t="shared" si="32"/>
        <v>att_protein_mutation:deletion</v>
      </c>
      <c r="D820" s="9" t="s">
        <v>17</v>
      </c>
      <c r="E820" s="8" t="s">
        <v>2275</v>
      </c>
      <c r="F820" s="8" t="s">
        <v>2276</v>
      </c>
    </row>
    <row r="821" spans="1:6" x14ac:dyDescent="0.15">
      <c r="A821" s="8" t="s">
        <v>2277</v>
      </c>
      <c r="B821" s="8" t="s">
        <v>202</v>
      </c>
      <c r="C821" s="8" t="str">
        <f t="shared" si="32"/>
        <v>att_protein_mutation:flag</v>
      </c>
      <c r="D821" s="9" t="s">
        <v>17</v>
      </c>
      <c r="E821" s="8" t="s">
        <v>2278</v>
      </c>
      <c r="F821" s="8" t="s">
        <v>2279</v>
      </c>
    </row>
    <row r="822" spans="1:6" x14ac:dyDescent="0.15">
      <c r="A822" s="8" t="s">
        <v>2280</v>
      </c>
      <c r="B822" s="8" t="s">
        <v>202</v>
      </c>
      <c r="C822" s="8" t="str">
        <f t="shared" si="32"/>
        <v>att_protein_mutation:frameshift</v>
      </c>
      <c r="D822" s="9" t="s">
        <v>17</v>
      </c>
      <c r="E822" s="8" t="s">
        <v>2281</v>
      </c>
      <c r="F822" s="8" t="s">
        <v>2282</v>
      </c>
    </row>
    <row r="823" spans="1:6" x14ac:dyDescent="0.15">
      <c r="A823" s="8" t="s">
        <v>2283</v>
      </c>
      <c r="B823" s="8" t="s">
        <v>202</v>
      </c>
      <c r="C823" s="8" t="str">
        <f t="shared" si="32"/>
        <v>att_protein_mutation:gfp</v>
      </c>
      <c r="D823" s="9" t="s">
        <v>17</v>
      </c>
      <c r="E823" s="8" t="s">
        <v>2284</v>
      </c>
      <c r="F823" s="8" t="s">
        <v>2285</v>
      </c>
    </row>
    <row r="824" spans="1:6" x14ac:dyDescent="0.15">
      <c r="A824" s="8" t="s">
        <v>2286</v>
      </c>
      <c r="B824" s="8" t="s">
        <v>202</v>
      </c>
      <c r="C824" s="8" t="str">
        <f t="shared" ref="C824:C829" si="33">B824&amp;":"&amp;A824</f>
        <v>att_protein_mutation:ha</v>
      </c>
      <c r="D824" s="9" t="s">
        <v>17</v>
      </c>
      <c r="E824" s="8" t="s">
        <v>2287</v>
      </c>
      <c r="F824" s="8" t="s">
        <v>2288</v>
      </c>
    </row>
    <row r="825" spans="1:6" x14ac:dyDescent="0.15">
      <c r="A825" s="8" t="s">
        <v>2289</v>
      </c>
      <c r="B825" s="8" t="s">
        <v>202</v>
      </c>
      <c r="C825" s="8" t="str">
        <f t="shared" si="33"/>
        <v>att_protein_mutation:his</v>
      </c>
      <c r="D825" s="9" t="s">
        <v>17</v>
      </c>
      <c r="E825" s="8" t="s">
        <v>2290</v>
      </c>
      <c r="F825" s="8" t="s">
        <v>2291</v>
      </c>
    </row>
    <row r="826" spans="1:6" x14ac:dyDescent="0.15">
      <c r="A826" s="8" t="s">
        <v>2292</v>
      </c>
      <c r="B826" s="8" t="s">
        <v>202</v>
      </c>
      <c r="C826" s="8" t="str">
        <f t="shared" si="33"/>
        <v>att_protein_mutation:insertion</v>
      </c>
      <c r="D826" s="9" t="s">
        <v>17</v>
      </c>
      <c r="E826" s="8" t="s">
        <v>2293</v>
      </c>
      <c r="F826" s="8" t="s">
        <v>2294</v>
      </c>
    </row>
    <row r="827" spans="1:6" x14ac:dyDescent="0.15">
      <c r="A827" s="8" t="s">
        <v>2295</v>
      </c>
      <c r="B827" s="8" t="s">
        <v>202</v>
      </c>
      <c r="C827" s="8" t="str">
        <f t="shared" si="33"/>
        <v>att_protein_mutation:myc</v>
      </c>
      <c r="D827" s="9" t="s">
        <v>17</v>
      </c>
      <c r="E827" s="8" t="s">
        <v>2296</v>
      </c>
      <c r="F827" s="8" t="s">
        <v>2297</v>
      </c>
    </row>
    <row r="828" spans="1:6" x14ac:dyDescent="0.15">
      <c r="A828" s="8" t="s">
        <v>2298</v>
      </c>
      <c r="B828" s="8" t="s">
        <v>202</v>
      </c>
      <c r="C828" s="8" t="str">
        <f t="shared" si="33"/>
        <v>att_protein_mutation:pep86</v>
      </c>
      <c r="D828" s="9" t="s">
        <v>17</v>
      </c>
      <c r="E828" s="8" t="s">
        <v>2799</v>
      </c>
      <c r="F828" s="8" t="s">
        <v>2299</v>
      </c>
    </row>
    <row r="829" spans="1:6" x14ac:dyDescent="0.15">
      <c r="A829" s="8" t="s">
        <v>2300</v>
      </c>
      <c r="B829" s="8" t="s">
        <v>202</v>
      </c>
      <c r="C829" s="8" t="str">
        <f t="shared" si="33"/>
        <v>att_protein_mutation:substitution</v>
      </c>
      <c r="D829" s="9" t="s">
        <v>17</v>
      </c>
      <c r="E829" s="8" t="s">
        <v>2301</v>
      </c>
      <c r="F829" s="8" t="s">
        <v>2302</v>
      </c>
    </row>
    <row r="830" spans="1:6" x14ac:dyDescent="0.15">
      <c r="A830" s="8" t="s">
        <v>2303</v>
      </c>
      <c r="B830" s="8" t="s">
        <v>202</v>
      </c>
      <c r="C830" s="8" t="str">
        <f t="shared" ref="C830" si="34">B830&amp;":"&amp;A830</f>
        <v>att_protein_mutation:truncation</v>
      </c>
      <c r="D830" s="9" t="s">
        <v>17</v>
      </c>
      <c r="E830" s="8" t="s">
        <v>2304</v>
      </c>
      <c r="F830" s="8" t="s">
        <v>2305</v>
      </c>
    </row>
    <row r="831" spans="1:6" x14ac:dyDescent="0.15">
      <c r="A831" s="8" t="s">
        <v>336</v>
      </c>
      <c r="B831" s="8" t="s">
        <v>202</v>
      </c>
      <c r="C831" s="8" t="str">
        <f t="shared" ref="C831:C860" si="35">B831&amp;":"&amp;A831</f>
        <v>att_protein_mutation:none</v>
      </c>
      <c r="D831" s="9" t="s">
        <v>17</v>
      </c>
      <c r="E831" s="8" t="s">
        <v>1862</v>
      </c>
      <c r="F831" s="8" t="s">
        <v>2800</v>
      </c>
    </row>
    <row r="832" spans="1:6" x14ac:dyDescent="0.15">
      <c r="A832" s="8" t="s">
        <v>2306</v>
      </c>
      <c r="B832" s="8" t="s">
        <v>204</v>
      </c>
      <c r="C832" s="8" t="str">
        <f t="shared" si="35"/>
        <v>att_protein_position:aa</v>
      </c>
      <c r="D832" s="9" t="s">
        <v>17</v>
      </c>
      <c r="E832" s="8" t="s">
        <v>2307</v>
      </c>
      <c r="F832" s="8" t="s">
        <v>2308</v>
      </c>
    </row>
    <row r="833" spans="1:1022" x14ac:dyDescent="0.15">
      <c r="A833" s="8" t="s">
        <v>2309</v>
      </c>
      <c r="B833" s="8" t="s">
        <v>204</v>
      </c>
      <c r="C833" s="8" t="str">
        <f t="shared" si="35"/>
        <v>att_protein_position:cterm</v>
      </c>
      <c r="D833" s="9" t="s">
        <v>17</v>
      </c>
      <c r="E833" s="8" t="s">
        <v>2310</v>
      </c>
      <c r="F833" s="8" t="s">
        <v>2311</v>
      </c>
    </row>
    <row r="834" spans="1:1022" x14ac:dyDescent="0.15">
      <c r="A834" s="8" t="s">
        <v>2312</v>
      </c>
      <c r="B834" s="8" t="s">
        <v>204</v>
      </c>
      <c r="C834" s="8" t="str">
        <f t="shared" si="35"/>
        <v>att_protein_position:nterm</v>
      </c>
      <c r="D834" s="9" t="s">
        <v>17</v>
      </c>
      <c r="E834" s="8" t="s">
        <v>2313</v>
      </c>
      <c r="F834" s="8" t="s">
        <v>2314</v>
      </c>
    </row>
    <row r="835" spans="1:1022" x14ac:dyDescent="0.15">
      <c r="A835" s="8" t="s">
        <v>2315</v>
      </c>
      <c r="B835" s="8" t="s">
        <v>204</v>
      </c>
      <c r="C835" s="8" t="str">
        <f t="shared" si="35"/>
        <v>att_protein_position:region</v>
      </c>
      <c r="D835" s="9" t="s">
        <v>17</v>
      </c>
      <c r="E835" s="8" t="s">
        <v>2316</v>
      </c>
      <c r="F835" s="8" t="s">
        <v>2317</v>
      </c>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c r="DW835"/>
      <c r="DX835"/>
      <c r="DY835"/>
      <c r="DZ835"/>
      <c r="EA835"/>
      <c r="EB835"/>
      <c r="EC835"/>
      <c r="ED835"/>
      <c r="EE835"/>
      <c r="EF835"/>
      <c r="EG835"/>
      <c r="EH835"/>
      <c r="EI835"/>
      <c r="EJ835"/>
      <c r="EK835"/>
      <c r="EL835"/>
      <c r="EM835"/>
      <c r="EN835"/>
      <c r="EO835"/>
      <c r="EP835"/>
      <c r="EQ835"/>
      <c r="ER835"/>
      <c r="ES835"/>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c r="IQ835"/>
      <c r="IR835"/>
      <c r="IS835"/>
      <c r="IT835"/>
      <c r="IU835"/>
      <c r="IV835"/>
      <c r="IW835"/>
      <c r="IX835"/>
      <c r="IY835"/>
      <c r="IZ835"/>
      <c r="JA835"/>
      <c r="JB835"/>
      <c r="JC835"/>
      <c r="JD835"/>
      <c r="JE835"/>
      <c r="JF835"/>
      <c r="JG835"/>
      <c r="JH835"/>
      <c r="JI835"/>
      <c r="JJ835"/>
      <c r="JK835"/>
      <c r="JL835"/>
      <c r="JM835"/>
      <c r="JN835"/>
      <c r="JO835"/>
      <c r="JP835"/>
      <c r="JQ835"/>
      <c r="JR835"/>
      <c r="JS835"/>
      <c r="JT835"/>
      <c r="JU835"/>
      <c r="JV835"/>
      <c r="JW835"/>
      <c r="JX835"/>
      <c r="JY835"/>
      <c r="JZ835"/>
      <c r="KA835"/>
      <c r="KB835"/>
      <c r="KC835"/>
      <c r="KD835"/>
      <c r="KE835"/>
      <c r="KF835"/>
      <c r="KG835"/>
      <c r="KH835"/>
      <c r="KI835"/>
      <c r="KJ835"/>
      <c r="KK835"/>
      <c r="KL835"/>
      <c r="KM835"/>
      <c r="KN835"/>
      <c r="KO835"/>
      <c r="KP835"/>
      <c r="KQ835"/>
      <c r="KR835"/>
      <c r="KS835"/>
      <c r="KT835"/>
      <c r="KU835"/>
      <c r="KV835"/>
      <c r="KW835"/>
      <c r="KX835"/>
      <c r="KY835"/>
      <c r="KZ835"/>
      <c r="LA835"/>
      <c r="LB835"/>
      <c r="LC835"/>
      <c r="LD835"/>
      <c r="LE835"/>
      <c r="LF835"/>
      <c r="LG835"/>
      <c r="LH835"/>
      <c r="LI835"/>
      <c r="LJ835"/>
      <c r="LK835"/>
      <c r="LL835"/>
      <c r="LM835"/>
      <c r="LN835"/>
      <c r="LO835"/>
      <c r="LP835"/>
      <c r="LQ835"/>
      <c r="LR835"/>
      <c r="LS835"/>
      <c r="LT835"/>
      <c r="LU835"/>
      <c r="LV835"/>
      <c r="LW835"/>
      <c r="LX835"/>
      <c r="LY835"/>
      <c r="LZ835"/>
      <c r="MA835"/>
      <c r="MB835"/>
      <c r="MC835"/>
      <c r="MD835"/>
      <c r="ME835"/>
      <c r="MF835"/>
      <c r="MG835"/>
      <c r="MH835"/>
      <c r="MI835"/>
      <c r="MJ835"/>
      <c r="MK835"/>
      <c r="ML835"/>
      <c r="MM835"/>
      <c r="MN835"/>
      <c r="MO835"/>
      <c r="MP835"/>
      <c r="MQ835"/>
      <c r="MR835"/>
      <c r="MS835"/>
      <c r="MT835"/>
      <c r="MU835"/>
      <c r="MV835"/>
      <c r="MW835"/>
      <c r="MX835"/>
      <c r="MY835"/>
      <c r="MZ835"/>
      <c r="NA835"/>
      <c r="NB835"/>
      <c r="NC835"/>
      <c r="ND835"/>
      <c r="NE835"/>
      <c r="NF835"/>
      <c r="NG835"/>
      <c r="NH835"/>
      <c r="NI835"/>
      <c r="NJ835"/>
      <c r="NK835"/>
      <c r="NL835"/>
      <c r="NM835"/>
      <c r="NN835"/>
      <c r="NO835"/>
      <c r="NP835"/>
      <c r="NQ835"/>
      <c r="NR835"/>
      <c r="NS835"/>
      <c r="NT835"/>
      <c r="NU835"/>
      <c r="NV835"/>
      <c r="NW835"/>
      <c r="NX835"/>
      <c r="NY835"/>
      <c r="NZ835"/>
      <c r="OA835"/>
      <c r="OB835"/>
      <c r="OC835"/>
      <c r="OD835"/>
      <c r="OE835"/>
      <c r="OF835"/>
      <c r="OG835"/>
      <c r="OH835"/>
      <c r="OI835"/>
      <c r="OJ835"/>
      <c r="OK835"/>
      <c r="OL835"/>
      <c r="OM835"/>
      <c r="ON835"/>
      <c r="OO835"/>
      <c r="OP835"/>
      <c r="OQ835"/>
      <c r="OR835"/>
      <c r="OS835"/>
      <c r="OT835"/>
      <c r="OU835"/>
      <c r="OV835"/>
      <c r="OW835"/>
      <c r="OX835"/>
      <c r="OY835"/>
      <c r="OZ835"/>
      <c r="PA835"/>
      <c r="PB835"/>
      <c r="PC835"/>
      <c r="PD835"/>
      <c r="PE835"/>
      <c r="PF835"/>
      <c r="PG835"/>
      <c r="PH835"/>
      <c r="PI835"/>
      <c r="PJ835"/>
      <c r="PK835"/>
      <c r="PL835"/>
      <c r="PM835"/>
      <c r="PN835"/>
      <c r="PO835"/>
      <c r="PP835"/>
      <c r="PQ835"/>
      <c r="PR835"/>
      <c r="PS835"/>
      <c r="PT835"/>
      <c r="PU835"/>
      <c r="PV835"/>
      <c r="PW835"/>
      <c r="PX835"/>
      <c r="PY835"/>
      <c r="PZ835"/>
      <c r="QA835"/>
      <c r="QB835"/>
      <c r="QC835"/>
      <c r="QD835"/>
      <c r="QE835"/>
      <c r="QF835"/>
      <c r="QG835"/>
      <c r="QH835"/>
      <c r="QI835"/>
      <c r="QJ835"/>
      <c r="QK835"/>
      <c r="QL835"/>
      <c r="QM835"/>
      <c r="QN835"/>
      <c r="QO835"/>
      <c r="QP835"/>
      <c r="QQ835"/>
      <c r="QR835"/>
      <c r="QS835"/>
      <c r="QT835"/>
      <c r="QU835"/>
      <c r="QV835"/>
      <c r="QW835"/>
      <c r="QX835"/>
      <c r="QY835"/>
      <c r="QZ835"/>
      <c r="RA835"/>
      <c r="RB835"/>
      <c r="RC835"/>
      <c r="RD835"/>
      <c r="RE835"/>
      <c r="RF835"/>
      <c r="RG835"/>
      <c r="RH835"/>
      <c r="RI835"/>
      <c r="RJ835"/>
      <c r="RK835"/>
      <c r="RL835"/>
      <c r="RM835"/>
      <c r="RN835"/>
      <c r="RO835"/>
      <c r="RP835"/>
      <c r="RQ835"/>
      <c r="RR835"/>
      <c r="RS835"/>
      <c r="RT835"/>
      <c r="RU835"/>
      <c r="RV835"/>
      <c r="RW835"/>
      <c r="RX835"/>
      <c r="RY835"/>
      <c r="RZ835"/>
      <c r="SA835"/>
      <c r="SB835"/>
      <c r="SC835"/>
      <c r="SD835"/>
      <c r="SE835"/>
      <c r="SF835"/>
      <c r="SG835"/>
      <c r="SH835"/>
      <c r="SI835"/>
      <c r="SJ835"/>
      <c r="SK835"/>
      <c r="SL835"/>
      <c r="SM835"/>
      <c r="SN835"/>
      <c r="SO835"/>
      <c r="SP835"/>
      <c r="SQ835"/>
      <c r="SR835"/>
      <c r="SS835"/>
      <c r="ST835"/>
      <c r="SU835"/>
      <c r="SV835"/>
      <c r="SW835"/>
      <c r="SX835"/>
      <c r="SY835"/>
      <c r="SZ835"/>
      <c r="TA835"/>
      <c r="TB835"/>
      <c r="TC835"/>
      <c r="TD835"/>
      <c r="TE835"/>
      <c r="TF835"/>
      <c r="TG835"/>
      <c r="TH835"/>
      <c r="TI835"/>
      <c r="TJ835"/>
      <c r="TK835"/>
      <c r="TL835"/>
      <c r="TM835"/>
      <c r="TN835"/>
      <c r="TO835"/>
      <c r="TP835"/>
      <c r="TQ835"/>
      <c r="TR835"/>
      <c r="TS835"/>
      <c r="TT835"/>
      <c r="TU835"/>
      <c r="TV835"/>
      <c r="TW835"/>
      <c r="TX835"/>
      <c r="TY835"/>
      <c r="TZ835"/>
      <c r="UA835"/>
      <c r="UB835"/>
      <c r="UC835"/>
      <c r="UD835"/>
      <c r="UE835"/>
      <c r="UF835"/>
      <c r="UG835"/>
      <c r="UH835"/>
      <c r="UI835"/>
      <c r="UJ835"/>
      <c r="UK835"/>
      <c r="UL835"/>
      <c r="UM835"/>
      <c r="UN835"/>
      <c r="UO835"/>
      <c r="UP835"/>
      <c r="UQ835"/>
      <c r="UR835"/>
      <c r="US835"/>
      <c r="UT835"/>
      <c r="UU835"/>
      <c r="UV835"/>
      <c r="UW835"/>
      <c r="UX835"/>
      <c r="UY835"/>
      <c r="UZ835"/>
      <c r="VA835"/>
      <c r="VB835"/>
      <c r="VC835"/>
      <c r="VD835"/>
      <c r="VE835"/>
      <c r="VF835"/>
      <c r="VG835"/>
      <c r="VH835"/>
      <c r="VI835"/>
      <c r="VJ835"/>
      <c r="VK835"/>
      <c r="VL835"/>
      <c r="VM835"/>
      <c r="VN835"/>
      <c r="VO835"/>
      <c r="VP835"/>
      <c r="VQ835"/>
      <c r="VR835"/>
      <c r="VS835"/>
      <c r="VT835"/>
      <c r="VU835"/>
      <c r="VV835"/>
      <c r="VW835"/>
      <c r="VX835"/>
      <c r="VY835"/>
      <c r="VZ835"/>
      <c r="WA835"/>
      <c r="WB835"/>
      <c r="WC835"/>
      <c r="WD835"/>
      <c r="WE835"/>
      <c r="WF835"/>
      <c r="WG835"/>
      <c r="WH835"/>
      <c r="WI835"/>
      <c r="WJ835"/>
      <c r="WK835"/>
      <c r="WL835"/>
      <c r="WM835"/>
      <c r="WN835"/>
      <c r="WO835"/>
      <c r="WP835"/>
      <c r="WQ835"/>
      <c r="WR835"/>
      <c r="WS835"/>
      <c r="WT835"/>
      <c r="WU835"/>
      <c r="WV835"/>
      <c r="WW835"/>
      <c r="WX835"/>
      <c r="WY835"/>
      <c r="WZ835"/>
      <c r="XA835"/>
      <c r="XB835"/>
      <c r="XC835"/>
      <c r="XD835"/>
      <c r="XE835"/>
      <c r="XF835"/>
      <c r="XG835"/>
      <c r="XH835"/>
      <c r="XI835"/>
      <c r="XJ835"/>
      <c r="XK835"/>
      <c r="XL835"/>
      <c r="XM835"/>
      <c r="XN835"/>
      <c r="XO835"/>
      <c r="XP835"/>
      <c r="XQ835"/>
      <c r="XR835"/>
      <c r="XS835"/>
      <c r="XT835"/>
      <c r="XU835"/>
      <c r="XV835"/>
      <c r="XW835"/>
      <c r="XX835"/>
      <c r="XY835"/>
      <c r="XZ835"/>
      <c r="YA835"/>
      <c r="YB835"/>
      <c r="YC835"/>
      <c r="YD835"/>
      <c r="YE835"/>
      <c r="YF835"/>
      <c r="YG835"/>
      <c r="YH835"/>
      <c r="YI835"/>
      <c r="YJ835"/>
      <c r="YK835"/>
      <c r="YL835"/>
      <c r="YM835"/>
      <c r="YN835"/>
      <c r="YO835"/>
      <c r="YP835"/>
      <c r="YQ835"/>
      <c r="YR835"/>
      <c r="YS835"/>
      <c r="YT835"/>
      <c r="YU835"/>
      <c r="YV835"/>
      <c r="YW835"/>
      <c r="YX835"/>
      <c r="YY835"/>
      <c r="YZ835"/>
      <c r="ZA835"/>
      <c r="ZB835"/>
      <c r="ZC835"/>
      <c r="ZD835"/>
      <c r="ZE835"/>
      <c r="ZF835"/>
      <c r="ZG835"/>
      <c r="ZH835"/>
      <c r="ZI835"/>
      <c r="ZJ835"/>
      <c r="ZK835"/>
      <c r="ZL835"/>
      <c r="ZM835"/>
      <c r="ZN835"/>
      <c r="ZO835"/>
      <c r="ZP835"/>
      <c r="ZQ835"/>
      <c r="ZR835"/>
      <c r="ZS835"/>
      <c r="ZT835"/>
      <c r="ZU835"/>
      <c r="ZV835"/>
      <c r="ZW835"/>
      <c r="ZX835"/>
      <c r="ZY835"/>
      <c r="ZZ835"/>
      <c r="AAA835"/>
      <c r="AAB835"/>
      <c r="AAC835"/>
      <c r="AAD835"/>
      <c r="AAE835"/>
      <c r="AAF835"/>
      <c r="AAG835"/>
      <c r="AAH835"/>
      <c r="AAI835"/>
      <c r="AAJ835"/>
      <c r="AAK835"/>
      <c r="AAL835"/>
      <c r="AAM835"/>
      <c r="AAN835"/>
      <c r="AAO835"/>
      <c r="AAP835"/>
      <c r="AAQ835"/>
      <c r="AAR835"/>
      <c r="AAS835"/>
      <c r="AAT835"/>
      <c r="AAU835"/>
      <c r="AAV835"/>
      <c r="AAW835"/>
      <c r="AAX835"/>
      <c r="AAY835"/>
      <c r="AAZ835"/>
      <c r="ABA835"/>
      <c r="ABB835"/>
      <c r="ABC835"/>
      <c r="ABD835"/>
      <c r="ABE835"/>
      <c r="ABF835"/>
      <c r="ABG835"/>
      <c r="ABH835"/>
      <c r="ABI835"/>
      <c r="ABJ835"/>
      <c r="ABK835"/>
      <c r="ABL835"/>
      <c r="ABM835"/>
      <c r="ABN835"/>
      <c r="ABO835"/>
      <c r="ABP835"/>
      <c r="ABQ835"/>
      <c r="ABR835"/>
      <c r="ABS835"/>
      <c r="ABT835"/>
      <c r="ABU835"/>
      <c r="ABV835"/>
      <c r="ABW835"/>
      <c r="ABX835"/>
      <c r="ABY835"/>
      <c r="ABZ835"/>
      <c r="ACA835"/>
      <c r="ACB835"/>
      <c r="ACC835"/>
      <c r="ACD835"/>
      <c r="ACE835"/>
      <c r="ACF835"/>
      <c r="ACG835"/>
      <c r="ACH835"/>
      <c r="ACI835"/>
      <c r="ACJ835"/>
      <c r="ACK835"/>
      <c r="ACL835"/>
      <c r="ACM835"/>
      <c r="ACN835"/>
      <c r="ACO835"/>
      <c r="ACP835"/>
      <c r="ACQ835"/>
      <c r="ACR835"/>
      <c r="ACS835"/>
      <c r="ACT835"/>
      <c r="ACU835"/>
      <c r="ACV835"/>
      <c r="ACW835"/>
      <c r="ACX835"/>
      <c r="ACY835"/>
      <c r="ACZ835"/>
      <c r="ADA835"/>
      <c r="ADB835"/>
      <c r="ADC835"/>
      <c r="ADD835"/>
      <c r="ADE835"/>
      <c r="ADF835"/>
      <c r="ADG835"/>
      <c r="ADH835"/>
      <c r="ADI835"/>
      <c r="ADJ835"/>
      <c r="ADK835"/>
      <c r="ADL835"/>
      <c r="ADM835"/>
      <c r="ADN835"/>
      <c r="ADO835"/>
      <c r="ADP835"/>
      <c r="ADQ835"/>
      <c r="ADR835"/>
      <c r="ADS835"/>
      <c r="ADT835"/>
      <c r="ADU835"/>
      <c r="ADV835"/>
      <c r="ADW835"/>
      <c r="ADX835"/>
      <c r="ADY835"/>
      <c r="ADZ835"/>
      <c r="AEA835"/>
      <c r="AEB835"/>
      <c r="AEC835"/>
      <c r="AED835"/>
      <c r="AEE835"/>
      <c r="AEF835"/>
      <c r="AEG835"/>
      <c r="AEH835"/>
      <c r="AEI835"/>
      <c r="AEJ835"/>
      <c r="AEK835"/>
      <c r="AEL835"/>
      <c r="AEM835"/>
      <c r="AEN835"/>
      <c r="AEO835"/>
      <c r="AEP835"/>
      <c r="AEQ835"/>
      <c r="AER835"/>
      <c r="AES835"/>
      <c r="AET835"/>
      <c r="AEU835"/>
      <c r="AEV835"/>
      <c r="AEW835"/>
      <c r="AEX835"/>
      <c r="AEY835"/>
      <c r="AEZ835"/>
      <c r="AFA835"/>
      <c r="AFB835"/>
      <c r="AFC835"/>
      <c r="AFD835"/>
      <c r="AFE835"/>
      <c r="AFF835"/>
      <c r="AFG835"/>
      <c r="AFH835"/>
      <c r="AFI835"/>
      <c r="AFJ835"/>
      <c r="AFK835"/>
      <c r="AFL835"/>
      <c r="AFM835"/>
      <c r="AFN835"/>
      <c r="AFO835"/>
      <c r="AFP835"/>
      <c r="AFQ835"/>
      <c r="AFR835"/>
      <c r="AFS835"/>
      <c r="AFT835"/>
      <c r="AFU835"/>
      <c r="AFV835"/>
      <c r="AFW835"/>
      <c r="AFX835"/>
      <c r="AFY835"/>
      <c r="AFZ835"/>
      <c r="AGA835"/>
      <c r="AGB835"/>
      <c r="AGC835"/>
      <c r="AGD835"/>
      <c r="AGE835"/>
      <c r="AGF835"/>
      <c r="AGG835"/>
      <c r="AGH835"/>
      <c r="AGI835"/>
      <c r="AGJ835"/>
      <c r="AGK835"/>
      <c r="AGL835"/>
      <c r="AGM835"/>
      <c r="AGN835"/>
      <c r="AGO835"/>
      <c r="AGP835"/>
      <c r="AGQ835"/>
      <c r="AGR835"/>
      <c r="AGS835"/>
      <c r="AGT835"/>
      <c r="AGU835"/>
      <c r="AGV835"/>
      <c r="AGW835"/>
      <c r="AGX835"/>
      <c r="AGY835"/>
      <c r="AGZ835"/>
      <c r="AHA835"/>
      <c r="AHB835"/>
      <c r="AHC835"/>
      <c r="AHD835"/>
      <c r="AHE835"/>
      <c r="AHF835"/>
      <c r="AHG835"/>
      <c r="AHH835"/>
      <c r="AHI835"/>
      <c r="AHJ835"/>
      <c r="AHK835"/>
      <c r="AHL835"/>
      <c r="AHM835"/>
      <c r="AHN835"/>
      <c r="AHO835"/>
      <c r="AHP835"/>
      <c r="AHQ835"/>
      <c r="AHR835"/>
      <c r="AHS835"/>
      <c r="AHT835"/>
      <c r="AHU835"/>
      <c r="AHV835"/>
      <c r="AHW835"/>
      <c r="AHX835"/>
      <c r="AHY835"/>
      <c r="AHZ835"/>
      <c r="AIA835"/>
      <c r="AIB835"/>
      <c r="AIC835"/>
      <c r="AID835"/>
      <c r="AIE835"/>
      <c r="AIF835"/>
      <c r="AIG835"/>
      <c r="AIH835"/>
      <c r="AII835"/>
      <c r="AIJ835"/>
      <c r="AIK835"/>
      <c r="AIL835"/>
      <c r="AIM835"/>
      <c r="AIN835"/>
      <c r="AIO835"/>
      <c r="AIP835"/>
      <c r="AIQ835"/>
      <c r="AIR835"/>
      <c r="AIS835"/>
      <c r="AIT835"/>
      <c r="AIU835"/>
      <c r="AIV835"/>
      <c r="AIW835"/>
      <c r="AIX835"/>
      <c r="AIY835"/>
      <c r="AIZ835"/>
      <c r="AJA835"/>
      <c r="AJB835"/>
      <c r="AJC835"/>
      <c r="AJD835"/>
      <c r="AJE835"/>
      <c r="AJF835"/>
      <c r="AJG835"/>
      <c r="AJH835"/>
      <c r="AJI835"/>
      <c r="AJJ835"/>
      <c r="AJK835"/>
      <c r="AJL835"/>
      <c r="AJM835"/>
      <c r="AJN835"/>
      <c r="AJO835"/>
      <c r="AJP835"/>
      <c r="AJQ835"/>
      <c r="AJR835"/>
      <c r="AJS835"/>
      <c r="AJT835"/>
      <c r="AJU835"/>
      <c r="AJV835"/>
      <c r="AJW835"/>
      <c r="AJX835"/>
      <c r="AJY835"/>
      <c r="AJZ835"/>
      <c r="AKA835"/>
      <c r="AKB835"/>
      <c r="AKC835"/>
      <c r="AKD835"/>
      <c r="AKE835"/>
      <c r="AKF835"/>
      <c r="AKG835"/>
      <c r="AKH835"/>
      <c r="AKI835"/>
      <c r="AKJ835"/>
      <c r="AKK835"/>
      <c r="AKL835"/>
      <c r="AKM835"/>
      <c r="AKN835"/>
      <c r="AKO835"/>
      <c r="AKP835"/>
      <c r="AKQ835"/>
      <c r="AKR835"/>
      <c r="AKS835"/>
      <c r="AKT835"/>
      <c r="AKU835"/>
      <c r="AKV835"/>
      <c r="AKW835"/>
      <c r="AKX835"/>
      <c r="AKY835"/>
      <c r="AKZ835"/>
      <c r="ALA835"/>
      <c r="ALB835"/>
      <c r="ALC835"/>
      <c r="ALD835"/>
      <c r="ALE835"/>
      <c r="ALF835"/>
      <c r="ALG835"/>
      <c r="ALH835"/>
      <c r="ALI835"/>
      <c r="ALJ835"/>
      <c r="ALK835"/>
      <c r="ALL835"/>
      <c r="ALM835"/>
      <c r="ALN835"/>
      <c r="ALO835"/>
      <c r="ALP835"/>
      <c r="ALQ835"/>
      <c r="ALR835"/>
      <c r="ALS835"/>
      <c r="ALT835"/>
      <c r="ALU835"/>
      <c r="ALV835"/>
      <c r="ALW835"/>
      <c r="ALX835"/>
      <c r="ALY835"/>
      <c r="ALZ835"/>
      <c r="AMA835"/>
      <c r="AMB835"/>
      <c r="AMC835"/>
      <c r="AMD835"/>
      <c r="AME835"/>
      <c r="AMF835"/>
      <c r="AMG835"/>
      <c r="AMH835"/>
    </row>
    <row r="836" spans="1:1022" x14ac:dyDescent="0.15">
      <c r="A836" s="8" t="s">
        <v>2957</v>
      </c>
      <c r="B836" s="8" t="s">
        <v>2955</v>
      </c>
      <c r="C836" s="8" t="str">
        <f t="shared" si="35"/>
        <v>att_ptm_enrichment:antibody</v>
      </c>
      <c r="D836" s="9" t="s">
        <v>17</v>
      </c>
      <c r="E836" s="8" t="s">
        <v>2958</v>
      </c>
      <c r="F836" s="8" t="s">
        <v>2959</v>
      </c>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c r="DC836"/>
      <c r="DD836"/>
      <c r="DE836"/>
      <c r="DF836"/>
      <c r="DG836"/>
      <c r="DH836"/>
      <c r="DI836"/>
      <c r="DJ836"/>
      <c r="DK836"/>
      <c r="DL836"/>
      <c r="DM836"/>
      <c r="DN836"/>
      <c r="DO836"/>
      <c r="DP836"/>
      <c r="DQ836"/>
      <c r="DR836"/>
      <c r="DS836"/>
      <c r="DT836"/>
      <c r="DU836"/>
      <c r="DV836"/>
      <c r="DW836"/>
      <c r="DX836"/>
      <c r="DY836"/>
      <c r="DZ836"/>
      <c r="EA836"/>
      <c r="EB836"/>
      <c r="EC836"/>
      <c r="ED836"/>
      <c r="EE836"/>
      <c r="EF836"/>
      <c r="EG836"/>
      <c r="EH836"/>
      <c r="EI836"/>
      <c r="EJ836"/>
      <c r="EK836"/>
      <c r="EL836"/>
      <c r="EM836"/>
      <c r="EN836"/>
      <c r="EO836"/>
      <c r="EP836"/>
      <c r="EQ836"/>
      <c r="ER836"/>
      <c r="ES83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c r="IQ836"/>
      <c r="IR836"/>
      <c r="IS836"/>
      <c r="IT836"/>
      <c r="IU836"/>
      <c r="IV836"/>
      <c r="IW836"/>
      <c r="IX836"/>
      <c r="IY836"/>
      <c r="IZ836"/>
      <c r="JA836"/>
      <c r="JB836"/>
      <c r="JC836"/>
      <c r="JD836"/>
      <c r="JE836"/>
      <c r="JF836"/>
      <c r="JG836"/>
      <c r="JH836"/>
      <c r="JI836"/>
      <c r="JJ836"/>
      <c r="JK836"/>
      <c r="JL836"/>
      <c r="JM836"/>
      <c r="JN836"/>
      <c r="JO836"/>
      <c r="JP836"/>
      <c r="JQ836"/>
      <c r="JR836"/>
      <c r="JS836"/>
      <c r="JT836"/>
      <c r="JU836"/>
      <c r="JV836"/>
      <c r="JW836"/>
      <c r="JX836"/>
      <c r="JY836"/>
      <c r="JZ836"/>
      <c r="KA836"/>
      <c r="KB836"/>
      <c r="KC836"/>
      <c r="KD836"/>
      <c r="KE836"/>
      <c r="KF836"/>
      <c r="KG836"/>
      <c r="KH836"/>
      <c r="KI836"/>
      <c r="KJ836"/>
      <c r="KK836"/>
      <c r="KL836"/>
      <c r="KM836"/>
      <c r="KN836"/>
      <c r="KO836"/>
      <c r="KP836"/>
      <c r="KQ836"/>
      <c r="KR836"/>
      <c r="KS836"/>
      <c r="KT836"/>
      <c r="KU836"/>
      <c r="KV836"/>
      <c r="KW836"/>
      <c r="KX836"/>
      <c r="KY836"/>
      <c r="KZ836"/>
      <c r="LA836"/>
      <c r="LB836"/>
      <c r="LC836"/>
      <c r="LD836"/>
      <c r="LE836"/>
      <c r="LF836"/>
      <c r="LG836"/>
      <c r="LH836"/>
      <c r="LI836"/>
      <c r="LJ836"/>
      <c r="LK836"/>
      <c r="LL836"/>
      <c r="LM836"/>
      <c r="LN836"/>
      <c r="LO836"/>
      <c r="LP836"/>
      <c r="LQ836"/>
      <c r="LR836"/>
      <c r="LS836"/>
      <c r="LT836"/>
      <c r="LU836"/>
      <c r="LV836"/>
      <c r="LW836"/>
      <c r="LX836"/>
      <c r="LY836"/>
      <c r="LZ836"/>
      <c r="MA836"/>
      <c r="MB836"/>
      <c r="MC836"/>
      <c r="MD836"/>
      <c r="ME836"/>
      <c r="MF836"/>
      <c r="MG836"/>
      <c r="MH836"/>
      <c r="MI836"/>
      <c r="MJ836"/>
      <c r="MK836"/>
      <c r="ML836"/>
      <c r="MM836"/>
      <c r="MN836"/>
      <c r="MO836"/>
      <c r="MP836"/>
      <c r="MQ836"/>
      <c r="MR836"/>
      <c r="MS836"/>
      <c r="MT836"/>
      <c r="MU836"/>
      <c r="MV836"/>
      <c r="MW836"/>
      <c r="MX836"/>
      <c r="MY836"/>
      <c r="MZ836"/>
      <c r="NA836"/>
      <c r="NB836"/>
      <c r="NC836"/>
      <c r="ND836"/>
      <c r="NE836"/>
      <c r="NF836"/>
      <c r="NG836"/>
      <c r="NH836"/>
      <c r="NI836"/>
      <c r="NJ836"/>
      <c r="NK836"/>
      <c r="NL836"/>
      <c r="NM836"/>
      <c r="NN836"/>
      <c r="NO836"/>
      <c r="NP836"/>
      <c r="NQ836"/>
      <c r="NR836"/>
      <c r="NS836"/>
      <c r="NT836"/>
      <c r="NU836"/>
      <c r="NV836"/>
      <c r="NW836"/>
      <c r="NX836"/>
      <c r="NY836"/>
      <c r="NZ836"/>
      <c r="OA836"/>
      <c r="OB836"/>
      <c r="OC836"/>
      <c r="OD836"/>
      <c r="OE836"/>
      <c r="OF836"/>
      <c r="OG836"/>
      <c r="OH836"/>
      <c r="OI836"/>
      <c r="OJ836"/>
      <c r="OK836"/>
      <c r="OL836"/>
      <c r="OM836"/>
      <c r="ON836"/>
      <c r="OO836"/>
      <c r="OP836"/>
      <c r="OQ836"/>
      <c r="OR836"/>
      <c r="OS836"/>
      <c r="OT836"/>
      <c r="OU836"/>
      <c r="OV836"/>
      <c r="OW836"/>
      <c r="OX836"/>
      <c r="OY836"/>
      <c r="OZ836"/>
      <c r="PA836"/>
      <c r="PB836"/>
      <c r="PC836"/>
      <c r="PD836"/>
      <c r="PE836"/>
      <c r="PF836"/>
      <c r="PG836"/>
      <c r="PH836"/>
      <c r="PI836"/>
      <c r="PJ836"/>
      <c r="PK836"/>
      <c r="PL836"/>
      <c r="PM836"/>
      <c r="PN836"/>
      <c r="PO836"/>
      <c r="PP836"/>
      <c r="PQ836"/>
      <c r="PR836"/>
      <c r="PS836"/>
      <c r="PT836"/>
      <c r="PU836"/>
      <c r="PV836"/>
      <c r="PW836"/>
      <c r="PX836"/>
      <c r="PY836"/>
      <c r="PZ836"/>
      <c r="QA836"/>
      <c r="QB836"/>
      <c r="QC836"/>
      <c r="QD836"/>
      <c r="QE836"/>
      <c r="QF836"/>
      <c r="QG836"/>
      <c r="QH836"/>
      <c r="QI836"/>
      <c r="QJ836"/>
      <c r="QK836"/>
      <c r="QL836"/>
      <c r="QM836"/>
      <c r="QN836"/>
      <c r="QO836"/>
      <c r="QP836"/>
      <c r="QQ836"/>
      <c r="QR836"/>
      <c r="QS836"/>
      <c r="QT836"/>
      <c r="QU836"/>
      <c r="QV836"/>
      <c r="QW836"/>
      <c r="QX836"/>
      <c r="QY836"/>
      <c r="QZ836"/>
      <c r="RA836"/>
      <c r="RB836"/>
      <c r="RC836"/>
      <c r="RD836"/>
      <c r="RE836"/>
      <c r="RF836"/>
      <c r="RG836"/>
      <c r="RH836"/>
      <c r="RI836"/>
      <c r="RJ836"/>
      <c r="RK836"/>
      <c r="RL836"/>
      <c r="RM836"/>
      <c r="RN836"/>
      <c r="RO836"/>
      <c r="RP836"/>
      <c r="RQ836"/>
      <c r="RR836"/>
      <c r="RS836"/>
      <c r="RT836"/>
      <c r="RU836"/>
      <c r="RV836"/>
      <c r="RW836"/>
      <c r="RX836"/>
      <c r="RY836"/>
      <c r="RZ836"/>
      <c r="SA836"/>
      <c r="SB836"/>
      <c r="SC836"/>
      <c r="SD836"/>
      <c r="SE836"/>
      <c r="SF836"/>
      <c r="SG836"/>
      <c r="SH836"/>
      <c r="SI836"/>
      <c r="SJ836"/>
      <c r="SK836"/>
      <c r="SL836"/>
      <c r="SM836"/>
      <c r="SN836"/>
      <c r="SO836"/>
      <c r="SP836"/>
      <c r="SQ836"/>
      <c r="SR836"/>
      <c r="SS836"/>
      <c r="ST836"/>
      <c r="SU836"/>
      <c r="SV836"/>
      <c r="SW836"/>
      <c r="SX836"/>
      <c r="SY836"/>
      <c r="SZ836"/>
      <c r="TA836"/>
      <c r="TB836"/>
      <c r="TC836"/>
      <c r="TD836"/>
      <c r="TE836"/>
      <c r="TF836"/>
      <c r="TG836"/>
      <c r="TH836"/>
      <c r="TI836"/>
      <c r="TJ836"/>
      <c r="TK836"/>
      <c r="TL836"/>
      <c r="TM836"/>
      <c r="TN836"/>
      <c r="TO836"/>
      <c r="TP836"/>
      <c r="TQ836"/>
      <c r="TR836"/>
      <c r="TS836"/>
      <c r="TT836"/>
      <c r="TU836"/>
      <c r="TV836"/>
      <c r="TW836"/>
      <c r="TX836"/>
      <c r="TY836"/>
      <c r="TZ836"/>
      <c r="UA836"/>
      <c r="UB836"/>
      <c r="UC836"/>
      <c r="UD836"/>
      <c r="UE836"/>
      <c r="UF836"/>
      <c r="UG836"/>
      <c r="UH836"/>
      <c r="UI836"/>
      <c r="UJ836"/>
      <c r="UK836"/>
      <c r="UL836"/>
      <c r="UM836"/>
      <c r="UN836"/>
      <c r="UO836"/>
      <c r="UP836"/>
      <c r="UQ836"/>
      <c r="UR836"/>
      <c r="US836"/>
      <c r="UT836"/>
      <c r="UU836"/>
      <c r="UV836"/>
      <c r="UW836"/>
      <c r="UX836"/>
      <c r="UY836"/>
      <c r="UZ836"/>
      <c r="VA836"/>
      <c r="VB836"/>
      <c r="VC836"/>
      <c r="VD836"/>
      <c r="VE836"/>
      <c r="VF836"/>
      <c r="VG836"/>
      <c r="VH836"/>
      <c r="VI836"/>
      <c r="VJ836"/>
      <c r="VK836"/>
      <c r="VL836"/>
      <c r="VM836"/>
      <c r="VN836"/>
      <c r="VO836"/>
      <c r="VP836"/>
      <c r="VQ836"/>
      <c r="VR836"/>
      <c r="VS836"/>
      <c r="VT836"/>
      <c r="VU836"/>
      <c r="VV836"/>
      <c r="VW836"/>
      <c r="VX836"/>
      <c r="VY836"/>
      <c r="VZ836"/>
      <c r="WA836"/>
      <c r="WB836"/>
      <c r="WC836"/>
      <c r="WD836"/>
      <c r="WE836"/>
      <c r="WF836"/>
      <c r="WG836"/>
      <c r="WH836"/>
      <c r="WI836"/>
      <c r="WJ836"/>
      <c r="WK836"/>
      <c r="WL836"/>
      <c r="WM836"/>
      <c r="WN836"/>
      <c r="WO836"/>
      <c r="WP836"/>
      <c r="WQ836"/>
      <c r="WR836"/>
      <c r="WS836"/>
      <c r="WT836"/>
      <c r="WU836"/>
      <c r="WV836"/>
      <c r="WW836"/>
      <c r="WX836"/>
      <c r="WY836"/>
      <c r="WZ836"/>
      <c r="XA836"/>
      <c r="XB836"/>
      <c r="XC836"/>
      <c r="XD836"/>
      <c r="XE836"/>
      <c r="XF836"/>
      <c r="XG836"/>
      <c r="XH836"/>
      <c r="XI836"/>
      <c r="XJ836"/>
      <c r="XK836"/>
      <c r="XL836"/>
      <c r="XM836"/>
      <c r="XN836"/>
      <c r="XO836"/>
      <c r="XP836"/>
      <c r="XQ836"/>
      <c r="XR836"/>
      <c r="XS836"/>
      <c r="XT836"/>
      <c r="XU836"/>
      <c r="XV836"/>
      <c r="XW836"/>
      <c r="XX836"/>
      <c r="XY836"/>
      <c r="XZ836"/>
      <c r="YA836"/>
      <c r="YB836"/>
      <c r="YC836"/>
      <c r="YD836"/>
      <c r="YE836"/>
      <c r="YF836"/>
      <c r="YG836"/>
      <c r="YH836"/>
      <c r="YI836"/>
      <c r="YJ836"/>
      <c r="YK836"/>
      <c r="YL836"/>
      <c r="YM836"/>
      <c r="YN836"/>
      <c r="YO836"/>
      <c r="YP836"/>
      <c r="YQ836"/>
      <c r="YR836"/>
      <c r="YS836"/>
      <c r="YT836"/>
      <c r="YU836"/>
      <c r="YV836"/>
      <c r="YW836"/>
      <c r="YX836"/>
      <c r="YY836"/>
      <c r="YZ836"/>
      <c r="ZA836"/>
      <c r="ZB836"/>
      <c r="ZC836"/>
      <c r="ZD836"/>
      <c r="ZE836"/>
      <c r="ZF836"/>
      <c r="ZG836"/>
      <c r="ZH836"/>
      <c r="ZI836"/>
      <c r="ZJ836"/>
      <c r="ZK836"/>
      <c r="ZL836"/>
      <c r="ZM836"/>
      <c r="ZN836"/>
      <c r="ZO836"/>
      <c r="ZP836"/>
      <c r="ZQ836"/>
      <c r="ZR836"/>
      <c r="ZS836"/>
      <c r="ZT836"/>
      <c r="ZU836"/>
      <c r="ZV836"/>
      <c r="ZW836"/>
      <c r="ZX836"/>
      <c r="ZY836"/>
      <c r="ZZ836"/>
      <c r="AAA836"/>
      <c r="AAB836"/>
      <c r="AAC836"/>
      <c r="AAD836"/>
      <c r="AAE836"/>
      <c r="AAF836"/>
      <c r="AAG836"/>
      <c r="AAH836"/>
      <c r="AAI836"/>
      <c r="AAJ836"/>
      <c r="AAK836"/>
      <c r="AAL836"/>
      <c r="AAM836"/>
      <c r="AAN836"/>
      <c r="AAO836"/>
      <c r="AAP836"/>
      <c r="AAQ836"/>
      <c r="AAR836"/>
      <c r="AAS836"/>
      <c r="AAT836"/>
      <c r="AAU836"/>
      <c r="AAV836"/>
      <c r="AAW836"/>
      <c r="AAX836"/>
      <c r="AAY836"/>
      <c r="AAZ836"/>
      <c r="ABA836"/>
      <c r="ABB836"/>
      <c r="ABC836"/>
      <c r="ABD836"/>
      <c r="ABE836"/>
      <c r="ABF836"/>
      <c r="ABG836"/>
      <c r="ABH836"/>
      <c r="ABI836"/>
      <c r="ABJ836"/>
      <c r="ABK836"/>
      <c r="ABL836"/>
      <c r="ABM836"/>
      <c r="ABN836"/>
      <c r="ABO836"/>
      <c r="ABP836"/>
      <c r="ABQ836"/>
      <c r="ABR836"/>
      <c r="ABS836"/>
      <c r="ABT836"/>
      <c r="ABU836"/>
      <c r="ABV836"/>
      <c r="ABW836"/>
      <c r="ABX836"/>
      <c r="ABY836"/>
      <c r="ABZ836"/>
      <c r="ACA836"/>
      <c r="ACB836"/>
      <c r="ACC836"/>
      <c r="ACD836"/>
      <c r="ACE836"/>
      <c r="ACF836"/>
      <c r="ACG836"/>
      <c r="ACH836"/>
      <c r="ACI836"/>
      <c r="ACJ836"/>
      <c r="ACK836"/>
      <c r="ACL836"/>
      <c r="ACM836"/>
      <c r="ACN836"/>
      <c r="ACO836"/>
      <c r="ACP836"/>
      <c r="ACQ836"/>
      <c r="ACR836"/>
      <c r="ACS836"/>
      <c r="ACT836"/>
      <c r="ACU836"/>
      <c r="ACV836"/>
      <c r="ACW836"/>
      <c r="ACX836"/>
      <c r="ACY836"/>
      <c r="ACZ836"/>
      <c r="ADA836"/>
      <c r="ADB836"/>
      <c r="ADC836"/>
      <c r="ADD836"/>
      <c r="ADE836"/>
      <c r="ADF836"/>
      <c r="ADG836"/>
      <c r="ADH836"/>
      <c r="ADI836"/>
      <c r="ADJ836"/>
      <c r="ADK836"/>
      <c r="ADL836"/>
      <c r="ADM836"/>
      <c r="ADN836"/>
      <c r="ADO836"/>
      <c r="ADP836"/>
      <c r="ADQ836"/>
      <c r="ADR836"/>
      <c r="ADS836"/>
      <c r="ADT836"/>
      <c r="ADU836"/>
      <c r="ADV836"/>
      <c r="ADW836"/>
      <c r="ADX836"/>
      <c r="ADY836"/>
      <c r="ADZ836"/>
      <c r="AEA836"/>
      <c r="AEB836"/>
      <c r="AEC836"/>
      <c r="AED836"/>
      <c r="AEE836"/>
      <c r="AEF836"/>
      <c r="AEG836"/>
      <c r="AEH836"/>
      <c r="AEI836"/>
      <c r="AEJ836"/>
      <c r="AEK836"/>
      <c r="AEL836"/>
      <c r="AEM836"/>
      <c r="AEN836"/>
      <c r="AEO836"/>
      <c r="AEP836"/>
      <c r="AEQ836"/>
      <c r="AER836"/>
      <c r="AES836"/>
      <c r="AET836"/>
      <c r="AEU836"/>
      <c r="AEV836"/>
      <c r="AEW836"/>
      <c r="AEX836"/>
      <c r="AEY836"/>
      <c r="AEZ836"/>
      <c r="AFA836"/>
      <c r="AFB836"/>
      <c r="AFC836"/>
      <c r="AFD836"/>
      <c r="AFE836"/>
      <c r="AFF836"/>
      <c r="AFG836"/>
      <c r="AFH836"/>
      <c r="AFI836"/>
      <c r="AFJ836"/>
      <c r="AFK836"/>
      <c r="AFL836"/>
      <c r="AFM836"/>
      <c r="AFN836"/>
      <c r="AFO836"/>
      <c r="AFP836"/>
      <c r="AFQ836"/>
      <c r="AFR836"/>
      <c r="AFS836"/>
      <c r="AFT836"/>
      <c r="AFU836"/>
      <c r="AFV836"/>
      <c r="AFW836"/>
      <c r="AFX836"/>
      <c r="AFY836"/>
      <c r="AFZ836"/>
      <c r="AGA836"/>
      <c r="AGB836"/>
      <c r="AGC836"/>
      <c r="AGD836"/>
      <c r="AGE836"/>
      <c r="AGF836"/>
      <c r="AGG836"/>
      <c r="AGH836"/>
      <c r="AGI836"/>
      <c r="AGJ836"/>
      <c r="AGK836"/>
      <c r="AGL836"/>
      <c r="AGM836"/>
      <c r="AGN836"/>
      <c r="AGO836"/>
      <c r="AGP836"/>
      <c r="AGQ836"/>
      <c r="AGR836"/>
      <c r="AGS836"/>
      <c r="AGT836"/>
      <c r="AGU836"/>
      <c r="AGV836"/>
      <c r="AGW836"/>
      <c r="AGX836"/>
      <c r="AGY836"/>
      <c r="AGZ836"/>
      <c r="AHA836"/>
      <c r="AHB836"/>
      <c r="AHC836"/>
      <c r="AHD836"/>
      <c r="AHE836"/>
      <c r="AHF836"/>
      <c r="AHG836"/>
      <c r="AHH836"/>
      <c r="AHI836"/>
      <c r="AHJ836"/>
      <c r="AHK836"/>
      <c r="AHL836"/>
      <c r="AHM836"/>
      <c r="AHN836"/>
      <c r="AHO836"/>
      <c r="AHP836"/>
      <c r="AHQ836"/>
      <c r="AHR836"/>
      <c r="AHS836"/>
      <c r="AHT836"/>
      <c r="AHU836"/>
      <c r="AHV836"/>
      <c r="AHW836"/>
      <c r="AHX836"/>
      <c r="AHY836"/>
      <c r="AHZ836"/>
      <c r="AIA836"/>
      <c r="AIB836"/>
      <c r="AIC836"/>
      <c r="AID836"/>
      <c r="AIE836"/>
      <c r="AIF836"/>
      <c r="AIG836"/>
      <c r="AIH836"/>
      <c r="AII836"/>
      <c r="AIJ836"/>
      <c r="AIK836"/>
      <c r="AIL836"/>
      <c r="AIM836"/>
      <c r="AIN836"/>
      <c r="AIO836"/>
      <c r="AIP836"/>
      <c r="AIQ836"/>
      <c r="AIR836"/>
      <c r="AIS836"/>
      <c r="AIT836"/>
      <c r="AIU836"/>
      <c r="AIV836"/>
      <c r="AIW836"/>
      <c r="AIX836"/>
      <c r="AIY836"/>
      <c r="AIZ836"/>
      <c r="AJA836"/>
      <c r="AJB836"/>
      <c r="AJC836"/>
      <c r="AJD836"/>
      <c r="AJE836"/>
      <c r="AJF836"/>
      <c r="AJG836"/>
      <c r="AJH836"/>
      <c r="AJI836"/>
      <c r="AJJ836"/>
      <c r="AJK836"/>
      <c r="AJL836"/>
      <c r="AJM836"/>
      <c r="AJN836"/>
      <c r="AJO836"/>
      <c r="AJP836"/>
      <c r="AJQ836"/>
      <c r="AJR836"/>
      <c r="AJS836"/>
      <c r="AJT836"/>
      <c r="AJU836"/>
      <c r="AJV836"/>
      <c r="AJW836"/>
      <c r="AJX836"/>
      <c r="AJY836"/>
      <c r="AJZ836"/>
      <c r="AKA836"/>
      <c r="AKB836"/>
      <c r="AKC836"/>
      <c r="AKD836"/>
      <c r="AKE836"/>
      <c r="AKF836"/>
      <c r="AKG836"/>
      <c r="AKH836"/>
      <c r="AKI836"/>
      <c r="AKJ836"/>
      <c r="AKK836"/>
      <c r="AKL836"/>
      <c r="AKM836"/>
      <c r="AKN836"/>
      <c r="AKO836"/>
      <c r="AKP836"/>
      <c r="AKQ836"/>
      <c r="AKR836"/>
      <c r="AKS836"/>
      <c r="AKT836"/>
      <c r="AKU836"/>
      <c r="AKV836"/>
      <c r="AKW836"/>
      <c r="AKX836"/>
      <c r="AKY836"/>
      <c r="AKZ836"/>
      <c r="ALA836"/>
      <c r="ALB836"/>
      <c r="ALC836"/>
      <c r="ALD836"/>
      <c r="ALE836"/>
      <c r="ALF836"/>
      <c r="ALG836"/>
      <c r="ALH836"/>
      <c r="ALI836"/>
      <c r="ALJ836"/>
      <c r="ALK836"/>
      <c r="ALL836"/>
      <c r="ALM836"/>
      <c r="ALN836"/>
      <c r="ALO836"/>
      <c r="ALP836"/>
      <c r="ALQ836"/>
      <c r="ALR836"/>
      <c r="ALS836"/>
      <c r="ALT836"/>
      <c r="ALU836"/>
      <c r="ALV836"/>
      <c r="ALW836"/>
      <c r="ALX836"/>
      <c r="ALY836"/>
      <c r="ALZ836"/>
      <c r="AMA836"/>
      <c r="AMB836"/>
      <c r="AMC836"/>
      <c r="AMD836"/>
      <c r="AME836"/>
      <c r="AMF836"/>
      <c r="AMG836"/>
      <c r="AMH836"/>
    </row>
    <row r="837" spans="1:1022" x14ac:dyDescent="0.15">
      <c r="A837" s="8" t="s">
        <v>2960</v>
      </c>
      <c r="B837" s="8" t="s">
        <v>2955</v>
      </c>
      <c r="C837" s="8" t="str">
        <f t="shared" si="35"/>
        <v>att_ptm_enrichment:metal</v>
      </c>
      <c r="D837" s="9" t="s">
        <v>17</v>
      </c>
      <c r="E837" s="8" t="s">
        <v>2961</v>
      </c>
      <c r="F837" s="8" t="s">
        <v>2962</v>
      </c>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c r="KU837"/>
      <c r="KV837"/>
      <c r="KW837"/>
      <c r="KX837"/>
      <c r="KY837"/>
      <c r="KZ837"/>
      <c r="LA837"/>
      <c r="LB837"/>
      <c r="LC837"/>
      <c r="LD837"/>
      <c r="LE837"/>
      <c r="LF837"/>
      <c r="LG837"/>
      <c r="LH837"/>
      <c r="LI837"/>
      <c r="LJ837"/>
      <c r="LK837"/>
      <c r="LL837"/>
      <c r="LM837"/>
      <c r="LN837"/>
      <c r="LO837"/>
      <c r="LP837"/>
      <c r="LQ837"/>
      <c r="LR837"/>
      <c r="LS837"/>
      <c r="LT837"/>
      <c r="LU837"/>
      <c r="LV837"/>
      <c r="LW837"/>
      <c r="LX837"/>
      <c r="LY837"/>
      <c r="LZ837"/>
      <c r="MA837"/>
      <c r="MB837"/>
      <c r="MC837"/>
      <c r="MD837"/>
      <c r="ME837"/>
      <c r="MF837"/>
      <c r="MG837"/>
      <c r="MH837"/>
      <c r="MI837"/>
      <c r="MJ837"/>
      <c r="MK837"/>
      <c r="ML837"/>
      <c r="MM837"/>
      <c r="MN837"/>
      <c r="MO837"/>
      <c r="MP837"/>
      <c r="MQ837"/>
      <c r="MR837"/>
      <c r="MS837"/>
      <c r="MT837"/>
      <c r="MU837"/>
      <c r="MV837"/>
      <c r="MW837"/>
      <c r="MX837"/>
      <c r="MY837"/>
      <c r="MZ837"/>
      <c r="NA837"/>
      <c r="NB837"/>
      <c r="NC837"/>
      <c r="ND837"/>
      <c r="NE837"/>
      <c r="NF837"/>
      <c r="NG837"/>
      <c r="NH837"/>
      <c r="NI837"/>
      <c r="NJ837"/>
      <c r="NK837"/>
      <c r="NL837"/>
      <c r="NM837"/>
      <c r="NN837"/>
      <c r="NO837"/>
      <c r="NP837"/>
      <c r="NQ837"/>
      <c r="NR837"/>
      <c r="NS837"/>
      <c r="NT837"/>
      <c r="NU837"/>
      <c r="NV837"/>
      <c r="NW837"/>
      <c r="NX837"/>
      <c r="NY837"/>
      <c r="NZ837"/>
      <c r="OA837"/>
      <c r="OB837"/>
      <c r="OC837"/>
      <c r="OD837"/>
      <c r="OE837"/>
      <c r="OF837"/>
      <c r="OG837"/>
      <c r="OH837"/>
      <c r="OI837"/>
      <c r="OJ837"/>
      <c r="OK837"/>
      <c r="OL837"/>
      <c r="OM837"/>
      <c r="ON837"/>
      <c r="OO837"/>
      <c r="OP837"/>
      <c r="OQ837"/>
      <c r="OR837"/>
      <c r="OS837"/>
      <c r="OT837"/>
      <c r="OU837"/>
      <c r="OV837"/>
      <c r="OW837"/>
      <c r="OX837"/>
      <c r="OY837"/>
      <c r="OZ837"/>
      <c r="PA837"/>
      <c r="PB837"/>
      <c r="PC837"/>
      <c r="PD837"/>
      <c r="PE837"/>
      <c r="PF837"/>
      <c r="PG837"/>
      <c r="PH837"/>
      <c r="PI837"/>
      <c r="PJ837"/>
      <c r="PK837"/>
      <c r="PL837"/>
      <c r="PM837"/>
      <c r="PN837"/>
      <c r="PO837"/>
      <c r="PP837"/>
      <c r="PQ837"/>
      <c r="PR837"/>
      <c r="PS837"/>
      <c r="PT837"/>
      <c r="PU837"/>
      <c r="PV837"/>
      <c r="PW837"/>
      <c r="PX837"/>
      <c r="PY837"/>
      <c r="PZ837"/>
      <c r="QA837"/>
      <c r="QB837"/>
      <c r="QC837"/>
      <c r="QD837"/>
      <c r="QE837"/>
      <c r="QF837"/>
      <c r="QG837"/>
      <c r="QH837"/>
      <c r="QI837"/>
      <c r="QJ837"/>
      <c r="QK837"/>
      <c r="QL837"/>
      <c r="QM837"/>
      <c r="QN837"/>
      <c r="QO837"/>
      <c r="QP837"/>
      <c r="QQ837"/>
      <c r="QR837"/>
      <c r="QS837"/>
      <c r="QT837"/>
      <c r="QU837"/>
      <c r="QV837"/>
      <c r="QW837"/>
      <c r="QX837"/>
      <c r="QY837"/>
      <c r="QZ837"/>
      <c r="RA837"/>
      <c r="RB837"/>
      <c r="RC837"/>
      <c r="RD837"/>
      <c r="RE837"/>
      <c r="RF837"/>
      <c r="RG837"/>
      <c r="RH837"/>
      <c r="RI837"/>
      <c r="RJ837"/>
      <c r="RK837"/>
      <c r="RL837"/>
      <c r="RM837"/>
      <c r="RN837"/>
      <c r="RO837"/>
      <c r="RP837"/>
      <c r="RQ837"/>
      <c r="RR837"/>
      <c r="RS837"/>
      <c r="RT837"/>
      <c r="RU837"/>
      <c r="RV837"/>
      <c r="RW837"/>
      <c r="RX837"/>
      <c r="RY837"/>
      <c r="RZ837"/>
      <c r="SA837"/>
      <c r="SB837"/>
      <c r="SC837"/>
      <c r="SD837"/>
      <c r="SE837"/>
      <c r="SF837"/>
      <c r="SG837"/>
      <c r="SH837"/>
      <c r="SI837"/>
      <c r="SJ837"/>
      <c r="SK837"/>
      <c r="SL837"/>
      <c r="SM837"/>
      <c r="SN837"/>
      <c r="SO837"/>
      <c r="SP837"/>
      <c r="SQ837"/>
      <c r="SR837"/>
      <c r="SS837"/>
      <c r="ST837"/>
      <c r="SU837"/>
      <c r="SV837"/>
      <c r="SW837"/>
      <c r="SX837"/>
      <c r="SY837"/>
      <c r="SZ837"/>
      <c r="TA837"/>
      <c r="TB837"/>
      <c r="TC837"/>
      <c r="TD837"/>
      <c r="TE837"/>
      <c r="TF837"/>
      <c r="TG837"/>
      <c r="TH837"/>
      <c r="TI837"/>
      <c r="TJ837"/>
      <c r="TK837"/>
      <c r="TL837"/>
      <c r="TM837"/>
      <c r="TN837"/>
      <c r="TO837"/>
      <c r="TP837"/>
      <c r="TQ837"/>
      <c r="TR837"/>
      <c r="TS837"/>
      <c r="TT837"/>
      <c r="TU837"/>
      <c r="TV837"/>
      <c r="TW837"/>
      <c r="TX837"/>
      <c r="TY837"/>
      <c r="TZ837"/>
      <c r="UA837"/>
      <c r="UB837"/>
      <c r="UC837"/>
      <c r="UD837"/>
      <c r="UE837"/>
      <c r="UF837"/>
      <c r="UG837"/>
      <c r="UH837"/>
      <c r="UI837"/>
      <c r="UJ837"/>
      <c r="UK837"/>
      <c r="UL837"/>
      <c r="UM837"/>
      <c r="UN837"/>
      <c r="UO837"/>
      <c r="UP837"/>
      <c r="UQ837"/>
      <c r="UR837"/>
      <c r="US837"/>
      <c r="UT837"/>
      <c r="UU837"/>
      <c r="UV837"/>
      <c r="UW837"/>
      <c r="UX837"/>
      <c r="UY837"/>
      <c r="UZ837"/>
      <c r="VA837"/>
      <c r="VB837"/>
      <c r="VC837"/>
      <c r="VD837"/>
      <c r="VE837"/>
      <c r="VF837"/>
      <c r="VG837"/>
      <c r="VH837"/>
      <c r="VI837"/>
      <c r="VJ837"/>
      <c r="VK837"/>
      <c r="VL837"/>
      <c r="VM837"/>
      <c r="VN837"/>
      <c r="VO837"/>
      <c r="VP837"/>
      <c r="VQ837"/>
      <c r="VR837"/>
      <c r="VS837"/>
      <c r="VT837"/>
      <c r="VU837"/>
      <c r="VV837"/>
      <c r="VW837"/>
      <c r="VX837"/>
      <c r="VY837"/>
      <c r="VZ837"/>
      <c r="WA837"/>
      <c r="WB837"/>
      <c r="WC837"/>
      <c r="WD837"/>
      <c r="WE837"/>
      <c r="WF837"/>
      <c r="WG837"/>
      <c r="WH837"/>
      <c r="WI837"/>
      <c r="WJ837"/>
      <c r="WK837"/>
      <c r="WL837"/>
      <c r="WM837"/>
      <c r="WN837"/>
      <c r="WO837"/>
      <c r="WP837"/>
      <c r="WQ837"/>
      <c r="WR837"/>
      <c r="WS837"/>
      <c r="WT837"/>
      <c r="WU837"/>
      <c r="WV837"/>
      <c r="WW837"/>
      <c r="WX837"/>
      <c r="WY837"/>
      <c r="WZ837"/>
      <c r="XA837"/>
      <c r="XB837"/>
      <c r="XC837"/>
      <c r="XD837"/>
      <c r="XE837"/>
      <c r="XF837"/>
      <c r="XG837"/>
      <c r="XH837"/>
      <c r="XI837"/>
      <c r="XJ837"/>
      <c r="XK837"/>
      <c r="XL837"/>
      <c r="XM837"/>
      <c r="XN837"/>
      <c r="XO837"/>
      <c r="XP837"/>
      <c r="XQ837"/>
      <c r="XR837"/>
      <c r="XS837"/>
      <c r="XT837"/>
      <c r="XU837"/>
      <c r="XV837"/>
      <c r="XW837"/>
      <c r="XX837"/>
      <c r="XY837"/>
      <c r="XZ837"/>
      <c r="YA837"/>
      <c r="YB837"/>
      <c r="YC837"/>
      <c r="YD837"/>
      <c r="YE837"/>
      <c r="YF837"/>
      <c r="YG837"/>
      <c r="YH837"/>
      <c r="YI837"/>
      <c r="YJ837"/>
      <c r="YK837"/>
      <c r="YL837"/>
      <c r="YM837"/>
      <c r="YN837"/>
      <c r="YO837"/>
      <c r="YP837"/>
      <c r="YQ837"/>
      <c r="YR837"/>
      <c r="YS837"/>
      <c r="YT837"/>
      <c r="YU837"/>
      <c r="YV837"/>
      <c r="YW837"/>
      <c r="YX837"/>
      <c r="YY837"/>
      <c r="YZ837"/>
      <c r="ZA837"/>
      <c r="ZB837"/>
      <c r="ZC837"/>
      <c r="ZD837"/>
      <c r="ZE837"/>
      <c r="ZF837"/>
      <c r="ZG837"/>
      <c r="ZH837"/>
      <c r="ZI837"/>
      <c r="ZJ837"/>
      <c r="ZK837"/>
      <c r="ZL837"/>
      <c r="ZM837"/>
      <c r="ZN837"/>
      <c r="ZO837"/>
      <c r="ZP837"/>
      <c r="ZQ837"/>
      <c r="ZR837"/>
      <c r="ZS837"/>
      <c r="ZT837"/>
      <c r="ZU837"/>
      <c r="ZV837"/>
      <c r="ZW837"/>
      <c r="ZX837"/>
      <c r="ZY837"/>
      <c r="ZZ837"/>
      <c r="AAA837"/>
      <c r="AAB837"/>
      <c r="AAC837"/>
      <c r="AAD837"/>
      <c r="AAE837"/>
      <c r="AAF837"/>
      <c r="AAG837"/>
      <c r="AAH837"/>
      <c r="AAI837"/>
      <c r="AAJ837"/>
      <c r="AAK837"/>
      <c r="AAL837"/>
      <c r="AAM837"/>
      <c r="AAN837"/>
      <c r="AAO837"/>
      <c r="AAP837"/>
      <c r="AAQ837"/>
      <c r="AAR837"/>
      <c r="AAS837"/>
      <c r="AAT837"/>
      <c r="AAU837"/>
      <c r="AAV837"/>
      <c r="AAW837"/>
      <c r="AAX837"/>
      <c r="AAY837"/>
      <c r="AAZ837"/>
      <c r="ABA837"/>
      <c r="ABB837"/>
      <c r="ABC837"/>
      <c r="ABD837"/>
      <c r="ABE837"/>
      <c r="ABF837"/>
      <c r="ABG837"/>
      <c r="ABH837"/>
      <c r="ABI837"/>
      <c r="ABJ837"/>
      <c r="ABK837"/>
      <c r="ABL837"/>
      <c r="ABM837"/>
      <c r="ABN837"/>
      <c r="ABO837"/>
      <c r="ABP837"/>
      <c r="ABQ837"/>
      <c r="ABR837"/>
      <c r="ABS837"/>
      <c r="ABT837"/>
      <c r="ABU837"/>
      <c r="ABV837"/>
      <c r="ABW837"/>
      <c r="ABX837"/>
      <c r="ABY837"/>
      <c r="ABZ837"/>
      <c r="ACA837"/>
      <c r="ACB837"/>
      <c r="ACC837"/>
      <c r="ACD837"/>
      <c r="ACE837"/>
      <c r="ACF837"/>
      <c r="ACG837"/>
      <c r="ACH837"/>
      <c r="ACI837"/>
      <c r="ACJ837"/>
      <c r="ACK837"/>
      <c r="ACL837"/>
      <c r="ACM837"/>
      <c r="ACN837"/>
      <c r="ACO837"/>
      <c r="ACP837"/>
      <c r="ACQ837"/>
      <c r="ACR837"/>
      <c r="ACS837"/>
      <c r="ACT837"/>
      <c r="ACU837"/>
      <c r="ACV837"/>
      <c r="ACW837"/>
      <c r="ACX837"/>
      <c r="ACY837"/>
      <c r="ACZ837"/>
      <c r="ADA837"/>
      <c r="ADB837"/>
      <c r="ADC837"/>
      <c r="ADD837"/>
      <c r="ADE837"/>
      <c r="ADF837"/>
      <c r="ADG837"/>
      <c r="ADH837"/>
      <c r="ADI837"/>
      <c r="ADJ837"/>
      <c r="ADK837"/>
      <c r="ADL837"/>
      <c r="ADM837"/>
      <c r="ADN837"/>
      <c r="ADO837"/>
      <c r="ADP837"/>
      <c r="ADQ837"/>
      <c r="ADR837"/>
      <c r="ADS837"/>
      <c r="ADT837"/>
      <c r="ADU837"/>
      <c r="ADV837"/>
      <c r="ADW837"/>
      <c r="ADX837"/>
      <c r="ADY837"/>
      <c r="ADZ837"/>
      <c r="AEA837"/>
      <c r="AEB837"/>
      <c r="AEC837"/>
      <c r="AED837"/>
      <c r="AEE837"/>
      <c r="AEF837"/>
      <c r="AEG837"/>
      <c r="AEH837"/>
      <c r="AEI837"/>
      <c r="AEJ837"/>
      <c r="AEK837"/>
      <c r="AEL837"/>
      <c r="AEM837"/>
      <c r="AEN837"/>
      <c r="AEO837"/>
      <c r="AEP837"/>
      <c r="AEQ837"/>
      <c r="AER837"/>
      <c r="AES837"/>
      <c r="AET837"/>
      <c r="AEU837"/>
      <c r="AEV837"/>
      <c r="AEW837"/>
      <c r="AEX837"/>
      <c r="AEY837"/>
      <c r="AEZ837"/>
      <c r="AFA837"/>
      <c r="AFB837"/>
      <c r="AFC837"/>
      <c r="AFD837"/>
      <c r="AFE837"/>
      <c r="AFF837"/>
      <c r="AFG837"/>
      <c r="AFH837"/>
      <c r="AFI837"/>
      <c r="AFJ837"/>
      <c r="AFK837"/>
      <c r="AFL837"/>
      <c r="AFM837"/>
      <c r="AFN837"/>
      <c r="AFO837"/>
      <c r="AFP837"/>
      <c r="AFQ837"/>
      <c r="AFR837"/>
      <c r="AFS837"/>
      <c r="AFT837"/>
      <c r="AFU837"/>
      <c r="AFV837"/>
      <c r="AFW837"/>
      <c r="AFX837"/>
      <c r="AFY837"/>
      <c r="AFZ837"/>
      <c r="AGA837"/>
      <c r="AGB837"/>
      <c r="AGC837"/>
      <c r="AGD837"/>
      <c r="AGE837"/>
      <c r="AGF837"/>
      <c r="AGG837"/>
      <c r="AGH837"/>
      <c r="AGI837"/>
      <c r="AGJ837"/>
      <c r="AGK837"/>
      <c r="AGL837"/>
      <c r="AGM837"/>
      <c r="AGN837"/>
      <c r="AGO837"/>
      <c r="AGP837"/>
      <c r="AGQ837"/>
      <c r="AGR837"/>
      <c r="AGS837"/>
      <c r="AGT837"/>
      <c r="AGU837"/>
      <c r="AGV837"/>
      <c r="AGW837"/>
      <c r="AGX837"/>
      <c r="AGY837"/>
      <c r="AGZ837"/>
      <c r="AHA837"/>
      <c r="AHB837"/>
      <c r="AHC837"/>
      <c r="AHD837"/>
      <c r="AHE837"/>
      <c r="AHF837"/>
      <c r="AHG837"/>
      <c r="AHH837"/>
      <c r="AHI837"/>
      <c r="AHJ837"/>
      <c r="AHK837"/>
      <c r="AHL837"/>
      <c r="AHM837"/>
      <c r="AHN837"/>
      <c r="AHO837"/>
      <c r="AHP837"/>
      <c r="AHQ837"/>
      <c r="AHR837"/>
      <c r="AHS837"/>
      <c r="AHT837"/>
      <c r="AHU837"/>
      <c r="AHV837"/>
      <c r="AHW837"/>
      <c r="AHX837"/>
      <c r="AHY837"/>
      <c r="AHZ837"/>
      <c r="AIA837"/>
      <c r="AIB837"/>
      <c r="AIC837"/>
      <c r="AID837"/>
      <c r="AIE837"/>
      <c r="AIF837"/>
      <c r="AIG837"/>
      <c r="AIH837"/>
      <c r="AII837"/>
      <c r="AIJ837"/>
      <c r="AIK837"/>
      <c r="AIL837"/>
      <c r="AIM837"/>
      <c r="AIN837"/>
      <c r="AIO837"/>
      <c r="AIP837"/>
      <c r="AIQ837"/>
      <c r="AIR837"/>
      <c r="AIS837"/>
      <c r="AIT837"/>
      <c r="AIU837"/>
      <c r="AIV837"/>
      <c r="AIW837"/>
      <c r="AIX837"/>
      <c r="AIY837"/>
      <c r="AIZ837"/>
      <c r="AJA837"/>
      <c r="AJB837"/>
      <c r="AJC837"/>
      <c r="AJD837"/>
      <c r="AJE837"/>
      <c r="AJF837"/>
      <c r="AJG837"/>
      <c r="AJH837"/>
      <c r="AJI837"/>
      <c r="AJJ837"/>
      <c r="AJK837"/>
      <c r="AJL837"/>
      <c r="AJM837"/>
      <c r="AJN837"/>
      <c r="AJO837"/>
      <c r="AJP837"/>
      <c r="AJQ837"/>
      <c r="AJR837"/>
      <c r="AJS837"/>
      <c r="AJT837"/>
      <c r="AJU837"/>
      <c r="AJV837"/>
      <c r="AJW837"/>
      <c r="AJX837"/>
      <c r="AJY837"/>
      <c r="AJZ837"/>
      <c r="AKA837"/>
      <c r="AKB837"/>
      <c r="AKC837"/>
      <c r="AKD837"/>
      <c r="AKE837"/>
      <c r="AKF837"/>
      <c r="AKG837"/>
      <c r="AKH837"/>
      <c r="AKI837"/>
      <c r="AKJ837"/>
      <c r="AKK837"/>
      <c r="AKL837"/>
      <c r="AKM837"/>
      <c r="AKN837"/>
      <c r="AKO837"/>
      <c r="AKP837"/>
      <c r="AKQ837"/>
      <c r="AKR837"/>
      <c r="AKS837"/>
      <c r="AKT837"/>
      <c r="AKU837"/>
      <c r="AKV837"/>
      <c r="AKW837"/>
      <c r="AKX837"/>
      <c r="AKY837"/>
      <c r="AKZ837"/>
      <c r="ALA837"/>
      <c r="ALB837"/>
      <c r="ALC837"/>
      <c r="ALD837"/>
      <c r="ALE837"/>
      <c r="ALF837"/>
      <c r="ALG837"/>
      <c r="ALH837"/>
      <c r="ALI837"/>
      <c r="ALJ837"/>
      <c r="ALK837"/>
      <c r="ALL837"/>
      <c r="ALM837"/>
      <c r="ALN837"/>
      <c r="ALO837"/>
      <c r="ALP837"/>
      <c r="ALQ837"/>
      <c r="ALR837"/>
      <c r="ALS837"/>
      <c r="ALT837"/>
      <c r="ALU837"/>
      <c r="ALV837"/>
      <c r="ALW837"/>
      <c r="ALX837"/>
      <c r="ALY837"/>
      <c r="ALZ837"/>
      <c r="AMA837"/>
      <c r="AMB837"/>
      <c r="AMC837"/>
      <c r="AMD837"/>
      <c r="AME837"/>
      <c r="AMF837"/>
      <c r="AMG837"/>
      <c r="AMH837"/>
    </row>
    <row r="838" spans="1:1022" x14ac:dyDescent="0.15">
      <c r="A838" s="8" t="s">
        <v>2965</v>
      </c>
      <c r="B838" s="8" t="s">
        <v>2955</v>
      </c>
      <c r="C838" s="8" t="str">
        <f t="shared" si="35"/>
        <v>att_ptm_enrichment:ionchromatography</v>
      </c>
      <c r="D838" s="9" t="s">
        <v>17</v>
      </c>
      <c r="E838" s="8" t="s">
        <v>2963</v>
      </c>
      <c r="F838" s="8" t="s">
        <v>2964</v>
      </c>
    </row>
    <row r="839" spans="1:1022" x14ac:dyDescent="0.15">
      <c r="A839" s="8" t="s">
        <v>2318</v>
      </c>
      <c r="B839" s="8" t="s">
        <v>206</v>
      </c>
      <c r="C839" s="8" t="str">
        <f t="shared" si="35"/>
        <v>att_quant_algorithm:directlfq</v>
      </c>
      <c r="D839" s="9" t="s">
        <v>17</v>
      </c>
      <c r="E839" s="8" t="s">
        <v>2319</v>
      </c>
      <c r="F839" s="9" t="s">
        <v>17</v>
      </c>
    </row>
    <row r="840" spans="1:1022" x14ac:dyDescent="0.15">
      <c r="A840" s="8" t="s">
        <v>2320</v>
      </c>
      <c r="B840" s="8" t="s">
        <v>206</v>
      </c>
      <c r="C840" s="8" t="str">
        <f t="shared" si="35"/>
        <v>att_quant_algorithm:maxlfq</v>
      </c>
      <c r="D840" s="9" t="s">
        <v>17</v>
      </c>
      <c r="E840" s="8" t="s">
        <v>2321</v>
      </c>
      <c r="F840" s="9" t="s">
        <v>17</v>
      </c>
    </row>
    <row r="841" spans="1:1022" x14ac:dyDescent="0.15">
      <c r="A841" s="8" t="s">
        <v>2322</v>
      </c>
      <c r="B841" s="8" t="s">
        <v>206</v>
      </c>
      <c r="C841" s="8" t="str">
        <f t="shared" si="35"/>
        <v>att_quant_algorithm:speccount</v>
      </c>
      <c r="D841" s="9" t="s">
        <v>17</v>
      </c>
      <c r="E841" s="8" t="s">
        <v>2323</v>
      </c>
      <c r="F841" s="9" t="s">
        <v>17</v>
      </c>
    </row>
    <row r="842" spans="1:1022" x14ac:dyDescent="0.15">
      <c r="A842" s="8" t="s">
        <v>2324</v>
      </c>
      <c r="B842" s="8" t="s">
        <v>207</v>
      </c>
      <c r="C842" s="8" t="str">
        <f t="shared" si="35"/>
        <v>att_quantification:isobaric</v>
      </c>
      <c r="D842" s="9" t="s">
        <v>17</v>
      </c>
      <c r="E842" s="8" t="s">
        <v>2324</v>
      </c>
      <c r="F842" s="8" t="s">
        <v>2325</v>
      </c>
    </row>
    <row r="843" spans="1:1022" x14ac:dyDescent="0.15">
      <c r="A843" s="8" t="s">
        <v>2326</v>
      </c>
      <c r="B843" s="8" t="s">
        <v>207</v>
      </c>
      <c r="C843" s="8" t="str">
        <f t="shared" si="35"/>
        <v>att_quantification:istopic</v>
      </c>
      <c r="D843" s="9" t="s">
        <v>17</v>
      </c>
      <c r="E843" s="8" t="s">
        <v>2326</v>
      </c>
      <c r="F843" s="8" t="s">
        <v>2327</v>
      </c>
    </row>
    <row r="844" spans="1:1022" x14ac:dyDescent="0.15">
      <c r="A844" s="8" t="s">
        <v>2328</v>
      </c>
      <c r="B844" s="8" t="s">
        <v>207</v>
      </c>
      <c r="C844" s="8" t="str">
        <f t="shared" si="35"/>
        <v>att_quantification:label_free</v>
      </c>
      <c r="D844" s="9" t="s">
        <v>17</v>
      </c>
      <c r="E844" s="8" t="s">
        <v>2329</v>
      </c>
      <c r="F844" s="8" t="s">
        <v>2330</v>
      </c>
    </row>
    <row r="845" spans="1:1022" x14ac:dyDescent="0.15">
      <c r="A845" s="8" t="s">
        <v>2331</v>
      </c>
      <c r="B845" s="8" t="s">
        <v>207</v>
      </c>
      <c r="C845" s="8" t="str">
        <f t="shared" si="35"/>
        <v>att_quantification:silac</v>
      </c>
      <c r="D845" s="9" t="s">
        <v>17</v>
      </c>
      <c r="E845" s="8" t="s">
        <v>2331</v>
      </c>
      <c r="F845" s="8" t="s">
        <v>2332</v>
      </c>
    </row>
    <row r="846" spans="1:1022" x14ac:dyDescent="0.15">
      <c r="A846" s="8" t="s">
        <v>2333</v>
      </c>
      <c r="B846" s="8" t="s">
        <v>210</v>
      </c>
      <c r="C846" s="8" t="str">
        <f t="shared" si="35"/>
        <v>att_reduction:dtt</v>
      </c>
      <c r="D846" s="9" t="s">
        <v>17</v>
      </c>
      <c r="E846" s="8" t="s">
        <v>2334</v>
      </c>
      <c r="F846" s="8" t="s">
        <v>2335</v>
      </c>
    </row>
    <row r="847" spans="1:1022" x14ac:dyDescent="0.15">
      <c r="A847" s="8" t="s">
        <v>336</v>
      </c>
      <c r="B847" s="8" t="s">
        <v>210</v>
      </c>
      <c r="C847" s="8" t="str">
        <f t="shared" si="35"/>
        <v>att_reduction:none</v>
      </c>
      <c r="D847" s="9" t="s">
        <v>17</v>
      </c>
      <c r="E847" s="8" t="s">
        <v>337</v>
      </c>
      <c r="F847" s="8" t="s">
        <v>2336</v>
      </c>
    </row>
    <row r="848" spans="1:1022" x14ac:dyDescent="0.15">
      <c r="A848" s="8" t="s">
        <v>2337</v>
      </c>
      <c r="B848" s="8" t="s">
        <v>210</v>
      </c>
      <c r="C848" s="8" t="str">
        <f t="shared" si="35"/>
        <v>att_reduction:tcep</v>
      </c>
      <c r="D848" s="9" t="s">
        <v>17</v>
      </c>
      <c r="E848" s="8" t="s">
        <v>2338</v>
      </c>
      <c r="F848" s="8" t="s">
        <v>2339</v>
      </c>
    </row>
    <row r="849" spans="1:6" x14ac:dyDescent="0.15">
      <c r="A849" s="8" t="s">
        <v>1406</v>
      </c>
      <c r="B849" s="8" t="s">
        <v>2340</v>
      </c>
      <c r="C849" s="8" t="str">
        <f t="shared" si="35"/>
        <v>att_signalling:apoptosis</v>
      </c>
      <c r="D849" s="9" t="s">
        <v>17</v>
      </c>
      <c r="E849" s="8" t="s">
        <v>1407</v>
      </c>
      <c r="F849" s="8" t="s">
        <v>2341</v>
      </c>
    </row>
    <row r="850" spans="1:6" x14ac:dyDescent="0.15">
      <c r="A850" s="8" t="s">
        <v>2342</v>
      </c>
      <c r="B850" s="8" t="s">
        <v>2340</v>
      </c>
      <c r="C850" s="8" t="str">
        <f t="shared" si="35"/>
        <v>att_signalling:autocrine</v>
      </c>
      <c r="D850" s="9" t="s">
        <v>17</v>
      </c>
      <c r="E850" s="8" t="s">
        <v>2343</v>
      </c>
      <c r="F850" s="8" t="s">
        <v>2344</v>
      </c>
    </row>
    <row r="851" spans="1:6" x14ac:dyDescent="0.15">
      <c r="A851" s="8" t="s">
        <v>2345</v>
      </c>
      <c r="B851" s="8" t="s">
        <v>2340</v>
      </c>
      <c r="C851" s="8" t="str">
        <f t="shared" si="35"/>
        <v>att_signalling:complement</v>
      </c>
      <c r="D851" s="9" t="s">
        <v>17</v>
      </c>
      <c r="E851" s="8" t="s">
        <v>2346</v>
      </c>
      <c r="F851" s="8" t="s">
        <v>2347</v>
      </c>
    </row>
    <row r="852" spans="1:6" x14ac:dyDescent="0.15">
      <c r="A852" s="8" t="s">
        <v>2348</v>
      </c>
      <c r="B852" s="8" t="s">
        <v>2340</v>
      </c>
      <c r="C852" s="8" t="str">
        <f t="shared" si="35"/>
        <v>att_signalling:cytokines</v>
      </c>
      <c r="D852" s="9" t="s">
        <v>17</v>
      </c>
      <c r="E852" s="8" t="s">
        <v>2349</v>
      </c>
      <c r="F852" s="8" t="s">
        <v>2350</v>
      </c>
    </row>
    <row r="853" spans="1:6" x14ac:dyDescent="0.15">
      <c r="A853" s="8" t="s">
        <v>2351</v>
      </c>
      <c r="B853" s="8" t="s">
        <v>2340</v>
      </c>
      <c r="C853" s="8" t="str">
        <f t="shared" si="35"/>
        <v>att_signalling:inflammation</v>
      </c>
      <c r="D853" s="9" t="s">
        <v>17</v>
      </c>
      <c r="E853" s="8" t="s">
        <v>2352</v>
      </c>
      <c r="F853" s="8" t="s">
        <v>2353</v>
      </c>
    </row>
    <row r="854" spans="1:6" x14ac:dyDescent="0.15">
      <c r="A854" s="8" t="s">
        <v>2354</v>
      </c>
      <c r="B854" s="8" t="s">
        <v>2340</v>
      </c>
      <c r="C854" s="8" t="str">
        <f t="shared" si="35"/>
        <v>att_signalling:insulin</v>
      </c>
      <c r="D854" s="9" t="s">
        <v>17</v>
      </c>
      <c r="E854" s="8" t="s">
        <v>2355</v>
      </c>
      <c r="F854" s="8" t="s">
        <v>2356</v>
      </c>
    </row>
    <row r="855" spans="1:6" x14ac:dyDescent="0.15">
      <c r="A855" s="8" t="s">
        <v>2357</v>
      </c>
      <c r="B855" s="8" t="s">
        <v>2340</v>
      </c>
      <c r="C855" s="8" t="str">
        <f t="shared" si="35"/>
        <v>att_signalling:juxtacrine</v>
      </c>
      <c r="D855" s="9" t="s">
        <v>17</v>
      </c>
      <c r="E855" s="8" t="s">
        <v>2358</v>
      </c>
      <c r="F855" s="8" t="s">
        <v>2359</v>
      </c>
    </row>
    <row r="856" spans="1:6" x14ac:dyDescent="0.15">
      <c r="A856" s="8" t="s">
        <v>2360</v>
      </c>
      <c r="B856" s="8" t="s">
        <v>2340</v>
      </c>
      <c r="C856" s="8" t="str">
        <f t="shared" si="35"/>
        <v>att_signalling:necrosis</v>
      </c>
      <c r="D856" s="9" t="s">
        <v>17</v>
      </c>
      <c r="E856" s="8" t="s">
        <v>2361</v>
      </c>
      <c r="F856" s="8" t="s">
        <v>2362</v>
      </c>
    </row>
    <row r="857" spans="1:6" x14ac:dyDescent="0.15">
      <c r="A857" s="8" t="s">
        <v>2363</v>
      </c>
      <c r="B857" s="8" t="s">
        <v>2340</v>
      </c>
      <c r="C857" s="8" t="str">
        <f t="shared" si="35"/>
        <v>att_signalling:paracrine</v>
      </c>
      <c r="D857" s="9" t="s">
        <v>17</v>
      </c>
      <c r="E857" s="8" t="s">
        <v>2364</v>
      </c>
      <c r="F857" s="8" t="s">
        <v>2365</v>
      </c>
    </row>
    <row r="858" spans="1:6" x14ac:dyDescent="0.15">
      <c r="A858" s="8" t="s">
        <v>1754</v>
      </c>
      <c r="B858" s="8" t="s">
        <v>2340</v>
      </c>
      <c r="C858" s="8" t="str">
        <f t="shared" si="35"/>
        <v>att_signalling:signaling</v>
      </c>
      <c r="D858" s="9" t="s">
        <v>17</v>
      </c>
      <c r="E858" s="8" t="s">
        <v>1755</v>
      </c>
      <c r="F858" s="8" t="s">
        <v>2366</v>
      </c>
    </row>
    <row r="859" spans="1:6" x14ac:dyDescent="0.15">
      <c r="A859" s="8" t="s">
        <v>2367</v>
      </c>
      <c r="B859" s="8" t="s">
        <v>31</v>
      </c>
      <c r="C859" s="8" t="str">
        <f t="shared" si="35"/>
        <v>att_software:diann</v>
      </c>
      <c r="D859" s="9" t="s">
        <v>17</v>
      </c>
      <c r="E859" s="8" t="s">
        <v>2368</v>
      </c>
      <c r="F859" s="8" t="s">
        <v>2369</v>
      </c>
    </row>
    <row r="860" spans="1:6" x14ac:dyDescent="0.15">
      <c r="A860" s="8" t="s">
        <v>2370</v>
      </c>
      <c r="B860" s="8" t="s">
        <v>31</v>
      </c>
      <c r="C860" s="8" t="str">
        <f t="shared" si="35"/>
        <v>att_software:maxquant</v>
      </c>
      <c r="D860" s="9" t="s">
        <v>17</v>
      </c>
      <c r="E860" s="8" t="s">
        <v>2371</v>
      </c>
      <c r="F860" s="8" t="s">
        <v>2372</v>
      </c>
    </row>
    <row r="861" spans="1:6" x14ac:dyDescent="0.15">
      <c r="A861" s="8" t="s">
        <v>2373</v>
      </c>
      <c r="B861" s="8" t="s">
        <v>31</v>
      </c>
      <c r="C861" s="8" t="str">
        <f t="shared" ref="C861:C932" si="36">B861&amp;":"&amp;A861</f>
        <v>att_software:metamorpheus</v>
      </c>
      <c r="D861" s="9" t="s">
        <v>17</v>
      </c>
      <c r="E861" s="8" t="s">
        <v>2374</v>
      </c>
      <c r="F861" s="8" t="s">
        <v>2375</v>
      </c>
    </row>
    <row r="862" spans="1:6" x14ac:dyDescent="0.15">
      <c r="A862" s="8" t="s">
        <v>2376</v>
      </c>
      <c r="B862" s="8" t="s">
        <v>31</v>
      </c>
      <c r="C862" s="8" t="str">
        <f t="shared" si="36"/>
        <v>att_software:minora</v>
      </c>
      <c r="D862" s="9" t="s">
        <v>17</v>
      </c>
      <c r="E862" s="8" t="s">
        <v>2377</v>
      </c>
      <c r="F862" s="8" t="s">
        <v>2378</v>
      </c>
    </row>
    <row r="863" spans="1:6" x14ac:dyDescent="0.15">
      <c r="A863" s="8" t="s">
        <v>2379</v>
      </c>
      <c r="B863" s="8" t="s">
        <v>31</v>
      </c>
      <c r="C863" s="8" t="str">
        <f t="shared" si="36"/>
        <v>att_software:msfragger</v>
      </c>
      <c r="D863" s="9" t="s">
        <v>17</v>
      </c>
      <c r="E863" s="8" t="s">
        <v>2380</v>
      </c>
      <c r="F863" s="8" t="s">
        <v>2381</v>
      </c>
    </row>
    <row r="864" spans="1:6" x14ac:dyDescent="0.15">
      <c r="A864" s="8" t="s">
        <v>2382</v>
      </c>
      <c r="B864" s="8" t="s">
        <v>31</v>
      </c>
      <c r="C864" s="8" t="str">
        <f t="shared" si="36"/>
        <v>att_software:msgf</v>
      </c>
      <c r="D864" s="9" t="s">
        <v>17</v>
      </c>
      <c r="E864" s="8" t="s">
        <v>2383</v>
      </c>
      <c r="F864" s="8" t="s">
        <v>2384</v>
      </c>
    </row>
    <row r="865" spans="1:6" x14ac:dyDescent="0.15">
      <c r="A865" s="8" t="s">
        <v>2385</v>
      </c>
      <c r="B865" s="8" t="s">
        <v>31</v>
      </c>
      <c r="C865" s="8" t="str">
        <f t="shared" si="36"/>
        <v>att_software:spectronaut</v>
      </c>
      <c r="D865" s="9" t="s">
        <v>17</v>
      </c>
      <c r="E865" s="8" t="s">
        <v>2386</v>
      </c>
      <c r="F865" s="8" t="s">
        <v>2387</v>
      </c>
    </row>
    <row r="866" spans="1:6" x14ac:dyDescent="0.15">
      <c r="A866" s="8" t="s">
        <v>2909</v>
      </c>
      <c r="B866" s="8" t="s">
        <v>2908</v>
      </c>
      <c r="C866" s="8" t="str">
        <f t="shared" si="36"/>
        <v>att_subcellular_compartment:wc</v>
      </c>
      <c r="D866" s="9" t="s">
        <v>17</v>
      </c>
      <c r="E866" s="8" t="s">
        <v>2910</v>
      </c>
      <c r="F866" s="8" t="s">
        <v>2911</v>
      </c>
    </row>
    <row r="867" spans="1:6" x14ac:dyDescent="0.15">
      <c r="A867" s="8" t="s">
        <v>2913</v>
      </c>
      <c r="B867" s="8" t="s">
        <v>2908</v>
      </c>
      <c r="C867" s="8" t="str">
        <f t="shared" si="36"/>
        <v>att_subcellular_compartment:membrane</v>
      </c>
      <c r="D867" s="9" t="s">
        <v>17</v>
      </c>
      <c r="E867" s="8" t="s">
        <v>2914</v>
      </c>
      <c r="F867" s="8" t="s">
        <v>2915</v>
      </c>
    </row>
    <row r="868" spans="1:6" x14ac:dyDescent="0.15">
      <c r="A868" s="8" t="s">
        <v>2912</v>
      </c>
      <c r="B868" s="8" t="s">
        <v>2908</v>
      </c>
      <c r="C868" s="8" t="str">
        <f t="shared" ref="C868" si="37">B868&amp;":"&amp;A868</f>
        <v>att_subcellular_compartment:mitochondria</v>
      </c>
      <c r="D868" s="9" t="s">
        <v>17</v>
      </c>
      <c r="E868" s="8" t="s">
        <v>2929</v>
      </c>
      <c r="F868" s="8" t="s">
        <v>2928</v>
      </c>
    </row>
    <row r="869" spans="1:6" x14ac:dyDescent="0.15">
      <c r="A869" s="8" t="s">
        <v>2942</v>
      </c>
      <c r="B869" s="8" t="s">
        <v>2908</v>
      </c>
      <c r="C869" s="8" t="str">
        <f t="shared" ref="C869" si="38">B869&amp;":"&amp;A869</f>
        <v>att_subcellular_compartment:mitochondriapk</v>
      </c>
      <c r="D869" s="9" t="s">
        <v>17</v>
      </c>
      <c r="E869" s="8" t="s">
        <v>2940</v>
      </c>
      <c r="F869" s="8" t="s">
        <v>2941</v>
      </c>
    </row>
    <row r="870" spans="1:6" x14ac:dyDescent="0.15">
      <c r="A870" s="8" t="s">
        <v>2916</v>
      </c>
      <c r="B870" s="8" t="s">
        <v>2908</v>
      </c>
      <c r="C870" s="8" t="str">
        <f t="shared" si="36"/>
        <v>att_subcellular_compartment:golgi</v>
      </c>
      <c r="D870" s="9" t="s">
        <v>17</v>
      </c>
      <c r="E870" s="8" t="s">
        <v>2917</v>
      </c>
      <c r="F870" s="8" t="s">
        <v>2918</v>
      </c>
    </row>
    <row r="871" spans="1:6" x14ac:dyDescent="0.15">
      <c r="A871" s="8" t="s">
        <v>2919</v>
      </c>
      <c r="B871" s="8" t="s">
        <v>2908</v>
      </c>
      <c r="C871" s="8" t="str">
        <f t="shared" ref="C871:C873" si="39">B871&amp;":"&amp;A871</f>
        <v>att_subcellular_compartment:plasmamembrane</v>
      </c>
      <c r="D871" s="9" t="s">
        <v>17</v>
      </c>
      <c r="E871" s="8" t="s">
        <v>2927</v>
      </c>
      <c r="F871" s="8" t="s">
        <v>2920</v>
      </c>
    </row>
    <row r="872" spans="1:6" x14ac:dyDescent="0.15">
      <c r="A872" s="8" t="s">
        <v>2921</v>
      </c>
      <c r="B872" s="8" t="s">
        <v>2908</v>
      </c>
      <c r="C872" s="8" t="str">
        <f t="shared" si="39"/>
        <v>att_subcellular_compartment:nucleus</v>
      </c>
      <c r="D872" s="9" t="s">
        <v>17</v>
      </c>
      <c r="E872" s="8" t="s">
        <v>2922</v>
      </c>
      <c r="F872" s="8" t="s">
        <v>2923</v>
      </c>
    </row>
    <row r="873" spans="1:6" x14ac:dyDescent="0.15">
      <c r="A873" s="8" t="s">
        <v>2924</v>
      </c>
      <c r="B873" s="8" t="s">
        <v>2908</v>
      </c>
      <c r="C873" s="8" t="str">
        <f t="shared" si="39"/>
        <v>att_subcellular_compartment:cytosol</v>
      </c>
      <c r="D873" s="9" t="s">
        <v>17</v>
      </c>
      <c r="E873" s="8" t="s">
        <v>2925</v>
      </c>
      <c r="F873" s="8" t="s">
        <v>2926</v>
      </c>
    </row>
    <row r="874" spans="1:6" x14ac:dyDescent="0.15">
      <c r="A874" s="8" t="s">
        <v>2388</v>
      </c>
      <c r="B874" s="8" t="s">
        <v>232</v>
      </c>
      <c r="C874" s="8" t="str">
        <f t="shared" si="36"/>
        <v>att_tissue:adipose</v>
      </c>
      <c r="D874" s="8" t="s">
        <v>2388</v>
      </c>
      <c r="E874" s="8" t="s">
        <v>2389</v>
      </c>
      <c r="F874" s="8" t="s">
        <v>2390</v>
      </c>
    </row>
    <row r="875" spans="1:6" x14ac:dyDescent="0.15">
      <c r="A875" s="8" t="s">
        <v>2391</v>
      </c>
      <c r="B875" s="8" t="s">
        <v>232</v>
      </c>
      <c r="C875" s="8" t="str">
        <f t="shared" si="36"/>
        <v>att_tissue:areolar</v>
      </c>
      <c r="D875" s="8" t="s">
        <v>2391</v>
      </c>
      <c r="E875" s="8" t="s">
        <v>2392</v>
      </c>
      <c r="F875" s="8" t="s">
        <v>2393</v>
      </c>
    </row>
    <row r="876" spans="1:6" x14ac:dyDescent="0.15">
      <c r="A876" s="8" t="s">
        <v>2394</v>
      </c>
      <c r="B876" s="8" t="s">
        <v>232</v>
      </c>
      <c r="C876" s="8" t="str">
        <f t="shared" si="36"/>
        <v>att_tissue:blood</v>
      </c>
      <c r="D876" s="8" t="s">
        <v>2394</v>
      </c>
      <c r="E876" s="8" t="s">
        <v>2395</v>
      </c>
      <c r="F876" s="8" t="s">
        <v>2395</v>
      </c>
    </row>
    <row r="877" spans="1:6" x14ac:dyDescent="0.15">
      <c r="A877" s="8" t="s">
        <v>2396</v>
      </c>
      <c r="B877" s="8" t="s">
        <v>232</v>
      </c>
      <c r="C877" s="8" t="str">
        <f t="shared" si="36"/>
        <v>att_tissue:connective</v>
      </c>
      <c r="D877" s="8" t="s">
        <v>2396</v>
      </c>
      <c r="E877" s="8" t="s">
        <v>2397</v>
      </c>
      <c r="F877" s="8" t="s">
        <v>2398</v>
      </c>
    </row>
    <row r="878" spans="1:6" x14ac:dyDescent="0.15">
      <c r="A878" s="8" t="s">
        <v>2399</v>
      </c>
      <c r="B878" s="8" t="s">
        <v>232</v>
      </c>
      <c r="C878" s="8" t="str">
        <f t="shared" si="36"/>
        <v>att_tissue:dermis</v>
      </c>
      <c r="D878" s="8" t="s">
        <v>2399</v>
      </c>
      <c r="E878" s="8" t="s">
        <v>2400</v>
      </c>
      <c r="F878" s="8" t="s">
        <v>2400</v>
      </c>
    </row>
    <row r="879" spans="1:6" x14ac:dyDescent="0.15">
      <c r="A879" s="8" t="s">
        <v>2401</v>
      </c>
      <c r="B879" s="8" t="s">
        <v>232</v>
      </c>
      <c r="C879" s="8" t="str">
        <f t="shared" si="36"/>
        <v>att_tissue:epidermis</v>
      </c>
      <c r="D879" s="8" t="s">
        <v>2401</v>
      </c>
      <c r="E879" s="8" t="s">
        <v>2402</v>
      </c>
      <c r="F879" s="8" t="s">
        <v>2402</v>
      </c>
    </row>
    <row r="880" spans="1:6" x14ac:dyDescent="0.15">
      <c r="A880" s="8" t="s">
        <v>2403</v>
      </c>
      <c r="B880" s="8" t="s">
        <v>232</v>
      </c>
      <c r="C880" s="8" t="str">
        <f t="shared" si="36"/>
        <v>att_tissue:epithelial</v>
      </c>
      <c r="D880" s="8" t="s">
        <v>2403</v>
      </c>
      <c r="E880" s="8" t="s">
        <v>2404</v>
      </c>
      <c r="F880" s="8" t="s">
        <v>2405</v>
      </c>
    </row>
    <row r="881" spans="1:6" x14ac:dyDescent="0.15">
      <c r="A881" s="8" t="s">
        <v>2406</v>
      </c>
      <c r="B881" s="8" t="s">
        <v>232</v>
      </c>
      <c r="C881" s="8" t="str">
        <f t="shared" si="36"/>
        <v>att_tissue:hypodermis</v>
      </c>
      <c r="D881" s="8" t="s">
        <v>2406</v>
      </c>
      <c r="E881" s="8" t="s">
        <v>2407</v>
      </c>
      <c r="F881" s="8" t="s">
        <v>2407</v>
      </c>
    </row>
    <row r="882" spans="1:6" x14ac:dyDescent="0.15">
      <c r="A882" s="8" t="s">
        <v>2408</v>
      </c>
      <c r="B882" s="8" t="s">
        <v>232</v>
      </c>
      <c r="C882" s="8" t="str">
        <f t="shared" si="36"/>
        <v>att_tissue:muscle</v>
      </c>
      <c r="D882" s="8" t="s">
        <v>2408</v>
      </c>
      <c r="E882" s="8" t="s">
        <v>2806</v>
      </c>
      <c r="F882" s="8" t="s">
        <v>2409</v>
      </c>
    </row>
    <row r="883" spans="1:6" x14ac:dyDescent="0.15">
      <c r="A883" s="8" t="s">
        <v>2410</v>
      </c>
      <c r="B883" s="8" t="s">
        <v>232</v>
      </c>
      <c r="C883" s="8" t="str">
        <f t="shared" si="36"/>
        <v>att_tissue:nervous</v>
      </c>
      <c r="D883" s="8" t="s">
        <v>2410</v>
      </c>
      <c r="E883" s="8" t="s">
        <v>2229</v>
      </c>
      <c r="F883" s="8" t="s">
        <v>2411</v>
      </c>
    </row>
    <row r="884" spans="1:6" x14ac:dyDescent="0.15">
      <c r="A884" s="8" t="s">
        <v>2412</v>
      </c>
      <c r="B884" s="8" t="s">
        <v>232</v>
      </c>
      <c r="C884" s="8" t="str">
        <f t="shared" si="36"/>
        <v>att_tissue:reticular</v>
      </c>
      <c r="D884" s="8" t="s">
        <v>2412</v>
      </c>
      <c r="E884" s="8" t="s">
        <v>2413</v>
      </c>
      <c r="F884" s="8" t="s">
        <v>2414</v>
      </c>
    </row>
    <row r="885" spans="1:6" x14ac:dyDescent="0.15">
      <c r="A885" s="8" t="s">
        <v>2415</v>
      </c>
      <c r="B885" s="8" t="s">
        <v>232</v>
      </c>
      <c r="C885" s="8" t="str">
        <f t="shared" si="36"/>
        <v>att_tissue:stromal</v>
      </c>
      <c r="D885" s="8" t="s">
        <v>2415</v>
      </c>
      <c r="E885" s="8" t="s">
        <v>2416</v>
      </c>
      <c r="F885" s="8" t="s">
        <v>2417</v>
      </c>
    </row>
    <row r="886" spans="1:6" x14ac:dyDescent="0.15">
      <c r="A886" s="8" t="s">
        <v>2418</v>
      </c>
      <c r="B886" s="8" t="s">
        <v>234</v>
      </c>
      <c r="C886" s="8" t="str">
        <f t="shared" si="36"/>
        <v>att_tmt_channel:tmt10_126</v>
      </c>
      <c r="D886" s="9" t="s">
        <v>17</v>
      </c>
      <c r="E886" s="8">
        <v>126</v>
      </c>
      <c r="F886" s="9" t="s">
        <v>17</v>
      </c>
    </row>
    <row r="887" spans="1:6" x14ac:dyDescent="0.15">
      <c r="A887" s="8" t="s">
        <v>2419</v>
      </c>
      <c r="B887" s="8" t="s">
        <v>234</v>
      </c>
      <c r="C887" s="8" t="str">
        <f t="shared" si="36"/>
        <v>att_tmt_channel:tmt10_127C</v>
      </c>
      <c r="D887" s="9" t="s">
        <v>17</v>
      </c>
      <c r="E887" s="8" t="s">
        <v>2420</v>
      </c>
      <c r="F887" s="9" t="s">
        <v>17</v>
      </c>
    </row>
    <row r="888" spans="1:6" x14ac:dyDescent="0.15">
      <c r="A888" s="8" t="s">
        <v>2421</v>
      </c>
      <c r="B888" s="8" t="s">
        <v>234</v>
      </c>
      <c r="C888" s="8" t="str">
        <f t="shared" si="36"/>
        <v>att_tmt_channel:tmt10_127N</v>
      </c>
      <c r="D888" s="9" t="s">
        <v>17</v>
      </c>
      <c r="E888" s="8" t="s">
        <v>2422</v>
      </c>
      <c r="F888" s="9" t="s">
        <v>17</v>
      </c>
    </row>
    <row r="889" spans="1:6" x14ac:dyDescent="0.15">
      <c r="A889" s="8" t="s">
        <v>2423</v>
      </c>
      <c r="B889" s="8" t="s">
        <v>234</v>
      </c>
      <c r="C889" s="8" t="str">
        <f t="shared" si="36"/>
        <v>att_tmt_channel:tmt10_128C</v>
      </c>
      <c r="D889" s="9" t="s">
        <v>17</v>
      </c>
      <c r="E889" s="8" t="s">
        <v>2424</v>
      </c>
      <c r="F889" s="9" t="s">
        <v>17</v>
      </c>
    </row>
    <row r="890" spans="1:6" x14ac:dyDescent="0.15">
      <c r="A890" s="8" t="s">
        <v>2425</v>
      </c>
      <c r="B890" s="8" t="s">
        <v>234</v>
      </c>
      <c r="C890" s="8" t="str">
        <f t="shared" si="36"/>
        <v>att_tmt_channel:tmt10_128N</v>
      </c>
      <c r="D890" s="9" t="s">
        <v>17</v>
      </c>
      <c r="E890" s="8" t="s">
        <v>2426</v>
      </c>
      <c r="F890" s="9" t="s">
        <v>17</v>
      </c>
    </row>
    <row r="891" spans="1:6" x14ac:dyDescent="0.15">
      <c r="A891" s="8" t="s">
        <v>2427</v>
      </c>
      <c r="B891" s="8" t="s">
        <v>234</v>
      </c>
      <c r="C891" s="8" t="str">
        <f t="shared" si="36"/>
        <v>att_tmt_channel:tmt10_129C</v>
      </c>
      <c r="D891" s="9" t="s">
        <v>17</v>
      </c>
      <c r="E891" s="8" t="s">
        <v>2428</v>
      </c>
      <c r="F891" s="9" t="s">
        <v>17</v>
      </c>
    </row>
    <row r="892" spans="1:6" x14ac:dyDescent="0.15">
      <c r="A892" s="8" t="s">
        <v>2429</v>
      </c>
      <c r="B892" s="8" t="s">
        <v>234</v>
      </c>
      <c r="C892" s="8" t="str">
        <f t="shared" si="36"/>
        <v>att_tmt_channel:tmt10_129N</v>
      </c>
      <c r="D892" s="9" t="s">
        <v>17</v>
      </c>
      <c r="E892" s="8" t="s">
        <v>2430</v>
      </c>
      <c r="F892" s="9" t="s">
        <v>17</v>
      </c>
    </row>
    <row r="893" spans="1:6" x14ac:dyDescent="0.15">
      <c r="A893" s="8" t="s">
        <v>2431</v>
      </c>
      <c r="B893" s="8" t="s">
        <v>234</v>
      </c>
      <c r="C893" s="8" t="str">
        <f t="shared" si="36"/>
        <v>att_tmt_channel:tmt10_130C</v>
      </c>
      <c r="D893" s="9" t="s">
        <v>17</v>
      </c>
      <c r="E893" s="8" t="s">
        <v>2432</v>
      </c>
      <c r="F893" s="9" t="s">
        <v>17</v>
      </c>
    </row>
    <row r="894" spans="1:6" x14ac:dyDescent="0.15">
      <c r="A894" s="8" t="s">
        <v>2433</v>
      </c>
      <c r="B894" s="8" t="s">
        <v>234</v>
      </c>
      <c r="C894" s="8" t="str">
        <f t="shared" si="36"/>
        <v>att_tmt_channel:tmt10_130N</v>
      </c>
      <c r="D894" s="9" t="s">
        <v>17</v>
      </c>
      <c r="E894" s="8" t="s">
        <v>2434</v>
      </c>
      <c r="F894" s="9" t="s">
        <v>17</v>
      </c>
    </row>
    <row r="895" spans="1:6" x14ac:dyDescent="0.15">
      <c r="A895" s="8" t="s">
        <v>2435</v>
      </c>
      <c r="B895" s="8" t="s">
        <v>234</v>
      </c>
      <c r="C895" s="8" t="str">
        <f t="shared" si="36"/>
        <v>att_tmt_channel:tmt10_131</v>
      </c>
      <c r="D895" s="9" t="s">
        <v>17</v>
      </c>
      <c r="E895" s="8">
        <v>131</v>
      </c>
      <c r="F895" s="9" t="s">
        <v>17</v>
      </c>
    </row>
    <row r="896" spans="1:6" x14ac:dyDescent="0.15">
      <c r="A896" s="8" t="s">
        <v>2436</v>
      </c>
      <c r="B896" s="8" t="s">
        <v>234</v>
      </c>
      <c r="C896" s="8" t="str">
        <f t="shared" si="36"/>
        <v>att_tmt_channel:tmt11_126</v>
      </c>
      <c r="D896" s="9" t="s">
        <v>17</v>
      </c>
      <c r="E896" s="8">
        <v>126</v>
      </c>
      <c r="F896" s="9" t="s">
        <v>17</v>
      </c>
    </row>
    <row r="897" spans="1:6" x14ac:dyDescent="0.15">
      <c r="A897" s="8" t="s">
        <v>2437</v>
      </c>
      <c r="B897" s="8" t="s">
        <v>234</v>
      </c>
      <c r="C897" s="8" t="str">
        <f t="shared" si="36"/>
        <v>att_tmt_channel:tmt11_127C</v>
      </c>
      <c r="D897" s="9" t="s">
        <v>17</v>
      </c>
      <c r="E897" s="8" t="s">
        <v>2420</v>
      </c>
      <c r="F897" s="9" t="s">
        <v>17</v>
      </c>
    </row>
    <row r="898" spans="1:6" x14ac:dyDescent="0.15">
      <c r="A898" s="8" t="s">
        <v>2438</v>
      </c>
      <c r="B898" s="8" t="s">
        <v>234</v>
      </c>
      <c r="C898" s="8" t="str">
        <f t="shared" si="36"/>
        <v>att_tmt_channel:tmt11_127N</v>
      </c>
      <c r="D898" s="9" t="s">
        <v>17</v>
      </c>
      <c r="E898" s="8" t="s">
        <v>2422</v>
      </c>
      <c r="F898" s="9" t="s">
        <v>17</v>
      </c>
    </row>
    <row r="899" spans="1:6" x14ac:dyDescent="0.15">
      <c r="A899" s="8" t="s">
        <v>2439</v>
      </c>
      <c r="B899" s="8" t="s">
        <v>234</v>
      </c>
      <c r="C899" s="8" t="str">
        <f t="shared" si="36"/>
        <v>att_tmt_channel:tmt11_128C</v>
      </c>
      <c r="D899" s="9" t="s">
        <v>17</v>
      </c>
      <c r="E899" s="8" t="s">
        <v>2424</v>
      </c>
      <c r="F899" s="9" t="s">
        <v>17</v>
      </c>
    </row>
    <row r="900" spans="1:6" x14ac:dyDescent="0.15">
      <c r="A900" s="8" t="s">
        <v>2440</v>
      </c>
      <c r="B900" s="8" t="s">
        <v>234</v>
      </c>
      <c r="C900" s="8" t="str">
        <f t="shared" si="36"/>
        <v>att_tmt_channel:tmt11_128N</v>
      </c>
      <c r="D900" s="9" t="s">
        <v>17</v>
      </c>
      <c r="E900" s="8" t="s">
        <v>2426</v>
      </c>
      <c r="F900" s="9" t="s">
        <v>17</v>
      </c>
    </row>
    <row r="901" spans="1:6" x14ac:dyDescent="0.15">
      <c r="A901" s="8" t="s">
        <v>2441</v>
      </c>
      <c r="B901" s="8" t="s">
        <v>234</v>
      </c>
      <c r="C901" s="8" t="str">
        <f t="shared" si="36"/>
        <v>att_tmt_channel:tmt11_129C</v>
      </c>
      <c r="D901" s="9" t="s">
        <v>17</v>
      </c>
      <c r="E901" s="8" t="s">
        <v>2428</v>
      </c>
      <c r="F901" s="9" t="s">
        <v>17</v>
      </c>
    </row>
    <row r="902" spans="1:6" x14ac:dyDescent="0.15">
      <c r="A902" s="8" t="s">
        <v>2442</v>
      </c>
      <c r="B902" s="8" t="s">
        <v>234</v>
      </c>
      <c r="C902" s="8" t="str">
        <f t="shared" si="36"/>
        <v>att_tmt_channel:tmt11_129N</v>
      </c>
      <c r="D902" s="9" t="s">
        <v>17</v>
      </c>
      <c r="E902" s="8" t="s">
        <v>2430</v>
      </c>
      <c r="F902" s="9" t="s">
        <v>17</v>
      </c>
    </row>
    <row r="903" spans="1:6" x14ac:dyDescent="0.15">
      <c r="A903" s="8" t="s">
        <v>2443</v>
      </c>
      <c r="B903" s="8" t="s">
        <v>234</v>
      </c>
      <c r="C903" s="8" t="str">
        <f t="shared" si="36"/>
        <v>att_tmt_channel:tmt11_130C</v>
      </c>
      <c r="D903" s="9" t="s">
        <v>17</v>
      </c>
      <c r="E903" s="8" t="s">
        <v>2432</v>
      </c>
      <c r="F903" s="9" t="s">
        <v>17</v>
      </c>
    </row>
    <row r="904" spans="1:6" x14ac:dyDescent="0.15">
      <c r="A904" s="8" t="s">
        <v>2444</v>
      </c>
      <c r="B904" s="8" t="s">
        <v>234</v>
      </c>
      <c r="C904" s="8" t="str">
        <f t="shared" si="36"/>
        <v>att_tmt_channel:tmt11_130N</v>
      </c>
      <c r="D904" s="9" t="s">
        <v>17</v>
      </c>
      <c r="E904" s="8" t="s">
        <v>2434</v>
      </c>
      <c r="F904" s="9" t="s">
        <v>17</v>
      </c>
    </row>
    <row r="905" spans="1:6" x14ac:dyDescent="0.15">
      <c r="A905" s="8" t="s">
        <v>2445</v>
      </c>
      <c r="B905" s="8" t="s">
        <v>234</v>
      </c>
      <c r="C905" s="8" t="str">
        <f t="shared" si="36"/>
        <v>att_tmt_channel:tmt11_131C</v>
      </c>
      <c r="D905" s="9" t="s">
        <v>17</v>
      </c>
      <c r="E905" s="8" t="s">
        <v>2446</v>
      </c>
      <c r="F905" s="9" t="s">
        <v>17</v>
      </c>
    </row>
    <row r="906" spans="1:6" x14ac:dyDescent="0.15">
      <c r="A906" s="8" t="s">
        <v>2447</v>
      </c>
      <c r="B906" s="8" t="s">
        <v>234</v>
      </c>
      <c r="C906" s="8" t="str">
        <f t="shared" si="36"/>
        <v>att_tmt_channel:tmt11_131N</v>
      </c>
      <c r="D906" s="9" t="s">
        <v>17</v>
      </c>
      <c r="E906" s="8" t="s">
        <v>2448</v>
      </c>
      <c r="F906" s="9" t="s">
        <v>17</v>
      </c>
    </row>
    <row r="907" spans="1:6" x14ac:dyDescent="0.15">
      <c r="A907" s="8" t="s">
        <v>2449</v>
      </c>
      <c r="B907" s="8" t="s">
        <v>234</v>
      </c>
      <c r="C907" s="8" t="str">
        <f t="shared" si="36"/>
        <v>att_tmt_channel:tmt18_126</v>
      </c>
      <c r="D907" s="9" t="s">
        <v>17</v>
      </c>
      <c r="E907" s="8">
        <v>126</v>
      </c>
      <c r="F907" s="9" t="s">
        <v>17</v>
      </c>
    </row>
    <row r="908" spans="1:6" x14ac:dyDescent="0.15">
      <c r="A908" s="8" t="s">
        <v>2450</v>
      </c>
      <c r="B908" s="8" t="s">
        <v>234</v>
      </c>
      <c r="C908" s="8" t="str">
        <f t="shared" si="36"/>
        <v>att_tmt_channel:tmt18_127C</v>
      </c>
      <c r="D908" s="9" t="s">
        <v>17</v>
      </c>
      <c r="E908" s="8" t="s">
        <v>2420</v>
      </c>
      <c r="F908" s="9" t="s">
        <v>17</v>
      </c>
    </row>
    <row r="909" spans="1:6" x14ac:dyDescent="0.15">
      <c r="A909" s="8" t="s">
        <v>2451</v>
      </c>
      <c r="B909" s="8" t="s">
        <v>234</v>
      </c>
      <c r="C909" s="8" t="str">
        <f t="shared" si="36"/>
        <v>att_tmt_channel:tmt18_127N</v>
      </c>
      <c r="D909" s="9" t="s">
        <v>17</v>
      </c>
      <c r="E909" s="8" t="s">
        <v>2422</v>
      </c>
      <c r="F909" s="9" t="s">
        <v>17</v>
      </c>
    </row>
    <row r="910" spans="1:6" x14ac:dyDescent="0.15">
      <c r="A910" s="8" t="s">
        <v>2452</v>
      </c>
      <c r="B910" s="8" t="s">
        <v>234</v>
      </c>
      <c r="C910" s="8" t="str">
        <f t="shared" si="36"/>
        <v>att_tmt_channel:tmt18_128C</v>
      </c>
      <c r="D910" s="9" t="s">
        <v>17</v>
      </c>
      <c r="E910" s="8" t="s">
        <v>2424</v>
      </c>
      <c r="F910" s="9" t="s">
        <v>17</v>
      </c>
    </row>
    <row r="911" spans="1:6" x14ac:dyDescent="0.15">
      <c r="A911" s="8" t="s">
        <v>2453</v>
      </c>
      <c r="B911" s="8" t="s">
        <v>234</v>
      </c>
      <c r="C911" s="8" t="str">
        <f t="shared" si="36"/>
        <v>att_tmt_channel:tmt18_128N</v>
      </c>
      <c r="D911" s="9" t="s">
        <v>17</v>
      </c>
      <c r="E911" s="8" t="s">
        <v>2426</v>
      </c>
      <c r="F911" s="9" t="s">
        <v>17</v>
      </c>
    </row>
    <row r="912" spans="1:6" x14ac:dyDescent="0.15">
      <c r="A912" s="8" t="s">
        <v>2454</v>
      </c>
      <c r="B912" s="8" t="s">
        <v>234</v>
      </c>
      <c r="C912" s="8" t="str">
        <f t="shared" si="36"/>
        <v>att_tmt_channel:tmt18_129C</v>
      </c>
      <c r="D912" s="9" t="s">
        <v>17</v>
      </c>
      <c r="E912" s="8" t="s">
        <v>2428</v>
      </c>
      <c r="F912" s="9" t="s">
        <v>17</v>
      </c>
    </row>
    <row r="913" spans="1:6" x14ac:dyDescent="0.15">
      <c r="A913" s="8" t="s">
        <v>2455</v>
      </c>
      <c r="B913" s="8" t="s">
        <v>234</v>
      </c>
      <c r="C913" s="8" t="str">
        <f t="shared" si="36"/>
        <v>att_tmt_channel:tmt18_129N</v>
      </c>
      <c r="D913" s="9" t="s">
        <v>17</v>
      </c>
      <c r="E913" s="8" t="s">
        <v>2430</v>
      </c>
      <c r="F913" s="9" t="s">
        <v>17</v>
      </c>
    </row>
    <row r="914" spans="1:6" x14ac:dyDescent="0.15">
      <c r="A914" s="8" t="s">
        <v>2456</v>
      </c>
      <c r="B914" s="8" t="s">
        <v>234</v>
      </c>
      <c r="C914" s="8" t="str">
        <f t="shared" si="36"/>
        <v>att_tmt_channel:tmt18_130C</v>
      </c>
      <c r="D914" s="9" t="s">
        <v>17</v>
      </c>
      <c r="E914" s="8" t="s">
        <v>2432</v>
      </c>
      <c r="F914" s="9" t="s">
        <v>17</v>
      </c>
    </row>
    <row r="915" spans="1:6" x14ac:dyDescent="0.15">
      <c r="A915" s="8" t="s">
        <v>2457</v>
      </c>
      <c r="B915" s="8" t="s">
        <v>234</v>
      </c>
      <c r="C915" s="8" t="str">
        <f t="shared" si="36"/>
        <v>att_tmt_channel:tmt18_130N</v>
      </c>
      <c r="D915" s="9" t="s">
        <v>17</v>
      </c>
      <c r="E915" s="8" t="s">
        <v>2434</v>
      </c>
      <c r="F915" s="9" t="s">
        <v>17</v>
      </c>
    </row>
    <row r="916" spans="1:6" x14ac:dyDescent="0.15">
      <c r="A916" s="8" t="s">
        <v>2458</v>
      </c>
      <c r="B916" s="8" t="s">
        <v>234</v>
      </c>
      <c r="C916" s="8" t="str">
        <f t="shared" si="36"/>
        <v>att_tmt_channel:tmt18_131C</v>
      </c>
      <c r="D916" s="9" t="s">
        <v>17</v>
      </c>
      <c r="E916" s="8" t="s">
        <v>2446</v>
      </c>
      <c r="F916" s="9" t="s">
        <v>17</v>
      </c>
    </row>
    <row r="917" spans="1:6" x14ac:dyDescent="0.15">
      <c r="A917" s="8" t="s">
        <v>2459</v>
      </c>
      <c r="B917" s="8" t="s">
        <v>234</v>
      </c>
      <c r="C917" s="8" t="str">
        <f t="shared" si="36"/>
        <v>att_tmt_channel:tmt18_131N</v>
      </c>
      <c r="D917" s="9" t="s">
        <v>17</v>
      </c>
      <c r="E917" s="8" t="s">
        <v>2448</v>
      </c>
      <c r="F917" s="9" t="s">
        <v>17</v>
      </c>
    </row>
    <row r="918" spans="1:6" x14ac:dyDescent="0.15">
      <c r="A918" s="8" t="s">
        <v>2460</v>
      </c>
      <c r="B918" s="8" t="s">
        <v>234</v>
      </c>
      <c r="C918" s="8" t="str">
        <f t="shared" si="36"/>
        <v>att_tmt_channel:tmt18_132C</v>
      </c>
      <c r="D918" s="9" t="s">
        <v>17</v>
      </c>
      <c r="E918" s="8" t="s">
        <v>2461</v>
      </c>
      <c r="F918" s="9" t="s">
        <v>17</v>
      </c>
    </row>
    <row r="919" spans="1:6" x14ac:dyDescent="0.15">
      <c r="A919" s="8" t="s">
        <v>2462</v>
      </c>
      <c r="B919" s="8" t="s">
        <v>234</v>
      </c>
      <c r="C919" s="8" t="str">
        <f t="shared" si="36"/>
        <v>att_tmt_channel:tmt18_132N</v>
      </c>
      <c r="D919" s="9" t="s">
        <v>17</v>
      </c>
      <c r="E919" s="8" t="s">
        <v>2463</v>
      </c>
      <c r="F919" s="9" t="s">
        <v>17</v>
      </c>
    </row>
    <row r="920" spans="1:6" x14ac:dyDescent="0.15">
      <c r="A920" s="8" t="s">
        <v>2464</v>
      </c>
      <c r="B920" s="8" t="s">
        <v>234</v>
      </c>
      <c r="C920" s="8" t="str">
        <f t="shared" si="36"/>
        <v>att_tmt_channel:tmt18_133C</v>
      </c>
      <c r="D920" s="9" t="s">
        <v>17</v>
      </c>
      <c r="E920" s="8" t="s">
        <v>2465</v>
      </c>
      <c r="F920" s="9" t="s">
        <v>17</v>
      </c>
    </row>
    <row r="921" spans="1:6" x14ac:dyDescent="0.15">
      <c r="A921" s="8" t="s">
        <v>2466</v>
      </c>
      <c r="B921" s="8" t="s">
        <v>234</v>
      </c>
      <c r="C921" s="8" t="str">
        <f t="shared" si="36"/>
        <v>att_tmt_channel:tmt18_133N</v>
      </c>
      <c r="D921" s="9" t="s">
        <v>17</v>
      </c>
      <c r="E921" s="8" t="s">
        <v>2467</v>
      </c>
      <c r="F921" s="9" t="s">
        <v>17</v>
      </c>
    </row>
    <row r="922" spans="1:6" x14ac:dyDescent="0.15">
      <c r="A922" s="8" t="s">
        <v>2468</v>
      </c>
      <c r="B922" s="8" t="s">
        <v>234</v>
      </c>
      <c r="C922" s="8" t="str">
        <f t="shared" si="36"/>
        <v>att_tmt_channel:tmt18_134C</v>
      </c>
      <c r="D922" s="9" t="s">
        <v>17</v>
      </c>
      <c r="E922" s="8" t="s">
        <v>2469</v>
      </c>
      <c r="F922" s="9" t="s">
        <v>17</v>
      </c>
    </row>
    <row r="923" spans="1:6" x14ac:dyDescent="0.15">
      <c r="A923" s="8" t="s">
        <v>2470</v>
      </c>
      <c r="B923" s="8" t="s">
        <v>234</v>
      </c>
      <c r="C923" s="8" t="str">
        <f t="shared" si="36"/>
        <v>att_tmt_channel:tmt18_134N</v>
      </c>
      <c r="D923" s="9" t="s">
        <v>17</v>
      </c>
      <c r="E923" s="8" t="s">
        <v>2471</v>
      </c>
      <c r="F923" s="9" t="s">
        <v>17</v>
      </c>
    </row>
    <row r="924" spans="1:6" x14ac:dyDescent="0.15">
      <c r="A924" s="8" t="s">
        <v>2472</v>
      </c>
      <c r="B924" s="8" t="s">
        <v>234</v>
      </c>
      <c r="C924" s="8" t="str">
        <f t="shared" si="36"/>
        <v>att_tmt_channel:tmt18_135N</v>
      </c>
      <c r="D924" s="9" t="s">
        <v>17</v>
      </c>
      <c r="E924" s="8" t="s">
        <v>2473</v>
      </c>
      <c r="F924" s="9" t="s">
        <v>17</v>
      </c>
    </row>
    <row r="925" spans="1:6" x14ac:dyDescent="0.15">
      <c r="A925" s="8" t="s">
        <v>2474</v>
      </c>
      <c r="B925" s="8" t="s">
        <v>234</v>
      </c>
      <c r="C925" s="8" t="str">
        <f t="shared" si="36"/>
        <v>att_tmt_channel:tmt6_126</v>
      </c>
      <c r="D925" s="9" t="s">
        <v>17</v>
      </c>
      <c r="E925" s="8">
        <v>126</v>
      </c>
      <c r="F925" s="9" t="s">
        <v>17</v>
      </c>
    </row>
    <row r="926" spans="1:6" x14ac:dyDescent="0.15">
      <c r="A926" s="8" t="s">
        <v>2475</v>
      </c>
      <c r="B926" s="8" t="s">
        <v>234</v>
      </c>
      <c r="C926" s="8" t="str">
        <f t="shared" si="36"/>
        <v>att_tmt_channel:tmt6_127</v>
      </c>
      <c r="D926" s="9" t="s">
        <v>17</v>
      </c>
      <c r="E926" s="8">
        <v>127</v>
      </c>
      <c r="F926" s="9" t="s">
        <v>17</v>
      </c>
    </row>
    <row r="927" spans="1:6" x14ac:dyDescent="0.15">
      <c r="A927" s="8" t="s">
        <v>2476</v>
      </c>
      <c r="B927" s="8" t="s">
        <v>234</v>
      </c>
      <c r="C927" s="8" t="str">
        <f t="shared" si="36"/>
        <v>att_tmt_channel:tmt6_128</v>
      </c>
      <c r="D927" s="9" t="s">
        <v>17</v>
      </c>
      <c r="E927" s="8">
        <v>128</v>
      </c>
      <c r="F927" s="9" t="s">
        <v>17</v>
      </c>
    </row>
    <row r="928" spans="1:6" x14ac:dyDescent="0.15">
      <c r="A928" s="8" t="s">
        <v>2477</v>
      </c>
      <c r="B928" s="8" t="s">
        <v>234</v>
      </c>
      <c r="C928" s="8" t="str">
        <f t="shared" si="36"/>
        <v>att_tmt_channel:tmt6_129</v>
      </c>
      <c r="D928" s="9" t="s">
        <v>17</v>
      </c>
      <c r="E928" s="8">
        <v>129</v>
      </c>
      <c r="F928" s="9" t="s">
        <v>17</v>
      </c>
    </row>
    <row r="929" spans="1:6" x14ac:dyDescent="0.15">
      <c r="A929" s="8" t="s">
        <v>2478</v>
      </c>
      <c r="B929" s="8" t="s">
        <v>234</v>
      </c>
      <c r="C929" s="8" t="str">
        <f t="shared" si="36"/>
        <v>att_tmt_channel:tmt6_130</v>
      </c>
      <c r="D929" s="9" t="s">
        <v>17</v>
      </c>
      <c r="E929" s="8">
        <v>130</v>
      </c>
      <c r="F929" s="9" t="s">
        <v>17</v>
      </c>
    </row>
    <row r="930" spans="1:6" x14ac:dyDescent="0.15">
      <c r="A930" s="8" t="s">
        <v>2479</v>
      </c>
      <c r="B930" s="8" t="s">
        <v>234</v>
      </c>
      <c r="C930" s="8" t="str">
        <f t="shared" si="36"/>
        <v>att_tmt_channel:tmt6_131</v>
      </c>
      <c r="D930" s="9" t="s">
        <v>17</v>
      </c>
      <c r="E930" s="8">
        <v>131</v>
      </c>
      <c r="F930" s="9" t="s">
        <v>17</v>
      </c>
    </row>
    <row r="931" spans="1:6" x14ac:dyDescent="0.15">
      <c r="A931" s="8" t="s">
        <v>2480</v>
      </c>
      <c r="B931" s="8" t="s">
        <v>242</v>
      </c>
      <c r="C931" s="8" t="str">
        <f t="shared" si="36"/>
        <v>att_user_institute:biochem</v>
      </c>
      <c r="D931" s="9" t="s">
        <v>17</v>
      </c>
      <c r="E931" s="8" t="s">
        <v>2481</v>
      </c>
      <c r="F931" s="8" t="s">
        <v>2482</v>
      </c>
    </row>
    <row r="932" spans="1:6" x14ac:dyDescent="0.15">
      <c r="A932" s="8" t="s">
        <v>2483</v>
      </c>
      <c r="B932" s="8" t="s">
        <v>242</v>
      </c>
      <c r="C932" s="8" t="str">
        <f t="shared" si="36"/>
        <v>att_user_institute:cecad</v>
      </c>
      <c r="D932" s="9" t="s">
        <v>17</v>
      </c>
      <c r="E932" s="8" t="s">
        <v>2484</v>
      </c>
      <c r="F932" s="8" t="s">
        <v>2485</v>
      </c>
    </row>
    <row r="933" spans="1:6" x14ac:dyDescent="0.15">
      <c r="A933" s="8" t="s">
        <v>2486</v>
      </c>
      <c r="B933" s="8" t="s">
        <v>242</v>
      </c>
      <c r="C933" s="8" t="str">
        <f t="shared" ref="C933:C942" si="40">B933&amp;":"&amp;A933</f>
        <v>att_user_institute:mpiage</v>
      </c>
      <c r="D933" s="9" t="s">
        <v>17</v>
      </c>
      <c r="E933" s="8" t="s">
        <v>2487</v>
      </c>
      <c r="F933" s="8" t="s">
        <v>2488</v>
      </c>
    </row>
    <row r="934" spans="1:6" x14ac:dyDescent="0.15">
      <c r="A934" s="8" t="s">
        <v>2489</v>
      </c>
      <c r="B934" s="8" t="s">
        <v>242</v>
      </c>
      <c r="C934" s="8" t="str">
        <f t="shared" si="40"/>
        <v>att_user_institute:mpimetab</v>
      </c>
      <c r="D934" s="9" t="s">
        <v>17</v>
      </c>
      <c r="E934" s="8" t="s">
        <v>2490</v>
      </c>
      <c r="F934" s="8" t="s">
        <v>2491</v>
      </c>
    </row>
    <row r="935" spans="1:6" x14ac:dyDescent="0.15">
      <c r="A935" s="8" t="s">
        <v>3053</v>
      </c>
      <c r="B935" s="8" t="s">
        <v>242</v>
      </c>
      <c r="C935" s="8" t="str">
        <f t="shared" si="40"/>
        <v>att_user_institute:unibonn</v>
      </c>
      <c r="D935" s="9" t="s">
        <v>17</v>
      </c>
      <c r="E935" s="8" t="s">
        <v>3054</v>
      </c>
      <c r="F935" s="8" t="s">
        <v>3054</v>
      </c>
    </row>
    <row r="936" spans="1:6" x14ac:dyDescent="0.15">
      <c r="A936" s="8" t="s">
        <v>2492</v>
      </c>
      <c r="B936" s="8" t="s">
        <v>246</v>
      </c>
      <c r="C936" s="8" t="str">
        <f t="shared" si="40"/>
        <v>att_user_research_group:mitoprotea</v>
      </c>
      <c r="D936" s="8" t="s">
        <v>17</v>
      </c>
      <c r="E936" s="8" t="s">
        <v>2493</v>
      </c>
      <c r="F936" s="8" t="s">
        <v>2494</v>
      </c>
    </row>
    <row r="937" spans="1:6" x14ac:dyDescent="0.15">
      <c r="A937" s="8" t="s">
        <v>2495</v>
      </c>
      <c r="B937" s="8" t="s">
        <v>246</v>
      </c>
      <c r="C937" s="8" t="str">
        <f t="shared" si="40"/>
        <v>att_user_research_group:molageing</v>
      </c>
      <c r="D937" s="8" t="s">
        <v>17</v>
      </c>
      <c r="E937" s="8" t="s">
        <v>2496</v>
      </c>
      <c r="F937" s="8" t="s">
        <v>2497</v>
      </c>
    </row>
    <row r="938" spans="1:6" x14ac:dyDescent="0.15">
      <c r="A938" s="8" t="s">
        <v>3159</v>
      </c>
      <c r="B938" s="8" t="s">
        <v>246</v>
      </c>
      <c r="C938" s="8" t="str">
        <f t="shared" si="40"/>
        <v>att_user_research_group:protfa</v>
      </c>
      <c r="D938" s="8" t="s">
        <v>17</v>
      </c>
      <c r="E938" s="8" t="s">
        <v>3158</v>
      </c>
      <c r="F938" s="8" t="s">
        <v>3157</v>
      </c>
    </row>
    <row r="939" spans="1:6" x14ac:dyDescent="0.15">
      <c r="A939" s="8" t="s">
        <v>2859</v>
      </c>
      <c r="B939" s="8" t="s">
        <v>246</v>
      </c>
      <c r="C939" s="8" t="str">
        <f t="shared" si="40"/>
        <v>att_user_research_group:frezza</v>
      </c>
      <c r="D939" s="8" t="s">
        <v>17</v>
      </c>
      <c r="E939" s="8" t="s">
        <v>2860</v>
      </c>
      <c r="F939" s="8" t="s">
        <v>2861</v>
      </c>
    </row>
    <row r="940" spans="1:6" x14ac:dyDescent="0.15">
      <c r="A940" s="8" t="s">
        <v>2862</v>
      </c>
      <c r="B940" s="8" t="s">
        <v>246</v>
      </c>
      <c r="C940" s="8" t="str">
        <f t="shared" si="40"/>
        <v>att_user_research_group:krueger</v>
      </c>
      <c r="D940" s="8" t="s">
        <v>17</v>
      </c>
      <c r="E940" s="8" t="s">
        <v>2863</v>
      </c>
      <c r="F940" s="8" t="s">
        <v>2864</v>
      </c>
    </row>
    <row r="941" spans="1:6" x14ac:dyDescent="0.15">
      <c r="A941" s="8" t="s">
        <v>2865</v>
      </c>
      <c r="B941" s="8" t="s">
        <v>246</v>
      </c>
      <c r="C941" s="8" t="str">
        <f t="shared" si="40"/>
        <v>att_user_research_group:rugarli</v>
      </c>
      <c r="D941" s="8" t="s">
        <v>17</v>
      </c>
      <c r="E941" s="8" t="s">
        <v>2866</v>
      </c>
      <c r="F941" s="8" t="s">
        <v>2864</v>
      </c>
    </row>
    <row r="942" spans="1:6" x14ac:dyDescent="0.15">
      <c r="A942" s="8" t="s">
        <v>2867</v>
      </c>
      <c r="B942" s="8" t="s">
        <v>246</v>
      </c>
      <c r="C942" s="8" t="str">
        <f t="shared" si="40"/>
        <v>att_user_research_group:trifunovic</v>
      </c>
      <c r="D942" s="8" t="s">
        <v>17</v>
      </c>
      <c r="E942" s="8" t="s">
        <v>2868</v>
      </c>
      <c r="F942" s="8" t="s">
        <v>2869</v>
      </c>
    </row>
    <row r="943" spans="1:6" x14ac:dyDescent="0.15">
      <c r="A943" s="8" t="s">
        <v>3027</v>
      </c>
      <c r="B943" s="8" t="s">
        <v>246</v>
      </c>
      <c r="C943" s="8" t="str">
        <f t="shared" ref="C943:C952" si="41">B943&amp;":"&amp;A943</f>
        <v>att_user_research_group:bergmani</v>
      </c>
      <c r="D943" s="8" t="s">
        <v>17</v>
      </c>
      <c r="E943" s="8" t="s">
        <v>3035</v>
      </c>
      <c r="F943" s="8" t="s">
        <v>3045</v>
      </c>
    </row>
    <row r="944" spans="1:6" x14ac:dyDescent="0.15">
      <c r="A944" s="8" t="s">
        <v>3028</v>
      </c>
      <c r="B944" s="8" t="s">
        <v>246</v>
      </c>
      <c r="C944" s="8" t="str">
        <f t="shared" si="41"/>
        <v>att_user_research_group:motori</v>
      </c>
      <c r="D944" s="8" t="s">
        <v>17</v>
      </c>
      <c r="E944" s="8" t="s">
        <v>3036</v>
      </c>
      <c r="F944" s="8" t="s">
        <v>3046</v>
      </c>
    </row>
    <row r="945" spans="1:6" x14ac:dyDescent="0.15">
      <c r="A945" s="8" t="s">
        <v>3029</v>
      </c>
      <c r="B945" s="8" t="s">
        <v>246</v>
      </c>
      <c r="C945" s="8" t="str">
        <f t="shared" si="41"/>
        <v>att_user_research_group:becker</v>
      </c>
      <c r="D945" s="8" t="s">
        <v>17</v>
      </c>
      <c r="E945" s="8" t="s">
        <v>3037</v>
      </c>
      <c r="F945" s="8" t="s">
        <v>3052</v>
      </c>
    </row>
    <row r="946" spans="1:6" x14ac:dyDescent="0.15">
      <c r="A946" s="8" t="s">
        <v>3030</v>
      </c>
      <c r="B946" s="8" t="s">
        <v>246</v>
      </c>
      <c r="C946" s="8" t="str">
        <f t="shared" si="41"/>
        <v>att_user_research_group:bruening</v>
      </c>
      <c r="D946" s="8" t="s">
        <v>17</v>
      </c>
      <c r="E946" s="8" t="s">
        <v>3050</v>
      </c>
      <c r="F946" s="8" t="s">
        <v>3049</v>
      </c>
    </row>
    <row r="947" spans="1:6" x14ac:dyDescent="0.15">
      <c r="A947" s="8" t="s">
        <v>3039</v>
      </c>
      <c r="B947" s="8" t="s">
        <v>246</v>
      </c>
      <c r="C947" s="8" t="str">
        <f t="shared" si="41"/>
        <v>att_user_research_group:escobar</v>
      </c>
      <c r="D947" s="8" t="s">
        <v>17</v>
      </c>
      <c r="E947" s="8" t="s">
        <v>3038</v>
      </c>
      <c r="F947" s="8" t="s">
        <v>3047</v>
      </c>
    </row>
    <row r="948" spans="1:6" x14ac:dyDescent="0.15">
      <c r="A948" s="8" t="s">
        <v>2896</v>
      </c>
      <c r="B948" s="8" t="s">
        <v>246</v>
      </c>
      <c r="C948" s="8" t="str">
        <f t="shared" si="41"/>
        <v>att_user_research_group:garcia</v>
      </c>
      <c r="D948" s="8" t="s">
        <v>17</v>
      </c>
      <c r="E948" s="8" t="s">
        <v>2897</v>
      </c>
      <c r="F948" s="8" t="s">
        <v>3048</v>
      </c>
    </row>
    <row r="949" spans="1:6" x14ac:dyDescent="0.15">
      <c r="A949" s="8" t="s">
        <v>3031</v>
      </c>
      <c r="B949" s="8" t="s">
        <v>246</v>
      </c>
      <c r="C949" s="8" t="str">
        <f t="shared" si="41"/>
        <v>att_user_research_group:piano</v>
      </c>
      <c r="D949" s="8" t="s">
        <v>17</v>
      </c>
      <c r="E949" s="8" t="s">
        <v>3040</v>
      </c>
      <c r="F949" s="8" t="s">
        <v>3055</v>
      </c>
    </row>
    <row r="950" spans="1:6" x14ac:dyDescent="0.15">
      <c r="A950" s="8" t="s">
        <v>3032</v>
      </c>
      <c r="B950" s="8" t="s">
        <v>246</v>
      </c>
      <c r="C950" s="8" t="str">
        <f t="shared" si="41"/>
        <v>att_user_research_group:schwarz</v>
      </c>
      <c r="D950" s="8" t="s">
        <v>17</v>
      </c>
      <c r="E950" s="8" t="s">
        <v>3041</v>
      </c>
      <c r="F950" s="8" t="s">
        <v>3051</v>
      </c>
    </row>
    <row r="951" spans="1:6" x14ac:dyDescent="0.15">
      <c r="A951" s="8" t="s">
        <v>3033</v>
      </c>
      <c r="B951" s="8" t="s">
        <v>246</v>
      </c>
      <c r="C951" s="8" t="str">
        <f t="shared" si="41"/>
        <v>att_user_research_group:corrado</v>
      </c>
      <c r="D951" s="8" t="s">
        <v>17</v>
      </c>
      <c r="E951" s="8" t="s">
        <v>3042</v>
      </c>
      <c r="F951" s="8" t="s">
        <v>3056</v>
      </c>
    </row>
    <row r="952" spans="1:6" x14ac:dyDescent="0.15">
      <c r="A952" s="8" t="s">
        <v>3034</v>
      </c>
      <c r="B952" s="8" t="s">
        <v>246</v>
      </c>
      <c r="C952" s="8" t="str">
        <f t="shared" si="41"/>
        <v>att_user_research_group:eming</v>
      </c>
      <c r="D952" s="8" t="s">
        <v>17</v>
      </c>
      <c r="E952" s="8" t="s">
        <v>3043</v>
      </c>
      <c r="F952" s="8" t="s">
        <v>3044</v>
      </c>
    </row>
    <row r="953" spans="1:6" x14ac:dyDescent="0.15">
      <c r="A953" s="8" t="s">
        <v>2893</v>
      </c>
      <c r="B953" s="8" t="s">
        <v>246</v>
      </c>
      <c r="C953" s="8" t="str">
        <f t="shared" ref="C953:C989" si="42">B953&amp;":"&amp;A953</f>
        <v>att_user_research_group:hoppe</v>
      </c>
      <c r="D953" s="8" t="s">
        <v>17</v>
      </c>
      <c r="E953" s="8" t="s">
        <v>2894</v>
      </c>
      <c r="F953" s="8" t="s">
        <v>2895</v>
      </c>
    </row>
    <row r="954" spans="1:6" x14ac:dyDescent="0.15">
      <c r="A954" s="8" t="s">
        <v>2896</v>
      </c>
      <c r="B954" s="8" t="s">
        <v>246</v>
      </c>
      <c r="C954" s="8" t="str">
        <f t="shared" si="42"/>
        <v>att_user_research_group:garcia</v>
      </c>
      <c r="D954" s="8" t="s">
        <v>17</v>
      </c>
      <c r="E954" s="8" t="s">
        <v>2897</v>
      </c>
      <c r="F954" s="8" t="s">
        <v>2895</v>
      </c>
    </row>
    <row r="955" spans="1:6" x14ac:dyDescent="0.15">
      <c r="A955" s="8" t="s">
        <v>2898</v>
      </c>
      <c r="B955" s="8" t="s">
        <v>246</v>
      </c>
      <c r="C955" s="8" t="str">
        <f t="shared" si="42"/>
        <v>att_user_research_group:khaskar</v>
      </c>
      <c r="D955" s="8" t="s">
        <v>17</v>
      </c>
      <c r="E955" s="8" t="s">
        <v>2899</v>
      </c>
      <c r="F955" s="8" t="s">
        <v>2900</v>
      </c>
    </row>
    <row r="956" spans="1:6" x14ac:dyDescent="0.15">
      <c r="A956" s="8" t="s">
        <v>3023</v>
      </c>
      <c r="B956" s="8" t="s">
        <v>246</v>
      </c>
      <c r="C956" s="8" t="str">
        <f t="shared" si="42"/>
        <v>att_user_research_group:riemer</v>
      </c>
      <c r="D956" s="8" t="s">
        <v>17</v>
      </c>
      <c r="E956" s="8" t="s">
        <v>3024</v>
      </c>
      <c r="F956" s="8" t="s">
        <v>3025</v>
      </c>
    </row>
    <row r="957" spans="1:6" x14ac:dyDescent="0.15">
      <c r="A957" s="8" t="s">
        <v>2811</v>
      </c>
      <c r="B957" s="22" t="s">
        <v>2807</v>
      </c>
      <c r="C957" s="8" t="str">
        <f t="shared" si="42"/>
        <v>att_diet:wd</v>
      </c>
      <c r="D957" s="8" t="s">
        <v>17</v>
      </c>
      <c r="E957" s="8" t="s">
        <v>2810</v>
      </c>
      <c r="F957" s="8" t="s">
        <v>2809</v>
      </c>
    </row>
    <row r="958" spans="1:6" x14ac:dyDescent="0.15">
      <c r="A958" s="8" t="s">
        <v>2812</v>
      </c>
      <c r="B958" s="22" t="s">
        <v>2807</v>
      </c>
      <c r="C958" s="8" t="str">
        <f t="shared" si="42"/>
        <v>att_diet:sd</v>
      </c>
      <c r="D958" s="8" t="s">
        <v>17</v>
      </c>
      <c r="E958" s="8" t="s">
        <v>2813</v>
      </c>
    </row>
    <row r="959" spans="1:6" x14ac:dyDescent="0.15">
      <c r="A959" s="8" t="s">
        <v>2814</v>
      </c>
      <c r="B959" s="22" t="s">
        <v>2807</v>
      </c>
      <c r="C959" s="8" t="str">
        <f t="shared" si="42"/>
        <v>att_diet:veg</v>
      </c>
      <c r="D959" s="8" t="s">
        <v>17</v>
      </c>
      <c r="E959" s="8" t="s">
        <v>2815</v>
      </c>
      <c r="F959" s="8" t="s">
        <v>2816</v>
      </c>
    </row>
    <row r="960" spans="1:6" x14ac:dyDescent="0.15">
      <c r="A960" s="8" t="s">
        <v>2819</v>
      </c>
      <c r="B960" s="22" t="s">
        <v>2807</v>
      </c>
      <c r="C960" s="8" t="str">
        <f t="shared" si="42"/>
        <v>att_diet:hg</v>
      </c>
      <c r="D960" s="8" t="s">
        <v>17</v>
      </c>
      <c r="E960" s="8" t="s">
        <v>2817</v>
      </c>
      <c r="F960" s="8" t="s">
        <v>2818</v>
      </c>
    </row>
    <row r="961" spans="1:6" x14ac:dyDescent="0.15">
      <c r="A961" s="8" t="s">
        <v>2822</v>
      </c>
      <c r="B961" s="8" t="s">
        <v>2807</v>
      </c>
      <c r="C961" s="8" t="str">
        <f t="shared" si="42"/>
        <v>att_diet:hfd</v>
      </c>
      <c r="D961" s="8" t="s">
        <v>17</v>
      </c>
      <c r="E961" s="8" t="s">
        <v>2820</v>
      </c>
      <c r="F961" s="8" t="s">
        <v>2821</v>
      </c>
    </row>
    <row r="962" spans="1:6" x14ac:dyDescent="0.15">
      <c r="A962" s="8" t="s">
        <v>2970</v>
      </c>
      <c r="B962" s="8" t="s">
        <v>40</v>
      </c>
      <c r="C962" s="8" t="str">
        <f t="shared" si="42"/>
        <v>att_cell:mdc</v>
      </c>
      <c r="D962" s="8" t="s">
        <v>17</v>
      </c>
      <c r="E962" s="8" t="s">
        <v>2991</v>
      </c>
      <c r="F962" s="8" t="s">
        <v>2990</v>
      </c>
    </row>
    <row r="963" spans="1:6" x14ac:dyDescent="0.15">
      <c r="A963" s="8" t="s">
        <v>2971</v>
      </c>
      <c r="B963" s="8" t="s">
        <v>40</v>
      </c>
      <c r="C963" s="8" t="str">
        <f t="shared" si="42"/>
        <v>att_cell:mtregs</v>
      </c>
      <c r="D963" s="8" t="s">
        <v>17</v>
      </c>
      <c r="E963" s="8" t="s">
        <v>2989</v>
      </c>
      <c r="F963" s="8" t="s">
        <v>2988</v>
      </c>
    </row>
    <row r="964" spans="1:6" x14ac:dyDescent="0.15">
      <c r="A964" s="8" t="s">
        <v>2972</v>
      </c>
      <c r="B964" s="8" t="s">
        <v>40</v>
      </c>
      <c r="C964" s="8" t="str">
        <f t="shared" si="42"/>
        <v>att_cell:pdc</v>
      </c>
      <c r="D964" s="8" t="s">
        <v>17</v>
      </c>
      <c r="E964" s="8" t="s">
        <v>2992</v>
      </c>
      <c r="F964" s="8" t="s">
        <v>2987</v>
      </c>
    </row>
    <row r="965" spans="1:6" x14ac:dyDescent="0.15">
      <c r="A965" s="8" t="s">
        <v>2973</v>
      </c>
      <c r="B965" s="8" t="s">
        <v>40</v>
      </c>
      <c r="C965" s="8" t="str">
        <f t="shared" si="42"/>
        <v>att_cell:attregs</v>
      </c>
      <c r="D965" s="8" t="s">
        <v>17</v>
      </c>
      <c r="E965" s="8" t="s">
        <v>2986</v>
      </c>
      <c r="F965" s="8" t="s">
        <v>2993</v>
      </c>
    </row>
    <row r="966" spans="1:6" x14ac:dyDescent="0.15">
      <c r="A966" s="8" t="s">
        <v>2974</v>
      </c>
      <c r="B966" s="8" t="s">
        <v>40</v>
      </c>
      <c r="C966" s="8" t="str">
        <f t="shared" si="42"/>
        <v>att_cell:infdc</v>
      </c>
      <c r="D966" s="8" t="s">
        <v>17</v>
      </c>
      <c r="E966" s="8" t="s">
        <v>2985</v>
      </c>
      <c r="F966" s="8" t="s">
        <v>2984</v>
      </c>
    </row>
    <row r="967" spans="1:6" x14ac:dyDescent="0.15">
      <c r="A967" s="8" t="s">
        <v>2975</v>
      </c>
      <c r="B967" s="8" t="s">
        <v>40</v>
      </c>
      <c r="C967" s="8" t="str">
        <f t="shared" si="42"/>
        <v>att_cell:itgres</v>
      </c>
      <c r="D967" s="8" t="s">
        <v>17</v>
      </c>
      <c r="E967" s="8" t="s">
        <v>2983</v>
      </c>
      <c r="F967" s="8" t="s">
        <v>2982</v>
      </c>
    </row>
    <row r="968" spans="1:6" x14ac:dyDescent="0.15">
      <c r="A968" s="8" t="s">
        <v>2976</v>
      </c>
      <c r="B968" s="8" t="s">
        <v>40</v>
      </c>
      <c r="C968" s="8" t="str">
        <f t="shared" si="42"/>
        <v>att_cell:dendritic</v>
      </c>
      <c r="D968" s="8" t="s">
        <v>17</v>
      </c>
      <c r="E968" s="8" t="s">
        <v>2981</v>
      </c>
      <c r="F968" s="8" t="s">
        <v>2980</v>
      </c>
    </row>
    <row r="969" spans="1:6" x14ac:dyDescent="0.15">
      <c r="A969" s="8" t="s">
        <v>2977</v>
      </c>
      <c r="B969" s="8" t="s">
        <v>40</v>
      </c>
      <c r="C969" s="8" t="str">
        <f t="shared" si="42"/>
        <v>att_cell:ememcell</v>
      </c>
      <c r="D969" s="8" t="s">
        <v>17</v>
      </c>
      <c r="E969" s="8" t="s">
        <v>2979</v>
      </c>
      <c r="F969" s="8" t="s">
        <v>2978</v>
      </c>
    </row>
    <row r="970" spans="1:6" x14ac:dyDescent="0.15">
      <c r="A970" s="8" t="s">
        <v>2994</v>
      </c>
      <c r="B970" s="8" t="s">
        <v>2908</v>
      </c>
      <c r="C970" s="8" t="str">
        <f t="shared" si="42"/>
        <v>att_subcellular_compartment:supernatant</v>
      </c>
      <c r="D970" s="8" t="s">
        <v>17</v>
      </c>
      <c r="E970" s="8" t="s">
        <v>2995</v>
      </c>
      <c r="F970" s="8" t="s">
        <v>2996</v>
      </c>
    </row>
    <row r="971" spans="1:6" x14ac:dyDescent="0.15">
      <c r="A971" s="8" t="s">
        <v>2998</v>
      </c>
      <c r="B971" s="8" t="s">
        <v>2997</v>
      </c>
      <c r="C971" s="8" t="str">
        <f t="shared" si="42"/>
        <v>att_heart:leftatrium</v>
      </c>
      <c r="D971" s="8" t="s">
        <v>17</v>
      </c>
      <c r="E971" s="8" t="s">
        <v>2999</v>
      </c>
      <c r="F971" s="8" t="s">
        <v>3000</v>
      </c>
    </row>
    <row r="972" spans="1:6" x14ac:dyDescent="0.15">
      <c r="A972" s="8" t="s">
        <v>3001</v>
      </c>
      <c r="B972" s="8" t="s">
        <v>2997</v>
      </c>
      <c r="C972" s="8" t="str">
        <f t="shared" si="42"/>
        <v>att_heart:rightatrium</v>
      </c>
      <c r="D972" s="8" t="s">
        <v>17</v>
      </c>
      <c r="E972" s="8" t="s">
        <v>3002</v>
      </c>
      <c r="F972" s="8" t="s">
        <v>3003</v>
      </c>
    </row>
    <row r="973" spans="1:6" x14ac:dyDescent="0.15">
      <c r="A973" s="8" t="s">
        <v>3021</v>
      </c>
      <c r="B973" s="8" t="s">
        <v>2997</v>
      </c>
      <c r="C973" s="8" t="str">
        <f t="shared" si="42"/>
        <v>att_heart:leftventri</v>
      </c>
      <c r="D973" s="8" t="s">
        <v>17</v>
      </c>
      <c r="E973" s="8" t="s">
        <v>3019</v>
      </c>
      <c r="F973" s="8" t="s">
        <v>3004</v>
      </c>
    </row>
    <row r="974" spans="1:6" x14ac:dyDescent="0.15">
      <c r="A974" s="8" t="s">
        <v>3022</v>
      </c>
      <c r="B974" s="8" t="s">
        <v>2997</v>
      </c>
      <c r="C974" s="8" t="str">
        <f t="shared" si="42"/>
        <v>att_heart:rightventri</v>
      </c>
      <c r="D974" s="8" t="s">
        <v>17</v>
      </c>
      <c r="E974" s="8" t="s">
        <v>3020</v>
      </c>
      <c r="F974" s="8" t="s">
        <v>3004</v>
      </c>
    </row>
    <row r="975" spans="1:6" x14ac:dyDescent="0.15">
      <c r="A975" s="8" t="s">
        <v>3095</v>
      </c>
      <c r="B975" s="8" t="s">
        <v>3093</v>
      </c>
      <c r="C975" s="8" t="str">
        <f t="shared" si="42"/>
        <v>att_muscle_fiber_type:type1</v>
      </c>
      <c r="D975" s="8" t="s">
        <v>17</v>
      </c>
      <c r="E975" s="8" t="s">
        <v>3113</v>
      </c>
      <c r="F975" s="8" t="s">
        <v>3118</v>
      </c>
    </row>
    <row r="976" spans="1:6" x14ac:dyDescent="0.15">
      <c r="A976" s="8" t="s">
        <v>3096</v>
      </c>
      <c r="B976" s="8" t="s">
        <v>3093</v>
      </c>
      <c r="C976" s="8" t="str">
        <f t="shared" si="42"/>
        <v>att_muscle_fiber_type:type2a</v>
      </c>
      <c r="D976" s="8" t="s">
        <v>17</v>
      </c>
      <c r="E976" s="8" t="s">
        <v>3114</v>
      </c>
      <c r="F976" s="8" t="s">
        <v>3119</v>
      </c>
    </row>
    <row r="977" spans="1:6" x14ac:dyDescent="0.15">
      <c r="A977" s="8" t="s">
        <v>3097</v>
      </c>
      <c r="B977" s="8" t="s">
        <v>3093</v>
      </c>
      <c r="C977" s="8" t="str">
        <f t="shared" si="42"/>
        <v>att_muscle_fiber_type:type2b</v>
      </c>
      <c r="D977" s="8" t="s">
        <v>17</v>
      </c>
      <c r="E977" s="8" t="s">
        <v>3115</v>
      </c>
      <c r="F977" s="8" t="s">
        <v>3120</v>
      </c>
    </row>
    <row r="978" spans="1:6" x14ac:dyDescent="0.15">
      <c r="A978" s="8" t="s">
        <v>3098</v>
      </c>
      <c r="B978" s="8" t="s">
        <v>3093</v>
      </c>
      <c r="C978" s="8" t="str">
        <f t="shared" si="42"/>
        <v>att_muscle_fiber_type:type2x</v>
      </c>
      <c r="D978" s="8" t="s">
        <v>17</v>
      </c>
      <c r="E978" s="8" t="s">
        <v>3116</v>
      </c>
      <c r="F978" s="8" t="s">
        <v>3121</v>
      </c>
    </row>
    <row r="979" spans="1:6" x14ac:dyDescent="0.15">
      <c r="A979" s="8" t="s">
        <v>3099</v>
      </c>
      <c r="B979" s="8" t="s">
        <v>3093</v>
      </c>
      <c r="C979" s="8" t="str">
        <f t="shared" si="42"/>
        <v>att_muscle_fiber_type:type2d</v>
      </c>
      <c r="D979" s="8" t="s">
        <v>17</v>
      </c>
      <c r="E979" s="8" t="s">
        <v>3117</v>
      </c>
      <c r="F979" s="8" t="s">
        <v>3100</v>
      </c>
    </row>
    <row r="980" spans="1:6" x14ac:dyDescent="0.15">
      <c r="A980" s="8" t="s">
        <v>3101</v>
      </c>
      <c r="B980" s="8" t="s">
        <v>3093</v>
      </c>
      <c r="C980" s="8" t="str">
        <f t="shared" si="42"/>
        <v>att_muscle_fiber_type:mixedt12a</v>
      </c>
      <c r="D980" s="8" t="s">
        <v>17</v>
      </c>
      <c r="E980" s="8" t="s">
        <v>3102</v>
      </c>
      <c r="F980" s="8" t="s">
        <v>3123</v>
      </c>
    </row>
    <row r="981" spans="1:6" x14ac:dyDescent="0.15">
      <c r="A981" s="8" t="s">
        <v>3103</v>
      </c>
      <c r="B981" s="8" t="s">
        <v>3093</v>
      </c>
      <c r="C981" s="8" t="str">
        <f t="shared" si="42"/>
        <v>att_muscle_fiber_type:mixedt12x</v>
      </c>
      <c r="D981" s="8" t="s">
        <v>17</v>
      </c>
      <c r="E981" s="8" t="s">
        <v>3104</v>
      </c>
      <c r="F981" s="8" t="s">
        <v>3122</v>
      </c>
    </row>
    <row r="982" spans="1:6" x14ac:dyDescent="0.15">
      <c r="A982" s="8" t="s">
        <v>3105</v>
      </c>
      <c r="B982" s="8" t="s">
        <v>3093</v>
      </c>
      <c r="C982" s="8" t="str">
        <f t="shared" si="42"/>
        <v>att_muscle_fiber_type:mixedt1tb</v>
      </c>
      <c r="D982" s="8" t="s">
        <v>17</v>
      </c>
      <c r="E982" s="8" t="s">
        <v>3106</v>
      </c>
      <c r="F982" s="8" t="s">
        <v>3124</v>
      </c>
    </row>
    <row r="983" spans="1:6" x14ac:dyDescent="0.15">
      <c r="A983" s="8" t="s">
        <v>3107</v>
      </c>
      <c r="B983" s="8" t="s">
        <v>3093</v>
      </c>
      <c r="C983" s="8" t="str">
        <f t="shared" si="42"/>
        <v>att_muscle_fiber_type:mixed2a2b</v>
      </c>
      <c r="D983" s="8" t="s">
        <v>17</v>
      </c>
      <c r="E983" s="8" t="s">
        <v>3108</v>
      </c>
      <c r="F983" s="8" t="s">
        <v>3125</v>
      </c>
    </row>
    <row r="984" spans="1:6" x14ac:dyDescent="0.15">
      <c r="A984" s="8" t="s">
        <v>3109</v>
      </c>
      <c r="B984" s="8" t="s">
        <v>3093</v>
      </c>
      <c r="C984" s="8" t="str">
        <f t="shared" si="42"/>
        <v>att_muscle_fiber_type:mixed2a2x</v>
      </c>
      <c r="D984" s="8" t="s">
        <v>17</v>
      </c>
      <c r="E984" s="8" t="s">
        <v>3110</v>
      </c>
      <c r="F984" s="8" t="s">
        <v>3126</v>
      </c>
    </row>
    <row r="985" spans="1:6" x14ac:dyDescent="0.15">
      <c r="A985" s="8" t="s">
        <v>3111</v>
      </c>
      <c r="B985" s="8" t="s">
        <v>3093</v>
      </c>
      <c r="C985" s="8" t="str">
        <f t="shared" si="42"/>
        <v>att_muscle_fiber_type:mixed2b2x</v>
      </c>
      <c r="D985" s="8" t="s">
        <v>17</v>
      </c>
      <c r="E985" s="8" t="s">
        <v>3112</v>
      </c>
      <c r="F985" s="8" t="s">
        <v>3127</v>
      </c>
    </row>
    <row r="986" spans="1:6" x14ac:dyDescent="0.15">
      <c r="A986" s="8" t="s">
        <v>3167</v>
      </c>
      <c r="B986" s="8" t="s">
        <v>3173</v>
      </c>
      <c r="C986" s="8" t="str">
        <f t="shared" si="42"/>
        <v>att_solubilization_frac:pellet</v>
      </c>
      <c r="D986" s="8" t="s">
        <v>17</v>
      </c>
      <c r="E986" s="8" t="s">
        <v>3168</v>
      </c>
      <c r="F986" s="8" t="s">
        <v>3174</v>
      </c>
    </row>
    <row r="987" spans="1:6" x14ac:dyDescent="0.15">
      <c r="A987" s="8" t="s">
        <v>1243</v>
      </c>
      <c r="B987" s="8" t="s">
        <v>3173</v>
      </c>
      <c r="C987" s="8" t="str">
        <f t="shared" si="42"/>
        <v>att_solubilization_frac:total</v>
      </c>
      <c r="D987" s="8" t="s">
        <v>17</v>
      </c>
      <c r="E987" s="8" t="s">
        <v>1244</v>
      </c>
      <c r="F987" s="8" t="s">
        <v>3175</v>
      </c>
    </row>
    <row r="988" spans="1:6" x14ac:dyDescent="0.15">
      <c r="A988" s="8" t="s">
        <v>2994</v>
      </c>
      <c r="B988" s="8" t="s">
        <v>3173</v>
      </c>
      <c r="C988" s="8" t="str">
        <f t="shared" si="42"/>
        <v>att_solubilization_frac:supernatant</v>
      </c>
      <c r="D988" s="8" t="s">
        <v>17</v>
      </c>
      <c r="E988" s="8" t="s">
        <v>2995</v>
      </c>
      <c r="F988" s="8" t="s">
        <v>3176</v>
      </c>
    </row>
    <row r="989" spans="1:6" x14ac:dyDescent="0.15">
      <c r="A989" s="8">
        <v>275</v>
      </c>
      <c r="B989" s="8" t="s">
        <v>37</v>
      </c>
      <c r="C989" s="8" t="str">
        <f t="shared" si="42"/>
        <v>att_cap_temp:275</v>
      </c>
      <c r="D989" s="8" t="s">
        <v>17</v>
      </c>
      <c r="E989" s="8">
        <v>275</v>
      </c>
      <c r="F989" s="8" t="s">
        <v>17</v>
      </c>
    </row>
    <row r="990" spans="1:6" x14ac:dyDescent="0.15">
      <c r="A990" s="8">
        <v>320</v>
      </c>
      <c r="B990" s="8" t="s">
        <v>37</v>
      </c>
      <c r="C990" s="8" t="str">
        <f t="shared" ref="C990:C993" si="43">B990&amp;":"&amp;A990</f>
        <v>att_cap_temp:320</v>
      </c>
      <c r="D990" s="8" t="s">
        <v>17</v>
      </c>
      <c r="E990" s="8">
        <v>320</v>
      </c>
      <c r="F990" s="8" t="s">
        <v>17</v>
      </c>
    </row>
    <row r="991" spans="1:6" x14ac:dyDescent="0.15">
      <c r="A991" s="8">
        <v>-45</v>
      </c>
      <c r="B991" s="8" t="s">
        <v>114</v>
      </c>
      <c r="C991" s="8" t="str">
        <f t="shared" si="43"/>
        <v>att_faims_cv:-45</v>
      </c>
      <c r="D991" s="8" t="s">
        <v>17</v>
      </c>
      <c r="E991" s="8">
        <v>-45</v>
      </c>
      <c r="F991" s="8" t="s">
        <v>17</v>
      </c>
    </row>
    <row r="992" spans="1:6" x14ac:dyDescent="0.15">
      <c r="A992" s="8" t="s">
        <v>3224</v>
      </c>
      <c r="B992" t="s">
        <v>3223</v>
      </c>
      <c r="C992" s="8" t="str">
        <f t="shared" si="43"/>
        <v>att_enrich_frac:input</v>
      </c>
      <c r="D992" s="8" t="s">
        <v>17</v>
      </c>
      <c r="E992" s="8" t="s">
        <v>3225</v>
      </c>
      <c r="F992" t="s">
        <v>3226</v>
      </c>
    </row>
    <row r="993" spans="1:6" x14ac:dyDescent="0.15">
      <c r="A993" s="8" t="s">
        <v>3230</v>
      </c>
      <c r="B993" t="s">
        <v>3223</v>
      </c>
      <c r="C993" s="8" t="str">
        <f t="shared" si="43"/>
        <v>att_enrich_frac:elution</v>
      </c>
      <c r="D993" s="8" t="s">
        <v>17</v>
      </c>
      <c r="E993" s="8" t="s">
        <v>3227</v>
      </c>
      <c r="F993" s="8" t="s">
        <v>3232</v>
      </c>
    </row>
    <row r="994" spans="1:6" x14ac:dyDescent="0.15">
      <c r="A994" s="8" t="s">
        <v>3229</v>
      </c>
      <c r="B994" t="s">
        <v>3223</v>
      </c>
      <c r="C994" s="8" t="str">
        <f t="shared" ref="C994:C996" si="44">B994&amp;":"&amp;A994</f>
        <v>att_enrich_frac:wash</v>
      </c>
      <c r="D994" s="8" t="s">
        <v>17</v>
      </c>
      <c r="E994" s="8" t="s">
        <v>3228</v>
      </c>
      <c r="F994" s="8" t="s">
        <v>3231</v>
      </c>
    </row>
    <row r="995" spans="1:6" x14ac:dyDescent="0.15">
      <c r="A995" s="8" t="s">
        <v>3239</v>
      </c>
      <c r="B995" t="s">
        <v>3238</v>
      </c>
      <c r="C995" s="8" t="str">
        <f t="shared" si="44"/>
        <v>att_cellculture_media:fbs</v>
      </c>
      <c r="D995" s="8" t="s">
        <v>17</v>
      </c>
      <c r="E995" s="8" t="s">
        <v>3240</v>
      </c>
      <c r="F995" s="27" t="s">
        <v>3241</v>
      </c>
    </row>
    <row r="996" spans="1:6" x14ac:dyDescent="0.15">
      <c r="A996" s="8" t="s">
        <v>3242</v>
      </c>
      <c r="B996" t="s">
        <v>3238</v>
      </c>
      <c r="C996" s="8" t="str">
        <f t="shared" si="44"/>
        <v>att_cellculture_media:nofbs</v>
      </c>
      <c r="D996" s="8" t="s">
        <v>17</v>
      </c>
      <c r="E996" s="8" t="s">
        <v>3243</v>
      </c>
      <c r="F996" s="8" t="s">
        <v>3244</v>
      </c>
    </row>
    <row r="997" spans="1:6" ht="16" x14ac:dyDescent="0.2">
      <c r="B997" s="25"/>
    </row>
    <row r="998" spans="1:6" ht="16" x14ac:dyDescent="0.2">
      <c r="B998" s="25"/>
    </row>
    <row r="999" spans="1:6" ht="16" x14ac:dyDescent="0.2">
      <c r="B999" s="25"/>
    </row>
    <row r="1000" spans="1:6" ht="16" x14ac:dyDescent="0.2">
      <c r="B1000" s="25"/>
    </row>
    <row r="1001" spans="1:6" ht="16" x14ac:dyDescent="0.2">
      <c r="B1001" s="25"/>
    </row>
    <row r="1002" spans="1:6" ht="16" x14ac:dyDescent="0.2">
      <c r="B1002" s="24"/>
    </row>
    <row r="1003" spans="1:6" ht="16" x14ac:dyDescent="0.2">
      <c r="B1003" s="24"/>
    </row>
    <row r="1004" spans="1:6" ht="16" x14ac:dyDescent="0.2">
      <c r="B1004" s="25"/>
    </row>
    <row r="1005" spans="1:6" ht="16" x14ac:dyDescent="0.2">
      <c r="B1005" s="25"/>
    </row>
    <row r="1006" spans="1:6" ht="16" x14ac:dyDescent="0.2">
      <c r="B1006" s="25"/>
    </row>
    <row r="1007" spans="1:6" ht="16" x14ac:dyDescent="0.2">
      <c r="B1007" s="25"/>
    </row>
    <row r="1008" spans="1:6" ht="16" x14ac:dyDescent="0.2">
      <c r="B1008" s="25"/>
    </row>
    <row r="1009" spans="2:2" ht="16" x14ac:dyDescent="0.2">
      <c r="B1009" s="25"/>
    </row>
    <row r="1010" spans="2:2" ht="16" x14ac:dyDescent="0.2">
      <c r="B1010" s="25"/>
    </row>
    <row r="1011" spans="2:2" ht="16" x14ac:dyDescent="0.2">
      <c r="B1011" s="25"/>
    </row>
    <row r="1012" spans="2:2" ht="16" x14ac:dyDescent="0.2">
      <c r="B1012" s="24"/>
    </row>
    <row r="1013" spans="2:2" ht="16" x14ac:dyDescent="0.2">
      <c r="B1013" s="24"/>
    </row>
    <row r="1014" spans="2:2" ht="16" x14ac:dyDescent="0.2">
      <c r="B1014" s="25"/>
    </row>
    <row r="1015" spans="2:2" ht="16" x14ac:dyDescent="0.2">
      <c r="B1015" s="25"/>
    </row>
    <row r="1016" spans="2:2" ht="16" x14ac:dyDescent="0.2">
      <c r="B1016" s="25"/>
    </row>
    <row r="1017" spans="2:2" ht="16" x14ac:dyDescent="0.2">
      <c r="B1017" s="25"/>
    </row>
    <row r="1018" spans="2:2" ht="16" x14ac:dyDescent="0.2">
      <c r="B1018" s="25"/>
    </row>
    <row r="1019" spans="2:2" ht="16" x14ac:dyDescent="0.2">
      <c r="B1019" s="25"/>
    </row>
    <row r="1020" spans="2:2" ht="16" x14ac:dyDescent="0.2">
      <c r="B1020" s="25"/>
    </row>
    <row r="1021" spans="2:2" ht="16" x14ac:dyDescent="0.2">
      <c r="B1021" s="25"/>
    </row>
    <row r="1022" spans="2:2" ht="16" x14ac:dyDescent="0.2">
      <c r="B1022" s="24"/>
    </row>
    <row r="1023" spans="2:2" ht="16" x14ac:dyDescent="0.2">
      <c r="B1023" s="24"/>
    </row>
    <row r="1024" spans="2:2" ht="16" x14ac:dyDescent="0.2">
      <c r="B1024" s="25"/>
    </row>
    <row r="1025" spans="2:2" ht="16" x14ac:dyDescent="0.2">
      <c r="B1025" s="25"/>
    </row>
    <row r="1026" spans="2:2" ht="16" x14ac:dyDescent="0.2">
      <c r="B1026" s="25"/>
    </row>
    <row r="1027" spans="2:2" ht="16" x14ac:dyDescent="0.2">
      <c r="B1027" s="25"/>
    </row>
    <row r="1028" spans="2:2" ht="16" x14ac:dyDescent="0.2">
      <c r="B1028" s="25"/>
    </row>
    <row r="1029" spans="2:2" ht="16" x14ac:dyDescent="0.2">
      <c r="B1029" s="25"/>
    </row>
    <row r="1030" spans="2:2" ht="16" x14ac:dyDescent="0.2">
      <c r="B1030" s="25"/>
    </row>
    <row r="1031" spans="2:2" ht="16" x14ac:dyDescent="0.2">
      <c r="B1031" s="25"/>
    </row>
    <row r="1032" spans="2:2" ht="16" x14ac:dyDescent="0.2">
      <c r="B1032" s="24"/>
    </row>
    <row r="1033" spans="2:2" ht="16" x14ac:dyDescent="0.2">
      <c r="B1033" s="24"/>
    </row>
    <row r="1034" spans="2:2" ht="16" x14ac:dyDescent="0.2">
      <c r="B1034" s="25"/>
    </row>
    <row r="1035" spans="2:2" ht="16" x14ac:dyDescent="0.2">
      <c r="B1035" s="25"/>
    </row>
    <row r="1036" spans="2:2" ht="16" x14ac:dyDescent="0.2">
      <c r="B1036" s="25"/>
    </row>
    <row r="1037" spans="2:2" ht="16" x14ac:dyDescent="0.2">
      <c r="B1037" s="25"/>
    </row>
    <row r="1038" spans="2:2" ht="16" x14ac:dyDescent="0.2">
      <c r="B1038" s="25"/>
    </row>
    <row r="1039" spans="2:2" ht="16" x14ac:dyDescent="0.2">
      <c r="B1039" s="25"/>
    </row>
    <row r="1040" spans="2:2" ht="16" x14ac:dyDescent="0.2">
      <c r="B1040" s="25"/>
    </row>
    <row r="1041" spans="2:2" ht="16" x14ac:dyDescent="0.2">
      <c r="B1041" s="25"/>
    </row>
    <row r="1042" spans="2:2" ht="16" x14ac:dyDescent="0.2">
      <c r="B1042" s="24"/>
    </row>
    <row r="1043" spans="2:2" ht="16" x14ac:dyDescent="0.2">
      <c r="B1043" s="24"/>
    </row>
    <row r="1044" spans="2:2" ht="16" x14ac:dyDescent="0.2">
      <c r="B1044" s="25"/>
    </row>
    <row r="1045" spans="2:2" ht="16" x14ac:dyDescent="0.2">
      <c r="B1045" s="25"/>
    </row>
    <row r="1046" spans="2:2" ht="16" x14ac:dyDescent="0.2">
      <c r="B1046" s="25"/>
    </row>
    <row r="1047" spans="2:2" ht="16" x14ac:dyDescent="0.2">
      <c r="B1047" s="25"/>
    </row>
    <row r="1048" spans="2:2" ht="16" x14ac:dyDescent="0.2">
      <c r="B1048" s="25"/>
    </row>
    <row r="1049" spans="2:2" ht="16" x14ac:dyDescent="0.2">
      <c r="B1049" s="25"/>
    </row>
    <row r="1050" spans="2:2" ht="16" x14ac:dyDescent="0.2">
      <c r="B1050" s="25"/>
    </row>
    <row r="1051" spans="2:2" ht="16" x14ac:dyDescent="0.2">
      <c r="B1051" s="25"/>
    </row>
    <row r="1052" spans="2:2" ht="16" x14ac:dyDescent="0.2">
      <c r="B1052" s="24"/>
    </row>
    <row r="1053" spans="2:2" ht="16" x14ac:dyDescent="0.2">
      <c r="B1053" s="24"/>
    </row>
    <row r="1054" spans="2:2" ht="16" x14ac:dyDescent="0.2">
      <c r="B1054" s="25"/>
    </row>
    <row r="1055" spans="2:2" ht="16" x14ac:dyDescent="0.2">
      <c r="B1055" s="25"/>
    </row>
    <row r="1056" spans="2:2" ht="16" x14ac:dyDescent="0.2">
      <c r="B1056" s="25"/>
    </row>
    <row r="1057" spans="2:2" ht="16" x14ac:dyDescent="0.2">
      <c r="B1057" s="25"/>
    </row>
    <row r="1058" spans="2:2" ht="16" x14ac:dyDescent="0.2">
      <c r="B1058" s="25"/>
    </row>
    <row r="1059" spans="2:2" ht="16" x14ac:dyDescent="0.2">
      <c r="B1059" s="25"/>
    </row>
    <row r="1060" spans="2:2" ht="16" x14ac:dyDescent="0.2">
      <c r="B1060" s="25"/>
    </row>
    <row r="1061" spans="2:2" ht="16" x14ac:dyDescent="0.2">
      <c r="B1061" s="25"/>
    </row>
    <row r="1062" spans="2:2" ht="16" x14ac:dyDescent="0.2">
      <c r="B1062" s="24"/>
    </row>
    <row r="1063" spans="2:2" ht="16" x14ac:dyDescent="0.2">
      <c r="B1063" s="24"/>
    </row>
    <row r="1064" spans="2:2" ht="16" x14ac:dyDescent="0.2">
      <c r="B1064" s="25"/>
    </row>
    <row r="1065" spans="2:2" ht="16" x14ac:dyDescent="0.2">
      <c r="B1065" s="25"/>
    </row>
    <row r="1066" spans="2:2" ht="16" x14ac:dyDescent="0.2">
      <c r="B1066" s="25"/>
    </row>
    <row r="1067" spans="2:2" ht="16" x14ac:dyDescent="0.2">
      <c r="B1067" s="25"/>
    </row>
    <row r="1068" spans="2:2" ht="16" x14ac:dyDescent="0.2">
      <c r="B1068" s="25"/>
    </row>
    <row r="1069" spans="2:2" ht="16" x14ac:dyDescent="0.2">
      <c r="B1069" s="25"/>
    </row>
    <row r="1070" spans="2:2" ht="16" x14ac:dyDescent="0.2">
      <c r="B1070" s="25"/>
    </row>
    <row r="1071" spans="2:2" ht="16" x14ac:dyDescent="0.2">
      <c r="B1071" s="25"/>
    </row>
    <row r="1072" spans="2:2" ht="16" x14ac:dyDescent="0.2">
      <c r="B1072" s="24"/>
    </row>
    <row r="1073" spans="2:2" ht="16" x14ac:dyDescent="0.2">
      <c r="B1073" s="24"/>
    </row>
    <row r="1074" spans="2:2" ht="16" x14ac:dyDescent="0.2">
      <c r="B1074" s="25"/>
    </row>
    <row r="1075" spans="2:2" ht="16" x14ac:dyDescent="0.2">
      <c r="B1075" s="25"/>
    </row>
    <row r="1076" spans="2:2" ht="16" x14ac:dyDescent="0.2">
      <c r="B1076" s="25"/>
    </row>
    <row r="1077" spans="2:2" ht="16" x14ac:dyDescent="0.2">
      <c r="B1077" s="25"/>
    </row>
    <row r="1078" spans="2:2" ht="16" x14ac:dyDescent="0.2">
      <c r="B1078" s="25"/>
    </row>
    <row r="1079" spans="2:2" ht="16" x14ac:dyDescent="0.2">
      <c r="B1079" s="25"/>
    </row>
    <row r="1080" spans="2:2" ht="16" x14ac:dyDescent="0.2">
      <c r="B1080" s="25"/>
    </row>
    <row r="1081" spans="2:2" ht="16" x14ac:dyDescent="0.2">
      <c r="B1081" s="25"/>
    </row>
    <row r="1082" spans="2:2" ht="16" x14ac:dyDescent="0.2">
      <c r="B1082" s="24"/>
    </row>
    <row r="1083" spans="2:2" ht="16" x14ac:dyDescent="0.2">
      <c r="B1083" s="24"/>
    </row>
    <row r="1084" spans="2:2" ht="16" x14ac:dyDescent="0.2">
      <c r="B1084" s="25"/>
    </row>
    <row r="1085" spans="2:2" ht="16" x14ac:dyDescent="0.2">
      <c r="B1085" s="25"/>
    </row>
    <row r="1086" spans="2:2" ht="16" x14ac:dyDescent="0.2">
      <c r="B1086" s="25"/>
    </row>
    <row r="1087" spans="2:2" ht="16" x14ac:dyDescent="0.2">
      <c r="B1087" s="25"/>
    </row>
    <row r="1088" spans="2:2" ht="16" x14ac:dyDescent="0.2">
      <c r="B1088" s="25"/>
    </row>
    <row r="1089" spans="2:2" ht="16" x14ac:dyDescent="0.2">
      <c r="B1089" s="25"/>
    </row>
    <row r="1090" spans="2:2" ht="16" x14ac:dyDescent="0.2">
      <c r="B1090" s="25"/>
    </row>
    <row r="1091" spans="2:2" ht="16" x14ac:dyDescent="0.2">
      <c r="B1091" s="25"/>
    </row>
    <row r="1092" spans="2:2" ht="16" x14ac:dyDescent="0.2">
      <c r="B1092" s="24"/>
    </row>
  </sheetData>
  <conditionalFormatting sqref="F9:F196 F198:F236 E252 F344:F352 F240:F342">
    <cfRule type="cellIs" dxfId="3" priority="2" operator="equal">
      <formula>INDIRECT(ADDRESS(ROW()-1,COLUMN()))</formula>
    </cfRule>
  </conditionalFormatting>
  <conditionalFormatting sqref="F383">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2186</v>
      </c>
      <c r="B2" s="8" t="s">
        <v>192</v>
      </c>
      <c r="C2" s="8" t="str">
        <f>B2&amp;":"&amp;A2</f>
        <v>att_organism:UP000000589</v>
      </c>
      <c r="D2" s="8" t="s">
        <v>2187</v>
      </c>
      <c r="E2" s="8" t="s">
        <v>2188</v>
      </c>
      <c r="F2" s="8" t="s">
        <v>2189</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2190</v>
      </c>
      <c r="B3" s="8" t="s">
        <v>192</v>
      </c>
      <c r="C3" s="8" t="str">
        <f>B3&amp;":"&amp;A3</f>
        <v>att_organism:UP000001940</v>
      </c>
      <c r="D3" s="8" t="s">
        <v>2191</v>
      </c>
      <c r="E3" s="8" t="s">
        <v>2192</v>
      </c>
      <c r="F3" s="8" t="s">
        <v>2193</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2194</v>
      </c>
      <c r="B4" s="8" t="s">
        <v>192</v>
      </c>
      <c r="C4" s="8" t="str">
        <f>B4&amp;":"&amp;A4</f>
        <v>att_organism:UP000002311</v>
      </c>
      <c r="D4" s="8" t="s">
        <v>2195</v>
      </c>
      <c r="E4" s="8" t="s">
        <v>2196</v>
      </c>
      <c r="F4" s="8" t="s">
        <v>2197</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2198</v>
      </c>
      <c r="B5" s="8" t="s">
        <v>192</v>
      </c>
      <c r="C5" s="8" t="str">
        <f>B5&amp;":"&amp;A5</f>
        <v>att_organism:UP000002494</v>
      </c>
      <c r="D5" s="8" t="s">
        <v>2199</v>
      </c>
      <c r="E5" s="8" t="s">
        <v>2200</v>
      </c>
      <c r="F5" s="8" t="s">
        <v>2201</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2202</v>
      </c>
      <c r="B6" s="8" t="s">
        <v>192</v>
      </c>
      <c r="C6" s="8" t="str">
        <f>B6&amp;":"&amp;A6</f>
        <v>att_organism:UP000005640</v>
      </c>
      <c r="D6" s="8" t="s">
        <v>2203</v>
      </c>
      <c r="E6" s="8" t="s">
        <v>2204</v>
      </c>
      <c r="F6" s="8" t="s">
        <v>2205</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topLeftCell="W1" workbookViewId="0">
      <selection activeCell="F38" sqref="F38"/>
    </sheetView>
  </sheetViews>
  <sheetFormatPr baseColWidth="10" defaultRowHeight="13" x14ac:dyDescent="0.15"/>
  <sheetData>
    <row r="1" spans="1:1022" x14ac:dyDescent="0.15">
      <c r="A1" s="8" t="s">
        <v>2870</v>
      </c>
      <c r="B1" s="8" t="s">
        <v>246</v>
      </c>
      <c r="C1" s="8" t="str">
        <f t="shared" ref="C1:C8" si="0">B1&amp;":"&amp;A1</f>
        <v>att_user_research_group:niessen</v>
      </c>
      <c r="D1" s="8" t="s">
        <v>17</v>
      </c>
      <c r="E1" s="8" t="s">
        <v>2871</v>
      </c>
      <c r="F1" s="8" t="s">
        <v>2484</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2872</v>
      </c>
      <c r="B2" s="8" t="s">
        <v>246</v>
      </c>
      <c r="C2" s="8" t="str">
        <f t="shared" si="0"/>
        <v>att_user_research_group:gloeckner</v>
      </c>
      <c r="D2" s="8" t="s">
        <v>17</v>
      </c>
      <c r="E2" s="8" t="s">
        <v>2873</v>
      </c>
      <c r="F2" s="8" t="s">
        <v>2874</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2875</v>
      </c>
      <c r="B3" s="8" t="s">
        <v>246</v>
      </c>
      <c r="C3" s="8" t="str">
        <f t="shared" si="0"/>
        <v>att_user_research_group:bazzi</v>
      </c>
      <c r="D3" s="8" t="s">
        <v>17</v>
      </c>
      <c r="E3" s="8" t="s">
        <v>2876</v>
      </c>
      <c r="F3" s="8" t="s">
        <v>2877</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2878</v>
      </c>
      <c r="B4" s="8" t="s">
        <v>246</v>
      </c>
      <c r="C4" s="8" t="str">
        <f t="shared" si="0"/>
        <v>att_user_research_group:hallek</v>
      </c>
      <c r="D4" s="8" t="s">
        <v>17</v>
      </c>
      <c r="E4" s="8" t="s">
        <v>2879</v>
      </c>
      <c r="F4" s="8" t="s">
        <v>2880</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2881</v>
      </c>
      <c r="B5" s="8" t="s">
        <v>246</v>
      </c>
      <c r="C5" s="8" t="str">
        <f t="shared" si="0"/>
        <v>att_user_research_group:benzing</v>
      </c>
      <c r="D5" s="8" t="s">
        <v>17</v>
      </c>
      <c r="E5" s="8" t="s">
        <v>2882</v>
      </c>
      <c r="F5" s="8" t="s">
        <v>2883</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2884</v>
      </c>
      <c r="B6" s="8" t="s">
        <v>246</v>
      </c>
      <c r="C6" s="8" t="str">
        <f t="shared" si="0"/>
        <v>att_user_research_group:hennies</v>
      </c>
      <c r="D6" s="8" t="s">
        <v>17</v>
      </c>
      <c r="E6" s="8" t="s">
        <v>2885</v>
      </c>
      <c r="F6" s="8" t="s">
        <v>2886</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2887</v>
      </c>
      <c r="B7" s="8" t="s">
        <v>246</v>
      </c>
      <c r="C7" s="8" t="str">
        <f t="shared" si="0"/>
        <v>att_user_research_group:vonkarstedt</v>
      </c>
      <c r="D7" s="8" t="s">
        <v>17</v>
      </c>
      <c r="E7" s="8" t="s">
        <v>2888</v>
      </c>
      <c r="F7" s="8" t="s">
        <v>2889</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2890</v>
      </c>
      <c r="B8" s="8" t="s">
        <v>246</v>
      </c>
      <c r="C8" s="8" t="str">
        <f t="shared" si="0"/>
        <v>att_user_research_group:laessig</v>
      </c>
      <c r="D8" s="8" t="s">
        <v>17</v>
      </c>
      <c r="E8" s="8" t="s">
        <v>2891</v>
      </c>
      <c r="F8" s="8" t="s">
        <v>2892</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2498</v>
      </c>
      <c r="B1" s="10" t="s">
        <v>2499</v>
      </c>
      <c r="C1" s="10" t="s">
        <v>2500</v>
      </c>
      <c r="D1" s="10" t="s">
        <v>2501</v>
      </c>
      <c r="E1" s="10" t="s">
        <v>2502</v>
      </c>
      <c r="F1" s="10" t="s">
        <v>2503</v>
      </c>
      <c r="G1" s="10" t="s">
        <v>2504</v>
      </c>
      <c r="H1" s="10" t="s">
        <v>2505</v>
      </c>
      <c r="I1" s="10" t="s">
        <v>2506</v>
      </c>
      <c r="J1" s="10" t="s">
        <v>2507</v>
      </c>
      <c r="K1" s="10" t="s">
        <v>2508</v>
      </c>
      <c r="L1" s="10" t="s">
        <v>2509</v>
      </c>
      <c r="M1" s="10" t="s">
        <v>2510</v>
      </c>
      <c r="N1" s="10" t="s">
        <v>2511</v>
      </c>
      <c r="O1" s="10" t="s">
        <v>2512</v>
      </c>
    </row>
    <row r="2" spans="1:15" x14ac:dyDescent="0.15">
      <c r="A2" s="11" t="s">
        <v>21</v>
      </c>
      <c r="B2" s="11"/>
      <c r="C2" s="6" t="s">
        <v>321</v>
      </c>
      <c r="D2" s="6" t="s">
        <v>322</v>
      </c>
      <c r="E2" s="6" t="s">
        <v>17</v>
      </c>
      <c r="F2" s="6" t="s">
        <v>24</v>
      </c>
      <c r="G2" s="6" t="s">
        <v>2513</v>
      </c>
      <c r="H2" s="6" t="str">
        <f t="shared" ref="H2:H65" si="0">"att_"&amp;G2</f>
        <v>att_acquisition</v>
      </c>
      <c r="I2" s="6" t="s">
        <v>321</v>
      </c>
      <c r="J2" s="6" t="str">
        <f t="shared" ref="J2:J65" si="1">H2&amp;":"&amp;I2</f>
        <v>att_acquisition:dda</v>
      </c>
      <c r="K2" s="11" t="s">
        <v>21</v>
      </c>
      <c r="L2" s="6" t="s">
        <v>323</v>
      </c>
      <c r="M2" s="6" t="s">
        <v>17</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21</v>
      </c>
      <c r="B3" s="11"/>
      <c r="C3" s="6" t="s">
        <v>324</v>
      </c>
      <c r="D3" s="6" t="s">
        <v>325</v>
      </c>
      <c r="E3" s="6" t="s">
        <v>17</v>
      </c>
      <c r="F3" s="6" t="s">
        <v>24</v>
      </c>
      <c r="G3" s="6" t="s">
        <v>2513</v>
      </c>
      <c r="H3" s="6" t="str">
        <f t="shared" si="0"/>
        <v>att_acquisition</v>
      </c>
      <c r="I3" s="6" t="s">
        <v>324</v>
      </c>
      <c r="J3" s="6" t="str">
        <f t="shared" si="1"/>
        <v>att_acquisition:dia</v>
      </c>
      <c r="K3" s="11" t="s">
        <v>21</v>
      </c>
      <c r="L3" s="6" t="s">
        <v>326</v>
      </c>
      <c r="M3" s="6" t="s">
        <v>17</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21</v>
      </c>
      <c r="B4" s="11"/>
      <c r="C4" s="6" t="s">
        <v>327</v>
      </c>
      <c r="D4" s="6" t="s">
        <v>328</v>
      </c>
      <c r="E4" s="6" t="s">
        <v>17</v>
      </c>
      <c r="F4" s="6" t="s">
        <v>24</v>
      </c>
      <c r="G4" s="6" t="s">
        <v>2513</v>
      </c>
      <c r="H4" s="6" t="str">
        <f t="shared" si="0"/>
        <v>att_acquisition</v>
      </c>
      <c r="I4" s="6" t="s">
        <v>327</v>
      </c>
      <c r="J4" s="6" t="str">
        <f t="shared" si="1"/>
        <v>att_acquisition:srm</v>
      </c>
      <c r="K4" s="11" t="s">
        <v>21</v>
      </c>
      <c r="L4" s="6" t="s">
        <v>329</v>
      </c>
      <c r="M4" s="6" t="s">
        <v>17</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2514</v>
      </c>
      <c r="D5" s="6" t="s">
        <v>347</v>
      </c>
      <c r="E5" s="6" t="s">
        <v>17</v>
      </c>
      <c r="F5" s="6" t="s">
        <v>2515</v>
      </c>
      <c r="G5" s="6" t="s">
        <v>2516</v>
      </c>
      <c r="H5" s="6" t="str">
        <f t="shared" si="0"/>
        <v>att_animal_model</v>
      </c>
      <c r="I5" s="6" t="s">
        <v>345</v>
      </c>
      <c r="J5" s="6" t="str">
        <f t="shared" si="1"/>
        <v>att_animal_model:adipoq_cre</v>
      </c>
      <c r="K5" s="11" t="s">
        <v>21</v>
      </c>
      <c r="L5" s="6" t="s">
        <v>348</v>
      </c>
      <c r="M5" s="6" t="s">
        <v>17</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2517</v>
      </c>
      <c r="D6" s="6" t="s">
        <v>350</v>
      </c>
      <c r="E6" s="6" t="s">
        <v>17</v>
      </c>
      <c r="F6" s="6" t="s">
        <v>2515</v>
      </c>
      <c r="G6" s="6" t="s">
        <v>2516</v>
      </c>
      <c r="H6" s="6" t="str">
        <f t="shared" si="0"/>
        <v>att_animal_model</v>
      </c>
      <c r="I6" s="6" t="s">
        <v>349</v>
      </c>
      <c r="J6" s="6" t="str">
        <f t="shared" si="1"/>
        <v>att_animal_model:alb_cre</v>
      </c>
      <c r="K6" s="11" t="s">
        <v>21</v>
      </c>
      <c r="L6" s="6" t="s">
        <v>351</v>
      </c>
      <c r="M6" s="6" t="s">
        <v>17</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2518</v>
      </c>
      <c r="D7" s="6" t="s">
        <v>353</v>
      </c>
      <c r="E7" s="6" t="s">
        <v>17</v>
      </c>
      <c r="F7" s="6" t="s">
        <v>2515</v>
      </c>
      <c r="G7" s="6" t="s">
        <v>2516</v>
      </c>
      <c r="H7" s="6" t="str">
        <f t="shared" si="0"/>
        <v>att_animal_model</v>
      </c>
      <c r="I7" s="6" t="s">
        <v>352</v>
      </c>
      <c r="J7" s="6" t="str">
        <f t="shared" si="1"/>
        <v>att_animal_model:asc_ko</v>
      </c>
      <c r="K7" s="11" t="s">
        <v>21</v>
      </c>
      <c r="L7" s="6" t="s">
        <v>353</v>
      </c>
      <c r="M7" s="6" t="s">
        <v>17</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2519</v>
      </c>
      <c r="D8" s="6" t="s">
        <v>355</v>
      </c>
      <c r="E8" s="6" t="s">
        <v>17</v>
      </c>
      <c r="F8" s="6" t="s">
        <v>2515</v>
      </c>
      <c r="G8" s="6" t="s">
        <v>2516</v>
      </c>
      <c r="H8" s="6" t="str">
        <f t="shared" si="0"/>
        <v>att_animal_model</v>
      </c>
      <c r="I8" s="6" t="s">
        <v>354</v>
      </c>
      <c r="J8" s="6" t="str">
        <f t="shared" si="1"/>
        <v>att_animal_model:baf53b_cre</v>
      </c>
      <c r="K8" s="11" t="s">
        <v>21</v>
      </c>
      <c r="L8" s="6" t="s">
        <v>356</v>
      </c>
      <c r="M8" s="6" t="s">
        <v>17</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2520</v>
      </c>
      <c r="D9" s="6" t="s">
        <v>358</v>
      </c>
      <c r="E9" s="6" t="s">
        <v>17</v>
      </c>
      <c r="F9" s="6" t="s">
        <v>2515</v>
      </c>
      <c r="G9" s="6" t="s">
        <v>2516</v>
      </c>
      <c r="H9" s="6" t="str">
        <f t="shared" si="0"/>
        <v>att_animal_model</v>
      </c>
      <c r="I9" s="6" t="s">
        <v>357</v>
      </c>
      <c r="J9" s="6" t="str">
        <f t="shared" si="1"/>
        <v>att_animal_model:c57_bl6j</v>
      </c>
      <c r="K9" s="11" t="s">
        <v>21</v>
      </c>
      <c r="L9" s="6" t="s">
        <v>358</v>
      </c>
      <c r="M9" s="6" t="s">
        <v>17</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2521</v>
      </c>
      <c r="D10" s="6" t="s">
        <v>360</v>
      </c>
      <c r="E10" s="6" t="s">
        <v>17</v>
      </c>
      <c r="F10" s="6" t="s">
        <v>2515</v>
      </c>
      <c r="G10" s="6" t="s">
        <v>2516</v>
      </c>
      <c r="H10" s="6" t="str">
        <f t="shared" si="0"/>
        <v>att_animal_model</v>
      </c>
      <c r="I10" s="6" t="s">
        <v>359</v>
      </c>
      <c r="J10" s="6" t="str">
        <f t="shared" si="1"/>
        <v>att_animal_model:clec4f_cre</v>
      </c>
      <c r="K10" s="11" t="s">
        <v>21</v>
      </c>
      <c r="L10" s="6" t="s">
        <v>361</v>
      </c>
      <c r="M10" s="6" t="s">
        <v>17</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2522</v>
      </c>
      <c r="D11" s="6" t="s">
        <v>363</v>
      </c>
      <c r="E11" s="6" t="s">
        <v>17</v>
      </c>
      <c r="F11" s="6" t="s">
        <v>2515</v>
      </c>
      <c r="G11" s="6" t="s">
        <v>2516</v>
      </c>
      <c r="H11" s="6" t="str">
        <f t="shared" si="0"/>
        <v>att_animal_model</v>
      </c>
      <c r="I11" s="6" t="s">
        <v>362</v>
      </c>
      <c r="J11" s="6" t="str">
        <f t="shared" si="1"/>
        <v>att_animal_model:cx3cr1_cre</v>
      </c>
      <c r="K11" s="11" t="s">
        <v>21</v>
      </c>
      <c r="L11" s="6" t="s">
        <v>364</v>
      </c>
      <c r="M11" s="6" t="s">
        <v>17</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365</v>
      </c>
      <c r="D12" s="6" t="s">
        <v>366</v>
      </c>
      <c r="E12" s="6" t="s">
        <v>17</v>
      </c>
      <c r="F12" s="6" t="s">
        <v>2515</v>
      </c>
      <c r="G12" s="6" t="s">
        <v>2516</v>
      </c>
      <c r="H12" s="6" t="str">
        <f t="shared" si="0"/>
        <v>att_animal_model</v>
      </c>
      <c r="I12" s="6" t="s">
        <v>365</v>
      </c>
      <c r="J12" s="6" t="str">
        <f t="shared" si="1"/>
        <v>att_animal_model:cxcr4creert2</v>
      </c>
      <c r="K12" s="11" t="s">
        <v>21</v>
      </c>
      <c r="L12" s="6" t="s">
        <v>366</v>
      </c>
      <c r="M12" s="6" t="s">
        <v>17</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2523</v>
      </c>
      <c r="D13" s="6" t="s">
        <v>368</v>
      </c>
      <c r="E13" s="6" t="s">
        <v>17</v>
      </c>
      <c r="F13" s="6" t="s">
        <v>2515</v>
      </c>
      <c r="G13" s="6" t="s">
        <v>2516</v>
      </c>
      <c r="H13" s="6" t="str">
        <f t="shared" si="0"/>
        <v>att_animal_model</v>
      </c>
      <c r="I13" s="6" t="s">
        <v>367</v>
      </c>
      <c r="J13" s="6" t="str">
        <f t="shared" si="1"/>
        <v>att_animal_model:glast_cre</v>
      </c>
      <c r="K13" s="11" t="s">
        <v>21</v>
      </c>
      <c r="L13" s="6" t="s">
        <v>369</v>
      </c>
      <c r="M13" s="6" t="s">
        <v>17</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2524</v>
      </c>
      <c r="D14" s="6" t="s">
        <v>371</v>
      </c>
      <c r="E14" s="6" t="s">
        <v>17</v>
      </c>
      <c r="F14" s="6" t="s">
        <v>2515</v>
      </c>
      <c r="G14" s="6" t="s">
        <v>2516</v>
      </c>
      <c r="H14" s="6" t="str">
        <f t="shared" si="0"/>
        <v>att_animal_model</v>
      </c>
      <c r="I14" s="6" t="s">
        <v>370</v>
      </c>
      <c r="J14" s="6" t="str">
        <f t="shared" si="1"/>
        <v>att_animal_model:lrat_cre</v>
      </c>
      <c r="K14" s="11" t="s">
        <v>21</v>
      </c>
      <c r="L14" s="6" t="s">
        <v>372</v>
      </c>
      <c r="M14" s="6" t="s">
        <v>17</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2525</v>
      </c>
      <c r="D15" s="6" t="s">
        <v>374</v>
      </c>
      <c r="E15" s="6" t="s">
        <v>17</v>
      </c>
      <c r="F15" s="6" t="s">
        <v>2515</v>
      </c>
      <c r="G15" s="6" t="s">
        <v>2516</v>
      </c>
      <c r="H15" s="6" t="str">
        <f t="shared" si="0"/>
        <v>att_animal_model</v>
      </c>
      <c r="I15" s="6" t="s">
        <v>373</v>
      </c>
      <c r="J15" s="6" t="str">
        <f t="shared" si="1"/>
        <v>att_animal_model:lysm_cre</v>
      </c>
      <c r="K15" s="11" t="s">
        <v>21</v>
      </c>
      <c r="L15" s="6" t="s">
        <v>375</v>
      </c>
      <c r="M15" s="6" t="s">
        <v>17</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2526</v>
      </c>
      <c r="D16" s="6" t="s">
        <v>377</v>
      </c>
      <c r="E16" s="6" t="s">
        <v>17</v>
      </c>
      <c r="F16" s="6" t="s">
        <v>2515</v>
      </c>
      <c r="G16" s="6" t="s">
        <v>2516</v>
      </c>
      <c r="H16" s="6" t="str">
        <f t="shared" si="0"/>
        <v>att_animal_model</v>
      </c>
      <c r="I16" s="6" t="s">
        <v>376</v>
      </c>
      <c r="J16" s="6" t="str">
        <f t="shared" si="1"/>
        <v>att_animal_model:ms4a3_cre</v>
      </c>
      <c r="K16" s="11" t="s">
        <v>21</v>
      </c>
      <c r="L16" s="6" t="s">
        <v>378</v>
      </c>
      <c r="M16" s="6" t="s">
        <v>17</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2527</v>
      </c>
      <c r="D17" s="6" t="s">
        <v>380</v>
      </c>
      <c r="E17" s="6" t="s">
        <v>17</v>
      </c>
      <c r="F17" s="6" t="s">
        <v>2515</v>
      </c>
      <c r="G17" s="6" t="s">
        <v>2516</v>
      </c>
      <c r="H17" s="6" t="str">
        <f t="shared" si="0"/>
        <v>att_animal_model</v>
      </c>
      <c r="I17" s="6" t="s">
        <v>379</v>
      </c>
      <c r="J17" s="6" t="str">
        <f t="shared" si="1"/>
        <v>att_animal_model:mt_nlrp3_cre</v>
      </c>
      <c r="K17" s="11" t="s">
        <v>21</v>
      </c>
      <c r="L17" s="6" t="s">
        <v>381</v>
      </c>
      <c r="M17" s="6" t="s">
        <v>17</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2528</v>
      </c>
      <c r="D18" s="6" t="s">
        <v>383</v>
      </c>
      <c r="E18" s="6" t="s">
        <v>17</v>
      </c>
      <c r="F18" s="6" t="s">
        <v>2515</v>
      </c>
      <c r="G18" s="6" t="s">
        <v>2516</v>
      </c>
      <c r="H18" s="6" t="str">
        <f t="shared" si="0"/>
        <v>att_animal_model</v>
      </c>
      <c r="I18" s="6" t="s">
        <v>382</v>
      </c>
      <c r="J18" s="6" t="str">
        <f t="shared" si="1"/>
        <v>att_animal_model:nlrp3_flox</v>
      </c>
      <c r="K18" s="11" t="s">
        <v>21</v>
      </c>
      <c r="L18" s="6" t="s">
        <v>383</v>
      </c>
      <c r="M18" s="6" t="s">
        <v>17</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2529</v>
      </c>
      <c r="D19" s="6" t="s">
        <v>385</v>
      </c>
      <c r="E19" s="6" t="s">
        <v>17</v>
      </c>
      <c r="F19" s="6" t="s">
        <v>2515</v>
      </c>
      <c r="G19" s="6" t="s">
        <v>2516</v>
      </c>
      <c r="H19" s="6" t="str">
        <f t="shared" si="0"/>
        <v>att_animal_model</v>
      </c>
      <c r="I19" s="6" t="s">
        <v>384</v>
      </c>
      <c r="J19" s="6" t="str">
        <f t="shared" si="1"/>
        <v>att_animal_model:nlrp3_ko</v>
      </c>
      <c r="K19" s="11" t="s">
        <v>21</v>
      </c>
      <c r="L19" s="6" t="s">
        <v>385</v>
      </c>
      <c r="M19" s="6" t="s">
        <v>17</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386</v>
      </c>
      <c r="D20" s="6" t="s">
        <v>387</v>
      </c>
      <c r="E20" s="6" t="s">
        <v>17</v>
      </c>
      <c r="F20" s="6" t="s">
        <v>2515</v>
      </c>
      <c r="G20" s="6" t="s">
        <v>2516</v>
      </c>
      <c r="H20" s="6" t="str">
        <f t="shared" si="0"/>
        <v>att_animal_model</v>
      </c>
      <c r="I20" s="6" t="s">
        <v>386</v>
      </c>
      <c r="J20" s="6" t="str">
        <f t="shared" si="1"/>
        <v>att_animal_model:oaf</v>
      </c>
      <c r="K20" s="11" t="s">
        <v>21</v>
      </c>
      <c r="L20" s="6" t="s">
        <v>387</v>
      </c>
      <c r="M20" s="6" t="s">
        <v>17</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2530</v>
      </c>
      <c r="D21" s="6" t="s">
        <v>389</v>
      </c>
      <c r="E21" s="6" t="s">
        <v>17</v>
      </c>
      <c r="F21" s="6" t="s">
        <v>2515</v>
      </c>
      <c r="G21" s="6" t="s">
        <v>2516</v>
      </c>
      <c r="H21" s="6" t="str">
        <f t="shared" si="0"/>
        <v>att_animal_model</v>
      </c>
      <c r="I21" s="6" t="s">
        <v>388</v>
      </c>
      <c r="J21" s="6" t="str">
        <f t="shared" si="1"/>
        <v>att_animal_model:r26_ert2cre</v>
      </c>
      <c r="K21" s="11" t="s">
        <v>21</v>
      </c>
      <c r="L21" s="6" t="s">
        <v>390</v>
      </c>
      <c r="M21" s="6" t="s">
        <v>17</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2531</v>
      </c>
      <c r="D22" s="12" t="s">
        <v>392</v>
      </c>
      <c r="E22" s="6" t="s">
        <v>17</v>
      </c>
      <c r="F22" s="6" t="s">
        <v>2515</v>
      </c>
      <c r="G22" s="6" t="s">
        <v>2516</v>
      </c>
      <c r="H22" s="6" t="str">
        <f t="shared" si="0"/>
        <v>att_animal_model</v>
      </c>
      <c r="I22" s="6" t="s">
        <v>391</v>
      </c>
      <c r="J22" s="6" t="str">
        <f t="shared" si="1"/>
        <v>att_animal_model:r26_metrs_flox</v>
      </c>
      <c r="K22" s="11" t="s">
        <v>21</v>
      </c>
      <c r="L22" s="6" t="s">
        <v>393</v>
      </c>
      <c r="M22" s="6" t="s">
        <v>17</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2532</v>
      </c>
      <c r="D23" s="6" t="s">
        <v>395</v>
      </c>
      <c r="E23" s="6" t="s">
        <v>17</v>
      </c>
      <c r="F23" s="6" t="s">
        <v>2515</v>
      </c>
      <c r="G23" s="6" t="s">
        <v>2516</v>
      </c>
      <c r="H23" s="6" t="str">
        <f t="shared" si="0"/>
        <v>att_animal_model</v>
      </c>
      <c r="I23" s="6" t="s">
        <v>394</v>
      </c>
      <c r="J23" s="6" t="str">
        <f t="shared" si="1"/>
        <v>att_animal_model:r26_nlrp3_flox</v>
      </c>
      <c r="K23" s="11" t="s">
        <v>21</v>
      </c>
      <c r="L23" s="6" t="s">
        <v>395</v>
      </c>
      <c r="M23" s="6" t="s">
        <v>17</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2533</v>
      </c>
      <c r="D24" s="6" t="s">
        <v>397</v>
      </c>
      <c r="E24" s="6" t="s">
        <v>17</v>
      </c>
      <c r="F24" s="6" t="s">
        <v>2515</v>
      </c>
      <c r="G24" s="6" t="s">
        <v>2516</v>
      </c>
      <c r="H24" s="6" t="str">
        <f t="shared" si="0"/>
        <v>att_animal_model</v>
      </c>
      <c r="I24" s="6" t="s">
        <v>396</v>
      </c>
      <c r="J24" s="6" t="str">
        <f t="shared" si="1"/>
        <v>att_animal_model:ribotag_lox</v>
      </c>
      <c r="K24" s="11" t="s">
        <v>21</v>
      </c>
      <c r="L24" s="6" t="s">
        <v>390</v>
      </c>
      <c r="M24" s="6" t="s">
        <v>17</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2534</v>
      </c>
      <c r="D25" s="6" t="s">
        <v>399</v>
      </c>
      <c r="E25" s="6" t="s">
        <v>17</v>
      </c>
      <c r="F25" s="6" t="s">
        <v>2515</v>
      </c>
      <c r="G25" s="6" t="s">
        <v>2516</v>
      </c>
      <c r="H25" s="6" t="str">
        <f t="shared" si="0"/>
        <v>att_animal_model</v>
      </c>
      <c r="I25" s="6" t="s">
        <v>398</v>
      </c>
      <c r="J25" s="6" t="str">
        <f t="shared" si="1"/>
        <v>att_animal_model:sox10_cre</v>
      </c>
      <c r="K25" s="11" t="s">
        <v>21</v>
      </c>
      <c r="L25" s="6" t="s">
        <v>400</v>
      </c>
      <c r="M25" s="6" t="s">
        <v>17</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2535</v>
      </c>
      <c r="D26" s="6" t="s">
        <v>402</v>
      </c>
      <c r="E26" s="6" t="s">
        <v>17</v>
      </c>
      <c r="F26" s="6" t="s">
        <v>2515</v>
      </c>
      <c r="G26" s="6" t="s">
        <v>2516</v>
      </c>
      <c r="H26" s="6" t="str">
        <f t="shared" si="0"/>
        <v>att_animal_model</v>
      </c>
      <c r="I26" s="6" t="s">
        <v>401</v>
      </c>
      <c r="J26" s="6" t="str">
        <f t="shared" si="1"/>
        <v>att_animal_model:ucp1_cre</v>
      </c>
      <c r="K26" s="11" t="s">
        <v>21</v>
      </c>
      <c r="L26" s="6" t="s">
        <v>403</v>
      </c>
      <c r="M26" s="6" t="s">
        <v>17</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2536</v>
      </c>
      <c r="D27" s="6" t="s">
        <v>405</v>
      </c>
      <c r="E27" s="6" t="s">
        <v>17</v>
      </c>
      <c r="F27" s="6" t="s">
        <v>2515</v>
      </c>
      <c r="G27" s="6" t="s">
        <v>2516</v>
      </c>
      <c r="H27" s="6" t="str">
        <f t="shared" si="0"/>
        <v>att_animal_model</v>
      </c>
      <c r="I27" s="6" t="s">
        <v>404</v>
      </c>
      <c r="J27" s="6" t="str">
        <f t="shared" si="1"/>
        <v>att_animal_model:vil_cre</v>
      </c>
      <c r="K27" s="11" t="s">
        <v>21</v>
      </c>
      <c r="L27" s="6" t="s">
        <v>406</v>
      </c>
      <c r="M27" s="6" t="s">
        <v>17</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495</v>
      </c>
      <c r="E28" s="6" t="s">
        <v>17</v>
      </c>
      <c r="F28" s="6" t="s">
        <v>2537</v>
      </c>
      <c r="G28" s="6" t="s">
        <v>2538</v>
      </c>
      <c r="H28" s="6" t="str">
        <f t="shared" si="0"/>
        <v>att_celllines</v>
      </c>
      <c r="I28" s="6" t="s">
        <v>494</v>
      </c>
      <c r="J28" s="6" t="str">
        <f t="shared" si="1"/>
        <v>att_celllines:786_0</v>
      </c>
      <c r="K28" s="11" t="s">
        <v>21</v>
      </c>
      <c r="L28" s="6" t="s">
        <v>496</v>
      </c>
      <c r="M28" s="6" t="s">
        <v>2539</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497</v>
      </c>
      <c r="D29" s="6" t="s">
        <v>498</v>
      </c>
      <c r="E29" s="6" t="s">
        <v>17</v>
      </c>
      <c r="F29" s="6" t="s">
        <v>2537</v>
      </c>
      <c r="G29" s="6" t="s">
        <v>2538</v>
      </c>
      <c r="H29" s="6" t="str">
        <f t="shared" si="0"/>
        <v>att_celllines</v>
      </c>
      <c r="I29" s="6" t="s">
        <v>497</v>
      </c>
      <c r="J29" s="6" t="str">
        <f t="shared" si="1"/>
        <v>att_celllines:a498</v>
      </c>
      <c r="K29" s="11" t="s">
        <v>21</v>
      </c>
      <c r="L29" s="6" t="s">
        <v>496</v>
      </c>
      <c r="M29" s="6" t="s">
        <v>2539</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499</v>
      </c>
      <c r="D30" s="6" t="s">
        <v>500</v>
      </c>
      <c r="E30" s="6" t="s">
        <v>17</v>
      </c>
      <c r="F30" s="6" t="s">
        <v>2537</v>
      </c>
      <c r="G30" s="6" t="s">
        <v>2538</v>
      </c>
      <c r="H30" s="6" t="str">
        <f t="shared" si="0"/>
        <v>att_celllines</v>
      </c>
      <c r="I30" s="6" t="s">
        <v>499</v>
      </c>
      <c r="J30" s="6" t="str">
        <f t="shared" si="1"/>
        <v>att_celllines:a549</v>
      </c>
      <c r="K30" s="11" t="s">
        <v>21</v>
      </c>
      <c r="L30" s="6" t="s">
        <v>501</v>
      </c>
      <c r="M30" s="6" t="s">
        <v>2539</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502</v>
      </c>
      <c r="D31" s="6" t="s">
        <v>503</v>
      </c>
      <c r="E31" s="6" t="s">
        <v>17</v>
      </c>
      <c r="F31" s="6" t="s">
        <v>2537</v>
      </c>
      <c r="G31" s="6" t="s">
        <v>2538</v>
      </c>
      <c r="H31" s="6" t="str">
        <f t="shared" si="0"/>
        <v>att_celllines</v>
      </c>
      <c r="I31" s="6" t="s">
        <v>502</v>
      </c>
      <c r="J31" s="6" t="str">
        <f t="shared" si="1"/>
        <v>att_celllines:achn</v>
      </c>
      <c r="K31" s="11" t="s">
        <v>21</v>
      </c>
      <c r="L31" s="6" t="s">
        <v>496</v>
      </c>
      <c r="M31" s="6" t="s">
        <v>2539</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504</v>
      </c>
      <c r="D32" s="6" t="s">
        <v>505</v>
      </c>
      <c r="E32" s="6" t="s">
        <v>17</v>
      </c>
      <c r="F32" s="6" t="s">
        <v>2537</v>
      </c>
      <c r="G32" s="6" t="s">
        <v>2538</v>
      </c>
      <c r="H32" s="6" t="str">
        <f t="shared" si="0"/>
        <v>att_celllines</v>
      </c>
      <c r="I32" s="6" t="s">
        <v>504</v>
      </c>
      <c r="J32" s="6" t="str">
        <f t="shared" si="1"/>
        <v>att_celllines:bmdc</v>
      </c>
      <c r="K32" s="11" t="s">
        <v>21</v>
      </c>
      <c r="L32" s="6" t="s">
        <v>505</v>
      </c>
      <c r="M32" s="6" t="s">
        <v>17</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506</v>
      </c>
      <c r="D33" s="6" t="s">
        <v>507</v>
      </c>
      <c r="E33" s="6" t="s">
        <v>17</v>
      </c>
      <c r="F33" s="6" t="s">
        <v>2537</v>
      </c>
      <c r="G33" s="6" t="s">
        <v>2538</v>
      </c>
      <c r="H33" s="6" t="str">
        <f t="shared" si="0"/>
        <v>att_celllines</v>
      </c>
      <c r="I33" s="6" t="s">
        <v>506</v>
      </c>
      <c r="J33" s="6" t="str">
        <f t="shared" si="1"/>
        <v>att_celllines:bmm</v>
      </c>
      <c r="K33" s="11" t="s">
        <v>21</v>
      </c>
      <c r="L33" s="6" t="s">
        <v>508</v>
      </c>
      <c r="M33" s="6" t="s">
        <v>17</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509</v>
      </c>
      <c r="D34" s="6" t="s">
        <v>510</v>
      </c>
      <c r="E34" s="6" t="s">
        <v>17</v>
      </c>
      <c r="F34" s="6" t="s">
        <v>2537</v>
      </c>
      <c r="G34" s="6" t="s">
        <v>2538</v>
      </c>
      <c r="H34" s="6" t="str">
        <f t="shared" si="0"/>
        <v>att_celllines</v>
      </c>
      <c r="I34" s="6" t="s">
        <v>509</v>
      </c>
      <c r="J34" s="6" t="str">
        <f t="shared" si="1"/>
        <v>att_celllines:bt549</v>
      </c>
      <c r="K34" s="11" t="s">
        <v>21</v>
      </c>
      <c r="L34" s="6" t="s">
        <v>511</v>
      </c>
      <c r="M34" s="6" t="s">
        <v>2539</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512</v>
      </c>
      <c r="D35" s="6" t="s">
        <v>513</v>
      </c>
      <c r="E35" s="6" t="s">
        <v>17</v>
      </c>
      <c r="F35" s="6" t="s">
        <v>2537</v>
      </c>
      <c r="G35" s="6" t="s">
        <v>2538</v>
      </c>
      <c r="H35" s="6" t="str">
        <f t="shared" si="0"/>
        <v>att_celllines</v>
      </c>
      <c r="I35" s="6" t="s">
        <v>512</v>
      </c>
      <c r="J35" s="6" t="str">
        <f t="shared" si="1"/>
        <v>att_celllines:caki1</v>
      </c>
      <c r="K35" s="11" t="s">
        <v>21</v>
      </c>
      <c r="L35" s="6" t="s">
        <v>496</v>
      </c>
      <c r="M35" s="6" t="s">
        <v>2539</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514</v>
      </c>
      <c r="D36" s="6" t="s">
        <v>515</v>
      </c>
      <c r="E36" s="6" t="s">
        <v>17</v>
      </c>
      <c r="F36" s="6" t="s">
        <v>2537</v>
      </c>
      <c r="G36" s="6" t="s">
        <v>2538</v>
      </c>
      <c r="H36" s="6" t="str">
        <f t="shared" si="0"/>
        <v>att_celllines</v>
      </c>
      <c r="I36" s="6" t="s">
        <v>514</v>
      </c>
      <c r="J36" s="6" t="str">
        <f t="shared" si="1"/>
        <v>att_celllines:cho</v>
      </c>
      <c r="K36" s="11" t="s">
        <v>21</v>
      </c>
      <c r="L36" s="6" t="s">
        <v>516</v>
      </c>
      <c r="M36" s="6" t="s">
        <v>2540</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517</v>
      </c>
      <c r="D37" s="6" t="s">
        <v>518</v>
      </c>
      <c r="E37" s="6" t="s">
        <v>17</v>
      </c>
      <c r="F37" s="6" t="s">
        <v>2537</v>
      </c>
      <c r="G37" s="6" t="s">
        <v>2538</v>
      </c>
      <c r="H37" s="6" t="str">
        <f t="shared" si="0"/>
        <v>att_celllines</v>
      </c>
      <c r="I37" s="6" t="s">
        <v>517</v>
      </c>
      <c r="J37" s="6" t="str">
        <f t="shared" si="1"/>
        <v>att_celllines:colo205</v>
      </c>
      <c r="K37" s="11" t="s">
        <v>21</v>
      </c>
      <c r="L37" s="6" t="s">
        <v>519</v>
      </c>
      <c r="M37" s="6" t="s">
        <v>2539</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520</v>
      </c>
      <c r="D38" s="6" t="s">
        <v>521</v>
      </c>
      <c r="E38" s="6" t="s">
        <v>17</v>
      </c>
      <c r="F38" s="6" t="s">
        <v>2537</v>
      </c>
      <c r="G38" s="6" t="s">
        <v>2538</v>
      </c>
      <c r="H38" s="6" t="str">
        <f t="shared" si="0"/>
        <v>att_celllines</v>
      </c>
      <c r="I38" s="6" t="s">
        <v>520</v>
      </c>
      <c r="J38" s="6" t="str">
        <f t="shared" si="1"/>
        <v>att_celllines:crfcem</v>
      </c>
      <c r="K38" s="11" t="s">
        <v>21</v>
      </c>
      <c r="L38" s="6" t="s">
        <v>522</v>
      </c>
      <c r="M38" s="6" t="s">
        <v>2539</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523</v>
      </c>
      <c r="D39" s="6" t="s">
        <v>524</v>
      </c>
      <c r="E39" s="6" t="s">
        <v>17</v>
      </c>
      <c r="F39" s="6" t="s">
        <v>2537</v>
      </c>
      <c r="G39" s="6" t="s">
        <v>2538</v>
      </c>
      <c r="H39" s="6" t="str">
        <f t="shared" si="0"/>
        <v>att_celllines</v>
      </c>
      <c r="I39" s="6" t="s">
        <v>523</v>
      </c>
      <c r="J39" s="6" t="str">
        <f t="shared" si="1"/>
        <v>att_celllines:du145</v>
      </c>
      <c r="K39" s="11" t="s">
        <v>21</v>
      </c>
      <c r="L39" s="6" t="s">
        <v>525</v>
      </c>
      <c r="M39" s="6" t="s">
        <v>2539</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526</v>
      </c>
      <c r="D40" s="6" t="s">
        <v>527</v>
      </c>
      <c r="E40" s="6" t="s">
        <v>17</v>
      </c>
      <c r="F40" s="6" t="s">
        <v>2537</v>
      </c>
      <c r="G40" s="6" t="s">
        <v>2538</v>
      </c>
      <c r="H40" s="6" t="str">
        <f t="shared" si="0"/>
        <v>att_celllines</v>
      </c>
      <c r="I40" s="6" t="s">
        <v>526</v>
      </c>
      <c r="J40" s="6" t="str">
        <f t="shared" si="1"/>
        <v>att_celllines:ekvx</v>
      </c>
      <c r="K40" s="11" t="s">
        <v>21</v>
      </c>
      <c r="L40" s="6" t="s">
        <v>501</v>
      </c>
      <c r="M40" s="6" t="s">
        <v>2539</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528</v>
      </c>
      <c r="D41" s="6" t="s">
        <v>529</v>
      </c>
      <c r="E41" s="6" t="s">
        <v>17</v>
      </c>
      <c r="F41" s="6" t="s">
        <v>2537</v>
      </c>
      <c r="G41" s="6" t="s">
        <v>2538</v>
      </c>
      <c r="H41" s="6" t="str">
        <f t="shared" si="0"/>
        <v>att_celllines</v>
      </c>
      <c r="I41" s="6" t="s">
        <v>528</v>
      </c>
      <c r="J41" s="6" t="str">
        <f t="shared" si="1"/>
        <v>att_celllines:hcc2998</v>
      </c>
      <c r="K41" s="11" t="s">
        <v>21</v>
      </c>
      <c r="L41" s="6" t="s">
        <v>519</v>
      </c>
      <c r="M41" s="6" t="s">
        <v>2539</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530</v>
      </c>
      <c r="D42" s="6" t="s">
        <v>531</v>
      </c>
      <c r="E42" s="6" t="s">
        <v>17</v>
      </c>
      <c r="F42" s="6" t="s">
        <v>2537</v>
      </c>
      <c r="G42" s="6" t="s">
        <v>2538</v>
      </c>
      <c r="H42" s="6" t="str">
        <f t="shared" si="0"/>
        <v>att_celllines</v>
      </c>
      <c r="I42" s="6" t="s">
        <v>530</v>
      </c>
      <c r="J42" s="6" t="str">
        <f t="shared" si="1"/>
        <v>att_celllines:hct116</v>
      </c>
      <c r="K42" s="11" t="s">
        <v>21</v>
      </c>
      <c r="L42" s="6" t="s">
        <v>519</v>
      </c>
      <c r="M42" s="6" t="s">
        <v>2539</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532</v>
      </c>
      <c r="D43" s="6" t="s">
        <v>533</v>
      </c>
      <c r="E43" s="6" t="s">
        <v>17</v>
      </c>
      <c r="F43" s="6" t="s">
        <v>2537</v>
      </c>
      <c r="G43" s="6" t="s">
        <v>2538</v>
      </c>
      <c r="H43" s="6" t="str">
        <f t="shared" si="0"/>
        <v>att_celllines</v>
      </c>
      <c r="I43" s="6" t="s">
        <v>532</v>
      </c>
      <c r="J43" s="6" t="str">
        <f t="shared" si="1"/>
        <v>att_celllines:hct15</v>
      </c>
      <c r="K43" s="11" t="s">
        <v>21</v>
      </c>
      <c r="L43" s="6" t="s">
        <v>519</v>
      </c>
      <c r="M43" s="6" t="s">
        <v>2539</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534</v>
      </c>
      <c r="D44" s="6" t="s">
        <v>535</v>
      </c>
      <c r="E44" s="6" t="s">
        <v>17</v>
      </c>
      <c r="F44" s="6" t="s">
        <v>2537</v>
      </c>
      <c r="G44" s="6" t="s">
        <v>2538</v>
      </c>
      <c r="H44" s="6" t="str">
        <f t="shared" si="0"/>
        <v>att_celllines</v>
      </c>
      <c r="I44" s="6" t="s">
        <v>534</v>
      </c>
      <c r="J44" s="6" t="str">
        <f t="shared" si="1"/>
        <v>att_celllines:hek293</v>
      </c>
      <c r="K44" s="11" t="s">
        <v>21</v>
      </c>
      <c r="L44" s="6" t="s">
        <v>536</v>
      </c>
      <c r="M44" s="6" t="s">
        <v>2540</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537</v>
      </c>
      <c r="D45" s="6" t="s">
        <v>538</v>
      </c>
      <c r="E45" s="6" t="s">
        <v>17</v>
      </c>
      <c r="F45" s="6" t="s">
        <v>2537</v>
      </c>
      <c r="G45" s="6" t="s">
        <v>2538</v>
      </c>
      <c r="H45" s="6" t="str">
        <f t="shared" si="0"/>
        <v>att_celllines</v>
      </c>
      <c r="I45" s="6" t="s">
        <v>537</v>
      </c>
      <c r="J45" s="6" t="str">
        <f t="shared" si="1"/>
        <v>att_celllines:hek293t</v>
      </c>
      <c r="K45" s="11" t="s">
        <v>21</v>
      </c>
      <c r="L45" s="6" t="s">
        <v>539</v>
      </c>
      <c r="M45" s="6" t="s">
        <v>2540</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540</v>
      </c>
      <c r="D46" s="6" t="s">
        <v>541</v>
      </c>
      <c r="E46" s="6" t="s">
        <v>17</v>
      </c>
      <c r="F46" s="6" t="s">
        <v>2537</v>
      </c>
      <c r="G46" s="6" t="s">
        <v>2538</v>
      </c>
      <c r="H46" s="6" t="str">
        <f t="shared" si="0"/>
        <v>att_celllines</v>
      </c>
      <c r="I46" s="6" t="s">
        <v>540</v>
      </c>
      <c r="J46" s="6" t="str">
        <f t="shared" si="1"/>
        <v>att_celllines:hela</v>
      </c>
      <c r="K46" s="11" t="s">
        <v>21</v>
      </c>
      <c r="L46" s="6" t="s">
        <v>542</v>
      </c>
      <c r="M46" s="6" t="s">
        <v>2540</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543</v>
      </c>
      <c r="D47" s="6" t="s">
        <v>544</v>
      </c>
      <c r="E47" s="6" t="s">
        <v>17</v>
      </c>
      <c r="F47" s="6" t="s">
        <v>2537</v>
      </c>
      <c r="G47" s="6" t="s">
        <v>2538</v>
      </c>
      <c r="H47" s="6" t="str">
        <f t="shared" si="0"/>
        <v>att_celllines</v>
      </c>
      <c r="I47" s="6" t="s">
        <v>543</v>
      </c>
      <c r="J47" s="6" t="str">
        <f t="shared" si="1"/>
        <v>att_celllines:hl60</v>
      </c>
      <c r="K47" s="11" t="s">
        <v>21</v>
      </c>
      <c r="L47" s="6" t="s">
        <v>522</v>
      </c>
      <c r="M47" s="6" t="s">
        <v>2539</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545</v>
      </c>
      <c r="D48" s="6" t="s">
        <v>546</v>
      </c>
      <c r="E48" s="6" t="s">
        <v>17</v>
      </c>
      <c r="F48" s="6" t="s">
        <v>2537</v>
      </c>
      <c r="G48" s="6" t="s">
        <v>2538</v>
      </c>
      <c r="H48" s="6" t="str">
        <f t="shared" si="0"/>
        <v>att_celllines</v>
      </c>
      <c r="I48" s="6" t="s">
        <v>545</v>
      </c>
      <c r="J48" s="6" t="str">
        <f t="shared" si="1"/>
        <v>att_celllines:hop62</v>
      </c>
      <c r="K48" s="11" t="s">
        <v>21</v>
      </c>
      <c r="L48" s="6" t="s">
        <v>501</v>
      </c>
      <c r="M48" s="6" t="s">
        <v>2539</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547</v>
      </c>
      <c r="D49" s="6" t="s">
        <v>548</v>
      </c>
      <c r="E49" s="6" t="s">
        <v>17</v>
      </c>
      <c r="F49" s="6" t="s">
        <v>2537</v>
      </c>
      <c r="G49" s="6" t="s">
        <v>2538</v>
      </c>
      <c r="H49" s="6" t="str">
        <f t="shared" si="0"/>
        <v>att_celllines</v>
      </c>
      <c r="I49" s="6" t="s">
        <v>547</v>
      </c>
      <c r="J49" s="6" t="str">
        <f t="shared" si="1"/>
        <v>att_celllines:hop92</v>
      </c>
      <c r="K49" s="11" t="s">
        <v>21</v>
      </c>
      <c r="L49" s="6" t="s">
        <v>501</v>
      </c>
      <c r="M49" s="6" t="s">
        <v>2539</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549</v>
      </c>
      <c r="D50" s="6" t="s">
        <v>550</v>
      </c>
      <c r="E50" s="6" t="s">
        <v>17</v>
      </c>
      <c r="F50" s="6" t="s">
        <v>2537</v>
      </c>
      <c r="G50" s="6" t="s">
        <v>2538</v>
      </c>
      <c r="H50" s="6" t="str">
        <f t="shared" si="0"/>
        <v>att_celllines</v>
      </c>
      <c r="I50" s="6" t="s">
        <v>549</v>
      </c>
      <c r="J50" s="6" t="str">
        <f t="shared" si="1"/>
        <v>att_celllines:hs578t</v>
      </c>
      <c r="K50" s="11" t="s">
        <v>21</v>
      </c>
      <c r="L50" s="6" t="s">
        <v>511</v>
      </c>
      <c r="M50" s="6" t="s">
        <v>2539</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551</v>
      </c>
      <c r="D51" s="6" t="s">
        <v>552</v>
      </c>
      <c r="E51" s="6" t="s">
        <v>17</v>
      </c>
      <c r="F51" s="6" t="s">
        <v>2537</v>
      </c>
      <c r="G51" s="6" t="s">
        <v>2538</v>
      </c>
      <c r="H51" s="6" t="str">
        <f t="shared" si="0"/>
        <v>att_celllines</v>
      </c>
      <c r="I51" s="6" t="s">
        <v>551</v>
      </c>
      <c r="J51" s="6" t="str">
        <f t="shared" si="1"/>
        <v>att_celllines:ht29</v>
      </c>
      <c r="K51" s="11" t="s">
        <v>21</v>
      </c>
      <c r="L51" s="6" t="s">
        <v>519</v>
      </c>
      <c r="M51" s="6" t="s">
        <v>2539</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553</v>
      </c>
      <c r="D52" s="6" t="s">
        <v>554</v>
      </c>
      <c r="E52" s="6" t="s">
        <v>17</v>
      </c>
      <c r="F52" s="6" t="s">
        <v>2537</v>
      </c>
      <c r="G52" s="6" t="s">
        <v>2538</v>
      </c>
      <c r="H52" s="6" t="str">
        <f t="shared" si="0"/>
        <v>att_celllines</v>
      </c>
      <c r="I52" s="6" t="s">
        <v>553</v>
      </c>
      <c r="J52" s="6" t="str">
        <f t="shared" si="1"/>
        <v>att_celllines:igrov1</v>
      </c>
      <c r="K52" s="11" t="s">
        <v>21</v>
      </c>
      <c r="L52" s="6" t="s">
        <v>555</v>
      </c>
      <c r="M52" s="6" t="s">
        <v>2539</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559</v>
      </c>
      <c r="D53" s="6" t="s">
        <v>560</v>
      </c>
      <c r="E53" s="6" t="s">
        <v>17</v>
      </c>
      <c r="F53" s="6" t="s">
        <v>2537</v>
      </c>
      <c r="G53" s="6" t="s">
        <v>2538</v>
      </c>
      <c r="H53" s="6" t="str">
        <f t="shared" si="0"/>
        <v>att_celllines</v>
      </c>
      <c r="I53" s="6" t="s">
        <v>559</v>
      </c>
      <c r="J53" s="6" t="str">
        <f t="shared" si="1"/>
        <v>att_celllines:jeko1</v>
      </c>
      <c r="K53" s="11" t="s">
        <v>21</v>
      </c>
      <c r="L53" s="6" t="s">
        <v>561</v>
      </c>
      <c r="M53" s="6" t="s">
        <v>17</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562</v>
      </c>
      <c r="D54" s="6" t="s">
        <v>563</v>
      </c>
      <c r="E54" s="6" t="s">
        <v>17</v>
      </c>
      <c r="F54" s="6" t="s">
        <v>2537</v>
      </c>
      <c r="G54" s="6" t="s">
        <v>2538</v>
      </c>
      <c r="H54" s="6" t="str">
        <f t="shared" si="0"/>
        <v>att_celllines</v>
      </c>
      <c r="I54" s="6" t="s">
        <v>562</v>
      </c>
      <c r="J54" s="6" t="str">
        <f t="shared" si="1"/>
        <v>att_celllines:jurkat</v>
      </c>
      <c r="K54" s="11" t="s">
        <v>21</v>
      </c>
      <c r="L54" s="6" t="s">
        <v>564</v>
      </c>
      <c r="M54" s="6" t="s">
        <v>17</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565</v>
      </c>
      <c r="D55" s="6" t="s">
        <v>566</v>
      </c>
      <c r="E55" s="6" t="s">
        <v>17</v>
      </c>
      <c r="F55" s="6" t="s">
        <v>2537</v>
      </c>
      <c r="G55" s="6" t="s">
        <v>2538</v>
      </c>
      <c r="H55" s="6" t="str">
        <f t="shared" si="0"/>
        <v>att_celllines</v>
      </c>
      <c r="I55" s="6" t="s">
        <v>565</v>
      </c>
      <c r="J55" s="6" t="str">
        <f t="shared" si="1"/>
        <v>att_celllines:jvm13</v>
      </c>
      <c r="K55" s="11" t="s">
        <v>21</v>
      </c>
      <c r="L55" s="6" t="s">
        <v>561</v>
      </c>
      <c r="M55" s="6" t="s">
        <v>17</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567</v>
      </c>
      <c r="D56" s="6" t="s">
        <v>568</v>
      </c>
      <c r="E56" s="6" t="s">
        <v>17</v>
      </c>
      <c r="F56" s="6" t="s">
        <v>2537</v>
      </c>
      <c r="G56" s="6" t="s">
        <v>2538</v>
      </c>
      <c r="H56" s="6" t="str">
        <f t="shared" si="0"/>
        <v>att_celllines</v>
      </c>
      <c r="I56" s="6" t="s">
        <v>567</v>
      </c>
      <c r="J56" s="6" t="str">
        <f t="shared" si="1"/>
        <v>att_celllines:jvm2</v>
      </c>
      <c r="K56" s="11" t="s">
        <v>21</v>
      </c>
      <c r="L56" s="6" t="s">
        <v>561</v>
      </c>
      <c r="M56" s="6" t="s">
        <v>17</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569</v>
      </c>
      <c r="D57" s="6" t="s">
        <v>570</v>
      </c>
      <c r="E57" s="6" t="s">
        <v>17</v>
      </c>
      <c r="F57" s="6" t="s">
        <v>2537</v>
      </c>
      <c r="G57" s="6" t="s">
        <v>2538</v>
      </c>
      <c r="H57" s="6" t="str">
        <f t="shared" si="0"/>
        <v>att_celllines</v>
      </c>
      <c r="I57" s="6" t="s">
        <v>569</v>
      </c>
      <c r="J57" s="6" t="str">
        <f t="shared" si="1"/>
        <v>att_celllines:k562</v>
      </c>
      <c r="K57" s="11" t="s">
        <v>21</v>
      </c>
      <c r="L57" s="6" t="s">
        <v>522</v>
      </c>
      <c r="M57" s="6" t="s">
        <v>2539</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571</v>
      </c>
      <c r="D58" s="6" t="s">
        <v>572</v>
      </c>
      <c r="E58" s="6" t="s">
        <v>17</v>
      </c>
      <c r="F58" s="6" t="s">
        <v>2537</v>
      </c>
      <c r="G58" s="6" t="s">
        <v>2538</v>
      </c>
      <c r="H58" s="6" t="str">
        <f t="shared" si="0"/>
        <v>att_celllines</v>
      </c>
      <c r="I58" s="6" t="s">
        <v>571</v>
      </c>
      <c r="J58" s="6" t="str">
        <f t="shared" si="1"/>
        <v>att_celllines:km12</v>
      </c>
      <c r="K58" s="11" t="s">
        <v>21</v>
      </c>
      <c r="L58" s="6" t="s">
        <v>519</v>
      </c>
      <c r="M58" s="6" t="s">
        <v>2539</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573</v>
      </c>
      <c r="D59" s="6" t="s">
        <v>574</v>
      </c>
      <c r="E59" s="6" t="s">
        <v>17</v>
      </c>
      <c r="F59" s="6" t="s">
        <v>2537</v>
      </c>
      <c r="G59" s="6" t="s">
        <v>2538</v>
      </c>
      <c r="H59" s="6" t="str">
        <f t="shared" si="0"/>
        <v>att_celllines</v>
      </c>
      <c r="I59" s="6" t="s">
        <v>573</v>
      </c>
      <c r="J59" s="6" t="str">
        <f t="shared" si="1"/>
        <v>att_celllines:lox_imvi</v>
      </c>
      <c r="K59" s="11" t="s">
        <v>21</v>
      </c>
      <c r="L59" s="6" t="s">
        <v>575</v>
      </c>
      <c r="M59" s="6" t="s">
        <v>2539</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576</v>
      </c>
      <c r="D60" s="6" t="s">
        <v>577</v>
      </c>
      <c r="E60" s="6" t="s">
        <v>17</v>
      </c>
      <c r="F60" s="6" t="s">
        <v>2537</v>
      </c>
      <c r="G60" s="6" t="s">
        <v>2538</v>
      </c>
      <c r="H60" s="6" t="str">
        <f t="shared" si="0"/>
        <v>att_celllines</v>
      </c>
      <c r="I60" s="6" t="s">
        <v>576</v>
      </c>
      <c r="J60" s="6" t="str">
        <f t="shared" si="1"/>
        <v>att_celllines:m14</v>
      </c>
      <c r="K60" s="11" t="s">
        <v>21</v>
      </c>
      <c r="L60" s="6" t="s">
        <v>575</v>
      </c>
      <c r="M60" s="6" t="s">
        <v>2539</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578</v>
      </c>
      <c r="D61" s="6" t="s">
        <v>579</v>
      </c>
      <c r="E61" s="6" t="s">
        <v>17</v>
      </c>
      <c r="F61" s="6" t="s">
        <v>2537</v>
      </c>
      <c r="G61" s="6" t="s">
        <v>2538</v>
      </c>
      <c r="H61" s="6" t="str">
        <f t="shared" si="0"/>
        <v>att_celllines</v>
      </c>
      <c r="I61" s="6" t="s">
        <v>578</v>
      </c>
      <c r="J61" s="6" t="str">
        <f t="shared" si="1"/>
        <v>att_celllines:malme3m</v>
      </c>
      <c r="K61" s="11" t="s">
        <v>21</v>
      </c>
      <c r="L61" s="6" t="s">
        <v>575</v>
      </c>
      <c r="M61" s="6" t="s">
        <v>2539</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580</v>
      </c>
      <c r="D62" s="6" t="s">
        <v>581</v>
      </c>
      <c r="E62" s="6" t="s">
        <v>17</v>
      </c>
      <c r="F62" s="6" t="s">
        <v>2537</v>
      </c>
      <c r="G62" s="6" t="s">
        <v>2538</v>
      </c>
      <c r="H62" s="6" t="str">
        <f t="shared" si="0"/>
        <v>att_celllines</v>
      </c>
      <c r="I62" s="6" t="s">
        <v>580</v>
      </c>
      <c r="J62" s="6" t="str">
        <f t="shared" si="1"/>
        <v>att_celllines:maver1</v>
      </c>
      <c r="K62" s="11" t="s">
        <v>21</v>
      </c>
      <c r="L62" s="6" t="s">
        <v>561</v>
      </c>
      <c r="M62" s="6" t="s">
        <v>17</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582</v>
      </c>
      <c r="D63" s="6" t="s">
        <v>583</v>
      </c>
      <c r="E63" s="6" t="s">
        <v>17</v>
      </c>
      <c r="F63" s="6" t="s">
        <v>2537</v>
      </c>
      <c r="G63" s="6" t="s">
        <v>2538</v>
      </c>
      <c r="H63" s="6" t="str">
        <f t="shared" si="0"/>
        <v>att_celllines</v>
      </c>
      <c r="I63" s="6" t="s">
        <v>582</v>
      </c>
      <c r="J63" s="6" t="str">
        <f t="shared" si="1"/>
        <v>att_celllines:mcf7</v>
      </c>
      <c r="K63" s="11" t="s">
        <v>21</v>
      </c>
      <c r="L63" s="6" t="s">
        <v>511</v>
      </c>
      <c r="M63" s="6" t="s">
        <v>2539</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584</v>
      </c>
      <c r="D64" s="6" t="s">
        <v>585</v>
      </c>
      <c r="E64" s="6" t="s">
        <v>17</v>
      </c>
      <c r="F64" s="6" t="s">
        <v>2537</v>
      </c>
      <c r="G64" s="6" t="s">
        <v>2538</v>
      </c>
      <c r="H64" s="6" t="str">
        <f t="shared" si="0"/>
        <v>att_celllines</v>
      </c>
      <c r="I64" s="6" t="s">
        <v>584</v>
      </c>
      <c r="J64" s="6" t="str">
        <f t="shared" si="1"/>
        <v>att_celllines:mdamb231</v>
      </c>
      <c r="K64" s="11" t="s">
        <v>21</v>
      </c>
      <c r="L64" s="6" t="s">
        <v>511</v>
      </c>
      <c r="M64" s="6" t="s">
        <v>2539</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586</v>
      </c>
      <c r="D65" s="6" t="s">
        <v>587</v>
      </c>
      <c r="E65" s="6" t="s">
        <v>17</v>
      </c>
      <c r="F65" s="6" t="s">
        <v>2537</v>
      </c>
      <c r="G65" s="6" t="s">
        <v>2538</v>
      </c>
      <c r="H65" s="6" t="str">
        <f t="shared" si="0"/>
        <v>att_celllines</v>
      </c>
      <c r="I65" s="6" t="s">
        <v>586</v>
      </c>
      <c r="J65" s="6" t="str">
        <f t="shared" si="1"/>
        <v>att_celllines:mdamb435</v>
      </c>
      <c r="K65" s="11" t="s">
        <v>21</v>
      </c>
      <c r="L65" s="6" t="s">
        <v>575</v>
      </c>
      <c r="M65" s="6" t="s">
        <v>2539</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588</v>
      </c>
      <c r="D66" s="6" t="s">
        <v>589</v>
      </c>
      <c r="E66" s="6" t="s">
        <v>17</v>
      </c>
      <c r="F66" s="6" t="s">
        <v>2537</v>
      </c>
      <c r="G66" s="6" t="s">
        <v>2538</v>
      </c>
      <c r="H66" s="6" t="str">
        <f t="shared" ref="H66:H129" si="4">"att_"&amp;G66</f>
        <v>att_celllines</v>
      </c>
      <c r="I66" s="6" t="s">
        <v>588</v>
      </c>
      <c r="J66" s="6" t="str">
        <f t="shared" ref="J66:J129" si="5">H66&amp;":"&amp;I66</f>
        <v>att_celllines:mdamb468</v>
      </c>
      <c r="K66" s="11" t="s">
        <v>21</v>
      </c>
      <c r="L66" s="6" t="s">
        <v>511</v>
      </c>
      <c r="M66" s="6" t="s">
        <v>2539</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593</v>
      </c>
      <c r="D67" s="6" t="s">
        <v>594</v>
      </c>
      <c r="E67" s="6" t="s">
        <v>17</v>
      </c>
      <c r="F67" s="6" t="s">
        <v>2537</v>
      </c>
      <c r="G67" s="6" t="s">
        <v>2538</v>
      </c>
      <c r="H67" s="6" t="str">
        <f t="shared" si="4"/>
        <v>att_celllines</v>
      </c>
      <c r="I67" s="6" t="s">
        <v>593</v>
      </c>
      <c r="J67" s="6" t="str">
        <f t="shared" si="5"/>
        <v>att_celllines:mino</v>
      </c>
      <c r="K67" s="11" t="s">
        <v>21</v>
      </c>
      <c r="L67" s="6" t="s">
        <v>561</v>
      </c>
      <c r="M67" s="6" t="s">
        <v>17</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595</v>
      </c>
      <c r="D68" s="6" t="s">
        <v>596</v>
      </c>
      <c r="E68" s="6" t="s">
        <v>17</v>
      </c>
      <c r="F68" s="6" t="s">
        <v>2537</v>
      </c>
      <c r="G68" s="6" t="s">
        <v>2538</v>
      </c>
      <c r="H68" s="6" t="str">
        <f t="shared" si="4"/>
        <v>att_celllines</v>
      </c>
      <c r="I68" s="6" t="s">
        <v>595</v>
      </c>
      <c r="J68" s="6" t="str">
        <f t="shared" si="5"/>
        <v>att_celllines:molt4</v>
      </c>
      <c r="K68" s="11" t="s">
        <v>21</v>
      </c>
      <c r="L68" s="6" t="s">
        <v>522</v>
      </c>
      <c r="M68" s="6" t="s">
        <v>2539</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597</v>
      </c>
      <c r="D69" s="6" t="s">
        <v>598</v>
      </c>
      <c r="E69" s="6" t="s">
        <v>17</v>
      </c>
      <c r="F69" s="6" t="s">
        <v>2537</v>
      </c>
      <c r="G69" s="6" t="s">
        <v>2538</v>
      </c>
      <c r="H69" s="6" t="str">
        <f t="shared" si="4"/>
        <v>att_celllines</v>
      </c>
      <c r="I69" s="6" t="s">
        <v>597</v>
      </c>
      <c r="J69" s="6" t="str">
        <f t="shared" si="5"/>
        <v>att_celllines:nceb1</v>
      </c>
      <c r="K69" s="11" t="s">
        <v>21</v>
      </c>
      <c r="L69" s="6" t="s">
        <v>561</v>
      </c>
      <c r="M69" s="6" t="s">
        <v>17</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600</v>
      </c>
      <c r="D70" s="6" t="s">
        <v>601</v>
      </c>
      <c r="E70" s="6" t="s">
        <v>17</v>
      </c>
      <c r="F70" s="6" t="s">
        <v>2537</v>
      </c>
      <c r="G70" s="6" t="s">
        <v>2538</v>
      </c>
      <c r="H70" s="6" t="str">
        <f t="shared" si="4"/>
        <v>att_celllines</v>
      </c>
      <c r="I70" s="6" t="s">
        <v>599</v>
      </c>
      <c r="J70" s="6" t="str">
        <f t="shared" si="5"/>
        <v>att_celllines:nci_adrres</v>
      </c>
      <c r="K70" s="11" t="s">
        <v>21</v>
      </c>
      <c r="L70" s="6" t="s">
        <v>555</v>
      </c>
      <c r="M70" s="6" t="s">
        <v>2539</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603</v>
      </c>
      <c r="D71" s="6" t="s">
        <v>604</v>
      </c>
      <c r="E71" s="6" t="s">
        <v>17</v>
      </c>
      <c r="F71" s="6" t="s">
        <v>2537</v>
      </c>
      <c r="G71" s="6" t="s">
        <v>2538</v>
      </c>
      <c r="H71" s="6" t="str">
        <f t="shared" si="4"/>
        <v>att_celllines</v>
      </c>
      <c r="I71" s="6" t="s">
        <v>602</v>
      </c>
      <c r="J71" s="6" t="str">
        <f t="shared" si="5"/>
        <v>att_celllines:nci_h226</v>
      </c>
      <c r="K71" s="11" t="s">
        <v>21</v>
      </c>
      <c r="L71" s="6" t="s">
        <v>501</v>
      </c>
      <c r="M71" s="6" t="s">
        <v>2539</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606</v>
      </c>
      <c r="D72" s="6" t="s">
        <v>607</v>
      </c>
      <c r="E72" s="6" t="s">
        <v>17</v>
      </c>
      <c r="F72" s="6" t="s">
        <v>2537</v>
      </c>
      <c r="G72" s="6" t="s">
        <v>2538</v>
      </c>
      <c r="H72" s="6" t="str">
        <f t="shared" si="4"/>
        <v>att_celllines</v>
      </c>
      <c r="I72" s="6" t="s">
        <v>605</v>
      </c>
      <c r="J72" s="6" t="str">
        <f t="shared" si="5"/>
        <v>att_celllines:nci_h23</v>
      </c>
      <c r="K72" s="11" t="s">
        <v>21</v>
      </c>
      <c r="L72" s="6" t="s">
        <v>501</v>
      </c>
      <c r="M72" s="6" t="s">
        <v>2539</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609</v>
      </c>
      <c r="D73" s="6" t="s">
        <v>610</v>
      </c>
      <c r="E73" s="6" t="s">
        <v>17</v>
      </c>
      <c r="F73" s="6" t="s">
        <v>2537</v>
      </c>
      <c r="G73" s="6" t="s">
        <v>2538</v>
      </c>
      <c r="H73" s="6" t="str">
        <f t="shared" si="4"/>
        <v>att_celllines</v>
      </c>
      <c r="I73" s="6" t="s">
        <v>608</v>
      </c>
      <c r="J73" s="6" t="str">
        <f t="shared" si="5"/>
        <v>att_celllines:nci_h322m</v>
      </c>
      <c r="K73" s="11" t="s">
        <v>21</v>
      </c>
      <c r="L73" s="6" t="s">
        <v>501</v>
      </c>
      <c r="M73" s="6" t="s">
        <v>2539</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612</v>
      </c>
      <c r="D74" s="6" t="s">
        <v>613</v>
      </c>
      <c r="E74" s="6" t="s">
        <v>17</v>
      </c>
      <c r="F74" s="6" t="s">
        <v>2537</v>
      </c>
      <c r="G74" s="6" t="s">
        <v>2538</v>
      </c>
      <c r="H74" s="6" t="str">
        <f t="shared" si="4"/>
        <v>att_celllines</v>
      </c>
      <c r="I74" s="6" t="s">
        <v>611</v>
      </c>
      <c r="J74" s="6" t="str">
        <f t="shared" si="5"/>
        <v>att_celllines:nci_h460</v>
      </c>
      <c r="K74" s="11" t="s">
        <v>21</v>
      </c>
      <c r="L74" s="6" t="s">
        <v>501</v>
      </c>
      <c r="M74" s="6" t="s">
        <v>2539</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615</v>
      </c>
      <c r="D75" s="6" t="s">
        <v>616</v>
      </c>
      <c r="E75" s="6" t="s">
        <v>17</v>
      </c>
      <c r="F75" s="6" t="s">
        <v>2537</v>
      </c>
      <c r="G75" s="6" t="s">
        <v>2538</v>
      </c>
      <c r="H75" s="6" t="str">
        <f t="shared" si="4"/>
        <v>att_celllines</v>
      </c>
      <c r="I75" s="6" t="s">
        <v>614</v>
      </c>
      <c r="J75" s="6" t="str">
        <f t="shared" si="5"/>
        <v>att_celllines:nci_h522</v>
      </c>
      <c r="K75" s="11" t="s">
        <v>21</v>
      </c>
      <c r="L75" s="6" t="s">
        <v>501</v>
      </c>
      <c r="M75" s="6" t="s">
        <v>2539</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617</v>
      </c>
      <c r="D76" s="6" t="s">
        <v>618</v>
      </c>
      <c r="E76" s="6" t="s">
        <v>17</v>
      </c>
      <c r="F76" s="6" t="s">
        <v>2537</v>
      </c>
      <c r="G76" s="6" t="s">
        <v>2538</v>
      </c>
      <c r="H76" s="6" t="str">
        <f t="shared" si="4"/>
        <v>att_celllines</v>
      </c>
      <c r="I76" s="6" t="s">
        <v>617</v>
      </c>
      <c r="J76" s="6" t="str">
        <f t="shared" si="5"/>
        <v>att_celllines:ovcar3</v>
      </c>
      <c r="K76" s="11" t="s">
        <v>21</v>
      </c>
      <c r="L76" s="6" t="s">
        <v>555</v>
      </c>
      <c r="M76" s="6" t="s">
        <v>2539</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619</v>
      </c>
      <c r="D77" s="6" t="s">
        <v>620</v>
      </c>
      <c r="E77" s="6" t="s">
        <v>17</v>
      </c>
      <c r="F77" s="6" t="s">
        <v>2537</v>
      </c>
      <c r="G77" s="6" t="s">
        <v>2538</v>
      </c>
      <c r="H77" s="6" t="str">
        <f t="shared" si="4"/>
        <v>att_celllines</v>
      </c>
      <c r="I77" s="6" t="s">
        <v>619</v>
      </c>
      <c r="J77" s="6" t="str">
        <f t="shared" si="5"/>
        <v>att_celllines:ovcar4</v>
      </c>
      <c r="K77" s="11" t="s">
        <v>21</v>
      </c>
      <c r="L77" s="6" t="s">
        <v>555</v>
      </c>
      <c r="M77" s="6" t="s">
        <v>2539</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621</v>
      </c>
      <c r="D78" s="6" t="s">
        <v>622</v>
      </c>
      <c r="E78" s="6" t="s">
        <v>17</v>
      </c>
      <c r="F78" s="6" t="s">
        <v>2537</v>
      </c>
      <c r="G78" s="6" t="s">
        <v>2538</v>
      </c>
      <c r="H78" s="6" t="str">
        <f t="shared" si="4"/>
        <v>att_celllines</v>
      </c>
      <c r="I78" s="6" t="s">
        <v>621</v>
      </c>
      <c r="J78" s="6" t="str">
        <f t="shared" si="5"/>
        <v>att_celllines:ovcar5</v>
      </c>
      <c r="K78" s="11" t="s">
        <v>21</v>
      </c>
      <c r="L78" s="6" t="s">
        <v>555</v>
      </c>
      <c r="M78" s="6" t="s">
        <v>2539</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623</v>
      </c>
      <c r="D79" s="6" t="s">
        <v>624</v>
      </c>
      <c r="E79" s="6" t="s">
        <v>17</v>
      </c>
      <c r="F79" s="6" t="s">
        <v>2537</v>
      </c>
      <c r="G79" s="6" t="s">
        <v>2538</v>
      </c>
      <c r="H79" s="6" t="str">
        <f t="shared" si="4"/>
        <v>att_celllines</v>
      </c>
      <c r="I79" s="6" t="s">
        <v>623</v>
      </c>
      <c r="J79" s="6" t="str">
        <f t="shared" si="5"/>
        <v>att_celllines:ovcar8</v>
      </c>
      <c r="K79" s="11" t="s">
        <v>21</v>
      </c>
      <c r="L79" s="6" t="s">
        <v>555</v>
      </c>
      <c r="M79" s="6" t="s">
        <v>2539</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625</v>
      </c>
      <c r="D80" s="6" t="s">
        <v>626</v>
      </c>
      <c r="E80" s="6" t="s">
        <v>17</v>
      </c>
      <c r="F80" s="6" t="s">
        <v>2537</v>
      </c>
      <c r="G80" s="6" t="s">
        <v>2538</v>
      </c>
      <c r="H80" s="6" t="str">
        <f t="shared" si="4"/>
        <v>att_celllines</v>
      </c>
      <c r="I80" s="6" t="s">
        <v>625</v>
      </c>
      <c r="J80" s="6" t="str">
        <f t="shared" si="5"/>
        <v>att_celllines:p388</v>
      </c>
      <c r="K80" s="11" t="s">
        <v>21</v>
      </c>
      <c r="L80" s="6" t="s">
        <v>627</v>
      </c>
      <c r="M80" s="6" t="s">
        <v>17</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628</v>
      </c>
      <c r="D81" s="6" t="s">
        <v>629</v>
      </c>
      <c r="E81" s="6" t="s">
        <v>17</v>
      </c>
      <c r="F81" s="6" t="s">
        <v>2537</v>
      </c>
      <c r="G81" s="6" t="s">
        <v>2538</v>
      </c>
      <c r="H81" s="6" t="str">
        <f t="shared" si="4"/>
        <v>att_celllines</v>
      </c>
      <c r="I81" s="6" t="s">
        <v>628</v>
      </c>
      <c r="J81" s="6" t="str">
        <f t="shared" si="5"/>
        <v>att_celllines:pc3</v>
      </c>
      <c r="K81" s="11" t="s">
        <v>21</v>
      </c>
      <c r="L81" s="6" t="s">
        <v>525</v>
      </c>
      <c r="M81" s="6" t="s">
        <v>2539</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630</v>
      </c>
      <c r="D82" s="6" t="s">
        <v>631</v>
      </c>
      <c r="E82" s="6" t="s">
        <v>17</v>
      </c>
      <c r="F82" s="6" t="s">
        <v>2537</v>
      </c>
      <c r="G82" s="6" t="s">
        <v>2538</v>
      </c>
      <c r="H82" s="6" t="str">
        <f t="shared" si="4"/>
        <v>att_celllines</v>
      </c>
      <c r="I82" s="6" t="s">
        <v>630</v>
      </c>
      <c r="J82" s="6" t="str">
        <f t="shared" si="5"/>
        <v>att_celllines:rec1</v>
      </c>
      <c r="K82" s="11" t="s">
        <v>21</v>
      </c>
      <c r="L82" s="6" t="s">
        <v>561</v>
      </c>
      <c r="M82" s="6" t="s">
        <v>17</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632</v>
      </c>
      <c r="D83" s="6" t="s">
        <v>633</v>
      </c>
      <c r="E83" s="6" t="s">
        <v>17</v>
      </c>
      <c r="F83" s="6" t="s">
        <v>2537</v>
      </c>
      <c r="G83" s="6" t="s">
        <v>2538</v>
      </c>
      <c r="H83" s="6" t="str">
        <f t="shared" si="4"/>
        <v>att_celllines</v>
      </c>
      <c r="I83" s="6" t="s">
        <v>632</v>
      </c>
      <c r="J83" s="6" t="str">
        <f t="shared" si="5"/>
        <v>att_celllines:rpmi8226</v>
      </c>
      <c r="K83" s="11" t="s">
        <v>21</v>
      </c>
      <c r="L83" s="6" t="s">
        <v>522</v>
      </c>
      <c r="M83" s="6" t="s">
        <v>2539</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634</v>
      </c>
      <c r="D84" s="6" t="s">
        <v>635</v>
      </c>
      <c r="E84" s="6" t="s">
        <v>17</v>
      </c>
      <c r="F84" s="6" t="s">
        <v>2537</v>
      </c>
      <c r="G84" s="6" t="s">
        <v>2538</v>
      </c>
      <c r="H84" s="6" t="str">
        <f t="shared" si="4"/>
        <v>att_celllines</v>
      </c>
      <c r="I84" s="6" t="s">
        <v>634</v>
      </c>
      <c r="J84" s="6" t="str">
        <f t="shared" si="5"/>
        <v>att_celllines:rxf393</v>
      </c>
      <c r="K84" s="11" t="s">
        <v>21</v>
      </c>
      <c r="L84" s="6" t="s">
        <v>496</v>
      </c>
      <c r="M84" s="6" t="s">
        <v>2539</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636</v>
      </c>
      <c r="D85" s="6" t="s">
        <v>637</v>
      </c>
      <c r="E85" s="6" t="s">
        <v>17</v>
      </c>
      <c r="F85" s="6" t="s">
        <v>2537</v>
      </c>
      <c r="G85" s="6" t="s">
        <v>2538</v>
      </c>
      <c r="H85" s="6" t="str">
        <f t="shared" si="4"/>
        <v>att_celllines</v>
      </c>
      <c r="I85" s="6" t="s">
        <v>636</v>
      </c>
      <c r="J85" s="6" t="str">
        <f t="shared" si="5"/>
        <v>att_celllines:sf268</v>
      </c>
      <c r="K85" s="11" t="s">
        <v>21</v>
      </c>
      <c r="L85" s="6" t="s">
        <v>638</v>
      </c>
      <c r="M85" s="6" t="s">
        <v>2539</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639</v>
      </c>
      <c r="D86" s="6" t="s">
        <v>640</v>
      </c>
      <c r="E86" s="6" t="s">
        <v>17</v>
      </c>
      <c r="F86" s="6" t="s">
        <v>2537</v>
      </c>
      <c r="G86" s="6" t="s">
        <v>2538</v>
      </c>
      <c r="H86" s="6" t="str">
        <f t="shared" si="4"/>
        <v>att_celllines</v>
      </c>
      <c r="I86" s="6" t="s">
        <v>639</v>
      </c>
      <c r="J86" s="6" t="str">
        <f t="shared" si="5"/>
        <v>att_celllines:sf295</v>
      </c>
      <c r="K86" s="11" t="s">
        <v>21</v>
      </c>
      <c r="L86" s="6" t="s">
        <v>638</v>
      </c>
      <c r="M86" s="6" t="s">
        <v>2539</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641</v>
      </c>
      <c r="D87" s="6" t="s">
        <v>642</v>
      </c>
      <c r="E87" s="6" t="s">
        <v>17</v>
      </c>
      <c r="F87" s="6" t="s">
        <v>2537</v>
      </c>
      <c r="G87" s="6" t="s">
        <v>2538</v>
      </c>
      <c r="H87" s="6" t="str">
        <f t="shared" si="4"/>
        <v>att_celllines</v>
      </c>
      <c r="I87" s="6" t="s">
        <v>641</v>
      </c>
      <c r="J87" s="6" t="str">
        <f t="shared" si="5"/>
        <v>att_celllines:sf539</v>
      </c>
      <c r="K87" s="11" t="s">
        <v>21</v>
      </c>
      <c r="L87" s="6" t="s">
        <v>638</v>
      </c>
      <c r="M87" s="6" t="s">
        <v>2539</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643</v>
      </c>
      <c r="D88" s="6" t="s">
        <v>644</v>
      </c>
      <c r="E88" s="6" t="s">
        <v>17</v>
      </c>
      <c r="F88" s="6" t="s">
        <v>2537</v>
      </c>
      <c r="G88" s="6" t="s">
        <v>2538</v>
      </c>
      <c r="H88" s="6" t="str">
        <f t="shared" si="4"/>
        <v>att_celllines</v>
      </c>
      <c r="I88" s="6" t="s">
        <v>643</v>
      </c>
      <c r="J88" s="6" t="str">
        <f t="shared" si="5"/>
        <v>att_celllines:skmel2</v>
      </c>
      <c r="K88" s="11" t="s">
        <v>21</v>
      </c>
      <c r="L88" s="6" t="s">
        <v>575</v>
      </c>
      <c r="M88" s="6" t="s">
        <v>2539</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645</v>
      </c>
      <c r="D89" s="6" t="s">
        <v>646</v>
      </c>
      <c r="E89" s="6" t="s">
        <v>17</v>
      </c>
      <c r="F89" s="6" t="s">
        <v>2537</v>
      </c>
      <c r="G89" s="6" t="s">
        <v>2538</v>
      </c>
      <c r="H89" s="6" t="str">
        <f t="shared" si="4"/>
        <v>att_celllines</v>
      </c>
      <c r="I89" s="6" t="s">
        <v>645</v>
      </c>
      <c r="J89" s="6" t="str">
        <f t="shared" si="5"/>
        <v>att_celllines:skmel28</v>
      </c>
      <c r="K89" s="11" t="s">
        <v>21</v>
      </c>
      <c r="L89" s="6" t="s">
        <v>575</v>
      </c>
      <c r="M89" s="6" t="s">
        <v>2539</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647</v>
      </c>
      <c r="D90" s="6" t="s">
        <v>648</v>
      </c>
      <c r="E90" s="6" t="s">
        <v>17</v>
      </c>
      <c r="F90" s="6" t="s">
        <v>2537</v>
      </c>
      <c r="G90" s="6" t="s">
        <v>2538</v>
      </c>
      <c r="H90" s="6" t="str">
        <f t="shared" si="4"/>
        <v>att_celllines</v>
      </c>
      <c r="I90" s="6" t="s">
        <v>647</v>
      </c>
      <c r="J90" s="6" t="str">
        <f t="shared" si="5"/>
        <v>att_celllines:skmel5</v>
      </c>
      <c r="K90" s="11" t="s">
        <v>21</v>
      </c>
      <c r="L90" s="6" t="s">
        <v>575</v>
      </c>
      <c r="M90" s="6" t="s">
        <v>2539</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649</v>
      </c>
      <c r="D91" s="6" t="s">
        <v>650</v>
      </c>
      <c r="E91" s="6" t="s">
        <v>17</v>
      </c>
      <c r="F91" s="6" t="s">
        <v>2537</v>
      </c>
      <c r="G91" s="6" t="s">
        <v>2538</v>
      </c>
      <c r="H91" s="6" t="str">
        <f t="shared" si="4"/>
        <v>att_celllines</v>
      </c>
      <c r="I91" s="6" t="s">
        <v>649</v>
      </c>
      <c r="J91" s="6" t="str">
        <f t="shared" si="5"/>
        <v>att_celllines:skov3</v>
      </c>
      <c r="K91" s="11" t="s">
        <v>21</v>
      </c>
      <c r="L91" s="6" t="s">
        <v>555</v>
      </c>
      <c r="M91" s="6" t="s">
        <v>2539</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651</v>
      </c>
      <c r="D92" s="6" t="s">
        <v>652</v>
      </c>
      <c r="E92" s="6" t="s">
        <v>17</v>
      </c>
      <c r="F92" s="6" t="s">
        <v>2537</v>
      </c>
      <c r="G92" s="6" t="s">
        <v>2538</v>
      </c>
      <c r="H92" s="6" t="str">
        <f t="shared" si="4"/>
        <v>att_celllines</v>
      </c>
      <c r="I92" s="6" t="s">
        <v>651</v>
      </c>
      <c r="J92" s="6" t="str">
        <f t="shared" si="5"/>
        <v>att_celllines:sn12c</v>
      </c>
      <c r="K92" s="11" t="s">
        <v>21</v>
      </c>
      <c r="L92" s="6" t="s">
        <v>496</v>
      </c>
      <c r="M92" s="6" t="s">
        <v>2539</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653</v>
      </c>
      <c r="D93" s="6" t="s">
        <v>654</v>
      </c>
      <c r="E93" s="6" t="s">
        <v>17</v>
      </c>
      <c r="F93" s="6" t="s">
        <v>2537</v>
      </c>
      <c r="G93" s="6" t="s">
        <v>2538</v>
      </c>
      <c r="H93" s="6" t="str">
        <f t="shared" si="4"/>
        <v>att_celllines</v>
      </c>
      <c r="I93" s="6" t="s">
        <v>653</v>
      </c>
      <c r="J93" s="6" t="str">
        <f t="shared" si="5"/>
        <v>att_celllines:snb19</v>
      </c>
      <c r="K93" s="11" t="s">
        <v>21</v>
      </c>
      <c r="L93" s="6" t="s">
        <v>638</v>
      </c>
      <c r="M93" s="6" t="s">
        <v>2539</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655</v>
      </c>
      <c r="D94" s="6" t="s">
        <v>656</v>
      </c>
      <c r="E94" s="6" t="s">
        <v>17</v>
      </c>
      <c r="F94" s="6" t="s">
        <v>2537</v>
      </c>
      <c r="G94" s="6" t="s">
        <v>2538</v>
      </c>
      <c r="H94" s="6" t="str">
        <f t="shared" si="4"/>
        <v>att_celllines</v>
      </c>
      <c r="I94" s="6" t="s">
        <v>655</v>
      </c>
      <c r="J94" s="6" t="str">
        <f t="shared" si="5"/>
        <v>att_celllines:snb75</v>
      </c>
      <c r="K94" s="11" t="s">
        <v>21</v>
      </c>
      <c r="L94" s="6" t="s">
        <v>638</v>
      </c>
      <c r="M94" s="6" t="s">
        <v>2539</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657</v>
      </c>
      <c r="D95" s="6" t="s">
        <v>658</v>
      </c>
      <c r="E95" s="6" t="s">
        <v>17</v>
      </c>
      <c r="F95" s="6" t="s">
        <v>2537</v>
      </c>
      <c r="G95" s="6" t="s">
        <v>2538</v>
      </c>
      <c r="H95" s="6" t="str">
        <f t="shared" si="4"/>
        <v>att_celllines</v>
      </c>
      <c r="I95" s="6" t="s">
        <v>657</v>
      </c>
      <c r="J95" s="6" t="str">
        <f t="shared" si="5"/>
        <v>att_celllines:sr</v>
      </c>
      <c r="K95" s="11" t="s">
        <v>21</v>
      </c>
      <c r="L95" s="6" t="s">
        <v>522</v>
      </c>
      <c r="M95" s="6" t="s">
        <v>2539</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659</v>
      </c>
      <c r="D96" s="6" t="s">
        <v>660</v>
      </c>
      <c r="E96" s="6" t="s">
        <v>17</v>
      </c>
      <c r="F96" s="6" t="s">
        <v>2537</v>
      </c>
      <c r="G96" s="6" t="s">
        <v>2538</v>
      </c>
      <c r="H96" s="6" t="str">
        <f t="shared" si="4"/>
        <v>att_celllines</v>
      </c>
      <c r="I96" s="6" t="s">
        <v>659</v>
      </c>
      <c r="J96" s="6" t="str">
        <f t="shared" si="5"/>
        <v>att_celllines:sw620</v>
      </c>
      <c r="K96" s="11" t="s">
        <v>21</v>
      </c>
      <c r="L96" s="6" t="s">
        <v>519</v>
      </c>
      <c r="M96" s="6" t="s">
        <v>2539</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661</v>
      </c>
      <c r="D97" s="6" t="s">
        <v>662</v>
      </c>
      <c r="E97" s="6" t="s">
        <v>17</v>
      </c>
      <c r="F97" s="6" t="s">
        <v>2537</v>
      </c>
      <c r="G97" s="6" t="s">
        <v>2538</v>
      </c>
      <c r="H97" s="6" t="str">
        <f t="shared" si="4"/>
        <v>att_celllines</v>
      </c>
      <c r="I97" s="6" t="s">
        <v>661</v>
      </c>
      <c r="J97" s="6" t="str">
        <f t="shared" si="5"/>
        <v>att_celllines:t47d</v>
      </c>
      <c r="K97" s="11" t="s">
        <v>21</v>
      </c>
      <c r="L97" s="6" t="s">
        <v>511</v>
      </c>
      <c r="M97" s="6" t="s">
        <v>2539</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663</v>
      </c>
      <c r="D98" s="6" t="s">
        <v>664</v>
      </c>
      <c r="E98" s="6" t="s">
        <v>17</v>
      </c>
      <c r="F98" s="6" t="s">
        <v>2537</v>
      </c>
      <c r="G98" s="6" t="s">
        <v>2538</v>
      </c>
      <c r="H98" s="6" t="str">
        <f t="shared" si="4"/>
        <v>att_celllines</v>
      </c>
      <c r="I98" s="6" t="s">
        <v>663</v>
      </c>
      <c r="J98" s="6" t="str">
        <f t="shared" si="5"/>
        <v>att_celllines:thp1</v>
      </c>
      <c r="K98" s="11" t="s">
        <v>21</v>
      </c>
      <c r="L98" s="6" t="s">
        <v>665</v>
      </c>
      <c r="M98" s="6" t="s">
        <v>17</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666</v>
      </c>
      <c r="D99" s="6" t="s">
        <v>667</v>
      </c>
      <c r="E99" s="6" t="s">
        <v>17</v>
      </c>
      <c r="F99" s="6" t="s">
        <v>2537</v>
      </c>
      <c r="G99" s="6" t="s">
        <v>2538</v>
      </c>
      <c r="H99" s="6" t="str">
        <f t="shared" si="4"/>
        <v>att_celllines</v>
      </c>
      <c r="I99" s="6" t="s">
        <v>666</v>
      </c>
      <c r="J99" s="6" t="str">
        <f t="shared" si="5"/>
        <v>att_celllines:tk10</v>
      </c>
      <c r="K99" s="11" t="s">
        <v>21</v>
      </c>
      <c r="L99" s="6" t="s">
        <v>496</v>
      </c>
      <c r="M99" s="6" t="s">
        <v>2539</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668</v>
      </c>
      <c r="D100" s="6" t="s">
        <v>669</v>
      </c>
      <c r="E100" s="6" t="s">
        <v>17</v>
      </c>
      <c r="F100" s="6" t="s">
        <v>2537</v>
      </c>
      <c r="G100" s="6" t="s">
        <v>2538</v>
      </c>
      <c r="H100" s="6" t="str">
        <f t="shared" si="4"/>
        <v>att_celllines</v>
      </c>
      <c r="I100" s="6" t="s">
        <v>668</v>
      </c>
      <c r="J100" s="6" t="str">
        <f t="shared" si="5"/>
        <v>att_celllines:u251</v>
      </c>
      <c r="K100" s="11" t="s">
        <v>21</v>
      </c>
      <c r="L100" s="6" t="s">
        <v>638</v>
      </c>
      <c r="M100" s="6" t="s">
        <v>2539</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670</v>
      </c>
      <c r="D101" s="6" t="s">
        <v>671</v>
      </c>
      <c r="E101" s="6" t="s">
        <v>17</v>
      </c>
      <c r="F101" s="6" t="s">
        <v>2537</v>
      </c>
      <c r="G101" s="6" t="s">
        <v>2538</v>
      </c>
      <c r="H101" s="6" t="str">
        <f t="shared" si="4"/>
        <v>att_celllines</v>
      </c>
      <c r="I101" s="6" t="s">
        <v>670</v>
      </c>
      <c r="J101" s="6" t="str">
        <f t="shared" si="5"/>
        <v>att_celllines:u937</v>
      </c>
      <c r="K101" s="11" t="s">
        <v>21</v>
      </c>
      <c r="L101" s="6" t="s">
        <v>672</v>
      </c>
      <c r="M101" s="6" t="s">
        <v>17</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673</v>
      </c>
      <c r="D102" s="6" t="s">
        <v>674</v>
      </c>
      <c r="E102" s="6" t="s">
        <v>17</v>
      </c>
      <c r="F102" s="6" t="s">
        <v>2537</v>
      </c>
      <c r="G102" s="6" t="s">
        <v>2538</v>
      </c>
      <c r="H102" s="6" t="str">
        <f t="shared" si="4"/>
        <v>att_celllines</v>
      </c>
      <c r="I102" s="6" t="s">
        <v>673</v>
      </c>
      <c r="J102" s="6" t="str">
        <f t="shared" si="5"/>
        <v>att_celllines:uacc257</v>
      </c>
      <c r="K102" s="11" t="s">
        <v>21</v>
      </c>
      <c r="L102" s="6" t="s">
        <v>575</v>
      </c>
      <c r="M102" s="6" t="s">
        <v>2539</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675</v>
      </c>
      <c r="D103" s="6" t="s">
        <v>676</v>
      </c>
      <c r="E103" s="6" t="s">
        <v>17</v>
      </c>
      <c r="F103" s="6" t="s">
        <v>2537</v>
      </c>
      <c r="G103" s="6" t="s">
        <v>2538</v>
      </c>
      <c r="H103" s="6" t="str">
        <f t="shared" si="4"/>
        <v>att_celllines</v>
      </c>
      <c r="I103" s="6" t="s">
        <v>675</v>
      </c>
      <c r="J103" s="6" t="str">
        <f t="shared" si="5"/>
        <v>att_celllines:uacc62</v>
      </c>
      <c r="K103" s="11" t="s">
        <v>21</v>
      </c>
      <c r="L103" s="6" t="s">
        <v>575</v>
      </c>
      <c r="M103" s="6" t="s">
        <v>2539</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677</v>
      </c>
      <c r="D104" s="6" t="s">
        <v>678</v>
      </c>
      <c r="E104" s="6" t="s">
        <v>17</v>
      </c>
      <c r="F104" s="6" t="s">
        <v>2537</v>
      </c>
      <c r="G104" s="6" t="s">
        <v>2538</v>
      </c>
      <c r="H104" s="6" t="str">
        <f t="shared" si="4"/>
        <v>att_celllines</v>
      </c>
      <c r="I104" s="6" t="s">
        <v>677</v>
      </c>
      <c r="J104" s="6" t="str">
        <f t="shared" si="5"/>
        <v>att_celllines:uo31</v>
      </c>
      <c r="K104" s="11" t="s">
        <v>21</v>
      </c>
      <c r="L104" s="6" t="s">
        <v>496</v>
      </c>
      <c r="M104" s="6" t="s">
        <v>2539</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679</v>
      </c>
      <c r="D105" s="6" t="s">
        <v>680</v>
      </c>
      <c r="E105" s="6" t="s">
        <v>17</v>
      </c>
      <c r="F105" s="6" t="s">
        <v>2537</v>
      </c>
      <c r="G105" s="6" t="s">
        <v>2538</v>
      </c>
      <c r="H105" s="6" t="str">
        <f t="shared" si="4"/>
        <v>att_celllines</v>
      </c>
      <c r="I105" s="6" t="s">
        <v>679</v>
      </c>
      <c r="J105" s="6" t="str">
        <f t="shared" si="5"/>
        <v>att_celllines:z138</v>
      </c>
      <c r="K105" s="11" t="s">
        <v>21</v>
      </c>
      <c r="L105" s="6" t="s">
        <v>561</v>
      </c>
      <c r="M105" s="6" t="s">
        <v>17</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408</v>
      </c>
      <c r="D106" s="6" t="s">
        <v>409</v>
      </c>
      <c r="E106" s="6" t="s">
        <v>17</v>
      </c>
      <c r="F106" s="6" t="s">
        <v>2541</v>
      </c>
      <c r="G106" s="6" t="s">
        <v>2542</v>
      </c>
      <c r="H106" s="6" t="str">
        <f t="shared" si="4"/>
        <v>att_cells</v>
      </c>
      <c r="I106" s="6" t="s">
        <v>407</v>
      </c>
      <c r="J106" s="6" t="str">
        <f t="shared" si="5"/>
        <v>att_cells:adipose_macrophages</v>
      </c>
      <c r="K106" s="11" t="s">
        <v>21</v>
      </c>
      <c r="L106" s="6" t="s">
        <v>410</v>
      </c>
      <c r="M106" s="6" t="s">
        <v>17</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411</v>
      </c>
      <c r="D107" s="6" t="s">
        <v>369</v>
      </c>
      <c r="E107" s="6" t="s">
        <v>17</v>
      </c>
      <c r="F107" s="6" t="s">
        <v>2541</v>
      </c>
      <c r="G107" s="6" t="s">
        <v>2542</v>
      </c>
      <c r="H107" s="6" t="str">
        <f t="shared" si="4"/>
        <v>att_cells</v>
      </c>
      <c r="I107" s="6" t="s">
        <v>411</v>
      </c>
      <c r="J107" s="6" t="str">
        <f t="shared" si="5"/>
        <v>att_cells:astrocytes</v>
      </c>
      <c r="K107" s="11" t="s">
        <v>21</v>
      </c>
      <c r="L107" s="6" t="s">
        <v>369</v>
      </c>
      <c r="M107" s="6" t="s">
        <v>17</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412</v>
      </c>
      <c r="D108" s="6" t="s">
        <v>413</v>
      </c>
      <c r="E108" s="6" t="s">
        <v>17</v>
      </c>
      <c r="F108" s="6" t="s">
        <v>2541</v>
      </c>
      <c r="G108" s="6" t="s">
        <v>2542</v>
      </c>
      <c r="H108" s="6" t="str">
        <f t="shared" si="4"/>
        <v>att_cells</v>
      </c>
      <c r="I108" s="6" t="s">
        <v>412</v>
      </c>
      <c r="J108" s="6" t="str">
        <f t="shared" si="5"/>
        <v>att_cells:basophils</v>
      </c>
      <c r="K108" s="11" t="s">
        <v>21</v>
      </c>
      <c r="L108" s="6" t="s">
        <v>414</v>
      </c>
      <c r="M108" s="6" t="s">
        <v>17</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415</v>
      </c>
      <c r="D109" s="6" t="s">
        <v>416</v>
      </c>
      <c r="E109" s="6" t="s">
        <v>17</v>
      </c>
      <c r="F109" s="6" t="s">
        <v>2541</v>
      </c>
      <c r="G109" s="6" t="s">
        <v>2542</v>
      </c>
      <c r="H109" s="6" t="str">
        <f t="shared" si="4"/>
        <v>att_cells</v>
      </c>
      <c r="I109" s="6" t="s">
        <v>415</v>
      </c>
      <c r="J109" s="6" t="str">
        <f t="shared" si="5"/>
        <v>att_cells:bcells</v>
      </c>
      <c r="K109" s="11" t="s">
        <v>21</v>
      </c>
      <c r="L109" s="6" t="s">
        <v>416</v>
      </c>
      <c r="M109" s="6" t="s">
        <v>17</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417</v>
      </c>
      <c r="D110" s="6" t="s">
        <v>418</v>
      </c>
      <c r="E110" s="6" t="s">
        <v>17</v>
      </c>
      <c r="F110" s="6" t="s">
        <v>2541</v>
      </c>
      <c r="G110" s="6" t="s">
        <v>2542</v>
      </c>
      <c r="H110" s="6" t="str">
        <f t="shared" si="4"/>
        <v>att_cells</v>
      </c>
      <c r="I110" s="6" t="s">
        <v>417</v>
      </c>
      <c r="J110" s="6" t="str">
        <f t="shared" si="5"/>
        <v>att_cells:cytotoxict</v>
      </c>
      <c r="K110" s="11" t="s">
        <v>21</v>
      </c>
      <c r="L110" s="6" t="s">
        <v>419</v>
      </c>
      <c r="M110" s="6" t="s">
        <v>17</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420</v>
      </c>
      <c r="D111" s="6" t="s">
        <v>421</v>
      </c>
      <c r="E111" s="6" t="s">
        <v>17</v>
      </c>
      <c r="F111" s="6" t="s">
        <v>2541</v>
      </c>
      <c r="G111" s="6" t="s">
        <v>2542</v>
      </c>
      <c r="H111" s="6" t="str">
        <f t="shared" si="4"/>
        <v>att_cells</v>
      </c>
      <c r="I111" s="6" t="s">
        <v>420</v>
      </c>
      <c r="J111" s="6" t="str">
        <f t="shared" si="5"/>
        <v>att_cells:endothelial</v>
      </c>
      <c r="K111" s="11" t="s">
        <v>21</v>
      </c>
      <c r="L111" s="6" t="s">
        <v>422</v>
      </c>
      <c r="M111" s="6" t="s">
        <v>17</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423</v>
      </c>
      <c r="D112" s="6" t="s">
        <v>424</v>
      </c>
      <c r="E112" s="6" t="s">
        <v>17</v>
      </c>
      <c r="F112" s="6" t="s">
        <v>2541</v>
      </c>
      <c r="G112" s="6" t="s">
        <v>2542</v>
      </c>
      <c r="H112" s="6" t="str">
        <f t="shared" si="4"/>
        <v>att_cells</v>
      </c>
      <c r="I112" s="6" t="s">
        <v>423</v>
      </c>
      <c r="J112" s="6" t="str">
        <f t="shared" si="5"/>
        <v>att_cells:eosinophils</v>
      </c>
      <c r="K112" s="11" t="s">
        <v>21</v>
      </c>
      <c r="L112" s="6" t="s">
        <v>425</v>
      </c>
      <c r="M112" s="6" t="s">
        <v>17</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426</v>
      </c>
      <c r="D113" s="6" t="s">
        <v>427</v>
      </c>
      <c r="E113" s="6" t="s">
        <v>17</v>
      </c>
      <c r="F113" s="6" t="s">
        <v>2541</v>
      </c>
      <c r="G113" s="6" t="s">
        <v>2542</v>
      </c>
      <c r="H113" s="6" t="str">
        <f t="shared" si="4"/>
        <v>att_cells</v>
      </c>
      <c r="I113" s="6" t="s">
        <v>426</v>
      </c>
      <c r="J113" s="6" t="str">
        <f t="shared" si="5"/>
        <v>att_cells:epithelioid</v>
      </c>
      <c r="K113" s="11" t="s">
        <v>21</v>
      </c>
      <c r="L113" s="6" t="s">
        <v>428</v>
      </c>
      <c r="M113" s="6" t="s">
        <v>17</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429</v>
      </c>
      <c r="D114" s="6" t="s">
        <v>430</v>
      </c>
      <c r="E114" s="6" t="s">
        <v>17</v>
      </c>
      <c r="F114" s="6" t="s">
        <v>2541</v>
      </c>
      <c r="G114" s="6" t="s">
        <v>2542</v>
      </c>
      <c r="H114" s="6" t="str">
        <f t="shared" si="4"/>
        <v>att_cells</v>
      </c>
      <c r="I114" s="6" t="s">
        <v>429</v>
      </c>
      <c r="J114" s="6" t="str">
        <f t="shared" si="5"/>
        <v>att_cells:erythrocytes</v>
      </c>
      <c r="K114" s="11" t="s">
        <v>21</v>
      </c>
      <c r="L114" s="6" t="s">
        <v>431</v>
      </c>
      <c r="M114" s="6" t="s">
        <v>17</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432</v>
      </c>
      <c r="D115" s="6" t="s">
        <v>433</v>
      </c>
      <c r="E115" s="6" t="s">
        <v>17</v>
      </c>
      <c r="F115" s="6" t="s">
        <v>2541</v>
      </c>
      <c r="G115" s="6" t="s">
        <v>2542</v>
      </c>
      <c r="H115" s="6" t="str">
        <f t="shared" si="4"/>
        <v>att_cells</v>
      </c>
      <c r="I115" s="6" t="s">
        <v>432</v>
      </c>
      <c r="J115" s="6" t="str">
        <f t="shared" si="5"/>
        <v>att_cells:gammadeltat</v>
      </c>
      <c r="K115" s="11" t="s">
        <v>21</v>
      </c>
      <c r="L115" s="6" t="s">
        <v>434</v>
      </c>
      <c r="M115" s="6" t="s">
        <v>17</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435</v>
      </c>
      <c r="D116" s="6" t="s">
        <v>436</v>
      </c>
      <c r="E116" s="6" t="s">
        <v>17</v>
      </c>
      <c r="F116" s="6" t="s">
        <v>2541</v>
      </c>
      <c r="G116" s="6" t="s">
        <v>2542</v>
      </c>
      <c r="H116" s="6" t="str">
        <f t="shared" si="4"/>
        <v>att_cells</v>
      </c>
      <c r="I116" s="6" t="s">
        <v>435</v>
      </c>
      <c r="J116" s="6" t="str">
        <f t="shared" si="5"/>
        <v>att_cells:hofbauer</v>
      </c>
      <c r="K116" s="11" t="s">
        <v>21</v>
      </c>
      <c r="L116" s="6" t="s">
        <v>437</v>
      </c>
      <c r="M116" s="6" t="s">
        <v>17</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438</v>
      </c>
      <c r="D117" s="6" t="s">
        <v>439</v>
      </c>
      <c r="E117" s="6" t="s">
        <v>17</v>
      </c>
      <c r="F117" s="6" t="s">
        <v>2541</v>
      </c>
      <c r="G117" s="6" t="s">
        <v>2542</v>
      </c>
      <c r="H117" s="6" t="str">
        <f t="shared" si="4"/>
        <v>att_cells</v>
      </c>
      <c r="I117" s="6" t="s">
        <v>438</v>
      </c>
      <c r="J117" s="6" t="str">
        <f t="shared" si="5"/>
        <v>att_cells:keratinocytes</v>
      </c>
      <c r="K117" s="11" t="s">
        <v>21</v>
      </c>
      <c r="L117" s="6" t="s">
        <v>440</v>
      </c>
      <c r="M117" s="6" t="s">
        <v>17</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441</v>
      </c>
      <c r="D118" s="6" t="s">
        <v>442</v>
      </c>
      <c r="E118" s="6" t="s">
        <v>17</v>
      </c>
      <c r="F118" s="6" t="s">
        <v>2541</v>
      </c>
      <c r="G118" s="6" t="s">
        <v>2542</v>
      </c>
      <c r="H118" s="6" t="str">
        <f t="shared" si="4"/>
        <v>att_cells</v>
      </c>
      <c r="I118" s="6" t="s">
        <v>441</v>
      </c>
      <c r="J118" s="6" t="str">
        <f t="shared" si="5"/>
        <v>att_cells:kupffer</v>
      </c>
      <c r="K118" s="11" t="s">
        <v>21</v>
      </c>
      <c r="L118" s="6" t="s">
        <v>443</v>
      </c>
      <c r="M118" s="6" t="s">
        <v>17</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444</v>
      </c>
      <c r="D119" s="6" t="s">
        <v>445</v>
      </c>
      <c r="E119" s="6" t="s">
        <v>17</v>
      </c>
      <c r="F119" s="6" t="s">
        <v>2541</v>
      </c>
      <c r="G119" s="6" t="s">
        <v>2542</v>
      </c>
      <c r="H119" s="6" t="str">
        <f t="shared" si="4"/>
        <v>att_cells</v>
      </c>
      <c r="I119" s="6" t="s">
        <v>444</v>
      </c>
      <c r="J119" s="6" t="str">
        <f t="shared" si="5"/>
        <v>att_cells:langerhans</v>
      </c>
      <c r="K119" s="11" t="s">
        <v>21</v>
      </c>
      <c r="L119" s="6" t="s">
        <v>446</v>
      </c>
      <c r="M119" s="6" t="s">
        <v>17</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447</v>
      </c>
      <c r="D120" s="6" t="s">
        <v>448</v>
      </c>
      <c r="E120" s="6" t="s">
        <v>17</v>
      </c>
      <c r="F120" s="6" t="s">
        <v>2541</v>
      </c>
      <c r="G120" s="6" t="s">
        <v>2542</v>
      </c>
      <c r="H120" s="6" t="str">
        <f t="shared" si="4"/>
        <v>att_cells</v>
      </c>
      <c r="I120" s="6" t="s">
        <v>447</v>
      </c>
      <c r="J120" s="6" t="str">
        <f t="shared" si="5"/>
        <v>att_cells:leukocytes</v>
      </c>
      <c r="K120" s="11" t="s">
        <v>21</v>
      </c>
      <c r="L120" s="6" t="s">
        <v>449</v>
      </c>
      <c r="M120" s="6" t="s">
        <v>17</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450</v>
      </c>
      <c r="D121" s="6" t="s">
        <v>451</v>
      </c>
      <c r="E121" s="6" t="s">
        <v>17</v>
      </c>
      <c r="F121" s="6" t="s">
        <v>2541</v>
      </c>
      <c r="G121" s="6" t="s">
        <v>2542</v>
      </c>
      <c r="H121" s="6" t="str">
        <f t="shared" si="4"/>
        <v>att_cells</v>
      </c>
      <c r="I121" s="6" t="s">
        <v>450</v>
      </c>
      <c r="J121" s="6" t="str">
        <f t="shared" si="5"/>
        <v>att_cells:lymphocytes</v>
      </c>
      <c r="K121" s="11" t="s">
        <v>21</v>
      </c>
      <c r="L121" s="6" t="s">
        <v>452</v>
      </c>
      <c r="M121" s="6" t="s">
        <v>17</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453</v>
      </c>
      <c r="D122" s="6" t="s">
        <v>454</v>
      </c>
      <c r="E122" s="6" t="s">
        <v>17</v>
      </c>
      <c r="F122" s="6" t="s">
        <v>2541</v>
      </c>
      <c r="G122" s="6" t="s">
        <v>2542</v>
      </c>
      <c r="H122" s="6" t="str">
        <f t="shared" si="4"/>
        <v>att_cells</v>
      </c>
      <c r="I122" s="6" t="s">
        <v>453</v>
      </c>
      <c r="J122" s="6" t="str">
        <f t="shared" si="5"/>
        <v>att_cells:macrophage</v>
      </c>
      <c r="K122" s="11" t="s">
        <v>21</v>
      </c>
      <c r="L122" s="6" t="s">
        <v>454</v>
      </c>
      <c r="M122" s="6" t="s">
        <v>17</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455</v>
      </c>
      <c r="D123" s="6" t="s">
        <v>456</v>
      </c>
      <c r="E123" s="6" t="s">
        <v>17</v>
      </c>
      <c r="F123" s="6" t="s">
        <v>2541</v>
      </c>
      <c r="G123" s="6" t="s">
        <v>2542</v>
      </c>
      <c r="H123" s="6" t="str">
        <f t="shared" si="4"/>
        <v>att_cells</v>
      </c>
      <c r="I123" s="6" t="s">
        <v>455</v>
      </c>
      <c r="J123" s="6" t="str">
        <f t="shared" si="5"/>
        <v>att_cells:microglia</v>
      </c>
      <c r="K123" s="11" t="s">
        <v>21</v>
      </c>
      <c r="L123" s="6" t="s">
        <v>457</v>
      </c>
      <c r="M123" s="6" t="s">
        <v>17</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458</v>
      </c>
      <c r="D124" s="6" t="s">
        <v>459</v>
      </c>
      <c r="E124" s="6" t="s">
        <v>17</v>
      </c>
      <c r="F124" s="6" t="s">
        <v>2541</v>
      </c>
      <c r="G124" s="6" t="s">
        <v>2542</v>
      </c>
      <c r="H124" s="6" t="str">
        <f t="shared" si="4"/>
        <v>att_cells</v>
      </c>
      <c r="I124" s="6" t="s">
        <v>458</v>
      </c>
      <c r="J124" s="6" t="str">
        <f t="shared" si="5"/>
        <v>att_cells:monoblast</v>
      </c>
      <c r="K124" s="11" t="s">
        <v>21</v>
      </c>
      <c r="L124" s="6" t="s">
        <v>459</v>
      </c>
      <c r="M124" s="6" t="s">
        <v>17</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460</v>
      </c>
      <c r="D125" s="6" t="s">
        <v>378</v>
      </c>
      <c r="E125" s="6" t="s">
        <v>17</v>
      </c>
      <c r="F125" s="6" t="s">
        <v>2541</v>
      </c>
      <c r="G125" s="6" t="s">
        <v>2542</v>
      </c>
      <c r="H125" s="6" t="str">
        <f t="shared" si="4"/>
        <v>att_cells</v>
      </c>
      <c r="I125" s="6" t="s">
        <v>460</v>
      </c>
      <c r="J125" s="6" t="str">
        <f t="shared" si="5"/>
        <v>att_cells:monocytes</v>
      </c>
      <c r="K125" s="11" t="s">
        <v>21</v>
      </c>
      <c r="L125" s="6" t="s">
        <v>461</v>
      </c>
      <c r="M125" s="6" t="s">
        <v>17</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462</v>
      </c>
      <c r="D126" s="6" t="s">
        <v>463</v>
      </c>
      <c r="E126" s="6" t="s">
        <v>17</v>
      </c>
      <c r="F126" s="6" t="s">
        <v>2541</v>
      </c>
      <c r="G126" s="6" t="s">
        <v>2542</v>
      </c>
      <c r="H126" s="6" t="str">
        <f t="shared" si="4"/>
        <v>att_cells</v>
      </c>
      <c r="I126" s="6" t="s">
        <v>462</v>
      </c>
      <c r="J126" s="6" t="str">
        <f t="shared" si="5"/>
        <v>att_cells:neutrophils</v>
      </c>
      <c r="K126" s="11" t="s">
        <v>21</v>
      </c>
      <c r="L126" s="6" t="s">
        <v>464</v>
      </c>
      <c r="M126" s="6" t="s">
        <v>17</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465</v>
      </c>
      <c r="D127" s="6" t="s">
        <v>466</v>
      </c>
      <c r="E127" s="6" t="s">
        <v>17</v>
      </c>
      <c r="F127" s="6" t="s">
        <v>2541</v>
      </c>
      <c r="G127" s="6" t="s">
        <v>2542</v>
      </c>
      <c r="H127" s="6" t="str">
        <f t="shared" si="4"/>
        <v>att_cells</v>
      </c>
      <c r="I127" s="6" t="s">
        <v>465</v>
      </c>
      <c r="J127" s="6" t="str">
        <f t="shared" si="5"/>
        <v>att_cells:nk</v>
      </c>
      <c r="K127" s="11" t="s">
        <v>21</v>
      </c>
      <c r="L127" s="6" t="s">
        <v>467</v>
      </c>
      <c r="M127" s="6" t="s">
        <v>17</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468</v>
      </c>
      <c r="D128" s="6" t="s">
        <v>469</v>
      </c>
      <c r="E128" s="6" t="s">
        <v>17</v>
      </c>
      <c r="F128" s="6" t="s">
        <v>2541</v>
      </c>
      <c r="G128" s="6" t="s">
        <v>2542</v>
      </c>
      <c r="H128" s="6" t="str">
        <f t="shared" si="4"/>
        <v>att_cells</v>
      </c>
      <c r="I128" s="6" t="s">
        <v>468</v>
      </c>
      <c r="J128" s="6" t="str">
        <f t="shared" si="5"/>
        <v>att_cells:osteoblast</v>
      </c>
      <c r="K128" s="11" t="s">
        <v>21</v>
      </c>
      <c r="L128" s="6" t="s">
        <v>470</v>
      </c>
      <c r="M128" s="6" t="s">
        <v>17</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471</v>
      </c>
      <c r="D129" s="6" t="s">
        <v>472</v>
      </c>
      <c r="E129" s="6" t="s">
        <v>17</v>
      </c>
      <c r="F129" s="6" t="s">
        <v>2541</v>
      </c>
      <c r="G129" s="6" t="s">
        <v>2542</v>
      </c>
      <c r="H129" s="6" t="str">
        <f t="shared" si="4"/>
        <v>att_cells</v>
      </c>
      <c r="I129" s="6" t="s">
        <v>471</v>
      </c>
      <c r="J129" s="6" t="str">
        <f t="shared" si="5"/>
        <v>att_cells:osteoclast</v>
      </c>
      <c r="K129" s="11" t="s">
        <v>21</v>
      </c>
      <c r="L129" s="6" t="s">
        <v>473</v>
      </c>
      <c r="M129" s="6" t="s">
        <v>17</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474</v>
      </c>
      <c r="D130" s="6" t="s">
        <v>475</v>
      </c>
      <c r="E130" s="6" t="s">
        <v>17</v>
      </c>
      <c r="F130" s="6" t="s">
        <v>2541</v>
      </c>
      <c r="G130" s="6" t="s">
        <v>2542</v>
      </c>
      <c r="H130" s="6" t="str">
        <f t="shared" ref="H130:H193" si="8">"att_"&amp;G130</f>
        <v>att_cells</v>
      </c>
      <c r="I130" s="6" t="s">
        <v>474</v>
      </c>
      <c r="J130" s="6" t="str">
        <f t="shared" ref="J130:J193" si="9">H130&amp;":"&amp;I130</f>
        <v>att_cells:osteocytes</v>
      </c>
      <c r="K130" s="11" t="s">
        <v>21</v>
      </c>
      <c r="L130" s="6" t="s">
        <v>476</v>
      </c>
      <c r="M130" s="6" t="s">
        <v>17</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477</v>
      </c>
      <c r="D131" s="6" t="s">
        <v>478</v>
      </c>
      <c r="E131" s="6" t="s">
        <v>17</v>
      </c>
      <c r="F131" s="6" t="s">
        <v>2541</v>
      </c>
      <c r="G131" s="6" t="s">
        <v>2542</v>
      </c>
      <c r="H131" s="6" t="str">
        <f t="shared" si="8"/>
        <v>att_cells</v>
      </c>
      <c r="I131" s="6" t="s">
        <v>477</v>
      </c>
      <c r="J131" s="6" t="str">
        <f t="shared" si="9"/>
        <v>att_cells:osteogenic</v>
      </c>
      <c r="K131" s="11" t="s">
        <v>21</v>
      </c>
      <c r="L131" s="6" t="s">
        <v>479</v>
      </c>
      <c r="M131" s="6" t="s">
        <v>17</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480</v>
      </c>
      <c r="D132" s="6" t="s">
        <v>481</v>
      </c>
      <c r="E132" s="6" t="s">
        <v>17</v>
      </c>
      <c r="F132" s="6" t="s">
        <v>2541</v>
      </c>
      <c r="G132" s="6" t="s">
        <v>2542</v>
      </c>
      <c r="H132" s="6" t="str">
        <f t="shared" si="8"/>
        <v>att_cells</v>
      </c>
      <c r="I132" s="6" t="s">
        <v>480</v>
      </c>
      <c r="J132" s="6" t="str">
        <f t="shared" si="9"/>
        <v>att_cells:regt</v>
      </c>
      <c r="K132" s="11" t="s">
        <v>21</v>
      </c>
      <c r="L132" s="6" t="s">
        <v>482</v>
      </c>
      <c r="M132" s="6" t="s">
        <v>17</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483</v>
      </c>
      <c r="D133" s="6" t="s">
        <v>484</v>
      </c>
      <c r="E133" s="6" t="s">
        <v>17</v>
      </c>
      <c r="F133" s="6" t="s">
        <v>2541</v>
      </c>
      <c r="G133" s="6" t="s">
        <v>2542</v>
      </c>
      <c r="H133" s="6" t="str">
        <f t="shared" si="8"/>
        <v>att_cells</v>
      </c>
      <c r="I133" s="6" t="s">
        <v>483</v>
      </c>
      <c r="J133" s="6" t="str">
        <f t="shared" si="9"/>
        <v>att_cells:stemcells</v>
      </c>
      <c r="K133" s="11" t="s">
        <v>21</v>
      </c>
      <c r="L133" s="6" t="s">
        <v>485</v>
      </c>
      <c r="M133" s="6" t="s">
        <v>17</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486</v>
      </c>
      <c r="D134" s="6" t="s">
        <v>487</v>
      </c>
      <c r="E134" s="6" t="s">
        <v>17</v>
      </c>
      <c r="F134" s="6" t="s">
        <v>2541</v>
      </c>
      <c r="G134" s="6" t="s">
        <v>2542</v>
      </c>
      <c r="H134" s="6" t="str">
        <f t="shared" si="8"/>
        <v>att_cells</v>
      </c>
      <c r="I134" s="6" t="s">
        <v>486</v>
      </c>
      <c r="J134" s="6" t="str">
        <f t="shared" si="9"/>
        <v>att_cells:tcells</v>
      </c>
      <c r="K134" s="11" t="s">
        <v>21</v>
      </c>
      <c r="L134" s="6" t="s">
        <v>487</v>
      </c>
      <c r="M134" s="6" t="s">
        <v>17</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488</v>
      </c>
      <c r="D135" s="6" t="s">
        <v>489</v>
      </c>
      <c r="E135" s="6" t="s">
        <v>17</v>
      </c>
      <c r="F135" s="6" t="s">
        <v>2541</v>
      </c>
      <c r="G135" s="6" t="s">
        <v>2542</v>
      </c>
      <c r="H135" s="6" t="str">
        <f t="shared" si="8"/>
        <v>att_cells</v>
      </c>
      <c r="I135" s="6" t="s">
        <v>488</v>
      </c>
      <c r="J135" s="6" t="str">
        <f t="shared" si="9"/>
        <v>att_cells:thelper</v>
      </c>
      <c r="K135" s="11" t="s">
        <v>21</v>
      </c>
      <c r="L135" s="6" t="s">
        <v>490</v>
      </c>
      <c r="M135" s="6" t="s">
        <v>17</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491</v>
      </c>
      <c r="D136" s="6" t="s">
        <v>492</v>
      </c>
      <c r="E136" s="6" t="s">
        <v>17</v>
      </c>
      <c r="F136" s="6" t="s">
        <v>2541</v>
      </c>
      <c r="G136" s="6" t="s">
        <v>2542</v>
      </c>
      <c r="H136" s="6" t="str">
        <f t="shared" si="8"/>
        <v>att_cells</v>
      </c>
      <c r="I136" s="6" t="s">
        <v>491</v>
      </c>
      <c r="J136" s="6" t="str">
        <f t="shared" si="9"/>
        <v>att_cells:thrombocytes</v>
      </c>
      <c r="K136" s="11" t="s">
        <v>21</v>
      </c>
      <c r="L136" s="6" t="s">
        <v>493</v>
      </c>
      <c r="M136" s="6" t="s">
        <v>17</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724</v>
      </c>
      <c r="D137" s="6" t="s">
        <v>725</v>
      </c>
      <c r="E137" s="6" t="s">
        <v>17</v>
      </c>
      <c r="F137" s="6" t="s">
        <v>2543</v>
      </c>
      <c r="G137" s="6" t="s">
        <v>2544</v>
      </c>
      <c r="H137" s="6" t="str">
        <f t="shared" si="8"/>
        <v>att_compound</v>
      </c>
      <c r="I137" s="6" t="s">
        <v>724</v>
      </c>
      <c r="J137" s="6" t="str">
        <f t="shared" si="9"/>
        <v>att_compound:anisomycin</v>
      </c>
      <c r="K137" s="11" t="s">
        <v>21</v>
      </c>
      <c r="L137" s="6" t="s">
        <v>725</v>
      </c>
      <c r="M137" s="6" t="s">
        <v>17</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729</v>
      </c>
      <c r="D138" s="6" t="s">
        <v>730</v>
      </c>
      <c r="E138" s="6" t="s">
        <v>17</v>
      </c>
      <c r="F138" s="6" t="s">
        <v>2543</v>
      </c>
      <c r="G138" s="6" t="s">
        <v>2544</v>
      </c>
      <c r="H138" s="6" t="str">
        <f t="shared" si="8"/>
        <v>att_compound</v>
      </c>
      <c r="I138" s="6" t="s">
        <v>729</v>
      </c>
      <c r="J138" s="6" t="str">
        <f t="shared" si="9"/>
        <v>att_compound:atp</v>
      </c>
      <c r="K138" s="11" t="s">
        <v>21</v>
      </c>
      <c r="L138" s="6" t="s">
        <v>731</v>
      </c>
      <c r="M138" s="6" t="s">
        <v>17</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732</v>
      </c>
      <c r="D139" s="6" t="s">
        <v>732</v>
      </c>
      <c r="E139" s="6" t="s">
        <v>17</v>
      </c>
      <c r="F139" s="6" t="s">
        <v>2543</v>
      </c>
      <c r="G139" s="6" t="s">
        <v>2544</v>
      </c>
      <c r="H139" s="6" t="str">
        <f t="shared" si="8"/>
        <v>att_compound</v>
      </c>
      <c r="I139" s="6" t="s">
        <v>732</v>
      </c>
      <c r="J139" s="6" t="str">
        <f t="shared" si="9"/>
        <v>att_compound:berzosertib</v>
      </c>
      <c r="K139" s="11" t="s">
        <v>21</v>
      </c>
      <c r="L139" s="6" t="s">
        <v>733</v>
      </c>
      <c r="M139" s="6" t="s">
        <v>17</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734</v>
      </c>
      <c r="D140" s="6" t="s">
        <v>734</v>
      </c>
      <c r="E140" s="6" t="s">
        <v>17</v>
      </c>
      <c r="F140" s="6" t="s">
        <v>2543</v>
      </c>
      <c r="G140" s="6" t="s">
        <v>2544</v>
      </c>
      <c r="H140" s="6" t="str">
        <f t="shared" si="8"/>
        <v>att_compound</v>
      </c>
      <c r="I140" s="6" t="s">
        <v>734</v>
      </c>
      <c r="J140" s="6" t="str">
        <f t="shared" si="9"/>
        <v>att_compound:bortezomib</v>
      </c>
      <c r="K140" s="11" t="s">
        <v>21</v>
      </c>
      <c r="L140" s="6" t="s">
        <v>735</v>
      </c>
      <c r="M140" s="6" t="s">
        <v>17</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2545</v>
      </c>
      <c r="D141" s="14" t="s">
        <v>2546</v>
      </c>
      <c r="E141" s="14" t="s">
        <v>17</v>
      </c>
      <c r="F141" s="14" t="s">
        <v>2543</v>
      </c>
      <c r="G141" s="14" t="s">
        <v>2544</v>
      </c>
      <c r="H141" s="14" t="str">
        <f t="shared" si="8"/>
        <v>att_compound</v>
      </c>
      <c r="I141" s="14" t="s">
        <v>2545</v>
      </c>
      <c r="J141" s="14" t="str">
        <f t="shared" si="9"/>
        <v>att_compound:cgas</v>
      </c>
      <c r="K141" s="15" t="s">
        <v>21</v>
      </c>
      <c r="L141" s="14" t="s">
        <v>2546</v>
      </c>
      <c r="M141" s="14" t="s">
        <v>17</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739</v>
      </c>
      <c r="D142" s="6" t="s">
        <v>739</v>
      </c>
      <c r="E142" s="6" t="s">
        <v>17</v>
      </c>
      <c r="F142" s="6" t="s">
        <v>2543</v>
      </c>
      <c r="G142" s="6" t="s">
        <v>2544</v>
      </c>
      <c r="H142" s="6" t="str">
        <f t="shared" si="8"/>
        <v>att_compound</v>
      </c>
      <c r="I142" s="6" t="s">
        <v>739</v>
      </c>
      <c r="J142" s="6" t="str">
        <f t="shared" si="9"/>
        <v>att_compound:cycloheximide</v>
      </c>
      <c r="K142" s="11" t="s">
        <v>21</v>
      </c>
      <c r="L142" s="6" t="s">
        <v>740</v>
      </c>
      <c r="M142" s="6" t="s">
        <v>17</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2547</v>
      </c>
      <c r="D143" s="6" t="s">
        <v>2548</v>
      </c>
      <c r="E143" s="6" t="s">
        <v>17</v>
      </c>
      <c r="F143" s="6" t="s">
        <v>2543</v>
      </c>
      <c r="G143" s="6" t="s">
        <v>2544</v>
      </c>
      <c r="H143" s="6" t="str">
        <f t="shared" si="8"/>
        <v>att_compound</v>
      </c>
      <c r="I143" s="6" t="s">
        <v>2547</v>
      </c>
      <c r="J143" s="6" t="str">
        <f t="shared" si="9"/>
        <v>att_compound:diabzi</v>
      </c>
      <c r="K143" s="11" t="s">
        <v>21</v>
      </c>
      <c r="L143" s="6" t="s">
        <v>2548</v>
      </c>
      <c r="M143" s="6" t="s">
        <v>17</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741</v>
      </c>
      <c r="D144" s="6" t="s">
        <v>742</v>
      </c>
      <c r="E144" s="6" t="s">
        <v>17</v>
      </c>
      <c r="F144" s="6" t="s">
        <v>2543</v>
      </c>
      <c r="G144" s="6" t="s">
        <v>2544</v>
      </c>
      <c r="H144" s="6" t="str">
        <f t="shared" si="8"/>
        <v>att_compound</v>
      </c>
      <c r="I144" s="6" t="s">
        <v>741</v>
      </c>
      <c r="J144" s="6" t="str">
        <f t="shared" si="9"/>
        <v>att_compound:dmso</v>
      </c>
      <c r="K144" s="11" t="s">
        <v>21</v>
      </c>
      <c r="L144" s="6" t="s">
        <v>2549</v>
      </c>
      <c r="M144" s="6" t="s">
        <v>17</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744</v>
      </c>
      <c r="D145" s="6" t="s">
        <v>744</v>
      </c>
      <c r="E145" s="6" t="s">
        <v>17</v>
      </c>
      <c r="F145" s="6" t="s">
        <v>2543</v>
      </c>
      <c r="G145" s="6" t="s">
        <v>2544</v>
      </c>
      <c r="H145" s="6" t="str">
        <f t="shared" si="8"/>
        <v>att_compound</v>
      </c>
      <c r="I145" s="6" t="s">
        <v>744</v>
      </c>
      <c r="J145" s="6" t="str">
        <f t="shared" si="9"/>
        <v>att_compound:doxorubicin</v>
      </c>
      <c r="K145" s="11" t="s">
        <v>21</v>
      </c>
      <c r="L145" s="6" t="s">
        <v>745</v>
      </c>
      <c r="M145" s="6" t="s">
        <v>17</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747</v>
      </c>
      <c r="D146" s="6" t="s">
        <v>747</v>
      </c>
      <c r="E146" s="6" t="s">
        <v>17</v>
      </c>
      <c r="F146" s="6" t="s">
        <v>2543</v>
      </c>
      <c r="G146" s="6" t="s">
        <v>2544</v>
      </c>
      <c r="H146" s="6" t="str">
        <f t="shared" si="8"/>
        <v>att_compound</v>
      </c>
      <c r="I146" s="6" t="s">
        <v>747</v>
      </c>
      <c r="J146" s="6" t="str">
        <f t="shared" si="9"/>
        <v>att_compound:doxycycline</v>
      </c>
      <c r="K146" s="11" t="s">
        <v>21</v>
      </c>
      <c r="L146" s="6" t="s">
        <v>748</v>
      </c>
      <c r="M146" s="6" t="s">
        <v>17</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750</v>
      </c>
      <c r="D147" s="6" t="s">
        <v>750</v>
      </c>
      <c r="E147" s="6" t="s">
        <v>17</v>
      </c>
      <c r="F147" s="6" t="s">
        <v>2543</v>
      </c>
      <c r="G147" s="6" t="s">
        <v>2544</v>
      </c>
      <c r="H147" s="6" t="str">
        <f t="shared" si="8"/>
        <v>att_compound</v>
      </c>
      <c r="I147" s="6" t="s">
        <v>750</v>
      </c>
      <c r="J147" s="6" t="str">
        <f t="shared" si="9"/>
        <v>att_compound:etoposide</v>
      </c>
      <c r="K147" s="11" t="s">
        <v>21</v>
      </c>
      <c r="L147" s="6" t="s">
        <v>750</v>
      </c>
      <c r="M147" s="6" t="s">
        <v>17</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2550</v>
      </c>
      <c r="D148" s="6" t="s">
        <v>2550</v>
      </c>
      <c r="E148" s="6" t="s">
        <v>17</v>
      </c>
      <c r="F148" s="6" t="s">
        <v>2543</v>
      </c>
      <c r="G148" s="6" t="s">
        <v>2544</v>
      </c>
      <c r="H148" s="6" t="str">
        <f t="shared" si="8"/>
        <v>att_compound</v>
      </c>
      <c r="I148" s="6" t="s">
        <v>2550</v>
      </c>
      <c r="J148" s="6" t="str">
        <f t="shared" si="9"/>
        <v>att_compound:lactimidomycin</v>
      </c>
      <c r="K148" s="11" t="s">
        <v>21</v>
      </c>
      <c r="L148" s="6" t="s">
        <v>2551</v>
      </c>
      <c r="M148" s="6" t="s">
        <v>17</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2552</v>
      </c>
      <c r="D149" s="6" t="s">
        <v>2553</v>
      </c>
      <c r="E149" s="6" t="s">
        <v>17</v>
      </c>
      <c r="F149" s="6" t="s">
        <v>2543</v>
      </c>
      <c r="G149" s="6" t="s">
        <v>2544</v>
      </c>
      <c r="H149" s="6" t="str">
        <f t="shared" si="8"/>
        <v>att_compound</v>
      </c>
      <c r="I149" s="6" t="s">
        <v>2552</v>
      </c>
      <c r="J149" s="6" t="str">
        <f t="shared" si="9"/>
        <v>att_compound:lps</v>
      </c>
      <c r="K149" s="11" t="s">
        <v>21</v>
      </c>
      <c r="L149" s="6" t="s">
        <v>2554</v>
      </c>
      <c r="M149" s="6" t="s">
        <v>17</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2555</v>
      </c>
      <c r="D150" s="6" t="s">
        <v>2556</v>
      </c>
      <c r="E150" s="6" t="s">
        <v>17</v>
      </c>
      <c r="F150" s="6" t="s">
        <v>2543</v>
      </c>
      <c r="G150" s="6" t="s">
        <v>2544</v>
      </c>
      <c r="H150" s="6" t="str">
        <f t="shared" si="8"/>
        <v>att_compound</v>
      </c>
      <c r="I150" s="6" t="s">
        <v>2555</v>
      </c>
      <c r="J150" s="6" t="str">
        <f t="shared" si="9"/>
        <v>att_compound:niap</v>
      </c>
      <c r="K150" s="11" t="s">
        <v>21</v>
      </c>
      <c r="L150" s="6" t="s">
        <v>2556</v>
      </c>
      <c r="M150" s="6" t="s">
        <v>17</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2557</v>
      </c>
      <c r="D151" s="6" t="s">
        <v>2558</v>
      </c>
      <c r="E151" s="6" t="s">
        <v>17</v>
      </c>
      <c r="F151" s="6" t="s">
        <v>2543</v>
      </c>
      <c r="G151" s="6" t="s">
        <v>2544</v>
      </c>
      <c r="H151" s="6" t="str">
        <f t="shared" si="8"/>
        <v>att_compound</v>
      </c>
      <c r="I151" s="6" t="s">
        <v>2557</v>
      </c>
      <c r="J151" s="6" t="str">
        <f t="shared" si="9"/>
        <v>att_compound:pam</v>
      </c>
      <c r="K151" s="11" t="s">
        <v>21</v>
      </c>
      <c r="L151" s="6" t="s">
        <v>2559</v>
      </c>
      <c r="M151" s="6" t="s">
        <v>17</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2560</v>
      </c>
      <c r="D152" s="6" t="s">
        <v>2561</v>
      </c>
      <c r="E152" s="6" t="s">
        <v>17</v>
      </c>
      <c r="F152" s="6" t="s">
        <v>2543</v>
      </c>
      <c r="G152" s="6" t="s">
        <v>2544</v>
      </c>
      <c r="H152" s="6" t="str">
        <f t="shared" si="8"/>
        <v>att_compound</v>
      </c>
      <c r="I152" s="6" t="s">
        <v>2560</v>
      </c>
      <c r="J152" s="6" t="str">
        <f t="shared" si="9"/>
        <v>att_compound:r837</v>
      </c>
      <c r="K152" s="11" t="s">
        <v>21</v>
      </c>
      <c r="L152" s="6" t="s">
        <v>2562</v>
      </c>
      <c r="M152" s="6" t="s">
        <v>17</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2563</v>
      </c>
      <c r="D153" s="6" t="s">
        <v>2564</v>
      </c>
      <c r="E153" s="6" t="s">
        <v>17</v>
      </c>
      <c r="F153" s="6" t="s">
        <v>2543</v>
      </c>
      <c r="G153" s="6" t="s">
        <v>2544</v>
      </c>
      <c r="H153" s="6" t="str">
        <f t="shared" si="8"/>
        <v>att_compound</v>
      </c>
      <c r="I153" s="6" t="s">
        <v>2563</v>
      </c>
      <c r="J153" s="6" t="str">
        <f t="shared" si="9"/>
        <v>att_compound:r848</v>
      </c>
      <c r="K153" s="11" t="s">
        <v>21</v>
      </c>
      <c r="L153" s="6" t="s">
        <v>2565</v>
      </c>
      <c r="M153" s="6" t="s">
        <v>17</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771</v>
      </c>
      <c r="D154" s="6" t="s">
        <v>771</v>
      </c>
      <c r="E154" s="6" t="s">
        <v>17</v>
      </c>
      <c r="F154" s="6" t="s">
        <v>2543</v>
      </c>
      <c r="G154" s="6" t="s">
        <v>2544</v>
      </c>
      <c r="H154" s="6" t="str">
        <f t="shared" si="8"/>
        <v>att_compound</v>
      </c>
      <c r="I154" s="6" t="s">
        <v>771</v>
      </c>
      <c r="J154" s="6" t="str">
        <f t="shared" si="9"/>
        <v>att_compound:tamoxifen</v>
      </c>
      <c r="K154" s="11" t="s">
        <v>21</v>
      </c>
      <c r="L154" s="6" t="s">
        <v>772</v>
      </c>
      <c r="M154" s="6" t="s">
        <v>17</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776</v>
      </c>
      <c r="D155" s="6" t="s">
        <v>776</v>
      </c>
      <c r="E155" s="6" t="s">
        <v>17</v>
      </c>
      <c r="F155" s="6" t="s">
        <v>2543</v>
      </c>
      <c r="G155" s="6" t="s">
        <v>2544</v>
      </c>
      <c r="H155" s="6" t="str">
        <f t="shared" si="8"/>
        <v>att_compound</v>
      </c>
      <c r="I155" s="6" t="s">
        <v>776</v>
      </c>
      <c r="J155" s="6" t="str">
        <f t="shared" si="9"/>
        <v>att_compound:trametinib</v>
      </c>
      <c r="K155" s="11" t="s">
        <v>21</v>
      </c>
      <c r="L155" s="6" t="s">
        <v>777</v>
      </c>
      <c r="M155" s="6" t="s">
        <v>17</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778</v>
      </c>
      <c r="D156" s="6" t="s">
        <v>779</v>
      </c>
      <c r="E156" s="6" t="s">
        <v>17</v>
      </c>
      <c r="F156" s="6" t="s">
        <v>2543</v>
      </c>
      <c r="G156" s="6" t="s">
        <v>2544</v>
      </c>
      <c r="H156" s="6" t="str">
        <f t="shared" si="8"/>
        <v>att_compound</v>
      </c>
      <c r="I156" s="6" t="s">
        <v>778</v>
      </c>
      <c r="J156" s="6" t="str">
        <f t="shared" si="9"/>
        <v>att_compound:unstimulated</v>
      </c>
      <c r="K156" s="11" t="s">
        <v>21</v>
      </c>
      <c r="L156" s="6" t="s">
        <v>780</v>
      </c>
      <c r="M156" s="6" t="s">
        <v>17</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781</v>
      </c>
      <c r="D157" s="6" t="s">
        <v>781</v>
      </c>
      <c r="E157" s="6" t="s">
        <v>17</v>
      </c>
      <c r="F157" s="6" t="s">
        <v>2566</v>
      </c>
      <c r="G157" s="6" t="s">
        <v>2567</v>
      </c>
      <c r="H157" s="6" t="str">
        <f t="shared" si="8"/>
        <v>att_context</v>
      </c>
      <c r="I157" s="6" t="s">
        <v>781</v>
      </c>
      <c r="J157" s="6" t="str">
        <f t="shared" si="9"/>
        <v>att_context:microenvironment</v>
      </c>
      <c r="K157" s="11" t="s">
        <v>21</v>
      </c>
      <c r="L157" s="6" t="s">
        <v>781</v>
      </c>
      <c r="M157" s="6" t="s">
        <v>17</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21</v>
      </c>
      <c r="B158" s="11"/>
      <c r="C158" s="6" t="s">
        <v>992</v>
      </c>
      <c r="D158" s="6" t="s">
        <v>991</v>
      </c>
      <c r="E158" s="6" t="s">
        <v>17</v>
      </c>
      <c r="F158" s="6" t="s">
        <v>2568</v>
      </c>
      <c r="G158" s="6" t="s">
        <v>2569</v>
      </c>
      <c r="H158" s="6" t="str">
        <f t="shared" si="8"/>
        <v>att_dataset</v>
      </c>
      <c r="I158" s="6" t="s">
        <v>992</v>
      </c>
      <c r="J158" s="6" t="str">
        <f t="shared" si="9"/>
        <v>att_dataset:database search</v>
      </c>
      <c r="K158" s="11" t="s">
        <v>21</v>
      </c>
      <c r="L158" s="6" t="s">
        <v>992</v>
      </c>
      <c r="M158" s="6" t="s">
        <v>17</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21</v>
      </c>
      <c r="B159" s="11"/>
      <c r="C159" s="6" t="s">
        <v>994</v>
      </c>
      <c r="D159" s="6" t="s">
        <v>994</v>
      </c>
      <c r="E159" s="6" t="s">
        <v>17</v>
      </c>
      <c r="F159" s="6" t="s">
        <v>2568</v>
      </c>
      <c r="G159" s="6" t="s">
        <v>2569</v>
      </c>
      <c r="H159" s="6" t="str">
        <f t="shared" si="8"/>
        <v>att_dataset</v>
      </c>
      <c r="I159" s="6" t="s">
        <v>994</v>
      </c>
      <c r="J159" s="6" t="str">
        <f t="shared" si="9"/>
        <v>att_dataset:de novo</v>
      </c>
      <c r="K159" s="11" t="s">
        <v>21</v>
      </c>
      <c r="L159" s="6" t="s">
        <v>994</v>
      </c>
      <c r="M159" s="6" t="s">
        <v>17</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1064</v>
      </c>
      <c r="D160" s="6" t="s">
        <v>1065</v>
      </c>
      <c r="E160" s="6" t="s">
        <v>17</v>
      </c>
      <c r="F160" s="6" t="s">
        <v>108</v>
      </c>
      <c r="G160" s="6" t="s">
        <v>2570</v>
      </c>
      <c r="H160" s="6" t="str">
        <f t="shared" si="8"/>
        <v>att_disease</v>
      </c>
      <c r="I160" s="6" t="s">
        <v>1064</v>
      </c>
      <c r="J160" s="6" t="str">
        <f t="shared" si="9"/>
        <v>att_disease:als</v>
      </c>
      <c r="K160" s="11" t="s">
        <v>21</v>
      </c>
      <c r="L160" s="6" t="s">
        <v>1066</v>
      </c>
      <c r="M160" s="6" t="s">
        <v>17</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1067</v>
      </c>
      <c r="D161" s="6" t="s">
        <v>1068</v>
      </c>
      <c r="E161" s="6" t="s">
        <v>17</v>
      </c>
      <c r="F161" s="6" t="s">
        <v>108</v>
      </c>
      <c r="G161" s="6" t="s">
        <v>2570</v>
      </c>
      <c r="H161" s="6" t="str">
        <f t="shared" si="8"/>
        <v>att_disease</v>
      </c>
      <c r="I161" s="6" t="s">
        <v>1067</v>
      </c>
      <c r="J161" s="6" t="str">
        <f t="shared" si="9"/>
        <v>att_disease:alzheimer</v>
      </c>
      <c r="K161" s="11" t="s">
        <v>21</v>
      </c>
      <c r="L161" s="6" t="s">
        <v>1069</v>
      </c>
      <c r="M161" s="6" t="s">
        <v>17</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1070</v>
      </c>
      <c r="D162" s="6" t="s">
        <v>1071</v>
      </c>
      <c r="E162" s="6" t="s">
        <v>17</v>
      </c>
      <c r="F162" s="6" t="s">
        <v>108</v>
      </c>
      <c r="G162" s="6" t="s">
        <v>2570</v>
      </c>
      <c r="H162" s="6" t="str">
        <f t="shared" si="8"/>
        <v>att_disease</v>
      </c>
      <c r="I162" s="6" t="s">
        <v>1070</v>
      </c>
      <c r="J162" s="6" t="str">
        <f t="shared" si="9"/>
        <v>att_disease:autoimmune</v>
      </c>
      <c r="K162" s="11" t="s">
        <v>21</v>
      </c>
      <c r="L162" s="6" t="s">
        <v>1072</v>
      </c>
      <c r="M162" s="6" t="s">
        <v>17</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1073</v>
      </c>
      <c r="D163" s="6" t="s">
        <v>1074</v>
      </c>
      <c r="E163" s="6" t="s">
        <v>17</v>
      </c>
      <c r="F163" s="6" t="s">
        <v>108</v>
      </c>
      <c r="G163" s="6" t="s">
        <v>2570</v>
      </c>
      <c r="H163" s="6" t="str">
        <f t="shared" si="8"/>
        <v>att_disease</v>
      </c>
      <c r="I163" s="6" t="s">
        <v>1073</v>
      </c>
      <c r="J163" s="6" t="str">
        <f t="shared" si="9"/>
        <v>att_disease:cancer</v>
      </c>
      <c r="K163" s="11" t="s">
        <v>21</v>
      </c>
      <c r="L163" s="6" t="s">
        <v>1075</v>
      </c>
      <c r="M163" s="6" t="s">
        <v>17</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1077</v>
      </c>
      <c r="D164" s="6" t="s">
        <v>1078</v>
      </c>
      <c r="E164" s="6" t="s">
        <v>17</v>
      </c>
      <c r="F164" s="6" t="s">
        <v>108</v>
      </c>
      <c r="G164" s="6" t="s">
        <v>2570</v>
      </c>
      <c r="H164" s="6" t="str">
        <f t="shared" si="8"/>
        <v>att_disease</v>
      </c>
      <c r="I164" s="6" t="s">
        <v>1076</v>
      </c>
      <c r="J164" s="6" t="str">
        <f t="shared" si="9"/>
        <v>att_disease:cardiovascular_diseases</v>
      </c>
      <c r="K164" s="11" t="s">
        <v>21</v>
      </c>
      <c r="L164" s="6" t="s">
        <v>1079</v>
      </c>
      <c r="M164" s="6" t="s">
        <v>17</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1080</v>
      </c>
      <c r="D165" s="6" t="s">
        <v>1082</v>
      </c>
      <c r="E165" s="6" t="s">
        <v>17</v>
      </c>
      <c r="F165" s="6" t="s">
        <v>108</v>
      </c>
      <c r="G165" s="6" t="s">
        <v>2570</v>
      </c>
      <c r="H165" s="6" t="str">
        <f t="shared" si="8"/>
        <v>att_disease</v>
      </c>
      <c r="I165" s="6" t="s">
        <v>1080</v>
      </c>
      <c r="J165" s="6" t="str">
        <f t="shared" si="9"/>
        <v>att_disease:chronic_inflammation</v>
      </c>
      <c r="K165" s="11" t="s">
        <v>21</v>
      </c>
      <c r="L165" s="6" t="s">
        <v>1083</v>
      </c>
      <c r="M165" s="6" t="s">
        <v>17</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1084</v>
      </c>
      <c r="D166" s="6" t="s">
        <v>1085</v>
      </c>
      <c r="E166" s="6" t="s">
        <v>17</v>
      </c>
      <c r="F166" s="6" t="s">
        <v>108</v>
      </c>
      <c r="G166" s="6" t="s">
        <v>2570</v>
      </c>
      <c r="H166" s="6" t="str">
        <f t="shared" si="8"/>
        <v>att_disease</v>
      </c>
      <c r="I166" s="6" t="s">
        <v>1084</v>
      </c>
      <c r="J166" s="6" t="str">
        <f t="shared" si="9"/>
        <v>att_disease:coeliac</v>
      </c>
      <c r="K166" s="11" t="s">
        <v>21</v>
      </c>
      <c r="L166" s="6" t="s">
        <v>1086</v>
      </c>
      <c r="M166" s="6" t="s">
        <v>17</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1087</v>
      </c>
      <c r="D167" s="6" t="s">
        <v>1088</v>
      </c>
      <c r="E167" s="6" t="s">
        <v>17</v>
      </c>
      <c r="F167" s="6" t="s">
        <v>108</v>
      </c>
      <c r="G167" s="6" t="s">
        <v>2570</v>
      </c>
      <c r="H167" s="6" t="str">
        <f t="shared" si="8"/>
        <v>att_disease</v>
      </c>
      <c r="I167" s="6" t="s">
        <v>1087</v>
      </c>
      <c r="J167" s="6" t="str">
        <f t="shared" si="9"/>
        <v>att_disease:covid19</v>
      </c>
      <c r="K167" s="11" t="s">
        <v>21</v>
      </c>
      <c r="L167" s="6" t="s">
        <v>1089</v>
      </c>
      <c r="M167" s="6" t="s">
        <v>17</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1090</v>
      </c>
      <c r="D168" s="6" t="s">
        <v>1091</v>
      </c>
      <c r="E168" s="6" t="s">
        <v>17</v>
      </c>
      <c r="F168" s="6" t="s">
        <v>108</v>
      </c>
      <c r="G168" s="6" t="s">
        <v>2570</v>
      </c>
      <c r="H168" s="6" t="str">
        <f t="shared" si="8"/>
        <v>att_disease</v>
      </c>
      <c r="I168" s="6" t="s">
        <v>1090</v>
      </c>
      <c r="J168" s="6" t="str">
        <f t="shared" si="9"/>
        <v>att_disease:dementia</v>
      </c>
      <c r="K168" s="11" t="s">
        <v>21</v>
      </c>
      <c r="L168" s="6" t="s">
        <v>1091</v>
      </c>
      <c r="M168" s="6" t="s">
        <v>17</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1092</v>
      </c>
      <c r="D169" s="6" t="s">
        <v>1093</v>
      </c>
      <c r="E169" s="6" t="s">
        <v>17</v>
      </c>
      <c r="F169" s="6" t="s">
        <v>108</v>
      </c>
      <c r="G169" s="6" t="s">
        <v>2570</v>
      </c>
      <c r="H169" s="6" t="str">
        <f t="shared" si="8"/>
        <v>att_disease</v>
      </c>
      <c r="I169" s="6" t="s">
        <v>1092</v>
      </c>
      <c r="J169" s="6" t="str">
        <f t="shared" si="9"/>
        <v>att_disease:demyelinating</v>
      </c>
      <c r="K169" s="11" t="s">
        <v>21</v>
      </c>
      <c r="L169" s="6" t="s">
        <v>1094</v>
      </c>
      <c r="M169" s="6" t="s">
        <v>17</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1095</v>
      </c>
      <c r="D170" s="6" t="s">
        <v>1096</v>
      </c>
      <c r="E170" s="6" t="s">
        <v>17</v>
      </c>
      <c r="F170" s="6" t="s">
        <v>108</v>
      </c>
      <c r="G170" s="6" t="s">
        <v>2570</v>
      </c>
      <c r="H170" s="6" t="str">
        <f t="shared" si="8"/>
        <v>att_disease</v>
      </c>
      <c r="I170" s="6" t="s">
        <v>1095</v>
      </c>
      <c r="J170" s="6" t="str">
        <f t="shared" si="9"/>
        <v>att_disease:diabetes</v>
      </c>
      <c r="K170" s="11" t="s">
        <v>21</v>
      </c>
      <c r="L170" s="6" t="s">
        <v>1096</v>
      </c>
      <c r="M170" s="6" t="s">
        <v>17</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1097</v>
      </c>
      <c r="D171" s="6" t="s">
        <v>1098</v>
      </c>
      <c r="E171" s="6" t="s">
        <v>17</v>
      </c>
      <c r="F171" s="6" t="s">
        <v>108</v>
      </c>
      <c r="G171" s="6" t="s">
        <v>2570</v>
      </c>
      <c r="H171" s="6" t="str">
        <f t="shared" si="8"/>
        <v>att_disease</v>
      </c>
      <c r="I171" s="6" t="s">
        <v>1097</v>
      </c>
      <c r="J171" s="6" t="str">
        <f t="shared" si="9"/>
        <v>att_disease:glioblastoma</v>
      </c>
      <c r="K171" s="11" t="s">
        <v>21</v>
      </c>
      <c r="L171" s="6" t="s">
        <v>1099</v>
      </c>
      <c r="M171" s="6" t="s">
        <v>17</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1100</v>
      </c>
      <c r="D172" s="6" t="s">
        <v>1101</v>
      </c>
      <c r="E172" s="6" t="s">
        <v>17</v>
      </c>
      <c r="F172" s="6" t="s">
        <v>108</v>
      </c>
      <c r="G172" s="6" t="s">
        <v>2570</v>
      </c>
      <c r="H172" s="6" t="str">
        <f t="shared" si="8"/>
        <v>att_disease</v>
      </c>
      <c r="I172" s="6" t="s">
        <v>1100</v>
      </c>
      <c r="J172" s="6" t="str">
        <f t="shared" si="9"/>
        <v>att_disease:hiv</v>
      </c>
      <c r="K172" s="11" t="s">
        <v>21</v>
      </c>
      <c r="L172" s="6" t="s">
        <v>1102</v>
      </c>
      <c r="M172" s="6" t="s">
        <v>17</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1103</v>
      </c>
      <c r="D173" s="6" t="s">
        <v>1104</v>
      </c>
      <c r="E173" s="6" t="s">
        <v>17</v>
      </c>
      <c r="F173" s="6" t="s">
        <v>108</v>
      </c>
      <c r="G173" s="6" t="s">
        <v>2570</v>
      </c>
      <c r="H173" s="6" t="str">
        <f t="shared" si="8"/>
        <v>att_disease</v>
      </c>
      <c r="I173" s="6" t="s">
        <v>1103</v>
      </c>
      <c r="J173" s="6" t="str">
        <f t="shared" si="9"/>
        <v>att_disease:huntington</v>
      </c>
      <c r="K173" s="11" t="s">
        <v>21</v>
      </c>
      <c r="L173" s="6" t="s">
        <v>1105</v>
      </c>
      <c r="M173" s="6" t="s">
        <v>17</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1106</v>
      </c>
      <c r="D174" s="6" t="s">
        <v>1107</v>
      </c>
      <c r="E174" s="6" t="s">
        <v>17</v>
      </c>
      <c r="F174" s="6" t="s">
        <v>108</v>
      </c>
      <c r="G174" s="6" t="s">
        <v>2570</v>
      </c>
      <c r="H174" s="6" t="str">
        <f t="shared" si="8"/>
        <v>att_disease</v>
      </c>
      <c r="I174" s="6" t="s">
        <v>1106</v>
      </c>
      <c r="J174" s="6" t="str">
        <f t="shared" si="9"/>
        <v>att_disease:ibd</v>
      </c>
      <c r="K174" s="11" t="s">
        <v>21</v>
      </c>
      <c r="L174" s="6" t="s">
        <v>1108</v>
      </c>
      <c r="M174" s="6" t="s">
        <v>17</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1109</v>
      </c>
      <c r="D175" s="6" t="s">
        <v>1110</v>
      </c>
      <c r="E175" s="6" t="s">
        <v>17</v>
      </c>
      <c r="F175" s="6" t="s">
        <v>108</v>
      </c>
      <c r="G175" s="6" t="s">
        <v>2570</v>
      </c>
      <c r="H175" s="6" t="str">
        <f t="shared" si="8"/>
        <v>att_disease</v>
      </c>
      <c r="I175" s="6" t="s">
        <v>1109</v>
      </c>
      <c r="J175" s="6" t="str">
        <f t="shared" si="9"/>
        <v>att_disease:infection</v>
      </c>
      <c r="K175" s="11" t="s">
        <v>21</v>
      </c>
      <c r="L175" s="6" t="s">
        <v>1111</v>
      </c>
      <c r="M175" s="6" t="s">
        <v>17</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1112</v>
      </c>
      <c r="D176" s="6" t="s">
        <v>1113</v>
      </c>
      <c r="E176" s="6" t="s">
        <v>17</v>
      </c>
      <c r="F176" s="6" t="s">
        <v>108</v>
      </c>
      <c r="G176" s="6" t="s">
        <v>2570</v>
      </c>
      <c r="H176" s="6" t="str">
        <f t="shared" si="8"/>
        <v>att_disease</v>
      </c>
      <c r="I176" s="6" t="s">
        <v>1112</v>
      </c>
      <c r="J176" s="6" t="str">
        <f t="shared" si="9"/>
        <v>att_disease:influenza</v>
      </c>
      <c r="K176" s="11" t="s">
        <v>21</v>
      </c>
      <c r="L176" s="6" t="s">
        <v>1114</v>
      </c>
      <c r="M176" s="6" t="s">
        <v>17</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1115</v>
      </c>
      <c r="D177" s="6" t="s">
        <v>627</v>
      </c>
      <c r="E177" s="6" t="s">
        <v>17</v>
      </c>
      <c r="F177" s="6" t="s">
        <v>108</v>
      </c>
      <c r="G177" s="6" t="s">
        <v>2570</v>
      </c>
      <c r="H177" s="6" t="str">
        <f t="shared" si="8"/>
        <v>att_disease</v>
      </c>
      <c r="I177" s="6" t="s">
        <v>1115</v>
      </c>
      <c r="J177" s="6" t="str">
        <f t="shared" si="9"/>
        <v>att_disease:leukemia</v>
      </c>
      <c r="K177" s="11" t="s">
        <v>21</v>
      </c>
      <c r="L177" s="6" t="s">
        <v>1116</v>
      </c>
      <c r="M177" s="6" t="s">
        <v>17</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1117</v>
      </c>
      <c r="D178" s="6" t="s">
        <v>1118</v>
      </c>
      <c r="E178" s="6" t="s">
        <v>17</v>
      </c>
      <c r="F178" s="6" t="s">
        <v>108</v>
      </c>
      <c r="G178" s="6" t="s">
        <v>2570</v>
      </c>
      <c r="H178" s="6" t="str">
        <f t="shared" si="8"/>
        <v>att_disease</v>
      </c>
      <c r="I178" s="6" t="s">
        <v>1117</v>
      </c>
      <c r="J178" s="6" t="str">
        <f t="shared" si="9"/>
        <v>att_disease:lymphoma</v>
      </c>
      <c r="K178" s="11" t="s">
        <v>21</v>
      </c>
      <c r="L178" s="6" t="s">
        <v>1119</v>
      </c>
      <c r="M178" s="6" t="s">
        <v>17</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1120</v>
      </c>
      <c r="D179" s="6" t="s">
        <v>1121</v>
      </c>
      <c r="E179" s="6" t="s">
        <v>17</v>
      </c>
      <c r="F179" s="6" t="s">
        <v>108</v>
      </c>
      <c r="G179" s="6" t="s">
        <v>2570</v>
      </c>
      <c r="H179" s="6" t="str">
        <f t="shared" si="8"/>
        <v>att_disease</v>
      </c>
      <c r="I179" s="6" t="s">
        <v>1120</v>
      </c>
      <c r="J179" s="6" t="str">
        <f t="shared" si="9"/>
        <v>att_disease:malaria</v>
      </c>
      <c r="K179" s="11" t="s">
        <v>21</v>
      </c>
      <c r="L179" s="6" t="s">
        <v>1122</v>
      </c>
      <c r="M179" s="6" t="s">
        <v>17</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25</v>
      </c>
      <c r="D180" s="6" t="s">
        <v>1123</v>
      </c>
      <c r="E180" s="6" t="s">
        <v>17</v>
      </c>
      <c r="F180" s="6" t="s">
        <v>108</v>
      </c>
      <c r="G180" s="6" t="s">
        <v>2570</v>
      </c>
      <c r="H180" s="6" t="str">
        <f t="shared" si="8"/>
        <v>att_disease</v>
      </c>
      <c r="I180" s="6" t="s">
        <v>25</v>
      </c>
      <c r="J180" s="6" t="str">
        <f t="shared" si="9"/>
        <v>att_disease:ms</v>
      </c>
      <c r="K180" s="11" t="s">
        <v>21</v>
      </c>
      <c r="L180" s="6" t="s">
        <v>1124</v>
      </c>
      <c r="M180" s="6" t="s">
        <v>17</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1125</v>
      </c>
      <c r="D181" s="6" t="s">
        <v>1126</v>
      </c>
      <c r="E181" s="6" t="s">
        <v>17</v>
      </c>
      <c r="F181" s="6" t="s">
        <v>108</v>
      </c>
      <c r="G181" s="6" t="s">
        <v>2570</v>
      </c>
      <c r="H181" s="6" t="str">
        <f t="shared" si="8"/>
        <v>att_disease</v>
      </c>
      <c r="I181" s="6" t="s">
        <v>1125</v>
      </c>
      <c r="J181" s="6" t="str">
        <f t="shared" si="9"/>
        <v>att_disease:msa</v>
      </c>
      <c r="K181" s="11" t="s">
        <v>21</v>
      </c>
      <c r="L181" s="6" t="s">
        <v>1127</v>
      </c>
      <c r="M181" s="6" t="s">
        <v>17</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1128</v>
      </c>
      <c r="D182" s="6" t="s">
        <v>1129</v>
      </c>
      <c r="E182" s="6" t="s">
        <v>17</v>
      </c>
      <c r="F182" s="6" t="s">
        <v>108</v>
      </c>
      <c r="G182" s="6" t="s">
        <v>2570</v>
      </c>
      <c r="H182" s="6" t="str">
        <f t="shared" si="8"/>
        <v>att_disease</v>
      </c>
      <c r="I182" s="6" t="s">
        <v>1128</v>
      </c>
      <c r="J182" s="6" t="str">
        <f t="shared" si="9"/>
        <v>att_disease:neurodegenerative</v>
      </c>
      <c r="K182" s="11" t="s">
        <v>21</v>
      </c>
      <c r="L182" s="6" t="s">
        <v>1130</v>
      </c>
      <c r="M182" s="6" t="s">
        <v>17</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1131</v>
      </c>
      <c r="D183" s="6" t="s">
        <v>1132</v>
      </c>
      <c r="E183" s="6" t="s">
        <v>17</v>
      </c>
      <c r="F183" s="6" t="s">
        <v>108</v>
      </c>
      <c r="G183" s="6" t="s">
        <v>2570</v>
      </c>
      <c r="H183" s="6" t="str">
        <f t="shared" si="8"/>
        <v>att_disease</v>
      </c>
      <c r="I183" s="6" t="s">
        <v>1131</v>
      </c>
      <c r="J183" s="6" t="str">
        <f t="shared" si="9"/>
        <v>att_disease:parkinson</v>
      </c>
      <c r="K183" s="11" t="s">
        <v>21</v>
      </c>
      <c r="L183" s="6" t="s">
        <v>1133</v>
      </c>
      <c r="M183" s="6" t="s">
        <v>17</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1134</v>
      </c>
      <c r="D184" s="6" t="s">
        <v>1135</v>
      </c>
      <c r="E184" s="6" t="s">
        <v>17</v>
      </c>
      <c r="F184" s="6" t="s">
        <v>108</v>
      </c>
      <c r="G184" s="6" t="s">
        <v>2570</v>
      </c>
      <c r="H184" s="6" t="str">
        <f t="shared" si="8"/>
        <v>att_disease</v>
      </c>
      <c r="I184" s="6" t="s">
        <v>1134</v>
      </c>
      <c r="J184" s="6" t="str">
        <f t="shared" si="9"/>
        <v>att_disease:prion</v>
      </c>
      <c r="K184" s="11" t="s">
        <v>21</v>
      </c>
      <c r="L184" s="6" t="s">
        <v>1136</v>
      </c>
      <c r="M184" s="6" t="s">
        <v>17</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1137</v>
      </c>
      <c r="D185" s="6" t="s">
        <v>1138</v>
      </c>
      <c r="E185" s="6" t="s">
        <v>17</v>
      </c>
      <c r="F185" s="6" t="s">
        <v>108</v>
      </c>
      <c r="G185" s="6" t="s">
        <v>2570</v>
      </c>
      <c r="H185" s="6" t="str">
        <f t="shared" si="8"/>
        <v>att_disease</v>
      </c>
      <c r="I185" s="6" t="s">
        <v>1137</v>
      </c>
      <c r="J185" s="6" t="str">
        <f t="shared" si="9"/>
        <v>att_disease:rheumatoid</v>
      </c>
      <c r="K185" s="11" t="s">
        <v>21</v>
      </c>
      <c r="L185" s="6" t="s">
        <v>1139</v>
      </c>
      <c r="M185" s="6" t="s">
        <v>17</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1140</v>
      </c>
      <c r="D186" s="6" t="s">
        <v>1141</v>
      </c>
      <c r="E186" s="6" t="s">
        <v>17</v>
      </c>
      <c r="F186" s="6" t="s">
        <v>108</v>
      </c>
      <c r="G186" s="6" t="s">
        <v>2570</v>
      </c>
      <c r="H186" s="6" t="str">
        <f t="shared" si="8"/>
        <v>att_disease</v>
      </c>
      <c r="I186" s="6" t="s">
        <v>1140</v>
      </c>
      <c r="J186" s="6" t="str">
        <f t="shared" si="9"/>
        <v>att_disease:stress</v>
      </c>
      <c r="K186" s="11" t="s">
        <v>21</v>
      </c>
      <c r="L186" s="6" t="s">
        <v>1142</v>
      </c>
      <c r="M186" s="6" t="s">
        <v>17</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1143</v>
      </c>
      <c r="D187" s="6" t="s">
        <v>1144</v>
      </c>
      <c r="E187" s="6" t="s">
        <v>17</v>
      </c>
      <c r="F187" s="6" t="s">
        <v>108</v>
      </c>
      <c r="G187" s="6" t="s">
        <v>2570</v>
      </c>
      <c r="H187" s="6" t="str">
        <f t="shared" si="8"/>
        <v>att_disease</v>
      </c>
      <c r="I187" s="6" t="s">
        <v>1143</v>
      </c>
      <c r="J187" s="6" t="str">
        <f t="shared" si="9"/>
        <v>att_disease:stroke</v>
      </c>
      <c r="K187" s="11" t="s">
        <v>21</v>
      </c>
      <c r="L187" s="6" t="s">
        <v>1145</v>
      </c>
      <c r="M187" s="6" t="s">
        <v>17</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1146</v>
      </c>
      <c r="D188" s="6" t="s">
        <v>1147</v>
      </c>
      <c r="E188" s="6" t="s">
        <v>17</v>
      </c>
      <c r="F188" s="6" t="s">
        <v>108</v>
      </c>
      <c r="G188" s="6" t="s">
        <v>2570</v>
      </c>
      <c r="H188" s="6" t="str">
        <f t="shared" si="8"/>
        <v>att_disease</v>
      </c>
      <c r="I188" s="6" t="s">
        <v>1146</v>
      </c>
      <c r="J188" s="6" t="str">
        <f t="shared" si="9"/>
        <v>att_disease:tuberculosis</v>
      </c>
      <c r="K188" s="11" t="s">
        <v>21</v>
      </c>
      <c r="L188" s="6" t="s">
        <v>1148</v>
      </c>
      <c r="M188" s="6" t="s">
        <v>17</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21</v>
      </c>
      <c r="B189" s="11"/>
      <c r="C189" s="6" t="s">
        <v>1155</v>
      </c>
      <c r="D189" s="6" t="s">
        <v>1156</v>
      </c>
      <c r="E189" s="6" t="s">
        <v>17</v>
      </c>
      <c r="F189" s="6" t="s">
        <v>112</v>
      </c>
      <c r="G189" s="6" t="s">
        <v>2571</v>
      </c>
      <c r="H189" s="6" t="str">
        <f t="shared" si="8"/>
        <v>att_experiment</v>
      </c>
      <c r="I189" s="6" t="s">
        <v>1155</v>
      </c>
      <c r="J189" s="6" t="str">
        <f t="shared" si="9"/>
        <v>att_experiment:acetylome</v>
      </c>
      <c r="K189" s="11" t="s">
        <v>21</v>
      </c>
      <c r="L189" s="6" t="s">
        <v>1156</v>
      </c>
      <c r="M189" s="6" t="s">
        <v>17</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21</v>
      </c>
      <c r="B190" s="11"/>
      <c r="C190" s="6" t="s">
        <v>1157</v>
      </c>
      <c r="D190" s="6" t="s">
        <v>1158</v>
      </c>
      <c r="E190" s="6" t="s">
        <v>17</v>
      </c>
      <c r="F190" s="6" t="s">
        <v>112</v>
      </c>
      <c r="G190" s="6" t="s">
        <v>2571</v>
      </c>
      <c r="H190" s="6" t="str">
        <f t="shared" si="8"/>
        <v>att_experiment</v>
      </c>
      <c r="I190" s="6" t="s">
        <v>1157</v>
      </c>
      <c r="J190" s="6" t="str">
        <f t="shared" si="9"/>
        <v>att_experiment:dvp</v>
      </c>
      <c r="K190" s="11" t="s">
        <v>21</v>
      </c>
      <c r="L190" s="6" t="s">
        <v>1159</v>
      </c>
      <c r="M190" s="6" t="s">
        <v>17</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21</v>
      </c>
      <c r="B191" s="11"/>
      <c r="C191" s="6" t="s">
        <v>1160</v>
      </c>
      <c r="D191" s="6" t="s">
        <v>1162</v>
      </c>
      <c r="E191" s="6" t="s">
        <v>17</v>
      </c>
      <c r="F191" s="6" t="s">
        <v>112</v>
      </c>
      <c r="G191" s="6" t="s">
        <v>2571</v>
      </c>
      <c r="H191" s="6" t="str">
        <f t="shared" si="8"/>
        <v>att_experiment</v>
      </c>
      <c r="I191" s="6" t="s">
        <v>1160</v>
      </c>
      <c r="J191" s="6" t="str">
        <f t="shared" si="9"/>
        <v>att_experiment:expression_proteome</v>
      </c>
      <c r="K191" s="11" t="s">
        <v>21</v>
      </c>
      <c r="L191" s="6" t="s">
        <v>1162</v>
      </c>
      <c r="M191" s="6" t="s">
        <v>17</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21</v>
      </c>
      <c r="B192" s="11"/>
      <c r="C192" s="6" t="s">
        <v>1163</v>
      </c>
      <c r="D192" s="6" t="s">
        <v>1164</v>
      </c>
      <c r="E192" s="6" t="s">
        <v>17</v>
      </c>
      <c r="F192" s="6" t="s">
        <v>112</v>
      </c>
      <c r="G192" s="6" t="s">
        <v>2571</v>
      </c>
      <c r="H192" s="6" t="str">
        <f t="shared" si="8"/>
        <v>att_experiment</v>
      </c>
      <c r="I192" s="6" t="s">
        <v>1163</v>
      </c>
      <c r="J192" s="6" t="str">
        <f t="shared" si="9"/>
        <v>att_experiment:interaction</v>
      </c>
      <c r="K192" s="11" t="s">
        <v>21</v>
      </c>
      <c r="L192" s="6" t="s">
        <v>1164</v>
      </c>
      <c r="M192" s="6" t="s">
        <v>17</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21</v>
      </c>
      <c r="B193" s="11"/>
      <c r="C193" s="6" t="s">
        <v>1165</v>
      </c>
      <c r="D193" s="6" t="s">
        <v>1166</v>
      </c>
      <c r="E193" s="6" t="s">
        <v>17</v>
      </c>
      <c r="F193" s="6" t="s">
        <v>112</v>
      </c>
      <c r="G193" s="6" t="s">
        <v>2571</v>
      </c>
      <c r="H193" s="6" t="str">
        <f t="shared" si="8"/>
        <v>att_experiment</v>
      </c>
      <c r="I193" s="6" t="s">
        <v>1165</v>
      </c>
      <c r="J193" s="6" t="str">
        <f t="shared" si="9"/>
        <v>att_experiment:metrs</v>
      </c>
      <c r="K193" s="11" t="s">
        <v>21</v>
      </c>
      <c r="L193" s="6" t="s">
        <v>1166</v>
      </c>
      <c r="M193" s="6" t="s">
        <v>17</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21</v>
      </c>
      <c r="B194" s="11"/>
      <c r="C194" s="6" t="s">
        <v>2572</v>
      </c>
      <c r="D194" s="6" t="s">
        <v>1169</v>
      </c>
      <c r="E194" s="6" t="s">
        <v>17</v>
      </c>
      <c r="F194" s="6" t="s">
        <v>112</v>
      </c>
      <c r="G194" s="6" t="s">
        <v>2571</v>
      </c>
      <c r="H194" s="6" t="str">
        <f t="shared" ref="H194:H221" si="12">"att_"&amp;G194</f>
        <v>att_experiment</v>
      </c>
      <c r="I194" s="6" t="s">
        <v>1167</v>
      </c>
      <c r="J194" s="6" t="str">
        <f t="shared" ref="J194:J221" si="13">H194&amp;":"&amp;I194</f>
        <v>att_experiment:neo_nterm_enrichment</v>
      </c>
      <c r="K194" s="11" t="s">
        <v>21</v>
      </c>
      <c r="L194" s="6" t="s">
        <v>1169</v>
      </c>
      <c r="M194" s="6" t="s">
        <v>17</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21</v>
      </c>
      <c r="B195" s="11"/>
      <c r="C195" s="6" t="s">
        <v>2573</v>
      </c>
      <c r="D195" s="6" t="s">
        <v>2574</v>
      </c>
      <c r="E195" s="6" t="s">
        <v>17</v>
      </c>
      <c r="F195" s="6" t="s">
        <v>112</v>
      </c>
      <c r="G195" s="6" t="s">
        <v>2571</v>
      </c>
      <c r="H195" s="6" t="str">
        <f t="shared" si="12"/>
        <v>att_experiment</v>
      </c>
      <c r="I195" s="6" t="s">
        <v>2573</v>
      </c>
      <c r="J195" s="6" t="str">
        <f t="shared" si="13"/>
        <v>att_experiment:other_ptm</v>
      </c>
      <c r="K195" s="11" t="s">
        <v>21</v>
      </c>
      <c r="L195" s="6" t="s">
        <v>2574</v>
      </c>
      <c r="M195" s="6" t="s">
        <v>17</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21</v>
      </c>
      <c r="B196" s="11"/>
      <c r="C196" s="6" t="s">
        <v>1170</v>
      </c>
      <c r="D196" s="6" t="s">
        <v>1171</v>
      </c>
      <c r="E196" s="6" t="s">
        <v>17</v>
      </c>
      <c r="F196" s="6" t="s">
        <v>112</v>
      </c>
      <c r="G196" s="6" t="s">
        <v>2571</v>
      </c>
      <c r="H196" s="6" t="str">
        <f t="shared" si="12"/>
        <v>att_experiment</v>
      </c>
      <c r="I196" s="6" t="s">
        <v>1170</v>
      </c>
      <c r="J196" s="6" t="str">
        <f t="shared" si="13"/>
        <v>att_experiment:oxinome</v>
      </c>
      <c r="K196" s="11" t="s">
        <v>21</v>
      </c>
      <c r="L196" s="6" t="s">
        <v>1171</v>
      </c>
      <c r="M196" s="6" t="s">
        <v>17</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21</v>
      </c>
      <c r="B197" s="11"/>
      <c r="C197" s="6" t="s">
        <v>1172</v>
      </c>
      <c r="D197" s="6" t="s">
        <v>1173</v>
      </c>
      <c r="E197" s="6" t="s">
        <v>17</v>
      </c>
      <c r="F197" s="6" t="s">
        <v>112</v>
      </c>
      <c r="G197" s="6" t="s">
        <v>2571</v>
      </c>
      <c r="H197" s="6" t="str">
        <f t="shared" si="12"/>
        <v>att_experiment</v>
      </c>
      <c r="I197" s="6" t="s">
        <v>1172</v>
      </c>
      <c r="J197" s="6" t="str">
        <f t="shared" si="13"/>
        <v>att_experiment:phosphoproteome</v>
      </c>
      <c r="K197" s="11" t="s">
        <v>21</v>
      </c>
      <c r="L197" s="6" t="s">
        <v>1173</v>
      </c>
      <c r="M197" s="6" t="s">
        <v>17</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21</v>
      </c>
      <c r="B198" s="11"/>
      <c r="C198" s="6" t="s">
        <v>2575</v>
      </c>
      <c r="D198" s="6" t="s">
        <v>1175</v>
      </c>
      <c r="E198" s="6" t="s">
        <v>17</v>
      </c>
      <c r="F198" s="6" t="s">
        <v>112</v>
      </c>
      <c r="G198" s="6" t="s">
        <v>2571</v>
      </c>
      <c r="H198" s="6" t="str">
        <f t="shared" si="12"/>
        <v>att_experiment</v>
      </c>
      <c r="I198" s="6" t="s">
        <v>1174</v>
      </c>
      <c r="J198" s="6" t="str">
        <f t="shared" si="13"/>
        <v>att_experiment:pulse_silac</v>
      </c>
      <c r="K198" s="11" t="s">
        <v>21</v>
      </c>
      <c r="L198" s="6" t="s">
        <v>1175</v>
      </c>
      <c r="M198" s="6" t="s">
        <v>17</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21</v>
      </c>
      <c r="B199" s="11"/>
      <c r="C199" s="6" t="s">
        <v>1176</v>
      </c>
      <c r="D199" s="6" t="s">
        <v>1177</v>
      </c>
      <c r="E199" s="6" t="s">
        <v>17</v>
      </c>
      <c r="F199" s="6" t="s">
        <v>112</v>
      </c>
      <c r="G199" s="6" t="s">
        <v>2571</v>
      </c>
      <c r="H199" s="6" t="str">
        <f t="shared" si="12"/>
        <v>att_experiment</v>
      </c>
      <c r="I199" s="6" t="s">
        <v>1176</v>
      </c>
      <c r="J199" s="6" t="str">
        <f t="shared" si="13"/>
        <v>att_experiment:secretome</v>
      </c>
      <c r="K199" s="11" t="s">
        <v>21</v>
      </c>
      <c r="L199" s="6" t="s">
        <v>1177</v>
      </c>
      <c r="M199" s="6" t="s">
        <v>17</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21</v>
      </c>
      <c r="B200" s="11"/>
      <c r="C200" s="6" t="s">
        <v>1178</v>
      </c>
      <c r="D200" s="6" t="s">
        <v>1179</v>
      </c>
      <c r="E200" s="6" t="s">
        <v>17</v>
      </c>
      <c r="F200" s="6" t="s">
        <v>112</v>
      </c>
      <c r="G200" s="6" t="s">
        <v>2571</v>
      </c>
      <c r="H200" s="6" t="str">
        <f t="shared" si="12"/>
        <v>att_experiment</v>
      </c>
      <c r="I200" s="6" t="s">
        <v>1178</v>
      </c>
      <c r="J200" s="6" t="str">
        <f t="shared" si="13"/>
        <v>att_experiment:spatial</v>
      </c>
      <c r="K200" s="11" t="s">
        <v>21</v>
      </c>
      <c r="L200" s="6" t="s">
        <v>1179</v>
      </c>
      <c r="M200" s="6" t="s">
        <v>17</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21</v>
      </c>
      <c r="B201" s="11"/>
      <c r="C201" s="6" t="s">
        <v>1180</v>
      </c>
      <c r="D201" s="6" t="s">
        <v>1181</v>
      </c>
      <c r="E201" s="6" t="s">
        <v>17</v>
      </c>
      <c r="F201" s="6" t="s">
        <v>112</v>
      </c>
      <c r="G201" s="6" t="s">
        <v>2571</v>
      </c>
      <c r="H201" s="6" t="str">
        <f t="shared" si="12"/>
        <v>att_experiment</v>
      </c>
      <c r="I201" s="6" t="s">
        <v>1180</v>
      </c>
      <c r="J201" s="6" t="str">
        <f t="shared" si="13"/>
        <v>att_experiment:ubiquitinome</v>
      </c>
      <c r="K201" s="11" t="s">
        <v>21</v>
      </c>
      <c r="L201" s="6" t="s">
        <v>1181</v>
      </c>
      <c r="M201" s="6" t="s">
        <v>17</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1188</v>
      </c>
      <c r="D202" s="6" t="s">
        <v>1190</v>
      </c>
      <c r="E202" s="6" t="s">
        <v>17</v>
      </c>
      <c r="F202" s="6" t="s">
        <v>2576</v>
      </c>
      <c r="G202" s="6" t="s">
        <v>2577</v>
      </c>
      <c r="H202" s="6" t="str">
        <f t="shared" si="12"/>
        <v>att_fluid</v>
      </c>
      <c r="I202" s="6" t="s">
        <v>1188</v>
      </c>
      <c r="J202" s="6" t="str">
        <f t="shared" si="13"/>
        <v>att_fluid:bal</v>
      </c>
      <c r="K202" s="11" t="s">
        <v>21</v>
      </c>
      <c r="L202" s="6" t="s">
        <v>1191</v>
      </c>
      <c r="M202" s="6" t="s">
        <v>17</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1192</v>
      </c>
      <c r="D203" s="6" t="s">
        <v>1193</v>
      </c>
      <c r="E203" s="6" t="s">
        <v>17</v>
      </c>
      <c r="F203" s="6" t="s">
        <v>2576</v>
      </c>
      <c r="G203" s="6" t="s">
        <v>2577</v>
      </c>
      <c r="H203" s="6" t="str">
        <f t="shared" si="12"/>
        <v>att_fluid</v>
      </c>
      <c r="I203" s="6" t="s">
        <v>1192</v>
      </c>
      <c r="J203" s="6" t="str">
        <f t="shared" si="13"/>
        <v>att_fluid:cerebrospinal</v>
      </c>
      <c r="K203" s="11" t="s">
        <v>21</v>
      </c>
      <c r="L203" s="6" t="s">
        <v>1194</v>
      </c>
      <c r="M203" s="6" t="s">
        <v>17</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1195</v>
      </c>
      <c r="D204" s="6" t="s">
        <v>1196</v>
      </c>
      <c r="E204" s="6" t="s">
        <v>17</v>
      </c>
      <c r="F204" s="6" t="s">
        <v>2576</v>
      </c>
      <c r="G204" s="6" t="s">
        <v>2577</v>
      </c>
      <c r="H204" s="6" t="str">
        <f t="shared" si="12"/>
        <v>att_fluid</v>
      </c>
      <c r="I204" s="6" t="s">
        <v>1195</v>
      </c>
      <c r="J204" s="6" t="str">
        <f t="shared" si="13"/>
        <v>att_fluid:feces</v>
      </c>
      <c r="K204" s="11" t="s">
        <v>21</v>
      </c>
      <c r="L204" s="6" t="s">
        <v>1197</v>
      </c>
      <c r="M204" s="6" t="s">
        <v>17</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1198</v>
      </c>
      <c r="D205" s="6" t="s">
        <v>1199</v>
      </c>
      <c r="E205" s="6" t="s">
        <v>17</v>
      </c>
      <c r="F205" s="6" t="s">
        <v>2576</v>
      </c>
      <c r="G205" s="6" t="s">
        <v>2577</v>
      </c>
      <c r="H205" s="6" t="str">
        <f t="shared" si="12"/>
        <v>att_fluid</v>
      </c>
      <c r="I205" s="6" t="s">
        <v>1198</v>
      </c>
      <c r="J205" s="6" t="str">
        <f t="shared" si="13"/>
        <v>att_fluid:interstitial</v>
      </c>
      <c r="K205" s="11" t="s">
        <v>21</v>
      </c>
      <c r="L205" s="6" t="s">
        <v>1200</v>
      </c>
      <c r="M205" s="6" t="s">
        <v>17</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1201</v>
      </c>
      <c r="D206" s="6" t="s">
        <v>1202</v>
      </c>
      <c r="E206" s="6" t="s">
        <v>17</v>
      </c>
      <c r="F206" s="6" t="s">
        <v>2576</v>
      </c>
      <c r="G206" s="6" t="s">
        <v>2577</v>
      </c>
      <c r="H206" s="6" t="str">
        <f t="shared" si="12"/>
        <v>att_fluid</v>
      </c>
      <c r="I206" s="6" t="s">
        <v>1201</v>
      </c>
      <c r="J206" s="6" t="str">
        <f t="shared" si="13"/>
        <v>att_fluid:lymph</v>
      </c>
      <c r="K206" s="11" t="s">
        <v>21</v>
      </c>
      <c r="L206" s="6" t="s">
        <v>1203</v>
      </c>
      <c r="M206" s="6" t="s">
        <v>17</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1204</v>
      </c>
      <c r="D207" s="6" t="s">
        <v>1205</v>
      </c>
      <c r="E207" s="6" t="s">
        <v>17</v>
      </c>
      <c r="F207" s="6" t="s">
        <v>2576</v>
      </c>
      <c r="G207" s="6" t="s">
        <v>2577</v>
      </c>
      <c r="H207" s="6" t="str">
        <f t="shared" si="12"/>
        <v>att_fluid</v>
      </c>
      <c r="I207" s="6" t="s">
        <v>1204</v>
      </c>
      <c r="J207" s="6" t="str">
        <f t="shared" si="13"/>
        <v>att_fluid:peritoneal</v>
      </c>
      <c r="K207" s="11" t="s">
        <v>21</v>
      </c>
      <c r="L207" s="6" t="s">
        <v>1206</v>
      </c>
      <c r="M207" s="6" t="s">
        <v>17</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1207</v>
      </c>
      <c r="D208" s="6" t="s">
        <v>1208</v>
      </c>
      <c r="E208" s="6" t="s">
        <v>17</v>
      </c>
      <c r="F208" s="6" t="s">
        <v>2576</v>
      </c>
      <c r="G208" s="6" t="s">
        <v>2577</v>
      </c>
      <c r="H208" s="6" t="str">
        <f t="shared" si="12"/>
        <v>att_fluid</v>
      </c>
      <c r="I208" s="6" t="s">
        <v>1207</v>
      </c>
      <c r="J208" s="6" t="str">
        <f t="shared" si="13"/>
        <v>att_fluid:plasma</v>
      </c>
      <c r="K208" s="11" t="s">
        <v>21</v>
      </c>
      <c r="L208" s="6" t="s">
        <v>1209</v>
      </c>
      <c r="M208" s="6" t="s">
        <v>17</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1210</v>
      </c>
      <c r="D209" s="6" t="s">
        <v>1211</v>
      </c>
      <c r="E209" s="6" t="s">
        <v>17</v>
      </c>
      <c r="F209" s="6" t="s">
        <v>2576</v>
      </c>
      <c r="G209" s="6" t="s">
        <v>2577</v>
      </c>
      <c r="H209" s="6" t="str">
        <f t="shared" si="12"/>
        <v>att_fluid</v>
      </c>
      <c r="I209" s="6" t="s">
        <v>1210</v>
      </c>
      <c r="J209" s="6" t="str">
        <f t="shared" si="13"/>
        <v>att_fluid:pleural</v>
      </c>
      <c r="K209" s="11" t="s">
        <v>21</v>
      </c>
      <c r="L209" s="6" t="s">
        <v>1212</v>
      </c>
      <c r="M209" s="6" t="s">
        <v>17</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1213</v>
      </c>
      <c r="D210" s="6" t="s">
        <v>1214</v>
      </c>
      <c r="E210" s="6" t="s">
        <v>17</v>
      </c>
      <c r="F210" s="6" t="s">
        <v>2576</v>
      </c>
      <c r="G210" s="6" t="s">
        <v>2577</v>
      </c>
      <c r="H210" s="6" t="str">
        <f t="shared" si="12"/>
        <v>att_fluid</v>
      </c>
      <c r="I210" s="6" t="s">
        <v>1213</v>
      </c>
      <c r="J210" s="6" t="str">
        <f t="shared" si="13"/>
        <v>att_fluid:saliva</v>
      </c>
      <c r="K210" s="11" t="s">
        <v>21</v>
      </c>
      <c r="L210" s="6" t="s">
        <v>1215</v>
      </c>
      <c r="M210" s="6" t="s">
        <v>17</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1216</v>
      </c>
      <c r="D211" s="6" t="s">
        <v>1217</v>
      </c>
      <c r="E211" s="6" t="s">
        <v>17</v>
      </c>
      <c r="F211" s="6" t="s">
        <v>2576</v>
      </c>
      <c r="G211" s="6" t="s">
        <v>2577</v>
      </c>
      <c r="H211" s="6" t="str">
        <f t="shared" si="12"/>
        <v>att_fluid</v>
      </c>
      <c r="I211" s="6" t="s">
        <v>1216</v>
      </c>
      <c r="J211" s="6" t="str">
        <f t="shared" si="13"/>
        <v>att_fluid:seminal</v>
      </c>
      <c r="K211" s="11" t="s">
        <v>21</v>
      </c>
      <c r="L211" s="6" t="s">
        <v>1218</v>
      </c>
      <c r="M211" s="6" t="s">
        <v>17</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1219</v>
      </c>
      <c r="D212" s="6" t="s">
        <v>1220</v>
      </c>
      <c r="E212" s="6" t="s">
        <v>17</v>
      </c>
      <c r="F212" s="6" t="s">
        <v>2576</v>
      </c>
      <c r="G212" s="6" t="s">
        <v>2577</v>
      </c>
      <c r="H212" s="6" t="str">
        <f t="shared" si="12"/>
        <v>att_fluid</v>
      </c>
      <c r="I212" s="6" t="s">
        <v>1219</v>
      </c>
      <c r="J212" s="6" t="str">
        <f t="shared" si="13"/>
        <v>att_fluid:serum</v>
      </c>
      <c r="K212" s="11" t="s">
        <v>21</v>
      </c>
      <c r="L212" s="6" t="s">
        <v>1221</v>
      </c>
      <c r="M212" s="6" t="s">
        <v>17</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1222</v>
      </c>
      <c r="D213" s="6" t="s">
        <v>1223</v>
      </c>
      <c r="E213" s="6" t="s">
        <v>17</v>
      </c>
      <c r="F213" s="6" t="s">
        <v>2576</v>
      </c>
      <c r="G213" s="6" t="s">
        <v>2577</v>
      </c>
      <c r="H213" s="6" t="str">
        <f t="shared" si="12"/>
        <v>att_fluid</v>
      </c>
      <c r="I213" s="6" t="s">
        <v>1222</v>
      </c>
      <c r="J213" s="6" t="str">
        <f t="shared" si="13"/>
        <v>att_fluid:urine</v>
      </c>
      <c r="K213" s="11" t="s">
        <v>21</v>
      </c>
      <c r="L213" s="6" t="s">
        <v>1224</v>
      </c>
      <c r="M213" s="6" t="s">
        <v>17</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1225</v>
      </c>
      <c r="D214" s="6" t="s">
        <v>1225</v>
      </c>
      <c r="E214" s="6" t="s">
        <v>17</v>
      </c>
      <c r="F214" s="6" t="s">
        <v>216</v>
      </c>
      <c r="G214" s="6" t="s">
        <v>2578</v>
      </c>
      <c r="H214" s="6" t="str">
        <f t="shared" si="12"/>
        <v>att_fraction</v>
      </c>
      <c r="I214" s="6" t="s">
        <v>1225</v>
      </c>
      <c r="J214" s="6" t="str">
        <f t="shared" si="13"/>
        <v>att_fraction:01k</v>
      </c>
      <c r="K214" s="11" t="s">
        <v>21</v>
      </c>
      <c r="L214" s="6" t="s">
        <v>2579</v>
      </c>
      <c r="M214" s="6" t="s">
        <v>1178</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1228</v>
      </c>
      <c r="D215" s="6" t="s">
        <v>1228</v>
      </c>
      <c r="E215" s="6" t="s">
        <v>17</v>
      </c>
      <c r="F215" s="6" t="s">
        <v>216</v>
      </c>
      <c r="G215" s="6" t="s">
        <v>2578</v>
      </c>
      <c r="H215" s="6" t="str">
        <f t="shared" si="12"/>
        <v>att_fraction</v>
      </c>
      <c r="I215" s="6" t="s">
        <v>1228</v>
      </c>
      <c r="J215" s="6" t="str">
        <f t="shared" si="13"/>
        <v>att_fraction:05k</v>
      </c>
      <c r="K215" s="11" t="s">
        <v>21</v>
      </c>
      <c r="L215" s="6" t="s">
        <v>2580</v>
      </c>
      <c r="M215" s="6" t="s">
        <v>1178</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1230</v>
      </c>
      <c r="D216" s="6" t="s">
        <v>1230</v>
      </c>
      <c r="E216" s="6" t="s">
        <v>17</v>
      </c>
      <c r="F216" s="6" t="s">
        <v>216</v>
      </c>
      <c r="G216" s="6" t="s">
        <v>2578</v>
      </c>
      <c r="H216" s="6" t="str">
        <f t="shared" si="12"/>
        <v>att_fraction</v>
      </c>
      <c r="I216" s="6" t="s">
        <v>1230</v>
      </c>
      <c r="J216" s="6" t="str">
        <f t="shared" si="13"/>
        <v>att_fraction:12k</v>
      </c>
      <c r="K216" s="11" t="s">
        <v>21</v>
      </c>
      <c r="L216" s="6" t="s">
        <v>2581</v>
      </c>
      <c r="M216" s="6" t="s">
        <v>1178</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1232</v>
      </c>
      <c r="D217" s="6" t="s">
        <v>1232</v>
      </c>
      <c r="E217" s="6" t="s">
        <v>17</v>
      </c>
      <c r="F217" s="6" t="s">
        <v>216</v>
      </c>
      <c r="G217" s="6" t="s">
        <v>2578</v>
      </c>
      <c r="H217" s="6" t="str">
        <f t="shared" si="12"/>
        <v>att_fraction</v>
      </c>
      <c r="I217" s="6" t="s">
        <v>1232</v>
      </c>
      <c r="J217" s="6" t="str">
        <f t="shared" si="13"/>
        <v>att_fraction:24k</v>
      </c>
      <c r="K217" s="11" t="s">
        <v>21</v>
      </c>
      <c r="L217" s="6" t="s">
        <v>2582</v>
      </c>
      <c r="M217" s="6" t="s">
        <v>1178</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1234</v>
      </c>
      <c r="D218" s="6" t="s">
        <v>1234</v>
      </c>
      <c r="E218" s="6" t="s">
        <v>17</v>
      </c>
      <c r="F218" s="6" t="s">
        <v>216</v>
      </c>
      <c r="G218" s="6" t="s">
        <v>2578</v>
      </c>
      <c r="H218" s="6" t="str">
        <f t="shared" si="12"/>
        <v>att_fraction</v>
      </c>
      <c r="I218" s="6" t="s">
        <v>1234</v>
      </c>
      <c r="J218" s="6" t="str">
        <f t="shared" si="13"/>
        <v>att_fraction:79k</v>
      </c>
      <c r="K218" s="11" t="s">
        <v>21</v>
      </c>
      <c r="L218" s="6" t="s">
        <v>2583</v>
      </c>
      <c r="M218" s="6" t="s">
        <v>1178</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1240</v>
      </c>
      <c r="D219" s="6" t="s">
        <v>1241</v>
      </c>
      <c r="E219" s="6" t="s">
        <v>17</v>
      </c>
      <c r="F219" s="6" t="s">
        <v>216</v>
      </c>
      <c r="G219" s="6" t="s">
        <v>2578</v>
      </c>
      <c r="H219" s="6" t="str">
        <f t="shared" si="12"/>
        <v>att_fraction</v>
      </c>
      <c r="I219" s="6" t="s">
        <v>1240</v>
      </c>
      <c r="J219" s="6" t="str">
        <f t="shared" si="13"/>
        <v>att_fraction:cytosolic</v>
      </c>
      <c r="K219" s="11" t="s">
        <v>21</v>
      </c>
      <c r="L219" s="6" t="s">
        <v>1242</v>
      </c>
      <c r="M219" s="6" t="s">
        <v>1178</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1243</v>
      </c>
      <c r="D220" s="6" t="s">
        <v>1244</v>
      </c>
      <c r="E220" s="6" t="s">
        <v>17</v>
      </c>
      <c r="F220" s="6" t="s">
        <v>216</v>
      </c>
      <c r="G220" s="6" t="s">
        <v>2578</v>
      </c>
      <c r="H220" s="6" t="str">
        <f t="shared" si="12"/>
        <v>att_fraction</v>
      </c>
      <c r="I220" s="6" t="s">
        <v>1243</v>
      </c>
      <c r="J220" s="6" t="str">
        <f t="shared" si="13"/>
        <v>att_fraction:total</v>
      </c>
      <c r="K220" s="11" t="s">
        <v>21</v>
      </c>
      <c r="L220" s="6" t="s">
        <v>1245</v>
      </c>
      <c r="M220" s="6" t="s">
        <v>1178</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2584</v>
      </c>
      <c r="D221" s="6" t="s">
        <v>1238</v>
      </c>
      <c r="E221" s="6" t="s">
        <v>17</v>
      </c>
      <c r="F221" s="6" t="s">
        <v>216</v>
      </c>
      <c r="G221" s="6" t="s">
        <v>2578</v>
      </c>
      <c r="H221" s="6" t="str">
        <f t="shared" si="12"/>
        <v>att_fraction</v>
      </c>
      <c r="I221" s="6" t="s">
        <v>1236</v>
      </c>
      <c r="J221" s="6" t="str">
        <f t="shared" si="13"/>
        <v>att_fraction:crude_mito</v>
      </c>
      <c r="K221" s="11" t="s">
        <v>21</v>
      </c>
      <c r="L221" s="6" t="s">
        <v>1239</v>
      </c>
      <c r="M221" s="6" t="s">
        <v>1178</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2585</v>
      </c>
      <c r="D223" s="6" t="s">
        <v>2096</v>
      </c>
      <c r="F223" s="6" t="s">
        <v>185</v>
      </c>
      <c r="G223" s="6" t="s">
        <v>2586</v>
      </c>
      <c r="H223" s="6" t="str">
        <f>"att_"&amp;G223</f>
        <v>att_offline_fractionation</v>
      </c>
      <c r="I223" s="6" t="s">
        <v>2095</v>
      </c>
      <c r="J223" s="6" t="str">
        <f>H223&amp;":"&amp;I223</f>
        <v>att_offline_fractionation:sdspage</v>
      </c>
      <c r="K223" s="11"/>
      <c r="L223" s="6" t="s">
        <v>2097</v>
      </c>
    </row>
    <row r="224" spans="1:15" x14ac:dyDescent="0.15">
      <c r="A224" s="12"/>
      <c r="B224" s="12"/>
      <c r="C224" s="6" t="s">
        <v>2585</v>
      </c>
      <c r="D224" s="6" t="s">
        <v>2084</v>
      </c>
      <c r="F224" s="6" t="s">
        <v>185</v>
      </c>
      <c r="G224" s="6" t="s">
        <v>2586</v>
      </c>
      <c r="H224" s="6" t="str">
        <f>"att_"&amp;G224</f>
        <v>att_offline_fractionation</v>
      </c>
      <c r="I224" s="6" t="s">
        <v>2083</v>
      </c>
      <c r="J224" s="6" t="str">
        <f>H224&amp;":"&amp;I224</f>
        <v>att_offline_fractionation:highph_hplc</v>
      </c>
      <c r="K224" s="11"/>
      <c r="L224" s="6" t="s">
        <v>2085</v>
      </c>
    </row>
    <row r="225" spans="1:15" x14ac:dyDescent="0.15">
      <c r="A225" s="12"/>
      <c r="B225" s="12"/>
      <c r="C225" s="6" t="s">
        <v>2585</v>
      </c>
      <c r="D225" s="6" t="s">
        <v>2087</v>
      </c>
      <c r="F225" s="6" t="s">
        <v>185</v>
      </c>
      <c r="G225" s="6" t="s">
        <v>2586</v>
      </c>
      <c r="H225" s="6" t="str">
        <f>"att_"&amp;G225</f>
        <v>att_offline_fractionation</v>
      </c>
      <c r="I225" s="6" t="s">
        <v>2086</v>
      </c>
      <c r="J225" s="6" t="str">
        <f>H225&amp;":"&amp;I225</f>
        <v>att_offline_fractionation:highph_tip</v>
      </c>
      <c r="K225" s="11"/>
      <c r="L225" s="6" t="s">
        <v>2088</v>
      </c>
    </row>
    <row r="226" spans="1:15" x14ac:dyDescent="0.15">
      <c r="A226" s="12"/>
      <c r="B226" s="12"/>
      <c r="C226" s="6" t="s">
        <v>2585</v>
      </c>
      <c r="D226" s="6" t="s">
        <v>2093</v>
      </c>
      <c r="F226" s="6" t="s">
        <v>185</v>
      </c>
      <c r="G226" s="6" t="s">
        <v>2586</v>
      </c>
      <c r="H226" s="6" t="str">
        <f>"att_"&amp;G226</f>
        <v>att_offline_fractionation</v>
      </c>
      <c r="I226" s="6" t="s">
        <v>2092</v>
      </c>
      <c r="J226" s="6" t="str">
        <f>H226&amp;":"&amp;I226</f>
        <v>att_offline_fractionation:scx</v>
      </c>
      <c r="K226" s="11"/>
      <c r="L226" s="6" t="s">
        <v>2094</v>
      </c>
    </row>
    <row r="227" spans="1:15" x14ac:dyDescent="0.15">
      <c r="A227" s="12"/>
      <c r="B227" s="12"/>
      <c r="C227" s="6" t="s">
        <v>2585</v>
      </c>
      <c r="D227" s="6" t="s">
        <v>2090</v>
      </c>
      <c r="F227" s="6" t="s">
        <v>185</v>
      </c>
      <c r="G227" s="6" t="s">
        <v>2586</v>
      </c>
      <c r="H227" s="6" t="str">
        <f>"att_"&amp;G227</f>
        <v>att_offline_fractionation</v>
      </c>
      <c r="I227" s="6" t="s">
        <v>2089</v>
      </c>
      <c r="J227" s="6" t="str">
        <f>H227&amp;":"&amp;I227</f>
        <v>att_offline_fractionation:sax</v>
      </c>
      <c r="K227" s="11"/>
      <c r="L227" s="6" t="s">
        <v>2091</v>
      </c>
    </row>
    <row r="228" spans="1:15" x14ac:dyDescent="0.15">
      <c r="A228" s="12"/>
      <c r="B228" s="12"/>
      <c r="K228" s="11"/>
    </row>
    <row r="229" spans="1:15" x14ac:dyDescent="0.15">
      <c r="A229" s="12"/>
      <c r="B229" s="12"/>
      <c r="K229" s="11"/>
    </row>
    <row r="230" spans="1:15" x14ac:dyDescent="0.15">
      <c r="A230" s="12" t="b">
        <f>TRUE()</f>
        <v>1</v>
      </c>
      <c r="C230" s="6" t="s">
        <v>1873</v>
      </c>
      <c r="D230" s="6" t="s">
        <v>1874</v>
      </c>
      <c r="E230" s="6" t="s">
        <v>17</v>
      </c>
      <c r="F230" s="6" t="s">
        <v>2587</v>
      </c>
      <c r="G230" s="6" t="s">
        <v>2588</v>
      </c>
      <c r="H230" s="6" t="str">
        <f t="shared" ref="H230:H248" si="16">"att_"&amp;G230</f>
        <v>att_instrument</v>
      </c>
      <c r="I230" s="6" t="s">
        <v>1873</v>
      </c>
      <c r="J230" s="6" t="str">
        <f t="shared" ref="J230:J248" si="17">H230&amp;":"&amp;I230</f>
        <v>att_instrument:e1</v>
      </c>
      <c r="K230" s="11" t="s">
        <v>21</v>
      </c>
      <c r="L230" s="6" t="s">
        <v>1875</v>
      </c>
      <c r="M230" s="6" t="s">
        <v>17</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1876</v>
      </c>
      <c r="D231" s="6" t="s">
        <v>1877</v>
      </c>
      <c r="E231" s="6" t="s">
        <v>17</v>
      </c>
      <c r="F231" s="6" t="s">
        <v>2587</v>
      </c>
      <c r="G231" s="6" t="s">
        <v>2588</v>
      </c>
      <c r="H231" s="6" t="str">
        <f t="shared" si="16"/>
        <v>att_instrument</v>
      </c>
      <c r="I231" s="6" t="s">
        <v>1876</v>
      </c>
      <c r="J231" s="6" t="str">
        <f t="shared" si="17"/>
        <v>att_instrument:e2</v>
      </c>
      <c r="K231" s="11" t="s">
        <v>21</v>
      </c>
      <c r="L231" s="6" t="s">
        <v>1878</v>
      </c>
      <c r="M231" s="6" t="s">
        <v>17</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1881</v>
      </c>
      <c r="D232" s="6" t="s">
        <v>1882</v>
      </c>
      <c r="E232" s="6" t="s">
        <v>17</v>
      </c>
      <c r="F232" s="6" t="s">
        <v>2587</v>
      </c>
      <c r="G232" s="6" t="s">
        <v>2588</v>
      </c>
      <c r="H232" s="6" t="str">
        <f t="shared" si="16"/>
        <v>att_instrument</v>
      </c>
      <c r="I232" s="6" t="s">
        <v>1881</v>
      </c>
      <c r="J232" s="6" t="str">
        <f t="shared" si="17"/>
        <v>att_instrument:ignarius</v>
      </c>
      <c r="K232" s="11" t="s">
        <v>21</v>
      </c>
      <c r="L232" s="6" t="s">
        <v>1883</v>
      </c>
      <c r="M232" s="6" t="s">
        <v>17</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2589</v>
      </c>
      <c r="D233" s="6" t="s">
        <v>1885</v>
      </c>
      <c r="E233" s="6" t="s">
        <v>17</v>
      </c>
      <c r="F233" s="6" t="s">
        <v>2587</v>
      </c>
      <c r="G233" s="6" t="s">
        <v>2588</v>
      </c>
      <c r="H233" s="6" t="str">
        <f t="shared" si="16"/>
        <v>att_instrument</v>
      </c>
      <c r="I233" s="6" t="s">
        <v>2590</v>
      </c>
      <c r="J233" s="6" t="str">
        <f t="shared" si="17"/>
        <v>att_instrument:t</v>
      </c>
      <c r="K233" s="11" t="s">
        <v>21</v>
      </c>
      <c r="L233" s="6" t="s">
        <v>1886</v>
      </c>
      <c r="M233" s="6" t="s">
        <v>17</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2591</v>
      </c>
      <c r="D234" s="14" t="s">
        <v>2592</v>
      </c>
      <c r="E234" s="14" t="s">
        <v>17</v>
      </c>
      <c r="F234" s="14" t="s">
        <v>2593</v>
      </c>
      <c r="G234" s="14" t="s">
        <v>2594</v>
      </c>
      <c r="H234" s="14" t="str">
        <f t="shared" si="16"/>
        <v>att_knockout</v>
      </c>
      <c r="I234" s="14" t="s">
        <v>2591</v>
      </c>
      <c r="J234" s="14" t="str">
        <f t="shared" si="17"/>
        <v>att_knockout:casp1_dko</v>
      </c>
      <c r="K234" s="15" t="s">
        <v>21</v>
      </c>
      <c r="L234" s="14" t="s">
        <v>2595</v>
      </c>
      <c r="M234" s="14" t="s">
        <v>17</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2596</v>
      </c>
      <c r="D235" s="14" t="s">
        <v>2597</v>
      </c>
      <c r="E235" s="14" t="s">
        <v>17</v>
      </c>
      <c r="F235" s="14" t="s">
        <v>2593</v>
      </c>
      <c r="G235" s="14" t="s">
        <v>2594</v>
      </c>
      <c r="H235" s="14" t="str">
        <f t="shared" si="16"/>
        <v>att_knockout</v>
      </c>
      <c r="I235" s="14" t="s">
        <v>2596</v>
      </c>
      <c r="J235" s="14" t="str">
        <f t="shared" si="17"/>
        <v>att_knockout:casp11_dko</v>
      </c>
      <c r="K235" s="15" t="s">
        <v>21</v>
      </c>
      <c r="L235" s="14" t="s">
        <v>2598</v>
      </c>
      <c r="M235" s="14" t="s">
        <v>17</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2599</v>
      </c>
      <c r="D236" s="14" t="s">
        <v>2600</v>
      </c>
      <c r="E236" s="14" t="s">
        <v>17</v>
      </c>
      <c r="F236" s="14" t="s">
        <v>2593</v>
      </c>
      <c r="G236" s="14" t="s">
        <v>2594</v>
      </c>
      <c r="H236" s="14" t="str">
        <f t="shared" si="16"/>
        <v>att_knockout</v>
      </c>
      <c r="I236" s="14" t="s">
        <v>2599</v>
      </c>
      <c r="J236" s="14" t="str">
        <f t="shared" si="17"/>
        <v>att_knockout:gsdmd_dko</v>
      </c>
      <c r="K236" s="15" t="s">
        <v>21</v>
      </c>
      <c r="L236" s="14" t="s">
        <v>2601</v>
      </c>
      <c r="M236" s="14" t="s">
        <v>17</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2602</v>
      </c>
      <c r="D237" s="14" t="s">
        <v>2603</v>
      </c>
      <c r="E237" s="14" t="s">
        <v>17</v>
      </c>
      <c r="F237" s="14" t="s">
        <v>2593</v>
      </c>
      <c r="G237" s="14" t="s">
        <v>2594</v>
      </c>
      <c r="H237" s="14" t="str">
        <f t="shared" si="16"/>
        <v>att_knockout</v>
      </c>
      <c r="I237" s="14" t="s">
        <v>2604</v>
      </c>
      <c r="J237" s="14" t="str">
        <f t="shared" si="17"/>
        <v>att_knockout:il18r_dko</v>
      </c>
      <c r="K237" s="15" t="s">
        <v>21</v>
      </c>
      <c r="L237" s="14" t="s">
        <v>2605</v>
      </c>
      <c r="M237" s="14" t="s">
        <v>17</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2606</v>
      </c>
      <c r="D238" s="14" t="s">
        <v>2607</v>
      </c>
      <c r="E238" s="14" t="s">
        <v>17</v>
      </c>
      <c r="F238" s="14" t="s">
        <v>2593</v>
      </c>
      <c r="G238" s="14" t="s">
        <v>2594</v>
      </c>
      <c r="H238" s="14" t="str">
        <f t="shared" si="16"/>
        <v>att_knockout</v>
      </c>
      <c r="I238" s="14" t="s">
        <v>2608</v>
      </c>
      <c r="J238" s="14" t="str">
        <f t="shared" si="17"/>
        <v>att_knockout:il1r_dko</v>
      </c>
      <c r="K238" s="15" t="s">
        <v>21</v>
      </c>
      <c r="L238" s="14" t="s">
        <v>2609</v>
      </c>
      <c r="M238" s="14" t="s">
        <v>17</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2610</v>
      </c>
      <c r="D239" s="14" t="s">
        <v>2611</v>
      </c>
      <c r="E239" s="14" t="s">
        <v>17</v>
      </c>
      <c r="F239" s="14" t="s">
        <v>2593</v>
      </c>
      <c r="G239" s="14" t="s">
        <v>2594</v>
      </c>
      <c r="H239" s="14" t="str">
        <f t="shared" si="16"/>
        <v>att_knockout</v>
      </c>
      <c r="I239" s="14" t="s">
        <v>2610</v>
      </c>
      <c r="J239" s="14" t="str">
        <f t="shared" si="17"/>
        <v>att_knockout:tlr4_dko</v>
      </c>
      <c r="K239" s="15" t="s">
        <v>21</v>
      </c>
      <c r="L239" s="14" t="s">
        <v>2612</v>
      </c>
      <c r="M239" s="14" t="s">
        <v>17</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21</v>
      </c>
      <c r="B240" s="11"/>
      <c r="C240" s="6" t="s">
        <v>1325</v>
      </c>
      <c r="D240" s="6" t="s">
        <v>1326</v>
      </c>
      <c r="E240" s="6" t="s">
        <v>17</v>
      </c>
      <c r="F240" s="6" t="s">
        <v>145</v>
      </c>
      <c r="G240" s="6" t="s">
        <v>2613</v>
      </c>
      <c r="H240" s="6" t="str">
        <f t="shared" si="16"/>
        <v>att_lc_system</v>
      </c>
      <c r="I240" s="6" t="s">
        <v>1325</v>
      </c>
      <c r="J240" s="6" t="str">
        <f t="shared" si="17"/>
        <v>att_lc_system:easylc1</v>
      </c>
      <c r="K240" s="11" t="s">
        <v>21</v>
      </c>
      <c r="L240" s="6" t="s">
        <v>1326</v>
      </c>
      <c r="M240" s="6" t="s">
        <v>17</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21</v>
      </c>
      <c r="B241" s="11"/>
      <c r="C241" s="6" t="s">
        <v>1327</v>
      </c>
      <c r="D241" s="6" t="s">
        <v>1328</v>
      </c>
      <c r="E241" s="6" t="s">
        <v>17</v>
      </c>
      <c r="F241" s="6" t="s">
        <v>145</v>
      </c>
      <c r="G241" s="6" t="s">
        <v>2613</v>
      </c>
      <c r="H241" s="6" t="str">
        <f t="shared" si="16"/>
        <v>att_lc_system</v>
      </c>
      <c r="I241" s="6" t="s">
        <v>1327</v>
      </c>
      <c r="J241" s="6" t="str">
        <f t="shared" si="17"/>
        <v>att_lc_system:easylc2</v>
      </c>
      <c r="K241" s="11" t="s">
        <v>21</v>
      </c>
      <c r="L241" s="6" t="s">
        <v>1328</v>
      </c>
      <c r="M241" s="6" t="s">
        <v>17</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21</v>
      </c>
      <c r="B242" s="11"/>
      <c r="C242" s="6" t="s">
        <v>1329</v>
      </c>
      <c r="D242" s="6" t="s">
        <v>1330</v>
      </c>
      <c r="E242" s="6" t="s">
        <v>17</v>
      </c>
      <c r="F242" s="6" t="s">
        <v>145</v>
      </c>
      <c r="G242" s="6" t="s">
        <v>2613</v>
      </c>
      <c r="H242" s="6" t="str">
        <f t="shared" si="16"/>
        <v>att_lc_system</v>
      </c>
      <c r="I242" s="6" t="s">
        <v>1329</v>
      </c>
      <c r="J242" s="6" t="str">
        <f t="shared" si="17"/>
        <v>att_lc_system:evosep1</v>
      </c>
      <c r="K242" s="11" t="s">
        <v>21</v>
      </c>
      <c r="L242" s="6" t="s">
        <v>1331</v>
      </c>
      <c r="M242" s="6" t="s">
        <v>17</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21</v>
      </c>
      <c r="B243" s="11"/>
      <c r="C243" s="6" t="s">
        <v>1332</v>
      </c>
      <c r="D243" s="6" t="s">
        <v>1333</v>
      </c>
      <c r="E243" s="6" t="s">
        <v>17</v>
      </c>
      <c r="F243" s="6" t="s">
        <v>145</v>
      </c>
      <c r="G243" s="6" t="s">
        <v>2613</v>
      </c>
      <c r="H243" s="6" t="str">
        <f t="shared" si="16"/>
        <v>att_lc_system</v>
      </c>
      <c r="I243" s="6" t="s">
        <v>1332</v>
      </c>
      <c r="J243" s="6" t="str">
        <f t="shared" si="17"/>
        <v>att_lc_system:vanquishneo1</v>
      </c>
      <c r="K243" s="11" t="s">
        <v>21</v>
      </c>
      <c r="L243" s="6" t="s">
        <v>1333</v>
      </c>
      <c r="M243" s="6" t="s">
        <v>17</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1827</v>
      </c>
      <c r="D244" s="6" t="s">
        <v>1829</v>
      </c>
      <c r="E244" s="6" t="s">
        <v>17</v>
      </c>
      <c r="F244" s="6" t="s">
        <v>2614</v>
      </c>
      <c r="G244" s="6" t="s">
        <v>2615</v>
      </c>
      <c r="H244" s="6" t="str">
        <f t="shared" si="16"/>
        <v>att_mockup</v>
      </c>
      <c r="I244" s="6" t="s">
        <v>1827</v>
      </c>
      <c r="J244" s="6" t="str">
        <f t="shared" si="17"/>
        <v>att_mockup:arbitrary</v>
      </c>
      <c r="K244" s="11" t="s">
        <v>21</v>
      </c>
      <c r="L244" s="6" t="s">
        <v>1830</v>
      </c>
      <c r="M244" s="6" t="s">
        <v>17</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1831</v>
      </c>
      <c r="D245" s="6" t="s">
        <v>1832</v>
      </c>
      <c r="E245" s="6" t="s">
        <v>17</v>
      </c>
      <c r="F245" s="6" t="s">
        <v>2614</v>
      </c>
      <c r="G245" s="6" t="s">
        <v>2615</v>
      </c>
      <c r="H245" s="6" t="str">
        <f t="shared" si="16"/>
        <v>att_mockup</v>
      </c>
      <c r="I245" s="6" t="s">
        <v>1831</v>
      </c>
      <c r="J245" s="6" t="str">
        <f t="shared" si="17"/>
        <v>att_mockup:random</v>
      </c>
      <c r="K245" s="11" t="s">
        <v>21</v>
      </c>
      <c r="L245" s="6" t="s">
        <v>1830</v>
      </c>
      <c r="M245" s="6" t="s">
        <v>17</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2616</v>
      </c>
      <c r="D246" s="6" t="s">
        <v>1834</v>
      </c>
      <c r="E246" s="6" t="s">
        <v>17</v>
      </c>
      <c r="F246" s="6" t="s">
        <v>157</v>
      </c>
      <c r="G246" s="6" t="s">
        <v>2617</v>
      </c>
      <c r="H246" s="6" t="str">
        <f t="shared" si="16"/>
        <v>att_model</v>
      </c>
      <c r="I246" s="6" t="s">
        <v>1833</v>
      </c>
      <c r="J246" s="6" t="str">
        <f t="shared" si="17"/>
        <v>att_model:in_vitro</v>
      </c>
      <c r="K246" s="11" t="s">
        <v>21</v>
      </c>
      <c r="L246" s="6" t="s">
        <v>1835</v>
      </c>
      <c r="M246" s="6" t="s">
        <v>17</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2618</v>
      </c>
      <c r="D247" s="6" t="s">
        <v>1837</v>
      </c>
      <c r="E247" s="6" t="s">
        <v>17</v>
      </c>
      <c r="F247" s="6" t="s">
        <v>157</v>
      </c>
      <c r="G247" s="6" t="s">
        <v>2617</v>
      </c>
      <c r="H247" s="6" t="str">
        <f t="shared" si="16"/>
        <v>att_model</v>
      </c>
      <c r="I247" s="6" t="s">
        <v>1836</v>
      </c>
      <c r="J247" s="6" t="str">
        <f t="shared" si="17"/>
        <v>att_model:in_vivo</v>
      </c>
      <c r="K247" s="11" t="s">
        <v>21</v>
      </c>
      <c r="L247" s="6" t="s">
        <v>1838</v>
      </c>
      <c r="M247" s="6" t="s">
        <v>17</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1839</v>
      </c>
      <c r="D248" s="6" t="s">
        <v>1839</v>
      </c>
      <c r="E248" s="6" t="s">
        <v>17</v>
      </c>
      <c r="F248" s="6" t="s">
        <v>157</v>
      </c>
      <c r="G248" s="6" t="s">
        <v>2617</v>
      </c>
      <c r="H248" s="6" t="str">
        <f t="shared" si="16"/>
        <v>att_model</v>
      </c>
      <c r="I248" s="6" t="s">
        <v>1839</v>
      </c>
      <c r="J248" s="6" t="str">
        <f t="shared" si="17"/>
        <v>att_model:xenografts</v>
      </c>
      <c r="K248" s="11" t="s">
        <v>21</v>
      </c>
      <c r="L248" s="6" t="s">
        <v>1840</v>
      </c>
      <c r="M248" s="6" t="s">
        <v>17</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2619</v>
      </c>
      <c r="D250" s="6" t="s">
        <v>703</v>
      </c>
      <c r="F250" s="6" t="s">
        <v>68</v>
      </c>
      <c r="G250" s="6" t="s">
        <v>2620</v>
      </c>
      <c r="H250" s="6" t="str">
        <f t="shared" ref="H250:H255" si="20">"att_"&amp;G250</f>
        <v>att_column_type</v>
      </c>
      <c r="I250" s="6" t="s">
        <v>702</v>
      </c>
      <c r="J250" s="6" t="str">
        <f t="shared" ref="J250:J255" si="21">H250&amp;":"&amp;I250</f>
        <v>att_column_type:aurora</v>
      </c>
      <c r="K250" s="11"/>
      <c r="L250" s="6" t="s">
        <v>704</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2621</v>
      </c>
      <c r="D251" s="6" t="s">
        <v>709</v>
      </c>
      <c r="F251" s="6" t="s">
        <v>68</v>
      </c>
      <c r="G251" s="6" t="s">
        <v>2620</v>
      </c>
      <c r="H251" s="6" t="str">
        <f t="shared" si="20"/>
        <v>att_column_type</v>
      </c>
      <c r="I251" s="6" t="s">
        <v>708</v>
      </c>
      <c r="J251" s="6" t="str">
        <f t="shared" si="21"/>
        <v>att_column_type:inhouse</v>
      </c>
      <c r="K251" s="11"/>
      <c r="L251" s="6" t="s">
        <v>710</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2622</v>
      </c>
      <c r="D252" s="6" t="s">
        <v>706</v>
      </c>
      <c r="F252" s="6" t="s">
        <v>68</v>
      </c>
      <c r="G252" s="6" t="s">
        <v>2620</v>
      </c>
      <c r="H252" s="6" t="str">
        <f t="shared" si="20"/>
        <v>att_column_type</v>
      </c>
      <c r="I252" s="6" t="s">
        <v>705</v>
      </c>
      <c r="J252" s="6" t="str">
        <f t="shared" si="21"/>
        <v>att_column_type:easyspray</v>
      </c>
      <c r="K252" s="11"/>
      <c r="L252" s="6" t="s">
        <v>707</v>
      </c>
    </row>
    <row r="253" spans="1:15" x14ac:dyDescent="0.15">
      <c r="A253" s="12"/>
      <c r="B253" s="12"/>
      <c r="C253" s="6" t="s">
        <v>2623</v>
      </c>
      <c r="D253" s="6" t="s">
        <v>718</v>
      </c>
      <c r="F253" s="6" t="s">
        <v>68</v>
      </c>
      <c r="G253" s="6" t="s">
        <v>2620</v>
      </c>
      <c r="H253" s="6" t="str">
        <f t="shared" si="20"/>
        <v>att_column_type</v>
      </c>
      <c r="I253" s="6" t="s">
        <v>717</v>
      </c>
      <c r="J253" s="6" t="str">
        <f t="shared" si="21"/>
        <v>att_column_type:upac_neo</v>
      </c>
      <c r="K253" s="11"/>
      <c r="L253" s="6" t="s">
        <v>719</v>
      </c>
    </row>
    <row r="254" spans="1:15" x14ac:dyDescent="0.15">
      <c r="A254" s="12"/>
      <c r="B254" s="12"/>
      <c r="C254" s="6" t="s">
        <v>2624</v>
      </c>
      <c r="D254" s="16" t="s">
        <v>712</v>
      </c>
      <c r="F254" s="6" t="s">
        <v>68</v>
      </c>
      <c r="G254" s="6" t="s">
        <v>2620</v>
      </c>
      <c r="H254" s="6" t="str">
        <f t="shared" si="20"/>
        <v>att_column_type</v>
      </c>
      <c r="I254" s="6" t="s">
        <v>711</v>
      </c>
      <c r="J254" s="6" t="str">
        <f t="shared" si="21"/>
        <v>att_column_type:upac_doubleviper</v>
      </c>
      <c r="K254" s="11"/>
      <c r="L254" s="6" t="s">
        <v>713</v>
      </c>
    </row>
    <row r="255" spans="1:15" x14ac:dyDescent="0.15">
      <c r="A255" s="12"/>
      <c r="B255" s="12"/>
      <c r="C255" s="6" t="s">
        <v>2623</v>
      </c>
      <c r="D255" s="16" t="s">
        <v>715</v>
      </c>
      <c r="F255" s="6" t="s">
        <v>68</v>
      </c>
      <c r="G255" s="6" t="s">
        <v>2620</v>
      </c>
      <c r="H255" s="6" t="str">
        <f t="shared" si="20"/>
        <v>att_column_type</v>
      </c>
      <c r="I255" s="6" t="s">
        <v>714</v>
      </c>
      <c r="J255" s="6" t="str">
        <f t="shared" si="21"/>
        <v>att_column_type:upac_low_loadneo</v>
      </c>
      <c r="K255" s="11"/>
      <c r="L255" s="6" t="s">
        <v>716</v>
      </c>
    </row>
    <row r="256" spans="1:15" x14ac:dyDescent="0.15">
      <c r="A256" s="12"/>
      <c r="B256" s="12"/>
      <c r="D256" s="16"/>
      <c r="K256" s="11"/>
    </row>
    <row r="257" spans="1:15" x14ac:dyDescent="0.15">
      <c r="A257" s="11" t="s">
        <v>21</v>
      </c>
      <c r="B257" s="11"/>
      <c r="C257" s="6" t="s">
        <v>2625</v>
      </c>
      <c r="D257" s="6" t="s">
        <v>2626</v>
      </c>
      <c r="E257" s="6" t="s">
        <v>17</v>
      </c>
      <c r="F257" s="6" t="s">
        <v>2627</v>
      </c>
      <c r="G257" s="6" t="s">
        <v>2628</v>
      </c>
      <c r="H257" s="6" t="str">
        <f t="shared" ref="H257:H262" si="22">"att_"&amp;G257</f>
        <v>att_mslc_column_configuration</v>
      </c>
      <c r="I257" s="6" t="s">
        <v>683</v>
      </c>
      <c r="J257" s="6" t="str">
        <f t="shared" ref="J257:J262" si="23">H257&amp;":"&amp;I257</f>
        <v>att_mslc_column_configuration:15cm</v>
      </c>
      <c r="K257" s="11" t="s">
        <v>21</v>
      </c>
      <c r="L257" s="6" t="s">
        <v>2629</v>
      </c>
      <c r="M257" s="6" t="s">
        <v>17</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21</v>
      </c>
      <c r="B258" s="11"/>
      <c r="C258" s="6" t="s">
        <v>2630</v>
      </c>
      <c r="D258" s="6" t="s">
        <v>2631</v>
      </c>
      <c r="E258" s="6" t="s">
        <v>17</v>
      </c>
      <c r="F258" s="6" t="s">
        <v>2627</v>
      </c>
      <c r="G258" s="6" t="s">
        <v>2628</v>
      </c>
      <c r="H258" s="6" t="str">
        <f t="shared" si="22"/>
        <v>att_mslc_column_configuration</v>
      </c>
      <c r="I258" s="6" t="s">
        <v>2632</v>
      </c>
      <c r="J258" s="6" t="str">
        <f t="shared" si="23"/>
        <v>att_mslc_column_configuration:25cm</v>
      </c>
      <c r="K258" s="11" t="s">
        <v>21</v>
      </c>
      <c r="L258" s="6" t="s">
        <v>2633</v>
      </c>
      <c r="M258" s="6" t="s">
        <v>17</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21</v>
      </c>
      <c r="B259" s="11"/>
      <c r="C259" s="6" t="s">
        <v>2634</v>
      </c>
      <c r="D259" s="6" t="s">
        <v>2635</v>
      </c>
      <c r="E259" s="6" t="s">
        <v>17</v>
      </c>
      <c r="F259" s="6" t="s">
        <v>2627</v>
      </c>
      <c r="G259" s="6" t="s">
        <v>2628</v>
      </c>
      <c r="H259" s="6" t="str">
        <f t="shared" si="22"/>
        <v>att_mslc_column_configuration</v>
      </c>
      <c r="I259" s="6" t="s">
        <v>685</v>
      </c>
      <c r="J259" s="6" t="str">
        <f t="shared" si="23"/>
        <v>att_mslc_column_configuration:30cm</v>
      </c>
      <c r="K259" s="11" t="s">
        <v>21</v>
      </c>
      <c r="L259" s="6" t="s">
        <v>2636</v>
      </c>
      <c r="M259" s="6" t="s">
        <v>17</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21</v>
      </c>
      <c r="B260" s="11"/>
      <c r="C260" s="6" t="s">
        <v>2637</v>
      </c>
      <c r="D260" s="6" t="s">
        <v>2638</v>
      </c>
      <c r="E260" s="6" t="s">
        <v>17</v>
      </c>
      <c r="F260" s="6" t="s">
        <v>2627</v>
      </c>
      <c r="G260" s="6" t="s">
        <v>2628</v>
      </c>
      <c r="H260" s="6" t="str">
        <f t="shared" si="22"/>
        <v>att_mslc_column_configuration</v>
      </c>
      <c r="I260" s="6" t="s">
        <v>687</v>
      </c>
      <c r="J260" s="6" t="str">
        <f t="shared" si="23"/>
        <v>att_mslc_column_configuration:50cm</v>
      </c>
      <c r="K260" s="11" t="s">
        <v>21</v>
      </c>
      <c r="L260" s="6" t="s">
        <v>2639</v>
      </c>
      <c r="M260" s="6" t="s">
        <v>17</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21</v>
      </c>
      <c r="B261" s="12"/>
      <c r="C261" s="6" t="s">
        <v>2640</v>
      </c>
      <c r="D261" s="6" t="s">
        <v>2641</v>
      </c>
      <c r="E261" s="6" t="s">
        <v>17</v>
      </c>
      <c r="F261" s="6" t="s">
        <v>2627</v>
      </c>
      <c r="G261" s="6" t="s">
        <v>2628</v>
      </c>
      <c r="H261" s="6" t="str">
        <f t="shared" si="22"/>
        <v>att_mslc_column_configuration</v>
      </c>
      <c r="I261" s="6" t="s">
        <v>2640</v>
      </c>
      <c r="J261" s="6" t="str">
        <f t="shared" si="23"/>
        <v>att_mslc_column_configuration:column_inhouse</v>
      </c>
      <c r="K261" s="11" t="s">
        <v>21</v>
      </c>
      <c r="L261" s="6" t="s">
        <v>2642</v>
      </c>
      <c r="M261" s="6" t="s">
        <v>17</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21</v>
      </c>
      <c r="B262" s="12"/>
      <c r="C262" s="6" t="s">
        <v>2643</v>
      </c>
      <c r="D262" s="6" t="s">
        <v>2644</v>
      </c>
      <c r="E262" s="6" t="s">
        <v>17</v>
      </c>
      <c r="F262" s="6" t="s">
        <v>2627</v>
      </c>
      <c r="G262" s="6" t="s">
        <v>2628</v>
      </c>
      <c r="H262" s="6" t="str">
        <f t="shared" si="22"/>
        <v>att_mslc_column_configuration</v>
      </c>
      <c r="I262" s="6" t="s">
        <v>2643</v>
      </c>
      <c r="J262" s="6" t="str">
        <f t="shared" si="23"/>
        <v>att_mslc_column_configuration:trap</v>
      </c>
      <c r="K262" s="11" t="s">
        <v>21</v>
      </c>
      <c r="L262" s="6" t="s">
        <v>2645</v>
      </c>
      <c r="M262" s="6" t="s">
        <v>17</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19</v>
      </c>
      <c r="B264" s="13"/>
      <c r="C264" s="14" t="s">
        <v>1859</v>
      </c>
      <c r="D264" s="14" t="s">
        <v>1860</v>
      </c>
      <c r="E264" s="14" t="s">
        <v>17</v>
      </c>
      <c r="G264" s="14" t="s">
        <v>2646</v>
      </c>
      <c r="H264" s="14" t="str">
        <f>"att_"&amp;G264</f>
        <v>att_ms_interface</v>
      </c>
      <c r="I264" s="14" t="s">
        <v>1859</v>
      </c>
      <c r="J264" s="14" t="str">
        <f>H264&amp;":"&amp;I264</f>
        <v>att_ms_interface:faims</v>
      </c>
      <c r="K264" s="15" t="s">
        <v>21</v>
      </c>
      <c r="L264" s="14" t="s">
        <v>1861</v>
      </c>
      <c r="M264" s="14" t="s">
        <v>17</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2647</v>
      </c>
      <c r="D265" s="14" t="s">
        <v>1871</v>
      </c>
      <c r="F265" s="14" t="s">
        <v>161</v>
      </c>
      <c r="G265" s="14" t="s">
        <v>2648</v>
      </c>
      <c r="H265" s="14" t="str">
        <f>"att_"&amp;G265</f>
        <v>att_ms_ionsource</v>
      </c>
      <c r="I265" s="14" t="s">
        <v>1870</v>
      </c>
      <c r="J265" s="14" t="str">
        <f>H265&amp;":"&amp;I265</f>
        <v>att_ms_ionsource:ion_max</v>
      </c>
      <c r="K265" s="15"/>
      <c r="L265" s="14" t="s">
        <v>1872</v>
      </c>
    </row>
    <row r="266" spans="1:15" x14ac:dyDescent="0.15">
      <c r="A266" s="11"/>
      <c r="B266" s="12"/>
      <c r="C266" s="14" t="s">
        <v>2647</v>
      </c>
      <c r="D266" s="6" t="s">
        <v>1865</v>
      </c>
      <c r="F266" s="6" t="s">
        <v>161</v>
      </c>
      <c r="G266" s="14" t="s">
        <v>2648</v>
      </c>
      <c r="H266" s="14" t="str">
        <f>"att_"&amp;G266</f>
        <v>att_ms_ionsource</v>
      </c>
      <c r="I266" s="14" t="s">
        <v>1864</v>
      </c>
      <c r="J266" s="14" t="str">
        <f>H266&amp;":"&amp;I266</f>
        <v>att_ms_ionsource:easy_spray</v>
      </c>
      <c r="K266" s="11"/>
      <c r="L266" s="6" t="s">
        <v>1866</v>
      </c>
    </row>
    <row r="267" spans="1:15" x14ac:dyDescent="0.15">
      <c r="A267" s="11"/>
      <c r="B267" s="12"/>
      <c r="C267" s="14" t="s">
        <v>2647</v>
      </c>
      <c r="D267" s="6" t="s">
        <v>1868</v>
      </c>
      <c r="F267" s="6" t="s">
        <v>161</v>
      </c>
      <c r="G267" s="14" t="s">
        <v>2648</v>
      </c>
      <c r="H267" s="14" t="str">
        <f>"att_"&amp;G267</f>
        <v>att_ms_ionsource</v>
      </c>
      <c r="I267" s="14" t="s">
        <v>1867</v>
      </c>
      <c r="J267" s="14" t="str">
        <f>H267&amp;":"&amp;I267</f>
        <v>att_ms_ionsource:flex</v>
      </c>
      <c r="K267" s="11"/>
      <c r="L267" s="6" t="s">
        <v>1869</v>
      </c>
    </row>
    <row r="268" spans="1:15" x14ac:dyDescent="0.15">
      <c r="A268" s="11"/>
      <c r="B268" s="12"/>
      <c r="I268" s="14"/>
      <c r="J268" s="14"/>
      <c r="K268" s="11"/>
    </row>
    <row r="269" spans="1:15" x14ac:dyDescent="0.15">
      <c r="A269" s="12" t="b">
        <f>FALSE()</f>
        <v>0</v>
      </c>
      <c r="B269" s="12"/>
      <c r="C269" s="6" t="s">
        <v>2101</v>
      </c>
      <c r="D269" s="6" t="s">
        <v>2102</v>
      </c>
      <c r="E269" s="6" t="s">
        <v>17</v>
      </c>
      <c r="F269" s="6" t="s">
        <v>191</v>
      </c>
      <c r="G269" s="6" t="s">
        <v>2649</v>
      </c>
      <c r="H269" s="6" t="str">
        <f t="shared" ref="H269:H300" si="26">"att_"&amp;G269</f>
        <v>att_organ</v>
      </c>
      <c r="I269" s="6" t="s">
        <v>2101</v>
      </c>
      <c r="J269" s="6" t="str">
        <f t="shared" ref="J269:J300" si="27">H269&amp;":"&amp;I269</f>
        <v>att_organ:appendix</v>
      </c>
      <c r="K269" s="11" t="s">
        <v>21</v>
      </c>
      <c r="L269" s="6" t="s">
        <v>2102</v>
      </c>
      <c r="M269" s="6" t="s">
        <v>17</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2103</v>
      </c>
      <c r="D270" s="6" t="s">
        <v>2104</v>
      </c>
      <c r="E270" s="6" t="s">
        <v>17</v>
      </c>
      <c r="F270" s="6" t="s">
        <v>191</v>
      </c>
      <c r="G270" s="6" t="s">
        <v>2649</v>
      </c>
      <c r="H270" s="6" t="str">
        <f t="shared" si="26"/>
        <v>att_organ</v>
      </c>
      <c r="I270" s="6" t="s">
        <v>2103</v>
      </c>
      <c r="J270" s="6" t="str">
        <f t="shared" si="27"/>
        <v>att_organ:arteries</v>
      </c>
      <c r="K270" s="11" t="s">
        <v>21</v>
      </c>
      <c r="L270" s="6" t="s">
        <v>2104</v>
      </c>
      <c r="M270" s="6" t="s">
        <v>17</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2105</v>
      </c>
      <c r="D271" s="6" t="s">
        <v>2106</v>
      </c>
      <c r="E271" s="6" t="s">
        <v>17</v>
      </c>
      <c r="F271" s="6" t="s">
        <v>191</v>
      </c>
      <c r="G271" s="6" t="s">
        <v>2649</v>
      </c>
      <c r="H271" s="6" t="str">
        <f t="shared" si="26"/>
        <v>att_organ</v>
      </c>
      <c r="I271" s="6" t="s">
        <v>2105</v>
      </c>
      <c r="J271" s="6" t="str">
        <f t="shared" si="27"/>
        <v>att_organ:bladder</v>
      </c>
      <c r="K271" s="11" t="s">
        <v>21</v>
      </c>
      <c r="L271" s="6" t="s">
        <v>2106</v>
      </c>
      <c r="M271" s="6" t="s">
        <v>17</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2107</v>
      </c>
      <c r="D272" s="6" t="s">
        <v>2108</v>
      </c>
      <c r="E272" s="6" t="s">
        <v>17</v>
      </c>
      <c r="F272" s="6" t="s">
        <v>191</v>
      </c>
      <c r="G272" s="6" t="s">
        <v>2649</v>
      </c>
      <c r="H272" s="6" t="str">
        <f t="shared" si="26"/>
        <v>att_organ</v>
      </c>
      <c r="I272" s="6" t="s">
        <v>2107</v>
      </c>
      <c r="J272" s="6" t="str">
        <f t="shared" si="27"/>
        <v>att_organ:bone_marrow</v>
      </c>
      <c r="K272" s="11" t="s">
        <v>21</v>
      </c>
      <c r="L272" s="6" t="s">
        <v>2108</v>
      </c>
      <c r="M272" s="6" t="s">
        <v>17</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2109</v>
      </c>
      <c r="D273" s="6" t="s">
        <v>2110</v>
      </c>
      <c r="E273" s="6" t="s">
        <v>17</v>
      </c>
      <c r="F273" s="6" t="s">
        <v>191</v>
      </c>
      <c r="G273" s="6" t="s">
        <v>2649</v>
      </c>
      <c r="H273" s="6" t="str">
        <f t="shared" si="26"/>
        <v>att_organ</v>
      </c>
      <c r="I273" s="6" t="s">
        <v>2109</v>
      </c>
      <c r="J273" s="6" t="str">
        <f t="shared" si="27"/>
        <v>att_organ:brain</v>
      </c>
      <c r="K273" s="11" t="s">
        <v>21</v>
      </c>
      <c r="L273" s="6" t="s">
        <v>2110</v>
      </c>
      <c r="M273" s="6" t="s">
        <v>17</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2111</v>
      </c>
      <c r="D274" s="6" t="s">
        <v>2112</v>
      </c>
      <c r="E274" s="6" t="s">
        <v>17</v>
      </c>
      <c r="F274" s="6" t="s">
        <v>191</v>
      </c>
      <c r="G274" s="6" t="s">
        <v>2649</v>
      </c>
      <c r="H274" s="6" t="str">
        <f t="shared" si="26"/>
        <v>att_organ</v>
      </c>
      <c r="I274" s="6" t="s">
        <v>2111</v>
      </c>
      <c r="J274" s="6" t="str">
        <f t="shared" si="27"/>
        <v>att_organ:bronchi</v>
      </c>
      <c r="K274" s="11" t="s">
        <v>21</v>
      </c>
      <c r="L274" s="6" t="s">
        <v>2112</v>
      </c>
      <c r="M274" s="6" t="s">
        <v>17</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2113</v>
      </c>
      <c r="D275" s="6" t="s">
        <v>2114</v>
      </c>
      <c r="E275" s="6" t="s">
        <v>17</v>
      </c>
      <c r="F275" s="6" t="s">
        <v>191</v>
      </c>
      <c r="G275" s="6" t="s">
        <v>2649</v>
      </c>
      <c r="H275" s="6" t="str">
        <f t="shared" si="26"/>
        <v>att_organ</v>
      </c>
      <c r="I275" s="6" t="s">
        <v>2113</v>
      </c>
      <c r="J275" s="6" t="str">
        <f t="shared" si="27"/>
        <v>att_organ:cecum</v>
      </c>
      <c r="K275" s="11" t="s">
        <v>21</v>
      </c>
      <c r="L275" s="6" t="s">
        <v>2114</v>
      </c>
      <c r="M275" s="6" t="s">
        <v>17</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2115</v>
      </c>
      <c r="D276" s="6" t="s">
        <v>2116</v>
      </c>
      <c r="E276" s="6" t="s">
        <v>17</v>
      </c>
      <c r="F276" s="6" t="s">
        <v>191</v>
      </c>
      <c r="G276" s="6" t="s">
        <v>2649</v>
      </c>
      <c r="H276" s="6" t="str">
        <f t="shared" si="26"/>
        <v>att_organ</v>
      </c>
      <c r="I276" s="6" t="s">
        <v>2115</v>
      </c>
      <c r="J276" s="6" t="str">
        <f t="shared" si="27"/>
        <v>att_organ:cerebellum</v>
      </c>
      <c r="K276" s="11" t="s">
        <v>21</v>
      </c>
      <c r="L276" s="6" t="s">
        <v>2116</v>
      </c>
      <c r="M276" s="6" t="s">
        <v>17</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2117</v>
      </c>
      <c r="D277" s="6" t="s">
        <v>2118</v>
      </c>
      <c r="E277" s="6" t="s">
        <v>17</v>
      </c>
      <c r="F277" s="6" t="s">
        <v>191</v>
      </c>
      <c r="G277" s="6" t="s">
        <v>2649</v>
      </c>
      <c r="H277" s="6" t="str">
        <f t="shared" si="26"/>
        <v>att_organ</v>
      </c>
      <c r="I277" s="6" t="s">
        <v>2117</v>
      </c>
      <c r="J277" s="6" t="str">
        <f t="shared" si="27"/>
        <v>att_organ:cerebrum</v>
      </c>
      <c r="K277" s="11" t="s">
        <v>21</v>
      </c>
      <c r="L277" s="6" t="s">
        <v>2118</v>
      </c>
      <c r="M277" s="6" t="s">
        <v>17</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2119</v>
      </c>
      <c r="D278" s="6" t="s">
        <v>2120</v>
      </c>
      <c r="E278" s="6" t="s">
        <v>17</v>
      </c>
      <c r="F278" s="6" t="s">
        <v>191</v>
      </c>
      <c r="G278" s="6" t="s">
        <v>2649</v>
      </c>
      <c r="H278" s="6" t="str">
        <f t="shared" si="26"/>
        <v>att_organ</v>
      </c>
      <c r="I278" s="6" t="s">
        <v>2119</v>
      </c>
      <c r="J278" s="6" t="str">
        <f t="shared" si="27"/>
        <v>att_organ:ear</v>
      </c>
      <c r="K278" s="11" t="s">
        <v>21</v>
      </c>
      <c r="L278" s="6" t="s">
        <v>2120</v>
      </c>
      <c r="M278" s="6" t="s">
        <v>17</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2121</v>
      </c>
      <c r="D279" s="6" t="s">
        <v>2122</v>
      </c>
      <c r="E279" s="6" t="s">
        <v>17</v>
      </c>
      <c r="F279" s="6" t="s">
        <v>191</v>
      </c>
      <c r="G279" s="6" t="s">
        <v>2649</v>
      </c>
      <c r="H279" s="6" t="str">
        <f t="shared" si="26"/>
        <v>att_organ</v>
      </c>
      <c r="I279" s="6" t="s">
        <v>2121</v>
      </c>
      <c r="J279" s="6" t="str">
        <f t="shared" si="27"/>
        <v>att_organ:esophagus</v>
      </c>
      <c r="K279" s="11" t="s">
        <v>21</v>
      </c>
      <c r="L279" s="6" t="s">
        <v>2122</v>
      </c>
      <c r="M279" s="6" t="s">
        <v>17</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2123</v>
      </c>
      <c r="D280" s="6" t="s">
        <v>2124</v>
      </c>
      <c r="E280" s="6" t="s">
        <v>17</v>
      </c>
      <c r="F280" s="6" t="s">
        <v>191</v>
      </c>
      <c r="G280" s="6" t="s">
        <v>2649</v>
      </c>
      <c r="H280" s="6" t="str">
        <f t="shared" si="26"/>
        <v>att_organ</v>
      </c>
      <c r="I280" s="6" t="s">
        <v>2123</v>
      </c>
      <c r="J280" s="6" t="str">
        <f t="shared" si="27"/>
        <v>att_organ:eye</v>
      </c>
      <c r="K280" s="11" t="s">
        <v>21</v>
      </c>
      <c r="L280" s="6" t="s">
        <v>2124</v>
      </c>
      <c r="M280" s="6" t="s">
        <v>17</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2125</v>
      </c>
      <c r="D281" s="6" t="s">
        <v>2126</v>
      </c>
      <c r="E281" s="6" t="s">
        <v>17</v>
      </c>
      <c r="F281" s="6" t="s">
        <v>191</v>
      </c>
      <c r="G281" s="6" t="s">
        <v>2649</v>
      </c>
      <c r="H281" s="6" t="str">
        <f t="shared" si="26"/>
        <v>att_organ</v>
      </c>
      <c r="I281" s="6" t="s">
        <v>2125</v>
      </c>
      <c r="J281" s="6" t="str">
        <f t="shared" si="27"/>
        <v>att_organ:gallbladder</v>
      </c>
      <c r="K281" s="11" t="s">
        <v>21</v>
      </c>
      <c r="L281" s="6" t="s">
        <v>2126</v>
      </c>
      <c r="M281" s="6" t="s">
        <v>17</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2127</v>
      </c>
      <c r="D282" s="6" t="s">
        <v>2128</v>
      </c>
      <c r="E282" s="6" t="s">
        <v>17</v>
      </c>
      <c r="F282" s="6" t="s">
        <v>191</v>
      </c>
      <c r="G282" s="6" t="s">
        <v>2649</v>
      </c>
      <c r="H282" s="6" t="str">
        <f t="shared" si="26"/>
        <v>att_organ</v>
      </c>
      <c r="I282" s="6" t="s">
        <v>2127</v>
      </c>
      <c r="J282" s="6" t="str">
        <f t="shared" si="27"/>
        <v>att_organ:ganglia</v>
      </c>
      <c r="K282" s="11" t="s">
        <v>21</v>
      </c>
      <c r="L282" s="6" t="s">
        <v>2128</v>
      </c>
      <c r="M282" s="6" t="s">
        <v>17</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2129</v>
      </c>
      <c r="D283" s="6" t="s">
        <v>2130</v>
      </c>
      <c r="E283" s="6" t="s">
        <v>17</v>
      </c>
      <c r="F283" s="6" t="s">
        <v>191</v>
      </c>
      <c r="G283" s="6" t="s">
        <v>2649</v>
      </c>
      <c r="H283" s="6" t="str">
        <f t="shared" si="26"/>
        <v>att_organ</v>
      </c>
      <c r="I283" s="6" t="s">
        <v>2129</v>
      </c>
      <c r="J283" s="6" t="str">
        <f t="shared" si="27"/>
        <v>att_organ:heart</v>
      </c>
      <c r="K283" s="11" t="s">
        <v>21</v>
      </c>
      <c r="L283" s="6" t="s">
        <v>2130</v>
      </c>
      <c r="M283" s="6" t="s">
        <v>17</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2131</v>
      </c>
      <c r="D284" s="6" t="s">
        <v>2132</v>
      </c>
      <c r="E284" s="6" t="s">
        <v>17</v>
      </c>
      <c r="F284" s="6" t="s">
        <v>191</v>
      </c>
      <c r="G284" s="6" t="s">
        <v>2649</v>
      </c>
      <c r="H284" s="6" t="str">
        <f t="shared" si="26"/>
        <v>att_organ</v>
      </c>
      <c r="I284" s="6" t="s">
        <v>2131</v>
      </c>
      <c r="J284" s="6" t="str">
        <f t="shared" si="27"/>
        <v>att_organ:hypothalamus</v>
      </c>
      <c r="K284" s="11" t="s">
        <v>21</v>
      </c>
      <c r="L284" s="6" t="s">
        <v>2132</v>
      </c>
      <c r="M284" s="6" t="s">
        <v>17</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2133</v>
      </c>
      <c r="D285" s="6" t="s">
        <v>2134</v>
      </c>
      <c r="E285" s="6" t="s">
        <v>17</v>
      </c>
      <c r="F285" s="6" t="s">
        <v>191</v>
      </c>
      <c r="G285" s="6" t="s">
        <v>2649</v>
      </c>
      <c r="H285" s="6" t="str">
        <f t="shared" si="26"/>
        <v>att_organ</v>
      </c>
      <c r="I285" s="6" t="s">
        <v>2133</v>
      </c>
      <c r="J285" s="6" t="str">
        <f t="shared" si="27"/>
        <v>att_organ:kidney</v>
      </c>
      <c r="K285" s="11" t="s">
        <v>21</v>
      </c>
      <c r="L285" s="6" t="s">
        <v>2134</v>
      </c>
      <c r="M285" s="6" t="s">
        <v>17</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2135</v>
      </c>
      <c r="D286" s="6" t="s">
        <v>2137</v>
      </c>
      <c r="E286" s="6" t="s">
        <v>17</v>
      </c>
      <c r="F286" s="6" t="s">
        <v>191</v>
      </c>
      <c r="G286" s="6" t="s">
        <v>2649</v>
      </c>
      <c r="H286" s="6" t="str">
        <f t="shared" si="26"/>
        <v>att_organ</v>
      </c>
      <c r="I286" s="6" t="s">
        <v>2135</v>
      </c>
      <c r="J286" s="6" t="str">
        <f t="shared" si="27"/>
        <v>att_organ:large_intestine</v>
      </c>
      <c r="K286" s="11" t="s">
        <v>21</v>
      </c>
      <c r="L286" s="6" t="s">
        <v>2138</v>
      </c>
      <c r="M286" s="6" t="s">
        <v>17</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2139</v>
      </c>
      <c r="D287" s="6" t="s">
        <v>2140</v>
      </c>
      <c r="E287" s="6" t="s">
        <v>17</v>
      </c>
      <c r="F287" s="6" t="s">
        <v>191</v>
      </c>
      <c r="G287" s="6" t="s">
        <v>2649</v>
      </c>
      <c r="H287" s="6" t="str">
        <f t="shared" si="26"/>
        <v>att_organ</v>
      </c>
      <c r="I287" s="6" t="s">
        <v>2139</v>
      </c>
      <c r="J287" s="6" t="str">
        <f t="shared" si="27"/>
        <v>att_organ:liver</v>
      </c>
      <c r="K287" s="11" t="s">
        <v>21</v>
      </c>
      <c r="L287" s="6" t="s">
        <v>2140</v>
      </c>
      <c r="M287" s="6" t="s">
        <v>17</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2141</v>
      </c>
      <c r="D288" s="6" t="s">
        <v>2142</v>
      </c>
      <c r="E288" s="6" t="s">
        <v>17</v>
      </c>
      <c r="F288" s="6" t="s">
        <v>191</v>
      </c>
      <c r="G288" s="6" t="s">
        <v>2649</v>
      </c>
      <c r="H288" s="6" t="str">
        <f t="shared" si="26"/>
        <v>att_organ</v>
      </c>
      <c r="I288" s="6" t="s">
        <v>2141</v>
      </c>
      <c r="J288" s="6" t="str">
        <f t="shared" si="27"/>
        <v>att_organ:lung</v>
      </c>
      <c r="K288" s="11" t="s">
        <v>21</v>
      </c>
      <c r="L288" s="6" t="s">
        <v>2142</v>
      </c>
      <c r="M288" s="6" t="s">
        <v>17</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2143</v>
      </c>
      <c r="D289" s="6" t="s">
        <v>2144</v>
      </c>
      <c r="E289" s="6" t="s">
        <v>17</v>
      </c>
      <c r="F289" s="6" t="s">
        <v>191</v>
      </c>
      <c r="G289" s="6" t="s">
        <v>2649</v>
      </c>
      <c r="H289" s="6" t="str">
        <f t="shared" si="26"/>
        <v>att_organ</v>
      </c>
      <c r="I289" s="6" t="s">
        <v>2143</v>
      </c>
      <c r="J289" s="6" t="str">
        <f t="shared" si="27"/>
        <v>att_organ:lymph_node</v>
      </c>
      <c r="K289" s="11" t="s">
        <v>21</v>
      </c>
      <c r="L289" s="6" t="s">
        <v>2144</v>
      </c>
      <c r="M289" s="6" t="s">
        <v>17</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2145</v>
      </c>
      <c r="D290" s="6" t="s">
        <v>2146</v>
      </c>
      <c r="E290" s="6" t="s">
        <v>17</v>
      </c>
      <c r="F290" s="6" t="s">
        <v>191</v>
      </c>
      <c r="G290" s="6" t="s">
        <v>2649</v>
      </c>
      <c r="H290" s="6" t="str">
        <f t="shared" si="26"/>
        <v>att_organ</v>
      </c>
      <c r="I290" s="6" t="s">
        <v>2145</v>
      </c>
      <c r="J290" s="6" t="str">
        <f t="shared" si="27"/>
        <v>att_organ:medulla</v>
      </c>
      <c r="K290" s="11" t="s">
        <v>21</v>
      </c>
      <c r="L290" s="6" t="s">
        <v>2146</v>
      </c>
      <c r="M290" s="6" t="s">
        <v>17</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2147</v>
      </c>
      <c r="D291" s="6" t="s">
        <v>2148</v>
      </c>
      <c r="E291" s="6" t="s">
        <v>17</v>
      </c>
      <c r="F291" s="6" t="s">
        <v>191</v>
      </c>
      <c r="G291" s="6" t="s">
        <v>2649</v>
      </c>
      <c r="H291" s="6" t="str">
        <f t="shared" si="26"/>
        <v>att_organ</v>
      </c>
      <c r="I291" s="6" t="s">
        <v>2147</v>
      </c>
      <c r="J291" s="6" t="str">
        <f t="shared" si="27"/>
        <v>att_organ:mesentery</v>
      </c>
      <c r="K291" s="11" t="s">
        <v>21</v>
      </c>
      <c r="L291" s="6" t="s">
        <v>2148</v>
      </c>
      <c r="M291" s="6" t="s">
        <v>17</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2149</v>
      </c>
      <c r="D292" s="6" t="s">
        <v>2150</v>
      </c>
      <c r="E292" s="6" t="s">
        <v>17</v>
      </c>
      <c r="F292" s="6" t="s">
        <v>191</v>
      </c>
      <c r="G292" s="6" t="s">
        <v>2649</v>
      </c>
      <c r="H292" s="6" t="str">
        <f t="shared" si="26"/>
        <v>att_organ</v>
      </c>
      <c r="I292" s="6" t="s">
        <v>2149</v>
      </c>
      <c r="J292" s="6" t="str">
        <f t="shared" si="27"/>
        <v>att_organ:midbrain</v>
      </c>
      <c r="K292" s="11" t="s">
        <v>21</v>
      </c>
      <c r="L292" s="6" t="s">
        <v>2150</v>
      </c>
      <c r="M292" s="6" t="s">
        <v>17</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2151</v>
      </c>
      <c r="D293" s="6" t="s">
        <v>2152</v>
      </c>
      <c r="E293" s="6" t="s">
        <v>17</v>
      </c>
      <c r="F293" s="6" t="s">
        <v>191</v>
      </c>
      <c r="G293" s="6" t="s">
        <v>2649</v>
      </c>
      <c r="H293" s="6" t="str">
        <f t="shared" si="26"/>
        <v>att_organ</v>
      </c>
      <c r="I293" s="6" t="s">
        <v>2151</v>
      </c>
      <c r="J293" s="6" t="str">
        <f t="shared" si="27"/>
        <v>att_organ:ovaries</v>
      </c>
      <c r="K293" s="11" t="s">
        <v>21</v>
      </c>
      <c r="L293" s="6" t="s">
        <v>2152</v>
      </c>
      <c r="M293" s="6" t="s">
        <v>17</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2153</v>
      </c>
      <c r="D294" s="6" t="s">
        <v>2154</v>
      </c>
      <c r="E294" s="6" t="s">
        <v>17</v>
      </c>
      <c r="F294" s="6" t="s">
        <v>191</v>
      </c>
      <c r="G294" s="6" t="s">
        <v>2649</v>
      </c>
      <c r="H294" s="6" t="str">
        <f t="shared" si="26"/>
        <v>att_organ</v>
      </c>
      <c r="I294" s="6" t="s">
        <v>2153</v>
      </c>
      <c r="J294" s="6" t="str">
        <f t="shared" si="27"/>
        <v>att_organ:pancreas</v>
      </c>
      <c r="K294" s="11" t="s">
        <v>21</v>
      </c>
      <c r="L294" s="6" t="s">
        <v>2154</v>
      </c>
      <c r="M294" s="6" t="s">
        <v>17</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2155</v>
      </c>
      <c r="D295" s="6" t="s">
        <v>2156</v>
      </c>
      <c r="E295" s="6" t="s">
        <v>17</v>
      </c>
      <c r="F295" s="6" t="s">
        <v>191</v>
      </c>
      <c r="G295" s="6" t="s">
        <v>2649</v>
      </c>
      <c r="H295" s="6" t="str">
        <f t="shared" si="26"/>
        <v>att_organ</v>
      </c>
      <c r="I295" s="6" t="s">
        <v>2155</v>
      </c>
      <c r="J295" s="6" t="str">
        <f t="shared" si="27"/>
        <v>att_organ:pons</v>
      </c>
      <c r="K295" s="11" t="s">
        <v>21</v>
      </c>
      <c r="L295" s="6" t="s">
        <v>2156</v>
      </c>
      <c r="M295" s="6" t="s">
        <v>17</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2157</v>
      </c>
      <c r="D296" s="6" t="s">
        <v>2158</v>
      </c>
      <c r="E296" s="6" t="s">
        <v>17</v>
      </c>
      <c r="F296" s="6" t="s">
        <v>191</v>
      </c>
      <c r="G296" s="6" t="s">
        <v>2649</v>
      </c>
      <c r="H296" s="6" t="str">
        <f t="shared" si="26"/>
        <v>att_organ</v>
      </c>
      <c r="I296" s="6" t="s">
        <v>2157</v>
      </c>
      <c r="J296" s="6" t="str">
        <f t="shared" si="27"/>
        <v>att_organ:prostate</v>
      </c>
      <c r="K296" s="11" t="s">
        <v>21</v>
      </c>
      <c r="L296" s="6" t="s">
        <v>2158</v>
      </c>
      <c r="M296" s="6" t="s">
        <v>17</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2159</v>
      </c>
      <c r="D297" s="6" t="s">
        <v>2160</v>
      </c>
      <c r="E297" s="6" t="s">
        <v>17</v>
      </c>
      <c r="F297" s="6" t="s">
        <v>191</v>
      </c>
      <c r="G297" s="6" t="s">
        <v>2649</v>
      </c>
      <c r="H297" s="6" t="str">
        <f t="shared" si="26"/>
        <v>att_organ</v>
      </c>
      <c r="I297" s="6" t="s">
        <v>2159</v>
      </c>
      <c r="J297" s="6" t="str">
        <f t="shared" si="27"/>
        <v>att_organ:rectum</v>
      </c>
      <c r="K297" s="11" t="s">
        <v>21</v>
      </c>
      <c r="L297" s="6" t="s">
        <v>2160</v>
      </c>
      <c r="M297" s="6" t="s">
        <v>17</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2162</v>
      </c>
      <c r="D298" s="6" t="s">
        <v>2163</v>
      </c>
      <c r="E298" s="6" t="s">
        <v>17</v>
      </c>
      <c r="F298" s="6" t="s">
        <v>191</v>
      </c>
      <c r="G298" s="6" t="s">
        <v>2649</v>
      </c>
      <c r="H298" s="6" t="str">
        <f t="shared" si="26"/>
        <v>att_organ</v>
      </c>
      <c r="I298" s="6" t="s">
        <v>2161</v>
      </c>
      <c r="J298" s="6" t="str">
        <f t="shared" si="27"/>
        <v>att_organ:small_intestine</v>
      </c>
      <c r="K298" s="11" t="s">
        <v>21</v>
      </c>
      <c r="L298" s="6" t="s">
        <v>2164</v>
      </c>
      <c r="M298" s="6" t="s">
        <v>17</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2165</v>
      </c>
      <c r="D299" s="6" t="s">
        <v>2166</v>
      </c>
      <c r="E299" s="6" t="s">
        <v>17</v>
      </c>
      <c r="F299" s="6" t="s">
        <v>191</v>
      </c>
      <c r="G299" s="6" t="s">
        <v>2649</v>
      </c>
      <c r="H299" s="6" t="str">
        <f t="shared" si="26"/>
        <v>att_organ</v>
      </c>
      <c r="I299" s="6" t="s">
        <v>2165</v>
      </c>
      <c r="J299" s="6" t="str">
        <f t="shared" si="27"/>
        <v>att_organ:spinal_cord</v>
      </c>
      <c r="K299" s="11" t="s">
        <v>21</v>
      </c>
      <c r="L299" s="6" t="s">
        <v>2167</v>
      </c>
      <c r="M299" s="6" t="s">
        <v>17</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2168</v>
      </c>
      <c r="D300" s="6" t="s">
        <v>2169</v>
      </c>
      <c r="E300" s="6" t="s">
        <v>17</v>
      </c>
      <c r="F300" s="6" t="s">
        <v>191</v>
      </c>
      <c r="G300" s="6" t="s">
        <v>2649</v>
      </c>
      <c r="H300" s="6" t="str">
        <f t="shared" si="26"/>
        <v>att_organ</v>
      </c>
      <c r="I300" s="6" t="s">
        <v>2168</v>
      </c>
      <c r="J300" s="6" t="str">
        <f t="shared" si="27"/>
        <v>att_organ:spleen</v>
      </c>
      <c r="K300" s="11" t="s">
        <v>21</v>
      </c>
      <c r="L300" s="6" t="s">
        <v>2169</v>
      </c>
      <c r="M300" s="6" t="s">
        <v>17</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2170</v>
      </c>
      <c r="D301" s="6" t="s">
        <v>2171</v>
      </c>
      <c r="E301" s="6" t="s">
        <v>17</v>
      </c>
      <c r="F301" s="6" t="s">
        <v>191</v>
      </c>
      <c r="G301" s="6" t="s">
        <v>2649</v>
      </c>
      <c r="H301" s="6" t="str">
        <f t="shared" ref="H301:H332" si="30">"att_"&amp;G301</f>
        <v>att_organ</v>
      </c>
      <c r="I301" s="6" t="s">
        <v>2170</v>
      </c>
      <c r="J301" s="6" t="str">
        <f t="shared" ref="J301:J332" si="31">H301&amp;":"&amp;I301</f>
        <v>att_organ:stomach</v>
      </c>
      <c r="K301" s="11" t="s">
        <v>21</v>
      </c>
      <c r="L301" s="6" t="s">
        <v>2171</v>
      </c>
      <c r="M301" s="6" t="s">
        <v>17</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2172</v>
      </c>
      <c r="D302" s="6" t="s">
        <v>2173</v>
      </c>
      <c r="E302" s="6" t="s">
        <v>17</v>
      </c>
      <c r="F302" s="6" t="s">
        <v>191</v>
      </c>
      <c r="G302" s="6" t="s">
        <v>2649</v>
      </c>
      <c r="H302" s="6" t="str">
        <f t="shared" si="30"/>
        <v>att_organ</v>
      </c>
      <c r="I302" s="6" t="s">
        <v>2172</v>
      </c>
      <c r="J302" s="6" t="str">
        <f t="shared" si="31"/>
        <v>att_organ:testicles</v>
      </c>
      <c r="K302" s="11" t="s">
        <v>21</v>
      </c>
      <c r="L302" s="6" t="s">
        <v>2173</v>
      </c>
      <c r="M302" s="6" t="s">
        <v>17</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2174</v>
      </c>
      <c r="D303" s="6" t="s">
        <v>2175</v>
      </c>
      <c r="E303" s="6" t="s">
        <v>17</v>
      </c>
      <c r="F303" s="6" t="s">
        <v>191</v>
      </c>
      <c r="G303" s="6" t="s">
        <v>2649</v>
      </c>
      <c r="H303" s="6" t="str">
        <f t="shared" si="30"/>
        <v>att_organ</v>
      </c>
      <c r="I303" s="6" t="s">
        <v>2174</v>
      </c>
      <c r="J303" s="6" t="str">
        <f t="shared" si="31"/>
        <v>att_organ:thalamus</v>
      </c>
      <c r="K303" s="11" t="s">
        <v>21</v>
      </c>
      <c r="L303" s="6" t="s">
        <v>2175</v>
      </c>
      <c r="M303" s="6" t="s">
        <v>17</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2176</v>
      </c>
      <c r="D304" s="6" t="s">
        <v>2177</v>
      </c>
      <c r="E304" s="6" t="s">
        <v>17</v>
      </c>
      <c r="F304" s="6" t="s">
        <v>191</v>
      </c>
      <c r="G304" s="6" t="s">
        <v>2649</v>
      </c>
      <c r="H304" s="6" t="str">
        <f t="shared" si="30"/>
        <v>att_organ</v>
      </c>
      <c r="I304" s="6" t="s">
        <v>2176</v>
      </c>
      <c r="J304" s="6" t="str">
        <f t="shared" si="31"/>
        <v>att_organ:thymus</v>
      </c>
      <c r="K304" s="11" t="s">
        <v>21</v>
      </c>
      <c r="L304" s="6" t="s">
        <v>2177</v>
      </c>
      <c r="M304" s="6" t="s">
        <v>17</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2178</v>
      </c>
      <c r="D305" s="6" t="s">
        <v>2179</v>
      </c>
      <c r="E305" s="6" t="s">
        <v>17</v>
      </c>
      <c r="F305" s="6" t="s">
        <v>191</v>
      </c>
      <c r="G305" s="6" t="s">
        <v>2649</v>
      </c>
      <c r="H305" s="6" t="str">
        <f t="shared" si="30"/>
        <v>att_organ</v>
      </c>
      <c r="I305" s="6" t="s">
        <v>2178</v>
      </c>
      <c r="J305" s="6" t="str">
        <f t="shared" si="31"/>
        <v>att_organ:tongue</v>
      </c>
      <c r="K305" s="11" t="s">
        <v>21</v>
      </c>
      <c r="L305" s="6" t="s">
        <v>2179</v>
      </c>
      <c r="M305" s="6" t="s">
        <v>17</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2180</v>
      </c>
      <c r="D306" s="6" t="s">
        <v>2181</v>
      </c>
      <c r="E306" s="6" t="s">
        <v>17</v>
      </c>
      <c r="F306" s="6" t="s">
        <v>191</v>
      </c>
      <c r="G306" s="6" t="s">
        <v>2649</v>
      </c>
      <c r="H306" s="6" t="str">
        <f t="shared" si="30"/>
        <v>att_organ</v>
      </c>
      <c r="I306" s="6" t="s">
        <v>2180</v>
      </c>
      <c r="J306" s="6" t="str">
        <f t="shared" si="31"/>
        <v>att_organ:tonsils</v>
      </c>
      <c r="K306" s="11" t="s">
        <v>21</v>
      </c>
      <c r="L306" s="6" t="s">
        <v>2181</v>
      </c>
      <c r="M306" s="6" t="s">
        <v>17</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2182</v>
      </c>
      <c r="D307" s="6" t="s">
        <v>2183</v>
      </c>
      <c r="E307" s="6" t="s">
        <v>17</v>
      </c>
      <c r="F307" s="6" t="s">
        <v>191</v>
      </c>
      <c r="G307" s="6" t="s">
        <v>2649</v>
      </c>
      <c r="H307" s="6" t="str">
        <f t="shared" si="30"/>
        <v>att_organ</v>
      </c>
      <c r="I307" s="6" t="s">
        <v>2182</v>
      </c>
      <c r="J307" s="6" t="str">
        <f t="shared" si="31"/>
        <v>att_organ:uterus</v>
      </c>
      <c r="K307" s="11" t="s">
        <v>21</v>
      </c>
      <c r="L307" s="6" t="s">
        <v>2183</v>
      </c>
      <c r="M307" s="6" t="s">
        <v>17</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2184</v>
      </c>
      <c r="D308" s="6" t="s">
        <v>2185</v>
      </c>
      <c r="E308" s="6" t="s">
        <v>17</v>
      </c>
      <c r="F308" s="6" t="s">
        <v>191</v>
      </c>
      <c r="G308" s="6" t="s">
        <v>2649</v>
      </c>
      <c r="H308" s="6" t="str">
        <f t="shared" si="30"/>
        <v>att_organ</v>
      </c>
      <c r="I308" s="6" t="s">
        <v>2184</v>
      </c>
      <c r="J308" s="6" t="str">
        <f t="shared" si="31"/>
        <v>att_organ:veins</v>
      </c>
      <c r="K308" s="11" t="s">
        <v>21</v>
      </c>
      <c r="L308" s="6" t="s">
        <v>2185</v>
      </c>
      <c r="M308" s="6" t="s">
        <v>17</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21</v>
      </c>
      <c r="B309" s="12"/>
      <c r="C309" s="6" t="s">
        <v>2650</v>
      </c>
      <c r="D309" s="6" t="s">
        <v>2651</v>
      </c>
      <c r="E309" s="6" t="s">
        <v>17</v>
      </c>
      <c r="F309" s="6" t="s">
        <v>193</v>
      </c>
      <c r="G309" s="6" t="s">
        <v>2652</v>
      </c>
      <c r="H309" s="6" t="str">
        <f t="shared" si="30"/>
        <v>att_organism</v>
      </c>
      <c r="I309" s="6" t="s">
        <v>2650</v>
      </c>
      <c r="J309" s="6" t="str">
        <f t="shared" si="31"/>
        <v>att_organism:bacteria</v>
      </c>
      <c r="K309" s="11" t="s">
        <v>21</v>
      </c>
      <c r="L309" s="6" t="s">
        <v>2651</v>
      </c>
      <c r="M309" s="6" t="s">
        <v>17</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21</v>
      </c>
      <c r="B310" s="12"/>
      <c r="C310" s="6" t="s">
        <v>2653</v>
      </c>
      <c r="D310" s="6" t="s">
        <v>2192</v>
      </c>
      <c r="E310" s="6" t="s">
        <v>17</v>
      </c>
      <c r="F310" s="6" t="s">
        <v>193</v>
      </c>
      <c r="G310" s="6" t="s">
        <v>2652</v>
      </c>
      <c r="H310" s="6" t="str">
        <f t="shared" si="30"/>
        <v>att_organism</v>
      </c>
      <c r="I310" s="6" t="s">
        <v>2653</v>
      </c>
      <c r="J310" s="6" t="str">
        <f t="shared" si="31"/>
        <v>att_organism:elegans</v>
      </c>
      <c r="K310" s="11" t="s">
        <v>21</v>
      </c>
      <c r="L310" s="6" t="s">
        <v>2192</v>
      </c>
      <c r="M310" s="6" t="s">
        <v>17</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21</v>
      </c>
      <c r="B311" s="12"/>
      <c r="C311" s="6" t="s">
        <v>2654</v>
      </c>
      <c r="D311" s="6" t="s">
        <v>2655</v>
      </c>
      <c r="E311" s="6" t="s">
        <v>17</v>
      </c>
      <c r="F311" s="6" t="s">
        <v>193</v>
      </c>
      <c r="G311" s="6" t="s">
        <v>2652</v>
      </c>
      <c r="H311" s="6" t="str">
        <f t="shared" si="30"/>
        <v>att_organism</v>
      </c>
      <c r="I311" s="6" t="s">
        <v>2654</v>
      </c>
      <c r="J311" s="6" t="str">
        <f t="shared" si="31"/>
        <v>att_organism:gut</v>
      </c>
      <c r="K311" s="11" t="s">
        <v>21</v>
      </c>
      <c r="L311" s="6" t="s">
        <v>2656</v>
      </c>
      <c r="M311" s="6" t="s">
        <v>17</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21</v>
      </c>
      <c r="B312" s="12"/>
      <c r="C312" s="6" t="s">
        <v>2203</v>
      </c>
      <c r="D312" s="6" t="s">
        <v>2204</v>
      </c>
      <c r="E312" s="6" t="s">
        <v>17</v>
      </c>
      <c r="F312" s="6" t="s">
        <v>193</v>
      </c>
      <c r="G312" s="6" t="s">
        <v>2652</v>
      </c>
      <c r="H312" s="6" t="str">
        <f t="shared" si="30"/>
        <v>att_organism</v>
      </c>
      <c r="I312" s="6" t="s">
        <v>2203</v>
      </c>
      <c r="J312" s="6" t="str">
        <f t="shared" si="31"/>
        <v>att_organism:human</v>
      </c>
      <c r="K312" s="11" t="s">
        <v>21</v>
      </c>
      <c r="L312" s="6" t="s">
        <v>2657</v>
      </c>
      <c r="M312" s="6" t="s">
        <v>17</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21</v>
      </c>
      <c r="B313" s="12"/>
      <c r="C313" s="6" t="s">
        <v>2187</v>
      </c>
      <c r="D313" s="6" t="s">
        <v>2188</v>
      </c>
      <c r="E313" s="6" t="s">
        <v>17</v>
      </c>
      <c r="F313" s="6" t="s">
        <v>193</v>
      </c>
      <c r="G313" s="6" t="s">
        <v>2652</v>
      </c>
      <c r="H313" s="6" t="str">
        <f t="shared" si="30"/>
        <v>att_organism</v>
      </c>
      <c r="I313" s="6" t="s">
        <v>2187</v>
      </c>
      <c r="J313" s="6" t="str">
        <f t="shared" si="31"/>
        <v>att_organism:mouse</v>
      </c>
      <c r="K313" s="11" t="s">
        <v>21</v>
      </c>
      <c r="L313" s="6" t="s">
        <v>2658</v>
      </c>
      <c r="M313" s="6" t="s">
        <v>17</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21</v>
      </c>
      <c r="B314" s="12"/>
      <c r="C314" s="6" t="s">
        <v>2199</v>
      </c>
      <c r="D314" s="6" t="s">
        <v>2200</v>
      </c>
      <c r="E314" s="6" t="s">
        <v>17</v>
      </c>
      <c r="F314" s="6" t="s">
        <v>193</v>
      </c>
      <c r="G314" s="6" t="s">
        <v>2652</v>
      </c>
      <c r="H314" s="6" t="str">
        <f t="shared" si="30"/>
        <v>att_organism</v>
      </c>
      <c r="I314" s="6" t="s">
        <v>2199</v>
      </c>
      <c r="J314" s="6" t="str">
        <f t="shared" si="31"/>
        <v>att_organism:rat</v>
      </c>
      <c r="K314" s="11" t="s">
        <v>21</v>
      </c>
      <c r="L314" s="6" t="s">
        <v>2659</v>
      </c>
      <c r="M314" s="6" t="s">
        <v>17</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21</v>
      </c>
      <c r="B315" s="12"/>
      <c r="C315" s="6" t="s">
        <v>2195</v>
      </c>
      <c r="D315" s="6" t="s">
        <v>2196</v>
      </c>
      <c r="E315" s="6" t="s">
        <v>17</v>
      </c>
      <c r="F315" s="6" t="s">
        <v>193</v>
      </c>
      <c r="G315" s="6" t="s">
        <v>2652</v>
      </c>
      <c r="H315" s="6" t="str">
        <f t="shared" si="30"/>
        <v>att_organism</v>
      </c>
      <c r="I315" s="6" t="s">
        <v>2195</v>
      </c>
      <c r="J315" s="6" t="str">
        <f t="shared" si="31"/>
        <v>att_organism:yeast</v>
      </c>
      <c r="K315" s="11" t="s">
        <v>21</v>
      </c>
      <c r="L315" s="6" t="s">
        <v>2660</v>
      </c>
      <c r="M315" s="6" t="s">
        <v>17</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2206</v>
      </c>
      <c r="D316" s="6" t="s">
        <v>2208</v>
      </c>
      <c r="E316" s="6" t="s">
        <v>17</v>
      </c>
      <c r="F316" s="6" t="s">
        <v>2661</v>
      </c>
      <c r="G316" s="6" t="s">
        <v>2662</v>
      </c>
      <c r="H316" s="6" t="str">
        <f t="shared" si="30"/>
        <v>att_organsystem</v>
      </c>
      <c r="I316" s="6" t="s">
        <v>2206</v>
      </c>
      <c r="J316" s="6" t="str">
        <f t="shared" si="31"/>
        <v>att_organsystem:cardiovascular</v>
      </c>
      <c r="K316" s="11" t="s">
        <v>21</v>
      </c>
      <c r="L316" s="6" t="s">
        <v>2209</v>
      </c>
      <c r="M316" s="6" t="s">
        <v>17</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2210</v>
      </c>
      <c r="D317" s="6" t="s">
        <v>2211</v>
      </c>
      <c r="E317" s="6" t="s">
        <v>17</v>
      </c>
      <c r="F317" s="6" t="s">
        <v>2661</v>
      </c>
      <c r="G317" s="6" t="s">
        <v>2662</v>
      </c>
      <c r="H317" s="6" t="str">
        <f t="shared" si="30"/>
        <v>att_organsystem</v>
      </c>
      <c r="I317" s="6" t="s">
        <v>2210</v>
      </c>
      <c r="J317" s="6" t="str">
        <f t="shared" si="31"/>
        <v>att_organsystem:digestive</v>
      </c>
      <c r="K317" s="11" t="s">
        <v>21</v>
      </c>
      <c r="L317" s="6" t="s">
        <v>2212</v>
      </c>
      <c r="M317" s="6" t="s">
        <v>17</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2213</v>
      </c>
      <c r="D318" s="6" t="s">
        <v>2214</v>
      </c>
      <c r="E318" s="6" t="s">
        <v>17</v>
      </c>
      <c r="F318" s="6" t="s">
        <v>2661</v>
      </c>
      <c r="G318" s="6" t="s">
        <v>2662</v>
      </c>
      <c r="H318" s="6" t="str">
        <f t="shared" si="30"/>
        <v>att_organsystem</v>
      </c>
      <c r="I318" s="6" t="s">
        <v>2213</v>
      </c>
      <c r="J318" s="6" t="str">
        <f t="shared" si="31"/>
        <v>att_organsystem:endocrine</v>
      </c>
      <c r="K318" s="11" t="s">
        <v>21</v>
      </c>
      <c r="L318" s="6" t="s">
        <v>2215</v>
      </c>
      <c r="M318" s="6" t="s">
        <v>17</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2216</v>
      </c>
      <c r="D319" s="6" t="s">
        <v>2217</v>
      </c>
      <c r="E319" s="6" t="s">
        <v>17</v>
      </c>
      <c r="F319" s="6" t="s">
        <v>2661</v>
      </c>
      <c r="G319" s="6" t="s">
        <v>2662</v>
      </c>
      <c r="H319" s="6" t="str">
        <f t="shared" si="30"/>
        <v>att_organsystem</v>
      </c>
      <c r="I319" s="6" t="s">
        <v>2216</v>
      </c>
      <c r="J319" s="6" t="str">
        <f t="shared" si="31"/>
        <v>att_organsystem:excretory</v>
      </c>
      <c r="K319" s="11" t="s">
        <v>21</v>
      </c>
      <c r="L319" s="6" t="s">
        <v>2218</v>
      </c>
      <c r="M319" s="6" t="s">
        <v>17</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2219</v>
      </c>
      <c r="D320" s="6" t="s">
        <v>2220</v>
      </c>
      <c r="E320" s="6" t="s">
        <v>17</v>
      </c>
      <c r="F320" s="6" t="s">
        <v>2661</v>
      </c>
      <c r="G320" s="6" t="s">
        <v>2662</v>
      </c>
      <c r="H320" s="6" t="str">
        <f t="shared" si="30"/>
        <v>att_organsystem</v>
      </c>
      <c r="I320" s="6" t="s">
        <v>2219</v>
      </c>
      <c r="J320" s="6" t="str">
        <f t="shared" si="31"/>
        <v>att_organsystem:integumentary</v>
      </c>
      <c r="K320" s="11" t="s">
        <v>21</v>
      </c>
      <c r="L320" s="6" t="s">
        <v>2221</v>
      </c>
      <c r="M320" s="6" t="s">
        <v>17</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2222</v>
      </c>
      <c r="D321" s="6" t="s">
        <v>2223</v>
      </c>
      <c r="E321" s="6" t="s">
        <v>17</v>
      </c>
      <c r="F321" s="6" t="s">
        <v>2661</v>
      </c>
      <c r="G321" s="6" t="s">
        <v>2662</v>
      </c>
      <c r="H321" s="6" t="str">
        <f t="shared" si="30"/>
        <v>att_organsystem</v>
      </c>
      <c r="I321" s="6" t="s">
        <v>2222</v>
      </c>
      <c r="J321" s="6" t="str">
        <f t="shared" si="31"/>
        <v>att_organsystem:lymphatic</v>
      </c>
      <c r="K321" s="11" t="s">
        <v>21</v>
      </c>
      <c r="L321" s="6" t="s">
        <v>2224</v>
      </c>
      <c r="M321" s="6" t="s">
        <v>17</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2225</v>
      </c>
      <c r="D322" s="6" t="s">
        <v>2226</v>
      </c>
      <c r="E322" s="6" t="s">
        <v>17</v>
      </c>
      <c r="F322" s="6" t="s">
        <v>2661</v>
      </c>
      <c r="G322" s="6" t="s">
        <v>2662</v>
      </c>
      <c r="H322" s="6" t="str">
        <f t="shared" si="30"/>
        <v>att_organsystem</v>
      </c>
      <c r="I322" s="6" t="s">
        <v>2225</v>
      </c>
      <c r="J322" s="6" t="str">
        <f t="shared" si="31"/>
        <v>att_organsystem:muscular</v>
      </c>
      <c r="K322" s="11" t="s">
        <v>21</v>
      </c>
      <c r="L322" s="6" t="s">
        <v>2227</v>
      </c>
      <c r="M322" s="6" t="s">
        <v>17</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2663</v>
      </c>
      <c r="D323" s="6" t="s">
        <v>2229</v>
      </c>
      <c r="E323" s="6" t="s">
        <v>17</v>
      </c>
      <c r="F323" s="6" t="s">
        <v>2661</v>
      </c>
      <c r="G323" s="6" t="s">
        <v>2662</v>
      </c>
      <c r="H323" s="6" t="str">
        <f t="shared" si="30"/>
        <v>att_organsystem</v>
      </c>
      <c r="I323" s="6" t="s">
        <v>2228</v>
      </c>
      <c r="J323" s="6" t="str">
        <f t="shared" si="31"/>
        <v>att_organsystem:nervous_system</v>
      </c>
      <c r="K323" s="11" t="s">
        <v>21</v>
      </c>
      <c r="L323" s="6" t="s">
        <v>2230</v>
      </c>
      <c r="M323" s="6" t="s">
        <v>17</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2231</v>
      </c>
      <c r="D324" s="6" t="s">
        <v>2232</v>
      </c>
      <c r="E324" s="6" t="s">
        <v>17</v>
      </c>
      <c r="F324" s="6" t="s">
        <v>2661</v>
      </c>
      <c r="G324" s="6" t="s">
        <v>2662</v>
      </c>
      <c r="H324" s="6" t="str">
        <f t="shared" si="30"/>
        <v>att_organsystem</v>
      </c>
      <c r="I324" s="6" t="s">
        <v>2231</v>
      </c>
      <c r="J324" s="6" t="str">
        <f t="shared" si="31"/>
        <v>att_organsystem:reproductive</v>
      </c>
      <c r="K324" s="11" t="s">
        <v>21</v>
      </c>
      <c r="L324" s="6" t="s">
        <v>2233</v>
      </c>
      <c r="M324" s="6" t="s">
        <v>17</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2234</v>
      </c>
      <c r="D325" s="6" t="s">
        <v>2235</v>
      </c>
      <c r="E325" s="6" t="s">
        <v>17</v>
      </c>
      <c r="F325" s="6" t="s">
        <v>2661</v>
      </c>
      <c r="G325" s="6" t="s">
        <v>2662</v>
      </c>
      <c r="H325" s="6" t="str">
        <f t="shared" si="30"/>
        <v>att_organsystem</v>
      </c>
      <c r="I325" s="6" t="s">
        <v>2234</v>
      </c>
      <c r="J325" s="6" t="str">
        <f t="shared" si="31"/>
        <v>att_organsystem:respiratory</v>
      </c>
      <c r="K325" s="11" t="s">
        <v>21</v>
      </c>
      <c r="L325" s="6" t="s">
        <v>2236</v>
      </c>
      <c r="M325" s="6" t="s">
        <v>17</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2237</v>
      </c>
      <c r="D326" s="6" t="s">
        <v>2238</v>
      </c>
      <c r="E326" s="6" t="s">
        <v>17</v>
      </c>
      <c r="F326" s="6" t="s">
        <v>2661</v>
      </c>
      <c r="G326" s="6" t="s">
        <v>2662</v>
      </c>
      <c r="H326" s="6" t="str">
        <f t="shared" si="30"/>
        <v>att_organsystem</v>
      </c>
      <c r="I326" s="6" t="s">
        <v>2237</v>
      </c>
      <c r="J326" s="6" t="str">
        <f t="shared" si="31"/>
        <v>att_organsystem:skeletal</v>
      </c>
      <c r="K326" s="11" t="s">
        <v>21</v>
      </c>
      <c r="L326" s="6" t="s">
        <v>2239</v>
      </c>
      <c r="M326" s="6" t="s">
        <v>17</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2240</v>
      </c>
      <c r="D327" s="6" t="s">
        <v>2241</v>
      </c>
      <c r="E327" s="6" t="s">
        <v>17</v>
      </c>
      <c r="F327" s="6" t="s">
        <v>2661</v>
      </c>
      <c r="G327" s="6" t="s">
        <v>2662</v>
      </c>
      <c r="H327" s="6" t="str">
        <f t="shared" si="30"/>
        <v>att_organsystem</v>
      </c>
      <c r="I327" s="6" t="s">
        <v>2240</v>
      </c>
      <c r="J327" s="6" t="str">
        <f t="shared" si="31"/>
        <v>att_organsystem:urinary</v>
      </c>
      <c r="K327" s="11" t="s">
        <v>21</v>
      </c>
      <c r="L327" s="6" t="s">
        <v>2242</v>
      </c>
      <c r="M327" s="6" t="s">
        <v>17</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2664</v>
      </c>
      <c r="D328" s="14" t="s">
        <v>2665</v>
      </c>
      <c r="E328" s="14" t="s">
        <v>17</v>
      </c>
      <c r="F328" s="14" t="s">
        <v>2666</v>
      </c>
      <c r="G328" s="14" t="s">
        <v>2667</v>
      </c>
      <c r="H328" s="14" t="str">
        <f t="shared" si="30"/>
        <v>att_phenotype</v>
      </c>
      <c r="I328" s="14" t="s">
        <v>2664</v>
      </c>
      <c r="J328" s="14" t="str">
        <f t="shared" si="31"/>
        <v>att_phenotype:kd</v>
      </c>
      <c r="K328" s="15" t="s">
        <v>21</v>
      </c>
      <c r="L328" s="14" t="s">
        <v>139</v>
      </c>
      <c r="M328" s="14" t="s">
        <v>17</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1273</v>
      </c>
      <c r="D329" s="14" t="s">
        <v>2668</v>
      </c>
      <c r="E329" s="14" t="s">
        <v>17</v>
      </c>
      <c r="F329" s="14" t="s">
        <v>2666</v>
      </c>
      <c r="G329" s="14" t="s">
        <v>2667</v>
      </c>
      <c r="H329" s="14" t="str">
        <f t="shared" si="30"/>
        <v>att_phenotype</v>
      </c>
      <c r="I329" s="14" t="s">
        <v>1273</v>
      </c>
      <c r="J329" s="14" t="str">
        <f t="shared" si="31"/>
        <v>att_phenotype:ko</v>
      </c>
      <c r="K329" s="15" t="s">
        <v>21</v>
      </c>
      <c r="L329" s="14" t="s">
        <v>2594</v>
      </c>
      <c r="M329" s="14" t="s">
        <v>17</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2669</v>
      </c>
      <c r="D330" s="14" t="s">
        <v>2670</v>
      </c>
      <c r="E330" s="14" t="s">
        <v>17</v>
      </c>
      <c r="F330" s="14" t="s">
        <v>2666</v>
      </c>
      <c r="G330" s="14" t="s">
        <v>2667</v>
      </c>
      <c r="H330" s="14" t="str">
        <f t="shared" si="30"/>
        <v>att_phenotype</v>
      </c>
      <c r="I330" s="14" t="s">
        <v>2669</v>
      </c>
      <c r="J330" s="14" t="str">
        <f t="shared" si="31"/>
        <v>att_phenotype:mt</v>
      </c>
      <c r="K330" s="15" t="s">
        <v>21</v>
      </c>
      <c r="L330" s="14" t="s">
        <v>2671</v>
      </c>
      <c r="M330" s="14" t="s">
        <v>17</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2672</v>
      </c>
      <c r="D331" s="14" t="s">
        <v>2673</v>
      </c>
      <c r="E331" s="14" t="s">
        <v>17</v>
      </c>
      <c r="F331" s="14" t="s">
        <v>2666</v>
      </c>
      <c r="G331" s="14" t="s">
        <v>2667</v>
      </c>
      <c r="H331" s="14" t="str">
        <f t="shared" si="30"/>
        <v>att_phenotype</v>
      </c>
      <c r="I331" s="14" t="s">
        <v>2672</v>
      </c>
      <c r="J331" s="14" t="str">
        <f t="shared" si="31"/>
        <v>att_phenotype:wt</v>
      </c>
      <c r="K331" s="15" t="s">
        <v>21</v>
      </c>
      <c r="L331" s="14" t="s">
        <v>2674</v>
      </c>
      <c r="M331" s="14" t="s">
        <v>17</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21</v>
      </c>
      <c r="B332" s="11"/>
      <c r="C332" s="6" t="s">
        <v>2324</v>
      </c>
      <c r="D332" s="6" t="s">
        <v>2324</v>
      </c>
      <c r="E332" s="6" t="s">
        <v>17</v>
      </c>
      <c r="F332" s="6" t="s">
        <v>209</v>
      </c>
      <c r="G332" s="6" t="s">
        <v>2675</v>
      </c>
      <c r="H332" s="6" t="str">
        <f t="shared" si="30"/>
        <v>att_quantification</v>
      </c>
      <c r="I332" s="6" t="s">
        <v>2324</v>
      </c>
      <c r="J332" s="6" t="str">
        <f t="shared" si="31"/>
        <v>att_quantification:isobaric</v>
      </c>
      <c r="K332" s="11" t="s">
        <v>21</v>
      </c>
      <c r="L332" s="6" t="s">
        <v>2325</v>
      </c>
      <c r="M332" s="6" t="s">
        <v>17</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21</v>
      </c>
      <c r="B333" s="11"/>
      <c r="C333" s="6" t="s">
        <v>2326</v>
      </c>
      <c r="D333" s="6" t="s">
        <v>2326</v>
      </c>
      <c r="E333" s="6" t="s">
        <v>17</v>
      </c>
      <c r="F333" s="6" t="s">
        <v>209</v>
      </c>
      <c r="G333" s="6" t="s">
        <v>2675</v>
      </c>
      <c r="H333" s="6" t="str">
        <f t="shared" ref="H333:H364" si="34">"att_"&amp;G333</f>
        <v>att_quantification</v>
      </c>
      <c r="I333" s="6" t="s">
        <v>2326</v>
      </c>
      <c r="J333" s="6" t="str">
        <f t="shared" ref="J333:J364" si="35">H333&amp;":"&amp;I333</f>
        <v>att_quantification:istopic</v>
      </c>
      <c r="K333" s="11" t="s">
        <v>21</v>
      </c>
      <c r="L333" s="6" t="s">
        <v>2327</v>
      </c>
      <c r="M333" s="6" t="s">
        <v>17</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21</v>
      </c>
      <c r="B334" s="11"/>
      <c r="C334" s="6" t="s">
        <v>2676</v>
      </c>
      <c r="D334" s="6" t="s">
        <v>2329</v>
      </c>
      <c r="E334" s="6" t="s">
        <v>17</v>
      </c>
      <c r="F334" s="6" t="s">
        <v>209</v>
      </c>
      <c r="G334" s="6" t="s">
        <v>2675</v>
      </c>
      <c r="H334" s="6" t="str">
        <f t="shared" si="34"/>
        <v>att_quantification</v>
      </c>
      <c r="I334" s="6" t="s">
        <v>2328</v>
      </c>
      <c r="J334" s="6" t="str">
        <f t="shared" si="35"/>
        <v>att_quantification:label_free</v>
      </c>
      <c r="K334" s="11" t="s">
        <v>21</v>
      </c>
      <c r="L334" s="6" t="s">
        <v>2330</v>
      </c>
      <c r="M334" s="6" t="s">
        <v>17</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21</v>
      </c>
      <c r="B335" s="11"/>
      <c r="C335" s="6" t="s">
        <v>2331</v>
      </c>
      <c r="D335" s="6" t="s">
        <v>2331</v>
      </c>
      <c r="E335" s="6" t="s">
        <v>17</v>
      </c>
      <c r="F335" s="6" t="s">
        <v>209</v>
      </c>
      <c r="G335" s="6" t="s">
        <v>2675</v>
      </c>
      <c r="H335" s="6" t="str">
        <f t="shared" si="34"/>
        <v>att_quantification</v>
      </c>
      <c r="I335" s="6" t="s">
        <v>2331</v>
      </c>
      <c r="J335" s="6" t="str">
        <f t="shared" si="35"/>
        <v>att_quantification:silac</v>
      </c>
      <c r="K335" s="11" t="s">
        <v>21</v>
      </c>
      <c r="L335" s="6" t="s">
        <v>2332</v>
      </c>
      <c r="M335" s="6" t="s">
        <v>17</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1406</v>
      </c>
      <c r="D336" s="6" t="s">
        <v>1407</v>
      </c>
      <c r="E336" s="6" t="s">
        <v>17</v>
      </c>
      <c r="F336" s="6" t="s">
        <v>2677</v>
      </c>
      <c r="G336" s="6" t="s">
        <v>2678</v>
      </c>
      <c r="H336" s="6" t="str">
        <f t="shared" si="34"/>
        <v>att_signalling</v>
      </c>
      <c r="I336" s="6" t="s">
        <v>1406</v>
      </c>
      <c r="J336" s="6" t="str">
        <f t="shared" si="35"/>
        <v>att_signalling:apoptosis</v>
      </c>
      <c r="K336" s="11" t="s">
        <v>21</v>
      </c>
      <c r="L336" s="6" t="s">
        <v>2341</v>
      </c>
      <c r="M336" s="6" t="s">
        <v>17</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2342</v>
      </c>
      <c r="D337" s="6" t="s">
        <v>2343</v>
      </c>
      <c r="E337" s="6" t="s">
        <v>17</v>
      </c>
      <c r="F337" s="6" t="s">
        <v>2677</v>
      </c>
      <c r="G337" s="6" t="s">
        <v>2678</v>
      </c>
      <c r="H337" s="6" t="str">
        <f t="shared" si="34"/>
        <v>att_signalling</v>
      </c>
      <c r="I337" s="6" t="s">
        <v>2342</v>
      </c>
      <c r="J337" s="6" t="str">
        <f t="shared" si="35"/>
        <v>att_signalling:autocrine</v>
      </c>
      <c r="K337" s="11" t="s">
        <v>21</v>
      </c>
      <c r="L337" s="6" t="s">
        <v>2344</v>
      </c>
      <c r="M337" s="6" t="s">
        <v>17</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2345</v>
      </c>
      <c r="D338" s="6" t="s">
        <v>2346</v>
      </c>
      <c r="E338" s="6" t="s">
        <v>17</v>
      </c>
      <c r="F338" s="6" t="s">
        <v>2677</v>
      </c>
      <c r="G338" s="6" t="s">
        <v>2678</v>
      </c>
      <c r="H338" s="6" t="str">
        <f t="shared" si="34"/>
        <v>att_signalling</v>
      </c>
      <c r="I338" s="6" t="s">
        <v>2345</v>
      </c>
      <c r="J338" s="6" t="str">
        <f t="shared" si="35"/>
        <v>att_signalling:complement</v>
      </c>
      <c r="K338" s="11" t="s">
        <v>21</v>
      </c>
      <c r="L338" s="6" t="s">
        <v>2347</v>
      </c>
      <c r="M338" s="6" t="s">
        <v>17</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2348</v>
      </c>
      <c r="D339" s="6" t="s">
        <v>2349</v>
      </c>
      <c r="E339" s="6" t="s">
        <v>17</v>
      </c>
      <c r="F339" s="6" t="s">
        <v>2677</v>
      </c>
      <c r="G339" s="6" t="s">
        <v>2678</v>
      </c>
      <c r="H339" s="6" t="str">
        <f t="shared" si="34"/>
        <v>att_signalling</v>
      </c>
      <c r="I339" s="6" t="s">
        <v>2348</v>
      </c>
      <c r="J339" s="6" t="str">
        <f t="shared" si="35"/>
        <v>att_signalling:cytokines</v>
      </c>
      <c r="K339" s="11" t="s">
        <v>21</v>
      </c>
      <c r="L339" s="6" t="s">
        <v>2350</v>
      </c>
      <c r="M339" s="6" t="s">
        <v>17</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2351</v>
      </c>
      <c r="D340" s="6" t="s">
        <v>2352</v>
      </c>
      <c r="E340" s="6" t="s">
        <v>17</v>
      </c>
      <c r="F340" s="6" t="s">
        <v>2677</v>
      </c>
      <c r="G340" s="6" t="s">
        <v>2678</v>
      </c>
      <c r="H340" s="6" t="str">
        <f t="shared" si="34"/>
        <v>att_signalling</v>
      </c>
      <c r="I340" s="6" t="s">
        <v>2351</v>
      </c>
      <c r="J340" s="6" t="str">
        <f t="shared" si="35"/>
        <v>att_signalling:inflammation</v>
      </c>
      <c r="K340" s="11" t="s">
        <v>21</v>
      </c>
      <c r="L340" s="6" t="s">
        <v>2353</v>
      </c>
      <c r="M340" s="6" t="s">
        <v>17</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2354</v>
      </c>
      <c r="D341" s="6" t="s">
        <v>2355</v>
      </c>
      <c r="E341" s="6" t="s">
        <v>17</v>
      </c>
      <c r="F341" s="6" t="s">
        <v>2677</v>
      </c>
      <c r="G341" s="6" t="s">
        <v>2678</v>
      </c>
      <c r="H341" s="6" t="str">
        <f t="shared" si="34"/>
        <v>att_signalling</v>
      </c>
      <c r="I341" s="6" t="s">
        <v>2354</v>
      </c>
      <c r="J341" s="6" t="str">
        <f t="shared" si="35"/>
        <v>att_signalling:insulin</v>
      </c>
      <c r="K341" s="11" t="s">
        <v>21</v>
      </c>
      <c r="L341" s="6" t="s">
        <v>2356</v>
      </c>
      <c r="M341" s="6" t="s">
        <v>17</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2357</v>
      </c>
      <c r="D342" s="6" t="s">
        <v>2358</v>
      </c>
      <c r="E342" s="6" t="s">
        <v>17</v>
      </c>
      <c r="F342" s="6" t="s">
        <v>2677</v>
      </c>
      <c r="G342" s="6" t="s">
        <v>2678</v>
      </c>
      <c r="H342" s="6" t="str">
        <f t="shared" si="34"/>
        <v>att_signalling</v>
      </c>
      <c r="I342" s="6" t="s">
        <v>2357</v>
      </c>
      <c r="J342" s="6" t="str">
        <f t="shared" si="35"/>
        <v>att_signalling:juxtacrine</v>
      </c>
      <c r="K342" s="11" t="s">
        <v>21</v>
      </c>
      <c r="L342" s="6" t="s">
        <v>2359</v>
      </c>
      <c r="M342" s="6" t="s">
        <v>17</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2360</v>
      </c>
      <c r="D343" s="6" t="s">
        <v>2361</v>
      </c>
      <c r="E343" s="6" t="s">
        <v>17</v>
      </c>
      <c r="F343" s="6" t="s">
        <v>2677</v>
      </c>
      <c r="G343" s="6" t="s">
        <v>2678</v>
      </c>
      <c r="H343" s="6" t="str">
        <f t="shared" si="34"/>
        <v>att_signalling</v>
      </c>
      <c r="I343" s="6" t="s">
        <v>2360</v>
      </c>
      <c r="J343" s="6" t="str">
        <f t="shared" si="35"/>
        <v>att_signalling:necrosis</v>
      </c>
      <c r="K343" s="11" t="s">
        <v>21</v>
      </c>
      <c r="L343" s="6" t="s">
        <v>2362</v>
      </c>
      <c r="M343" s="6" t="s">
        <v>17</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2363</v>
      </c>
      <c r="D344" s="6" t="s">
        <v>2364</v>
      </c>
      <c r="E344" s="6" t="s">
        <v>17</v>
      </c>
      <c r="F344" s="6" t="s">
        <v>2677</v>
      </c>
      <c r="G344" s="6" t="s">
        <v>2678</v>
      </c>
      <c r="H344" s="6" t="str">
        <f t="shared" si="34"/>
        <v>att_signalling</v>
      </c>
      <c r="I344" s="6" t="s">
        <v>2363</v>
      </c>
      <c r="J344" s="6" t="str">
        <f t="shared" si="35"/>
        <v>att_signalling:paracrine</v>
      </c>
      <c r="K344" s="11" t="s">
        <v>21</v>
      </c>
      <c r="L344" s="6" t="s">
        <v>2365</v>
      </c>
      <c r="M344" s="6" t="s">
        <v>17</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1754</v>
      </c>
      <c r="D345" s="6" t="s">
        <v>1755</v>
      </c>
      <c r="E345" s="6" t="s">
        <v>17</v>
      </c>
      <c r="F345" s="6" t="s">
        <v>2677</v>
      </c>
      <c r="G345" s="6" t="s">
        <v>2678</v>
      </c>
      <c r="H345" s="6" t="str">
        <f t="shared" si="34"/>
        <v>att_signalling</v>
      </c>
      <c r="I345" s="6" t="s">
        <v>1754</v>
      </c>
      <c r="J345" s="6" t="str">
        <f t="shared" si="35"/>
        <v>att_signalling:signaling</v>
      </c>
      <c r="K345" s="11" t="s">
        <v>21</v>
      </c>
      <c r="L345" s="6" t="s">
        <v>2366</v>
      </c>
      <c r="M345" s="6" t="s">
        <v>17</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21</v>
      </c>
      <c r="B346" s="12"/>
      <c r="C346" s="6" t="s">
        <v>2367</v>
      </c>
      <c r="D346" s="6" t="s">
        <v>2368</v>
      </c>
      <c r="E346" s="6" t="s">
        <v>17</v>
      </c>
      <c r="F346" s="6" t="s">
        <v>214</v>
      </c>
      <c r="G346" s="6" t="s">
        <v>2679</v>
      </c>
      <c r="H346" s="6" t="str">
        <f t="shared" si="34"/>
        <v>att_software</v>
      </c>
      <c r="I346" s="6" t="s">
        <v>2367</v>
      </c>
      <c r="J346" s="6" t="str">
        <f t="shared" si="35"/>
        <v>att_software:diann</v>
      </c>
      <c r="K346" s="11" t="s">
        <v>21</v>
      </c>
      <c r="L346" s="6" t="s">
        <v>2369</v>
      </c>
      <c r="M346" s="6" t="s">
        <v>17</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21</v>
      </c>
      <c r="B347" s="12"/>
      <c r="C347" s="6" t="s">
        <v>2370</v>
      </c>
      <c r="D347" s="6" t="s">
        <v>2371</v>
      </c>
      <c r="E347" s="6" t="s">
        <v>17</v>
      </c>
      <c r="F347" s="6" t="s">
        <v>214</v>
      </c>
      <c r="G347" s="6" t="s">
        <v>2679</v>
      </c>
      <c r="H347" s="6" t="str">
        <f t="shared" si="34"/>
        <v>att_software</v>
      </c>
      <c r="I347" s="6" t="s">
        <v>2370</v>
      </c>
      <c r="J347" s="6" t="str">
        <f t="shared" si="35"/>
        <v>att_software:maxquant</v>
      </c>
      <c r="K347" s="11" t="s">
        <v>21</v>
      </c>
      <c r="L347" s="6" t="s">
        <v>2372</v>
      </c>
      <c r="M347" s="6" t="s">
        <v>17</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21</v>
      </c>
      <c r="B348" s="12"/>
      <c r="C348" s="6" t="s">
        <v>2373</v>
      </c>
      <c r="D348" s="6" t="s">
        <v>2374</v>
      </c>
      <c r="E348" s="6" t="s">
        <v>17</v>
      </c>
      <c r="F348" s="6" t="s">
        <v>214</v>
      </c>
      <c r="G348" s="6" t="s">
        <v>2679</v>
      </c>
      <c r="H348" s="6" t="str">
        <f t="shared" si="34"/>
        <v>att_software</v>
      </c>
      <c r="I348" s="6" t="s">
        <v>2373</v>
      </c>
      <c r="J348" s="6" t="str">
        <f t="shared" si="35"/>
        <v>att_software:metamorpheus</v>
      </c>
      <c r="K348" s="11" t="s">
        <v>21</v>
      </c>
      <c r="L348" s="6" t="s">
        <v>2375</v>
      </c>
      <c r="M348" s="6" t="s">
        <v>17</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21</v>
      </c>
      <c r="B349" s="12"/>
      <c r="C349" s="6" t="s">
        <v>2376</v>
      </c>
      <c r="D349" s="6" t="s">
        <v>2377</v>
      </c>
      <c r="E349" s="6" t="s">
        <v>17</v>
      </c>
      <c r="F349" s="6" t="s">
        <v>214</v>
      </c>
      <c r="G349" s="6" t="s">
        <v>2679</v>
      </c>
      <c r="H349" s="6" t="str">
        <f t="shared" si="34"/>
        <v>att_software</v>
      </c>
      <c r="I349" s="6" t="s">
        <v>2376</v>
      </c>
      <c r="J349" s="6" t="str">
        <f t="shared" si="35"/>
        <v>att_software:minora</v>
      </c>
      <c r="K349" s="11" t="s">
        <v>21</v>
      </c>
      <c r="L349" s="6" t="s">
        <v>2378</v>
      </c>
      <c r="M349" s="6" t="s">
        <v>17</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21</v>
      </c>
      <c r="B350" s="12"/>
      <c r="C350" s="6" t="s">
        <v>2379</v>
      </c>
      <c r="D350" s="6" t="s">
        <v>2380</v>
      </c>
      <c r="E350" s="6" t="s">
        <v>17</v>
      </c>
      <c r="F350" s="6" t="s">
        <v>214</v>
      </c>
      <c r="G350" s="6" t="s">
        <v>2679</v>
      </c>
      <c r="H350" s="6" t="str">
        <f t="shared" si="34"/>
        <v>att_software</v>
      </c>
      <c r="I350" s="6" t="s">
        <v>2379</v>
      </c>
      <c r="J350" s="6" t="str">
        <f t="shared" si="35"/>
        <v>att_software:msfragger</v>
      </c>
      <c r="K350" s="11" t="s">
        <v>21</v>
      </c>
      <c r="L350" s="6" t="s">
        <v>2381</v>
      </c>
      <c r="M350" s="6" t="s">
        <v>17</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21</v>
      </c>
      <c r="B351" s="12"/>
      <c r="C351" s="6" t="s">
        <v>2382</v>
      </c>
      <c r="D351" s="6" t="s">
        <v>2383</v>
      </c>
      <c r="E351" s="6" t="s">
        <v>17</v>
      </c>
      <c r="F351" s="6" t="s">
        <v>214</v>
      </c>
      <c r="G351" s="6" t="s">
        <v>2679</v>
      </c>
      <c r="H351" s="6" t="str">
        <f t="shared" si="34"/>
        <v>att_software</v>
      </c>
      <c r="I351" s="6" t="s">
        <v>2382</v>
      </c>
      <c r="J351" s="6" t="str">
        <f t="shared" si="35"/>
        <v>att_software:msgf</v>
      </c>
      <c r="K351" s="11" t="s">
        <v>21</v>
      </c>
      <c r="L351" s="6" t="s">
        <v>2384</v>
      </c>
      <c r="M351" s="6" t="s">
        <v>17</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21</v>
      </c>
      <c r="B352" s="12"/>
      <c r="C352" s="6" t="s">
        <v>2385</v>
      </c>
      <c r="D352" s="6" t="s">
        <v>2386</v>
      </c>
      <c r="E352" s="6" t="s">
        <v>17</v>
      </c>
      <c r="F352" s="6" t="s">
        <v>214</v>
      </c>
      <c r="G352" s="6" t="s">
        <v>2679</v>
      </c>
      <c r="H352" s="6" t="str">
        <f t="shared" si="34"/>
        <v>att_software</v>
      </c>
      <c r="I352" s="6" t="s">
        <v>2385</v>
      </c>
      <c r="J352" s="6" t="str">
        <f t="shared" si="35"/>
        <v>att_software:spectronaut</v>
      </c>
      <c r="K352" s="11" t="s">
        <v>21</v>
      </c>
      <c r="L352" s="6" t="s">
        <v>2387</v>
      </c>
      <c r="M352" s="6" t="s">
        <v>17</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2388</v>
      </c>
      <c r="D353" s="6" t="s">
        <v>2389</v>
      </c>
      <c r="E353" s="6" t="s">
        <v>17</v>
      </c>
      <c r="F353" s="6" t="s">
        <v>233</v>
      </c>
      <c r="G353" s="6" t="s">
        <v>2680</v>
      </c>
      <c r="H353" s="6" t="str">
        <f t="shared" si="34"/>
        <v>att_tissue</v>
      </c>
      <c r="I353" s="6" t="s">
        <v>2388</v>
      </c>
      <c r="J353" s="6" t="str">
        <f t="shared" si="35"/>
        <v>att_tissue:adipose</v>
      </c>
      <c r="K353" s="11" t="s">
        <v>21</v>
      </c>
      <c r="L353" s="6" t="s">
        <v>2390</v>
      </c>
      <c r="M353" s="6" t="s">
        <v>17</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2391</v>
      </c>
      <c r="D354" s="6" t="s">
        <v>2392</v>
      </c>
      <c r="E354" s="6" t="s">
        <v>17</v>
      </c>
      <c r="F354" s="6" t="s">
        <v>233</v>
      </c>
      <c r="G354" s="6" t="s">
        <v>2680</v>
      </c>
      <c r="H354" s="6" t="str">
        <f t="shared" si="34"/>
        <v>att_tissue</v>
      </c>
      <c r="I354" s="6" t="s">
        <v>2391</v>
      </c>
      <c r="J354" s="6" t="str">
        <f t="shared" si="35"/>
        <v>att_tissue:areolar</v>
      </c>
      <c r="K354" s="11" t="s">
        <v>21</v>
      </c>
      <c r="L354" s="6" t="s">
        <v>2393</v>
      </c>
      <c r="M354" s="6" t="s">
        <v>17</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2394</v>
      </c>
      <c r="D355" s="6" t="s">
        <v>2395</v>
      </c>
      <c r="E355" s="6" t="s">
        <v>17</v>
      </c>
      <c r="F355" s="6" t="s">
        <v>233</v>
      </c>
      <c r="G355" s="6" t="s">
        <v>2680</v>
      </c>
      <c r="H355" s="6" t="str">
        <f t="shared" si="34"/>
        <v>att_tissue</v>
      </c>
      <c r="I355" s="6" t="s">
        <v>2394</v>
      </c>
      <c r="J355" s="6" t="str">
        <f t="shared" si="35"/>
        <v>att_tissue:blood</v>
      </c>
      <c r="K355" s="11" t="s">
        <v>21</v>
      </c>
      <c r="L355" s="6" t="s">
        <v>2395</v>
      </c>
      <c r="M355" s="6" t="s">
        <v>17</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2396</v>
      </c>
      <c r="D356" s="6" t="s">
        <v>2397</v>
      </c>
      <c r="E356" s="6" t="s">
        <v>17</v>
      </c>
      <c r="F356" s="6" t="s">
        <v>233</v>
      </c>
      <c r="G356" s="6" t="s">
        <v>2680</v>
      </c>
      <c r="H356" s="6" t="str">
        <f t="shared" si="34"/>
        <v>att_tissue</v>
      </c>
      <c r="I356" s="6" t="s">
        <v>2396</v>
      </c>
      <c r="J356" s="6" t="str">
        <f t="shared" si="35"/>
        <v>att_tissue:connective</v>
      </c>
      <c r="K356" s="11" t="s">
        <v>21</v>
      </c>
      <c r="L356" s="6" t="s">
        <v>2398</v>
      </c>
      <c r="M356" s="6" t="s">
        <v>17</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2399</v>
      </c>
      <c r="D357" s="6" t="s">
        <v>2400</v>
      </c>
      <c r="E357" s="6" t="s">
        <v>17</v>
      </c>
      <c r="F357" s="6" t="s">
        <v>233</v>
      </c>
      <c r="G357" s="6" t="s">
        <v>2680</v>
      </c>
      <c r="H357" s="6" t="str">
        <f t="shared" si="34"/>
        <v>att_tissue</v>
      </c>
      <c r="I357" s="6" t="s">
        <v>2399</v>
      </c>
      <c r="J357" s="6" t="str">
        <f t="shared" si="35"/>
        <v>att_tissue:dermis</v>
      </c>
      <c r="K357" s="11" t="s">
        <v>21</v>
      </c>
      <c r="L357" s="6" t="s">
        <v>2400</v>
      </c>
      <c r="M357" s="6" t="s">
        <v>17</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2401</v>
      </c>
      <c r="D358" s="6" t="s">
        <v>2402</v>
      </c>
      <c r="E358" s="6" t="s">
        <v>17</v>
      </c>
      <c r="F358" s="6" t="s">
        <v>233</v>
      </c>
      <c r="G358" s="6" t="s">
        <v>2680</v>
      </c>
      <c r="H358" s="6" t="str">
        <f t="shared" si="34"/>
        <v>att_tissue</v>
      </c>
      <c r="I358" s="6" t="s">
        <v>2401</v>
      </c>
      <c r="J358" s="6" t="str">
        <f t="shared" si="35"/>
        <v>att_tissue:epidermis</v>
      </c>
      <c r="K358" s="11" t="s">
        <v>21</v>
      </c>
      <c r="L358" s="6" t="s">
        <v>2402</v>
      </c>
      <c r="M358" s="6" t="s">
        <v>17</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2403</v>
      </c>
      <c r="D359" s="6" t="s">
        <v>2404</v>
      </c>
      <c r="E359" s="6" t="s">
        <v>17</v>
      </c>
      <c r="F359" s="6" t="s">
        <v>233</v>
      </c>
      <c r="G359" s="6" t="s">
        <v>2680</v>
      </c>
      <c r="H359" s="6" t="str">
        <f t="shared" si="34"/>
        <v>att_tissue</v>
      </c>
      <c r="I359" s="6" t="s">
        <v>2403</v>
      </c>
      <c r="J359" s="6" t="str">
        <f t="shared" si="35"/>
        <v>att_tissue:epithelial</v>
      </c>
      <c r="K359" s="11" t="s">
        <v>21</v>
      </c>
      <c r="L359" s="6" t="s">
        <v>2405</v>
      </c>
      <c r="M359" s="6" t="s">
        <v>17</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2406</v>
      </c>
      <c r="D360" s="6" t="s">
        <v>2407</v>
      </c>
      <c r="E360" s="6" t="s">
        <v>17</v>
      </c>
      <c r="F360" s="6" t="s">
        <v>233</v>
      </c>
      <c r="G360" s="6" t="s">
        <v>2680</v>
      </c>
      <c r="H360" s="6" t="str">
        <f t="shared" si="34"/>
        <v>att_tissue</v>
      </c>
      <c r="I360" s="6" t="s">
        <v>2406</v>
      </c>
      <c r="J360" s="6" t="str">
        <f t="shared" si="35"/>
        <v>att_tissue:hypodermis</v>
      </c>
      <c r="K360" s="11" t="s">
        <v>21</v>
      </c>
      <c r="L360" s="6" t="s">
        <v>2407</v>
      </c>
      <c r="M360" s="6" t="s">
        <v>17</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2408</v>
      </c>
      <c r="D361" s="6" t="s">
        <v>177</v>
      </c>
      <c r="E361" s="6" t="s">
        <v>17</v>
      </c>
      <c r="F361" s="6" t="s">
        <v>233</v>
      </c>
      <c r="G361" s="6" t="s">
        <v>2680</v>
      </c>
      <c r="H361" s="6" t="str">
        <f t="shared" si="34"/>
        <v>att_tissue</v>
      </c>
      <c r="I361" s="6" t="s">
        <v>2408</v>
      </c>
      <c r="J361" s="6" t="str">
        <f t="shared" si="35"/>
        <v>att_tissue:muscle</v>
      </c>
      <c r="K361" s="11" t="s">
        <v>21</v>
      </c>
      <c r="L361" s="6" t="s">
        <v>2409</v>
      </c>
      <c r="M361" s="6" t="s">
        <v>17</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2410</v>
      </c>
      <c r="D362" s="6" t="s">
        <v>2229</v>
      </c>
      <c r="E362" s="6" t="s">
        <v>17</v>
      </c>
      <c r="F362" s="6" t="s">
        <v>233</v>
      </c>
      <c r="G362" s="6" t="s">
        <v>2680</v>
      </c>
      <c r="H362" s="6" t="str">
        <f t="shared" si="34"/>
        <v>att_tissue</v>
      </c>
      <c r="I362" s="6" t="s">
        <v>2410</v>
      </c>
      <c r="J362" s="6" t="str">
        <f t="shared" si="35"/>
        <v>att_tissue:nervous</v>
      </c>
      <c r="K362" s="11" t="s">
        <v>21</v>
      </c>
      <c r="L362" s="6" t="s">
        <v>2411</v>
      </c>
      <c r="M362" s="6" t="s">
        <v>17</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2412</v>
      </c>
      <c r="D363" s="6" t="s">
        <v>2413</v>
      </c>
      <c r="E363" s="6" t="s">
        <v>17</v>
      </c>
      <c r="F363" s="6" t="s">
        <v>233</v>
      </c>
      <c r="G363" s="6" t="s">
        <v>2680</v>
      </c>
      <c r="H363" s="6" t="str">
        <f t="shared" si="34"/>
        <v>att_tissue</v>
      </c>
      <c r="I363" s="6" t="s">
        <v>2412</v>
      </c>
      <c r="J363" s="6" t="str">
        <f t="shared" si="35"/>
        <v>att_tissue:reticular</v>
      </c>
      <c r="K363" s="11" t="s">
        <v>21</v>
      </c>
      <c r="L363" s="6" t="s">
        <v>2414</v>
      </c>
      <c r="M363" s="6" t="s">
        <v>17</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2415</v>
      </c>
      <c r="D364" s="6" t="s">
        <v>2416</v>
      </c>
      <c r="E364" s="6" t="s">
        <v>17</v>
      </c>
      <c r="F364" s="6" t="s">
        <v>233</v>
      </c>
      <c r="G364" s="6" t="s">
        <v>2680</v>
      </c>
      <c r="H364" s="6" t="str">
        <f t="shared" si="34"/>
        <v>att_tissue</v>
      </c>
      <c r="I364" s="6" t="s">
        <v>2415</v>
      </c>
      <c r="J364" s="6" t="str">
        <f t="shared" si="35"/>
        <v>att_tissue:stromal</v>
      </c>
      <c r="K364" s="11" t="s">
        <v>21</v>
      </c>
      <c r="L364" s="6" t="s">
        <v>2417</v>
      </c>
      <c r="M364" s="6" t="s">
        <v>17</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21</v>
      </c>
      <c r="B365" s="11"/>
      <c r="C365" s="6" t="s">
        <v>986</v>
      </c>
      <c r="D365" s="6" t="s">
        <v>988</v>
      </c>
      <c r="E365" s="6" t="s">
        <v>17</v>
      </c>
      <c r="F365" s="6" t="s">
        <v>2568</v>
      </c>
      <c r="G365" s="6" t="s">
        <v>2569</v>
      </c>
      <c r="H365" s="6" t="str">
        <f t="shared" ref="H365" si="38">"att_"&amp;G365</f>
        <v>att_dataset</v>
      </c>
      <c r="I365" s="6" t="s">
        <v>2681</v>
      </c>
      <c r="J365" s="6" t="str">
        <f t="shared" ref="J365" si="39">H365&amp;":"&amp;I365</f>
        <v>att_dataset:database orf_search</v>
      </c>
      <c r="K365" s="11" t="s">
        <v>21</v>
      </c>
      <c r="L365" s="6" t="s">
        <v>989</v>
      </c>
      <c r="M365" s="6" t="s">
        <v>17</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2682</v>
      </c>
      <c r="D368" s="6" t="s">
        <v>1360</v>
      </c>
      <c r="F368" s="6" t="s">
        <v>149</v>
      </c>
      <c r="G368" s="6" t="s">
        <v>93</v>
      </c>
      <c r="H368" s="6" t="s">
        <v>148</v>
      </c>
      <c r="I368" s="6" t="s">
        <v>1010</v>
      </c>
      <c r="J368" s="6" t="str">
        <f>H368&amp;":"&amp;I368</f>
        <v>att_lysis_buffer:sds</v>
      </c>
      <c r="L368" s="6" t="s">
        <v>1361</v>
      </c>
    </row>
    <row r="369" spans="3:12" x14ac:dyDescent="0.15">
      <c r="C369" s="6" t="s">
        <v>2683</v>
      </c>
      <c r="D369" s="6" t="s">
        <v>1366</v>
      </c>
      <c r="F369" s="6" t="s">
        <v>149</v>
      </c>
      <c r="G369" s="6" t="s">
        <v>93</v>
      </c>
      <c r="H369" s="6" t="s">
        <v>148</v>
      </c>
      <c r="I369" s="6" t="s">
        <v>1365</v>
      </c>
      <c r="J369" s="6" t="str">
        <f>H369&amp;":"&amp;I369</f>
        <v>att_lysis_buffer:urea</v>
      </c>
      <c r="L369" s="6" t="s">
        <v>1367</v>
      </c>
    </row>
    <row r="370" spans="3:12" x14ac:dyDescent="0.15">
      <c r="C370" s="6" t="s">
        <v>2684</v>
      </c>
      <c r="D370" s="6" t="s">
        <v>1363</v>
      </c>
      <c r="F370" s="6" t="s">
        <v>149</v>
      </c>
      <c r="G370" s="6" t="s">
        <v>93</v>
      </c>
      <c r="H370" s="6" t="s">
        <v>148</v>
      </c>
      <c r="I370" s="6" t="s">
        <v>1362</v>
      </c>
      <c r="J370" s="6" t="str">
        <f>H370&amp;":"&amp;I370</f>
        <v>att_lysis_buffer:two_sdc</v>
      </c>
      <c r="L370" s="6" t="s">
        <v>1364</v>
      </c>
    </row>
    <row r="371" spans="3:12" x14ac:dyDescent="0.15">
      <c r="C371" s="6" t="s">
        <v>2684</v>
      </c>
      <c r="D371" s="6" t="s">
        <v>1358</v>
      </c>
      <c r="F371" s="6" t="s">
        <v>149</v>
      </c>
      <c r="G371" s="6" t="s">
        <v>93</v>
      </c>
      <c r="H371" s="6" t="s">
        <v>148</v>
      </c>
      <c r="I371" s="6" t="s">
        <v>1357</v>
      </c>
      <c r="J371" s="6" t="str">
        <f>H371&amp;":"&amp;I371</f>
        <v>att_lysis_buffer:one_sdc</v>
      </c>
      <c r="L371" s="6" t="s">
        <v>1359</v>
      </c>
    </row>
    <row r="373" spans="3:12" x14ac:dyDescent="0.15">
      <c r="C373" s="6" t="s">
        <v>93</v>
      </c>
      <c r="D373" s="6" t="s">
        <v>1369</v>
      </c>
      <c r="F373" s="6" t="s">
        <v>150</v>
      </c>
      <c r="G373" s="6" t="s">
        <v>93</v>
      </c>
      <c r="H373" s="6" t="s">
        <v>91</v>
      </c>
      <c r="I373" s="6" t="s">
        <v>1368</v>
      </c>
      <c r="J373" s="6" t="str">
        <f>H373&amp;":"&amp;I373</f>
        <v>att_lysis_method:dounce</v>
      </c>
      <c r="L373" s="6" t="s">
        <v>1370</v>
      </c>
    </row>
    <row r="374" spans="3:12" x14ac:dyDescent="0.15">
      <c r="C374" s="6" t="s">
        <v>93</v>
      </c>
      <c r="D374" s="6" t="s">
        <v>1375</v>
      </c>
      <c r="F374" s="6" t="s">
        <v>150</v>
      </c>
      <c r="G374" s="6" t="s">
        <v>93</v>
      </c>
      <c r="H374" s="6" t="s">
        <v>91</v>
      </c>
      <c r="I374" s="6" t="s">
        <v>1374</v>
      </c>
      <c r="J374" s="6" t="str">
        <f>H374&amp;":"&amp;I374</f>
        <v>att_lysis_method:paracyllus</v>
      </c>
      <c r="L374" s="6" t="s">
        <v>1376</v>
      </c>
    </row>
    <row r="375" spans="3:12" x14ac:dyDescent="0.15">
      <c r="C375" s="6" t="s">
        <v>93</v>
      </c>
      <c r="D375" s="6" t="s">
        <v>1372</v>
      </c>
      <c r="F375" s="6" t="s">
        <v>150</v>
      </c>
      <c r="G375" s="6" t="s">
        <v>93</v>
      </c>
      <c r="H375" s="6" t="s">
        <v>91</v>
      </c>
      <c r="I375" s="6" t="s">
        <v>1371</v>
      </c>
      <c r="J375" s="6" t="str">
        <f>H375&amp;":"&amp;I375</f>
        <v>att_lysis_method:motar_pestle</v>
      </c>
      <c r="L375" s="6" t="s">
        <v>1373</v>
      </c>
    </row>
    <row r="377" spans="3:12" x14ac:dyDescent="0.15">
      <c r="C377" s="6" t="s">
        <v>2685</v>
      </c>
      <c r="D377" s="6" t="s">
        <v>1011</v>
      </c>
      <c r="F377" s="6" t="s">
        <v>92</v>
      </c>
      <c r="G377" s="6" t="s">
        <v>2686</v>
      </c>
      <c r="H377" s="6" t="s">
        <v>90</v>
      </c>
      <c r="I377" s="6" t="s">
        <v>1010</v>
      </c>
      <c r="J377" s="6" t="str">
        <f t="shared" ref="J377:J385" si="40">H377&amp;":"&amp;I377</f>
        <v>att_detergent:sds</v>
      </c>
      <c r="L377" s="6" t="s">
        <v>1012</v>
      </c>
    </row>
    <row r="378" spans="3:12" x14ac:dyDescent="0.15">
      <c r="C378" s="6" t="s">
        <v>2687</v>
      </c>
      <c r="D378" s="6" t="s">
        <v>1017</v>
      </c>
      <c r="F378" s="6" t="s">
        <v>92</v>
      </c>
      <c r="G378" s="6" t="s">
        <v>2686</v>
      </c>
      <c r="H378" s="6" t="s">
        <v>90</v>
      </c>
      <c r="I378" s="6" t="s">
        <v>1016</v>
      </c>
      <c r="J378" s="6" t="str">
        <f t="shared" si="40"/>
        <v>att_detergent:tween20</v>
      </c>
      <c r="L378" s="6" t="s">
        <v>1018</v>
      </c>
    </row>
    <row r="379" spans="3:12" x14ac:dyDescent="0.15">
      <c r="C379" s="6" t="s">
        <v>2688</v>
      </c>
      <c r="D379" s="6" t="s">
        <v>2689</v>
      </c>
      <c r="F379" s="6" t="s">
        <v>92</v>
      </c>
      <c r="G379" s="6" t="s">
        <v>2686</v>
      </c>
      <c r="H379" s="6" t="s">
        <v>90</v>
      </c>
      <c r="I379" s="6" t="s">
        <v>1019</v>
      </c>
      <c r="J379" s="6" t="str">
        <f t="shared" si="40"/>
        <v>att_detergent:tween80</v>
      </c>
      <c r="L379" s="6" t="s">
        <v>1021</v>
      </c>
    </row>
    <row r="380" spans="3:12" x14ac:dyDescent="0.15">
      <c r="C380" s="6" t="s">
        <v>2690</v>
      </c>
      <c r="D380" s="6" t="s">
        <v>1002</v>
      </c>
      <c r="F380" s="6" t="s">
        <v>92</v>
      </c>
      <c r="G380" s="6" t="s">
        <v>2686</v>
      </c>
      <c r="H380" s="6" t="s">
        <v>90</v>
      </c>
      <c r="I380" s="6" t="s">
        <v>1001</v>
      </c>
      <c r="J380" s="6" t="str">
        <f t="shared" si="40"/>
        <v>att_detergent:np40</v>
      </c>
      <c r="L380" s="6" t="s">
        <v>1003</v>
      </c>
    </row>
    <row r="381" spans="3:12" x14ac:dyDescent="0.15">
      <c r="C381" s="6" t="s">
        <v>2691</v>
      </c>
      <c r="D381" s="6" t="s">
        <v>1014</v>
      </c>
      <c r="F381" s="6" t="s">
        <v>92</v>
      </c>
      <c r="G381" s="6" t="s">
        <v>2686</v>
      </c>
      <c r="H381" s="6" t="s">
        <v>90</v>
      </c>
      <c r="I381" s="6" t="s">
        <v>1013</v>
      </c>
      <c r="J381" s="6" t="str">
        <f t="shared" si="40"/>
        <v>att_detergent:tritonx100</v>
      </c>
      <c r="L381" s="6" t="s">
        <v>1015</v>
      </c>
    </row>
    <row r="382" spans="3:12" x14ac:dyDescent="0.15">
      <c r="C382" s="6" t="s">
        <v>2692</v>
      </c>
      <c r="D382" s="6" t="s">
        <v>996</v>
      </c>
      <c r="F382" s="6" t="s">
        <v>92</v>
      </c>
      <c r="G382" s="6" t="s">
        <v>2686</v>
      </c>
      <c r="H382" s="6" t="s">
        <v>90</v>
      </c>
      <c r="I382" s="6" t="s">
        <v>995</v>
      </c>
      <c r="J382" s="6" t="str">
        <f t="shared" si="40"/>
        <v>att_detergent:chaps</v>
      </c>
      <c r="L382" s="6" t="s">
        <v>997</v>
      </c>
    </row>
    <row r="383" spans="3:12" x14ac:dyDescent="0.15">
      <c r="C383" s="6" t="s">
        <v>2693</v>
      </c>
      <c r="D383" s="6" t="s">
        <v>999</v>
      </c>
      <c r="F383" s="6" t="s">
        <v>92</v>
      </c>
      <c r="G383" s="6" t="s">
        <v>2686</v>
      </c>
      <c r="H383" s="6" t="s">
        <v>90</v>
      </c>
      <c r="I383" s="6" t="s">
        <v>998</v>
      </c>
      <c r="J383" s="6" t="str">
        <f t="shared" si="40"/>
        <v>att_detergent:dmm</v>
      </c>
      <c r="L383" s="6" t="s">
        <v>1000</v>
      </c>
    </row>
    <row r="384" spans="3:12" x14ac:dyDescent="0.15">
      <c r="C384" s="6" t="s">
        <v>2694</v>
      </c>
      <c r="D384" s="6" t="s">
        <v>1005</v>
      </c>
      <c r="F384" s="6" t="s">
        <v>92</v>
      </c>
      <c r="G384" s="6" t="s">
        <v>2686</v>
      </c>
      <c r="H384" s="6" t="s">
        <v>90</v>
      </c>
      <c r="I384" s="6" t="s">
        <v>1004</v>
      </c>
      <c r="J384" s="6" t="str">
        <f t="shared" si="40"/>
        <v>att_detergent:og</v>
      </c>
      <c r="L384" s="6" t="s">
        <v>1006</v>
      </c>
    </row>
    <row r="385" spans="1:12" x14ac:dyDescent="0.15">
      <c r="C385" s="6" t="s">
        <v>2695</v>
      </c>
      <c r="D385" s="6" t="s">
        <v>1008</v>
      </c>
      <c r="F385" s="6" t="s">
        <v>92</v>
      </c>
      <c r="G385" s="6" t="s">
        <v>2686</v>
      </c>
      <c r="H385" s="6" t="s">
        <v>90</v>
      </c>
      <c r="I385" s="6" t="s">
        <v>1007</v>
      </c>
      <c r="J385" s="6" t="str">
        <f t="shared" si="40"/>
        <v>att_detergent:otg</v>
      </c>
      <c r="L385" s="6" t="s">
        <v>1009</v>
      </c>
    </row>
    <row r="387" spans="1:12" x14ac:dyDescent="0.15">
      <c r="C387" s="6" t="s">
        <v>2696</v>
      </c>
      <c r="D387" s="6" t="s">
        <v>2338</v>
      </c>
      <c r="F387" s="6" t="s">
        <v>2697</v>
      </c>
      <c r="G387" s="6" t="s">
        <v>2698</v>
      </c>
      <c r="H387" s="6" t="s">
        <v>210</v>
      </c>
      <c r="I387" s="6" t="s">
        <v>2337</v>
      </c>
      <c r="J387" s="6" t="str">
        <f>H387&amp;":"&amp;I387</f>
        <v>att_reduction:tcep</v>
      </c>
      <c r="L387" s="6" t="s">
        <v>2339</v>
      </c>
    </row>
    <row r="388" spans="1:12" x14ac:dyDescent="0.15">
      <c r="C388" s="6" t="s">
        <v>2699</v>
      </c>
      <c r="D388" s="6" t="s">
        <v>2334</v>
      </c>
      <c r="F388" s="6" t="s">
        <v>2697</v>
      </c>
      <c r="G388" s="6" t="s">
        <v>2698</v>
      </c>
      <c r="H388" s="6" t="s">
        <v>210</v>
      </c>
      <c r="I388" s="6" t="s">
        <v>2333</v>
      </c>
      <c r="J388" s="6" t="str">
        <f>H388&amp;":"&amp;I388</f>
        <v>att_reduction:dtt</v>
      </c>
      <c r="L388" s="6" t="s">
        <v>2335</v>
      </c>
    </row>
    <row r="389" spans="1:12" x14ac:dyDescent="0.15">
      <c r="C389" s="6" t="s">
        <v>2699</v>
      </c>
      <c r="D389" s="6" t="s">
        <v>1862</v>
      </c>
      <c r="F389" s="6" t="s">
        <v>2697</v>
      </c>
      <c r="G389" s="6" t="s">
        <v>2698</v>
      </c>
      <c r="H389" s="6" t="s">
        <v>210</v>
      </c>
      <c r="I389" s="6" t="s">
        <v>336</v>
      </c>
      <c r="J389" s="6" t="str">
        <f>H389&amp;":"&amp;I389</f>
        <v>att_reduction:none</v>
      </c>
      <c r="L389" s="6" t="s">
        <v>2336</v>
      </c>
    </row>
    <row r="391" spans="1:12" x14ac:dyDescent="0.15">
      <c r="C391" s="6" t="s">
        <v>2700</v>
      </c>
      <c r="D391" s="6" t="s">
        <v>331</v>
      </c>
      <c r="F391" s="6" t="s">
        <v>2701</v>
      </c>
      <c r="G391" s="6" t="s">
        <v>2702</v>
      </c>
      <c r="H391" s="6" t="s">
        <v>210</v>
      </c>
      <c r="I391" s="6" t="s">
        <v>330</v>
      </c>
      <c r="J391" s="6" t="str">
        <f>H391&amp;":"&amp;I391</f>
        <v>att_reduction:caa</v>
      </c>
      <c r="L391" s="6" t="s">
        <v>332</v>
      </c>
    </row>
    <row r="392" spans="1:12" x14ac:dyDescent="0.15">
      <c r="C392" s="6" t="s">
        <v>2703</v>
      </c>
      <c r="D392" s="6" t="s">
        <v>334</v>
      </c>
      <c r="F392" s="6" t="s">
        <v>2701</v>
      </c>
      <c r="G392" s="6" t="s">
        <v>2702</v>
      </c>
      <c r="H392" s="6" t="s">
        <v>210</v>
      </c>
      <c r="I392" s="6" t="s">
        <v>333</v>
      </c>
      <c r="J392" s="6" t="str">
        <f>H392&amp;":"&amp;I392</f>
        <v>att_reduction:iaa</v>
      </c>
      <c r="L392" s="6" t="s">
        <v>335</v>
      </c>
    </row>
    <row r="393" spans="1:12" x14ac:dyDescent="0.15">
      <c r="C393" s="6" t="s">
        <v>2702</v>
      </c>
      <c r="D393" s="6" t="s">
        <v>1862</v>
      </c>
      <c r="F393" s="6" t="s">
        <v>2701</v>
      </c>
      <c r="G393" s="6" t="s">
        <v>2698</v>
      </c>
      <c r="H393" s="6" t="s">
        <v>210</v>
      </c>
      <c r="I393" s="6" t="s">
        <v>336</v>
      </c>
      <c r="J393" s="6" t="str">
        <f>H393&amp;":"&amp;I393</f>
        <v>att_reduction:none</v>
      </c>
      <c r="L393" s="6" t="s">
        <v>338</v>
      </c>
    </row>
    <row r="395" spans="1:12" x14ac:dyDescent="0.15">
      <c r="A395" s="6" t="b">
        <f>TRUE()</f>
        <v>1</v>
      </c>
      <c r="C395" s="6" t="s">
        <v>2704</v>
      </c>
      <c r="D395" s="6" t="s">
        <v>2273</v>
      </c>
      <c r="F395" s="6" t="s">
        <v>200</v>
      </c>
      <c r="G395" s="6" t="s">
        <v>2705</v>
      </c>
      <c r="H395" s="6" t="s">
        <v>199</v>
      </c>
      <c r="I395" s="6" t="s">
        <v>2272</v>
      </c>
      <c r="J395" s="6" t="str">
        <f t="shared" ref="J395:J402" si="41">H395&amp;":"&amp;I395</f>
        <v>att_protease:trypsin</v>
      </c>
      <c r="L395" s="6" t="s">
        <v>2274</v>
      </c>
    </row>
    <row r="396" spans="1:12" x14ac:dyDescent="0.15">
      <c r="A396" s="6" t="b">
        <f>TRUE()</f>
        <v>1</v>
      </c>
      <c r="C396" s="6" t="s">
        <v>2704</v>
      </c>
      <c r="D396" s="6" t="s">
        <v>2267</v>
      </c>
      <c r="F396" s="6" t="s">
        <v>200</v>
      </c>
      <c r="G396" s="6" t="s">
        <v>2705</v>
      </c>
      <c r="H396" s="6" t="s">
        <v>199</v>
      </c>
      <c r="I396" s="6" t="s">
        <v>2266</v>
      </c>
      <c r="J396" s="6" t="str">
        <f t="shared" si="41"/>
        <v>att_protease:lysc</v>
      </c>
      <c r="L396" s="6" t="s">
        <v>2268</v>
      </c>
    </row>
    <row r="397" spans="1:12" x14ac:dyDescent="0.15">
      <c r="A397" s="6" t="b">
        <f>TRUE()</f>
        <v>1</v>
      </c>
      <c r="C397" s="6" t="s">
        <v>2704</v>
      </c>
      <c r="D397" s="6" t="s">
        <v>2252</v>
      </c>
      <c r="F397" s="6" t="s">
        <v>200</v>
      </c>
      <c r="G397" s="6" t="s">
        <v>2705</v>
      </c>
      <c r="H397" s="6" t="s">
        <v>199</v>
      </c>
      <c r="I397" s="6" t="s">
        <v>2251</v>
      </c>
      <c r="J397" s="6" t="str">
        <f t="shared" si="41"/>
        <v>att_protease:argc</v>
      </c>
      <c r="L397" s="6" t="s">
        <v>2253</v>
      </c>
    </row>
    <row r="398" spans="1:12" x14ac:dyDescent="0.15">
      <c r="A398" s="6" t="b">
        <f>TRUE()</f>
        <v>1</v>
      </c>
      <c r="C398" s="6" t="s">
        <v>2704</v>
      </c>
      <c r="D398" s="6" t="s">
        <v>2264</v>
      </c>
      <c r="F398" s="6" t="s">
        <v>200</v>
      </c>
      <c r="G398" s="6" t="s">
        <v>2705</v>
      </c>
      <c r="H398" s="6" t="s">
        <v>199</v>
      </c>
      <c r="I398" s="6" t="s">
        <v>2263</v>
      </c>
      <c r="J398" s="6" t="str">
        <f t="shared" si="41"/>
        <v>att_protease:gluc</v>
      </c>
      <c r="L398" s="6" t="s">
        <v>2265</v>
      </c>
    </row>
    <row r="399" spans="1:12" x14ac:dyDescent="0.15">
      <c r="A399" s="6" t="b">
        <f>TRUE()</f>
        <v>1</v>
      </c>
      <c r="C399" s="6" t="s">
        <v>2704</v>
      </c>
      <c r="D399" s="6" t="s">
        <v>2258</v>
      </c>
      <c r="F399" s="6" t="s">
        <v>200</v>
      </c>
      <c r="G399" s="6" t="s">
        <v>2705</v>
      </c>
      <c r="H399" s="6" t="s">
        <v>199</v>
      </c>
      <c r="I399" s="6" t="s">
        <v>2257</v>
      </c>
      <c r="J399" s="6" t="str">
        <f t="shared" si="41"/>
        <v>att_protease:chymotrypsin</v>
      </c>
      <c r="L399" s="6" t="s">
        <v>2259</v>
      </c>
    </row>
    <row r="400" spans="1:12" x14ac:dyDescent="0.15">
      <c r="A400" s="6" t="b">
        <f>TRUE()</f>
        <v>1</v>
      </c>
      <c r="C400" s="6" t="s">
        <v>2704</v>
      </c>
      <c r="D400" s="6" t="s">
        <v>2255</v>
      </c>
      <c r="F400" s="6" t="s">
        <v>200</v>
      </c>
      <c r="G400" s="6" t="s">
        <v>2705</v>
      </c>
      <c r="H400" s="6" t="s">
        <v>199</v>
      </c>
      <c r="I400" s="6" t="s">
        <v>2254</v>
      </c>
      <c r="J400" s="6" t="str">
        <f t="shared" si="41"/>
        <v>att_protease:aspn</v>
      </c>
      <c r="L400" s="6" t="s">
        <v>2256</v>
      </c>
    </row>
    <row r="401" spans="1:12" x14ac:dyDescent="0.15">
      <c r="A401" s="6" t="b">
        <f>TRUE()</f>
        <v>1</v>
      </c>
      <c r="C401" s="6" t="s">
        <v>2704</v>
      </c>
      <c r="D401" s="6" t="s">
        <v>2261</v>
      </c>
      <c r="F401" s="6" t="s">
        <v>200</v>
      </c>
      <c r="G401" s="6" t="s">
        <v>2705</v>
      </c>
      <c r="H401" s="6" t="s">
        <v>199</v>
      </c>
      <c r="I401" s="6" t="s">
        <v>2260</v>
      </c>
      <c r="J401" s="6" t="str">
        <f t="shared" si="41"/>
        <v>att_protease:elastase</v>
      </c>
      <c r="L401" s="6" t="s">
        <v>2262</v>
      </c>
    </row>
    <row r="402" spans="1:12" x14ac:dyDescent="0.15">
      <c r="A402" s="6" t="b">
        <f>TRUE()</f>
        <v>1</v>
      </c>
      <c r="C402" s="6" t="s">
        <v>2704</v>
      </c>
      <c r="D402" s="6" t="s">
        <v>2270</v>
      </c>
      <c r="F402" s="6" t="s">
        <v>200</v>
      </c>
      <c r="G402" s="6" t="s">
        <v>2705</v>
      </c>
      <c r="H402" s="6" t="s">
        <v>199</v>
      </c>
      <c r="I402" s="6" t="s">
        <v>2269</v>
      </c>
      <c r="J402" s="6" t="str">
        <f t="shared" si="41"/>
        <v>att_protease:raspn</v>
      </c>
      <c r="L402" s="6" t="s">
        <v>2271</v>
      </c>
    </row>
    <row r="404" spans="1:12" x14ac:dyDescent="0.15">
      <c r="C404" s="6" t="s">
        <v>2706</v>
      </c>
      <c r="D404" s="6" t="s">
        <v>1350</v>
      </c>
      <c r="F404" s="6" t="s">
        <v>147</v>
      </c>
      <c r="G404" s="6" t="s">
        <v>2707</v>
      </c>
      <c r="H404" s="6" t="s">
        <v>146</v>
      </c>
      <c r="I404" s="6" t="s">
        <v>1349</v>
      </c>
      <c r="J404" s="6" t="str">
        <f t="shared" ref="J404:J410" si="42">H404&amp;":"&amp;I404</f>
        <v>att_liquid_handler:mosquitoLV</v>
      </c>
      <c r="L404" s="6" t="s">
        <v>1351</v>
      </c>
    </row>
    <row r="405" spans="1:12" x14ac:dyDescent="0.15">
      <c r="C405" s="6" t="s">
        <v>2706</v>
      </c>
      <c r="D405" s="6" t="s">
        <v>1338</v>
      </c>
      <c r="F405" s="6" t="s">
        <v>147</v>
      </c>
      <c r="G405" s="6" t="s">
        <v>2707</v>
      </c>
      <c r="H405" s="6" t="s">
        <v>146</v>
      </c>
      <c r="I405" s="6" t="s">
        <v>1337</v>
      </c>
      <c r="J405" s="6" t="str">
        <f t="shared" si="42"/>
        <v>att_liquid_handler:felix</v>
      </c>
      <c r="L405" s="6" t="s">
        <v>1339</v>
      </c>
    </row>
    <row r="406" spans="1:12" x14ac:dyDescent="0.15">
      <c r="C406" s="6" t="s">
        <v>2706</v>
      </c>
      <c r="D406" s="6" t="s">
        <v>1347</v>
      </c>
      <c r="F406" s="6" t="s">
        <v>147</v>
      </c>
      <c r="G406" s="6" t="s">
        <v>2707</v>
      </c>
      <c r="H406" s="6" t="s">
        <v>146</v>
      </c>
      <c r="I406" s="6" t="s">
        <v>1346</v>
      </c>
      <c r="J406" s="6" t="str">
        <f t="shared" si="42"/>
        <v>att_liquid_handler:mosquitoHV</v>
      </c>
      <c r="L406" s="6" t="s">
        <v>1348</v>
      </c>
    </row>
    <row r="407" spans="1:12" x14ac:dyDescent="0.15">
      <c r="C407" s="6" t="s">
        <v>2706</v>
      </c>
      <c r="D407" s="6" t="s">
        <v>1353</v>
      </c>
      <c r="F407" s="6" t="s">
        <v>147</v>
      </c>
      <c r="G407" s="6" t="s">
        <v>2707</v>
      </c>
      <c r="H407" s="6" t="s">
        <v>146</v>
      </c>
      <c r="I407" s="6" t="s">
        <v>1352</v>
      </c>
      <c r="J407" s="6" t="str">
        <f t="shared" si="42"/>
        <v>att_liquid_handler:opentrons</v>
      </c>
      <c r="L407" s="6" t="s">
        <v>1353</v>
      </c>
    </row>
    <row r="408" spans="1:12" x14ac:dyDescent="0.15">
      <c r="C408" s="6" t="s">
        <v>2706</v>
      </c>
      <c r="D408" s="6" t="s">
        <v>1341</v>
      </c>
      <c r="F408" s="6" t="s">
        <v>147</v>
      </c>
      <c r="G408" s="6" t="s">
        <v>2707</v>
      </c>
      <c r="H408" s="6" t="s">
        <v>146</v>
      </c>
      <c r="I408" s="6" t="s">
        <v>1340</v>
      </c>
      <c r="J408" s="6" t="str">
        <f t="shared" si="42"/>
        <v>att_liquid_handler:kingfisher</v>
      </c>
      <c r="L408" s="6" t="s">
        <v>1342</v>
      </c>
    </row>
    <row r="409" spans="1:12" x14ac:dyDescent="0.15">
      <c r="C409" s="6" t="s">
        <v>2706</v>
      </c>
      <c r="D409" s="6" t="s">
        <v>1335</v>
      </c>
      <c r="F409" s="6" t="s">
        <v>147</v>
      </c>
      <c r="G409" s="6" t="s">
        <v>2707</v>
      </c>
      <c r="H409" s="6" t="s">
        <v>146</v>
      </c>
      <c r="I409" s="6" t="s">
        <v>1334</v>
      </c>
      <c r="J409" s="6" t="str">
        <f t="shared" si="42"/>
        <v>att_liquid_handler:bravo</v>
      </c>
      <c r="L409" s="6" t="s">
        <v>1336</v>
      </c>
    </row>
    <row r="410" spans="1:12" x14ac:dyDescent="0.15">
      <c r="C410" s="6" t="s">
        <v>2706</v>
      </c>
      <c r="D410" s="6" t="s">
        <v>1355</v>
      </c>
      <c r="F410" s="6" t="s">
        <v>147</v>
      </c>
      <c r="G410" s="6" t="s">
        <v>2707</v>
      </c>
      <c r="H410" s="6" t="s">
        <v>146</v>
      </c>
      <c r="I410" s="6" t="s">
        <v>1354</v>
      </c>
      <c r="J410" s="6" t="str">
        <f t="shared" si="42"/>
        <v>att_liquid_handler:tecan</v>
      </c>
      <c r="L410" s="6" t="s">
        <v>1356</v>
      </c>
    </row>
    <row r="412" spans="1:12" x14ac:dyDescent="0.15">
      <c r="C412" s="6" t="s">
        <v>2708</v>
      </c>
      <c r="D412" s="6" t="s">
        <v>1054</v>
      </c>
      <c r="F412" s="6" t="s">
        <v>105</v>
      </c>
      <c r="G412" s="6" t="s">
        <v>2709</v>
      </c>
      <c r="H412" s="6" t="s">
        <v>104</v>
      </c>
      <c r="I412" s="6" t="s">
        <v>1053</v>
      </c>
      <c r="J412" s="6" t="str">
        <f>H412&amp;":"&amp;I412</f>
        <v>att_digestion_vessel:96well_plate</v>
      </c>
      <c r="L412" s="6" t="s">
        <v>1055</v>
      </c>
    </row>
    <row r="413" spans="1:12" x14ac:dyDescent="0.15">
      <c r="C413" s="6" t="s">
        <v>2708</v>
      </c>
      <c r="D413" s="6" t="s">
        <v>1052</v>
      </c>
      <c r="F413" s="6" t="s">
        <v>105</v>
      </c>
      <c r="G413" s="6" t="s">
        <v>2709</v>
      </c>
      <c r="H413" s="6" t="s">
        <v>104</v>
      </c>
      <c r="I413" s="6" t="s">
        <v>1051</v>
      </c>
      <c r="J413" s="6" t="str">
        <f>H413&amp;":"&amp;I413</f>
        <v>att_digestion_vessel:384well_plate</v>
      </c>
      <c r="L413" s="6" t="s">
        <v>1052</v>
      </c>
    </row>
    <row r="414" spans="1:12" x14ac:dyDescent="0.15">
      <c r="C414" s="6" t="s">
        <v>2710</v>
      </c>
      <c r="D414" s="6" t="s">
        <v>1062</v>
      </c>
      <c r="F414" s="6" t="s">
        <v>105</v>
      </c>
      <c r="G414" s="6" t="s">
        <v>2709</v>
      </c>
      <c r="H414" s="6" t="s">
        <v>104</v>
      </c>
      <c r="I414" s="6" t="s">
        <v>1061</v>
      </c>
      <c r="J414" s="6" t="str">
        <f>H414&amp;":"&amp;I414</f>
        <v>att_digestion_vessel:two_ml_tube</v>
      </c>
      <c r="L414" s="6" t="s">
        <v>1063</v>
      </c>
    </row>
    <row r="415" spans="1:12" x14ac:dyDescent="0.15">
      <c r="C415" s="6" t="s">
        <v>2710</v>
      </c>
      <c r="D415" s="6" t="s">
        <v>1057</v>
      </c>
      <c r="F415" s="6" t="s">
        <v>105</v>
      </c>
      <c r="G415" s="6" t="s">
        <v>2709</v>
      </c>
      <c r="H415" s="6" t="s">
        <v>104</v>
      </c>
      <c r="I415" s="6" t="s">
        <v>1056</v>
      </c>
      <c r="J415" s="6" t="str">
        <f>H415&amp;":"&amp;I415</f>
        <v>att_digestion_vessel:onefive_ml_tube</v>
      </c>
      <c r="L415" s="6" t="s">
        <v>1058</v>
      </c>
    </row>
    <row r="417" spans="3:12" x14ac:dyDescent="0.15">
      <c r="C417" s="6" t="s">
        <v>2711</v>
      </c>
      <c r="D417" s="6" t="s">
        <v>2712</v>
      </c>
      <c r="F417" s="6" t="s">
        <v>18</v>
      </c>
      <c r="G417" s="6" t="s">
        <v>2713</v>
      </c>
      <c r="H417" s="6" t="s">
        <v>16</v>
      </c>
      <c r="I417" s="6" t="s">
        <v>263</v>
      </c>
      <c r="J417" s="6" t="str">
        <f t="shared" ref="J417:J435" si="43">H417&amp;":"&amp;I417</f>
        <v>att_aa_starvation:arginine</v>
      </c>
      <c r="L417" s="6" t="s">
        <v>266</v>
      </c>
    </row>
    <row r="418" spans="3:12" x14ac:dyDescent="0.15">
      <c r="C418" s="6" t="s">
        <v>2711</v>
      </c>
      <c r="D418" s="6" t="s">
        <v>2714</v>
      </c>
      <c r="F418" s="6" t="s">
        <v>18</v>
      </c>
      <c r="G418" s="6" t="s">
        <v>2713</v>
      </c>
      <c r="H418" s="6" t="s">
        <v>16</v>
      </c>
      <c r="I418" s="6" t="s">
        <v>267</v>
      </c>
      <c r="J418" s="6" t="str">
        <f t="shared" si="43"/>
        <v>att_aa_starvation:asparagine</v>
      </c>
      <c r="L418" s="6" t="s">
        <v>269</v>
      </c>
    </row>
    <row r="419" spans="3:12" x14ac:dyDescent="0.15">
      <c r="C419" s="6" t="s">
        <v>2711</v>
      </c>
      <c r="D419" s="6" t="s">
        <v>2715</v>
      </c>
      <c r="F419" s="6" t="s">
        <v>18</v>
      </c>
      <c r="G419" s="6" t="s">
        <v>2713</v>
      </c>
      <c r="H419" s="6" t="s">
        <v>16</v>
      </c>
      <c r="I419" s="6" t="s">
        <v>270</v>
      </c>
      <c r="J419" s="6" t="str">
        <f t="shared" si="43"/>
        <v>att_aa_starvation:asparticacid</v>
      </c>
      <c r="L419" s="6" t="s">
        <v>272</v>
      </c>
    </row>
    <row r="420" spans="3:12" x14ac:dyDescent="0.15">
      <c r="C420" s="6" t="s">
        <v>2711</v>
      </c>
      <c r="D420" s="6" t="s">
        <v>2716</v>
      </c>
      <c r="F420" s="6" t="s">
        <v>18</v>
      </c>
      <c r="G420" s="6" t="s">
        <v>2713</v>
      </c>
      <c r="H420" s="6" t="s">
        <v>16</v>
      </c>
      <c r="I420" s="6" t="s">
        <v>273</v>
      </c>
      <c r="J420" s="6" t="str">
        <f t="shared" si="43"/>
        <v>att_aa_starvation:cysteine</v>
      </c>
      <c r="L420" s="6" t="s">
        <v>275</v>
      </c>
    </row>
    <row r="421" spans="3:12" x14ac:dyDescent="0.15">
      <c r="C421" s="6" t="s">
        <v>2711</v>
      </c>
      <c r="D421" s="6" t="s">
        <v>2717</v>
      </c>
      <c r="F421" s="6" t="s">
        <v>18</v>
      </c>
      <c r="G421" s="6" t="s">
        <v>2713</v>
      </c>
      <c r="H421" s="6" t="s">
        <v>16</v>
      </c>
      <c r="I421" s="6" t="s">
        <v>276</v>
      </c>
      <c r="J421" s="6" t="str">
        <f t="shared" si="43"/>
        <v>att_aa_starvation:glutamicacid</v>
      </c>
      <c r="L421" s="6" t="s">
        <v>278</v>
      </c>
    </row>
    <row r="422" spans="3:12" x14ac:dyDescent="0.15">
      <c r="C422" s="6" t="s">
        <v>2711</v>
      </c>
      <c r="D422" s="6" t="s">
        <v>2718</v>
      </c>
      <c r="F422" s="6" t="s">
        <v>18</v>
      </c>
      <c r="G422" s="6" t="s">
        <v>2713</v>
      </c>
      <c r="H422" s="6" t="s">
        <v>16</v>
      </c>
      <c r="I422" s="6" t="s">
        <v>279</v>
      </c>
      <c r="J422" s="6" t="str">
        <f t="shared" si="43"/>
        <v>att_aa_starvation:glutamine</v>
      </c>
      <c r="L422" s="6" t="s">
        <v>281</v>
      </c>
    </row>
    <row r="423" spans="3:12" x14ac:dyDescent="0.15">
      <c r="C423" s="6" t="s">
        <v>2711</v>
      </c>
      <c r="D423" s="6" t="s">
        <v>2719</v>
      </c>
      <c r="F423" s="6" t="s">
        <v>18</v>
      </c>
      <c r="G423" s="6" t="s">
        <v>2713</v>
      </c>
      <c r="H423" s="6" t="s">
        <v>16</v>
      </c>
      <c r="I423" s="6" t="s">
        <v>282</v>
      </c>
      <c r="J423" s="6" t="str">
        <f t="shared" si="43"/>
        <v>att_aa_starvation:glycine</v>
      </c>
      <c r="L423" s="6" t="s">
        <v>284</v>
      </c>
    </row>
    <row r="424" spans="3:12" x14ac:dyDescent="0.15">
      <c r="C424" s="6" t="s">
        <v>2711</v>
      </c>
      <c r="D424" s="6" t="s">
        <v>2720</v>
      </c>
      <c r="F424" s="6" t="s">
        <v>18</v>
      </c>
      <c r="G424" s="6" t="s">
        <v>2713</v>
      </c>
      <c r="H424" s="6" t="s">
        <v>16</v>
      </c>
      <c r="I424" s="6" t="s">
        <v>285</v>
      </c>
      <c r="J424" s="6" t="str">
        <f t="shared" si="43"/>
        <v>att_aa_starvation:histidine</v>
      </c>
      <c r="L424" s="6" t="s">
        <v>287</v>
      </c>
    </row>
    <row r="425" spans="3:12" x14ac:dyDescent="0.15">
      <c r="C425" s="6" t="s">
        <v>2711</v>
      </c>
      <c r="D425" s="6" t="s">
        <v>2721</v>
      </c>
      <c r="F425" s="6" t="s">
        <v>18</v>
      </c>
      <c r="G425" s="6" t="s">
        <v>2713</v>
      </c>
      <c r="H425" s="6" t="s">
        <v>16</v>
      </c>
      <c r="I425" s="6" t="s">
        <v>288</v>
      </c>
      <c r="J425" s="6" t="str">
        <f t="shared" si="43"/>
        <v>att_aa_starvation:isoleucine</v>
      </c>
      <c r="L425" s="6" t="s">
        <v>290</v>
      </c>
    </row>
    <row r="426" spans="3:12" x14ac:dyDescent="0.15">
      <c r="C426" s="6" t="s">
        <v>2711</v>
      </c>
      <c r="D426" s="6" t="s">
        <v>2722</v>
      </c>
      <c r="F426" s="6" t="s">
        <v>18</v>
      </c>
      <c r="G426" s="6" t="s">
        <v>2713</v>
      </c>
      <c r="H426" s="6" t="s">
        <v>16</v>
      </c>
      <c r="I426" s="6" t="s">
        <v>291</v>
      </c>
      <c r="J426" s="6" t="str">
        <f t="shared" si="43"/>
        <v>att_aa_starvation:leucine</v>
      </c>
      <c r="L426" s="6" t="s">
        <v>293</v>
      </c>
    </row>
    <row r="427" spans="3:12" x14ac:dyDescent="0.15">
      <c r="C427" s="6" t="s">
        <v>2711</v>
      </c>
      <c r="D427" s="6" t="s">
        <v>2723</v>
      </c>
      <c r="F427" s="6" t="s">
        <v>18</v>
      </c>
      <c r="G427" s="6" t="s">
        <v>2713</v>
      </c>
      <c r="H427" s="6" t="s">
        <v>16</v>
      </c>
      <c r="I427" s="6" t="s">
        <v>294</v>
      </c>
      <c r="J427" s="6" t="str">
        <f t="shared" si="43"/>
        <v>att_aa_starvation:lysine</v>
      </c>
      <c r="L427" s="6" t="s">
        <v>296</v>
      </c>
    </row>
    <row r="428" spans="3:12" x14ac:dyDescent="0.15">
      <c r="C428" s="6" t="s">
        <v>2711</v>
      </c>
      <c r="D428" s="6" t="s">
        <v>2724</v>
      </c>
      <c r="F428" s="6" t="s">
        <v>18</v>
      </c>
      <c r="G428" s="6" t="s">
        <v>2713</v>
      </c>
      <c r="H428" s="6" t="s">
        <v>16</v>
      </c>
      <c r="I428" s="6" t="s">
        <v>297</v>
      </c>
      <c r="J428" s="6" t="str">
        <f t="shared" si="43"/>
        <v>att_aa_starvation:methionine</v>
      </c>
      <c r="L428" s="6" t="s">
        <v>299</v>
      </c>
    </row>
    <row r="429" spans="3:12" x14ac:dyDescent="0.15">
      <c r="C429" s="6" t="s">
        <v>2711</v>
      </c>
      <c r="D429" s="6" t="s">
        <v>2725</v>
      </c>
      <c r="F429" s="6" t="s">
        <v>18</v>
      </c>
      <c r="G429" s="6" t="s">
        <v>2713</v>
      </c>
      <c r="H429" s="6" t="s">
        <v>16</v>
      </c>
      <c r="I429" s="6" t="s">
        <v>300</v>
      </c>
      <c r="J429" s="6" t="str">
        <f t="shared" si="43"/>
        <v>att_aa_starvation:phenylalanine</v>
      </c>
      <c r="L429" s="6" t="s">
        <v>302</v>
      </c>
    </row>
    <row r="430" spans="3:12" x14ac:dyDescent="0.15">
      <c r="C430" s="6" t="s">
        <v>2711</v>
      </c>
      <c r="D430" s="6" t="s">
        <v>2726</v>
      </c>
      <c r="F430" s="6" t="s">
        <v>18</v>
      </c>
      <c r="G430" s="6" t="s">
        <v>2713</v>
      </c>
      <c r="H430" s="6" t="s">
        <v>16</v>
      </c>
      <c r="I430" s="6" t="s">
        <v>303</v>
      </c>
      <c r="J430" s="6" t="str">
        <f t="shared" si="43"/>
        <v>att_aa_starvation:proline</v>
      </c>
      <c r="L430" s="6" t="s">
        <v>305</v>
      </c>
    </row>
    <row r="431" spans="3:12" x14ac:dyDescent="0.15">
      <c r="C431" s="6" t="s">
        <v>2711</v>
      </c>
      <c r="D431" s="6" t="s">
        <v>2727</v>
      </c>
      <c r="F431" s="6" t="s">
        <v>18</v>
      </c>
      <c r="G431" s="6" t="s">
        <v>2713</v>
      </c>
      <c r="H431" s="6" t="s">
        <v>16</v>
      </c>
      <c r="I431" s="6" t="s">
        <v>306</v>
      </c>
      <c r="J431" s="6" t="str">
        <f t="shared" si="43"/>
        <v>att_aa_starvation:serine</v>
      </c>
      <c r="L431" s="6" t="s">
        <v>308</v>
      </c>
    </row>
    <row r="432" spans="3:12" x14ac:dyDescent="0.15">
      <c r="C432" s="6" t="s">
        <v>2711</v>
      </c>
      <c r="D432" s="6" t="s">
        <v>2728</v>
      </c>
      <c r="F432" s="6" t="s">
        <v>18</v>
      </c>
      <c r="G432" s="6" t="s">
        <v>2713</v>
      </c>
      <c r="H432" s="6" t="s">
        <v>16</v>
      </c>
      <c r="I432" s="6" t="s">
        <v>309</v>
      </c>
      <c r="J432" s="6" t="str">
        <f t="shared" si="43"/>
        <v>att_aa_starvation:threonine</v>
      </c>
      <c r="L432" s="6" t="s">
        <v>311</v>
      </c>
    </row>
    <row r="433" spans="1:15" x14ac:dyDescent="0.15">
      <c r="C433" s="6" t="s">
        <v>2711</v>
      </c>
      <c r="D433" s="6" t="s">
        <v>2729</v>
      </c>
      <c r="F433" s="6" t="s">
        <v>18</v>
      </c>
      <c r="G433" s="6" t="s">
        <v>2713</v>
      </c>
      <c r="H433" s="6" t="s">
        <v>16</v>
      </c>
      <c r="I433" s="6" t="s">
        <v>312</v>
      </c>
      <c r="J433" s="6" t="str">
        <f t="shared" si="43"/>
        <v>att_aa_starvation:tryptophan</v>
      </c>
      <c r="L433" s="6" t="s">
        <v>314</v>
      </c>
    </row>
    <row r="434" spans="1:15" x14ac:dyDescent="0.15">
      <c r="C434" s="6" t="s">
        <v>2711</v>
      </c>
      <c r="D434" s="6" t="s">
        <v>2730</v>
      </c>
      <c r="F434" s="6" t="s">
        <v>18</v>
      </c>
      <c r="G434" s="6" t="s">
        <v>2713</v>
      </c>
      <c r="H434" s="6" t="s">
        <v>16</v>
      </c>
      <c r="I434" s="6" t="s">
        <v>315</v>
      </c>
      <c r="J434" s="6" t="str">
        <f t="shared" si="43"/>
        <v>att_aa_starvation:tyrosine</v>
      </c>
      <c r="L434" s="6" t="s">
        <v>317</v>
      </c>
    </row>
    <row r="435" spans="1:15" x14ac:dyDescent="0.15">
      <c r="C435" s="6" t="s">
        <v>2711</v>
      </c>
      <c r="D435" s="6" t="s">
        <v>2731</v>
      </c>
      <c r="F435" s="6" t="s">
        <v>18</v>
      </c>
      <c r="G435" s="6" t="s">
        <v>2713</v>
      </c>
      <c r="H435" s="6" t="s">
        <v>16</v>
      </c>
      <c r="I435" s="6" t="s">
        <v>318</v>
      </c>
      <c r="J435" s="6" t="str">
        <f t="shared" si="43"/>
        <v>att_aa_starvation:valine</v>
      </c>
      <c r="L435" s="6" t="s">
        <v>320</v>
      </c>
    </row>
    <row r="439" spans="1:15" x14ac:dyDescent="0.15">
      <c r="A439" s="12" t="b">
        <f>FALSE()</f>
        <v>0</v>
      </c>
      <c r="B439" s="12"/>
      <c r="C439" s="6" t="s">
        <v>773</v>
      </c>
      <c r="D439" s="6" t="s">
        <v>774</v>
      </c>
      <c r="E439" s="6" t="s">
        <v>17</v>
      </c>
      <c r="F439" s="6" t="s">
        <v>2543</v>
      </c>
      <c r="G439" s="6" t="s">
        <v>2544</v>
      </c>
      <c r="H439" s="6" t="str">
        <f t="shared" ref="H439:H448" si="44">"att_"&amp;G439</f>
        <v>att_compound</v>
      </c>
      <c r="I439" s="6" t="s">
        <v>773</v>
      </c>
      <c r="J439" s="6" t="str">
        <f t="shared" ref="J439:J448" si="45">H439&amp;":"&amp;I439</f>
        <v>att_compound:torin</v>
      </c>
      <c r="K439" s="11" t="s">
        <v>21</v>
      </c>
      <c r="L439" s="6" t="s">
        <v>775</v>
      </c>
      <c r="M439" s="6" t="s">
        <v>17</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765</v>
      </c>
      <c r="D440" s="6" t="s">
        <v>766</v>
      </c>
      <c r="E440" s="6" t="s">
        <v>17</v>
      </c>
      <c r="F440" s="6" t="s">
        <v>2543</v>
      </c>
      <c r="G440" s="6" t="s">
        <v>2544</v>
      </c>
      <c r="H440" s="6" t="str">
        <f t="shared" si="44"/>
        <v>att_compound</v>
      </c>
      <c r="I440" s="6" t="s">
        <v>765</v>
      </c>
      <c r="J440" s="6" t="str">
        <f t="shared" si="45"/>
        <v>att_compound:rapamycin</v>
      </c>
      <c r="K440" s="6" t="b">
        <f>TRUE()</f>
        <v>1</v>
      </c>
      <c r="L440" s="6" t="s">
        <v>767</v>
      </c>
    </row>
    <row r="441" spans="1:15" x14ac:dyDescent="0.15">
      <c r="C441" s="6" t="s">
        <v>726</v>
      </c>
      <c r="D441" s="6" t="s">
        <v>727</v>
      </c>
      <c r="E441" s="6" t="s">
        <v>17</v>
      </c>
      <c r="F441" s="6" t="s">
        <v>2543</v>
      </c>
      <c r="G441" s="6" t="s">
        <v>2544</v>
      </c>
      <c r="H441" s="6" t="str">
        <f t="shared" si="44"/>
        <v>att_compound</v>
      </c>
      <c r="I441" s="6" t="s">
        <v>726</v>
      </c>
      <c r="J441" s="6" t="str">
        <f t="shared" si="45"/>
        <v>att_compound:antimycin</v>
      </c>
      <c r="K441" s="6" t="b">
        <f>TRUE()</f>
        <v>1</v>
      </c>
      <c r="L441" s="6" t="s">
        <v>728</v>
      </c>
    </row>
    <row r="442" spans="1:15" x14ac:dyDescent="0.15">
      <c r="C442" s="6" t="s">
        <v>762</v>
      </c>
      <c r="D442" s="6" t="s">
        <v>763</v>
      </c>
      <c r="E442" s="6" t="s">
        <v>17</v>
      </c>
      <c r="F442" s="6" t="s">
        <v>2543</v>
      </c>
      <c r="G442" s="6" t="s">
        <v>2544</v>
      </c>
      <c r="H442" s="6" t="str">
        <f t="shared" si="44"/>
        <v>att_compound</v>
      </c>
      <c r="I442" s="6" t="s">
        <v>762</v>
      </c>
      <c r="J442" s="6" t="str">
        <f t="shared" si="45"/>
        <v>att_compound:oligomycin</v>
      </c>
      <c r="K442" s="6" t="b">
        <f>TRUE()</f>
        <v>1</v>
      </c>
      <c r="L442" s="6" t="s">
        <v>764</v>
      </c>
    </row>
    <row r="443" spans="1:15" x14ac:dyDescent="0.15">
      <c r="C443" s="6" t="s">
        <v>759</v>
      </c>
      <c r="D443" s="6" t="s">
        <v>760</v>
      </c>
      <c r="E443" s="6" t="s">
        <v>17</v>
      </c>
      <c r="F443" s="6" t="s">
        <v>2543</v>
      </c>
      <c r="G443" s="6" t="s">
        <v>2544</v>
      </c>
      <c r="H443" s="6" t="str">
        <f t="shared" si="44"/>
        <v>att_compound</v>
      </c>
      <c r="I443" s="6" t="s">
        <v>759</v>
      </c>
      <c r="J443" s="6" t="str">
        <f t="shared" si="45"/>
        <v>att_compound:hydroxyurea</v>
      </c>
      <c r="K443" s="6" t="b">
        <f>TRUE()</f>
        <v>1</v>
      </c>
      <c r="L443" s="6" t="s">
        <v>761</v>
      </c>
    </row>
    <row r="444" spans="1:15" x14ac:dyDescent="0.15">
      <c r="C444" s="6" t="s">
        <v>2732</v>
      </c>
      <c r="D444" s="6" t="s">
        <v>722</v>
      </c>
      <c r="E444" s="6" t="s">
        <v>17</v>
      </c>
      <c r="F444" s="6" t="s">
        <v>2543</v>
      </c>
      <c r="G444" s="6" t="s">
        <v>2544</v>
      </c>
      <c r="H444" s="6" t="str">
        <f t="shared" si="44"/>
        <v>att_compound</v>
      </c>
      <c r="I444" s="6" t="s">
        <v>2732</v>
      </c>
      <c r="J444" s="6" t="str">
        <f t="shared" si="45"/>
        <v xml:space="preserve">att_compound:5-fluorouracil </v>
      </c>
      <c r="K444" s="6" t="b">
        <f>TRUE()</f>
        <v>1</v>
      </c>
      <c r="L444" s="6" t="s">
        <v>723</v>
      </c>
    </row>
    <row r="445" spans="1:15" x14ac:dyDescent="0.15">
      <c r="C445" s="6" t="s">
        <v>2733</v>
      </c>
      <c r="D445" s="6" t="s">
        <v>2734</v>
      </c>
      <c r="E445" s="6" t="s">
        <v>17</v>
      </c>
      <c r="F445" s="6" t="s">
        <v>2543</v>
      </c>
      <c r="G445" s="6" t="s">
        <v>2544</v>
      </c>
      <c r="H445" s="6" t="str">
        <f t="shared" si="44"/>
        <v>att_compound</v>
      </c>
      <c r="I445" s="6" t="s">
        <v>2733</v>
      </c>
      <c r="J445" s="6" t="str">
        <f t="shared" si="45"/>
        <v xml:space="preserve">att_compound:etoposide </v>
      </c>
      <c r="K445" s="6" t="b">
        <f>TRUE()</f>
        <v>1</v>
      </c>
      <c r="L445" s="6" t="s">
        <v>2735</v>
      </c>
    </row>
    <row r="446" spans="1:15" x14ac:dyDescent="0.15">
      <c r="C446" s="6" t="s">
        <v>768</v>
      </c>
      <c r="D446" s="6" t="s">
        <v>769</v>
      </c>
      <c r="E446" s="6" t="s">
        <v>17</v>
      </c>
      <c r="F446" s="6" t="s">
        <v>2543</v>
      </c>
      <c r="G446" s="6" t="s">
        <v>2544</v>
      </c>
      <c r="H446" s="6" t="str">
        <f t="shared" si="44"/>
        <v>att_compound</v>
      </c>
      <c r="I446" s="6" t="s">
        <v>768</v>
      </c>
      <c r="J446" s="6" t="str">
        <f t="shared" si="45"/>
        <v>att_compound:rotenone</v>
      </c>
      <c r="K446" s="6" t="b">
        <f>TRUE()</f>
        <v>1</v>
      </c>
      <c r="L446" s="6" t="s">
        <v>770</v>
      </c>
    </row>
    <row r="447" spans="1:15" x14ac:dyDescent="0.15">
      <c r="C447" s="6" t="s">
        <v>736</v>
      </c>
      <c r="D447" s="6" t="s">
        <v>737</v>
      </c>
      <c r="E447" s="6" t="s">
        <v>17</v>
      </c>
      <c r="F447" s="6" t="s">
        <v>2543</v>
      </c>
      <c r="G447" s="6" t="s">
        <v>2544</v>
      </c>
      <c r="H447" s="6" t="str">
        <f t="shared" si="44"/>
        <v>att_compound</v>
      </c>
      <c r="I447" s="6" t="s">
        <v>736</v>
      </c>
      <c r="J447" s="6" t="str">
        <f t="shared" si="45"/>
        <v>att_compound:cccp</v>
      </c>
      <c r="K447" s="6" t="b">
        <f>TRUE()</f>
        <v>1</v>
      </c>
      <c r="L447" s="6" t="s">
        <v>738</v>
      </c>
    </row>
    <row r="448" spans="1:15" x14ac:dyDescent="0.15">
      <c r="C448" s="6" t="s">
        <v>753</v>
      </c>
      <c r="D448" s="6" t="s">
        <v>754</v>
      </c>
      <c r="E448" s="6" t="s">
        <v>17</v>
      </c>
      <c r="F448" s="6" t="s">
        <v>2543</v>
      </c>
      <c r="G448" s="6" t="s">
        <v>2544</v>
      </c>
      <c r="H448" s="6" t="str">
        <f t="shared" si="44"/>
        <v>att_compound</v>
      </c>
      <c r="I448" s="6" t="s">
        <v>753</v>
      </c>
      <c r="J448" s="6" t="str">
        <f t="shared" si="45"/>
        <v>att_compound:fccp</v>
      </c>
      <c r="K448" s="6" t="b">
        <f>TRUE()</f>
        <v>1</v>
      </c>
      <c r="L448" s="6" t="s">
        <v>755</v>
      </c>
    </row>
    <row r="451" spans="3:12" x14ac:dyDescent="0.15">
      <c r="C451" s="6" t="s">
        <v>1299</v>
      </c>
      <c r="D451" s="6" t="s">
        <v>1300</v>
      </c>
      <c r="F451" s="6" t="s">
        <v>140</v>
      </c>
      <c r="G451" s="6" t="s">
        <v>2736</v>
      </c>
      <c r="H451" s="6" t="str">
        <f t="shared" ref="H451:H459" si="46">"att_"&amp;G451</f>
        <v>att_knockdown_technique</v>
      </c>
      <c r="I451" s="6" t="s">
        <v>1299</v>
      </c>
      <c r="J451" s="6" t="str">
        <f t="shared" ref="J451:J459" si="47">H451&amp;":"&amp;I451</f>
        <v>att_knockdown_technique:sirna</v>
      </c>
      <c r="K451" s="6" t="b">
        <f>TRUE()</f>
        <v>1</v>
      </c>
      <c r="L451" s="6" t="s">
        <v>1301</v>
      </c>
    </row>
    <row r="452" spans="3:12" x14ac:dyDescent="0.15">
      <c r="C452" s="6" t="s">
        <v>1290</v>
      </c>
      <c r="D452" s="6" t="s">
        <v>1291</v>
      </c>
      <c r="F452" s="6" t="s">
        <v>140</v>
      </c>
      <c r="G452" s="6" t="s">
        <v>2736</v>
      </c>
      <c r="H452" s="6" t="str">
        <f t="shared" si="46"/>
        <v>att_knockdown_technique</v>
      </c>
      <c r="I452" s="6" t="s">
        <v>1290</v>
      </c>
      <c r="J452" s="6" t="str">
        <f t="shared" si="47"/>
        <v>att_knockdown_technique:grna</v>
      </c>
      <c r="K452" s="6" t="b">
        <f>TRUE()</f>
        <v>1</v>
      </c>
      <c r="L452" s="6" t="s">
        <v>1292</v>
      </c>
    </row>
    <row r="453" spans="3:12" x14ac:dyDescent="0.15">
      <c r="C453" s="6" t="s">
        <v>1296</v>
      </c>
      <c r="D453" s="6" t="s">
        <v>1297</v>
      </c>
      <c r="F453" s="6" t="s">
        <v>140</v>
      </c>
      <c r="G453" s="6" t="s">
        <v>2736</v>
      </c>
      <c r="H453" s="6" t="str">
        <f t="shared" si="46"/>
        <v>att_knockdown_technique</v>
      </c>
      <c r="I453" s="6" t="s">
        <v>1296</v>
      </c>
      <c r="J453" s="6" t="str">
        <f t="shared" si="47"/>
        <v>att_knockdown_technique:shrna</v>
      </c>
      <c r="K453" s="6" t="b">
        <f>TRUE()</f>
        <v>1</v>
      </c>
      <c r="L453" s="6" t="s">
        <v>1298</v>
      </c>
    </row>
    <row r="454" spans="3:12" x14ac:dyDescent="0.15">
      <c r="C454" s="6" t="s">
        <v>1293</v>
      </c>
      <c r="D454" s="6" t="s">
        <v>1294</v>
      </c>
      <c r="F454" s="6" t="s">
        <v>140</v>
      </c>
      <c r="G454" s="6" t="s">
        <v>2736</v>
      </c>
      <c r="H454" s="6" t="str">
        <f t="shared" si="46"/>
        <v>att_knockdown_technique</v>
      </c>
      <c r="I454" s="6" t="s">
        <v>1293</v>
      </c>
      <c r="J454" s="6" t="str">
        <f t="shared" si="47"/>
        <v>att_knockdown_technique:mirna</v>
      </c>
      <c r="L454" s="6" t="s">
        <v>1295</v>
      </c>
    </row>
    <row r="455" spans="3:12" x14ac:dyDescent="0.15">
      <c r="C455" s="6" t="s">
        <v>1273</v>
      </c>
      <c r="D455" s="6" t="s">
        <v>1274</v>
      </c>
      <c r="F455" s="6" t="s">
        <v>2737</v>
      </c>
      <c r="G455" s="6" t="s">
        <v>2738</v>
      </c>
      <c r="H455" s="6" t="str">
        <f t="shared" si="46"/>
        <v>att_gene_engineering</v>
      </c>
      <c r="I455" s="6" t="s">
        <v>1273</v>
      </c>
      <c r="J455" s="6" t="str">
        <f t="shared" si="47"/>
        <v>att_gene_engineering:ko</v>
      </c>
      <c r="L455" s="6" t="s">
        <v>1275</v>
      </c>
    </row>
    <row r="456" spans="3:12" x14ac:dyDescent="0.15">
      <c r="C456" s="6" t="s">
        <v>2739</v>
      </c>
      <c r="D456" s="6" t="s">
        <v>1271</v>
      </c>
      <c r="F456" s="6" t="s">
        <v>2737</v>
      </c>
      <c r="G456" s="6" t="s">
        <v>2738</v>
      </c>
      <c r="H456" s="6" t="str">
        <f t="shared" si="46"/>
        <v>att_gene_engineering</v>
      </c>
      <c r="I456" s="6" t="s">
        <v>1270</v>
      </c>
      <c r="J456" s="6" t="str">
        <f t="shared" si="47"/>
        <v>att_gene_engineering:knockin</v>
      </c>
      <c r="L456" s="6" t="s">
        <v>1272</v>
      </c>
    </row>
    <row r="457" spans="3:12" x14ac:dyDescent="0.15">
      <c r="C457" s="6" t="s">
        <v>1264</v>
      </c>
      <c r="D457" s="6" t="s">
        <v>1265</v>
      </c>
      <c r="F457" s="6" t="s">
        <v>2737</v>
      </c>
      <c r="G457" s="6" t="s">
        <v>2738</v>
      </c>
      <c r="H457" s="6" t="str">
        <f t="shared" si="46"/>
        <v>att_gene_engineering</v>
      </c>
      <c r="I457" s="6" t="s">
        <v>1264</v>
      </c>
      <c r="J457" s="6" t="str">
        <f t="shared" si="47"/>
        <v>att_gene_engineering:deletion</v>
      </c>
      <c r="L457" s="6" t="s">
        <v>1266</v>
      </c>
    </row>
    <row r="458" spans="3:12" x14ac:dyDescent="0.15">
      <c r="C458" s="6" t="s">
        <v>1268</v>
      </c>
      <c r="D458" s="6" t="s">
        <v>1268</v>
      </c>
      <c r="F458" s="6" t="s">
        <v>2737</v>
      </c>
      <c r="G458" s="6" t="s">
        <v>2738</v>
      </c>
      <c r="H458" s="6" t="str">
        <f t="shared" si="46"/>
        <v>att_gene_engineering</v>
      </c>
      <c r="I458" s="6" t="s">
        <v>1267</v>
      </c>
      <c r="J458" s="6" t="str">
        <f t="shared" si="47"/>
        <v>att_gene_engineering:inducible_expression</v>
      </c>
      <c r="L458" s="6" t="s">
        <v>1269</v>
      </c>
    </row>
    <row r="459" spans="3:12" x14ac:dyDescent="0.15">
      <c r="C459" s="6" t="s">
        <v>2740</v>
      </c>
      <c r="D459" s="6" t="s">
        <v>1277</v>
      </c>
      <c r="F459" s="6" t="s">
        <v>2737</v>
      </c>
      <c r="G459" s="6" t="s">
        <v>2738</v>
      </c>
      <c r="H459" s="6" t="str">
        <f t="shared" si="46"/>
        <v>att_gene_engineering</v>
      </c>
      <c r="I459" s="6" t="s">
        <v>1276</v>
      </c>
      <c r="J459" s="6" t="str">
        <f t="shared" si="47"/>
        <v>att_gene_engineering:stable_expression</v>
      </c>
      <c r="L459" s="6" t="s">
        <v>1278</v>
      </c>
    </row>
    <row r="461" spans="3:12" x14ac:dyDescent="0.15">
      <c r="C461" s="6" t="s">
        <v>1249</v>
      </c>
      <c r="D461" s="6" t="s">
        <v>1250</v>
      </c>
      <c r="F461" s="6" t="s">
        <v>2741</v>
      </c>
      <c r="G461" s="6" t="s">
        <v>2742</v>
      </c>
      <c r="H461" s="6" t="str">
        <f t="shared" ref="H461:H476" si="48">"att_"&amp;G461</f>
        <v>att_gene_editing_method</v>
      </c>
      <c r="I461" s="6" t="s">
        <v>1249</v>
      </c>
      <c r="J461" s="6" t="str">
        <f t="shared" ref="J461:J476" si="49">H461&amp;":"&amp;I461</f>
        <v>att_gene_editing_method:crispr</v>
      </c>
      <c r="L461" s="6" t="s">
        <v>1251</v>
      </c>
    </row>
    <row r="462" spans="3:12" x14ac:dyDescent="0.15">
      <c r="C462" s="6" t="s">
        <v>2743</v>
      </c>
      <c r="D462" s="6" t="s">
        <v>1253</v>
      </c>
      <c r="F462" s="6" t="s">
        <v>2741</v>
      </c>
      <c r="G462" s="6" t="s">
        <v>2742</v>
      </c>
      <c r="H462" s="6" t="str">
        <f t="shared" si="48"/>
        <v>att_gene_editing_method</v>
      </c>
      <c r="I462" s="6" t="s">
        <v>2744</v>
      </c>
      <c r="J462" s="6" t="str">
        <f t="shared" si="49"/>
        <v>att_gene_editing_method:crispr-hdr</v>
      </c>
      <c r="L462" s="6" t="s">
        <v>1254</v>
      </c>
    </row>
    <row r="463" spans="3:12" x14ac:dyDescent="0.15">
      <c r="C463" s="6" t="s">
        <v>2745</v>
      </c>
      <c r="D463" s="6" t="s">
        <v>1247</v>
      </c>
      <c r="F463" s="6" t="s">
        <v>2741</v>
      </c>
      <c r="G463" s="6" t="s">
        <v>2742</v>
      </c>
      <c r="H463" s="6" t="str">
        <f t="shared" si="48"/>
        <v>att_gene_editing_method</v>
      </c>
      <c r="I463" s="6" t="s">
        <v>1246</v>
      </c>
      <c r="J463" s="6" t="str">
        <f t="shared" si="49"/>
        <v>att_gene_editing_method:biggybac</v>
      </c>
      <c r="L463" s="6" t="s">
        <v>1248</v>
      </c>
    </row>
    <row r="464" spans="3:12" x14ac:dyDescent="0.15">
      <c r="C464" s="6" t="s">
        <v>2746</v>
      </c>
      <c r="D464" s="6" t="s">
        <v>1256</v>
      </c>
      <c r="F464" s="6" t="s">
        <v>2741</v>
      </c>
      <c r="G464" s="6" t="s">
        <v>2742</v>
      </c>
      <c r="H464" s="6" t="str">
        <f t="shared" si="48"/>
        <v>att_gene_editing_method</v>
      </c>
      <c r="I464" s="6" t="s">
        <v>1255</v>
      </c>
      <c r="J464" s="6" t="str">
        <f t="shared" si="49"/>
        <v>att_gene_editing_method:lentiviral</v>
      </c>
      <c r="L464" s="6" t="s">
        <v>1257</v>
      </c>
    </row>
    <row r="465" spans="3:12" x14ac:dyDescent="0.15">
      <c r="C465" s="6" t="s">
        <v>2747</v>
      </c>
      <c r="D465" s="6" t="s">
        <v>1259</v>
      </c>
      <c r="F465" s="6" t="s">
        <v>2741</v>
      </c>
      <c r="G465" s="6" t="s">
        <v>2742</v>
      </c>
      <c r="H465" s="6" t="str">
        <f t="shared" si="48"/>
        <v>att_gene_editing_method</v>
      </c>
      <c r="I465" s="6" t="s">
        <v>1258</v>
      </c>
      <c r="J465" s="6" t="str">
        <f t="shared" si="49"/>
        <v>att_gene_editing_method:talen</v>
      </c>
      <c r="L465" s="6" t="s">
        <v>1260</v>
      </c>
    </row>
    <row r="466" spans="3:12" x14ac:dyDescent="0.15">
      <c r="C466" s="6" t="s">
        <v>2748</v>
      </c>
      <c r="D466" s="6" t="s">
        <v>1262</v>
      </c>
      <c r="F466" s="6" t="s">
        <v>2741</v>
      </c>
      <c r="G466" s="6" t="s">
        <v>2742</v>
      </c>
      <c r="H466" s="6" t="str">
        <f t="shared" si="48"/>
        <v>att_gene_editing_method</v>
      </c>
      <c r="I466" s="6" t="s">
        <v>1261</v>
      </c>
      <c r="J466" s="6" t="str">
        <f t="shared" si="49"/>
        <v>att_gene_editing_method:zincfinger</v>
      </c>
      <c r="L466" s="6" t="s">
        <v>1263</v>
      </c>
    </row>
    <row r="467" spans="3:12" x14ac:dyDescent="0.15">
      <c r="C467" s="6" t="s">
        <v>2749</v>
      </c>
      <c r="D467" s="6" t="s">
        <v>2281</v>
      </c>
      <c r="F467" s="6" t="s">
        <v>2750</v>
      </c>
      <c r="G467" s="6" t="s">
        <v>2751</v>
      </c>
      <c r="H467" s="6" t="str">
        <f t="shared" si="48"/>
        <v>att_protein_mutation</v>
      </c>
      <c r="I467" s="6" t="s">
        <v>2280</v>
      </c>
      <c r="J467" s="6" t="str">
        <f t="shared" si="49"/>
        <v>att_protein_mutation:frameshift</v>
      </c>
      <c r="L467" s="6" t="s">
        <v>2282</v>
      </c>
    </row>
    <row r="468" spans="3:12" x14ac:dyDescent="0.15">
      <c r="C468" s="6" t="s">
        <v>2752</v>
      </c>
      <c r="D468" s="6" t="s">
        <v>2301</v>
      </c>
      <c r="F468" s="6" t="s">
        <v>2750</v>
      </c>
      <c r="G468" s="6" t="s">
        <v>2751</v>
      </c>
      <c r="H468" s="6" t="str">
        <f t="shared" si="48"/>
        <v>att_protein_mutation</v>
      </c>
      <c r="I468" s="6" t="s">
        <v>2300</v>
      </c>
      <c r="J468" s="6" t="str">
        <f t="shared" si="49"/>
        <v>att_protein_mutation:substitution</v>
      </c>
      <c r="L468" s="6" t="s">
        <v>2302</v>
      </c>
    </row>
    <row r="469" spans="3:12" x14ac:dyDescent="0.15">
      <c r="C469" s="6" t="s">
        <v>2753</v>
      </c>
      <c r="D469" s="6" t="s">
        <v>2275</v>
      </c>
      <c r="F469" s="6" t="s">
        <v>2750</v>
      </c>
      <c r="G469" s="6" t="s">
        <v>2751</v>
      </c>
      <c r="H469" s="6" t="str">
        <f t="shared" si="48"/>
        <v>att_protein_mutation</v>
      </c>
      <c r="I469" s="6" t="s">
        <v>1264</v>
      </c>
      <c r="J469" s="6" t="str">
        <f t="shared" si="49"/>
        <v>att_protein_mutation:deletion</v>
      </c>
      <c r="L469" s="6" t="s">
        <v>2276</v>
      </c>
    </row>
    <row r="470" spans="3:12" x14ac:dyDescent="0.15">
      <c r="C470" s="6" t="s">
        <v>2292</v>
      </c>
      <c r="D470" s="6" t="s">
        <v>2293</v>
      </c>
      <c r="F470" s="6" t="s">
        <v>2750</v>
      </c>
      <c r="G470" s="6" t="s">
        <v>2751</v>
      </c>
      <c r="H470" s="6" t="str">
        <f t="shared" si="48"/>
        <v>att_protein_mutation</v>
      </c>
      <c r="I470" s="6" t="s">
        <v>2292</v>
      </c>
      <c r="J470" s="6" t="str">
        <f t="shared" si="49"/>
        <v>att_protein_mutation:insertion</v>
      </c>
      <c r="L470" s="6" t="s">
        <v>2294</v>
      </c>
    </row>
    <row r="471" spans="3:12" x14ac:dyDescent="0.15">
      <c r="C471" s="6" t="s">
        <v>2754</v>
      </c>
      <c r="D471" s="6" t="s">
        <v>2304</v>
      </c>
      <c r="F471" s="6" t="s">
        <v>2750</v>
      </c>
      <c r="G471" s="6" t="s">
        <v>2751</v>
      </c>
      <c r="H471" s="6" t="str">
        <f t="shared" si="48"/>
        <v>att_protein_mutation</v>
      </c>
      <c r="I471" s="6" t="s">
        <v>2303</v>
      </c>
      <c r="J471" s="6" t="str">
        <f t="shared" si="49"/>
        <v>att_protein_mutation:truncation</v>
      </c>
      <c r="L471" s="6" t="s">
        <v>2305</v>
      </c>
    </row>
    <row r="472" spans="3:12" x14ac:dyDescent="0.15">
      <c r="C472" s="6" t="s">
        <v>2755</v>
      </c>
      <c r="D472" s="6" t="s">
        <v>2278</v>
      </c>
      <c r="F472" s="6" t="s">
        <v>2750</v>
      </c>
      <c r="G472" s="6" t="s">
        <v>2751</v>
      </c>
      <c r="H472" s="6" t="str">
        <f t="shared" si="48"/>
        <v>att_protein_mutation</v>
      </c>
      <c r="I472" s="6" t="s">
        <v>2277</v>
      </c>
      <c r="J472" s="6" t="str">
        <f t="shared" si="49"/>
        <v>att_protein_mutation:flag</v>
      </c>
      <c r="L472" s="6" t="s">
        <v>2279</v>
      </c>
    </row>
    <row r="473" spans="3:12" x14ac:dyDescent="0.15">
      <c r="C473" s="6" t="s">
        <v>2756</v>
      </c>
      <c r="D473" s="6" t="s">
        <v>2287</v>
      </c>
      <c r="F473" s="6" t="s">
        <v>2750</v>
      </c>
      <c r="G473" s="6" t="s">
        <v>2751</v>
      </c>
      <c r="H473" s="6" t="str">
        <f t="shared" si="48"/>
        <v>att_protein_mutation</v>
      </c>
      <c r="I473" s="6" t="s">
        <v>2286</v>
      </c>
      <c r="J473" s="6" t="str">
        <f t="shared" si="49"/>
        <v>att_protein_mutation:ha</v>
      </c>
      <c r="L473" s="6" t="s">
        <v>2288</v>
      </c>
    </row>
    <row r="474" spans="3:12" x14ac:dyDescent="0.15">
      <c r="C474" s="6" t="s">
        <v>2757</v>
      </c>
      <c r="D474" s="6" t="s">
        <v>2296</v>
      </c>
      <c r="F474" s="6" t="s">
        <v>2750</v>
      </c>
      <c r="G474" s="6" t="s">
        <v>2751</v>
      </c>
      <c r="H474" s="6" t="str">
        <f t="shared" si="48"/>
        <v>att_protein_mutation</v>
      </c>
      <c r="I474" s="6" t="s">
        <v>2295</v>
      </c>
      <c r="J474" s="6" t="str">
        <f t="shared" si="49"/>
        <v>att_protein_mutation:myc</v>
      </c>
      <c r="L474" s="6" t="s">
        <v>2297</v>
      </c>
    </row>
    <row r="475" spans="3:12" x14ac:dyDescent="0.15">
      <c r="C475" s="6" t="s">
        <v>2758</v>
      </c>
      <c r="D475" s="6" t="s">
        <v>2284</v>
      </c>
      <c r="F475" s="6" t="s">
        <v>2750</v>
      </c>
      <c r="G475" s="6" t="s">
        <v>2751</v>
      </c>
      <c r="H475" s="6" t="str">
        <f t="shared" si="48"/>
        <v>att_protein_mutation</v>
      </c>
      <c r="I475" s="6" t="s">
        <v>2283</v>
      </c>
      <c r="J475" s="6" t="str">
        <f t="shared" si="49"/>
        <v>att_protein_mutation:gfp</v>
      </c>
      <c r="L475" s="6" t="s">
        <v>2285</v>
      </c>
    </row>
    <row r="476" spans="3:12" x14ac:dyDescent="0.15">
      <c r="C476" s="6" t="s">
        <v>2759</v>
      </c>
      <c r="D476" s="6" t="s">
        <v>2290</v>
      </c>
      <c r="F476" s="6" t="s">
        <v>2750</v>
      </c>
      <c r="G476" s="6" t="s">
        <v>2751</v>
      </c>
      <c r="H476" s="6" t="str">
        <f t="shared" si="48"/>
        <v>att_protein_mutation</v>
      </c>
      <c r="I476" s="6" t="s">
        <v>2289</v>
      </c>
      <c r="J476" s="6" t="str">
        <f t="shared" si="49"/>
        <v>att_protein_mutation:his</v>
      </c>
      <c r="L476" s="6" t="s">
        <v>2291</v>
      </c>
    </row>
    <row r="478" spans="3:12" x14ac:dyDescent="0.15">
      <c r="C478" s="6" t="s">
        <v>2760</v>
      </c>
      <c r="D478" s="6" t="s">
        <v>2313</v>
      </c>
      <c r="F478" s="6" t="s">
        <v>2761</v>
      </c>
      <c r="G478" s="6" t="s">
        <v>2762</v>
      </c>
      <c r="H478" s="6" t="str">
        <f>"att_"&amp;G478</f>
        <v>att_protein_position</v>
      </c>
      <c r="I478" s="6" t="s">
        <v>2312</v>
      </c>
      <c r="J478" s="6" t="str">
        <f>H478&amp;":"&amp;I478</f>
        <v>att_protein_position:nterm</v>
      </c>
      <c r="L478" s="6" t="s">
        <v>2314</v>
      </c>
    </row>
    <row r="479" spans="3:12" x14ac:dyDescent="0.15">
      <c r="C479" s="6" t="s">
        <v>2763</v>
      </c>
      <c r="D479" s="6" t="s">
        <v>2310</v>
      </c>
      <c r="F479" s="6" t="s">
        <v>2761</v>
      </c>
      <c r="G479" s="6" t="s">
        <v>2762</v>
      </c>
      <c r="H479" s="6" t="str">
        <f>"att_"&amp;G479</f>
        <v>att_protein_position</v>
      </c>
      <c r="I479" s="6" t="s">
        <v>2309</v>
      </c>
      <c r="J479" s="6" t="str">
        <f>H479&amp;":"&amp;I479</f>
        <v>att_protein_position:cterm</v>
      </c>
      <c r="L479" s="6" t="s">
        <v>2311</v>
      </c>
    </row>
    <row r="480" spans="3:12" x14ac:dyDescent="0.15">
      <c r="C480" s="6" t="s">
        <v>2306</v>
      </c>
      <c r="D480" s="6" t="s">
        <v>2307</v>
      </c>
      <c r="F480" s="6" t="s">
        <v>2761</v>
      </c>
      <c r="G480" s="6" t="s">
        <v>2762</v>
      </c>
      <c r="H480" s="6" t="str">
        <f>"att_"&amp;G480</f>
        <v>att_protein_position</v>
      </c>
      <c r="I480" s="6" t="s">
        <v>2306</v>
      </c>
      <c r="J480" s="6" t="str">
        <f>H480&amp;":"&amp;I480</f>
        <v>att_protein_position:aa</v>
      </c>
      <c r="L480" s="6" t="s">
        <v>2308</v>
      </c>
    </row>
    <row r="481" spans="3:12" x14ac:dyDescent="0.15">
      <c r="C481" s="6" t="s">
        <v>2315</v>
      </c>
      <c r="D481" s="6" t="s">
        <v>2316</v>
      </c>
      <c r="F481" s="6" t="s">
        <v>2761</v>
      </c>
      <c r="G481" s="6" t="s">
        <v>2762</v>
      </c>
      <c r="H481" s="6" t="str">
        <f>"att_"&amp;G481</f>
        <v>att_protein_position</v>
      </c>
      <c r="I481" s="6" t="s">
        <v>2315</v>
      </c>
      <c r="J481" s="6" t="str">
        <f>H481&amp;":"&amp;I481</f>
        <v>att_protein_position:region</v>
      </c>
      <c r="L481" s="6" t="s">
        <v>2317</v>
      </c>
    </row>
    <row r="485" spans="3:12" x14ac:dyDescent="0.15">
      <c r="C485" s="6" t="s">
        <v>2764</v>
      </c>
      <c r="D485" s="6" t="s">
        <v>265</v>
      </c>
      <c r="F485" s="6" t="s">
        <v>2765</v>
      </c>
      <c r="G485" s="6" t="s">
        <v>2306</v>
      </c>
      <c r="H485" s="6" t="s">
        <v>264</v>
      </c>
      <c r="I485" s="6" t="s">
        <v>263</v>
      </c>
      <c r="J485" s="6" t="str">
        <f t="shared" ref="J485:J503" si="50">H485&amp;":"&amp;I485</f>
        <v>att_aa:arginine</v>
      </c>
      <c r="L485" s="6" t="s">
        <v>266</v>
      </c>
    </row>
    <row r="486" spans="3:12" x14ac:dyDescent="0.15">
      <c r="C486" s="6" t="s">
        <v>2764</v>
      </c>
      <c r="D486" s="6" t="s">
        <v>268</v>
      </c>
      <c r="F486" s="6" t="s">
        <v>2765</v>
      </c>
      <c r="G486" s="6" t="s">
        <v>2306</v>
      </c>
      <c r="H486" s="6" t="s">
        <v>264</v>
      </c>
      <c r="I486" s="6" t="s">
        <v>267</v>
      </c>
      <c r="J486" s="6" t="str">
        <f t="shared" si="50"/>
        <v>att_aa:asparagine</v>
      </c>
      <c r="L486" s="6" t="s">
        <v>269</v>
      </c>
    </row>
    <row r="487" spans="3:12" x14ac:dyDescent="0.15">
      <c r="C487" s="6" t="s">
        <v>2764</v>
      </c>
      <c r="D487" s="6" t="s">
        <v>271</v>
      </c>
      <c r="F487" s="6" t="s">
        <v>2765</v>
      </c>
      <c r="G487" s="6" t="s">
        <v>2306</v>
      </c>
      <c r="H487" s="6" t="s">
        <v>264</v>
      </c>
      <c r="I487" s="6" t="s">
        <v>270</v>
      </c>
      <c r="J487" s="6" t="str">
        <f t="shared" si="50"/>
        <v>att_aa:asparticacid</v>
      </c>
      <c r="L487" s="6" t="s">
        <v>272</v>
      </c>
    </row>
    <row r="488" spans="3:12" x14ac:dyDescent="0.15">
      <c r="C488" s="6" t="s">
        <v>2764</v>
      </c>
      <c r="D488" s="6" t="s">
        <v>274</v>
      </c>
      <c r="F488" s="6" t="s">
        <v>2765</v>
      </c>
      <c r="G488" s="6" t="s">
        <v>2306</v>
      </c>
      <c r="H488" s="6" t="s">
        <v>264</v>
      </c>
      <c r="I488" s="6" t="s">
        <v>273</v>
      </c>
      <c r="J488" s="6" t="str">
        <f t="shared" si="50"/>
        <v>att_aa:cysteine</v>
      </c>
      <c r="L488" s="6" t="s">
        <v>275</v>
      </c>
    </row>
    <row r="489" spans="3:12" x14ac:dyDescent="0.15">
      <c r="C489" s="6" t="s">
        <v>2764</v>
      </c>
      <c r="D489" s="6" t="s">
        <v>277</v>
      </c>
      <c r="F489" s="6" t="s">
        <v>2765</v>
      </c>
      <c r="G489" s="6" t="s">
        <v>2306</v>
      </c>
      <c r="H489" s="6" t="s">
        <v>264</v>
      </c>
      <c r="I489" s="6" t="s">
        <v>276</v>
      </c>
      <c r="J489" s="6" t="str">
        <f t="shared" si="50"/>
        <v>att_aa:glutamicacid</v>
      </c>
      <c r="L489" s="6" t="s">
        <v>278</v>
      </c>
    </row>
    <row r="490" spans="3:12" x14ac:dyDescent="0.15">
      <c r="C490" s="6" t="s">
        <v>2764</v>
      </c>
      <c r="D490" s="6" t="s">
        <v>280</v>
      </c>
      <c r="F490" s="6" t="s">
        <v>2765</v>
      </c>
      <c r="G490" s="6" t="s">
        <v>2306</v>
      </c>
      <c r="H490" s="6" t="s">
        <v>264</v>
      </c>
      <c r="I490" s="6" t="s">
        <v>279</v>
      </c>
      <c r="J490" s="6" t="str">
        <f t="shared" si="50"/>
        <v>att_aa:glutamine</v>
      </c>
      <c r="L490" s="6" t="s">
        <v>281</v>
      </c>
    </row>
    <row r="491" spans="3:12" x14ac:dyDescent="0.15">
      <c r="C491" s="6" t="s">
        <v>2764</v>
      </c>
      <c r="D491" s="6" t="s">
        <v>283</v>
      </c>
      <c r="F491" s="6" t="s">
        <v>2765</v>
      </c>
      <c r="G491" s="6" t="s">
        <v>2306</v>
      </c>
      <c r="H491" s="6" t="s">
        <v>264</v>
      </c>
      <c r="I491" s="6" t="s">
        <v>282</v>
      </c>
      <c r="J491" s="6" t="str">
        <f t="shared" si="50"/>
        <v>att_aa:glycine</v>
      </c>
      <c r="L491" s="6" t="s">
        <v>284</v>
      </c>
    </row>
    <row r="492" spans="3:12" x14ac:dyDescent="0.15">
      <c r="C492" s="6" t="s">
        <v>2764</v>
      </c>
      <c r="D492" s="6" t="s">
        <v>286</v>
      </c>
      <c r="F492" s="6" t="s">
        <v>2765</v>
      </c>
      <c r="G492" s="6" t="s">
        <v>2306</v>
      </c>
      <c r="H492" s="6" t="s">
        <v>264</v>
      </c>
      <c r="I492" s="6" t="s">
        <v>285</v>
      </c>
      <c r="J492" s="6" t="str">
        <f t="shared" si="50"/>
        <v>att_aa:histidine</v>
      </c>
      <c r="L492" s="6" t="s">
        <v>287</v>
      </c>
    </row>
    <row r="493" spans="3:12" x14ac:dyDescent="0.15">
      <c r="C493" s="6" t="s">
        <v>2764</v>
      </c>
      <c r="D493" s="6" t="s">
        <v>289</v>
      </c>
      <c r="F493" s="6" t="s">
        <v>2765</v>
      </c>
      <c r="G493" s="6" t="s">
        <v>2306</v>
      </c>
      <c r="H493" s="6" t="s">
        <v>264</v>
      </c>
      <c r="I493" s="6" t="s">
        <v>288</v>
      </c>
      <c r="J493" s="6" t="str">
        <f t="shared" si="50"/>
        <v>att_aa:isoleucine</v>
      </c>
      <c r="L493" s="6" t="s">
        <v>290</v>
      </c>
    </row>
    <row r="494" spans="3:12" x14ac:dyDescent="0.15">
      <c r="C494" s="6" t="s">
        <v>2764</v>
      </c>
      <c r="D494" s="6" t="s">
        <v>292</v>
      </c>
      <c r="F494" s="6" t="s">
        <v>2765</v>
      </c>
      <c r="G494" s="6" t="s">
        <v>2306</v>
      </c>
      <c r="H494" s="6" t="s">
        <v>264</v>
      </c>
      <c r="I494" s="6" t="s">
        <v>291</v>
      </c>
      <c r="J494" s="6" t="str">
        <f t="shared" si="50"/>
        <v>att_aa:leucine</v>
      </c>
      <c r="L494" s="6" t="s">
        <v>293</v>
      </c>
    </row>
    <row r="495" spans="3:12" x14ac:dyDescent="0.15">
      <c r="C495" s="6" t="s">
        <v>2764</v>
      </c>
      <c r="D495" s="6" t="s">
        <v>295</v>
      </c>
      <c r="F495" s="6" t="s">
        <v>2765</v>
      </c>
      <c r="G495" s="6" t="s">
        <v>2306</v>
      </c>
      <c r="H495" s="6" t="s">
        <v>264</v>
      </c>
      <c r="I495" s="6" t="s">
        <v>294</v>
      </c>
      <c r="J495" s="6" t="str">
        <f t="shared" si="50"/>
        <v>att_aa:lysine</v>
      </c>
      <c r="L495" s="6" t="s">
        <v>296</v>
      </c>
    </row>
    <row r="496" spans="3:12" x14ac:dyDescent="0.15">
      <c r="C496" s="6" t="s">
        <v>2764</v>
      </c>
      <c r="D496" s="6" t="s">
        <v>298</v>
      </c>
      <c r="F496" s="6" t="s">
        <v>2765</v>
      </c>
      <c r="G496" s="6" t="s">
        <v>2306</v>
      </c>
      <c r="H496" s="6" t="s">
        <v>264</v>
      </c>
      <c r="I496" s="6" t="s">
        <v>297</v>
      </c>
      <c r="J496" s="6" t="str">
        <f t="shared" si="50"/>
        <v>att_aa:methionine</v>
      </c>
      <c r="L496" s="6" t="s">
        <v>299</v>
      </c>
    </row>
    <row r="497" spans="3:12" x14ac:dyDescent="0.15">
      <c r="C497" s="6" t="s">
        <v>2764</v>
      </c>
      <c r="D497" s="6" t="s">
        <v>301</v>
      </c>
      <c r="F497" s="6" t="s">
        <v>2765</v>
      </c>
      <c r="G497" s="6" t="s">
        <v>2306</v>
      </c>
      <c r="H497" s="6" t="s">
        <v>264</v>
      </c>
      <c r="I497" s="6" t="s">
        <v>300</v>
      </c>
      <c r="J497" s="6" t="str">
        <f t="shared" si="50"/>
        <v>att_aa:phenylalanine</v>
      </c>
      <c r="L497" s="6" t="s">
        <v>302</v>
      </c>
    </row>
    <row r="498" spans="3:12" x14ac:dyDescent="0.15">
      <c r="C498" s="6" t="s">
        <v>2764</v>
      </c>
      <c r="D498" s="6" t="s">
        <v>304</v>
      </c>
      <c r="F498" s="6" t="s">
        <v>2765</v>
      </c>
      <c r="G498" s="6" t="s">
        <v>2306</v>
      </c>
      <c r="H498" s="6" t="s">
        <v>264</v>
      </c>
      <c r="I498" s="6" t="s">
        <v>303</v>
      </c>
      <c r="J498" s="6" t="str">
        <f t="shared" si="50"/>
        <v>att_aa:proline</v>
      </c>
      <c r="L498" s="6" t="s">
        <v>305</v>
      </c>
    </row>
    <row r="499" spans="3:12" x14ac:dyDescent="0.15">
      <c r="C499" s="6" t="s">
        <v>2764</v>
      </c>
      <c r="D499" s="6" t="s">
        <v>307</v>
      </c>
      <c r="F499" s="6" t="s">
        <v>2765</v>
      </c>
      <c r="G499" s="6" t="s">
        <v>2306</v>
      </c>
      <c r="H499" s="6" t="s">
        <v>264</v>
      </c>
      <c r="I499" s="6" t="s">
        <v>306</v>
      </c>
      <c r="J499" s="6" t="str">
        <f t="shared" si="50"/>
        <v>att_aa:serine</v>
      </c>
      <c r="L499" s="6" t="s">
        <v>308</v>
      </c>
    </row>
    <row r="500" spans="3:12" x14ac:dyDescent="0.15">
      <c r="C500" s="6" t="s">
        <v>2764</v>
      </c>
      <c r="D500" s="6" t="s">
        <v>310</v>
      </c>
      <c r="F500" s="6" t="s">
        <v>2765</v>
      </c>
      <c r="G500" s="6" t="s">
        <v>2306</v>
      </c>
      <c r="H500" s="6" t="s">
        <v>264</v>
      </c>
      <c r="I500" s="6" t="s">
        <v>309</v>
      </c>
      <c r="J500" s="6" t="str">
        <f t="shared" si="50"/>
        <v>att_aa:threonine</v>
      </c>
      <c r="L500" s="6" t="s">
        <v>311</v>
      </c>
    </row>
    <row r="501" spans="3:12" x14ac:dyDescent="0.15">
      <c r="C501" s="6" t="s">
        <v>2764</v>
      </c>
      <c r="D501" s="6" t="s">
        <v>313</v>
      </c>
      <c r="F501" s="6" t="s">
        <v>2765</v>
      </c>
      <c r="G501" s="6" t="s">
        <v>2306</v>
      </c>
      <c r="H501" s="6" t="s">
        <v>264</v>
      </c>
      <c r="I501" s="6" t="s">
        <v>312</v>
      </c>
      <c r="J501" s="6" t="str">
        <f t="shared" si="50"/>
        <v>att_aa:tryptophan</v>
      </c>
      <c r="L501" s="6" t="s">
        <v>314</v>
      </c>
    </row>
    <row r="502" spans="3:12" x14ac:dyDescent="0.15">
      <c r="C502" s="6" t="s">
        <v>2764</v>
      </c>
      <c r="D502" s="6" t="s">
        <v>316</v>
      </c>
      <c r="F502" s="6" t="s">
        <v>2765</v>
      </c>
      <c r="G502" s="6" t="s">
        <v>2306</v>
      </c>
      <c r="H502" s="6" t="s">
        <v>264</v>
      </c>
      <c r="I502" s="6" t="s">
        <v>315</v>
      </c>
      <c r="J502" s="6" t="str">
        <f t="shared" si="50"/>
        <v>att_aa:tyrosine</v>
      </c>
      <c r="L502" s="6" t="s">
        <v>317</v>
      </c>
    </row>
    <row r="503" spans="3:12" x14ac:dyDescent="0.15">
      <c r="C503" s="6" t="s">
        <v>2764</v>
      </c>
      <c r="D503" s="6" t="s">
        <v>319</v>
      </c>
      <c r="F503" s="6" t="s">
        <v>2765</v>
      </c>
      <c r="G503" s="6" t="s">
        <v>2306</v>
      </c>
      <c r="H503" s="6" t="s">
        <v>264</v>
      </c>
      <c r="I503" s="6" t="s">
        <v>318</v>
      </c>
      <c r="J503" s="6" t="str">
        <f t="shared" si="50"/>
        <v>att_aa:valine</v>
      </c>
      <c r="L503" s="6" t="s">
        <v>320</v>
      </c>
    </row>
    <row r="507" spans="3:12" x14ac:dyDescent="0.15">
      <c r="C507" s="6" t="s">
        <v>2766</v>
      </c>
      <c r="D507" s="6">
        <v>126</v>
      </c>
      <c r="F507" s="6" t="s">
        <v>235</v>
      </c>
      <c r="G507" s="6" t="s">
        <v>2767</v>
      </c>
      <c r="H507" s="6" t="s">
        <v>234</v>
      </c>
      <c r="I507" s="6" t="str">
        <f t="shared" ref="I507:I516" si="51">"tmt10_"&amp;D507</f>
        <v>tmt10_126</v>
      </c>
      <c r="J507" s="6" t="str">
        <f t="shared" ref="J507:J516" si="52">H507&amp;":"&amp;I507</f>
        <v>att_tmt_channel:tmt10_126</v>
      </c>
    </row>
    <row r="508" spans="3:12" x14ac:dyDescent="0.15">
      <c r="C508" s="6" t="s">
        <v>2766</v>
      </c>
      <c r="D508" s="6" t="s">
        <v>2422</v>
      </c>
      <c r="F508" s="6" t="s">
        <v>235</v>
      </c>
      <c r="G508" s="6" t="s">
        <v>2767</v>
      </c>
      <c r="H508" s="6" t="s">
        <v>234</v>
      </c>
      <c r="I508" s="6" t="str">
        <f t="shared" si="51"/>
        <v>tmt10_127N</v>
      </c>
      <c r="J508" s="6" t="str">
        <f t="shared" si="52"/>
        <v>att_tmt_channel:tmt10_127N</v>
      </c>
    </row>
    <row r="509" spans="3:12" x14ac:dyDescent="0.15">
      <c r="C509" s="6" t="s">
        <v>2766</v>
      </c>
      <c r="D509" s="6" t="s">
        <v>2420</v>
      </c>
      <c r="F509" s="6" t="s">
        <v>235</v>
      </c>
      <c r="G509" s="6" t="s">
        <v>2767</v>
      </c>
      <c r="H509" s="6" t="s">
        <v>234</v>
      </c>
      <c r="I509" s="6" t="str">
        <f t="shared" si="51"/>
        <v>tmt10_127C</v>
      </c>
      <c r="J509" s="6" t="str">
        <f t="shared" si="52"/>
        <v>att_tmt_channel:tmt10_127C</v>
      </c>
    </row>
    <row r="510" spans="3:12" x14ac:dyDescent="0.15">
      <c r="C510" s="6" t="s">
        <v>2766</v>
      </c>
      <c r="D510" s="6" t="s">
        <v>2426</v>
      </c>
      <c r="F510" s="6" t="s">
        <v>235</v>
      </c>
      <c r="G510" s="6" t="s">
        <v>2767</v>
      </c>
      <c r="H510" s="6" t="s">
        <v>234</v>
      </c>
      <c r="I510" s="6" t="str">
        <f t="shared" si="51"/>
        <v>tmt10_128N</v>
      </c>
      <c r="J510" s="6" t="str">
        <f t="shared" si="52"/>
        <v>att_tmt_channel:tmt10_128N</v>
      </c>
    </row>
    <row r="511" spans="3:12" x14ac:dyDescent="0.15">
      <c r="C511" s="6" t="s">
        <v>2766</v>
      </c>
      <c r="D511" s="6" t="s">
        <v>2424</v>
      </c>
      <c r="F511" s="6" t="s">
        <v>235</v>
      </c>
      <c r="G511" s="6" t="s">
        <v>2767</v>
      </c>
      <c r="H511" s="6" t="s">
        <v>234</v>
      </c>
      <c r="I511" s="6" t="str">
        <f t="shared" si="51"/>
        <v>tmt10_128C</v>
      </c>
      <c r="J511" s="6" t="str">
        <f t="shared" si="52"/>
        <v>att_tmt_channel:tmt10_128C</v>
      </c>
    </row>
    <row r="512" spans="3:12" x14ac:dyDescent="0.15">
      <c r="C512" s="6" t="s">
        <v>2766</v>
      </c>
      <c r="D512" s="6" t="s">
        <v>2430</v>
      </c>
      <c r="F512" s="6" t="s">
        <v>235</v>
      </c>
      <c r="G512" s="6" t="s">
        <v>2767</v>
      </c>
      <c r="H512" s="6" t="s">
        <v>234</v>
      </c>
      <c r="I512" s="6" t="str">
        <f t="shared" si="51"/>
        <v>tmt10_129N</v>
      </c>
      <c r="J512" s="6" t="str">
        <f t="shared" si="52"/>
        <v>att_tmt_channel:tmt10_129N</v>
      </c>
    </row>
    <row r="513" spans="3:10" x14ac:dyDescent="0.15">
      <c r="C513" s="6" t="s">
        <v>2766</v>
      </c>
      <c r="D513" s="6" t="s">
        <v>2428</v>
      </c>
      <c r="F513" s="6" t="s">
        <v>235</v>
      </c>
      <c r="G513" s="6" t="s">
        <v>2767</v>
      </c>
      <c r="H513" s="6" t="s">
        <v>234</v>
      </c>
      <c r="I513" s="6" t="str">
        <f t="shared" si="51"/>
        <v>tmt10_129C</v>
      </c>
      <c r="J513" s="6" t="str">
        <f t="shared" si="52"/>
        <v>att_tmt_channel:tmt10_129C</v>
      </c>
    </row>
    <row r="514" spans="3:10" x14ac:dyDescent="0.15">
      <c r="C514" s="6" t="s">
        <v>2766</v>
      </c>
      <c r="D514" s="6" t="s">
        <v>2434</v>
      </c>
      <c r="F514" s="6" t="s">
        <v>235</v>
      </c>
      <c r="G514" s="6" t="s">
        <v>2767</v>
      </c>
      <c r="H514" s="6" t="s">
        <v>234</v>
      </c>
      <c r="I514" s="6" t="str">
        <f t="shared" si="51"/>
        <v>tmt10_130N</v>
      </c>
      <c r="J514" s="6" t="str">
        <f t="shared" si="52"/>
        <v>att_tmt_channel:tmt10_130N</v>
      </c>
    </row>
    <row r="515" spans="3:10" x14ac:dyDescent="0.15">
      <c r="C515" s="6" t="s">
        <v>2766</v>
      </c>
      <c r="D515" s="6" t="s">
        <v>2432</v>
      </c>
      <c r="F515" s="6" t="s">
        <v>235</v>
      </c>
      <c r="G515" s="6" t="s">
        <v>2767</v>
      </c>
      <c r="H515" s="6" t="s">
        <v>234</v>
      </c>
      <c r="I515" s="6" t="str">
        <f t="shared" si="51"/>
        <v>tmt10_130C</v>
      </c>
      <c r="J515" s="6" t="str">
        <f t="shared" si="52"/>
        <v>att_tmt_channel:tmt10_130C</v>
      </c>
    </row>
    <row r="516" spans="3:10" x14ac:dyDescent="0.15">
      <c r="C516" s="6" t="s">
        <v>2766</v>
      </c>
      <c r="D516" s="6">
        <v>131</v>
      </c>
      <c r="F516" s="6" t="s">
        <v>235</v>
      </c>
      <c r="G516" s="6" t="s">
        <v>2767</v>
      </c>
      <c r="H516" s="6" t="s">
        <v>234</v>
      </c>
      <c r="I516" s="6" t="str">
        <f t="shared" si="51"/>
        <v>tmt10_131</v>
      </c>
      <c r="J516" s="6" t="str">
        <f t="shared" si="52"/>
        <v>att_tmt_channel:tmt10_131</v>
      </c>
    </row>
    <row r="518" spans="3:10" x14ac:dyDescent="0.15">
      <c r="C518" s="6" t="s">
        <v>2766</v>
      </c>
      <c r="D518" s="6">
        <v>126</v>
      </c>
      <c r="F518" s="6" t="s">
        <v>2768</v>
      </c>
      <c r="G518" s="6" t="s">
        <v>2767</v>
      </c>
      <c r="H518" s="6" t="s">
        <v>234</v>
      </c>
      <c r="I518" s="6" t="str">
        <f t="shared" ref="I518:I528" si="53">"tmt11_"&amp;D518</f>
        <v>tmt11_126</v>
      </c>
      <c r="J518" s="6" t="str">
        <f t="shared" ref="J518:J528" si="54">H518&amp;":"&amp;I518</f>
        <v>att_tmt_channel:tmt11_126</v>
      </c>
    </row>
    <row r="519" spans="3:10" x14ac:dyDescent="0.15">
      <c r="C519" s="6" t="s">
        <v>2766</v>
      </c>
      <c r="D519" s="6" t="s">
        <v>2422</v>
      </c>
      <c r="F519" s="6" t="s">
        <v>2768</v>
      </c>
      <c r="G519" s="6" t="s">
        <v>2767</v>
      </c>
      <c r="H519" s="6" t="s">
        <v>234</v>
      </c>
      <c r="I519" s="6" t="str">
        <f t="shared" si="53"/>
        <v>tmt11_127N</v>
      </c>
      <c r="J519" s="6" t="str">
        <f t="shared" si="54"/>
        <v>att_tmt_channel:tmt11_127N</v>
      </c>
    </row>
    <row r="520" spans="3:10" x14ac:dyDescent="0.15">
      <c r="C520" s="6" t="s">
        <v>2766</v>
      </c>
      <c r="D520" s="6" t="s">
        <v>2420</v>
      </c>
      <c r="F520" s="6" t="s">
        <v>2768</v>
      </c>
      <c r="G520" s="6" t="s">
        <v>2767</v>
      </c>
      <c r="H520" s="6" t="s">
        <v>234</v>
      </c>
      <c r="I520" s="6" t="str">
        <f t="shared" si="53"/>
        <v>tmt11_127C</v>
      </c>
      <c r="J520" s="6" t="str">
        <f t="shared" si="54"/>
        <v>att_tmt_channel:tmt11_127C</v>
      </c>
    </row>
    <row r="521" spans="3:10" x14ac:dyDescent="0.15">
      <c r="C521" s="6" t="s">
        <v>2766</v>
      </c>
      <c r="D521" s="6" t="s">
        <v>2426</v>
      </c>
      <c r="F521" s="6" t="s">
        <v>2768</v>
      </c>
      <c r="G521" s="6" t="s">
        <v>2767</v>
      </c>
      <c r="H521" s="6" t="s">
        <v>234</v>
      </c>
      <c r="I521" s="6" t="str">
        <f t="shared" si="53"/>
        <v>tmt11_128N</v>
      </c>
      <c r="J521" s="6" t="str">
        <f t="shared" si="54"/>
        <v>att_tmt_channel:tmt11_128N</v>
      </c>
    </row>
    <row r="522" spans="3:10" x14ac:dyDescent="0.15">
      <c r="C522" s="6" t="s">
        <v>2766</v>
      </c>
      <c r="D522" s="6" t="s">
        <v>2424</v>
      </c>
      <c r="F522" s="6" t="s">
        <v>2768</v>
      </c>
      <c r="G522" s="6" t="s">
        <v>2767</v>
      </c>
      <c r="H522" s="6" t="s">
        <v>234</v>
      </c>
      <c r="I522" s="6" t="str">
        <f t="shared" si="53"/>
        <v>tmt11_128C</v>
      </c>
      <c r="J522" s="6" t="str">
        <f t="shared" si="54"/>
        <v>att_tmt_channel:tmt11_128C</v>
      </c>
    </row>
    <row r="523" spans="3:10" x14ac:dyDescent="0.15">
      <c r="C523" s="6" t="s">
        <v>2766</v>
      </c>
      <c r="D523" s="6" t="s">
        <v>2430</v>
      </c>
      <c r="F523" s="6" t="s">
        <v>2768</v>
      </c>
      <c r="G523" s="6" t="s">
        <v>2767</v>
      </c>
      <c r="H523" s="6" t="s">
        <v>234</v>
      </c>
      <c r="I523" s="6" t="str">
        <f t="shared" si="53"/>
        <v>tmt11_129N</v>
      </c>
      <c r="J523" s="6" t="str">
        <f t="shared" si="54"/>
        <v>att_tmt_channel:tmt11_129N</v>
      </c>
    </row>
    <row r="524" spans="3:10" x14ac:dyDescent="0.15">
      <c r="C524" s="6" t="s">
        <v>2766</v>
      </c>
      <c r="D524" s="6" t="s">
        <v>2428</v>
      </c>
      <c r="F524" s="6" t="s">
        <v>2768</v>
      </c>
      <c r="G524" s="6" t="s">
        <v>2767</v>
      </c>
      <c r="H524" s="6" t="s">
        <v>234</v>
      </c>
      <c r="I524" s="6" t="str">
        <f t="shared" si="53"/>
        <v>tmt11_129C</v>
      </c>
      <c r="J524" s="6" t="str">
        <f t="shared" si="54"/>
        <v>att_tmt_channel:tmt11_129C</v>
      </c>
    </row>
    <row r="525" spans="3:10" x14ac:dyDescent="0.15">
      <c r="C525" s="6" t="s">
        <v>2766</v>
      </c>
      <c r="D525" s="6" t="s">
        <v>2434</v>
      </c>
      <c r="F525" s="6" t="s">
        <v>2768</v>
      </c>
      <c r="G525" s="6" t="s">
        <v>2767</v>
      </c>
      <c r="H525" s="6" t="s">
        <v>234</v>
      </c>
      <c r="I525" s="6" t="str">
        <f t="shared" si="53"/>
        <v>tmt11_130N</v>
      </c>
      <c r="J525" s="6" t="str">
        <f t="shared" si="54"/>
        <v>att_tmt_channel:tmt11_130N</v>
      </c>
    </row>
    <row r="526" spans="3:10" x14ac:dyDescent="0.15">
      <c r="C526" s="6" t="s">
        <v>2766</v>
      </c>
      <c r="D526" s="6" t="s">
        <v>2432</v>
      </c>
      <c r="F526" s="6" t="s">
        <v>2768</v>
      </c>
      <c r="G526" s="6" t="s">
        <v>2767</v>
      </c>
      <c r="H526" s="6" t="s">
        <v>234</v>
      </c>
      <c r="I526" s="6" t="str">
        <f t="shared" si="53"/>
        <v>tmt11_130C</v>
      </c>
      <c r="J526" s="6" t="str">
        <f t="shared" si="54"/>
        <v>att_tmt_channel:tmt11_130C</v>
      </c>
    </row>
    <row r="527" spans="3:10" x14ac:dyDescent="0.15">
      <c r="C527" s="6" t="s">
        <v>2766</v>
      </c>
      <c r="D527" s="6" t="s">
        <v>2448</v>
      </c>
      <c r="F527" s="6" t="s">
        <v>2768</v>
      </c>
      <c r="G527" s="6" t="s">
        <v>2767</v>
      </c>
      <c r="H527" s="6" t="s">
        <v>234</v>
      </c>
      <c r="I527" s="6" t="str">
        <f t="shared" si="53"/>
        <v>tmt11_131N</v>
      </c>
      <c r="J527" s="6" t="str">
        <f t="shared" si="54"/>
        <v>att_tmt_channel:tmt11_131N</v>
      </c>
    </row>
    <row r="528" spans="3:10" x14ac:dyDescent="0.15">
      <c r="C528" s="6" t="s">
        <v>2766</v>
      </c>
      <c r="D528" s="6" t="s">
        <v>2446</v>
      </c>
      <c r="F528" s="6" t="s">
        <v>2768</v>
      </c>
      <c r="G528" s="6" t="s">
        <v>2767</v>
      </c>
      <c r="H528" s="6" t="s">
        <v>234</v>
      </c>
      <c r="I528" s="6" t="str">
        <f t="shared" si="53"/>
        <v>tmt11_131C</v>
      </c>
      <c r="J528" s="6" t="str">
        <f t="shared" si="54"/>
        <v>att_tmt_channel:tmt11_131C</v>
      </c>
    </row>
    <row r="531" spans="3:10" x14ac:dyDescent="0.15">
      <c r="C531" s="6" t="s">
        <v>2766</v>
      </c>
      <c r="D531" s="6">
        <v>126</v>
      </c>
      <c r="F531" s="6" t="s">
        <v>2769</v>
      </c>
      <c r="G531" s="6" t="s">
        <v>2767</v>
      </c>
      <c r="H531" s="6" t="s">
        <v>234</v>
      </c>
      <c r="I531" s="6" t="str">
        <f t="shared" ref="I531:I536" si="55">"tmt6_"&amp;D531</f>
        <v>tmt6_126</v>
      </c>
      <c r="J531" s="6" t="str">
        <f t="shared" ref="J531:J536" si="56">H531&amp;":"&amp;I531</f>
        <v>att_tmt_channel:tmt6_126</v>
      </c>
    </row>
    <row r="532" spans="3:10" x14ac:dyDescent="0.15">
      <c r="C532" s="6" t="s">
        <v>2766</v>
      </c>
      <c r="D532" s="6">
        <v>127</v>
      </c>
      <c r="F532" s="6" t="s">
        <v>2769</v>
      </c>
      <c r="G532" s="6" t="s">
        <v>2767</v>
      </c>
      <c r="H532" s="6" t="s">
        <v>234</v>
      </c>
      <c r="I532" s="6" t="str">
        <f t="shared" si="55"/>
        <v>tmt6_127</v>
      </c>
      <c r="J532" s="6" t="str">
        <f t="shared" si="56"/>
        <v>att_tmt_channel:tmt6_127</v>
      </c>
    </row>
    <row r="533" spans="3:10" x14ac:dyDescent="0.15">
      <c r="C533" s="6" t="s">
        <v>2766</v>
      </c>
      <c r="D533" s="6">
        <v>128</v>
      </c>
      <c r="F533" s="6" t="s">
        <v>2769</v>
      </c>
      <c r="G533" s="6" t="s">
        <v>2767</v>
      </c>
      <c r="H533" s="6" t="s">
        <v>234</v>
      </c>
      <c r="I533" s="6" t="str">
        <f t="shared" si="55"/>
        <v>tmt6_128</v>
      </c>
      <c r="J533" s="6" t="str">
        <f t="shared" si="56"/>
        <v>att_tmt_channel:tmt6_128</v>
      </c>
    </row>
    <row r="534" spans="3:10" x14ac:dyDescent="0.15">
      <c r="C534" s="6" t="s">
        <v>2766</v>
      </c>
      <c r="D534" s="6">
        <v>129</v>
      </c>
      <c r="F534" s="6" t="s">
        <v>2769</v>
      </c>
      <c r="G534" s="6" t="s">
        <v>2767</v>
      </c>
      <c r="H534" s="6" t="s">
        <v>234</v>
      </c>
      <c r="I534" s="6" t="str">
        <f t="shared" si="55"/>
        <v>tmt6_129</v>
      </c>
      <c r="J534" s="6" t="str">
        <f t="shared" si="56"/>
        <v>att_tmt_channel:tmt6_129</v>
      </c>
    </row>
    <row r="535" spans="3:10" x14ac:dyDescent="0.15">
      <c r="C535" s="6" t="s">
        <v>2766</v>
      </c>
      <c r="D535" s="6">
        <v>130</v>
      </c>
      <c r="F535" s="6" t="s">
        <v>2769</v>
      </c>
      <c r="G535" s="6" t="s">
        <v>2767</v>
      </c>
      <c r="H535" s="6" t="s">
        <v>234</v>
      </c>
      <c r="I535" s="6" t="str">
        <f t="shared" si="55"/>
        <v>tmt6_130</v>
      </c>
      <c r="J535" s="6" t="str">
        <f t="shared" si="56"/>
        <v>att_tmt_channel:tmt6_130</v>
      </c>
    </row>
    <row r="536" spans="3:10" x14ac:dyDescent="0.15">
      <c r="C536" s="6" t="s">
        <v>2766</v>
      </c>
      <c r="D536" s="6">
        <v>131</v>
      </c>
      <c r="F536" s="6" t="s">
        <v>2769</v>
      </c>
      <c r="G536" s="6" t="s">
        <v>2767</v>
      </c>
      <c r="H536" s="6" t="s">
        <v>234</v>
      </c>
      <c r="I536" s="6" t="str">
        <f t="shared" si="55"/>
        <v>tmt6_131</v>
      </c>
      <c r="J536" s="6" t="str">
        <f t="shared" si="56"/>
        <v>att_tmt_channel:tmt6_131</v>
      </c>
    </row>
    <row r="539" spans="3:10" x14ac:dyDescent="0.15">
      <c r="C539" s="6" t="s">
        <v>2766</v>
      </c>
      <c r="D539" s="6">
        <v>126</v>
      </c>
      <c r="F539" s="6" t="s">
        <v>2770</v>
      </c>
      <c r="G539" s="6" t="s">
        <v>2767</v>
      </c>
      <c r="H539" s="6" t="s">
        <v>234</v>
      </c>
      <c r="I539" s="6" t="str">
        <f t="shared" ref="I539:I556" si="57">"tmt18_"&amp;D539</f>
        <v>tmt18_126</v>
      </c>
      <c r="J539" s="6" t="str">
        <f t="shared" ref="J539:J556" si="58">H539&amp;":"&amp;I539</f>
        <v>att_tmt_channel:tmt18_126</v>
      </c>
    </row>
    <row r="540" spans="3:10" x14ac:dyDescent="0.15">
      <c r="C540" s="6" t="s">
        <v>2766</v>
      </c>
      <c r="D540" s="6" t="s">
        <v>2422</v>
      </c>
      <c r="F540" s="6" t="s">
        <v>2770</v>
      </c>
      <c r="G540" s="6" t="s">
        <v>2767</v>
      </c>
      <c r="H540" s="6" t="s">
        <v>234</v>
      </c>
      <c r="I540" s="6" t="str">
        <f t="shared" si="57"/>
        <v>tmt18_127N</v>
      </c>
      <c r="J540" s="6" t="str">
        <f t="shared" si="58"/>
        <v>att_tmt_channel:tmt18_127N</v>
      </c>
    </row>
    <row r="541" spans="3:10" x14ac:dyDescent="0.15">
      <c r="C541" s="6" t="s">
        <v>2766</v>
      </c>
      <c r="D541" s="6" t="s">
        <v>2420</v>
      </c>
      <c r="F541" s="6" t="s">
        <v>2770</v>
      </c>
      <c r="G541" s="6" t="s">
        <v>2767</v>
      </c>
      <c r="H541" s="6" t="s">
        <v>234</v>
      </c>
      <c r="I541" s="6" t="str">
        <f t="shared" si="57"/>
        <v>tmt18_127C</v>
      </c>
      <c r="J541" s="6" t="str">
        <f t="shared" si="58"/>
        <v>att_tmt_channel:tmt18_127C</v>
      </c>
    </row>
    <row r="542" spans="3:10" x14ac:dyDescent="0.15">
      <c r="C542" s="6" t="s">
        <v>2766</v>
      </c>
      <c r="D542" s="6" t="s">
        <v>2426</v>
      </c>
      <c r="F542" s="6" t="s">
        <v>2770</v>
      </c>
      <c r="G542" s="6" t="s">
        <v>2767</v>
      </c>
      <c r="H542" s="6" t="s">
        <v>234</v>
      </c>
      <c r="I542" s="6" t="str">
        <f t="shared" si="57"/>
        <v>tmt18_128N</v>
      </c>
      <c r="J542" s="6" t="str">
        <f t="shared" si="58"/>
        <v>att_tmt_channel:tmt18_128N</v>
      </c>
    </row>
    <row r="543" spans="3:10" x14ac:dyDescent="0.15">
      <c r="C543" s="6" t="s">
        <v>2766</v>
      </c>
      <c r="D543" s="6" t="s">
        <v>2424</v>
      </c>
      <c r="F543" s="6" t="s">
        <v>2770</v>
      </c>
      <c r="G543" s="6" t="s">
        <v>2767</v>
      </c>
      <c r="H543" s="6" t="s">
        <v>234</v>
      </c>
      <c r="I543" s="6" t="str">
        <f t="shared" si="57"/>
        <v>tmt18_128C</v>
      </c>
      <c r="J543" s="6" t="str">
        <f t="shared" si="58"/>
        <v>att_tmt_channel:tmt18_128C</v>
      </c>
    </row>
    <row r="544" spans="3:10" x14ac:dyDescent="0.15">
      <c r="C544" s="6" t="s">
        <v>2766</v>
      </c>
      <c r="D544" s="6" t="s">
        <v>2430</v>
      </c>
      <c r="F544" s="6" t="s">
        <v>2770</v>
      </c>
      <c r="G544" s="6" t="s">
        <v>2767</v>
      </c>
      <c r="H544" s="6" t="s">
        <v>234</v>
      </c>
      <c r="I544" s="6" t="str">
        <f t="shared" si="57"/>
        <v>tmt18_129N</v>
      </c>
      <c r="J544" s="6" t="str">
        <f t="shared" si="58"/>
        <v>att_tmt_channel:tmt18_129N</v>
      </c>
    </row>
    <row r="545" spans="3:10" x14ac:dyDescent="0.15">
      <c r="C545" s="6" t="s">
        <v>2766</v>
      </c>
      <c r="D545" s="6" t="s">
        <v>2428</v>
      </c>
      <c r="F545" s="6" t="s">
        <v>2770</v>
      </c>
      <c r="G545" s="6" t="s">
        <v>2767</v>
      </c>
      <c r="H545" s="6" t="s">
        <v>234</v>
      </c>
      <c r="I545" s="6" t="str">
        <f t="shared" si="57"/>
        <v>tmt18_129C</v>
      </c>
      <c r="J545" s="6" t="str">
        <f t="shared" si="58"/>
        <v>att_tmt_channel:tmt18_129C</v>
      </c>
    </row>
    <row r="546" spans="3:10" x14ac:dyDescent="0.15">
      <c r="C546" s="6" t="s">
        <v>2766</v>
      </c>
      <c r="D546" s="6" t="s">
        <v>2434</v>
      </c>
      <c r="F546" s="6" t="s">
        <v>2770</v>
      </c>
      <c r="G546" s="6" t="s">
        <v>2767</v>
      </c>
      <c r="H546" s="6" t="s">
        <v>234</v>
      </c>
      <c r="I546" s="6" t="str">
        <f t="shared" si="57"/>
        <v>tmt18_130N</v>
      </c>
      <c r="J546" s="6" t="str">
        <f t="shared" si="58"/>
        <v>att_tmt_channel:tmt18_130N</v>
      </c>
    </row>
    <row r="547" spans="3:10" x14ac:dyDescent="0.15">
      <c r="C547" s="6" t="s">
        <v>2766</v>
      </c>
      <c r="D547" s="6" t="s">
        <v>2432</v>
      </c>
      <c r="F547" s="6" t="s">
        <v>2770</v>
      </c>
      <c r="G547" s="6" t="s">
        <v>2767</v>
      </c>
      <c r="H547" s="6" t="s">
        <v>234</v>
      </c>
      <c r="I547" s="6" t="str">
        <f t="shared" si="57"/>
        <v>tmt18_130C</v>
      </c>
      <c r="J547" s="6" t="str">
        <f t="shared" si="58"/>
        <v>att_tmt_channel:tmt18_130C</v>
      </c>
    </row>
    <row r="548" spans="3:10" x14ac:dyDescent="0.15">
      <c r="C548" s="6" t="s">
        <v>2766</v>
      </c>
      <c r="D548" s="6" t="s">
        <v>2448</v>
      </c>
      <c r="F548" s="6" t="s">
        <v>2770</v>
      </c>
      <c r="G548" s="6" t="s">
        <v>2767</v>
      </c>
      <c r="H548" s="6" t="s">
        <v>234</v>
      </c>
      <c r="I548" s="6" t="str">
        <f t="shared" si="57"/>
        <v>tmt18_131N</v>
      </c>
      <c r="J548" s="6" t="str">
        <f t="shared" si="58"/>
        <v>att_tmt_channel:tmt18_131N</v>
      </c>
    </row>
    <row r="549" spans="3:10" x14ac:dyDescent="0.15">
      <c r="C549" s="6" t="s">
        <v>2766</v>
      </c>
      <c r="D549" s="6" t="s">
        <v>2446</v>
      </c>
      <c r="F549" s="6" t="s">
        <v>2770</v>
      </c>
      <c r="G549" s="6" t="s">
        <v>2767</v>
      </c>
      <c r="H549" s="6" t="s">
        <v>234</v>
      </c>
      <c r="I549" s="6" t="str">
        <f t="shared" si="57"/>
        <v>tmt18_131C</v>
      </c>
      <c r="J549" s="6" t="str">
        <f t="shared" si="58"/>
        <v>att_tmt_channel:tmt18_131C</v>
      </c>
    </row>
    <row r="550" spans="3:10" x14ac:dyDescent="0.15">
      <c r="C550" s="6" t="s">
        <v>2766</v>
      </c>
      <c r="D550" s="6" t="s">
        <v>2463</v>
      </c>
      <c r="F550" s="6" t="s">
        <v>2770</v>
      </c>
      <c r="G550" s="6" t="s">
        <v>2767</v>
      </c>
      <c r="H550" s="6" t="s">
        <v>234</v>
      </c>
      <c r="I550" s="6" t="str">
        <f t="shared" si="57"/>
        <v>tmt18_132N</v>
      </c>
      <c r="J550" s="6" t="str">
        <f t="shared" si="58"/>
        <v>att_tmt_channel:tmt18_132N</v>
      </c>
    </row>
    <row r="551" spans="3:10" x14ac:dyDescent="0.15">
      <c r="C551" s="6" t="s">
        <v>2766</v>
      </c>
      <c r="D551" s="6" t="s">
        <v>2461</v>
      </c>
      <c r="F551" s="6" t="s">
        <v>2770</v>
      </c>
      <c r="G551" s="6" t="s">
        <v>2767</v>
      </c>
      <c r="H551" s="6" t="s">
        <v>234</v>
      </c>
      <c r="I551" s="6" t="str">
        <f t="shared" si="57"/>
        <v>tmt18_132C</v>
      </c>
      <c r="J551" s="6" t="str">
        <f t="shared" si="58"/>
        <v>att_tmt_channel:tmt18_132C</v>
      </c>
    </row>
    <row r="552" spans="3:10" x14ac:dyDescent="0.15">
      <c r="C552" s="6" t="s">
        <v>2766</v>
      </c>
      <c r="D552" s="6" t="s">
        <v>2467</v>
      </c>
      <c r="F552" s="6" t="s">
        <v>2770</v>
      </c>
      <c r="G552" s="6" t="s">
        <v>2767</v>
      </c>
      <c r="H552" s="6" t="s">
        <v>234</v>
      </c>
      <c r="I552" s="6" t="str">
        <f t="shared" si="57"/>
        <v>tmt18_133N</v>
      </c>
      <c r="J552" s="6" t="str">
        <f t="shared" si="58"/>
        <v>att_tmt_channel:tmt18_133N</v>
      </c>
    </row>
    <row r="553" spans="3:10" x14ac:dyDescent="0.15">
      <c r="C553" s="6" t="s">
        <v>2766</v>
      </c>
      <c r="D553" s="6" t="s">
        <v>2465</v>
      </c>
      <c r="F553" s="6" t="s">
        <v>2770</v>
      </c>
      <c r="G553" s="6" t="s">
        <v>2767</v>
      </c>
      <c r="H553" s="6" t="s">
        <v>234</v>
      </c>
      <c r="I553" s="6" t="str">
        <f t="shared" si="57"/>
        <v>tmt18_133C</v>
      </c>
      <c r="J553" s="6" t="str">
        <f t="shared" si="58"/>
        <v>att_tmt_channel:tmt18_133C</v>
      </c>
    </row>
    <row r="554" spans="3:10" x14ac:dyDescent="0.15">
      <c r="C554" s="6" t="s">
        <v>2766</v>
      </c>
      <c r="D554" s="6" t="s">
        <v>2471</v>
      </c>
      <c r="F554" s="6" t="s">
        <v>2770</v>
      </c>
      <c r="G554" s="6" t="s">
        <v>2767</v>
      </c>
      <c r="H554" s="6" t="s">
        <v>234</v>
      </c>
      <c r="I554" s="6" t="str">
        <f t="shared" si="57"/>
        <v>tmt18_134N</v>
      </c>
      <c r="J554" s="6" t="str">
        <f t="shared" si="58"/>
        <v>att_tmt_channel:tmt18_134N</v>
      </c>
    </row>
    <row r="555" spans="3:10" x14ac:dyDescent="0.15">
      <c r="C555" s="6" t="s">
        <v>2766</v>
      </c>
      <c r="D555" s="6" t="s">
        <v>2469</v>
      </c>
      <c r="F555" s="6" t="s">
        <v>2770</v>
      </c>
      <c r="G555" s="6" t="s">
        <v>2767</v>
      </c>
      <c r="H555" s="6" t="s">
        <v>234</v>
      </c>
      <c r="I555" s="6" t="str">
        <f t="shared" si="57"/>
        <v>tmt18_134C</v>
      </c>
      <c r="J555" s="6" t="str">
        <f t="shared" si="58"/>
        <v>att_tmt_channel:tmt18_134C</v>
      </c>
    </row>
    <row r="556" spans="3:10" x14ac:dyDescent="0.15">
      <c r="C556" s="6" t="s">
        <v>2766</v>
      </c>
      <c r="D556" s="6" t="s">
        <v>2473</v>
      </c>
      <c r="F556" s="6" t="s">
        <v>2770</v>
      </c>
      <c r="G556" s="6" t="s">
        <v>2767</v>
      </c>
      <c r="H556" s="6" t="s">
        <v>234</v>
      </c>
      <c r="I556" s="6" t="str">
        <f t="shared" si="57"/>
        <v>tmt18_135N</v>
      </c>
      <c r="J556" s="6" t="str">
        <f t="shared" si="58"/>
        <v>att_tmt_channel:tmt18_135N</v>
      </c>
    </row>
    <row r="562" spans="3:10" x14ac:dyDescent="0.15">
      <c r="C562" s="6" t="s">
        <v>2771</v>
      </c>
      <c r="D562" s="6" t="s">
        <v>2493</v>
      </c>
      <c r="F562" s="6" t="s">
        <v>2772</v>
      </c>
      <c r="G562" s="6" t="s">
        <v>2773</v>
      </c>
      <c r="H562" s="6" t="s">
        <v>2774</v>
      </c>
      <c r="I562" s="6" t="s">
        <v>2492</v>
      </c>
      <c r="J562" s="6" t="str">
        <f>H562&amp;":"&amp;I562</f>
        <v>att_user_group:mitoprotea</v>
      </c>
    </row>
    <row r="563" spans="3:10" x14ac:dyDescent="0.15">
      <c r="C563" s="6" t="s">
        <v>2771</v>
      </c>
      <c r="D563" s="6" t="s">
        <v>2496</v>
      </c>
      <c r="F563" s="6" t="s">
        <v>2772</v>
      </c>
      <c r="G563" s="6" t="s">
        <v>2773</v>
      </c>
      <c r="H563" s="6" t="s">
        <v>2774</v>
      </c>
      <c r="I563" s="6" t="s">
        <v>2495</v>
      </c>
      <c r="J563" s="6" t="str">
        <f>H563&amp;":"&amp;I563</f>
        <v>att_user_group:molageing</v>
      </c>
    </row>
    <row r="566" spans="3:10" x14ac:dyDescent="0.15">
      <c r="C566" s="6" t="s">
        <v>2775</v>
      </c>
      <c r="D566" s="6" t="s">
        <v>2487</v>
      </c>
      <c r="F566" s="6" t="s">
        <v>243</v>
      </c>
      <c r="G566" s="6" t="s">
        <v>2776</v>
      </c>
      <c r="H566" s="6" t="s">
        <v>242</v>
      </c>
      <c r="I566" s="6" t="s">
        <v>2486</v>
      </c>
      <c r="J566" s="6" t="str">
        <f>H566&amp;":"&amp;I566</f>
        <v>att_user_institute:mpiage</v>
      </c>
    </row>
    <row r="567" spans="3:10" x14ac:dyDescent="0.15">
      <c r="C567" s="6" t="s">
        <v>2775</v>
      </c>
      <c r="D567" s="6" t="s">
        <v>2484</v>
      </c>
      <c r="F567" s="6" t="s">
        <v>243</v>
      </c>
      <c r="G567" s="6" t="s">
        <v>2776</v>
      </c>
      <c r="H567" s="6" t="s">
        <v>242</v>
      </c>
      <c r="I567" s="6" t="s">
        <v>2483</v>
      </c>
      <c r="J567" s="6" t="str">
        <f>H567&amp;":"&amp;I567</f>
        <v>att_user_institute:cecad</v>
      </c>
    </row>
    <row r="568" spans="3:10" x14ac:dyDescent="0.15">
      <c r="C568" s="6" t="s">
        <v>2775</v>
      </c>
      <c r="D568" s="6" t="s">
        <v>2490</v>
      </c>
      <c r="F568" s="6" t="s">
        <v>243</v>
      </c>
      <c r="G568" s="6" t="s">
        <v>2776</v>
      </c>
      <c r="H568" s="6" t="s">
        <v>242</v>
      </c>
      <c r="I568" s="6" t="s">
        <v>2489</v>
      </c>
      <c r="J568" s="6" t="str">
        <f>H568&amp;":"&amp;I568</f>
        <v>att_user_institute:mpimetab</v>
      </c>
    </row>
    <row r="569" spans="3:10" x14ac:dyDescent="0.15">
      <c r="C569" s="6" t="s">
        <v>2775</v>
      </c>
      <c r="D569" s="6" t="s">
        <v>2481</v>
      </c>
      <c r="F569" s="6" t="s">
        <v>243</v>
      </c>
      <c r="G569" s="6" t="s">
        <v>2776</v>
      </c>
      <c r="H569" s="6" t="s">
        <v>242</v>
      </c>
      <c r="I569" s="6" t="s">
        <v>2480</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zoomScale="75" zoomScaleNormal="75" workbookViewId="0">
      <selection activeCell="D22" sqref="D22"/>
    </sheetView>
  </sheetViews>
  <sheetFormatPr baseColWidth="10" defaultColWidth="11.6640625" defaultRowHeight="13" x14ac:dyDescent="0.15"/>
  <cols>
    <col min="1" max="1" width="31.5" customWidth="1"/>
    <col min="2" max="2" width="75.5" customWidth="1"/>
    <col min="4" max="5" width="32.6640625" customWidth="1"/>
  </cols>
  <sheetData>
    <row r="1" spans="1:10" ht="23.25" customHeight="1" x14ac:dyDescent="0.2">
      <c r="A1" s="17" t="s">
        <v>2777</v>
      </c>
      <c r="B1" s="17" t="s">
        <v>2778</v>
      </c>
      <c r="C1" s="17"/>
      <c r="D1" s="17" t="s">
        <v>2777</v>
      </c>
      <c r="E1" s="17" t="s">
        <v>2778</v>
      </c>
      <c r="F1" s="17"/>
      <c r="G1" s="17"/>
      <c r="H1" s="17"/>
      <c r="I1" s="17"/>
      <c r="J1" s="17"/>
    </row>
    <row r="2" spans="1:10" ht="23.25" customHeight="1" x14ac:dyDescent="0.2">
      <c r="A2" s="17" t="s">
        <v>392</v>
      </c>
      <c r="B2" s="17" t="s">
        <v>393</v>
      </c>
      <c r="C2" s="17"/>
      <c r="D2" s="17" t="s">
        <v>392</v>
      </c>
      <c r="E2" s="18" t="s">
        <v>393</v>
      </c>
      <c r="F2" s="17"/>
      <c r="G2" s="17"/>
      <c r="H2" s="17"/>
      <c r="I2" s="17"/>
      <c r="J2" s="17"/>
    </row>
    <row r="3" spans="1:10" ht="23.25" customHeight="1" x14ac:dyDescent="0.2">
      <c r="A3" s="17" t="s">
        <v>389</v>
      </c>
      <c r="B3" s="17"/>
      <c r="C3" s="17"/>
      <c r="D3" s="17" t="s">
        <v>389</v>
      </c>
      <c r="E3" s="18"/>
      <c r="F3" s="17"/>
      <c r="G3" s="17"/>
      <c r="H3" s="17"/>
      <c r="I3" s="17"/>
      <c r="J3" s="17"/>
    </row>
    <row r="4" spans="1:10" ht="23.25" customHeight="1" x14ac:dyDescent="0.2">
      <c r="A4" s="17" t="s">
        <v>397</v>
      </c>
      <c r="B4" s="17"/>
      <c r="C4" s="17"/>
      <c r="D4" s="17" t="s">
        <v>397</v>
      </c>
      <c r="E4" s="18"/>
      <c r="F4" s="17"/>
      <c r="G4" s="17"/>
      <c r="H4" s="17"/>
      <c r="I4" s="17"/>
      <c r="J4" s="18"/>
    </row>
    <row r="5" spans="1:10" ht="23.25" customHeight="1" x14ac:dyDescent="0.2">
      <c r="A5" s="17" t="s">
        <v>363</v>
      </c>
      <c r="B5" s="17" t="s">
        <v>364</v>
      </c>
      <c r="C5" s="17"/>
      <c r="D5" s="17" t="s">
        <v>363</v>
      </c>
      <c r="E5" s="18" t="s">
        <v>364</v>
      </c>
      <c r="F5" s="17"/>
      <c r="G5" s="17"/>
      <c r="H5" s="17"/>
      <c r="I5" s="17"/>
      <c r="J5" s="17"/>
    </row>
    <row r="6" spans="1:10" ht="23.25" customHeight="1" x14ac:dyDescent="0.2">
      <c r="A6" s="17" t="s">
        <v>366</v>
      </c>
      <c r="B6" s="17"/>
      <c r="C6" s="17"/>
      <c r="D6" s="17" t="s">
        <v>366</v>
      </c>
      <c r="E6" s="17"/>
      <c r="F6" s="17"/>
      <c r="G6" s="17"/>
      <c r="H6" s="17"/>
      <c r="I6" s="17"/>
      <c r="J6" s="17"/>
    </row>
    <row r="7" spans="1:10" ht="23.25" customHeight="1" x14ac:dyDescent="0.2">
      <c r="A7" s="17" t="s">
        <v>374</v>
      </c>
      <c r="B7" s="17" t="s">
        <v>375</v>
      </c>
      <c r="C7" s="17"/>
      <c r="D7" s="17" t="s">
        <v>374</v>
      </c>
      <c r="E7" s="18" t="s">
        <v>375</v>
      </c>
      <c r="F7" s="17"/>
      <c r="G7" s="17"/>
      <c r="H7" s="17"/>
      <c r="I7" s="17"/>
      <c r="J7" s="17"/>
    </row>
    <row r="8" spans="1:10" ht="23.25" customHeight="1" x14ac:dyDescent="0.2">
      <c r="A8" s="17" t="s">
        <v>377</v>
      </c>
      <c r="B8" s="17" t="s">
        <v>378</v>
      </c>
      <c r="C8" s="17"/>
      <c r="D8" s="17" t="s">
        <v>377</v>
      </c>
      <c r="E8" s="17" t="s">
        <v>378</v>
      </c>
      <c r="F8" s="17"/>
      <c r="G8" s="17"/>
      <c r="H8" s="17"/>
      <c r="I8" s="17"/>
      <c r="J8" s="18"/>
    </row>
    <row r="9" spans="1:10" ht="23.25" customHeight="1" x14ac:dyDescent="0.2">
      <c r="A9" s="17" t="s">
        <v>360</v>
      </c>
      <c r="B9" s="17" t="s">
        <v>361</v>
      </c>
      <c r="C9" s="17"/>
      <c r="D9" s="17" t="s">
        <v>360</v>
      </c>
      <c r="E9" s="18" t="s">
        <v>361</v>
      </c>
      <c r="F9" s="17"/>
      <c r="G9" s="17"/>
      <c r="H9" s="17"/>
      <c r="I9" s="17"/>
      <c r="J9" s="18"/>
    </row>
    <row r="10" spans="1:10" ht="23.25" customHeight="1" x14ac:dyDescent="0.2">
      <c r="A10" s="17" t="s">
        <v>368</v>
      </c>
      <c r="B10" s="17" t="s">
        <v>369</v>
      </c>
      <c r="C10" s="17"/>
      <c r="D10" s="17" t="s">
        <v>368</v>
      </c>
      <c r="E10" s="18" t="s">
        <v>369</v>
      </c>
      <c r="F10" s="17"/>
      <c r="G10" s="17"/>
      <c r="H10" s="17"/>
      <c r="I10" s="17"/>
      <c r="J10" s="17"/>
    </row>
    <row r="11" spans="1:10" ht="23.25" customHeight="1" x14ac:dyDescent="0.2">
      <c r="A11" s="17" t="s">
        <v>371</v>
      </c>
      <c r="B11" s="17" t="s">
        <v>372</v>
      </c>
      <c r="C11" s="17"/>
      <c r="D11" s="17" t="s">
        <v>371</v>
      </c>
      <c r="E11" s="18" t="s">
        <v>372</v>
      </c>
      <c r="F11" s="17"/>
      <c r="G11" s="17"/>
      <c r="H11" s="17"/>
      <c r="I11" s="17"/>
      <c r="J11" s="17"/>
    </row>
    <row r="12" spans="1:10" ht="23.25" customHeight="1" x14ac:dyDescent="0.2">
      <c r="A12" s="17" t="s">
        <v>350</v>
      </c>
      <c r="B12" s="17" t="s">
        <v>351</v>
      </c>
      <c r="C12" s="17"/>
      <c r="D12" s="17" t="s">
        <v>350</v>
      </c>
      <c r="E12" s="18" t="s">
        <v>351</v>
      </c>
      <c r="F12" s="17"/>
      <c r="G12" s="17"/>
      <c r="H12" s="17"/>
      <c r="I12" s="17"/>
      <c r="J12" s="17"/>
    </row>
    <row r="13" spans="1:10" ht="23.25" customHeight="1" x14ac:dyDescent="0.2">
      <c r="A13" s="17" t="s">
        <v>399</v>
      </c>
      <c r="B13" s="17" t="s">
        <v>400</v>
      </c>
      <c r="C13" s="17"/>
      <c r="D13" s="17" t="s">
        <v>399</v>
      </c>
      <c r="E13" s="18" t="s">
        <v>400</v>
      </c>
      <c r="F13" s="17"/>
      <c r="G13" s="17"/>
      <c r="H13" s="17"/>
      <c r="I13" s="17"/>
      <c r="J13" s="17"/>
    </row>
    <row r="14" spans="1:10" ht="23.25" customHeight="1" x14ac:dyDescent="0.2">
      <c r="A14" s="17" t="s">
        <v>355</v>
      </c>
      <c r="B14" s="17" t="s">
        <v>356</v>
      </c>
      <c r="C14" s="17"/>
      <c r="D14" s="17" t="s">
        <v>355</v>
      </c>
      <c r="E14" s="18" t="s">
        <v>356</v>
      </c>
      <c r="F14" s="17"/>
      <c r="G14" s="17"/>
      <c r="H14" s="17"/>
      <c r="I14" s="17"/>
      <c r="J14" s="17"/>
    </row>
    <row r="15" spans="1:10" ht="23.25" customHeight="1" x14ac:dyDescent="0.2">
      <c r="A15" s="17" t="s">
        <v>405</v>
      </c>
      <c r="B15" s="17" t="s">
        <v>406</v>
      </c>
      <c r="C15" s="17"/>
      <c r="D15" s="17" t="s">
        <v>405</v>
      </c>
      <c r="E15" s="18" t="s">
        <v>406</v>
      </c>
      <c r="F15" s="17"/>
      <c r="G15" s="17"/>
      <c r="H15" s="17"/>
      <c r="I15" s="17"/>
      <c r="J15" s="17"/>
    </row>
    <row r="16" spans="1:10" ht="23.25" customHeight="1" x14ac:dyDescent="0.2">
      <c r="A16" s="17" t="s">
        <v>380</v>
      </c>
      <c r="B16" s="17" t="s">
        <v>381</v>
      </c>
      <c r="C16" s="17"/>
      <c r="D16" s="17" t="s">
        <v>380</v>
      </c>
      <c r="E16" s="18" t="s">
        <v>381</v>
      </c>
      <c r="F16" s="17"/>
      <c r="G16" s="17"/>
      <c r="H16" s="17"/>
      <c r="I16" s="17"/>
      <c r="J16" s="17"/>
    </row>
    <row r="17" spans="1:10" ht="23.25" customHeight="1" x14ac:dyDescent="0.2">
      <c r="A17" s="17" t="s">
        <v>347</v>
      </c>
      <c r="B17" s="17" t="s">
        <v>348</v>
      </c>
      <c r="C17" s="17"/>
      <c r="D17" s="17" t="s">
        <v>347</v>
      </c>
      <c r="E17" s="17" t="s">
        <v>348</v>
      </c>
      <c r="F17" s="17"/>
      <c r="G17" s="17"/>
      <c r="H17" s="17"/>
      <c r="I17" s="17"/>
      <c r="J17" s="17"/>
    </row>
    <row r="18" spans="1:10" ht="23.25" customHeight="1" x14ac:dyDescent="0.2">
      <c r="A18" s="17" t="s">
        <v>402</v>
      </c>
      <c r="B18" s="17" t="s">
        <v>403</v>
      </c>
      <c r="C18" s="17"/>
      <c r="D18" s="17" t="s">
        <v>402</v>
      </c>
      <c r="E18" s="17" t="s">
        <v>403</v>
      </c>
      <c r="F18" s="17"/>
      <c r="G18" s="17"/>
      <c r="H18" s="17"/>
      <c r="I18" s="17"/>
      <c r="J18" s="17"/>
    </row>
    <row r="19" spans="1:10" ht="23.25" customHeight="1" x14ac:dyDescent="0.2">
      <c r="A19" s="17" t="s">
        <v>358</v>
      </c>
      <c r="B19" s="17"/>
      <c r="C19" s="17"/>
      <c r="D19" s="17" t="s">
        <v>358</v>
      </c>
      <c r="E19" s="17"/>
      <c r="F19" s="17"/>
      <c r="G19" s="17"/>
      <c r="H19" s="17"/>
      <c r="I19" s="17"/>
      <c r="J19" s="17"/>
    </row>
    <row r="20" spans="1:10" ht="23.25" customHeight="1" x14ac:dyDescent="0.2">
      <c r="A20" s="17" t="s">
        <v>353</v>
      </c>
      <c r="B20" s="17"/>
      <c r="C20" s="17"/>
      <c r="D20" s="17" t="s">
        <v>353</v>
      </c>
      <c r="E20" s="17"/>
      <c r="F20" s="17"/>
      <c r="G20" s="17"/>
      <c r="H20" s="17"/>
      <c r="I20" s="17"/>
      <c r="J20" s="17"/>
    </row>
    <row r="21" spans="1:10" ht="23.25" customHeight="1" x14ac:dyDescent="0.2">
      <c r="A21" s="17" t="s">
        <v>395</v>
      </c>
      <c r="B21" s="17"/>
      <c r="C21" s="17"/>
      <c r="D21" s="17" t="s">
        <v>395</v>
      </c>
      <c r="E21" s="17"/>
      <c r="F21" s="17"/>
      <c r="G21" s="17"/>
      <c r="H21" s="17"/>
      <c r="I21" s="17"/>
      <c r="J21" s="17"/>
    </row>
    <row r="22" spans="1:10" ht="23.25" customHeight="1" x14ac:dyDescent="0.2">
      <c r="A22" s="17" t="s">
        <v>383</v>
      </c>
      <c r="B22" s="17"/>
      <c r="C22" s="17"/>
      <c r="D22" s="17" t="s">
        <v>383</v>
      </c>
      <c r="E22" s="18"/>
      <c r="F22" s="17"/>
      <c r="G22" s="17"/>
      <c r="H22" s="17"/>
      <c r="I22" s="17"/>
      <c r="J22" s="17"/>
    </row>
    <row r="23" spans="1:10" ht="23.25" customHeight="1" x14ac:dyDescent="0.2">
      <c r="A23" s="17" t="s">
        <v>385</v>
      </c>
      <c r="B23" s="17"/>
      <c r="C23" s="17"/>
      <c r="D23" s="17" t="s">
        <v>385</v>
      </c>
      <c r="E23" s="17"/>
      <c r="F23" s="17"/>
      <c r="G23" s="17"/>
      <c r="H23" s="17"/>
      <c r="I23" s="17"/>
      <c r="J23" s="17"/>
    </row>
    <row r="24" spans="1:10" ht="23.25" customHeight="1" x14ac:dyDescent="0.2">
      <c r="A24" s="17" t="s">
        <v>387</v>
      </c>
      <c r="B24" s="17"/>
      <c r="C24" s="17"/>
      <c r="D24" s="17" t="s">
        <v>387</v>
      </c>
      <c r="E24" s="17"/>
      <c r="F24" s="17"/>
      <c r="G24" s="17"/>
      <c r="H24" s="17"/>
      <c r="I24" s="17"/>
      <c r="J24" s="17"/>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2779</v>
      </c>
    </row>
    <row r="3" spans="1:2" x14ac:dyDescent="0.15">
      <c r="A3">
        <v>-2</v>
      </c>
      <c r="B3" t="s">
        <v>2780</v>
      </c>
    </row>
    <row r="4" spans="1:2" x14ac:dyDescent="0.15">
      <c r="A4">
        <v>-1</v>
      </c>
      <c r="B4" t="s">
        <v>2781</v>
      </c>
    </row>
    <row r="5" spans="1:2" x14ac:dyDescent="0.15">
      <c r="A5">
        <v>0</v>
      </c>
      <c r="B5" t="s">
        <v>2782</v>
      </c>
    </row>
    <row r="6" spans="1:2" x14ac:dyDescent="0.15">
      <c r="A6">
        <v>1</v>
      </c>
      <c r="B6" t="s">
        <v>2783</v>
      </c>
    </row>
    <row r="7" spans="1:2" x14ac:dyDescent="0.15">
      <c r="A7">
        <v>2</v>
      </c>
      <c r="B7" t="s">
        <v>2784</v>
      </c>
    </row>
    <row r="8" spans="1:2" x14ac:dyDescent="0.15">
      <c r="A8">
        <v>3</v>
      </c>
      <c r="B8" t="s">
        <v>2785</v>
      </c>
    </row>
    <row r="9" spans="1:2" x14ac:dyDescent="0.15">
      <c r="A9">
        <v>4</v>
      </c>
      <c r="B9" t="s">
        <v>2786</v>
      </c>
    </row>
    <row r="10" spans="1:2" x14ac:dyDescent="0.15">
      <c r="A10">
        <v>5</v>
      </c>
      <c r="B10" t="s">
        <v>2787</v>
      </c>
    </row>
    <row r="12" spans="1:2" x14ac:dyDescent="0.15">
      <c r="B12" t="s">
        <v>2788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attributes</vt:lpstr>
      <vt:lpstr>attribute_values</vt:lpstr>
      <vt:lpstr>Sheet3</vt:lpstr>
      <vt:lpstr>Sheet1</vt:lpstr>
      <vt:lpstr>attribute_values_ar</vt:lpstr>
      <vt:lpstr>Sheet2</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2024-07-12T12:48:20Z</dcterms:modified>
  <dc:language>en-GB</dc:language>
</cp:coreProperties>
</file>