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hnolte/Documents/GitHub/mitocube-backend/resources/attributes/"/>
    </mc:Choice>
  </mc:AlternateContent>
  <xr:revisionPtr revIDLastSave="0" documentId="13_ncr:1_{FC367F86-5D5E-C241-A45F-7C771F262197}" xr6:coauthVersionLast="47" xr6:coauthVersionMax="47" xr10:uidLastSave="{00000000-0000-0000-0000-000000000000}"/>
  <bookViews>
    <workbookView xWindow="7280" yWindow="7440" windowWidth="29540" windowHeight="20300" tabRatio="500" xr2:uid="{00000000-000D-0000-FFFF-FFFF00000000}"/>
  </bookViews>
  <sheets>
    <sheet name="attributes" sheetId="1" r:id="rId1"/>
    <sheet name="attribute_values" sheetId="2" r:id="rId2"/>
    <sheet name="Sheet3" sheetId="7" r:id="rId3"/>
    <sheet name="Sheet1" sheetId="6" r:id="rId4"/>
    <sheet name="attribute_values_ar" sheetId="3" r:id="rId5"/>
    <sheet name="Sheet2" sheetId="4" r:id="rId6"/>
    <sheet name="STATES" sheetId="5" r:id="rId7"/>
  </sheets>
  <definedNames>
    <definedName name="_xlnm._FilterDatabase" localSheetId="4" hidden="1">attribute_values_ar!$A$1:$O$365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C994" i="2" l="1"/>
  <c r="C993" i="2"/>
  <c r="C959" i="2"/>
  <c r="C992" i="2"/>
  <c r="C990" i="2"/>
  <c r="C991" i="2"/>
  <c r="C320" i="2"/>
  <c r="C989" i="2"/>
  <c r="C988" i="2"/>
  <c r="C987" i="2"/>
  <c r="C370" i="2"/>
  <c r="C480" i="2"/>
  <c r="C468" i="2"/>
  <c r="C193" i="2"/>
  <c r="C6" i="7"/>
  <c r="C5" i="7"/>
  <c r="C4" i="7"/>
  <c r="C3" i="7"/>
  <c r="C2" i="7"/>
  <c r="C444" i="2"/>
  <c r="C380" i="2"/>
  <c r="C387" i="2"/>
  <c r="C474" i="2"/>
  <c r="C473" i="2"/>
  <c r="C986" i="2"/>
  <c r="C985" i="2"/>
  <c r="C984" i="2"/>
  <c r="C414" i="2"/>
  <c r="C413" i="2"/>
  <c r="C653" i="2"/>
  <c r="C663" i="2"/>
  <c r="C662" i="2"/>
  <c r="C661" i="2"/>
  <c r="C210" i="2"/>
  <c r="C209" i="2"/>
  <c r="C208" i="2"/>
  <c r="C207" i="2"/>
  <c r="C974" i="2"/>
  <c r="C975" i="2"/>
  <c r="C976" i="2"/>
  <c r="C977" i="2"/>
  <c r="C978" i="2"/>
  <c r="C979" i="2"/>
  <c r="C980" i="2"/>
  <c r="C981" i="2"/>
  <c r="C982" i="2"/>
  <c r="C983" i="2"/>
  <c r="C973" i="2"/>
  <c r="C44" i="2"/>
  <c r="C647" i="2"/>
  <c r="C192" i="2"/>
  <c r="C645" i="2"/>
  <c r="C646" i="2"/>
  <c r="C643" i="2"/>
  <c r="C644" i="2"/>
  <c r="C642" i="2"/>
  <c r="C641" i="2"/>
  <c r="C434" i="2"/>
  <c r="C435" i="2"/>
  <c r="C436" i="2"/>
  <c r="C930" i="2"/>
  <c r="C938" i="2"/>
  <c r="C939" i="2"/>
  <c r="C940" i="2"/>
  <c r="C941" i="2"/>
  <c r="C942" i="2"/>
  <c r="C943" i="2"/>
  <c r="C944" i="2"/>
  <c r="C945" i="2"/>
  <c r="C946" i="2"/>
  <c r="C947" i="2"/>
  <c r="C8" i="6"/>
  <c r="C7" i="6"/>
  <c r="C6" i="6"/>
  <c r="C5" i="6"/>
  <c r="C4" i="6"/>
  <c r="C3" i="6"/>
  <c r="C2" i="6"/>
  <c r="C1" i="6"/>
  <c r="C951" i="2"/>
  <c r="C430" i="2"/>
  <c r="C454" i="2"/>
  <c r="C667" i="2"/>
  <c r="C972" i="2"/>
  <c r="C971" i="2"/>
  <c r="C970" i="2"/>
  <c r="C969" i="2"/>
  <c r="C968" i="2"/>
  <c r="C962" i="2"/>
  <c r="C963" i="2"/>
  <c r="C964" i="2"/>
  <c r="C965" i="2"/>
  <c r="C966" i="2"/>
  <c r="C967" i="2"/>
  <c r="C961" i="2"/>
  <c r="C960" i="2"/>
  <c r="C958" i="2"/>
  <c r="C957" i="2"/>
  <c r="C833" i="2"/>
  <c r="C832" i="2"/>
  <c r="C831" i="2"/>
  <c r="C415" i="2"/>
  <c r="C433" i="2"/>
  <c r="C432" i="2"/>
  <c r="C864" i="2"/>
  <c r="C490" i="2"/>
  <c r="C489" i="2"/>
  <c r="C488" i="2"/>
  <c r="C863" i="2"/>
  <c r="C868" i="2"/>
  <c r="C867" i="2"/>
  <c r="C866" i="2"/>
  <c r="C865" i="2"/>
  <c r="C862" i="2"/>
  <c r="C861" i="2"/>
  <c r="C787" i="2"/>
  <c r="C950" i="2"/>
  <c r="C949" i="2"/>
  <c r="C948" i="2"/>
  <c r="C937" i="2"/>
  <c r="C936" i="2"/>
  <c r="C935" i="2"/>
  <c r="C934" i="2"/>
  <c r="C933" i="2"/>
  <c r="C932" i="2"/>
  <c r="C931" i="2"/>
  <c r="C222" i="2"/>
  <c r="C226" i="2"/>
  <c r="C466" i="2"/>
  <c r="C476" i="2"/>
  <c r="C475" i="2"/>
  <c r="C814" i="2"/>
  <c r="C813" i="2"/>
  <c r="C812" i="2"/>
  <c r="C803" i="2"/>
  <c r="C956" i="2"/>
  <c r="C955" i="2"/>
  <c r="C954" i="2"/>
  <c r="C953" i="2"/>
  <c r="C952" i="2"/>
  <c r="C738" i="2"/>
  <c r="C431" i="2"/>
  <c r="C825" i="2"/>
  <c r="C429" i="2"/>
  <c r="J569" i="3"/>
  <c r="J568" i="3"/>
  <c r="J567" i="3"/>
  <c r="J566" i="3"/>
  <c r="J563" i="3"/>
  <c r="J562" i="3"/>
  <c r="I556" i="3"/>
  <c r="J556" i="3"/>
  <c r="I555" i="3"/>
  <c r="J555" i="3"/>
  <c r="I554" i="3"/>
  <c r="J554" i="3"/>
  <c r="I553" i="3"/>
  <c r="J553" i="3"/>
  <c r="I552" i="3"/>
  <c r="J552" i="3"/>
  <c r="I551" i="3"/>
  <c r="J551" i="3"/>
  <c r="I550" i="3"/>
  <c r="J550" i="3"/>
  <c r="I549" i="3"/>
  <c r="J549" i="3"/>
  <c r="I548" i="3"/>
  <c r="J548" i="3"/>
  <c r="I547" i="3"/>
  <c r="J547" i="3"/>
  <c r="I546" i="3"/>
  <c r="J546" i="3"/>
  <c r="I545" i="3"/>
  <c r="J545" i="3"/>
  <c r="I544" i="3"/>
  <c r="J544" i="3"/>
  <c r="I543" i="3"/>
  <c r="J543" i="3"/>
  <c r="I542" i="3"/>
  <c r="J542" i="3"/>
  <c r="I541" i="3"/>
  <c r="J541" i="3"/>
  <c r="I540" i="3"/>
  <c r="J540" i="3"/>
  <c r="I539" i="3"/>
  <c r="J539" i="3"/>
  <c r="I536" i="3"/>
  <c r="J536" i="3"/>
  <c r="I535" i="3"/>
  <c r="J535" i="3"/>
  <c r="I534" i="3"/>
  <c r="J534" i="3"/>
  <c r="I533" i="3"/>
  <c r="J533" i="3"/>
  <c r="I532" i="3"/>
  <c r="J532" i="3"/>
  <c r="I531" i="3"/>
  <c r="J531" i="3"/>
  <c r="I528" i="3"/>
  <c r="J528" i="3"/>
  <c r="I527" i="3"/>
  <c r="J527" i="3"/>
  <c r="I526" i="3"/>
  <c r="J526" i="3"/>
  <c r="I525" i="3"/>
  <c r="J525" i="3"/>
  <c r="I524" i="3"/>
  <c r="J524" i="3"/>
  <c r="I523" i="3"/>
  <c r="J523" i="3"/>
  <c r="I522" i="3"/>
  <c r="J522" i="3"/>
  <c r="I521" i="3"/>
  <c r="J521" i="3"/>
  <c r="I520" i="3"/>
  <c r="J520" i="3"/>
  <c r="I519" i="3"/>
  <c r="J519" i="3"/>
  <c r="I518" i="3"/>
  <c r="J518" i="3"/>
  <c r="I516" i="3"/>
  <c r="J516" i="3"/>
  <c r="I515" i="3"/>
  <c r="J515" i="3"/>
  <c r="I514" i="3"/>
  <c r="J514" i="3"/>
  <c r="I513" i="3"/>
  <c r="J513" i="3"/>
  <c r="I512" i="3"/>
  <c r="J512" i="3"/>
  <c r="I511" i="3"/>
  <c r="J511" i="3"/>
  <c r="I510" i="3"/>
  <c r="J510" i="3"/>
  <c r="I509" i="3"/>
  <c r="J509" i="3"/>
  <c r="I508" i="3"/>
  <c r="J508" i="3"/>
  <c r="I507" i="3"/>
  <c r="J507" i="3"/>
  <c r="J503" i="3"/>
  <c r="J502" i="3"/>
  <c r="J501" i="3"/>
  <c r="J500" i="3"/>
  <c r="J499" i="3"/>
  <c r="J498" i="3"/>
  <c r="J497" i="3"/>
  <c r="J496" i="3"/>
  <c r="J495" i="3"/>
  <c r="J494" i="3"/>
  <c r="J493" i="3"/>
  <c r="J492" i="3"/>
  <c r="J491" i="3"/>
  <c r="J490" i="3"/>
  <c r="J489" i="3"/>
  <c r="J488" i="3"/>
  <c r="J487" i="3"/>
  <c r="J486" i="3"/>
  <c r="J485" i="3"/>
  <c r="J481" i="3"/>
  <c r="H481" i="3"/>
  <c r="J480" i="3"/>
  <c r="H480" i="3"/>
  <c r="J479" i="3"/>
  <c r="H479" i="3"/>
  <c r="J478" i="3"/>
  <c r="H478" i="3"/>
  <c r="H476" i="3"/>
  <c r="J476" i="3"/>
  <c r="J475" i="3"/>
  <c r="H475" i="3"/>
  <c r="J474" i="3"/>
  <c r="H474" i="3"/>
  <c r="J473" i="3"/>
  <c r="H473" i="3"/>
  <c r="J472" i="3"/>
  <c r="H472" i="3"/>
  <c r="J471" i="3"/>
  <c r="H471" i="3"/>
  <c r="J470" i="3"/>
  <c r="H470" i="3"/>
  <c r="J469" i="3"/>
  <c r="H469" i="3"/>
  <c r="H468" i="3"/>
  <c r="J468" i="3"/>
  <c r="J467" i="3"/>
  <c r="H467" i="3"/>
  <c r="J466" i="3"/>
  <c r="H466" i="3"/>
  <c r="J465" i="3"/>
  <c r="H465" i="3"/>
  <c r="J464" i="3"/>
  <c r="H464" i="3"/>
  <c r="J463" i="3"/>
  <c r="H463" i="3"/>
  <c r="J462" i="3"/>
  <c r="H462" i="3"/>
  <c r="J461" i="3"/>
  <c r="H461" i="3"/>
  <c r="H459" i="3"/>
  <c r="J459" i="3"/>
  <c r="J458" i="3"/>
  <c r="H458" i="3"/>
  <c r="J457" i="3"/>
  <c r="H457" i="3"/>
  <c r="J456" i="3"/>
  <c r="H456" i="3"/>
  <c r="J455" i="3"/>
  <c r="H455" i="3"/>
  <c r="J454" i="3"/>
  <c r="H454" i="3"/>
  <c r="K453" i="3"/>
  <c r="H453" i="3"/>
  <c r="J453" i="3"/>
  <c r="K452" i="3"/>
  <c r="H452" i="3"/>
  <c r="J452" i="3"/>
  <c r="K451" i="3"/>
  <c r="H451" i="3"/>
  <c r="J451" i="3"/>
  <c r="K448" i="3"/>
  <c r="J448" i="3"/>
  <c r="H448" i="3"/>
  <c r="K447" i="3"/>
  <c r="H447" i="3"/>
  <c r="J447" i="3"/>
  <c r="K446" i="3"/>
  <c r="J446" i="3"/>
  <c r="H446" i="3"/>
  <c r="K445" i="3"/>
  <c r="H445" i="3"/>
  <c r="J445" i="3"/>
  <c r="K444" i="3"/>
  <c r="J444" i="3"/>
  <c r="H444" i="3"/>
  <c r="K443" i="3"/>
  <c r="H443" i="3"/>
  <c r="J443" i="3"/>
  <c r="K442" i="3"/>
  <c r="J442" i="3"/>
  <c r="H442" i="3"/>
  <c r="K441" i="3"/>
  <c r="H441" i="3"/>
  <c r="J441" i="3"/>
  <c r="K440" i="3"/>
  <c r="J440" i="3"/>
  <c r="H440" i="3"/>
  <c r="A440" i="3"/>
  <c r="H439" i="3"/>
  <c r="A439" i="3"/>
  <c r="J435" i="3"/>
  <c r="J434" i="3"/>
  <c r="J433" i="3"/>
  <c r="J432" i="3"/>
  <c r="J431" i="3"/>
  <c r="J430" i="3"/>
  <c r="J429" i="3"/>
  <c r="J428" i="3"/>
  <c r="J427" i="3"/>
  <c r="J426" i="3"/>
  <c r="J425" i="3"/>
  <c r="J424" i="3"/>
  <c r="J423" i="3"/>
  <c r="J422" i="3"/>
  <c r="J421" i="3"/>
  <c r="J420" i="3"/>
  <c r="J419" i="3"/>
  <c r="J418" i="3"/>
  <c r="J417" i="3"/>
  <c r="J415" i="3"/>
  <c r="J414" i="3"/>
  <c r="J413" i="3"/>
  <c r="J412" i="3"/>
  <c r="J410" i="3"/>
  <c r="J409" i="3"/>
  <c r="J408" i="3"/>
  <c r="J407" i="3"/>
  <c r="J406" i="3"/>
  <c r="J405" i="3"/>
  <c r="J404" i="3"/>
  <c r="J402" i="3"/>
  <c r="A402" i="3"/>
  <c r="J401" i="3"/>
  <c r="A401" i="3"/>
  <c r="J400" i="3"/>
  <c r="A400" i="3"/>
  <c r="J399" i="3"/>
  <c r="A399" i="3"/>
  <c r="J398" i="3"/>
  <c r="A398" i="3"/>
  <c r="J397" i="3"/>
  <c r="A397" i="3"/>
  <c r="J396" i="3"/>
  <c r="A396" i="3"/>
  <c r="J395" i="3"/>
  <c r="A395" i="3"/>
  <c r="J393" i="3"/>
  <c r="J392" i="3"/>
  <c r="J391" i="3"/>
  <c r="J389" i="3"/>
  <c r="J388" i="3"/>
  <c r="J387" i="3"/>
  <c r="J385" i="3"/>
  <c r="J384" i="3"/>
  <c r="J383" i="3"/>
  <c r="J382" i="3"/>
  <c r="J381" i="3"/>
  <c r="J380" i="3"/>
  <c r="J379" i="3"/>
  <c r="J378" i="3"/>
  <c r="J377" i="3"/>
  <c r="J375" i="3"/>
  <c r="J374" i="3"/>
  <c r="J373" i="3"/>
  <c r="J371" i="3"/>
  <c r="J370" i="3"/>
  <c r="J369" i="3"/>
  <c r="J368" i="3"/>
  <c r="J365" i="3"/>
  <c r="H365" i="3"/>
  <c r="O365" i="3"/>
  <c r="H364" i="3"/>
  <c r="A364" i="3"/>
  <c r="N363" i="3"/>
  <c r="H363" i="3"/>
  <c r="J363" i="3"/>
  <c r="A363" i="3"/>
  <c r="O362" i="3"/>
  <c r="N362" i="3"/>
  <c r="J362" i="3"/>
  <c r="H362" i="3"/>
  <c r="A362" i="3"/>
  <c r="H361" i="3"/>
  <c r="A361" i="3"/>
  <c r="N360" i="3"/>
  <c r="J360" i="3"/>
  <c r="O360" i="3"/>
  <c r="H360" i="3"/>
  <c r="A360" i="3"/>
  <c r="N359" i="3"/>
  <c r="J359" i="3"/>
  <c r="H359" i="3"/>
  <c r="O359" i="3"/>
  <c r="A359" i="3"/>
  <c r="N358" i="3"/>
  <c r="J358" i="3"/>
  <c r="O358" i="3"/>
  <c r="H358" i="3"/>
  <c r="A358" i="3"/>
  <c r="H357" i="3"/>
  <c r="A357" i="3"/>
  <c r="O356" i="3"/>
  <c r="J356" i="3"/>
  <c r="H356" i="3"/>
  <c r="N356" i="3"/>
  <c r="A356" i="3"/>
  <c r="H355" i="3"/>
  <c r="A355" i="3"/>
  <c r="J354" i="3"/>
  <c r="H354" i="3"/>
  <c r="O354" i="3"/>
  <c r="A354" i="3"/>
  <c r="N353" i="3"/>
  <c r="H353" i="3"/>
  <c r="A353" i="3"/>
  <c r="H352" i="3"/>
  <c r="H351" i="3"/>
  <c r="N350" i="3"/>
  <c r="J350" i="3"/>
  <c r="O350" i="3"/>
  <c r="H350" i="3"/>
  <c r="O349" i="3"/>
  <c r="J349" i="3"/>
  <c r="H349" i="3"/>
  <c r="N349" i="3"/>
  <c r="H348" i="3"/>
  <c r="H347" i="3"/>
  <c r="N346" i="3"/>
  <c r="J346" i="3"/>
  <c r="O346" i="3"/>
  <c r="H346" i="3"/>
  <c r="O345" i="3"/>
  <c r="J345" i="3"/>
  <c r="H345" i="3"/>
  <c r="N345" i="3"/>
  <c r="A345" i="3"/>
  <c r="H344" i="3"/>
  <c r="A344" i="3"/>
  <c r="H343" i="3"/>
  <c r="A343" i="3"/>
  <c r="N342" i="3"/>
  <c r="H342" i="3"/>
  <c r="A342" i="3"/>
  <c r="H341" i="3"/>
  <c r="A341" i="3"/>
  <c r="H340" i="3"/>
  <c r="A340" i="3"/>
  <c r="O339" i="3"/>
  <c r="J339" i="3"/>
  <c r="H339" i="3"/>
  <c r="N339" i="3"/>
  <c r="A339" i="3"/>
  <c r="H338" i="3"/>
  <c r="A338" i="3"/>
  <c r="H337" i="3"/>
  <c r="A337" i="3"/>
  <c r="N336" i="3"/>
  <c r="H336" i="3"/>
  <c r="J336" i="3"/>
  <c r="A336" i="3"/>
  <c r="O335" i="3"/>
  <c r="N335" i="3"/>
  <c r="J335" i="3"/>
  <c r="H335" i="3"/>
  <c r="N334" i="3"/>
  <c r="J334" i="3"/>
  <c r="O334" i="3"/>
  <c r="H334" i="3"/>
  <c r="H333" i="3"/>
  <c r="O332" i="3"/>
  <c r="J332" i="3"/>
  <c r="H332" i="3"/>
  <c r="N332" i="3"/>
  <c r="O331" i="3"/>
  <c r="N331" i="3"/>
  <c r="J331" i="3"/>
  <c r="H331" i="3"/>
  <c r="A331" i="3"/>
  <c r="H330" i="3"/>
  <c r="A330" i="3"/>
  <c r="N329" i="3"/>
  <c r="J329" i="3"/>
  <c r="O329" i="3"/>
  <c r="H329" i="3"/>
  <c r="A329" i="3"/>
  <c r="N328" i="3"/>
  <c r="J328" i="3"/>
  <c r="H328" i="3"/>
  <c r="O328" i="3"/>
  <c r="A328" i="3"/>
  <c r="N327" i="3"/>
  <c r="J327" i="3"/>
  <c r="O327" i="3"/>
  <c r="H327" i="3"/>
  <c r="A327" i="3"/>
  <c r="H326" i="3"/>
  <c r="A326" i="3"/>
  <c r="O325" i="3"/>
  <c r="J325" i="3"/>
  <c r="H325" i="3"/>
  <c r="N325" i="3"/>
  <c r="A325" i="3"/>
  <c r="J324" i="3"/>
  <c r="H324" i="3"/>
  <c r="O324" i="3"/>
  <c r="A324" i="3"/>
  <c r="H323" i="3"/>
  <c r="A323" i="3"/>
  <c r="N322" i="3"/>
  <c r="H322" i="3"/>
  <c r="A322" i="3"/>
  <c r="H321" i="3"/>
  <c r="A321" i="3"/>
  <c r="H320" i="3"/>
  <c r="A320" i="3"/>
  <c r="O319" i="3"/>
  <c r="J319" i="3"/>
  <c r="H319" i="3"/>
  <c r="N319" i="3"/>
  <c r="A319" i="3"/>
  <c r="H318" i="3"/>
  <c r="N318" i="3"/>
  <c r="A318" i="3"/>
  <c r="H317" i="3"/>
  <c r="A317" i="3"/>
  <c r="N316" i="3"/>
  <c r="H316" i="3"/>
  <c r="J316" i="3"/>
  <c r="A316" i="3"/>
  <c r="O315" i="3"/>
  <c r="N315" i="3"/>
  <c r="J315" i="3"/>
  <c r="H315" i="3"/>
  <c r="N314" i="3"/>
  <c r="J314" i="3"/>
  <c r="O314" i="3"/>
  <c r="H314" i="3"/>
  <c r="H313" i="3"/>
  <c r="O312" i="3"/>
  <c r="J312" i="3"/>
  <c r="H312" i="3"/>
  <c r="N312" i="3"/>
  <c r="O311" i="3"/>
  <c r="N311" i="3"/>
  <c r="J311" i="3"/>
  <c r="H311" i="3"/>
  <c r="N310" i="3"/>
  <c r="J310" i="3"/>
  <c r="O310" i="3"/>
  <c r="H310" i="3"/>
  <c r="H309" i="3"/>
  <c r="O308" i="3"/>
  <c r="J308" i="3"/>
  <c r="H308" i="3"/>
  <c r="N308" i="3"/>
  <c r="A308" i="3"/>
  <c r="H307" i="3"/>
  <c r="N307" i="3"/>
  <c r="A307" i="3"/>
  <c r="H306" i="3"/>
  <c r="A306" i="3"/>
  <c r="N305" i="3"/>
  <c r="H305" i="3"/>
  <c r="J305" i="3"/>
  <c r="A305" i="3"/>
  <c r="O304" i="3"/>
  <c r="N304" i="3"/>
  <c r="J304" i="3"/>
  <c r="H304" i="3"/>
  <c r="A304" i="3"/>
  <c r="H303" i="3"/>
  <c r="N303" i="3"/>
  <c r="A303" i="3"/>
  <c r="N302" i="3"/>
  <c r="J302" i="3"/>
  <c r="O302" i="3"/>
  <c r="H302" i="3"/>
  <c r="A302" i="3"/>
  <c r="N301" i="3"/>
  <c r="J301" i="3"/>
  <c r="O301" i="3"/>
  <c r="H301" i="3"/>
  <c r="A301" i="3"/>
  <c r="N300" i="3"/>
  <c r="J300" i="3"/>
  <c r="O300" i="3"/>
  <c r="H300" i="3"/>
  <c r="A300" i="3"/>
  <c r="H299" i="3"/>
  <c r="A299" i="3"/>
  <c r="O298" i="3"/>
  <c r="J298" i="3"/>
  <c r="H298" i="3"/>
  <c r="N298" i="3"/>
  <c r="A298" i="3"/>
  <c r="J297" i="3"/>
  <c r="H297" i="3"/>
  <c r="O297" i="3"/>
  <c r="A297" i="3"/>
  <c r="H296" i="3"/>
  <c r="A296" i="3"/>
  <c r="N295" i="3"/>
  <c r="H295" i="3"/>
  <c r="A295" i="3"/>
  <c r="H294" i="3"/>
  <c r="A294" i="3"/>
  <c r="H293" i="3"/>
  <c r="A293" i="3"/>
  <c r="O292" i="3"/>
  <c r="J292" i="3"/>
  <c r="H292" i="3"/>
  <c r="N292" i="3"/>
  <c r="A292" i="3"/>
  <c r="H291" i="3"/>
  <c r="N291" i="3"/>
  <c r="A291" i="3"/>
  <c r="H290" i="3"/>
  <c r="A290" i="3"/>
  <c r="N289" i="3"/>
  <c r="H289" i="3"/>
  <c r="J289" i="3"/>
  <c r="A289" i="3"/>
  <c r="O288" i="3"/>
  <c r="N288" i="3"/>
  <c r="J288" i="3"/>
  <c r="H288" i="3"/>
  <c r="A288" i="3"/>
  <c r="H287" i="3"/>
  <c r="N287" i="3"/>
  <c r="A287" i="3"/>
  <c r="N286" i="3"/>
  <c r="J286" i="3"/>
  <c r="O286" i="3"/>
  <c r="H286" i="3"/>
  <c r="A286" i="3"/>
  <c r="N285" i="3"/>
  <c r="J285" i="3"/>
  <c r="O285" i="3"/>
  <c r="H285" i="3"/>
  <c r="A285" i="3"/>
  <c r="N284" i="3"/>
  <c r="J284" i="3"/>
  <c r="O284" i="3"/>
  <c r="H284" i="3"/>
  <c r="A284" i="3"/>
  <c r="H283" i="3"/>
  <c r="A283" i="3"/>
  <c r="O282" i="3"/>
  <c r="J282" i="3"/>
  <c r="H282" i="3"/>
  <c r="N282" i="3"/>
  <c r="A282" i="3"/>
  <c r="J281" i="3"/>
  <c r="H281" i="3"/>
  <c r="O281" i="3"/>
  <c r="A281" i="3"/>
  <c r="H280" i="3"/>
  <c r="A280" i="3"/>
  <c r="N279" i="3"/>
  <c r="H279" i="3"/>
  <c r="A279" i="3"/>
  <c r="H278" i="3"/>
  <c r="A278" i="3"/>
  <c r="H277" i="3"/>
  <c r="A277" i="3"/>
  <c r="O276" i="3"/>
  <c r="J276" i="3"/>
  <c r="H276" i="3"/>
  <c r="N276" i="3"/>
  <c r="A276" i="3"/>
  <c r="H275" i="3"/>
  <c r="N275" i="3"/>
  <c r="A275" i="3"/>
  <c r="H274" i="3"/>
  <c r="A274" i="3"/>
  <c r="N273" i="3"/>
  <c r="H273" i="3"/>
  <c r="J273" i="3"/>
  <c r="A273" i="3"/>
  <c r="O272" i="3"/>
  <c r="N272" i="3"/>
  <c r="J272" i="3"/>
  <c r="H272" i="3"/>
  <c r="A272" i="3"/>
  <c r="H271" i="3"/>
  <c r="N271" i="3"/>
  <c r="A271" i="3"/>
  <c r="N270" i="3"/>
  <c r="J270" i="3"/>
  <c r="O270" i="3"/>
  <c r="H270" i="3"/>
  <c r="A270" i="3"/>
  <c r="N269" i="3"/>
  <c r="J269" i="3"/>
  <c r="O269" i="3"/>
  <c r="H269" i="3"/>
  <c r="A269" i="3"/>
  <c r="H267" i="3"/>
  <c r="J267" i="3"/>
  <c r="J266" i="3"/>
  <c r="H266" i="3"/>
  <c r="H265" i="3"/>
  <c r="J265" i="3"/>
  <c r="N264" i="3"/>
  <c r="J264" i="3"/>
  <c r="O264" i="3"/>
  <c r="H264" i="3"/>
  <c r="O262" i="3"/>
  <c r="J262" i="3"/>
  <c r="H262" i="3"/>
  <c r="N262" i="3"/>
  <c r="H261" i="3"/>
  <c r="H260" i="3"/>
  <c r="N259" i="3"/>
  <c r="J259" i="3"/>
  <c r="O259" i="3"/>
  <c r="H259" i="3"/>
  <c r="O258" i="3"/>
  <c r="J258" i="3"/>
  <c r="H258" i="3"/>
  <c r="N258" i="3"/>
  <c r="H257" i="3"/>
  <c r="J255" i="3"/>
  <c r="H255" i="3"/>
  <c r="H254" i="3"/>
  <c r="J254" i="3"/>
  <c r="H253" i="3"/>
  <c r="J253" i="3"/>
  <c r="J252" i="3"/>
  <c r="H252" i="3"/>
  <c r="N251" i="3"/>
  <c r="H251" i="3"/>
  <c r="J251" i="3"/>
  <c r="N250" i="3"/>
  <c r="J250" i="3"/>
  <c r="H250" i="3"/>
  <c r="N248" i="3"/>
  <c r="J248" i="3"/>
  <c r="O248" i="3"/>
  <c r="H248" i="3"/>
  <c r="A248" i="3"/>
  <c r="H247" i="3"/>
  <c r="A247" i="3"/>
  <c r="O246" i="3"/>
  <c r="J246" i="3"/>
  <c r="H246" i="3"/>
  <c r="N246" i="3"/>
  <c r="A246" i="3"/>
  <c r="J245" i="3"/>
  <c r="H245" i="3"/>
  <c r="O245" i="3"/>
  <c r="A245" i="3"/>
  <c r="H244" i="3"/>
  <c r="A244" i="3"/>
  <c r="N243" i="3"/>
  <c r="H243" i="3"/>
  <c r="H242" i="3"/>
  <c r="N242" i="3"/>
  <c r="H241" i="3"/>
  <c r="N241" i="3"/>
  <c r="H240" i="3"/>
  <c r="N239" i="3"/>
  <c r="H239" i="3"/>
  <c r="A239" i="3"/>
  <c r="H238" i="3"/>
  <c r="A238" i="3"/>
  <c r="H237" i="3"/>
  <c r="A237" i="3"/>
  <c r="O236" i="3"/>
  <c r="J236" i="3"/>
  <c r="H236" i="3"/>
  <c r="N236" i="3"/>
  <c r="A236" i="3"/>
  <c r="H235" i="3"/>
  <c r="N235" i="3"/>
  <c r="A235" i="3"/>
  <c r="H234" i="3"/>
  <c r="A234" i="3"/>
  <c r="N233" i="3"/>
  <c r="H233" i="3"/>
  <c r="J233" i="3"/>
  <c r="A233" i="3"/>
  <c r="O232" i="3"/>
  <c r="N232" i="3"/>
  <c r="J232" i="3"/>
  <c r="H232" i="3"/>
  <c r="A232" i="3"/>
  <c r="H231" i="3"/>
  <c r="N231" i="3"/>
  <c r="A231" i="3"/>
  <c r="N230" i="3"/>
  <c r="J230" i="3"/>
  <c r="O230" i="3"/>
  <c r="H230" i="3"/>
  <c r="A230" i="3"/>
  <c r="H227" i="3"/>
  <c r="J227" i="3"/>
  <c r="J226" i="3"/>
  <c r="H226" i="3"/>
  <c r="H225" i="3"/>
  <c r="J225" i="3"/>
  <c r="J224" i="3"/>
  <c r="H224" i="3"/>
  <c r="H223" i="3"/>
  <c r="J223" i="3"/>
  <c r="H221" i="3"/>
  <c r="A221" i="3"/>
  <c r="O220" i="3"/>
  <c r="J220" i="3"/>
  <c r="H220" i="3"/>
  <c r="N220" i="3"/>
  <c r="A220" i="3"/>
  <c r="N219" i="3"/>
  <c r="J219" i="3"/>
  <c r="H219" i="3"/>
  <c r="O219" i="3"/>
  <c r="A219" i="3"/>
  <c r="H218" i="3"/>
  <c r="A218" i="3"/>
  <c r="N217" i="3"/>
  <c r="H217" i="3"/>
  <c r="A217" i="3"/>
  <c r="H216" i="3"/>
  <c r="A216" i="3"/>
  <c r="H215" i="3"/>
  <c r="A215" i="3"/>
  <c r="O214" i="3"/>
  <c r="J214" i="3"/>
  <c r="H214" i="3"/>
  <c r="N214" i="3"/>
  <c r="A214" i="3"/>
  <c r="H213" i="3"/>
  <c r="N213" i="3"/>
  <c r="A213" i="3"/>
  <c r="H212" i="3"/>
  <c r="A212" i="3"/>
  <c r="N211" i="3"/>
  <c r="H211" i="3"/>
  <c r="J211" i="3"/>
  <c r="A211" i="3"/>
  <c r="O210" i="3"/>
  <c r="N210" i="3"/>
  <c r="J210" i="3"/>
  <c r="H210" i="3"/>
  <c r="A210" i="3"/>
  <c r="H209" i="3"/>
  <c r="N209" i="3"/>
  <c r="A209" i="3"/>
  <c r="N208" i="3"/>
  <c r="J208" i="3"/>
  <c r="O208" i="3"/>
  <c r="H208" i="3"/>
  <c r="A208" i="3"/>
  <c r="N207" i="3"/>
  <c r="J207" i="3"/>
  <c r="O207" i="3"/>
  <c r="H207" i="3"/>
  <c r="A207" i="3"/>
  <c r="O206" i="3"/>
  <c r="N206" i="3"/>
  <c r="J206" i="3"/>
  <c r="H206" i="3"/>
  <c r="A206" i="3"/>
  <c r="H205" i="3"/>
  <c r="A205" i="3"/>
  <c r="O204" i="3"/>
  <c r="J204" i="3"/>
  <c r="H204" i="3"/>
  <c r="N204" i="3"/>
  <c r="A204" i="3"/>
  <c r="N203" i="3"/>
  <c r="J203" i="3"/>
  <c r="H203" i="3"/>
  <c r="O203" i="3"/>
  <c r="A203" i="3"/>
  <c r="H202" i="3"/>
  <c r="A202" i="3"/>
  <c r="N201" i="3"/>
  <c r="H201" i="3"/>
  <c r="H200" i="3"/>
  <c r="H199" i="3"/>
  <c r="N199" i="3"/>
  <c r="H198" i="3"/>
  <c r="N197" i="3"/>
  <c r="H197" i="3"/>
  <c r="H196" i="3"/>
  <c r="H195" i="3"/>
  <c r="N195" i="3"/>
  <c r="H194" i="3"/>
  <c r="N193" i="3"/>
  <c r="H193" i="3"/>
  <c r="H192" i="3"/>
  <c r="H191" i="3"/>
  <c r="N191" i="3"/>
  <c r="H190" i="3"/>
  <c r="N189" i="3"/>
  <c r="H189" i="3"/>
  <c r="H188" i="3"/>
  <c r="A188" i="3"/>
  <c r="H187" i="3"/>
  <c r="A187" i="3"/>
  <c r="N186" i="3"/>
  <c r="H186" i="3"/>
  <c r="J186" i="3"/>
  <c r="A186" i="3"/>
  <c r="O185" i="3"/>
  <c r="N185" i="3"/>
  <c r="J185" i="3"/>
  <c r="H185" i="3"/>
  <c r="A185" i="3"/>
  <c r="H184" i="3"/>
  <c r="N184" i="3"/>
  <c r="A184" i="3"/>
  <c r="N183" i="3"/>
  <c r="J183" i="3"/>
  <c r="O183" i="3"/>
  <c r="H183" i="3"/>
  <c r="A183" i="3"/>
  <c r="N182" i="3"/>
  <c r="J182" i="3"/>
  <c r="O182" i="3"/>
  <c r="H182" i="3"/>
  <c r="A182" i="3"/>
  <c r="O181" i="3"/>
  <c r="N181" i="3"/>
  <c r="J181" i="3"/>
  <c r="H181" i="3"/>
  <c r="A181" i="3"/>
  <c r="H180" i="3"/>
  <c r="A180" i="3"/>
  <c r="O179" i="3"/>
  <c r="J179" i="3"/>
  <c r="H179" i="3"/>
  <c r="N179" i="3"/>
  <c r="A179" i="3"/>
  <c r="N178" i="3"/>
  <c r="J178" i="3"/>
  <c r="H178" i="3"/>
  <c r="O178" i="3"/>
  <c r="A178" i="3"/>
  <c r="H177" i="3"/>
  <c r="A177" i="3"/>
  <c r="N176" i="3"/>
  <c r="H176" i="3"/>
  <c r="A176" i="3"/>
  <c r="H175" i="3"/>
  <c r="A175" i="3"/>
  <c r="H174" i="3"/>
  <c r="A174" i="3"/>
  <c r="O173" i="3"/>
  <c r="J173" i="3"/>
  <c r="H173" i="3"/>
  <c r="N173" i="3"/>
  <c r="A173" i="3"/>
  <c r="H172" i="3"/>
  <c r="A172" i="3"/>
  <c r="H171" i="3"/>
  <c r="A171" i="3"/>
  <c r="N170" i="3"/>
  <c r="H170" i="3"/>
  <c r="J170" i="3"/>
  <c r="A170" i="3"/>
  <c r="O169" i="3"/>
  <c r="N169" i="3"/>
  <c r="J169" i="3"/>
  <c r="H169" i="3"/>
  <c r="A169" i="3"/>
  <c r="H168" i="3"/>
  <c r="N168" i="3"/>
  <c r="A168" i="3"/>
  <c r="N167" i="3"/>
  <c r="J167" i="3"/>
  <c r="O167" i="3"/>
  <c r="H167" i="3"/>
  <c r="A167" i="3"/>
  <c r="N166" i="3"/>
  <c r="J166" i="3"/>
  <c r="O166" i="3"/>
  <c r="H166" i="3"/>
  <c r="A166" i="3"/>
  <c r="O165" i="3"/>
  <c r="N165" i="3"/>
  <c r="J165" i="3"/>
  <c r="H165" i="3"/>
  <c r="A165" i="3"/>
  <c r="H164" i="3"/>
  <c r="A164" i="3"/>
  <c r="O163" i="3"/>
  <c r="J163" i="3"/>
  <c r="H163" i="3"/>
  <c r="N163" i="3"/>
  <c r="A163" i="3"/>
  <c r="N162" i="3"/>
  <c r="J162" i="3"/>
  <c r="H162" i="3"/>
  <c r="O162" i="3"/>
  <c r="A162" i="3"/>
  <c r="H161" i="3"/>
  <c r="A161" i="3"/>
  <c r="N160" i="3"/>
  <c r="H160" i="3"/>
  <c r="A160" i="3"/>
  <c r="H159" i="3"/>
  <c r="H158" i="3"/>
  <c r="N157" i="3"/>
  <c r="J157" i="3"/>
  <c r="O157" i="3"/>
  <c r="H157" i="3"/>
  <c r="A157" i="3"/>
  <c r="N156" i="3"/>
  <c r="J156" i="3"/>
  <c r="O156" i="3"/>
  <c r="H156" i="3"/>
  <c r="A156" i="3"/>
  <c r="O155" i="3"/>
  <c r="N155" i="3"/>
  <c r="J155" i="3"/>
  <c r="H155" i="3"/>
  <c r="A155" i="3"/>
  <c r="H154" i="3"/>
  <c r="A154" i="3"/>
  <c r="O153" i="3"/>
  <c r="J153" i="3"/>
  <c r="H153" i="3"/>
  <c r="N153" i="3"/>
  <c r="A153" i="3"/>
  <c r="N152" i="3"/>
  <c r="J152" i="3"/>
  <c r="H152" i="3"/>
  <c r="O152" i="3"/>
  <c r="A152" i="3"/>
  <c r="H151" i="3"/>
  <c r="A151" i="3"/>
  <c r="N150" i="3"/>
  <c r="H150" i="3"/>
  <c r="A150" i="3"/>
  <c r="H149" i="3"/>
  <c r="A149" i="3"/>
  <c r="H148" i="3"/>
  <c r="A148" i="3"/>
  <c r="O147" i="3"/>
  <c r="J147" i="3"/>
  <c r="H147" i="3"/>
  <c r="N147" i="3"/>
  <c r="A147" i="3"/>
  <c r="H146" i="3"/>
  <c r="A146" i="3"/>
  <c r="H145" i="3"/>
  <c r="A145" i="3"/>
  <c r="N144" i="3"/>
  <c r="H144" i="3"/>
  <c r="J144" i="3"/>
  <c r="A144" i="3"/>
  <c r="O143" i="3"/>
  <c r="N143" i="3"/>
  <c r="J143" i="3"/>
  <c r="H143" i="3"/>
  <c r="A143" i="3"/>
  <c r="H142" i="3"/>
  <c r="N142" i="3"/>
  <c r="A142" i="3"/>
  <c r="N141" i="3"/>
  <c r="J141" i="3"/>
  <c r="O141" i="3"/>
  <c r="H141" i="3"/>
  <c r="A141" i="3"/>
  <c r="N140" i="3"/>
  <c r="J140" i="3"/>
  <c r="O140" i="3"/>
  <c r="H140" i="3"/>
  <c r="A140" i="3"/>
  <c r="O139" i="3"/>
  <c r="N139" i="3"/>
  <c r="J139" i="3"/>
  <c r="H139" i="3"/>
  <c r="A139" i="3"/>
  <c r="H138" i="3"/>
  <c r="A138" i="3"/>
  <c r="O137" i="3"/>
  <c r="J137" i="3"/>
  <c r="H137" i="3"/>
  <c r="N137" i="3"/>
  <c r="A137" i="3"/>
  <c r="N136" i="3"/>
  <c r="J136" i="3"/>
  <c r="H136" i="3"/>
  <c r="O136" i="3"/>
  <c r="A136" i="3"/>
  <c r="H135" i="3"/>
  <c r="A135" i="3"/>
  <c r="N134" i="3"/>
  <c r="H134" i="3"/>
  <c r="A134" i="3"/>
  <c r="H133" i="3"/>
  <c r="A133" i="3"/>
  <c r="H132" i="3"/>
  <c r="A132" i="3"/>
  <c r="O131" i="3"/>
  <c r="J131" i="3"/>
  <c r="H131" i="3"/>
  <c r="N131" i="3"/>
  <c r="A131" i="3"/>
  <c r="H130" i="3"/>
  <c r="A130" i="3"/>
  <c r="H129" i="3"/>
  <c r="A129" i="3"/>
  <c r="N128" i="3"/>
  <c r="H128" i="3"/>
  <c r="J128" i="3"/>
  <c r="A128" i="3"/>
  <c r="O127" i="3"/>
  <c r="N127" i="3"/>
  <c r="J127" i="3"/>
  <c r="H127" i="3"/>
  <c r="A127" i="3"/>
  <c r="H126" i="3"/>
  <c r="N126" i="3"/>
  <c r="A126" i="3"/>
  <c r="N125" i="3"/>
  <c r="J125" i="3"/>
  <c r="O125" i="3"/>
  <c r="H125" i="3"/>
  <c r="A125" i="3"/>
  <c r="N124" i="3"/>
  <c r="J124" i="3"/>
  <c r="O124" i="3"/>
  <c r="H124" i="3"/>
  <c r="A124" i="3"/>
  <c r="O123" i="3"/>
  <c r="N123" i="3"/>
  <c r="J123" i="3"/>
  <c r="H123" i="3"/>
  <c r="A123" i="3"/>
  <c r="H122" i="3"/>
  <c r="A122" i="3"/>
  <c r="O121" i="3"/>
  <c r="J121" i="3"/>
  <c r="H121" i="3"/>
  <c r="N121" i="3"/>
  <c r="A121" i="3"/>
  <c r="N120" i="3"/>
  <c r="J120" i="3"/>
  <c r="H120" i="3"/>
  <c r="O120" i="3"/>
  <c r="A120" i="3"/>
  <c r="H119" i="3"/>
  <c r="A119" i="3"/>
  <c r="N118" i="3"/>
  <c r="H118" i="3"/>
  <c r="A118" i="3"/>
  <c r="J117" i="3"/>
  <c r="H117" i="3"/>
  <c r="O117" i="3"/>
  <c r="A117" i="3"/>
  <c r="H116" i="3"/>
  <c r="A116" i="3"/>
  <c r="O115" i="3"/>
  <c r="J115" i="3"/>
  <c r="H115" i="3"/>
  <c r="N115" i="3"/>
  <c r="A115" i="3"/>
  <c r="H114" i="3"/>
  <c r="A114" i="3"/>
  <c r="H113" i="3"/>
  <c r="A113" i="3"/>
  <c r="N112" i="3"/>
  <c r="H112" i="3"/>
  <c r="J112" i="3"/>
  <c r="A112" i="3"/>
  <c r="O111" i="3"/>
  <c r="N111" i="3"/>
  <c r="J111" i="3"/>
  <c r="H111" i="3"/>
  <c r="A111" i="3"/>
  <c r="H110" i="3"/>
  <c r="N110" i="3"/>
  <c r="A110" i="3"/>
  <c r="N109" i="3"/>
  <c r="J109" i="3"/>
  <c r="O109" i="3"/>
  <c r="H109" i="3"/>
  <c r="A109" i="3"/>
  <c r="N108" i="3"/>
  <c r="J108" i="3"/>
  <c r="O108" i="3"/>
  <c r="H108" i="3"/>
  <c r="A108" i="3"/>
  <c r="O107" i="3"/>
  <c r="N107" i="3"/>
  <c r="J107" i="3"/>
  <c r="H107" i="3"/>
  <c r="A107" i="3"/>
  <c r="H106" i="3"/>
  <c r="A106" i="3"/>
  <c r="O105" i="3"/>
  <c r="J105" i="3"/>
  <c r="H105" i="3"/>
  <c r="N105" i="3"/>
  <c r="A105" i="3"/>
  <c r="N104" i="3"/>
  <c r="J104" i="3"/>
  <c r="H104" i="3"/>
  <c r="O104" i="3"/>
  <c r="A104" i="3"/>
  <c r="H103" i="3"/>
  <c r="A103" i="3"/>
  <c r="N102" i="3"/>
  <c r="H102" i="3"/>
  <c r="A102" i="3"/>
  <c r="J101" i="3"/>
  <c r="H101" i="3"/>
  <c r="O101" i="3"/>
  <c r="A101" i="3"/>
  <c r="H100" i="3"/>
  <c r="A100" i="3"/>
  <c r="O99" i="3"/>
  <c r="J99" i="3"/>
  <c r="H99" i="3"/>
  <c r="N99" i="3"/>
  <c r="A99" i="3"/>
  <c r="H98" i="3"/>
  <c r="A98" i="3"/>
  <c r="H97" i="3"/>
  <c r="A97" i="3"/>
  <c r="N96" i="3"/>
  <c r="H96" i="3"/>
  <c r="J96" i="3"/>
  <c r="A96" i="3"/>
  <c r="O95" i="3"/>
  <c r="N95" i="3"/>
  <c r="J95" i="3"/>
  <c r="H95" i="3"/>
  <c r="A95" i="3"/>
  <c r="H94" i="3"/>
  <c r="N94" i="3"/>
  <c r="A94" i="3"/>
  <c r="N93" i="3"/>
  <c r="J93" i="3"/>
  <c r="O93" i="3"/>
  <c r="H93" i="3"/>
  <c r="A93" i="3"/>
  <c r="N92" i="3"/>
  <c r="J92" i="3"/>
  <c r="O92" i="3"/>
  <c r="H92" i="3"/>
  <c r="A92" i="3"/>
  <c r="O91" i="3"/>
  <c r="N91" i="3"/>
  <c r="J91" i="3"/>
  <c r="H91" i="3"/>
  <c r="A91" i="3"/>
  <c r="H90" i="3"/>
  <c r="A90" i="3"/>
  <c r="O89" i="3"/>
  <c r="J89" i="3"/>
  <c r="H89" i="3"/>
  <c r="N89" i="3"/>
  <c r="A89" i="3"/>
  <c r="N88" i="3"/>
  <c r="J88" i="3"/>
  <c r="H88" i="3"/>
  <c r="O88" i="3"/>
  <c r="A88" i="3"/>
  <c r="H87" i="3"/>
  <c r="A87" i="3"/>
  <c r="N86" i="3"/>
  <c r="H86" i="3"/>
  <c r="A86" i="3"/>
  <c r="J85" i="3"/>
  <c r="H85" i="3"/>
  <c r="O85" i="3"/>
  <c r="A85" i="3"/>
  <c r="H84" i="3"/>
  <c r="A84" i="3"/>
  <c r="O83" i="3"/>
  <c r="J83" i="3"/>
  <c r="H83" i="3"/>
  <c r="N83" i="3"/>
  <c r="A83" i="3"/>
  <c r="H82" i="3"/>
  <c r="A82" i="3"/>
  <c r="H81" i="3"/>
  <c r="A81" i="3"/>
  <c r="N80" i="3"/>
  <c r="H80" i="3"/>
  <c r="J80" i="3"/>
  <c r="A80" i="3"/>
  <c r="O79" i="3"/>
  <c r="N79" i="3"/>
  <c r="J79" i="3"/>
  <c r="H79" i="3"/>
  <c r="A79" i="3"/>
  <c r="H78" i="3"/>
  <c r="N78" i="3"/>
  <c r="A78" i="3"/>
  <c r="N77" i="3"/>
  <c r="J77" i="3"/>
  <c r="O77" i="3"/>
  <c r="H77" i="3"/>
  <c r="A77" i="3"/>
  <c r="N76" i="3"/>
  <c r="J76" i="3"/>
  <c r="O76" i="3"/>
  <c r="H76" i="3"/>
  <c r="A76" i="3"/>
  <c r="O75" i="3"/>
  <c r="N75" i="3"/>
  <c r="J75" i="3"/>
  <c r="H75" i="3"/>
  <c r="A75" i="3"/>
  <c r="H74" i="3"/>
  <c r="A74" i="3"/>
  <c r="O73" i="3"/>
  <c r="J73" i="3"/>
  <c r="H73" i="3"/>
  <c r="N73" i="3"/>
  <c r="A73" i="3"/>
  <c r="N72" i="3"/>
  <c r="J72" i="3"/>
  <c r="H72" i="3"/>
  <c r="O72" i="3"/>
  <c r="A72" i="3"/>
  <c r="H71" i="3"/>
  <c r="A71" i="3"/>
  <c r="N70" i="3"/>
  <c r="H70" i="3"/>
  <c r="A70" i="3"/>
  <c r="J69" i="3"/>
  <c r="H69" i="3"/>
  <c r="O69" i="3"/>
  <c r="A69" i="3"/>
  <c r="H68" i="3"/>
  <c r="A68" i="3"/>
  <c r="O67" i="3"/>
  <c r="J67" i="3"/>
  <c r="H67" i="3"/>
  <c r="N67" i="3"/>
  <c r="A67" i="3"/>
  <c r="H66" i="3"/>
  <c r="A66" i="3"/>
  <c r="H65" i="3"/>
  <c r="A65" i="3"/>
  <c r="N64" i="3"/>
  <c r="H64" i="3"/>
  <c r="J64" i="3"/>
  <c r="A64" i="3"/>
  <c r="O63" i="3"/>
  <c r="N63" i="3"/>
  <c r="J63" i="3"/>
  <c r="H63" i="3"/>
  <c r="A63" i="3"/>
  <c r="H62" i="3"/>
  <c r="N62" i="3"/>
  <c r="A62" i="3"/>
  <c r="N61" i="3"/>
  <c r="J61" i="3"/>
  <c r="O61" i="3"/>
  <c r="H61" i="3"/>
  <c r="A61" i="3"/>
  <c r="N60" i="3"/>
  <c r="J60" i="3"/>
  <c r="O60" i="3"/>
  <c r="H60" i="3"/>
  <c r="A60" i="3"/>
  <c r="O59" i="3"/>
  <c r="N59" i="3"/>
  <c r="J59" i="3"/>
  <c r="H59" i="3"/>
  <c r="A59" i="3"/>
  <c r="H58" i="3"/>
  <c r="A58" i="3"/>
  <c r="O57" i="3"/>
  <c r="J57" i="3"/>
  <c r="H57" i="3"/>
  <c r="N57" i="3"/>
  <c r="A57" i="3"/>
  <c r="N56" i="3"/>
  <c r="J56" i="3"/>
  <c r="H56" i="3"/>
  <c r="O56" i="3"/>
  <c r="A56" i="3"/>
  <c r="H55" i="3"/>
  <c r="A55" i="3"/>
  <c r="N54" i="3"/>
  <c r="H54" i="3"/>
  <c r="A54" i="3"/>
  <c r="J53" i="3"/>
  <c r="H53" i="3"/>
  <c r="O53" i="3"/>
  <c r="A53" i="3"/>
  <c r="H52" i="3"/>
  <c r="A52" i="3"/>
  <c r="O51" i="3"/>
  <c r="J51" i="3"/>
  <c r="H51" i="3"/>
  <c r="N51" i="3"/>
  <c r="A51" i="3"/>
  <c r="H50" i="3"/>
  <c r="A50" i="3"/>
  <c r="H49" i="3"/>
  <c r="A49" i="3"/>
  <c r="N48" i="3"/>
  <c r="H48" i="3"/>
  <c r="J48" i="3"/>
  <c r="A48" i="3"/>
  <c r="O47" i="3"/>
  <c r="N47" i="3"/>
  <c r="J47" i="3"/>
  <c r="H47" i="3"/>
  <c r="A47" i="3"/>
  <c r="H46" i="3"/>
  <c r="N46" i="3"/>
  <c r="A46" i="3"/>
  <c r="N45" i="3"/>
  <c r="J45" i="3"/>
  <c r="O45" i="3"/>
  <c r="H45" i="3"/>
  <c r="A45" i="3"/>
  <c r="N44" i="3"/>
  <c r="J44" i="3"/>
  <c r="O44" i="3"/>
  <c r="H44" i="3"/>
  <c r="A44" i="3"/>
  <c r="O43" i="3"/>
  <c r="N43" i="3"/>
  <c r="J43" i="3"/>
  <c r="H43" i="3"/>
  <c r="A43" i="3"/>
  <c r="H42" i="3"/>
  <c r="A42" i="3"/>
  <c r="O41" i="3"/>
  <c r="J41" i="3"/>
  <c r="H41" i="3"/>
  <c r="N41" i="3"/>
  <c r="A41" i="3"/>
  <c r="N40" i="3"/>
  <c r="J40" i="3"/>
  <c r="H40" i="3"/>
  <c r="O40" i="3"/>
  <c r="A40" i="3"/>
  <c r="H39" i="3"/>
  <c r="A39" i="3"/>
  <c r="N38" i="3"/>
  <c r="H38" i="3"/>
  <c r="A38" i="3"/>
  <c r="J37" i="3"/>
  <c r="H37" i="3"/>
  <c r="O37" i="3"/>
  <c r="A37" i="3"/>
  <c r="H36" i="3"/>
  <c r="A36" i="3"/>
  <c r="O35" i="3"/>
  <c r="J35" i="3"/>
  <c r="H35" i="3"/>
  <c r="N35" i="3"/>
  <c r="A35" i="3"/>
  <c r="H34" i="3"/>
  <c r="A34" i="3"/>
  <c r="H33" i="3"/>
  <c r="A33" i="3"/>
  <c r="N32" i="3"/>
  <c r="H32" i="3"/>
  <c r="J32" i="3"/>
  <c r="A32" i="3"/>
  <c r="O31" i="3"/>
  <c r="N31" i="3"/>
  <c r="J31" i="3"/>
  <c r="H31" i="3"/>
  <c r="A31" i="3"/>
  <c r="H30" i="3"/>
  <c r="N30" i="3"/>
  <c r="A30" i="3"/>
  <c r="N29" i="3"/>
  <c r="J29" i="3"/>
  <c r="O29" i="3"/>
  <c r="H29" i="3"/>
  <c r="A29" i="3"/>
  <c r="N28" i="3"/>
  <c r="J28" i="3"/>
  <c r="O28" i="3"/>
  <c r="H28" i="3"/>
  <c r="A28" i="3"/>
  <c r="O27" i="3"/>
  <c r="N27" i="3"/>
  <c r="J27" i="3"/>
  <c r="H27" i="3"/>
  <c r="A27" i="3"/>
  <c r="H26" i="3"/>
  <c r="A26" i="3"/>
  <c r="O25" i="3"/>
  <c r="J25" i="3"/>
  <c r="H25" i="3"/>
  <c r="N25" i="3"/>
  <c r="A25" i="3"/>
  <c r="N24" i="3"/>
  <c r="J24" i="3"/>
  <c r="H24" i="3"/>
  <c r="O24" i="3"/>
  <c r="A24" i="3"/>
  <c r="H23" i="3"/>
  <c r="A23" i="3"/>
  <c r="N22" i="3"/>
  <c r="H22" i="3"/>
  <c r="A22" i="3"/>
  <c r="J21" i="3"/>
  <c r="H21" i="3"/>
  <c r="O21" i="3"/>
  <c r="A21" i="3"/>
  <c r="H20" i="3"/>
  <c r="A20" i="3"/>
  <c r="O19" i="3"/>
  <c r="J19" i="3"/>
  <c r="H19" i="3"/>
  <c r="N19" i="3"/>
  <c r="A19" i="3"/>
  <c r="H18" i="3"/>
  <c r="A18" i="3"/>
  <c r="H17" i="3"/>
  <c r="A17" i="3"/>
  <c r="N16" i="3"/>
  <c r="H16" i="3"/>
  <c r="J16" i="3"/>
  <c r="A16" i="3"/>
  <c r="O15" i="3"/>
  <c r="N15" i="3"/>
  <c r="J15" i="3"/>
  <c r="H15" i="3"/>
  <c r="A15" i="3"/>
  <c r="H14" i="3"/>
  <c r="N14" i="3"/>
  <c r="A14" i="3"/>
  <c r="N13" i="3"/>
  <c r="J13" i="3"/>
  <c r="O13" i="3"/>
  <c r="H13" i="3"/>
  <c r="A13" i="3"/>
  <c r="N12" i="3"/>
  <c r="J12" i="3"/>
  <c r="O12" i="3"/>
  <c r="H12" i="3"/>
  <c r="A12" i="3"/>
  <c r="O11" i="3"/>
  <c r="N11" i="3"/>
  <c r="J11" i="3"/>
  <c r="H11" i="3"/>
  <c r="A11" i="3"/>
  <c r="H10" i="3"/>
  <c r="A10" i="3"/>
  <c r="O9" i="3"/>
  <c r="J9" i="3"/>
  <c r="H9" i="3"/>
  <c r="N9" i="3"/>
  <c r="A9" i="3"/>
  <c r="N8" i="3"/>
  <c r="J8" i="3"/>
  <c r="H8" i="3"/>
  <c r="O8" i="3"/>
  <c r="A8" i="3"/>
  <c r="H7" i="3"/>
  <c r="A7" i="3"/>
  <c r="N6" i="3"/>
  <c r="H6" i="3"/>
  <c r="A6" i="3"/>
  <c r="J5" i="3"/>
  <c r="H5" i="3"/>
  <c r="O5" i="3"/>
  <c r="A5" i="3"/>
  <c r="H4" i="3"/>
  <c r="N3" i="3"/>
  <c r="H3" i="3"/>
  <c r="J3" i="3"/>
  <c r="N2" i="3"/>
  <c r="J2" i="3"/>
  <c r="O2" i="3"/>
  <c r="H2" i="3"/>
  <c r="C929" i="2"/>
  <c r="C928" i="2"/>
  <c r="C927" i="2"/>
  <c r="C926" i="2"/>
  <c r="C925" i="2"/>
  <c r="C924"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1" i="2"/>
  <c r="C880" i="2"/>
  <c r="C879" i="2"/>
  <c r="C878" i="2"/>
  <c r="C877" i="2"/>
  <c r="C876" i="2"/>
  <c r="C875" i="2"/>
  <c r="C874" i="2"/>
  <c r="C873" i="2"/>
  <c r="C872" i="2"/>
  <c r="C871" i="2"/>
  <c r="C870" i="2"/>
  <c r="C869"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0" i="2"/>
  <c r="C829" i="2"/>
  <c r="C828" i="2"/>
  <c r="C827" i="2"/>
  <c r="C826" i="2"/>
  <c r="C824" i="2"/>
  <c r="C823" i="2"/>
  <c r="C822" i="2"/>
  <c r="C821" i="2"/>
  <c r="C820" i="2"/>
  <c r="C819" i="2"/>
  <c r="C818" i="2"/>
  <c r="C817" i="2"/>
  <c r="C816" i="2"/>
  <c r="C815" i="2"/>
  <c r="C811" i="2"/>
  <c r="C810" i="2"/>
  <c r="C809" i="2"/>
  <c r="C808" i="2"/>
  <c r="C807" i="2"/>
  <c r="C806" i="2"/>
  <c r="C805" i="2"/>
  <c r="C804" i="2"/>
  <c r="C802" i="2"/>
  <c r="C801" i="2"/>
  <c r="C800" i="2"/>
  <c r="C799" i="2"/>
  <c r="C798" i="2"/>
  <c r="C797" i="2"/>
  <c r="C796" i="2"/>
  <c r="C795" i="2"/>
  <c r="C794" i="2"/>
  <c r="C793" i="2"/>
  <c r="C792" i="2"/>
  <c r="C791" i="2"/>
  <c r="C790" i="2"/>
  <c r="C789" i="2"/>
  <c r="C788"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6" i="2"/>
  <c r="C665" i="2"/>
  <c r="C664" i="2"/>
  <c r="C660" i="2"/>
  <c r="C659" i="2"/>
  <c r="C658" i="2"/>
  <c r="C657" i="2"/>
  <c r="C656" i="2"/>
  <c r="C655" i="2"/>
  <c r="C654" i="2"/>
  <c r="C652" i="2"/>
  <c r="C651" i="2"/>
  <c r="C650" i="2"/>
  <c r="C649" i="2"/>
  <c r="C648"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87" i="2"/>
  <c r="C486" i="2"/>
  <c r="C485" i="2"/>
  <c r="C484" i="2"/>
  <c r="C483" i="2"/>
  <c r="C482" i="2"/>
  <c r="C481" i="2"/>
  <c r="C479" i="2"/>
  <c r="C478" i="2"/>
  <c r="C477" i="2"/>
  <c r="C472" i="2"/>
  <c r="C471" i="2"/>
  <c r="C470" i="2"/>
  <c r="C469" i="2"/>
  <c r="C467" i="2"/>
  <c r="C465" i="2"/>
  <c r="C464" i="2"/>
  <c r="C463" i="2"/>
  <c r="C462" i="2"/>
  <c r="C461" i="2"/>
  <c r="C460" i="2"/>
  <c r="C459" i="2"/>
  <c r="C458" i="2"/>
  <c r="C457" i="2"/>
  <c r="C456" i="2"/>
  <c r="C455" i="2"/>
  <c r="C453" i="2"/>
  <c r="C452" i="2"/>
  <c r="C451" i="2"/>
  <c r="C450" i="2"/>
  <c r="C449" i="2"/>
  <c r="C448" i="2"/>
  <c r="C447" i="2"/>
  <c r="C446" i="2"/>
  <c r="C445" i="2"/>
  <c r="C443" i="2"/>
  <c r="C442" i="2"/>
  <c r="C441" i="2"/>
  <c r="C440" i="2"/>
  <c r="C439" i="2"/>
  <c r="C438" i="2"/>
  <c r="C437" i="2"/>
  <c r="C428" i="2"/>
  <c r="C427" i="2"/>
  <c r="C426" i="2"/>
  <c r="C425" i="2"/>
  <c r="C424" i="2"/>
  <c r="C423" i="2"/>
  <c r="C422" i="2"/>
  <c r="C421" i="2"/>
  <c r="C420" i="2"/>
  <c r="C419" i="2"/>
  <c r="C418" i="2"/>
  <c r="C417" i="2"/>
  <c r="C416"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6" i="2"/>
  <c r="C385" i="2"/>
  <c r="C384" i="2"/>
  <c r="C383" i="2"/>
  <c r="C382" i="2"/>
  <c r="C381" i="2"/>
  <c r="C379" i="2"/>
  <c r="C378" i="2"/>
  <c r="C377" i="2"/>
  <c r="C376" i="2"/>
  <c r="C375" i="2"/>
  <c r="C374" i="2"/>
  <c r="C373" i="2"/>
  <c r="C372" i="2"/>
  <c r="C371"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5" i="2"/>
  <c r="C224" i="2"/>
  <c r="C223" i="2"/>
  <c r="C221" i="2"/>
  <c r="C220" i="2"/>
  <c r="C219" i="2"/>
  <c r="C218" i="2"/>
  <c r="C217" i="2"/>
  <c r="C216" i="2"/>
  <c r="C215" i="2"/>
  <c r="C214" i="2"/>
  <c r="C213" i="2"/>
  <c r="C212" i="2"/>
  <c r="C211" i="2"/>
  <c r="C206" i="2"/>
  <c r="C205" i="2"/>
  <c r="C204" i="2"/>
  <c r="C203" i="2"/>
  <c r="C202" i="2"/>
  <c r="C201" i="2"/>
  <c r="C200" i="2"/>
  <c r="C199" i="2"/>
  <c r="C198" i="2"/>
  <c r="C197" i="2"/>
  <c r="C196" i="2"/>
  <c r="C195" i="2"/>
  <c r="C194"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O84" i="3"/>
  <c r="O306" i="3"/>
  <c r="O55" i="3"/>
  <c r="O177" i="3"/>
  <c r="O197" i="3"/>
  <c r="O261" i="3"/>
  <c r="O10" i="3"/>
  <c r="O171" i="3"/>
  <c r="O205" i="3"/>
  <c r="O330" i="3"/>
  <c r="O65" i="3"/>
  <c r="O215" i="3"/>
  <c r="O237" i="3"/>
  <c r="O342" i="3"/>
  <c r="O26" i="3"/>
  <c r="O221" i="3"/>
  <c r="O320" i="3"/>
  <c r="O326" i="3"/>
  <c r="O309" i="3"/>
  <c r="O87" i="3"/>
  <c r="O102" i="3"/>
  <c r="O277" i="3"/>
  <c r="O283" i="3"/>
  <c r="O293" i="3"/>
  <c r="O337" i="3"/>
  <c r="O82" i="3"/>
  <c r="O138" i="3"/>
  <c r="O158" i="3"/>
  <c r="O294" i="3"/>
  <c r="O133" i="3"/>
  <c r="O148" i="3"/>
  <c r="O159" i="3"/>
  <c r="O154" i="3"/>
  <c r="O180" i="3"/>
  <c r="O68" i="3"/>
  <c r="O98" i="3"/>
  <c r="O323" i="3"/>
  <c r="O333" i="3"/>
  <c r="O353" i="3"/>
  <c r="O243" i="3"/>
  <c r="O317" i="3"/>
  <c r="O3" i="3"/>
  <c r="J10" i="3"/>
  <c r="O16" i="3"/>
  <c r="J26" i="3"/>
  <c r="O32" i="3"/>
  <c r="J42" i="3"/>
  <c r="O42" i="3"/>
  <c r="O48" i="3"/>
  <c r="J58" i="3"/>
  <c r="O58" i="3"/>
  <c r="O64" i="3"/>
  <c r="J74" i="3"/>
  <c r="O74" i="3"/>
  <c r="O80" i="3"/>
  <c r="J90" i="3"/>
  <c r="O90" i="3"/>
  <c r="O96" i="3"/>
  <c r="J106" i="3"/>
  <c r="O106" i="3"/>
  <c r="O112" i="3"/>
  <c r="J122" i="3"/>
  <c r="O122" i="3"/>
  <c r="O128" i="3"/>
  <c r="J138" i="3"/>
  <c r="O144" i="3"/>
  <c r="J154" i="3"/>
  <c r="J164" i="3"/>
  <c r="O164" i="3"/>
  <c r="O170" i="3"/>
  <c r="J180" i="3"/>
  <c r="O186" i="3"/>
  <c r="J190" i="3"/>
  <c r="O190" i="3"/>
  <c r="J194" i="3"/>
  <c r="O194" i="3"/>
  <c r="J198" i="3"/>
  <c r="O198" i="3"/>
  <c r="J205" i="3"/>
  <c r="O211" i="3"/>
  <c r="J221" i="3"/>
  <c r="O233" i="3"/>
  <c r="J240" i="3"/>
  <c r="O240" i="3"/>
  <c r="J247" i="3"/>
  <c r="O247" i="3"/>
  <c r="O273" i="3"/>
  <c r="J283" i="3"/>
  <c r="O289" i="3"/>
  <c r="J299" i="3"/>
  <c r="O299" i="3"/>
  <c r="O305" i="3"/>
  <c r="O316" i="3"/>
  <c r="J326" i="3"/>
  <c r="O336" i="3"/>
  <c r="J357" i="3"/>
  <c r="O357" i="3"/>
  <c r="O363" i="3"/>
  <c r="J439" i="3"/>
  <c r="O439" i="3"/>
  <c r="J7" i="3"/>
  <c r="O7" i="3"/>
  <c r="N10" i="3"/>
  <c r="J23" i="3"/>
  <c r="O23" i="3"/>
  <c r="N26" i="3"/>
  <c r="J39" i="3"/>
  <c r="O39" i="3"/>
  <c r="N42" i="3"/>
  <c r="J55" i="3"/>
  <c r="N58" i="3"/>
  <c r="J71" i="3"/>
  <c r="O71" i="3"/>
  <c r="N74" i="3"/>
  <c r="J87" i="3"/>
  <c r="N90" i="3"/>
  <c r="J103" i="3"/>
  <c r="O103" i="3"/>
  <c r="N106" i="3"/>
  <c r="J119" i="3"/>
  <c r="O119" i="3"/>
  <c r="N122" i="3"/>
  <c r="J135" i="3"/>
  <c r="O135" i="3"/>
  <c r="N138" i="3"/>
  <c r="J151" i="3"/>
  <c r="O151" i="3"/>
  <c r="N154" i="3"/>
  <c r="J161" i="3"/>
  <c r="O161" i="3"/>
  <c r="N164" i="3"/>
  <c r="J177" i="3"/>
  <c r="N180" i="3"/>
  <c r="N190" i="3"/>
  <c r="N194" i="3"/>
  <c r="N198" i="3"/>
  <c r="J202" i="3"/>
  <c r="O202" i="3"/>
  <c r="N205" i="3"/>
  <c r="J218" i="3"/>
  <c r="O218" i="3"/>
  <c r="N221" i="3"/>
  <c r="N240" i="3"/>
  <c r="J244" i="3"/>
  <c r="O244" i="3"/>
  <c r="N247" i="3"/>
  <c r="J280" i="3"/>
  <c r="O280" i="3"/>
  <c r="N283" i="3"/>
  <c r="J296" i="3"/>
  <c r="O296" i="3"/>
  <c r="N299" i="3"/>
  <c r="J309" i="3"/>
  <c r="J313" i="3"/>
  <c r="O313" i="3"/>
  <c r="J323" i="3"/>
  <c r="N326" i="3"/>
  <c r="J333" i="3"/>
  <c r="J343" i="3"/>
  <c r="O343" i="3"/>
  <c r="N357" i="3"/>
  <c r="N439" i="3"/>
  <c r="J4" i="3"/>
  <c r="O4" i="3"/>
  <c r="N7" i="3"/>
  <c r="J20" i="3"/>
  <c r="O20" i="3"/>
  <c r="N23" i="3"/>
  <c r="J36" i="3"/>
  <c r="O36" i="3"/>
  <c r="N39" i="3"/>
  <c r="J52" i="3"/>
  <c r="O52" i="3"/>
  <c r="N55" i="3"/>
  <c r="J68" i="3"/>
  <c r="N71" i="3"/>
  <c r="J84" i="3"/>
  <c r="N87" i="3"/>
  <c r="J100" i="3"/>
  <c r="O100" i="3"/>
  <c r="N103" i="3"/>
  <c r="J116" i="3"/>
  <c r="O116" i="3"/>
  <c r="N119" i="3"/>
  <c r="J132" i="3"/>
  <c r="O132" i="3"/>
  <c r="N135" i="3"/>
  <c r="J148" i="3"/>
  <c r="N151" i="3"/>
  <c r="N161" i="3"/>
  <c r="J174" i="3"/>
  <c r="O174" i="3"/>
  <c r="N177" i="3"/>
  <c r="N202" i="3"/>
  <c r="J215" i="3"/>
  <c r="N218" i="3"/>
  <c r="J237" i="3"/>
  <c r="N244" i="3"/>
  <c r="J277" i="3"/>
  <c r="N280" i="3"/>
  <c r="J293" i="3"/>
  <c r="N296" i="3"/>
  <c r="N309" i="3"/>
  <c r="N313" i="3"/>
  <c r="J320" i="3"/>
  <c r="N323" i="3"/>
  <c r="N333" i="3"/>
  <c r="J340" i="3"/>
  <c r="O340" i="3"/>
  <c r="N343" i="3"/>
  <c r="N354" i="3"/>
  <c r="N4" i="3"/>
  <c r="J17" i="3"/>
  <c r="O17" i="3"/>
  <c r="N20" i="3"/>
  <c r="J33" i="3"/>
  <c r="O33" i="3"/>
  <c r="N36" i="3"/>
  <c r="J49" i="3"/>
  <c r="O49" i="3"/>
  <c r="N52" i="3"/>
  <c r="J65" i="3"/>
  <c r="N68" i="3"/>
  <c r="J81" i="3"/>
  <c r="O81" i="3"/>
  <c r="N84" i="3"/>
  <c r="J97" i="3"/>
  <c r="O97" i="3"/>
  <c r="N100" i="3"/>
  <c r="J113" i="3"/>
  <c r="O113" i="3"/>
  <c r="N116" i="3"/>
  <c r="J129" i="3"/>
  <c r="O129" i="3"/>
  <c r="N132" i="3"/>
  <c r="J145" i="3"/>
  <c r="O145" i="3"/>
  <c r="N148" i="3"/>
  <c r="J158" i="3"/>
  <c r="J171" i="3"/>
  <c r="N174" i="3"/>
  <c r="J187" i="3"/>
  <c r="O187" i="3"/>
  <c r="J212" i="3"/>
  <c r="O212" i="3"/>
  <c r="N215" i="3"/>
  <c r="J234" i="3"/>
  <c r="O234" i="3"/>
  <c r="N237" i="3"/>
  <c r="J260" i="3"/>
  <c r="O260" i="3"/>
  <c r="J274" i="3"/>
  <c r="O274" i="3"/>
  <c r="N277" i="3"/>
  <c r="J290" i="3"/>
  <c r="O290" i="3"/>
  <c r="N293" i="3"/>
  <c r="J306" i="3"/>
  <c r="J317" i="3"/>
  <c r="N320" i="3"/>
  <c r="J337" i="3"/>
  <c r="N340" i="3"/>
  <c r="J347" i="3"/>
  <c r="O347" i="3"/>
  <c r="J351" i="3"/>
  <c r="O351" i="3"/>
  <c r="J364" i="3"/>
  <c r="O364" i="3"/>
  <c r="J14" i="3"/>
  <c r="O14" i="3"/>
  <c r="N17" i="3"/>
  <c r="J30" i="3"/>
  <c r="O30" i="3"/>
  <c r="N33" i="3"/>
  <c r="J46" i="3"/>
  <c r="O46" i="3"/>
  <c r="N49" i="3"/>
  <c r="J62" i="3"/>
  <c r="O62" i="3"/>
  <c r="N65" i="3"/>
  <c r="J78" i="3"/>
  <c r="O78" i="3"/>
  <c r="N81" i="3"/>
  <c r="J94" i="3"/>
  <c r="O94" i="3"/>
  <c r="N97" i="3"/>
  <c r="J110" i="3"/>
  <c r="O110" i="3"/>
  <c r="N113" i="3"/>
  <c r="J126" i="3"/>
  <c r="O126" i="3"/>
  <c r="N129" i="3"/>
  <c r="J142" i="3"/>
  <c r="O142" i="3"/>
  <c r="N145" i="3"/>
  <c r="N158" i="3"/>
  <c r="J168" i="3"/>
  <c r="O168" i="3"/>
  <c r="N171" i="3"/>
  <c r="J184" i="3"/>
  <c r="O184" i="3"/>
  <c r="N187" i="3"/>
  <c r="J191" i="3"/>
  <c r="O191" i="3"/>
  <c r="J195" i="3"/>
  <c r="O195" i="3"/>
  <c r="J199" i="3"/>
  <c r="O199" i="3"/>
  <c r="J209" i="3"/>
  <c r="O209" i="3"/>
  <c r="N212" i="3"/>
  <c r="J231" i="3"/>
  <c r="O231" i="3"/>
  <c r="N234" i="3"/>
  <c r="J241" i="3"/>
  <c r="O241" i="3"/>
  <c r="N260" i="3"/>
  <c r="J271" i="3"/>
  <c r="O271" i="3"/>
  <c r="N274" i="3"/>
  <c r="J287" i="3"/>
  <c r="O287" i="3"/>
  <c r="N290" i="3"/>
  <c r="J303" i="3"/>
  <c r="O303" i="3"/>
  <c r="N306" i="3"/>
  <c r="N317" i="3"/>
  <c r="J330" i="3"/>
  <c r="N337" i="3"/>
  <c r="N347" i="3"/>
  <c r="N351" i="3"/>
  <c r="J361" i="3"/>
  <c r="O361" i="3"/>
  <c r="N364" i="3"/>
  <c r="N330" i="3"/>
  <c r="N361" i="3"/>
  <c r="J344" i="3"/>
  <c r="O344" i="3"/>
  <c r="J355" i="3"/>
  <c r="O355" i="3"/>
  <c r="J133" i="3"/>
  <c r="J149" i="3"/>
  <c r="O149" i="3"/>
  <c r="J159" i="3"/>
  <c r="J175" i="3"/>
  <c r="O175" i="3"/>
  <c r="J216" i="3"/>
  <c r="O216" i="3"/>
  <c r="J238" i="3"/>
  <c r="O238" i="3"/>
  <c r="N245" i="3"/>
  <c r="J257" i="3"/>
  <c r="O257" i="3"/>
  <c r="J261" i="3"/>
  <c r="J278" i="3"/>
  <c r="O278" i="3"/>
  <c r="N281" i="3"/>
  <c r="J294" i="3"/>
  <c r="N297" i="3"/>
  <c r="J321" i="3"/>
  <c r="O321" i="3"/>
  <c r="N324" i="3"/>
  <c r="J341" i="3"/>
  <c r="O341" i="3"/>
  <c r="N344" i="3"/>
  <c r="J348" i="3"/>
  <c r="O348" i="3"/>
  <c r="J352" i="3"/>
  <c r="O352" i="3"/>
  <c r="N355" i="3"/>
  <c r="N5" i="3"/>
  <c r="J18" i="3"/>
  <c r="O18" i="3"/>
  <c r="N21" i="3"/>
  <c r="J34" i="3"/>
  <c r="O34" i="3"/>
  <c r="N37" i="3"/>
  <c r="J50" i="3"/>
  <c r="O50" i="3"/>
  <c r="N53" i="3"/>
  <c r="J66" i="3"/>
  <c r="O66" i="3"/>
  <c r="N69" i="3"/>
  <c r="J82" i="3"/>
  <c r="N85" i="3"/>
  <c r="J98" i="3"/>
  <c r="N101" i="3"/>
  <c r="J114" i="3"/>
  <c r="O114" i="3"/>
  <c r="N117" i="3"/>
  <c r="J130" i="3"/>
  <c r="O130" i="3"/>
  <c r="N133" i="3"/>
  <c r="J146" i="3"/>
  <c r="O146" i="3"/>
  <c r="N149" i="3"/>
  <c r="N159" i="3"/>
  <c r="J172" i="3"/>
  <c r="O172" i="3"/>
  <c r="N175" i="3"/>
  <c r="J188" i="3"/>
  <c r="O188" i="3"/>
  <c r="J192" i="3"/>
  <c r="O192" i="3"/>
  <c r="J196" i="3"/>
  <c r="O196" i="3"/>
  <c r="J200" i="3"/>
  <c r="O200" i="3"/>
  <c r="J213" i="3"/>
  <c r="O213" i="3"/>
  <c r="N216" i="3"/>
  <c r="J235" i="3"/>
  <c r="O235" i="3"/>
  <c r="N238" i="3"/>
  <c r="J242" i="3"/>
  <c r="O242" i="3"/>
  <c r="N257" i="3"/>
  <c r="N261" i="3"/>
  <c r="J275" i="3"/>
  <c r="O275" i="3"/>
  <c r="N278" i="3"/>
  <c r="J291" i="3"/>
  <c r="O291" i="3"/>
  <c r="N294" i="3"/>
  <c r="J307" i="3"/>
  <c r="O307" i="3"/>
  <c r="J318" i="3"/>
  <c r="O318" i="3"/>
  <c r="N321" i="3"/>
  <c r="J338" i="3"/>
  <c r="O338" i="3"/>
  <c r="N341" i="3"/>
  <c r="N348" i="3"/>
  <c r="N352" i="3"/>
  <c r="N365" i="3"/>
  <c r="N18" i="3"/>
  <c r="N34" i="3"/>
  <c r="N50" i="3"/>
  <c r="N66" i="3"/>
  <c r="N82" i="3"/>
  <c r="N98" i="3"/>
  <c r="N114" i="3"/>
  <c r="N130" i="3"/>
  <c r="N146" i="3"/>
  <c r="N172" i="3"/>
  <c r="N188" i="3"/>
  <c r="N192" i="3"/>
  <c r="N196" i="3"/>
  <c r="N200" i="3"/>
  <c r="N338" i="3"/>
  <c r="J6" i="3"/>
  <c r="O6" i="3"/>
  <c r="J22" i="3"/>
  <c r="O22" i="3"/>
  <c r="J38" i="3"/>
  <c r="O38" i="3"/>
  <c r="J54" i="3"/>
  <c r="O54" i="3"/>
  <c r="J70" i="3"/>
  <c r="O70" i="3"/>
  <c r="J86" i="3"/>
  <c r="O86" i="3"/>
  <c r="J102" i="3"/>
  <c r="J118" i="3"/>
  <c r="O118" i="3"/>
  <c r="J134" i="3"/>
  <c r="O134" i="3"/>
  <c r="J150" i="3"/>
  <c r="O150" i="3"/>
  <c r="J160" i="3"/>
  <c r="O160" i="3"/>
  <c r="J176" i="3"/>
  <c r="O176" i="3"/>
  <c r="J189" i="3"/>
  <c r="O189" i="3"/>
  <c r="J193" i="3"/>
  <c r="O193" i="3"/>
  <c r="J197" i="3"/>
  <c r="J201" i="3"/>
  <c r="O201" i="3"/>
  <c r="J217" i="3"/>
  <c r="O217" i="3"/>
  <c r="J239" i="3"/>
  <c r="O239" i="3"/>
  <c r="J243" i="3"/>
  <c r="J279" i="3"/>
  <c r="O279" i="3"/>
  <c r="J295" i="3"/>
  <c r="O295" i="3"/>
  <c r="J322" i="3"/>
  <c r="O322" i="3"/>
  <c r="J342" i="3"/>
  <c r="J353" i="3"/>
</calcChain>
</file>

<file path=xl/sharedStrings.xml><?xml version="1.0" encoding="utf-8"?>
<sst xmlns="http://schemas.openxmlformats.org/spreadsheetml/2006/main" count="11085" uniqueCount="3245">
  <si>
    <t>tag</t>
  </si>
  <si>
    <t>parent_tag</t>
  </si>
  <si>
    <t>text</t>
  </si>
  <si>
    <t>priority</t>
  </si>
  <si>
    <t>has_features_value</t>
  </si>
  <si>
    <t>has_numeric_input</t>
  </si>
  <si>
    <t>group_tag</t>
  </si>
  <si>
    <t>min_state</t>
  </si>
  <si>
    <t>mandatory_for_submission</t>
  </si>
  <si>
    <t>mandatory_for_active</t>
  </si>
  <si>
    <t>allow_as_filter</t>
  </si>
  <si>
    <t>allow_for_user</t>
  </si>
  <si>
    <t>allow_for_genotype</t>
  </si>
  <si>
    <t>allow_for_qc</t>
  </si>
  <si>
    <t>allow_for_dataset</t>
  </si>
  <si>
    <t>allow_for_sample</t>
  </si>
  <si>
    <t>att_aa_starvation</t>
  </si>
  <si>
    <t>NA</t>
  </si>
  <si>
    <t>Amino Acid Starvation</t>
  </si>
  <si>
    <t>FALSE</t>
  </si>
  <si>
    <t>treatment</t>
  </si>
  <si>
    <t>TRUE</t>
  </si>
  <si>
    <t>att_acquisition</t>
  </si>
  <si>
    <t>att_ms</t>
  </si>
  <si>
    <t>Acquisition</t>
  </si>
  <si>
    <t>ms</t>
  </si>
  <si>
    <t>att_alkylation</t>
  </si>
  <si>
    <t>att_digestion_method</t>
  </si>
  <si>
    <t>Protein Alkylation</t>
  </si>
  <si>
    <t>digestion</t>
  </si>
  <si>
    <t>att_analysis_mode</t>
  </si>
  <si>
    <t>att_software</t>
  </si>
  <si>
    <t>Software Analysis Mode</t>
  </si>
  <si>
    <t>data_analysis</t>
  </si>
  <si>
    <t>att_batch</t>
  </si>
  <si>
    <t>Batch</t>
  </si>
  <si>
    <t>batch</t>
  </si>
  <si>
    <t>att_cap_temp</t>
  </si>
  <si>
    <t>att_ms_ionsource</t>
  </si>
  <si>
    <t>Capillary Temp</t>
  </si>
  <si>
    <t>att_cell</t>
  </si>
  <si>
    <t>Cell</t>
  </si>
  <si>
    <t>sample_description</t>
  </si>
  <si>
    <t>att_cellline</t>
  </si>
  <si>
    <t>Cellline</t>
  </si>
  <si>
    <t>att_centr_pellet</t>
  </si>
  <si>
    <t>Centrifugation (Pellet) [k x g]</t>
  </si>
  <si>
    <t>sample_prep</t>
  </si>
  <si>
    <t>att_centr_supernatant</t>
  </si>
  <si>
    <t>Centrifugation (Supernatant) [k x g]</t>
  </si>
  <si>
    <t>att_collision_energy</t>
  </si>
  <si>
    <t>Collision Energy [%]</t>
  </si>
  <si>
    <t>att_column_inner_diameter</t>
  </si>
  <si>
    <t>att_column_type</t>
  </si>
  <si>
    <t>Column Inner Diameter [um]</t>
  </si>
  <si>
    <t>lc</t>
  </si>
  <si>
    <t>att_column_length</t>
  </si>
  <si>
    <t>Column Length [cm]</t>
  </si>
  <si>
    <t>att_column_outer_diameter</t>
  </si>
  <si>
    <t>Column Outer Diameter [um]</t>
  </si>
  <si>
    <t>att_column_oven_temp</t>
  </si>
  <si>
    <t>Column Oven Temp</t>
  </si>
  <si>
    <t>att_column_particle_size</t>
  </si>
  <si>
    <t>Column Particle Size [um]</t>
  </si>
  <si>
    <t>att_column_pore_size</t>
  </si>
  <si>
    <t>Column Pore Size</t>
  </si>
  <si>
    <t>att_column_stat_phase</t>
  </si>
  <si>
    <t>Column Stationary Phase</t>
  </si>
  <si>
    <t>Column Type</t>
  </si>
  <si>
    <t>att_compound</t>
  </si>
  <si>
    <t>Chemical Compound Treatment</t>
  </si>
  <si>
    <t>att_concentration_m</t>
  </si>
  <si>
    <t>Concentration [M]</t>
  </si>
  <si>
    <t>att_concentration_mm</t>
  </si>
  <si>
    <t>Concentration [mM]</t>
  </si>
  <si>
    <t>att_concentration_per</t>
  </si>
  <si>
    <t>Concentration [%]</t>
  </si>
  <si>
    <t>att_concentration_um</t>
  </si>
  <si>
    <t>Concentration [uM]</t>
  </si>
  <si>
    <t>att_crosslink_hydroamine_cleavable</t>
  </si>
  <si>
    <t>Hydroxylamine Cleavable Crosslinker</t>
  </si>
  <si>
    <t>crosslinker</t>
  </si>
  <si>
    <t>att_crosslink_ms_cleavable</t>
  </si>
  <si>
    <t>MS2 Clevable Crosslinker</t>
  </si>
  <si>
    <t>att_crosslink_non_clevable</t>
  </si>
  <si>
    <t>Non Clevable Crosslinker</t>
  </si>
  <si>
    <t>att_crosslink_thiol_cleavable</t>
  </si>
  <si>
    <t>Thiol-Clevable Crosslinker</t>
  </si>
  <si>
    <t>att_cycletime</t>
  </si>
  <si>
    <t>Cycle Time [ms]</t>
  </si>
  <si>
    <t>att_detergent</t>
  </si>
  <si>
    <t>att_lysis_method</t>
  </si>
  <si>
    <t>Detergent</t>
  </si>
  <si>
    <t>lysis</t>
  </si>
  <si>
    <t>att_dia_mz_end</t>
  </si>
  <si>
    <t>att_diawindows</t>
  </si>
  <si>
    <t>DIA End [m/z]</t>
  </si>
  <si>
    <t>att_dia_mz_start</t>
  </si>
  <si>
    <t>DIA Start [m/z]</t>
  </si>
  <si>
    <t>Number DIA Windows</t>
  </si>
  <si>
    <t>Digestion Method</t>
  </si>
  <si>
    <t>att_digestion_temp</t>
  </si>
  <si>
    <t>att_digestion_time</t>
  </si>
  <si>
    <t>Digestion Time [h]</t>
  </si>
  <si>
    <t>att_digestion_vessel</t>
  </si>
  <si>
    <t>Digestion Vessel</t>
  </si>
  <si>
    <t>att_digestion_volume</t>
  </si>
  <si>
    <t>att_disease</t>
  </si>
  <si>
    <t>Disease</t>
  </si>
  <si>
    <t>att_environment_treatment</t>
  </si>
  <si>
    <t>Environment Treament</t>
  </si>
  <si>
    <t>att_experiment</t>
  </si>
  <si>
    <t>Experiment Type</t>
  </si>
  <si>
    <t>general</t>
  </si>
  <si>
    <t>att_faims_cv</t>
  </si>
  <si>
    <t>att_ms_interface</t>
  </si>
  <si>
    <t>att_faims_gasflow</t>
  </si>
  <si>
    <t>FAIMS Gas flow in mL/min</t>
  </si>
  <si>
    <t>att_faims_inner_temp</t>
  </si>
  <si>
    <t>FAIMS Inner Electrode Temp</t>
  </si>
  <si>
    <t>att_faims_outer_temp</t>
  </si>
  <si>
    <t>FAIMS Outer Electrode Temp</t>
  </si>
  <si>
    <t>att_fasta_file</t>
  </si>
  <si>
    <t>Fasta File</t>
  </si>
  <si>
    <t>att_funding</t>
  </si>
  <si>
    <t>Source of Funding</t>
  </si>
  <si>
    <t>funding</t>
  </si>
  <si>
    <t>att_gene_editing_method</t>
  </si>
  <si>
    <t>att_gene_zygosity</t>
  </si>
  <si>
    <t>Editing method</t>
  </si>
  <si>
    <t>genotype</t>
  </si>
  <si>
    <t>att_gene_engineering</t>
  </si>
  <si>
    <t>att_protein_coding_sequence</t>
  </si>
  <si>
    <t>Gene engineering</t>
  </si>
  <si>
    <t>Zygosity</t>
  </si>
  <si>
    <t>att_isolation_width</t>
  </si>
  <si>
    <t>Isolation Width [Th]</t>
  </si>
  <si>
    <t>att_knockdown</t>
  </si>
  <si>
    <t>att_knockdown_technique</t>
  </si>
  <si>
    <t>knockdown</t>
  </si>
  <si>
    <t>Knockdown Technique</t>
  </si>
  <si>
    <t>att_lc_flow_rate</t>
  </si>
  <si>
    <t>att_lc_system_name</t>
  </si>
  <si>
    <t>att_lc_gradient_length</t>
  </si>
  <si>
    <t>att_lc_system</t>
  </si>
  <si>
    <t>LC System</t>
  </si>
  <si>
    <t>att_liquid_handler</t>
  </si>
  <si>
    <t>Liquid Handler</t>
  </si>
  <si>
    <t>att_lysis_buffer</t>
  </si>
  <si>
    <t>Lysis Buffer</t>
  </si>
  <si>
    <t>Lysis Method</t>
  </si>
  <si>
    <t>att_metabolic_label</t>
  </si>
  <si>
    <t>Metabolic / SILAC Labeling</t>
  </si>
  <si>
    <t>att_mitocarta_pathway</t>
  </si>
  <si>
    <t>MitoCarta3.0 Pathway</t>
  </si>
  <si>
    <t>pathway</t>
  </si>
  <si>
    <t>att_model</t>
  </si>
  <si>
    <t>Model</t>
  </si>
  <si>
    <t>Mass Spectrometer Type</t>
  </si>
  <si>
    <t>Interface</t>
  </si>
  <si>
    <t>att_ms_name</t>
  </si>
  <si>
    <t>Ion Source</t>
  </si>
  <si>
    <t>Mass Spectrometer</t>
  </si>
  <si>
    <t>att_ms1_mz_end</t>
  </si>
  <si>
    <t>att_ms1_resolution</t>
  </si>
  <si>
    <t>MS1 End [m/z]</t>
  </si>
  <si>
    <t>att_ms1_mz_start</t>
  </si>
  <si>
    <t>MS1 Start [m/z]</t>
  </si>
  <si>
    <t>MS1 Resolution</t>
  </si>
  <si>
    <t>att_ms2_mz_end</t>
  </si>
  <si>
    <t>att_ms2_resolution</t>
  </si>
  <si>
    <t>MS2 End [m/z]</t>
  </si>
  <si>
    <t>att_ms2_mz_start</t>
  </si>
  <si>
    <t>MS2 Start [m/z]</t>
  </si>
  <si>
    <t>MS2 Resolution</t>
  </si>
  <si>
    <t>att_muscle</t>
  </si>
  <si>
    <t>att_organ</t>
  </si>
  <si>
    <t>Muscle</t>
  </si>
  <si>
    <t>att_offline_frac_instrument</t>
  </si>
  <si>
    <t>att_offline_fractionation</t>
  </si>
  <si>
    <t>Offline Fractionation Instrument</t>
  </si>
  <si>
    <t>fractionation</t>
  </si>
  <si>
    <t>att_offline_fraction_index</t>
  </si>
  <si>
    <t>att_offline_fraction</t>
  </si>
  <si>
    <t>Offline Fractionation Index</t>
  </si>
  <si>
    <t>Offline Fractionation</t>
  </si>
  <si>
    <t>att_offline_gradient_length</t>
  </si>
  <si>
    <t>Offline Fractionation Gradient Length</t>
  </si>
  <si>
    <t>att_offline_num_fraction</t>
  </si>
  <si>
    <t>att_omics_type</t>
  </si>
  <si>
    <t>Omics Type</t>
  </si>
  <si>
    <t>Organ</t>
  </si>
  <si>
    <t>att_organism</t>
  </si>
  <si>
    <t>Organism</t>
  </si>
  <si>
    <t>att_phystraining</t>
  </si>
  <si>
    <t>Physical Training</t>
  </si>
  <si>
    <t>att_poi</t>
  </si>
  <si>
    <t>Protein(s) of interest</t>
  </si>
  <si>
    <t>project_background</t>
  </si>
  <si>
    <t>att_protease</t>
  </si>
  <si>
    <t>Protease</t>
  </si>
  <si>
    <t>Protein coding sequence</t>
  </si>
  <si>
    <t>att_protein_mutation</t>
  </si>
  <si>
    <t>Protein Mutation</t>
  </si>
  <si>
    <t>att_protein_position</t>
  </si>
  <si>
    <t>Protein Position</t>
  </si>
  <si>
    <t>att_quant_algorithm</t>
  </si>
  <si>
    <t>att_quantification</t>
  </si>
  <si>
    <t>Quantification Algorithm</t>
  </si>
  <si>
    <t>Quantification Type</t>
  </si>
  <si>
    <t>att_reduction</t>
  </si>
  <si>
    <t>Protein Reduction</t>
  </si>
  <si>
    <t>att_rf_level</t>
  </si>
  <si>
    <t>RF Level</t>
  </si>
  <si>
    <t>Software</t>
  </si>
  <si>
    <t>att_spatial_fraction</t>
  </si>
  <si>
    <t>Spatial Fraction</t>
  </si>
  <si>
    <t>att_spray_voltage</t>
  </si>
  <si>
    <t>att_time_a</t>
  </si>
  <si>
    <t>Time [a]</t>
  </si>
  <si>
    <t>att_time_d</t>
  </si>
  <si>
    <t>Time [d]</t>
  </si>
  <si>
    <t>att_time_h</t>
  </si>
  <si>
    <t>Time [h]</t>
  </si>
  <si>
    <t>att_time_min</t>
  </si>
  <si>
    <t>Time [min]</t>
  </si>
  <si>
    <t>att_time_ms</t>
  </si>
  <si>
    <t>Time [ms]</t>
  </si>
  <si>
    <t>att_time_s</t>
  </si>
  <si>
    <t>Time [s|</t>
  </si>
  <si>
    <t>att_time_w</t>
  </si>
  <si>
    <t>Time [weeks]</t>
  </si>
  <si>
    <t>att_tissue</t>
  </si>
  <si>
    <t>Tissue</t>
  </si>
  <si>
    <t>att_tmt_channel</t>
  </si>
  <si>
    <t>TMT 10 plex</t>
  </si>
  <si>
    <t>att_topn</t>
  </si>
  <si>
    <t>TopN</t>
  </si>
  <si>
    <t>att_user_email</t>
  </si>
  <si>
    <t>user</t>
  </si>
  <si>
    <t>att_user_firstname</t>
  </si>
  <si>
    <t>First name</t>
  </si>
  <si>
    <t>att_user_institute</t>
  </si>
  <si>
    <t>Institute</t>
  </si>
  <si>
    <t>att_user_lastname</t>
  </si>
  <si>
    <t>Last name</t>
  </si>
  <si>
    <t>att_user_research_group</t>
  </si>
  <si>
    <t>Research Group</t>
  </si>
  <si>
    <t>att_user_role</t>
  </si>
  <si>
    <t>Role</t>
  </si>
  <si>
    <t>attribute_tag</t>
  </si>
  <si>
    <t>keyword</t>
  </si>
  <si>
    <t>description</t>
  </si>
  <si>
    <t>steroid_synthesis</t>
  </si>
  <si>
    <t>Cholesterol, bile acid, steroid synthesis</t>
  </si>
  <si>
    <t>Metabolism &gt; Lipid metabolism &gt; Cholesterol, bile acid, steroid synthesis</t>
  </si>
  <si>
    <t>q_linked_reactions</t>
  </si>
  <si>
    <t>Q-linked reactions, other</t>
  </si>
  <si>
    <t>Metabolism &gt; Electron carriers &gt; Q-linked reactions, other</t>
  </si>
  <si>
    <t>protein_import</t>
  </si>
  <si>
    <t>Protein import, sorting and homeostasis</t>
  </si>
  <si>
    <t>360um</t>
  </si>
  <si>
    <t>360 µm outer column diameter</t>
  </si>
  <si>
    <t>arginine</t>
  </si>
  <si>
    <t>att_aa</t>
  </si>
  <si>
    <t>Arginine</t>
  </si>
  <si>
    <t>Arginine (Arg/R) MW (Da):174,20 C6H14N4O2 pKa: 2,17</t>
  </si>
  <si>
    <t>asparagine</t>
  </si>
  <si>
    <t>Asparagine</t>
  </si>
  <si>
    <t>Asparagine (Asn/N) MW (Da):132,12 C4H8N2O3</t>
  </si>
  <si>
    <t>asparticacid</t>
  </si>
  <si>
    <t>Aspartic</t>
  </si>
  <si>
    <t>Aspartic acid (Asp/D) MW (Da):133,11 C4H7NO4</t>
  </si>
  <si>
    <t>cysteine</t>
  </si>
  <si>
    <t>Cysteine</t>
  </si>
  <si>
    <t>Cysteine (Cys/C) MW (Da):121,16 C3H7NO2S</t>
  </si>
  <si>
    <t>glutamicacid</t>
  </si>
  <si>
    <t>Glutamic</t>
  </si>
  <si>
    <t>Glutamic acid (Glu/E) MW (Da):147,13 C5H9NO4</t>
  </si>
  <si>
    <t>glutamine</t>
  </si>
  <si>
    <t>Glutamine</t>
  </si>
  <si>
    <t>Glutamine (Gln/Q) MW (Da):146,15 C5H10N2O3</t>
  </si>
  <si>
    <t>glycine</t>
  </si>
  <si>
    <t>Glycine</t>
  </si>
  <si>
    <t>Glycine (Gly/G) MW (Da):75,07 C2H5NO2</t>
  </si>
  <si>
    <t>histidine</t>
  </si>
  <si>
    <t>Histidine</t>
  </si>
  <si>
    <t>Histidine (His/H) MW (Da):155,16 C6H9N3O2</t>
  </si>
  <si>
    <t>isoleucine</t>
  </si>
  <si>
    <t>Isoleucine</t>
  </si>
  <si>
    <t>Isoleucine (Ile/I) MW (Da):131,18 C6H13NO2</t>
  </si>
  <si>
    <t>leucine</t>
  </si>
  <si>
    <t>Leucine</t>
  </si>
  <si>
    <t>Leucine (Leu/L) MW (Da):131,18 C6H13NO2</t>
  </si>
  <si>
    <t>lysine</t>
  </si>
  <si>
    <t>Lysine</t>
  </si>
  <si>
    <t>Lysine (Lys/K) MW (Da):146,19 C6H14N2O2</t>
  </si>
  <si>
    <t>methionine</t>
  </si>
  <si>
    <t>Methionine</t>
  </si>
  <si>
    <t>Methionine (Met/M) MW (Da):149,21 C5H11NO2S</t>
  </si>
  <si>
    <t>phenylalanine</t>
  </si>
  <si>
    <t>Phenylalanine</t>
  </si>
  <si>
    <t>Phenylalanine (Phe/F) MW (Da):165,19 C9H11NO2</t>
  </si>
  <si>
    <t>proline</t>
  </si>
  <si>
    <t>Proline</t>
  </si>
  <si>
    <t>Proline (Pro/P) MW (Da):115,13 C5H9NO2</t>
  </si>
  <si>
    <t>serine</t>
  </si>
  <si>
    <t>Serine</t>
  </si>
  <si>
    <t>Serin (Ser/S) MW (Da):105,09 C3H7NO3</t>
  </si>
  <si>
    <t>threonine</t>
  </si>
  <si>
    <t>Threonine</t>
  </si>
  <si>
    <t>Threonine (Thr/T) MW (Da):119,12 C4H9NO3</t>
  </si>
  <si>
    <t>tryptophan</t>
  </si>
  <si>
    <t>Tryptophan</t>
  </si>
  <si>
    <t>Tryptophan(Trp/W) MW (Da):204,23 C11H12N2O2</t>
  </si>
  <si>
    <t>tyrosine</t>
  </si>
  <si>
    <t>Tyrosine</t>
  </si>
  <si>
    <t>Tyrosine (Tyr/Y) MW (Da):181,19 C9H11NO3</t>
  </si>
  <si>
    <t>valine</t>
  </si>
  <si>
    <t>Valine</t>
  </si>
  <si>
    <t>Valine (Val/V) MW (Da):117,15 C5H11NO2</t>
  </si>
  <si>
    <t>dda</t>
  </si>
  <si>
    <t>DDA</t>
  </si>
  <si>
    <t xml:space="preserve">Data-dependent acquisition </t>
  </si>
  <si>
    <t>dia</t>
  </si>
  <si>
    <t>DIA</t>
  </si>
  <si>
    <t>Data-independent acquisition</t>
  </si>
  <si>
    <t>srm</t>
  </si>
  <si>
    <t>SRM / MRM</t>
  </si>
  <si>
    <t>Selected reaction monitoring / Multiple reaction monitoring</t>
  </si>
  <si>
    <t>caa</t>
  </si>
  <si>
    <t>CAA</t>
  </si>
  <si>
    <t>Chloracetamide for protein alkylation.</t>
  </si>
  <si>
    <t>iaa</t>
  </si>
  <si>
    <t>IAA</t>
  </si>
  <si>
    <t>Iodoacetamide for protein alkylation.</t>
  </si>
  <si>
    <t>none</t>
  </si>
  <si>
    <t>Native</t>
  </si>
  <si>
    <t>Proteins were not alkylated.</t>
  </si>
  <si>
    <t>directdia</t>
  </si>
  <si>
    <t>Direct DIA</t>
  </si>
  <si>
    <t xml:space="preserve">Direct DIA mode (no DDA library). </t>
  </si>
  <si>
    <t>libdia</t>
  </si>
  <si>
    <t>Spectral Library based DIA</t>
  </si>
  <si>
    <t xml:space="preserve">Experimental library (DDA) based DIA anaylsis. </t>
  </si>
  <si>
    <t>adipoq_cre</t>
  </si>
  <si>
    <t>att_animal_model</t>
  </si>
  <si>
    <t>Adipoq-Cre</t>
  </si>
  <si>
    <t>white adipose tissue</t>
  </si>
  <si>
    <t>alb_cre</t>
  </si>
  <si>
    <t>Alb-Cre</t>
  </si>
  <si>
    <t>Hepatocytes</t>
  </si>
  <si>
    <t>asc_ko</t>
  </si>
  <si>
    <t>ASC ko</t>
  </si>
  <si>
    <t>baf53b_cre</t>
  </si>
  <si>
    <t>Baf53b-Cre</t>
  </si>
  <si>
    <t>Neurons</t>
  </si>
  <si>
    <t>c57_bl6j</t>
  </si>
  <si>
    <t>C57/Bl6J</t>
  </si>
  <si>
    <t>clec4f_cre</t>
  </si>
  <si>
    <t>Clec4f-Cre</t>
  </si>
  <si>
    <t>Kupffer cells</t>
  </si>
  <si>
    <t>cx3cr1_cre</t>
  </si>
  <si>
    <t>Cx3cr1-Cre</t>
  </si>
  <si>
    <t>(Yalk sac) Macrophages</t>
  </si>
  <si>
    <t>cxcr4creert2</t>
  </si>
  <si>
    <t>Cxcr4CreERT2</t>
  </si>
  <si>
    <t>glast_cre</t>
  </si>
  <si>
    <t>Glast-Cre</t>
  </si>
  <si>
    <t>Astrocytes</t>
  </si>
  <si>
    <t>lrat_cre</t>
  </si>
  <si>
    <t>Lrat-Cre</t>
  </si>
  <si>
    <t>Hepatic stellate cells</t>
  </si>
  <si>
    <t>lysm_cre</t>
  </si>
  <si>
    <t>LysM-Cre</t>
  </si>
  <si>
    <t>Macrophages/Neutrophils</t>
  </si>
  <si>
    <t>ms4a3_cre</t>
  </si>
  <si>
    <t>Ms4a3-Cre</t>
  </si>
  <si>
    <t>Monocytes</t>
  </si>
  <si>
    <t>mt_nlrp3_cre</t>
  </si>
  <si>
    <t>MT-Nlrp3-Cre</t>
  </si>
  <si>
    <t xml:space="preserve">CAPS R26ERtCreNlrp3A350V </t>
  </si>
  <si>
    <t>nlrp3_flox</t>
  </si>
  <si>
    <t>Nlrp3-flox</t>
  </si>
  <si>
    <t>nlrp3_ko</t>
  </si>
  <si>
    <t>Nlrp3 ko</t>
  </si>
  <si>
    <t>oaf</t>
  </si>
  <si>
    <t>OAF</t>
  </si>
  <si>
    <t>r26_ert2cre</t>
  </si>
  <si>
    <t>R26 ERt2Cre</t>
  </si>
  <si>
    <t>R26 Ert2Cre</t>
  </si>
  <si>
    <t>r26_metrs_flox</t>
  </si>
  <si>
    <t>R26 MetRS*-flox</t>
  </si>
  <si>
    <t>Cell-type specific labelling</t>
  </si>
  <si>
    <t>r26_nlrp3_flox</t>
  </si>
  <si>
    <t>R26 Nlrp3-flox</t>
  </si>
  <si>
    <t>ribotag_lox</t>
  </si>
  <si>
    <t>Ribotag-lox</t>
  </si>
  <si>
    <t>sox10_cre</t>
  </si>
  <si>
    <t>Sox10-Cre</t>
  </si>
  <si>
    <t>Neural crest ?</t>
  </si>
  <si>
    <t>ucp1_cre</t>
  </si>
  <si>
    <t>UCP1-Cre</t>
  </si>
  <si>
    <t>brown adipose tissue</t>
  </si>
  <si>
    <t>vil_cre</t>
  </si>
  <si>
    <t>Vil-Cre</t>
  </si>
  <si>
    <t>Intestinal epithelium</t>
  </si>
  <si>
    <t>adipose_macrophages</t>
  </si>
  <si>
    <t>adiposemacrophages</t>
  </si>
  <si>
    <t>Adipose Macrophages</t>
  </si>
  <si>
    <t>Adipose tissue macrophages</t>
  </si>
  <si>
    <t>astrocytes</t>
  </si>
  <si>
    <t>basophils</t>
  </si>
  <si>
    <t>Basophils</t>
  </si>
  <si>
    <t>&lt; 1% of leukocytes</t>
  </si>
  <si>
    <t>bcells</t>
  </si>
  <si>
    <t>B cells</t>
  </si>
  <si>
    <t>cytotoxict</t>
  </si>
  <si>
    <t>Cytotoxic T cells</t>
  </si>
  <si>
    <t>CD8+ cytotoxic T cells</t>
  </si>
  <si>
    <t>endothelial</t>
  </si>
  <si>
    <t>Endothelial</t>
  </si>
  <si>
    <t>Interior surface cells of blood vessels and lymphatic vessels</t>
  </si>
  <si>
    <t>eosinophils</t>
  </si>
  <si>
    <t>Eosinophils</t>
  </si>
  <si>
    <t>2% of leukocytes</t>
  </si>
  <si>
    <t>epithelioid</t>
  </si>
  <si>
    <t>Epithelioid</t>
  </si>
  <si>
    <t>Granulomas</t>
  </si>
  <si>
    <t>erythrocytes</t>
  </si>
  <si>
    <t>Erythrocytes</t>
  </si>
  <si>
    <t>Red blood cells</t>
  </si>
  <si>
    <t>gammadeltat</t>
  </si>
  <si>
    <t>Gamma Delta T cells</t>
  </si>
  <si>
    <t>Gamma delta T cells</t>
  </si>
  <si>
    <t>hofbauer</t>
  </si>
  <si>
    <t>Hofbauer</t>
  </si>
  <si>
    <t>Hofbauer cells; Placenta</t>
  </si>
  <si>
    <t>keratinocytes</t>
  </si>
  <si>
    <t>Keratinocytes</t>
  </si>
  <si>
    <t>Most prominent cell within the epidermis.</t>
  </si>
  <si>
    <t>kupffer</t>
  </si>
  <si>
    <t>Kupffer</t>
  </si>
  <si>
    <t>Kupffer cells; Liver</t>
  </si>
  <si>
    <t>langerhans</t>
  </si>
  <si>
    <t>Langerhans</t>
  </si>
  <si>
    <t>Langerhans cells; Skin</t>
  </si>
  <si>
    <t>leukocytes</t>
  </si>
  <si>
    <t>Leukocytes</t>
  </si>
  <si>
    <t>White blood cells</t>
  </si>
  <si>
    <t>lymphocytes</t>
  </si>
  <si>
    <t>Lymphocytes</t>
  </si>
  <si>
    <t>30% of leukocytes; includes B cells and T cells</t>
  </si>
  <si>
    <t>macrophage</t>
  </si>
  <si>
    <t>Macrophage</t>
  </si>
  <si>
    <t>microglia</t>
  </si>
  <si>
    <t>Microglia</t>
  </si>
  <si>
    <t>Microglia; Central nervous system</t>
  </si>
  <si>
    <t>monoblast</t>
  </si>
  <si>
    <t>Monoblast</t>
  </si>
  <si>
    <t>monocytes</t>
  </si>
  <si>
    <t>5% of leukocytes</t>
  </si>
  <si>
    <t>neutrophils</t>
  </si>
  <si>
    <t>Neutrophils</t>
  </si>
  <si>
    <t>62% of leukocytes</t>
  </si>
  <si>
    <t>nk</t>
  </si>
  <si>
    <t>Natural Killer cells (NK)</t>
  </si>
  <si>
    <t>Natural killer cells</t>
  </si>
  <si>
    <t>osteoblast</t>
  </si>
  <si>
    <t>Osteoblast</t>
  </si>
  <si>
    <t>forms bone matrix</t>
  </si>
  <si>
    <t>osteoclast</t>
  </si>
  <si>
    <t>Osteoclast</t>
  </si>
  <si>
    <t>resorbs bone</t>
  </si>
  <si>
    <t>osteocytes</t>
  </si>
  <si>
    <t>Osteocytes</t>
  </si>
  <si>
    <t>maintains bone tissue</t>
  </si>
  <si>
    <t>osteogenic</t>
  </si>
  <si>
    <t>Osteogenic</t>
  </si>
  <si>
    <t>Stem cell</t>
  </si>
  <si>
    <t>regt</t>
  </si>
  <si>
    <t>Regulatory T cells (RegT)</t>
  </si>
  <si>
    <t>Regulatory T Cell</t>
  </si>
  <si>
    <t>stemcells</t>
  </si>
  <si>
    <t>Stem Cells</t>
  </si>
  <si>
    <t>Stem or Blast cells</t>
  </si>
  <si>
    <t>tcells</t>
  </si>
  <si>
    <t>T cells</t>
  </si>
  <si>
    <t>thelper</t>
  </si>
  <si>
    <t>T Helper cells (Th)</t>
  </si>
  <si>
    <t>CD4+ T helper cells</t>
  </si>
  <si>
    <t>thrombocytes</t>
  </si>
  <si>
    <t>Thrombocytes</t>
  </si>
  <si>
    <t>Platelets</t>
  </si>
  <si>
    <t>786_0</t>
  </si>
  <si>
    <t>786-0</t>
  </si>
  <si>
    <t>Human NCI-60 cell line; Renal Cancer</t>
  </si>
  <si>
    <t>a498</t>
  </si>
  <si>
    <t>A498</t>
  </si>
  <si>
    <t>a549</t>
  </si>
  <si>
    <t>A549</t>
  </si>
  <si>
    <t>Human NCI-60 cell line; Non-Small Cell Lung cancer</t>
  </si>
  <si>
    <t>achn</t>
  </si>
  <si>
    <t>ACHN</t>
  </si>
  <si>
    <t>bmdc</t>
  </si>
  <si>
    <t>BMDC</t>
  </si>
  <si>
    <t>bmm</t>
  </si>
  <si>
    <t>BMM</t>
  </si>
  <si>
    <t>Bone-marrow-derived macrophages</t>
  </si>
  <si>
    <t>bt549</t>
  </si>
  <si>
    <t>BT-549</t>
  </si>
  <si>
    <t>Human NCI-60 cell line; Breast Cancer</t>
  </si>
  <si>
    <t>caki1</t>
  </si>
  <si>
    <t>CAKI-1</t>
  </si>
  <si>
    <t>cho</t>
  </si>
  <si>
    <t>CHO</t>
  </si>
  <si>
    <t>Chinese hamster ovary</t>
  </si>
  <si>
    <t>colo205</t>
  </si>
  <si>
    <t>COLO205</t>
  </si>
  <si>
    <t>Human NCI-60 cell line; Colon cancer</t>
  </si>
  <si>
    <t>crfcem</t>
  </si>
  <si>
    <t>CRF-CEM</t>
  </si>
  <si>
    <t>Human NCI-60 cell line; Leukemia</t>
  </si>
  <si>
    <t>du145</t>
  </si>
  <si>
    <t>DU-145</t>
  </si>
  <si>
    <t>Human NCI-60 cell line; Prostate Cancer</t>
  </si>
  <si>
    <t>ekvx</t>
  </si>
  <si>
    <t>EKVX</t>
  </si>
  <si>
    <t>hcc2998</t>
  </si>
  <si>
    <t>HCC-2998</t>
  </si>
  <si>
    <t>hct116</t>
  </si>
  <si>
    <t>HCT-116</t>
  </si>
  <si>
    <t>hct15</t>
  </si>
  <si>
    <t>HCT-15</t>
  </si>
  <si>
    <t>hek293</t>
  </si>
  <si>
    <t>HEK293</t>
  </si>
  <si>
    <t>Human Embryonic Kidney cancer cells; epithelial</t>
  </si>
  <si>
    <t>hek293t</t>
  </si>
  <si>
    <t>HEK293T</t>
  </si>
  <si>
    <t>Human Embryonic Kidney cancer cells; epithelial; derivates from HEK293</t>
  </si>
  <si>
    <t>hela</t>
  </si>
  <si>
    <t>HeLa</t>
  </si>
  <si>
    <t>Human epithelial cell; cervical cancer; Henrietta Lacks</t>
  </si>
  <si>
    <t>hl60</t>
  </si>
  <si>
    <t>HL-60</t>
  </si>
  <si>
    <t>hop62</t>
  </si>
  <si>
    <t>HOP-62</t>
  </si>
  <si>
    <t>hop92</t>
  </si>
  <si>
    <t>HOP-92</t>
  </si>
  <si>
    <t>hs578t</t>
  </si>
  <si>
    <t>HS 578T</t>
  </si>
  <si>
    <t>ht29</t>
  </si>
  <si>
    <t>HT29</t>
  </si>
  <si>
    <t>igrov1</t>
  </si>
  <si>
    <t>IGR-OV1</t>
  </si>
  <si>
    <t>Human NCI-60 cell line; Ovarian Cancer</t>
  </si>
  <si>
    <t>immmef</t>
  </si>
  <si>
    <t>Immortalized MEF</t>
  </si>
  <si>
    <t>Immortalized mouse embryonics fibroblast</t>
  </si>
  <si>
    <t>jeko1</t>
  </si>
  <si>
    <t>JeKo-1</t>
  </si>
  <si>
    <t>Human Mantle cell lymphoma</t>
  </si>
  <si>
    <t>jurkat</t>
  </si>
  <si>
    <t>JURKAT</t>
  </si>
  <si>
    <t>Acute T cell leukemia; human T lymphocytes</t>
  </si>
  <si>
    <t>jvm13</t>
  </si>
  <si>
    <t>JVM-13</t>
  </si>
  <si>
    <t>jvm2</t>
  </si>
  <si>
    <t>JVM-2</t>
  </si>
  <si>
    <t>k562</t>
  </si>
  <si>
    <t>K-562</t>
  </si>
  <si>
    <t>km12</t>
  </si>
  <si>
    <t>KM12</t>
  </si>
  <si>
    <t>lox_imvi</t>
  </si>
  <si>
    <t>LOX IMVI</t>
  </si>
  <si>
    <t>Human NCI-60 cell line; Melanoma</t>
  </si>
  <si>
    <t>m14</t>
  </si>
  <si>
    <t>M14</t>
  </si>
  <si>
    <t>malme3m</t>
  </si>
  <si>
    <t>MALME-3M</t>
  </si>
  <si>
    <t>maver1</t>
  </si>
  <si>
    <t>MAVER-1</t>
  </si>
  <si>
    <t>mcf7</t>
  </si>
  <si>
    <t>MCF7</t>
  </si>
  <si>
    <t>mdamb231</t>
  </si>
  <si>
    <t>MDA-MB-231</t>
  </si>
  <si>
    <t>mdamb435</t>
  </si>
  <si>
    <t>MDA-MB-435</t>
  </si>
  <si>
    <t>mdamb468</t>
  </si>
  <si>
    <t>MDA-MB-468</t>
  </si>
  <si>
    <t>mef</t>
  </si>
  <si>
    <t>MEF</t>
  </si>
  <si>
    <t>Primary mouse embryonic fibroblast</t>
  </si>
  <si>
    <t>mino</t>
  </si>
  <si>
    <t>Mino</t>
  </si>
  <si>
    <t>molt4</t>
  </si>
  <si>
    <t>MOLT-4</t>
  </si>
  <si>
    <t>nceb1</t>
  </si>
  <si>
    <t>NCEB-1</t>
  </si>
  <si>
    <t>nci_adrres</t>
  </si>
  <si>
    <t>adrres</t>
  </si>
  <si>
    <t>NCI ADR-RES</t>
  </si>
  <si>
    <t>nci_h226</t>
  </si>
  <si>
    <t>h226</t>
  </si>
  <si>
    <t>NCI-H226</t>
  </si>
  <si>
    <t>nci_h23</t>
  </si>
  <si>
    <t>h23</t>
  </si>
  <si>
    <t>NCI-H23</t>
  </si>
  <si>
    <t>nci_h322m</t>
  </si>
  <si>
    <t>h322m</t>
  </si>
  <si>
    <t>NCI-H322M</t>
  </si>
  <si>
    <t>nci_h460</t>
  </si>
  <si>
    <t>h460</t>
  </si>
  <si>
    <t>NCI-H460</t>
  </si>
  <si>
    <t>nci_h522</t>
  </si>
  <si>
    <t>h522</t>
  </si>
  <si>
    <t>NCI-H522</t>
  </si>
  <si>
    <t>ovcar3</t>
  </si>
  <si>
    <t>OVCAR-3</t>
  </si>
  <si>
    <t>ovcar4</t>
  </si>
  <si>
    <t>OVCAR-4</t>
  </si>
  <si>
    <t>ovcar5</t>
  </si>
  <si>
    <t>OVCAR-5</t>
  </si>
  <si>
    <t>ovcar8</t>
  </si>
  <si>
    <t>OVCAR-8</t>
  </si>
  <si>
    <t>p388</t>
  </si>
  <si>
    <t>P388</t>
  </si>
  <si>
    <t>Leukemia</t>
  </si>
  <si>
    <t>pc3</t>
  </si>
  <si>
    <t>PC-3</t>
  </si>
  <si>
    <t>rec1</t>
  </si>
  <si>
    <t>REC-1</t>
  </si>
  <si>
    <t>rpmi8226</t>
  </si>
  <si>
    <t>RPMI-8226</t>
  </si>
  <si>
    <t>rxf393</t>
  </si>
  <si>
    <t>RXF 393</t>
  </si>
  <si>
    <t>sf268</t>
  </si>
  <si>
    <t>SF-268</t>
  </si>
  <si>
    <t xml:space="preserve">Human NCI-60 cell line; central nervous system (CNS) tumor </t>
  </si>
  <si>
    <t>sf295</t>
  </si>
  <si>
    <t>SF-295</t>
  </si>
  <si>
    <t>sf539</t>
  </si>
  <si>
    <t>SF-539</t>
  </si>
  <si>
    <t>skmel2</t>
  </si>
  <si>
    <t>SK-MEL-2</t>
  </si>
  <si>
    <t>skmel28</t>
  </si>
  <si>
    <t>SK-MEL-28</t>
  </si>
  <si>
    <t>skmel5</t>
  </si>
  <si>
    <t>SK-MEL-5</t>
  </si>
  <si>
    <t>skov3</t>
  </si>
  <si>
    <t>SK-OV-3</t>
  </si>
  <si>
    <t>sn12c</t>
  </si>
  <si>
    <t>SN12C</t>
  </si>
  <si>
    <t>snb19</t>
  </si>
  <si>
    <t>SNB-19</t>
  </si>
  <si>
    <t>snb75</t>
  </si>
  <si>
    <t>SNB-75</t>
  </si>
  <si>
    <t>sr</t>
  </si>
  <si>
    <t>SR</t>
  </si>
  <si>
    <t>sw620</t>
  </si>
  <si>
    <t>SW-620</t>
  </si>
  <si>
    <t>t47d</t>
  </si>
  <si>
    <t>T-47D</t>
  </si>
  <si>
    <t>thp1</t>
  </si>
  <si>
    <t>THP1</t>
  </si>
  <si>
    <t>Human acute monocytic leukemia cell line</t>
  </si>
  <si>
    <t>tk10</t>
  </si>
  <si>
    <t>TK-10</t>
  </si>
  <si>
    <t>u251</t>
  </si>
  <si>
    <t>U251</t>
  </si>
  <si>
    <t>u937</t>
  </si>
  <si>
    <t>U937</t>
  </si>
  <si>
    <t>Pro-monocytic model cell line isolated from histiocytic lymphoma</t>
  </si>
  <si>
    <t>uacc257</t>
  </si>
  <si>
    <t>UACC-257</t>
  </si>
  <si>
    <t>uacc62</t>
  </si>
  <si>
    <t>UACC-62</t>
  </si>
  <si>
    <t>uo31</t>
  </si>
  <si>
    <t>UO-31</t>
  </si>
  <si>
    <t>z138</t>
  </si>
  <si>
    <t>Z-138</t>
  </si>
  <si>
    <t>75um</t>
  </si>
  <si>
    <t>75 µm inner column diameter</t>
  </si>
  <si>
    <t>15cm</t>
  </si>
  <si>
    <t>15 cm column length</t>
  </si>
  <si>
    <t>30cm</t>
  </si>
  <si>
    <t>30 cm column length</t>
  </si>
  <si>
    <t>50cm</t>
  </si>
  <si>
    <t>50 cm column length</t>
  </si>
  <si>
    <t>5cm</t>
  </si>
  <si>
    <t>40c</t>
  </si>
  <si>
    <t>55c</t>
  </si>
  <si>
    <t>170nm</t>
  </si>
  <si>
    <t>1.7 µm particle size</t>
  </si>
  <si>
    <t>270nm</t>
  </si>
  <si>
    <t>2.7 µm particle size</t>
  </si>
  <si>
    <t>c18</t>
  </si>
  <si>
    <t>C18 Stat. Phase</t>
  </si>
  <si>
    <t>C18 stationary phase</t>
  </si>
  <si>
    <t>c8</t>
  </si>
  <si>
    <t>C8 Stat. Phase</t>
  </si>
  <si>
    <t>C8 stationary phase</t>
  </si>
  <si>
    <t>aurora</t>
  </si>
  <si>
    <t>Aurora</t>
  </si>
  <si>
    <t xml:space="preserve">IonOpticks Aurora Column </t>
  </si>
  <si>
    <t>easyspray</t>
  </si>
  <si>
    <t>EASY-Spray HPLC Columns</t>
  </si>
  <si>
    <t>EASY-Spray PepMap Neo UHPLC columns</t>
  </si>
  <si>
    <t>inhouse</t>
  </si>
  <si>
    <t>In-House</t>
  </si>
  <si>
    <t>In House packed Columns</t>
  </si>
  <si>
    <t>upac_doubleviper</t>
  </si>
  <si>
    <t>double nanoViper HPLC Columns</t>
  </si>
  <si>
    <t>Double nanoViper PepMap Neo UHPLC columns</t>
  </si>
  <si>
    <t>upac_low_loadneo</t>
  </si>
  <si>
    <t>Low-Load uPAC Neo HPLC Column</t>
  </si>
  <si>
    <t>µPAC Neo HPLC Column for 0.1-1ng</t>
  </si>
  <si>
    <t>upac_neo</t>
  </si>
  <si>
    <t>uPAC Neo HPLC Column</t>
  </si>
  <si>
    <t>µPAC Neo HPLC Column</t>
  </si>
  <si>
    <t>5_fluorouracil</t>
  </si>
  <si>
    <t>5fluorouracil</t>
  </si>
  <si>
    <t xml:space="preserve">5-Fluorouracil </t>
  </si>
  <si>
    <t xml:space="preserve">5-FU is a pyrimidine analog that causes DNA and RNA stress by the incorporation of its derived metabo- lites into DNA and RNA and by the inhibition of thymidylate synthase, inducing deoxyribonucleotide pool imbalance. </t>
  </si>
  <si>
    <t>anisomycin</t>
  </si>
  <si>
    <t>Anisomycin</t>
  </si>
  <si>
    <t>antimycin</t>
  </si>
  <si>
    <t>Antimycin A</t>
  </si>
  <si>
    <t>Antimycin A - Cytochrome c reductase (CIII) Inhibitor (QiSite Binding) from Streptomyces bacteria.</t>
  </si>
  <si>
    <t>atp</t>
  </si>
  <si>
    <t>ATP</t>
  </si>
  <si>
    <t>Adenosine triphosphate</t>
  </si>
  <si>
    <t>berzosertib</t>
  </si>
  <si>
    <t>Berzosertib</t>
  </si>
  <si>
    <t>bortezomib</t>
  </si>
  <si>
    <t>Bortezomib</t>
  </si>
  <si>
    <t>cccp</t>
  </si>
  <si>
    <t>CCCP</t>
  </si>
  <si>
    <t>Carbonyl cyanide m-chlorophenyl hydrazone. CCCP causes an uncoupling of the proton gradient that is established during the normal activity of electron carriers in the electron transport chain. CCCP acts essentially as an ionophore and reduces the ability of ATP synthase to function optimally.</t>
  </si>
  <si>
    <t>cycloheximide</t>
  </si>
  <si>
    <t>Cycloheximide</t>
  </si>
  <si>
    <t>dmso</t>
  </si>
  <si>
    <t>DMSO</t>
  </si>
  <si>
    <t>Dimethyl sulfoxide used as a control in compound treatment.</t>
  </si>
  <si>
    <t>doxorubicin</t>
  </si>
  <si>
    <t>Doxorubicin</t>
  </si>
  <si>
    <t>Doxorubicin is a type of chemotherapy drug called an anthracycline. It slows or stops the growth of cancer cells by blocking an enzyme called topo isomerase 2. </t>
  </si>
  <si>
    <t>doxycycline</t>
  </si>
  <si>
    <t>Doxycycline</t>
  </si>
  <si>
    <t>Doxycycline is a broad-spectrum antibiotic of the tetracycline class used in the treatment of infections caused by bacteria and certain parasites.</t>
  </si>
  <si>
    <t>etoposide</t>
  </si>
  <si>
    <t>Etoposide</t>
  </si>
  <si>
    <t>Etoposide is a medication used in the management and treatment of various cancers such as testicular, prostate, bladder, stomach, and lung cancer. It is in the topoisomerase II inhibitor class of medications.</t>
  </si>
  <si>
    <t>fccp</t>
  </si>
  <si>
    <t>FCCP</t>
  </si>
  <si>
    <t>Carbonyl cyanide-p-trifluoromethoxyphenylhydrazone (FCCP) is an ionophore that is a mobile ion carrier. It is referred to as an uncoupling agent because it disrupts ATPsynthesis by transporting hydrogen ions through the mitochondrial membrane before they can be used to provide the energy for oxidative phosphorylation</t>
  </si>
  <si>
    <t>h2o</t>
  </si>
  <si>
    <t>H2O</t>
  </si>
  <si>
    <t>Water (H2O) control in a chemical compound treatment</t>
  </si>
  <si>
    <t>hydroxyurea</t>
  </si>
  <si>
    <t>Hydroxyurea</t>
  </si>
  <si>
    <t>Hydroxyurea, hydroxycarbamide. HU in- hibits the ribonucleotide reductase and depletes cellular deoxy- nucleotide pools, thereby inducing replication stress and DNA damage.</t>
  </si>
  <si>
    <t>oligomycin</t>
  </si>
  <si>
    <t>Oligomycin</t>
  </si>
  <si>
    <t>Oligomycin A is an inhibitor of ATP synthase by blocking its proton channel (FO subunit).</t>
  </si>
  <si>
    <t>rapamycin</t>
  </si>
  <si>
    <t>Rapamycin</t>
  </si>
  <si>
    <t>Rapamycin, mTOR inhitbitor,  Synonym : Rapamune, AY-22989, NSC-2260804</t>
  </si>
  <si>
    <t>rotenone</t>
  </si>
  <si>
    <t>Rotenone</t>
  </si>
  <si>
    <t>Rotenone inhibits the transfer of electrons from iron-sulfur centers in complex I to ubiquinone. Complex I is unable to pass off its electron to CoQ, creating a back-up of electrons within the mitochondrial matrix.</t>
  </si>
  <si>
    <t>tamoxifen</t>
  </si>
  <si>
    <t>Tamoxifen</t>
  </si>
  <si>
    <t>torin</t>
  </si>
  <si>
    <t>Torin</t>
  </si>
  <si>
    <t>Torin Treatment</t>
  </si>
  <si>
    <t>trametinib</t>
  </si>
  <si>
    <t>Trametinib</t>
  </si>
  <si>
    <t>unstimulated</t>
  </si>
  <si>
    <t>Unstimulated</t>
  </si>
  <si>
    <t>Unstimulated; nothing added; Control</t>
  </si>
  <si>
    <t>microenvironment</t>
  </si>
  <si>
    <t>att_context</t>
  </si>
  <si>
    <t>egs</t>
  </si>
  <si>
    <t>EGS</t>
  </si>
  <si>
    <t>EGS (Water insoluble, Membrane-permeable) is a crosslinker that contains amine-reactive NHS-ester ends around a 12-atom spacer arm, which can be cleaved by treatment with hydroxylamine at pH 8.5. </t>
  </si>
  <si>
    <t>suflo_egs</t>
  </si>
  <si>
    <t>Suflo-EGS</t>
  </si>
  <si>
    <t>Sulfo-EGS (Water soluble, membrane impermeable) Sulfo-EGS is a water-soluble crosslinker that contains amine-reactive sulfo-NHS-ester ends around a 12-atom spacer arm, which can be cleaved by treatment with hydroxylamine at pH 8.5.</t>
  </si>
  <si>
    <t>dsbu</t>
  </si>
  <si>
    <t>DSBU</t>
  </si>
  <si>
    <t>Disuccinimidyl Dibutyric Urea (DSBU, BuUrBUU). Water-insoluble (dissolve first in DMF or DMSO). MS-cleavable and membrane-semi-permeable crosslinkers that contain an amine-reactive N-hydroxysuccinimide (NHS) ester at each end of a 11-atom spacer arm (DSBU).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</si>
  <si>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dsso</t>
  </si>
  <si>
    <t>DSSO</t>
  </si>
  <si>
    <t>Disuccinimidyl Sulfoxide (DSSO). Water-insoluble (dissolve first in DMF or DMSO). MS-cleavable and membrane-semi-permeable crosslinkers that contain an amine-reactive N-hydroxysuccinimide (NHS) ester at each end of a 7-carbon spacer arm (DSSO).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</si>
  <si>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amas</t>
  </si>
  <si>
    <t>AMAS</t>
  </si>
  <si>
    <t>AMAS is an amine-to-sulfhydryl crosslinker that contains NHS-ester and maleimide reactive groups at opposite ends of a very short spacer arm (4.4 angstroms). Features of AMAS: • Reactive groups: NHS ester and maleimide • Reactive towards: amino and sulfhydryl groups •...</t>
  </si>
  <si>
    <t>bm_peg_3</t>
  </si>
  <si>
    <t>BM(PEG)3 (1,11-bismaleimido-triethyleneglycol)</t>
  </si>
  <si>
    <t>BM(PEG)3 is a bismaleimide-activated PEG compound for crosslinking between sulfhydryl (—SH) groups in proteins and other thiol molecules. The maleimide groups at either end of the PEG3 spacer react specifically and efficiently with reduced sulfhydryls at pH 6.5-7.</t>
  </si>
  <si>
    <t>bmb</t>
  </si>
  <si>
    <t>BMB (1,4-bismaleimidobutane)</t>
  </si>
  <si>
    <t>BMB is a mid-length, maleimide crosslinker for covalent, irreversible conjugation between sulfhydryl groups (e.g., protein or peptide cysteines). Features of BMB: • Reactive groups: maleimide (both ends) • Reactive towards: sulfhydryl groups • Mid-length (10.</t>
  </si>
  <si>
    <t>bmh</t>
  </si>
  <si>
    <t>BMH (bismaleimidohexane)</t>
  </si>
  <si>
    <t>BMH is a long-arm, maleimide crosslinker for covalent, irreversible conjugation between sulfhydryl groups (e.g., protein or peptide cysteines). Features of BMH: • Reactive groups: maleimide (both ends) • Reactive towards: sulfhydryl groups • Long (13.</t>
  </si>
  <si>
    <t>bmoe</t>
  </si>
  <si>
    <t>BMOE (bismaleimidoethane)</t>
  </si>
  <si>
    <t>BMOE is a short-arm, maleimide crosslinker for covalent, irreversible conjugation between sulfhydryl groups (e.g., protein or peptide cysteines). Features of BMOE: • Reactive groups: maleimide (both ends) • Reactive towards: sulfhydryl groups • Short (8.</t>
  </si>
  <si>
    <t>bmph</t>
  </si>
  <si>
    <t>BMPH</t>
  </si>
  <si>
    <t>BMPH is a short, maleimide-and-hydrazide crosslinker for conjugating sulfhydryls (cysteines) to carbonyls (aldehyde or ketones, such as those formed by oxidation of glycoprotein carbohydrates).</t>
  </si>
  <si>
    <t>bmps</t>
  </si>
  <si>
    <t>BMPS</t>
  </si>
  <si>
    <t>BMPS is an amine-to-sulfhydryl crosslinker that contains NHS-ester and maleimide reactive groups at opposite ends of a short spacer arm (5.9 Å). Features of BMPS: • Reactive groups: NHS ester and maleimide • Reactive towards: amino and sulfhydryl groups • C3-homolog of...</t>
  </si>
  <si>
    <t>bs_peg_5</t>
  </si>
  <si>
    <t>BS(PEG)5</t>
  </si>
  <si>
    <t>BS(PEG)5 is a bis-succinimide ester-activated PEG compound used for crosslinking between primary amines (—NH2) in proteins and other molecules. The N-hydroxysuccinimide ester (NHS) groups at either end of the PEG5 spacer react specifically and efficiently with lysine and N-terminal amino groups at...</t>
  </si>
  <si>
    <t>bs_peg_9</t>
  </si>
  <si>
    <t>BS(PEG)9</t>
  </si>
  <si>
    <t>BS(PEG)9 is a bis-succinimide ester-activated PEG compound used for crosslinking between primary amines (—NH2) in proteins and other molecules. The N-hydroxysuccinimide ester (NHS) groups at either end of the PEG9 spacer react specifically and efficiently with lysine and N-terminal amino groups at...</t>
  </si>
  <si>
    <t>bs2g_d0</t>
  </si>
  <si>
    <t>BS2G-d0</t>
  </si>
  <si>
    <t>BS2G-d0/d4 reagents form a matched set of heavy (deuterated) and light mass varieties of a short, amine-reactive crosslinker that facilitates the identification of crosslinked peptides by mass spectrometry. The BS2G-d0/d4 reagents are mass-analogs of BS2G crosslinker.</t>
  </si>
  <si>
    <t>bs3</t>
  </si>
  <si>
    <t>BS3</t>
  </si>
  <si>
    <t>BS3 (Sulfo-DSS) is bis(sulfosuccinimidyl)suberate, an amine-to-amine crosslinker that is homobifunctional, water-soluble, non-cleavable and membrane impermeable. BS3 contains an amine-reactive N-hydroxysulfosuccinimide (NHS) ester at each end of an 8-carbon spacer arm.</t>
  </si>
  <si>
    <t>bs3_d0</t>
  </si>
  <si>
    <t>BS3-d0</t>
  </si>
  <si>
    <t>BS3-d0/d4 reagents form a matched set of heavy (deuterated) and light mass varieties of BS3 amine-reactive crosslinker that facilitates the identification of crosslinked peptides by mass spectrometry.</t>
  </si>
  <si>
    <t>bs3_d4</t>
  </si>
  <si>
    <t>BS3-d4</t>
  </si>
  <si>
    <t>dmp</t>
  </si>
  <si>
    <t>DMP</t>
  </si>
  <si>
    <t>DMP (dimethyl pimelimidate) is dimethyl pimelimidate, a membrane-permeable crosslinker that contains an amine-reactive imidoester group at each end of a 7-atom spacer arm. Features of dimethyl pimelimidate: • Reactive groups: imidoester (both ends) • Reactive towards: amino groups (primary amines)...</t>
  </si>
  <si>
    <t>dms</t>
  </si>
  <si>
    <t>DMS</t>
  </si>
  <si>
    <t>DMS (dimethyl suberimidate) is dimethyl suberimidate, a membrane-permeable crosslinker that contains an amine-reactive imidoester group at each end of an 8-atom spacer arm. Features of dimethyl suberimidate: • Reactive groups: imidoester (both ends) • Reactive towards: amino groups (primary amines)...</t>
  </si>
  <si>
    <t>dss</t>
  </si>
  <si>
    <t>DSS</t>
  </si>
  <si>
    <t>DSS (disuccinimidyl suberate), also called disuccinimidyl suberate, is noncleavable and membrane permeable crosslinker that contains an amine-reactive N-hydroxysuccinimide (NHS) ester at each end of an 8-carbon spacer arm.</t>
  </si>
  <si>
    <t>edc</t>
  </si>
  <si>
    <t>EDC</t>
  </si>
  <si>
    <t>EDC is 1-ethyl-3-[3-dimethylaminopropyl]carbodiimide hydrochloride, a water-soluble carbodiimide crosslinker that activates carboxyl groups for spontaneous reaction with primary amines, enabling peptide immobilization and hapten-carrier protein conjugation. In the presence of N-hydroxysulfosuccinimide (sulfo-NHS), EDC can be used to convert carboxyl groups to amine-reactive sulfo-NHS esters. This is accomplished by mixing the EDC with a carboxyl containing molecule and adding sulfo-NHS.</t>
  </si>
  <si>
    <t>emch</t>
  </si>
  <si>
    <t>EMCH</t>
  </si>
  <si>
    <t>EMCH is a mid-length, maleimide-and-hydrazide crosslinker for conjugating sulfhydryls (cysteines) to carbonyls (aldehyde or ketones, such as those formed by oxidation of glycoprotein carbohydrates).</t>
  </si>
  <si>
    <t>emcs</t>
  </si>
  <si>
    <t>EMCS</t>
  </si>
  <si>
    <t>EMCS is an amine-to-sulfhydryl crosslinker that contains NHS-ester and maleimide reactive groups at opposite ends of a medium-length spacer arm (9.4 angstroms). Features of EMCS: • Reactive groups: NHS ester and maleimide • Reactive towards: amino and sulfhydryl groups •...</t>
  </si>
  <si>
    <t>gmbs</t>
  </si>
  <si>
    <t>GMBS</t>
  </si>
  <si>
    <t>GMBS is an amine-to-sulfhydryl crosslinker that contains NHS-ester and maleimide reactive groups at opposite ends of a short spacer arm (7.3 angstroms). Features of GMBS: • Reactive groups: NHS ester and maleimide • Reactive toward: amino and sulfhydryl groups • C4-homolog...</t>
  </si>
  <si>
    <t>kmuh</t>
  </si>
  <si>
    <t>KMUH</t>
  </si>
  <si>
    <t>KMUH is a long, maleimide-and-hydrazide crosslinker for conjugating sulfhydryls (cysteines) to carbonyls (aldehyde or ketones, such as those formed by oxidation of glycoprotein carbohydrates).</t>
  </si>
  <si>
    <t>l_photo_methionine</t>
  </si>
  <si>
    <t>L-Photo-Methionine</t>
  </si>
  <si>
    <t>L-Photo-Methionine is an analog of L-methionine that can be incorporated into proteins during synthesis and then light-activated to covalently crosslink interacting proteins in cells.</t>
  </si>
  <si>
    <t>lc_smcc</t>
  </si>
  <si>
    <t>LC-SMCC</t>
  </si>
  <si>
    <t>LC-SMCC is an amine-to-sulfhydryl crosslinker that contains NHS-ester and maleimide reactive groups at opposite ends of a long cyclohexane-stabilized spacer arm (16.2 angstroms).</t>
  </si>
  <si>
    <t>maleimide_peg4_dbco</t>
  </si>
  <si>
    <t>Maleimide-PEG4-DBCO</t>
  </si>
  <si>
    <t>EZ-Link Maleimide-PEG4-DBCO is a sulfhydryl-reactive hetero-bifunctional crosslinker that contains a dibenzylcyclooctyne (DBCO) group for copper-free click chemistry applications. The thiol/sulfhdryl-reactive maleimide can be used to label a variety of thiol-containing moieties such as free cystines...</t>
  </si>
  <si>
    <t>mpbh</t>
  </si>
  <si>
    <t>MPBH</t>
  </si>
  <si>
    <t>MPBH is a long, maleimide-and-hydrazide crosslinker for conjugating sulfhydryls (cysteines) to carbonyls (aldehyde or ketones, such as those formed by oxidation of glycoprotein carbohydrates).</t>
  </si>
  <si>
    <t>nhs</t>
  </si>
  <si>
    <t>NHS</t>
  </si>
  <si>
    <t>NHS is a chemical modification reagent for converting carboxyl groups to amine-reactive NHS esters for bioconjugation, crosslinking, labeling and immobilization methods. Features of NHS: • Efficiency of EDC-mediated coupling is increased in the presence of NHS •...</t>
  </si>
  <si>
    <t>nhs_azide</t>
  </si>
  <si>
    <t>NHS-Azide</t>
  </si>
  <si>
    <t>NHS-Azide is an amine-reactive compound that can be used to derivatize primary amines of proteins or amine-coated polymer surfaces for ligation to phosphine-modified molecules. This NHS-ester compound reacts to form covalent bonds with primary amines (e.g.</t>
  </si>
  <si>
    <t>nhs_peg4_azide</t>
  </si>
  <si>
    <t>NHS-PEG4-Azide</t>
  </si>
  <si>
    <t>NHS-PEG4-Azide is an amine-reactive compound that can be used to derivatize primary amines of proteins or amine-coated polymer surfaces for ligation to phosphine-modified molecules. This NHS-ester compound reacts to form covalent bonds with primary amines (e.g.</t>
  </si>
  <si>
    <t>nhs_phosphine</t>
  </si>
  <si>
    <t>NHS-Phosphine</t>
  </si>
  <si>
    <t>NHS-Phosphine is an amine-reactive compound that can be used to derivatize primary amines of proteins or amine-coated polymer surfaces for ligation to azide-tagged molecules. Features of NHS-Phosphine: • Soluble—reagent easily dissolves in water-miscible solvents for subsequent...</t>
  </si>
  <si>
    <t>pmpi</t>
  </si>
  <si>
    <t>PMPI</t>
  </si>
  <si>
    <t>PMPI (p-maleimidophenyl isocyanate) is a maleimide-and-isocyanate crosslinker for attaching compounds to sulfhydryl groups (cysteines) after conjugating the linker to hydroxyl groups on a molecule by urethane (carbamate) bonds.</t>
  </si>
  <si>
    <t>sbap</t>
  </si>
  <si>
    <t>SBAP</t>
  </si>
  <si>
    <t>SBAP is a short (6.2 angstrom) crosslinker for amine-to-sulfhydryl conjugation via N-hydroxysuccinimide (NHS) ester and bromoacetyl reactive groups. Features of SBAP: • Reactive groups: NHS ester and bromoacetyl • Reactive toward: amino and sulfhydryl groups • NHS ester...</t>
  </si>
  <si>
    <t>sda</t>
  </si>
  <si>
    <t>SDA</t>
  </si>
  <si>
    <t>SDA (NHS-Diazirine) combines proven NHS-ester and diazirine-based photoreaction chemistries with conjugate amine-containing molecules with nearly any other functional group via long-wave UV-light activation. A 3.9Å spacer arm separates the two photoreactive groups.</t>
  </si>
  <si>
    <t>sia</t>
  </si>
  <si>
    <t>SIA</t>
  </si>
  <si>
    <t>SIA (succinimidyl iodoacetate) is a very short (1.5 angstrom) crosslinker for amine-to-sulfhydryl conjugation via N-hydroxysuccinimide (NHS) ester and iodoacetyl reactive groups. Features of SIA: • Reactive groups: NHS ester and iodoacetyl • Reactive toward: amino and sulfhydryl groups • Shortest...</t>
  </si>
  <si>
    <t>smpb</t>
  </si>
  <si>
    <t>SMPB</t>
  </si>
  <si>
    <t>SMPB is an amine-to-sulfhydryl crosslinker that contains NHS-ester and maleimide reactive groups at opposite ends of a medium-length aromatic spacer arm (11.6 angstroms). Features of SMPB: • Reactive groups: NHS ester and maleimide • Reactive towards: amino and sulfhydryl...</t>
  </si>
  <si>
    <t>smph</t>
  </si>
  <si>
    <t>SMPH</t>
  </si>
  <si>
    <t>SMPH is an amine-to-sulfhydryl crosslinker that contains NHS-ester and maleimide reactive groups at opposite ends of a long spacer arm (14.2 angstroms). Features of SMPH: • Reactive groups: NHS ester and maleimide • Reactive towards: amino and sulfhydryl groups • Slightly...</t>
  </si>
  <si>
    <t>spb</t>
  </si>
  <si>
    <t>SPB</t>
  </si>
  <si>
    <t>SPB is an NHS-ester and psoralen crosslinker that effectively conjugates primary amines to DNA via light-activated intercalation next to pyrimidine bases. Features of SPB: • Reactive groups: NHS ester and psoralen • Reactive toward: amino groups and thymine • DNA...</t>
  </si>
  <si>
    <t>sulfo_emcs</t>
  </si>
  <si>
    <t>Sulfo-EMCS</t>
  </si>
  <si>
    <t>Sulfo-EMCS is a water-soluble amine-to-sulfhydryl crosslinker that contains NHS-ester and maleimide reactive groups at opposite ends of a medium-length spacer arm (9.4 angstroms).</t>
  </si>
  <si>
    <t>sulfo_kmus</t>
  </si>
  <si>
    <t>Sulfo-KMUS</t>
  </si>
  <si>
    <t>Sulfo-KMUS is a water-soluble amine-to-sulfhydryl crosslinker that contains NHS-ester and maleimide reactive groups at opposite ends of a long spacer arm (16.3 angstroms). Features of Sulfo-KMUS: • Reactive groups: sulfo-NHS ester and maleimide • Reactive toward: amino and...</t>
  </si>
  <si>
    <t>sulfo_lc_sda</t>
  </si>
  <si>
    <t>Sulfo-LC-SDA</t>
  </si>
  <si>
    <t>Sulfo-LC-SDA (Sulfo-NHS-LC-Diazirine) combines proven NHS-ester and diazirine-based photoreaction chemistries with conjugate amine-containing molecules with nearly any other functional group via long-wave UV-light activation. A 12.</t>
  </si>
  <si>
    <t>sulfo_mbs</t>
  </si>
  <si>
    <t>Sulfo-MBS</t>
  </si>
  <si>
    <t>Sulfo-MBS (m-maleimidobenzoyl-N-hydroxysulfosuccinimide ester) is a water-soluble amine-to-sulfhydryl crosslinker that contains NHS-ester and maleimide reactive groups at opposite ends of a short aromatic spacer arm (7.3 angstroms).</t>
  </si>
  <si>
    <t>sulfo_sda</t>
  </si>
  <si>
    <t>Sulfo-SDA</t>
  </si>
  <si>
    <t>Sulfo-SDA (Sulfo-NHS-Diazirine) combines proven NHS-ester and diazirine-based photoreaction chemistries with conjugate amine-containing molecules with nearly any other functional group via long-wave UV-light activation. A 3.</t>
  </si>
  <si>
    <t>sulfo_siab</t>
  </si>
  <si>
    <t>Sulfo-SIAB</t>
  </si>
  <si>
    <t>Sulfo-SIAB a water-soluble, mid-length (10.6 angstrom) crosslinker for amine-to-sulfhydryl conjugation via sulfo-N-hydroxysuccinimide (sulfo-NHS) ester and iodoacetyl reactive groups.</t>
  </si>
  <si>
    <t>sulfo_smcc</t>
  </si>
  <si>
    <t>Sulfo-SMCC</t>
  </si>
  <si>
    <t>Sulfo-SMCC is a water-soluble, amine-to-sulfhydryl crosslinker that contains NHS-ester and maleimide reactive groups at opposite ends of a medium-length cyclohexane spacer arm (8.3 angstroms).</t>
  </si>
  <si>
    <t>sulfo_smpb</t>
  </si>
  <si>
    <t>Sulfo-SMPB</t>
  </si>
  <si>
    <t>Sulfo-SMPB is a water-soluble amine-to-sulfhydryl crosslinker that contains NHS-ester and maleimide reactive groups at opposite ends of a medium-length aromatic spacer arm (11.6 angstroms).</t>
  </si>
  <si>
    <t>tbdspp</t>
  </si>
  <si>
    <t>TBDSPP</t>
  </si>
  <si>
    <t>Chemical crosslinking in combination with mass spectrometry is a powerful method to improve protein characterization, and to identify protein-protein interactions. This method has been applied to recombinant and native protein complexes, and more recently, to whole cell lysates or intact unicellular...</t>
  </si>
  <si>
    <t>tfpester_peg12_dbco</t>
  </si>
  <si>
    <t>TFP Ester-PEG12-DBCO</t>
  </si>
  <si>
    <t>EZ-Link TFP Ester-PEG12-DBCO is a hetero-bifunctional crosslinker that contains an amine-reactive tetrafluorophenyl (TFP) group and a dibenzylcyclooctyne (DBCO) group with a water-solubilizing long PEG12 spacer in between.</t>
  </si>
  <si>
    <t>tfpester_peg4_dbco</t>
  </si>
  <si>
    <t>TFP Ester-PEG4-DBCO</t>
  </si>
  <si>
    <t>EZ-Link TFP Ester-PEG4-DBCO is an amine-reactive hetero-bifunctional crosslinker that contains a dibenzylcyclooctyne (DBCO) group for copper-free click-chemistry applications. This crosslinker can be used to label a variety of amine-containing molecules such as proteins, biomolecules, or small...</t>
  </si>
  <si>
    <t>tmea</t>
  </si>
  <si>
    <t>TMEA</t>
  </si>
  <si>
    <t>TMEA (tris(2-maleimidoethyl)amine) is a trifunctional crosslinker containing three reactive maleimide groups to enable three-way conjugation and polymerization of sulfhydryl-containing molecules. Features of TMEA: • Reactive groups: maleimide (on three termini) • Reactive...</t>
  </si>
  <si>
    <t>tsat</t>
  </si>
  <si>
    <t>TSAT</t>
  </si>
  <si>
    <t>TSAT is tris-(succinimidyl) aminotriacetate, a novel trifunctional crosslinker that contains three short spacers arms linked to a central nitrogen atom, each ending in an amine-reactive NHS-ester group.</t>
  </si>
  <si>
    <t>dsp</t>
  </si>
  <si>
    <t>DSP</t>
  </si>
  <si>
    <t>DSP (Lomant's Reagent) is a water-insoluble, homo-bifunctional N-hydroxysuccimide ester (NHS ester) crosslinker that is thiol-cleavable, primary amine-reactive, and useful for many applications. DSP contains an amine-reactive NHS ester at each end of an 8-carbon spacer arm.</t>
  </si>
  <si>
    <t>dtbp</t>
  </si>
  <si>
    <t>DTBP</t>
  </si>
  <si>
    <t>DTBP is dimethyl 3,3'-dithiobispropionimidate, a crosslinker that contains amine-reactive imidoester groups around an 8-atom spacer arm, whose central disulfide bond can be cleaved with reducing agents.</t>
  </si>
  <si>
    <t>dtme</t>
  </si>
  <si>
    <t>DTME</t>
  </si>
  <si>
    <t>DTME (dithiobismaleimidoethane) is a mid-length, maleimide crosslinker for reversible covalent conjugation between sulfhydryl groups (e.g., protein or peptide cysteines) by reduction of the disulfide bond in the center of the spacer arm.</t>
  </si>
  <si>
    <t>dtssp</t>
  </si>
  <si>
    <t>DTSSP</t>
  </si>
  <si>
    <t>DTSSP (3,3'-dithiobis(sulfosuccinimidyl propionate))  is a popular water-soluble crosslinker that contains amine-reactive NHS-ester ends around an 8-atom spacer arm, whose central disulfide bond can be cleaved with reducing agents.</t>
  </si>
  <si>
    <t>lc_spdp</t>
  </si>
  <si>
    <t>LC-SPDP</t>
  </si>
  <si>
    <t>LC-SPDP  (succinimidyl 6-(3(2-pyridyldithio)propionamido)hexanoate)   is a long-chain crosslinker for amine-to-sulfhydryl conjugation via NHS-ester and pyridyldithiol reactive groups that form cleavable (reducible) disulfide bonds with cysteine sulfhydryls.</t>
  </si>
  <si>
    <t>pdph</t>
  </si>
  <si>
    <t>PDPH</t>
  </si>
  <si>
    <t>PDPH (3-(2-pyridyldithio)propionyl hydrazide)  is a short, pyridyldithiol-and-hydrazide crosslinker for reversibly conjugating sulfhydryls (cysteines) to carbonyls (aldehyde or ketones, such as those formed by oxidation of glycoprotein carbohydrates).</t>
  </si>
  <si>
    <t>peg12_spdp</t>
  </si>
  <si>
    <t>PEG12-SPDP</t>
  </si>
  <si>
    <t>PEG12-SPDP is a multifunctional crosslinker for protein conjugation via amine-to-amine or amine-to-sulfhydryl crosslinks that contain a 12-unit polyethylene glycol (PEG) group and a reducible (cleavable) disulfide bond.</t>
  </si>
  <si>
    <t>peg4_spdp</t>
  </si>
  <si>
    <t>PEG4-SPDP</t>
  </si>
  <si>
    <t>PEG4-SPDP is a multifunctional crosslinker for protein conjugation via amine-to-amine or amine-to-sulfhydryl crosslinks that contain a 4-unit polyethylene glycol (PEG) group and a reducible (cleavable) disulfide bond.</t>
  </si>
  <si>
    <t>sdad</t>
  </si>
  <si>
    <t>SDAD</t>
  </si>
  <si>
    <t>SDAD (NHS-SS-Diazirine) combines proven NHS-ester and diazirine-based photoreaction chemistries with conjugate amine-containing molecules with nearly any other functional group via long-wave UV-light activation. A 13.</t>
  </si>
  <si>
    <t>smcc</t>
  </si>
  <si>
    <t>SMCC</t>
  </si>
  <si>
    <t>SMCC is a hetero-bifunctional crosslinker that contain N-hydroxysuccinimide (NHS) ester and maleimide groups that allow covalent conjugation of amine- and sulfhydryl-containing molecules.</t>
  </si>
  <si>
    <t>smpt</t>
  </si>
  <si>
    <t>SMPT</t>
  </si>
  <si>
    <t>SMPT (4-succinimidyloxycarbonyl-alpha-methyl-α(2-pyridyldithio)toluene) is a long-chain crosslinker for amine-to-sulfhydryl conjugation via NHS-ester and pyridyldithiol reactive groups that form strong (hindered) yet cleavable (reducible) disulfide bonds with cysteine sulfhydryls.</t>
  </si>
  <si>
    <t>spdp</t>
  </si>
  <si>
    <t xml:space="preserve">SPDP </t>
  </si>
  <si>
    <t>SPDP (succinimidyl 3-(2-pyridyldithio)propionate)  is a short-chain crosslinker for amine-to-sulfhydryl conjugation via NHS-ester and pyridyldithiol reactive groups that form cleavable (reducible) disulfide bonds with cysteine sulfhydryls.</t>
  </si>
  <si>
    <t>sulfo_lc_spdp</t>
  </si>
  <si>
    <t>Sulfo-LC-SPDP</t>
  </si>
  <si>
    <t>Sulfo-LC-SPDP  (sulfosuccinimidyl 6-(3'-(2-pyridyldithio)propionamido)hexanoate) is a water-soluble, long-chain crosslinker for amine-to-sulfhydryl conjugation via NHS-ester and pyridyldithiol reactive groups that form cleavable (reducible) disulfide bonds with cysteines.</t>
  </si>
  <si>
    <t>sulfo_sanpah</t>
  </si>
  <si>
    <t>Sulfo-SANPAH</t>
  </si>
  <si>
    <t>Sulfo-SANPAH is a hetero-bifunctional crosslinker that contains an amine-reactive N-hydroxysuccinimide (NHS) ester and a photoactivatable nitrophenyl azide. NHS esters react efficiently with primary amino groups (-NH2) in pH 7–9 buffers to form stable amide bonds.</t>
  </si>
  <si>
    <t>sulfo_sdad</t>
  </si>
  <si>
    <t>Sulfo-SDAD</t>
  </si>
  <si>
    <t>Sulfo-SDAD (Sulfo-NHS-SS-Diazirine) combines proven NHS-ester and diazirine-based photoreaction chemistries with conjugate amine-containing molecules with nearly any other functional group via long-wave UV-light activation. A 13.</t>
  </si>
  <si>
    <t>database_orf_search</t>
  </si>
  <si>
    <t>att_dataset</t>
  </si>
  <si>
    <t>Database + ORF search</t>
  </si>
  <si>
    <t>database and orf search</t>
  </si>
  <si>
    <t>database_search</t>
  </si>
  <si>
    <t>Database search</t>
  </si>
  <si>
    <t>database search</t>
  </si>
  <si>
    <t>de_novo</t>
  </si>
  <si>
    <t>de novo</t>
  </si>
  <si>
    <t>chaps</t>
  </si>
  <si>
    <t>CHAPS</t>
  </si>
  <si>
    <t>CHAPS is a zwitterionic detergent that is especially well suited for protecting the native state of proteins.</t>
  </si>
  <si>
    <t>dmm</t>
  </si>
  <si>
    <t>DMM</t>
  </si>
  <si>
    <t>n-Dodecyl-β-D-Maltoside is especially useful for solubilizing membrane proteins to preserve their activity.</t>
  </si>
  <si>
    <t>np40</t>
  </si>
  <si>
    <t>NP-40</t>
  </si>
  <si>
    <t>NP-40 is a nonionic polyoxyethylene surfactant that is most frequently used as a component of cell lysis buffers.</t>
  </si>
  <si>
    <t>og</t>
  </si>
  <si>
    <t>OG</t>
  </si>
  <si>
    <t>octyl-beta-Glucoside is a nonionic detergent that has been widely used for membrane protein solubilization.</t>
  </si>
  <si>
    <t>otg</t>
  </si>
  <si>
    <t>OTG</t>
  </si>
  <si>
    <t>Octylthioglucoside is a low-MW nonionic detergent that is effective for cell lysis and nondenaturing protein solubilization. It is resistant to beta-D-glucoside glucohydrolase degradation.</t>
  </si>
  <si>
    <t>sds</t>
  </si>
  <si>
    <t>SDS</t>
  </si>
  <si>
    <t>Sodium dodecyl sulfate (SDS) is a popular anionic detergent for routine protein electrophoresis and cell lysis methods. </t>
  </si>
  <si>
    <t>tritonx100</t>
  </si>
  <si>
    <t>Triton X-100</t>
  </si>
  <si>
    <t>Triton X-100 is most frequently used as a component of cell lysis buffers or other solutions intended to extract and solubilize proteins.</t>
  </si>
  <si>
    <t>tween20</t>
  </si>
  <si>
    <t>Tween20</t>
  </si>
  <si>
    <t>Tween20 nonionic detergent</t>
  </si>
  <si>
    <t>tween80</t>
  </si>
  <si>
    <t>Tween80</t>
  </si>
  <si>
    <t>Tween80 nonionic detergent</t>
  </si>
  <si>
    <t>30 DIA windows (MS2) Scans within one cycle.</t>
  </si>
  <si>
    <t>40 DIA windows (MS2) Scans within one cycle.</t>
  </si>
  <si>
    <t>fasp</t>
  </si>
  <si>
    <t>FASP</t>
  </si>
  <si>
    <t>Filter Aided Sample Preparation based digestion method.</t>
  </si>
  <si>
    <t>ingel</t>
  </si>
  <si>
    <t xml:space="preserve">In Gel </t>
  </si>
  <si>
    <t>In gel digestion method</t>
  </si>
  <si>
    <t>insol</t>
  </si>
  <si>
    <t>In Solution</t>
  </si>
  <si>
    <t>In solution digestion method</t>
  </si>
  <si>
    <t>sp3</t>
  </si>
  <si>
    <t>SP3</t>
  </si>
  <si>
    <t xml:space="preserve">SP3 magnetic bead based digestion method </t>
  </si>
  <si>
    <t>23c</t>
  </si>
  <si>
    <t>23 °C</t>
  </si>
  <si>
    <t>Digestion of proteins performed at 23 °C.</t>
  </si>
  <si>
    <t>37c</t>
  </si>
  <si>
    <t>37 °C</t>
  </si>
  <si>
    <t>Digestion of proteins performed at 37°C.</t>
  </si>
  <si>
    <t>12h</t>
  </si>
  <si>
    <t>12 h</t>
  </si>
  <si>
    <t>Digestion time of 12 h.</t>
  </si>
  <si>
    <t>16h</t>
  </si>
  <si>
    <t>16 h</t>
  </si>
  <si>
    <t>Digestion time of 16 h.</t>
  </si>
  <si>
    <t>8h</t>
  </si>
  <si>
    <t>8 h</t>
  </si>
  <si>
    <t>Digestion time of 8 h.</t>
  </si>
  <si>
    <t>384well_plate</t>
  </si>
  <si>
    <t>384 well plate</t>
  </si>
  <si>
    <t>96well_plate</t>
  </si>
  <si>
    <t>96 well plate</t>
  </si>
  <si>
    <t>96 well palte</t>
  </si>
  <si>
    <t>onefive_ml_tube</t>
  </si>
  <si>
    <t>1.5 mL RxTube</t>
  </si>
  <si>
    <t>1.5 mL Tube</t>
  </si>
  <si>
    <t>pcrstripe</t>
  </si>
  <si>
    <t>PCR Stripe</t>
  </si>
  <si>
    <t>two_ml_tube</t>
  </si>
  <si>
    <t>2 mL RxTube</t>
  </si>
  <si>
    <t>2mL Tube</t>
  </si>
  <si>
    <t>als</t>
  </si>
  <si>
    <t>ALS</t>
  </si>
  <si>
    <t>Amyotrophic lateral sclerosis</t>
  </si>
  <si>
    <t>alzheimer</t>
  </si>
  <si>
    <t>Alzheimer</t>
  </si>
  <si>
    <t>Alzheimer's disease</t>
  </si>
  <si>
    <t>autoimmune</t>
  </si>
  <si>
    <t>Autoimmune</t>
  </si>
  <si>
    <t>Autoimmune disease</t>
  </si>
  <si>
    <t>cancer</t>
  </si>
  <si>
    <t>Cancer</t>
  </si>
  <si>
    <t>Diseases of abnormal cells grow</t>
  </si>
  <si>
    <t>cardiovascular_diseases</t>
  </si>
  <si>
    <t>cardiovasculardiseases</t>
  </si>
  <si>
    <t>Cardiovascular_Diseases</t>
  </si>
  <si>
    <t>Cardiovascular and circulatory diseases</t>
  </si>
  <si>
    <t>chronic_inflammation</t>
  </si>
  <si>
    <t>chronicinflammation</t>
  </si>
  <si>
    <t>Chronic_Inflammation</t>
  </si>
  <si>
    <t>Slow, long-term inflammation lasting for prolonged periods</t>
  </si>
  <si>
    <t>coeliac</t>
  </si>
  <si>
    <t>Coeliac</t>
  </si>
  <si>
    <t>Coeliac disease</t>
  </si>
  <si>
    <t>covid19</t>
  </si>
  <si>
    <t>COVID19</t>
  </si>
  <si>
    <t>coronavirus disease</t>
  </si>
  <si>
    <t>dementia</t>
  </si>
  <si>
    <t>Dementia</t>
  </si>
  <si>
    <t>demyelinating</t>
  </si>
  <si>
    <t>Demyelinating</t>
  </si>
  <si>
    <t>Demyelinating disease</t>
  </si>
  <si>
    <t>diabetes</t>
  </si>
  <si>
    <t>Diabetes</t>
  </si>
  <si>
    <t>glioblastoma</t>
  </si>
  <si>
    <t>Glioblastoma</t>
  </si>
  <si>
    <t>Grade IV Astrocytoma</t>
  </si>
  <si>
    <t>hiv</t>
  </si>
  <si>
    <t>HIV</t>
  </si>
  <si>
    <t>HIV disease</t>
  </si>
  <si>
    <t>huntington</t>
  </si>
  <si>
    <t>Huntington</t>
  </si>
  <si>
    <t>Huntington's disease</t>
  </si>
  <si>
    <t>ibd</t>
  </si>
  <si>
    <t>IBD</t>
  </si>
  <si>
    <t>Inflammatory bowel disease</t>
  </si>
  <si>
    <t>infection</t>
  </si>
  <si>
    <t>Infection</t>
  </si>
  <si>
    <t>Infection occurs when viruses, bacteria, or other microbes enter your body and begin to multiply.</t>
  </si>
  <si>
    <t>influenza</t>
  </si>
  <si>
    <t>Influenza</t>
  </si>
  <si>
    <t>Flue; contagious respiratory illness caused by influenza viruses.</t>
  </si>
  <si>
    <t>leukemia</t>
  </si>
  <si>
    <t>Cancer of the body's blood-forming tissues</t>
  </si>
  <si>
    <t>lymphoma</t>
  </si>
  <si>
    <t>Lymphoma</t>
  </si>
  <si>
    <t>Cancer that begins in cells of the lymph system</t>
  </si>
  <si>
    <t>malaria</t>
  </si>
  <si>
    <t>Malaria</t>
  </si>
  <si>
    <t>Fatal disease caused by a parasite</t>
  </si>
  <si>
    <t>MS</t>
  </si>
  <si>
    <t>Multiple sclerosis</t>
  </si>
  <si>
    <t>msa</t>
  </si>
  <si>
    <t>MSA</t>
  </si>
  <si>
    <t>Multiple system atrophy</t>
  </si>
  <si>
    <t>neurodegenerative</t>
  </si>
  <si>
    <t>Neurodegenerative</t>
  </si>
  <si>
    <t>Neurodegenerative disease</t>
  </si>
  <si>
    <t>parkinson</t>
  </si>
  <si>
    <t>Parkinson</t>
  </si>
  <si>
    <t>Parkinson's disease</t>
  </si>
  <si>
    <t>prion</t>
  </si>
  <si>
    <t>Prion</t>
  </si>
  <si>
    <t>Prion disease</t>
  </si>
  <si>
    <t>rheumatoid</t>
  </si>
  <si>
    <t>Rheumatoid</t>
  </si>
  <si>
    <t>Rheumatoid arthritis</t>
  </si>
  <si>
    <t>stress</t>
  </si>
  <si>
    <t>Stress</t>
  </si>
  <si>
    <t>How one reacts when feeling under pressure or threatened</t>
  </si>
  <si>
    <t>stroke</t>
  </si>
  <si>
    <t>Stroke</t>
  </si>
  <si>
    <t>Disease that affects the arteries leading to and within the brain</t>
  </si>
  <si>
    <t>tuberculosis</t>
  </si>
  <si>
    <t>Tuberculosis</t>
  </si>
  <si>
    <t>Caused by a bacterium called Mycobacterium tuberculosis</t>
  </si>
  <si>
    <t>hypoxia</t>
  </si>
  <si>
    <t>Hypoxia</t>
  </si>
  <si>
    <t xml:space="preserve">Hypoxic chamber treatment (0.2% O2). </t>
  </si>
  <si>
    <t>normoxia</t>
  </si>
  <si>
    <t>Normoxia</t>
  </si>
  <si>
    <t>Normoxia as a hypoxia control.</t>
  </si>
  <si>
    <t>acetylome</t>
  </si>
  <si>
    <t>Acetylome</t>
  </si>
  <si>
    <t>dvp</t>
  </si>
  <si>
    <t>DVP</t>
  </si>
  <si>
    <t>Fractionated Samples (DVP)</t>
  </si>
  <si>
    <t>expression_proteome</t>
  </si>
  <si>
    <t>expression</t>
  </si>
  <si>
    <t>Expression Proteome</t>
  </si>
  <si>
    <t>interaction</t>
  </si>
  <si>
    <t>Interaction Proteome</t>
  </si>
  <si>
    <t>metrs</t>
  </si>
  <si>
    <t>MetRS</t>
  </si>
  <si>
    <t>neo_nterm_enrichment</t>
  </si>
  <si>
    <t>ntermenrichment</t>
  </si>
  <si>
    <t>Neo N-term enrichment</t>
  </si>
  <si>
    <t>oxinome</t>
  </si>
  <si>
    <t>Oxinome</t>
  </si>
  <si>
    <t>phosphoproteome</t>
  </si>
  <si>
    <t>Phosphoproteome</t>
  </si>
  <si>
    <t>pulse_silac</t>
  </si>
  <si>
    <t>Pulse-SILAC</t>
  </si>
  <si>
    <t>secretome</t>
  </si>
  <si>
    <t>Secretome</t>
  </si>
  <si>
    <t>spatial</t>
  </si>
  <si>
    <t>Spatial Proteome</t>
  </si>
  <si>
    <t>ubiquitinome</t>
  </si>
  <si>
    <t>Ubiquitinome</t>
  </si>
  <si>
    <t>100c</t>
  </si>
  <si>
    <t>95c</t>
  </si>
  <si>
    <t>96c</t>
  </si>
  <si>
    <t>97c</t>
  </si>
  <si>
    <t>98c</t>
  </si>
  <si>
    <t>99c</t>
  </si>
  <si>
    <t>bal</t>
  </si>
  <si>
    <t>att_fluid</t>
  </si>
  <si>
    <t>Bal</t>
  </si>
  <si>
    <t>Bronchoalveolar lavage (BAL)</t>
  </si>
  <si>
    <t>cerebrospinal</t>
  </si>
  <si>
    <t>Cerebrospinal</t>
  </si>
  <si>
    <t>Cerebrospinal fluid (CSF)</t>
  </si>
  <si>
    <t>feces</t>
  </si>
  <si>
    <t>Feces</t>
  </si>
  <si>
    <t>Poop</t>
  </si>
  <si>
    <t>interstitial</t>
  </si>
  <si>
    <t>Interstitial</t>
  </si>
  <si>
    <t>Interstitial fluid</t>
  </si>
  <si>
    <t>lymph</t>
  </si>
  <si>
    <t>Lymph</t>
  </si>
  <si>
    <t>Lymph; fluid that flows through the lymphatic system</t>
  </si>
  <si>
    <t>peritoneal</t>
  </si>
  <si>
    <t>Peritoneal</t>
  </si>
  <si>
    <t>Peritoneal fluid</t>
  </si>
  <si>
    <t>plasma</t>
  </si>
  <si>
    <t>Plasma</t>
  </si>
  <si>
    <t>Blood Plasma</t>
  </si>
  <si>
    <t>pleural</t>
  </si>
  <si>
    <t>Pleural</t>
  </si>
  <si>
    <t>Pleural fluid</t>
  </si>
  <si>
    <t>saliva</t>
  </si>
  <si>
    <t>Saliva</t>
  </si>
  <si>
    <t>Spit</t>
  </si>
  <si>
    <t>seminal</t>
  </si>
  <si>
    <t>Seminal</t>
  </si>
  <si>
    <t>Semen; Seminal fluid</t>
  </si>
  <si>
    <t>serum</t>
  </si>
  <si>
    <t>Serum</t>
  </si>
  <si>
    <t>Blood Serum</t>
  </si>
  <si>
    <t>urine</t>
  </si>
  <si>
    <t>Urine</t>
  </si>
  <si>
    <t>Pee</t>
  </si>
  <si>
    <t>01k</t>
  </si>
  <si>
    <t>att_fraction</t>
  </si>
  <si>
    <t>01k Spatial Fraction (Pellet)</t>
  </si>
  <si>
    <t>05k</t>
  </si>
  <si>
    <t>05k Spatial Fraction (Pellet)</t>
  </si>
  <si>
    <t>12k</t>
  </si>
  <si>
    <t>12k Spatial Fraction (Pellet)</t>
  </si>
  <si>
    <t>24k</t>
  </si>
  <si>
    <t>24k Spatial Fraction (Pellet)</t>
  </si>
  <si>
    <t>79k</t>
  </si>
  <si>
    <t>79k Spatial Fraction (Pellet)</t>
  </si>
  <si>
    <t>crude_mito</t>
  </si>
  <si>
    <t>crude</t>
  </si>
  <si>
    <t>Crude Mito</t>
  </si>
  <si>
    <t>Crude mitochondrial fraction</t>
  </si>
  <si>
    <t>cytosolic</t>
  </si>
  <si>
    <t>Cytosolic</t>
  </si>
  <si>
    <t>Cytosolic Spatial Fraction</t>
  </si>
  <si>
    <t>total</t>
  </si>
  <si>
    <t>Total</t>
  </si>
  <si>
    <t>Total Spatial Fraction</t>
  </si>
  <si>
    <t>biggybac</t>
  </si>
  <si>
    <t>BiggyBac transposon</t>
  </si>
  <si>
    <t>The PiggyBac (PB) transposon is a mobile genetic element that efficiently transposes between vectors and chromosomes via a 'cut and paste' mechanism. During transposition, the PB transposase recognizes transposon-specific inverted terminal repeat sequences (ITRs) located on both ends of the transposon vector and efficiently moves the contents from the original sites and integrates them into TTAA chromosomal sites</t>
  </si>
  <si>
    <t>crispr</t>
  </si>
  <si>
    <t>CRISPR-mediated</t>
  </si>
  <si>
    <t>A CRISPR-associated (Cas) enzyme is used to cleave target DNA, resulting in a double-strand break (DSB). The Cas enzyme is directed by the guide RNA (gRNA) to a user-defined site in the genome, and then the Cas enzyme cuts the DNA.</t>
  </si>
  <si>
    <t>crispr_hdr</t>
  </si>
  <si>
    <t>CRSPR+HDR mediated</t>
  </si>
  <si>
    <t>HDR is an acronym for homology-directed repair, one of the common mechanisms for DNA double-strand break repair in eukaryotes. HDR can be used as part of CRISPR-mediated editing to introduce an exogenous DNA repair template composed of homology arms flanking a sequence of interest.</t>
  </si>
  <si>
    <t>lentiviral</t>
  </si>
  <si>
    <t>Lenti Viral</t>
  </si>
  <si>
    <t>Lentivirus based genome integration.</t>
  </si>
  <si>
    <t>talen</t>
  </si>
  <si>
    <t>TALE nucleases</t>
  </si>
  <si>
    <t>Transcription activator-like effector nucleases (TALEN) are restriction enzymes that can be engineered to cut specific sequences of DNA. They are made by fusing a TAL effector DNA-binding domain to a DNA cleavage domain (a nuclease which cuts DNA strands). Transcription activator-like effectors (TALEs) can be engineered to bind to practically any desired DNA sequence, so when combined with a nuclease, DNA can be cut at specific locations.</t>
  </si>
  <si>
    <t>zincfinger</t>
  </si>
  <si>
    <t>Zinc-finger nucleases</t>
  </si>
  <si>
    <t>Zinc-finger nucleases (ZFNs) are artificial restriction enzymes generated by fusing a zinc finger DNA-binding domain to a DNA-cleavage domain. Zinc finger domains can be engineered to target specific desired DNA sequences and this enables zinc-finger nucleases to target unique sequences within complex genomes.</t>
  </si>
  <si>
    <t>deletion</t>
  </si>
  <si>
    <t>Deletion</t>
  </si>
  <si>
    <t>Gene deletion</t>
  </si>
  <si>
    <t>inducible_expression</t>
  </si>
  <si>
    <t>Inducible Expression</t>
  </si>
  <si>
    <t xml:space="preserve">Inducible gene expression. </t>
  </si>
  <si>
    <t>knockin</t>
  </si>
  <si>
    <t>Knockin</t>
  </si>
  <si>
    <t xml:space="preserve">Gene knock in. One-for-one substitution of DNA sequence information in a genetic locus or the insertion of sequence information not found within the locus. </t>
  </si>
  <si>
    <t>ko</t>
  </si>
  <si>
    <t>Knockout</t>
  </si>
  <si>
    <t>Gene knock out.</t>
  </si>
  <si>
    <t>stable_expression</t>
  </si>
  <si>
    <t xml:space="preserve">Stable Expression </t>
  </si>
  <si>
    <t>Stable gene expression.</t>
  </si>
  <si>
    <t>Heterezygot (+/-)</t>
  </si>
  <si>
    <t>Heterozygous</t>
  </si>
  <si>
    <t>Homozygot (-/-)</t>
  </si>
  <si>
    <t>Homozygous</t>
  </si>
  <si>
    <t>14dia</t>
  </si>
  <si>
    <t>Isolation width (DIA)</t>
  </si>
  <si>
    <t>onepointfour</t>
  </si>
  <si>
    <t>Isolation width (DDA) of 1.4 Th</t>
  </si>
  <si>
    <t>esirna</t>
  </si>
  <si>
    <t>esiRNA</t>
  </si>
  <si>
    <t>Eupheria Biotch - esiRNA knock down technique.</t>
  </si>
  <si>
    <t>grna</t>
  </si>
  <si>
    <t>gRNA</t>
  </si>
  <si>
    <t>gRNA based knockdown in a polyclonal population</t>
  </si>
  <si>
    <t>mirna</t>
  </si>
  <si>
    <t>mirRNA</t>
  </si>
  <si>
    <t>miRNA based gene expression knockdown.</t>
  </si>
  <si>
    <t>shrna</t>
  </si>
  <si>
    <t>shRNA</t>
  </si>
  <si>
    <t xml:space="preserve">shRNA based gene expression kockdown </t>
  </si>
  <si>
    <t>sirna</t>
  </si>
  <si>
    <t>siRNA</t>
  </si>
  <si>
    <t>siRNA based gene expression knock down by RNA interference</t>
  </si>
  <si>
    <t>200nlmin</t>
  </si>
  <si>
    <t>200 nL/min</t>
  </si>
  <si>
    <t>250nlmin</t>
  </si>
  <si>
    <t>250 nL/min</t>
  </si>
  <si>
    <t>500nlmin</t>
  </si>
  <si>
    <t>500 nL/min</t>
  </si>
  <si>
    <t>e1000</t>
  </si>
  <si>
    <t>nLC Easy 1000</t>
  </si>
  <si>
    <t>Thermo Fisher nano LC 1000</t>
  </si>
  <si>
    <t>e1200</t>
  </si>
  <si>
    <t>nLC Easy 1200</t>
  </si>
  <si>
    <t>Thermo Fisher nano LC 1200</t>
  </si>
  <si>
    <t>evosep</t>
  </si>
  <si>
    <t>Evosep</t>
  </si>
  <si>
    <t>nanoelute</t>
  </si>
  <si>
    <t>NanoElute</t>
  </si>
  <si>
    <t>Bruker Nano Elute</t>
  </si>
  <si>
    <t>ultimate</t>
  </si>
  <si>
    <t>Ultimate</t>
  </si>
  <si>
    <t>Thermo Fisher Ultimate RC</t>
  </si>
  <si>
    <t>vanquish</t>
  </si>
  <si>
    <t>Vanquish</t>
  </si>
  <si>
    <t>Thermo Fisher Vanquish</t>
  </si>
  <si>
    <t>easylc1</t>
  </si>
  <si>
    <t>Easy LC1</t>
  </si>
  <si>
    <t>easylc2</t>
  </si>
  <si>
    <t>Easy LC2</t>
  </si>
  <si>
    <t>evosep1</t>
  </si>
  <si>
    <t>Evosep1</t>
  </si>
  <si>
    <t>Evosep 1</t>
  </si>
  <si>
    <t>vanquishneo1</t>
  </si>
  <si>
    <t>Vanquish Neo1</t>
  </si>
  <si>
    <t>bravo</t>
  </si>
  <si>
    <t xml:space="preserve">Agilent Bravo </t>
  </si>
  <si>
    <t>Agilent Bravo Sample Preparaton</t>
  </si>
  <si>
    <t>felix</t>
  </si>
  <si>
    <t>Cybio Felix Liquid Handler</t>
  </si>
  <si>
    <t>Analytic Jena Liquid Handler CyBio Felix</t>
  </si>
  <si>
    <t>kingfisher</t>
  </si>
  <si>
    <t>KingFisher</t>
  </si>
  <si>
    <t>King Fisher Thermo Fisher Liquid Handler (magnetic beads)</t>
  </si>
  <si>
    <t>microlabhamilton</t>
  </si>
  <si>
    <t>Microlab Star M (Hamilton)</t>
  </si>
  <si>
    <t>Hamilton Microlab Star M</t>
  </si>
  <si>
    <t>mosquitoHV</t>
  </si>
  <si>
    <t>Mosquito High Volume</t>
  </si>
  <si>
    <t>Mosquit liquid handler (lhigh volume)</t>
  </si>
  <si>
    <t>mosquitoLV</t>
  </si>
  <si>
    <t xml:space="preserve">Mosquito Low Volumne </t>
  </si>
  <si>
    <t>Mosquit liquid handler (low volume)</t>
  </si>
  <si>
    <t>opentrons</t>
  </si>
  <si>
    <t>Opentrons</t>
  </si>
  <si>
    <t>tecan</t>
  </si>
  <si>
    <t>Tecan</t>
  </si>
  <si>
    <t xml:space="preserve">Tecan liquid handler. </t>
  </si>
  <si>
    <t>one_sdc</t>
  </si>
  <si>
    <t xml:space="preserve">2% SDC Lysis </t>
  </si>
  <si>
    <t>1% SDC in 100 mM HEPES pH=8.5</t>
  </si>
  <si>
    <t>4%SDS Lysis</t>
  </si>
  <si>
    <t>4% SDS Lysis buffer in 100 mM HEPES pH=8.5</t>
  </si>
  <si>
    <t>two_sdc</t>
  </si>
  <si>
    <t xml:space="preserve">1% SDC Lysis </t>
  </si>
  <si>
    <t>2% SDC in 100 mM HEPES pH=8.5</t>
  </si>
  <si>
    <t>urea</t>
  </si>
  <si>
    <t>Urea Lysis</t>
  </si>
  <si>
    <t>6M Urea 2M ThioUrea</t>
  </si>
  <si>
    <t>dounce</t>
  </si>
  <si>
    <t xml:space="preserve">Douncer Lysis </t>
  </si>
  <si>
    <t>Douncer 10 strokes</t>
  </si>
  <si>
    <t>motar_pestle</t>
  </si>
  <si>
    <t>Motar and pestle</t>
  </si>
  <si>
    <t>Tissue grinded using mortar pestle</t>
  </si>
  <si>
    <t>paracyllus</t>
  </si>
  <si>
    <t>Paracyllus</t>
  </si>
  <si>
    <t>Metal beads based tissue distruption</t>
  </si>
  <si>
    <t>arg0</t>
  </si>
  <si>
    <t>Arg0</t>
  </si>
  <si>
    <t>L-Arginine</t>
  </si>
  <si>
    <t>arg10</t>
  </si>
  <si>
    <t>Arg10</t>
  </si>
  <si>
    <t>Arginine +10Da (13C6 15N4)</t>
  </si>
  <si>
    <t>arg6</t>
  </si>
  <si>
    <t>Arg6</t>
  </si>
  <si>
    <t>Arginine +6 Da (13C6)</t>
  </si>
  <si>
    <t>lys0</t>
  </si>
  <si>
    <t>Lys0</t>
  </si>
  <si>
    <t>lys4</t>
  </si>
  <si>
    <t>Lys4</t>
  </si>
  <si>
    <t>Lysine +4Da (4,4,5,5-D4 L-Lysin) for SILAC labeling</t>
  </si>
  <si>
    <t>lys6</t>
  </si>
  <si>
    <t>Lys6</t>
  </si>
  <si>
    <t>Lysine +6Da for SILAC labeling</t>
  </si>
  <si>
    <t>lys8</t>
  </si>
  <si>
    <t>Lys8</t>
  </si>
  <si>
    <t>Lysine +8Da (3C6 15N2) for SILAC labeling</t>
  </si>
  <si>
    <t>abc_transporters</t>
  </si>
  <si>
    <t>ABC transporters</t>
  </si>
  <si>
    <t>Small molecule transport &gt; ABC transporters</t>
  </si>
  <si>
    <t>amidoxime_reducing_complex</t>
  </si>
  <si>
    <t>Amidoxime reducing complex</t>
  </si>
  <si>
    <t>Metabolism &gt; Detoxification &gt; Amidoxime reducing complex</t>
  </si>
  <si>
    <t>amino_acid_metabolism</t>
  </si>
  <si>
    <t>Amino acid metabolism</t>
  </si>
  <si>
    <t>Metabolism &gt; Amino acid metabolism</t>
  </si>
  <si>
    <t>apoptosis</t>
  </si>
  <si>
    <t>Apoptosis</t>
  </si>
  <si>
    <t>Mitochondrial dynamics and surveillance &gt; Apoptosis</t>
  </si>
  <si>
    <t>autophagy</t>
  </si>
  <si>
    <t>Autophagy</t>
  </si>
  <si>
    <t>Mitochondrial dynamics and surveillance &gt; Autophagy</t>
  </si>
  <si>
    <t>biotin_utilizing_proteins</t>
  </si>
  <si>
    <t>Biotin utilizing proteins</t>
  </si>
  <si>
    <t>Metabolism &gt; Vitamin metabolism &gt; Biotin utilizing proteins</t>
  </si>
  <si>
    <t>branched_chain_amino_acid_dehydrogenase_complex</t>
  </si>
  <si>
    <t>Branched-chain amino acid dehydrogenase complex</t>
  </si>
  <si>
    <t>Metabolism &gt; Amino acid metabolism &gt; Branched-chain amino acid dehydrogenase complex</t>
  </si>
  <si>
    <t>branched_chain_amino_acid_metabolism</t>
  </si>
  <si>
    <t>Branched-chain amino acid metabolism</t>
  </si>
  <si>
    <t>Metabolism &gt; Amino acid metabolism &gt; Branched-chain amino acid metabolism</t>
  </si>
  <si>
    <t>calcium_cycle</t>
  </si>
  <si>
    <t>Calcium cycle</t>
  </si>
  <si>
    <t>Signaling &gt; Calcium homeostasis &gt; Calcium cycle</t>
  </si>
  <si>
    <t>calcium_homeostasis</t>
  </si>
  <si>
    <t>Calcium homeostasis</t>
  </si>
  <si>
    <t>Signaling &gt; Calcium homeostasis</t>
  </si>
  <si>
    <t>calcium_uniporter</t>
  </si>
  <si>
    <t>Calcium uniporter</t>
  </si>
  <si>
    <t>Small molecule transport &gt; Calcium uniporter</t>
  </si>
  <si>
    <t>camp_pka_signaling</t>
  </si>
  <si>
    <t>cAMP-PKA signaling</t>
  </si>
  <si>
    <t>Signaling &gt; cAMP-PKA signaling</t>
  </si>
  <si>
    <t>carbohydrate_metabolism</t>
  </si>
  <si>
    <t>Carbohydrate metabolism</t>
  </si>
  <si>
    <t>Metabolism &gt; Carbohydrate metabolism</t>
  </si>
  <si>
    <t>cardiolipin_synthesis</t>
  </si>
  <si>
    <t>Cardiolipin synthesis</t>
  </si>
  <si>
    <t>Metabolism &gt; Lipid metabolism &gt; Cardiolipin synthesis</t>
  </si>
  <si>
    <t>carnitine_shuttle</t>
  </si>
  <si>
    <t>Carnitine shuttle</t>
  </si>
  <si>
    <t>Metabolism &gt; Metals and cofactors &gt; Carnitine shuttle</t>
  </si>
  <si>
    <t>carnitine_synthesis_and_transport</t>
  </si>
  <si>
    <t>Carnitine synthesis and transport</t>
  </si>
  <si>
    <t>Metabolism &gt; Metals and cofactors &gt; Carnitine synthesis and transport</t>
  </si>
  <si>
    <t>catechol_metabolism</t>
  </si>
  <si>
    <t>Catechol metabolism</t>
  </si>
  <si>
    <t>Metabolism &gt; Amino acid metabolism &gt; Catechol metabolism</t>
  </si>
  <si>
    <t>chaperones</t>
  </si>
  <si>
    <t>Chaperones</t>
  </si>
  <si>
    <t>Protein import, sorting and homeostasis &gt; Protein homeostasis &gt; Chaperones</t>
  </si>
  <si>
    <t>cholesterol_associated</t>
  </si>
  <si>
    <t>Cholesterol-associated</t>
  </si>
  <si>
    <t>Metabolism &gt; Lipid metabolism &gt; Cholesterol-associated</t>
  </si>
  <si>
    <t>choline_and_betaine_metabolism</t>
  </si>
  <si>
    <t>Choline and betaine metabolism</t>
  </si>
  <si>
    <t>Metabolism &gt; Vitamin metabolism &gt; Choline and betaine metabolism</t>
  </si>
  <si>
    <t>ci_assembly_factors</t>
  </si>
  <si>
    <t>CI assembly factors</t>
  </si>
  <si>
    <t>OXPHOS &gt; Complex I &gt; CI assembly factors</t>
  </si>
  <si>
    <t>ci_subunits</t>
  </si>
  <si>
    <t>CI subunits</t>
  </si>
  <si>
    <t>OXPHOS &gt; Complex I &gt; CI subunits</t>
  </si>
  <si>
    <t>cii_assembly_factors</t>
  </si>
  <si>
    <t>CII assembly factors</t>
  </si>
  <si>
    <t>OXPHOS &gt; Complex II &gt; CII assembly factors</t>
  </si>
  <si>
    <t>cii_subunits</t>
  </si>
  <si>
    <t>CII subunits</t>
  </si>
  <si>
    <t>OXPHOS &gt; Complex II &gt; CII subunits</t>
  </si>
  <si>
    <t>ciii_assembly_factors</t>
  </si>
  <si>
    <t>CIII assembly factors</t>
  </si>
  <si>
    <t>OXPHOS &gt; Complex III &gt; CIII assembly factors</t>
  </si>
  <si>
    <t>ciii_subunits</t>
  </si>
  <si>
    <t>CIII subunits</t>
  </si>
  <si>
    <t>OXPHOS &gt; Complex III &gt; CIII subunits</t>
  </si>
  <si>
    <t>civ_assembly_factors</t>
  </si>
  <si>
    <t>CIV assembly factors</t>
  </si>
  <si>
    <t>OXPHOS &gt; Complex IV &gt; CIV assembly factors</t>
  </si>
  <si>
    <t>civ_subunits</t>
  </si>
  <si>
    <t>CIV subunits</t>
  </si>
  <si>
    <t>OXPHOS &gt; Complex IV &gt; CIV subunits</t>
  </si>
  <si>
    <t>coenzyme_a_metabolism</t>
  </si>
  <si>
    <t>Coenzyme A metabolism</t>
  </si>
  <si>
    <t>Metabolism &gt; Metals and cofactors &gt; Coenzyme A metabolism</t>
  </si>
  <si>
    <t>coenzyme_q_metabolism</t>
  </si>
  <si>
    <t>Coenzyme Q metabolism</t>
  </si>
  <si>
    <t>Metabolism &gt; Metals and cofactors &gt; Coenzyme Q metabolism</t>
  </si>
  <si>
    <t>complex_i</t>
  </si>
  <si>
    <t>Complex I</t>
  </si>
  <si>
    <t>OXPHOS &gt; Complex I</t>
  </si>
  <si>
    <t>complex_ii</t>
  </si>
  <si>
    <t>Complex II</t>
  </si>
  <si>
    <t>OXPHOS &gt; Complex II</t>
  </si>
  <si>
    <t>complex_iii</t>
  </si>
  <si>
    <t>Complex III</t>
  </si>
  <si>
    <t>OXPHOS &gt; Complex III</t>
  </si>
  <si>
    <t>complex_iv</t>
  </si>
  <si>
    <t>Complex IV</t>
  </si>
  <si>
    <t>OXPHOS &gt; Complex IV</t>
  </si>
  <si>
    <t>complex_v</t>
  </si>
  <si>
    <t>Complex V</t>
  </si>
  <si>
    <t>OXPHOS &gt; Complex V</t>
  </si>
  <si>
    <t>copper_metabolism</t>
  </si>
  <si>
    <t>Copper metabolism</t>
  </si>
  <si>
    <t>Metabolism &gt; Metals and cofactors &gt; Copper metabolism</t>
  </si>
  <si>
    <t>creatine_metabolism</t>
  </si>
  <si>
    <t>Creatine metabolism</t>
  </si>
  <si>
    <t>Metabolism &gt; Nucleotide metabolism &gt; Creatine metabolism</t>
  </si>
  <si>
    <t>cristae_formation</t>
  </si>
  <si>
    <t>Cristae formation</t>
  </si>
  <si>
    <t>Mitochondrial dynamics and surveillance &gt; Cristae formation</t>
  </si>
  <si>
    <t>cv_assembly_factors</t>
  </si>
  <si>
    <t>CV assembly factors</t>
  </si>
  <si>
    <t>OXPHOS &gt; Complex V &gt; CV assembly factors</t>
  </si>
  <si>
    <t>cv_subunits</t>
  </si>
  <si>
    <t>CV subunits</t>
  </si>
  <si>
    <t>OXPHOS &gt; Complex V &gt; CV subunits</t>
  </si>
  <si>
    <t>cytochrome_c</t>
  </si>
  <si>
    <t>Cytochrome C</t>
  </si>
  <si>
    <t>OXPHOS &gt; Cytochrome C</t>
  </si>
  <si>
    <t>cytochromes</t>
  </si>
  <si>
    <t>Cytochromes</t>
  </si>
  <si>
    <t>Metabolism &gt; Electron carriers &gt; Cytochromes</t>
  </si>
  <si>
    <t>detoxification</t>
  </si>
  <si>
    <t>Detoxification</t>
  </si>
  <si>
    <t>Metabolism &gt; Detoxification</t>
  </si>
  <si>
    <t>ef_hand_proteins</t>
  </si>
  <si>
    <t>EF hand proteins</t>
  </si>
  <si>
    <t>Signaling &gt; Calcium homeostasis &gt; EF hand proteins</t>
  </si>
  <si>
    <t>eicosanoid_metabolism</t>
  </si>
  <si>
    <t>Eicosanoid metabolism</t>
  </si>
  <si>
    <t>Metabolism &gt; Lipid metabolism &gt; Eicosanoid metabolism</t>
  </si>
  <si>
    <t>electron_carriers</t>
  </si>
  <si>
    <t>Electron carriers</t>
  </si>
  <si>
    <t>Metabolism &gt; Electron carriers</t>
  </si>
  <si>
    <t>fatty_acid_oxidation</t>
  </si>
  <si>
    <t>Fatty acid oxidation</t>
  </si>
  <si>
    <t>Metabolism &gt; Lipid metabolism &gt; Fatty acid oxidation</t>
  </si>
  <si>
    <t>fe_s_cluster_biosynthesis</t>
  </si>
  <si>
    <t>Fe-S cluster biosynthesis</t>
  </si>
  <si>
    <t>Metabolism &gt; Metals and cofactors &gt; Fe-S cluster biosynthesis</t>
  </si>
  <si>
    <t>fe_s_containing_proteins</t>
  </si>
  <si>
    <t>Fe-S-containing proteins</t>
  </si>
  <si>
    <t>Metabolism &gt; Metals and cofactors &gt; Fe-S-containing proteins</t>
  </si>
  <si>
    <t>fission</t>
  </si>
  <si>
    <t>Fission</t>
  </si>
  <si>
    <t>Mitochondrial dynamics and surveillance &gt; Fission</t>
  </si>
  <si>
    <t>fmet_processing</t>
  </si>
  <si>
    <t>fMet processing</t>
  </si>
  <si>
    <t>Mitochondrial central dogma &gt; Translation &gt; fMet processing</t>
  </si>
  <si>
    <t>folate_and_1_c_metabolism</t>
  </si>
  <si>
    <t>Folate and 1-C metabolism</t>
  </si>
  <si>
    <t>Metabolism &gt; Vitamin metabolism &gt; Folate and 1-C metabolism</t>
  </si>
  <si>
    <t>fusion</t>
  </si>
  <si>
    <t>Fusion</t>
  </si>
  <si>
    <t>Mitochondrial dynamics and surveillance &gt; Fusion</t>
  </si>
  <si>
    <t>gaba_metabolism</t>
  </si>
  <si>
    <t>GABA metabolism</t>
  </si>
  <si>
    <t>Metabolism &gt; Amino acid metabolism &gt; GABA metabolism</t>
  </si>
  <si>
    <t>gluconeogenesis</t>
  </si>
  <si>
    <t>Gluconeogenesis</t>
  </si>
  <si>
    <t>Metabolism &gt; Carbohydrate metabolism &gt; Gluconeogenesis</t>
  </si>
  <si>
    <t>glutamate_metabolism</t>
  </si>
  <si>
    <t>Glutamate metabolism</t>
  </si>
  <si>
    <t>Metabolism &gt; Amino acid metabolism &gt; Glutamate metabolism</t>
  </si>
  <si>
    <t>glycerol_phosphate_shuttle</t>
  </si>
  <si>
    <t>Glycerol phosphate shuttle</t>
  </si>
  <si>
    <t>Metabolism &gt; Carbohydrate metabolism &gt; Glycerol phosphate shuttle</t>
  </si>
  <si>
    <t>glycine_cleavage_system</t>
  </si>
  <si>
    <t>Glycine cleavage system</t>
  </si>
  <si>
    <t>Metabolism &gt; Amino acid metabolism &gt; Glycine cleavage system</t>
  </si>
  <si>
    <t>glycine_metabolism</t>
  </si>
  <si>
    <t>Glycine metabolism</t>
  </si>
  <si>
    <t>Metabolism &gt; Amino acid metabolism &gt; Glycine metabolism</t>
  </si>
  <si>
    <t>glyoxylate_metabolism</t>
  </si>
  <si>
    <t>Glyoxylate metabolism</t>
  </si>
  <si>
    <t>Metabolism &gt; Amino acid metabolism &gt; Glyoxylate metabolism</t>
  </si>
  <si>
    <t>heme_containing_proteins</t>
  </si>
  <si>
    <t>Heme-containing proteins</t>
  </si>
  <si>
    <t>Metabolism &gt; Metals and cofactors &gt; Heme-containing proteins</t>
  </si>
  <si>
    <t>heme_synthesis_and_processing</t>
  </si>
  <si>
    <t>Heme synthesis and processing</t>
  </si>
  <si>
    <t>Metabolism &gt; Metals and cofactors &gt; Heme synthesis and processing</t>
  </si>
  <si>
    <t>immune_response</t>
  </si>
  <si>
    <t>Immune response</t>
  </si>
  <si>
    <t>Signaling &gt; Immune response</t>
  </si>
  <si>
    <t>import_motor</t>
  </si>
  <si>
    <t>Import motor</t>
  </si>
  <si>
    <t>Protein import, sorting and homeostasis &gt; Protein import and sorting &gt; Import motor</t>
  </si>
  <si>
    <t>intramitochondrial_membrane_interactions</t>
  </si>
  <si>
    <t>Intramitochondrial membrane interactions</t>
  </si>
  <si>
    <t>Mitochondrial dynamics and surveillance &gt; Intramitochondrial membrane interactions</t>
  </si>
  <si>
    <t>iron_homeostasis</t>
  </si>
  <si>
    <t>Iron homeostasis</t>
  </si>
  <si>
    <t>Metabolism &gt; Metals and cofactors &gt; Iron homeostasis</t>
  </si>
  <si>
    <t>itaconate_metabolism</t>
  </si>
  <si>
    <t>Itaconate metabolism</t>
  </si>
  <si>
    <t>Metabolism &gt; Carbohydrate metabolism &gt; Itaconate metabolism</t>
  </si>
  <si>
    <t>ketone_metabolism</t>
  </si>
  <si>
    <t>Ketone metabolism</t>
  </si>
  <si>
    <t>Metabolism &gt; Carbohydrate metabolism &gt; Ketone metabolism</t>
  </si>
  <si>
    <t>kynurenine_metabolism</t>
  </si>
  <si>
    <t>Kynurenine metabolism</t>
  </si>
  <si>
    <t>Metabolism &gt; Amino acid metabolism &gt; Kynurenine metabolism</t>
  </si>
  <si>
    <t>lipid_metabolism</t>
  </si>
  <si>
    <t>Lipid metabolism</t>
  </si>
  <si>
    <t>Metabolism &gt; Lipid metabolism</t>
  </si>
  <si>
    <t>lipoate_insertion</t>
  </si>
  <si>
    <t>Lipoate insertion</t>
  </si>
  <si>
    <t>Metabolism &gt; Lipid metabolism &gt; Lipoate insertion</t>
  </si>
  <si>
    <t>lysine_metabolism</t>
  </si>
  <si>
    <t>Lysine metabolism</t>
  </si>
  <si>
    <t>Metabolism &gt; Amino acid metabolism &gt; Lysine metabolism</t>
  </si>
  <si>
    <t>malate_aspartate_shuttle</t>
  </si>
  <si>
    <t>Malate-aspartate shuttle</t>
  </si>
  <si>
    <t>Metabolism &gt; Carbohydrate metabolism &gt; Malate-aspartate shuttle</t>
  </si>
  <si>
    <t>metabolism</t>
  </si>
  <si>
    <t>Metabolism</t>
  </si>
  <si>
    <t>metals_and_cofactors</t>
  </si>
  <si>
    <t>Metals and cofactors</t>
  </si>
  <si>
    <t>Metabolism &gt; Metals and cofactors</t>
  </si>
  <si>
    <t>mia40</t>
  </si>
  <si>
    <t>MIA40</t>
  </si>
  <si>
    <t>Protein import, sorting and homeostasis &gt; Protein import and sorting &gt; MIA40</t>
  </si>
  <si>
    <t>micos_complex</t>
  </si>
  <si>
    <t>MICOS complex</t>
  </si>
  <si>
    <t>Mitochondrial dynamics and surveillance &gt; Cristae formation &gt; MICOS complex</t>
  </si>
  <si>
    <t>mitochondrial_dynamics_and_surveillance</t>
  </si>
  <si>
    <t>Mitochondrial dynamics and surveillance</t>
  </si>
  <si>
    <t>mitochondrial_permeability_transition_pore</t>
  </si>
  <si>
    <t>Mitochondrial permeability transition pore</t>
  </si>
  <si>
    <t>Signaling &gt; Calcium homeostasis &gt; Mitochondrial permeability transition pore</t>
  </si>
  <si>
    <t>mitochondrial_ribosome</t>
  </si>
  <si>
    <t>Mitochondrial ribosome</t>
  </si>
  <si>
    <t>Mitochondrial central dogma &gt; Translation &gt; Mitochondrial ribosome</t>
  </si>
  <si>
    <t>mitochondrial_ribosome_assembly</t>
  </si>
  <si>
    <t>Mitochondrial ribosome assembly</t>
  </si>
  <si>
    <t>Mitochondrial central dogma &gt; Translation &gt; Mitochondrial ribosome assembly</t>
  </si>
  <si>
    <t>mitophagy</t>
  </si>
  <si>
    <t>Mitophagy</t>
  </si>
  <si>
    <t>Mitochondrial dynamics and surveillance &gt; Mitophagy</t>
  </si>
  <si>
    <t>molybdenum_cofactor_synthesis_and_proteins</t>
  </si>
  <si>
    <t>Molybdenum cofactor synthesis and proteins</t>
  </si>
  <si>
    <t>Metabolism &gt; Metals and cofactors &gt; Molybdenum cofactor synthesis and proteins</t>
  </si>
  <si>
    <t>mt_mrna_modifications</t>
  </si>
  <si>
    <t>mt-mRNA modifications</t>
  </si>
  <si>
    <t>Mitochondrial central dogma &gt; mtRNA metabolism &gt; mt-mRNA modifications</t>
  </si>
  <si>
    <t>mt_rrna_modifications</t>
  </si>
  <si>
    <t>mt-rRNA modifications</t>
  </si>
  <si>
    <t>Mitochondrial central dogma &gt; mtRNA metabolism &gt; mt-rRNA modifications</t>
  </si>
  <si>
    <t>mt_trna_modifications</t>
  </si>
  <si>
    <t>mt-tRNA modifications</t>
  </si>
  <si>
    <t>Mitochondrial central dogma &gt; mtRNA metabolism &gt; mt-tRNA modifications</t>
  </si>
  <si>
    <t>mt_trna_synthetases</t>
  </si>
  <si>
    <t>mt-tRNA synthetases</t>
  </si>
  <si>
    <t>Mitochondrial central dogma &gt; Translation &gt; mt-tRNA synthetases</t>
  </si>
  <si>
    <t>mtdna_maintenance</t>
  </si>
  <si>
    <t>mtDNA maintenance</t>
  </si>
  <si>
    <t>Mitochondrial central dogma &gt; mtDNA maintenance</t>
  </si>
  <si>
    <t>mtdna_modifications</t>
  </si>
  <si>
    <t>mtDNA modifications</t>
  </si>
  <si>
    <t>Mitochondrial central dogma &gt; mtDNA maintenance &gt; mtDNA modifications</t>
  </si>
  <si>
    <t>mtdna_nucleoid</t>
  </si>
  <si>
    <t>mtDNA nucleoid</t>
  </si>
  <si>
    <t>Mitochondrial central dogma &gt; mtDNA maintenance &gt; mtDNA nucleoid</t>
  </si>
  <si>
    <t>mtdna_repair</t>
  </si>
  <si>
    <t>mtDNA repair</t>
  </si>
  <si>
    <t>Mitochondrial central dogma &gt; mtDNA maintenance &gt; mtDNA repair</t>
  </si>
  <si>
    <t>mtdna_replication</t>
  </si>
  <si>
    <t>mtDNA replication</t>
  </si>
  <si>
    <t>Mitochondrial central dogma &gt; mtDNA maintenance &gt; mtDNA replication</t>
  </si>
  <si>
    <t>mtdna_stability_and_decay</t>
  </si>
  <si>
    <t>mtDNA stability and decay</t>
  </si>
  <si>
    <t>Mitochondrial central dogma &gt; mtDNA maintenance &gt; mtDNA stability and decay</t>
  </si>
  <si>
    <t>mtrna_granules</t>
  </si>
  <si>
    <t>mtRNA granules</t>
  </si>
  <si>
    <t>Mitochondrial central dogma &gt; mtRNA metabolism &gt; mtRNA granules</t>
  </si>
  <si>
    <t>mtrna_metabolism</t>
  </si>
  <si>
    <t>mtRNA metabolism</t>
  </si>
  <si>
    <t>Mitochondrial central dogma &gt; mtRNA metabolism</t>
  </si>
  <si>
    <t>mtrna_stability_and_decay</t>
  </si>
  <si>
    <t>mtRNA stability and decay</t>
  </si>
  <si>
    <t>Mitochondrial central dogma &gt; mtRNA metabolism &gt; mtRNA stability and decay</t>
  </si>
  <si>
    <t>nad_biosynthesis_and_metabolism</t>
  </si>
  <si>
    <t>NAD biosynthesis and metabolism</t>
  </si>
  <si>
    <t>Metabolism &gt; Metals and cofactors &gt; NAD biosynthesis and metabolism</t>
  </si>
  <si>
    <t>nucleotide_import</t>
  </si>
  <si>
    <t>Nucleotide import</t>
  </si>
  <si>
    <t>Metabolism &gt; Nucleotide metabolism &gt; Nucleotide import</t>
  </si>
  <si>
    <t>nucleotide_metabolism</t>
  </si>
  <si>
    <t>Nucleotide metabolism</t>
  </si>
  <si>
    <t>Metabolism &gt; Nucleotide metabolism</t>
  </si>
  <si>
    <t>nucleotide_synthesis_and_processing</t>
  </si>
  <si>
    <t>Nucleotide synthesis and processing</t>
  </si>
  <si>
    <t>Metabolism &gt; Nucleotide metabolism &gt; Nucleotide synthesis and processing</t>
  </si>
  <si>
    <t>organelle_contact_sites</t>
  </si>
  <si>
    <t>Organelle contact sites</t>
  </si>
  <si>
    <t>Mitochondrial dynamics and surveillance &gt; Organelle contact sites</t>
  </si>
  <si>
    <t>oxa</t>
  </si>
  <si>
    <t>OXA</t>
  </si>
  <si>
    <t>Protein import, sorting and homeostasis &gt; Protein import and sorting &gt; OXA</t>
  </si>
  <si>
    <t>oxphos</t>
  </si>
  <si>
    <t>OXPHOS</t>
  </si>
  <si>
    <t>oxphos_assembly_factors</t>
  </si>
  <si>
    <t>OXPHOS assembly factors</t>
  </si>
  <si>
    <t>OXPHOS &gt; OXPHOS assembly factors</t>
  </si>
  <si>
    <t>oxphos_subunits</t>
  </si>
  <si>
    <t>OXPHOS subunits</t>
  </si>
  <si>
    <t>OXPHOS &gt; OXPHOS subunits</t>
  </si>
  <si>
    <t>phospholipid_metabolism</t>
  </si>
  <si>
    <t>Phospholipid metabolism</t>
  </si>
  <si>
    <t>Metabolism &gt; Lipid metabolism &gt; Phospholipid metabolism</t>
  </si>
  <si>
    <t>polycistronic_mtrna_processing</t>
  </si>
  <si>
    <t>Polycistronic mtRNA processing</t>
  </si>
  <si>
    <t>Mitochondrial central dogma &gt; mtRNA metabolism &gt; Polycistronic mtRNA processing</t>
  </si>
  <si>
    <t>preprotein_cleavage</t>
  </si>
  <si>
    <t>Preprotein cleavage</t>
  </si>
  <si>
    <t>Protein import, sorting and homeostasis &gt; Protein import and sorting &gt; Preprotein cleavage</t>
  </si>
  <si>
    <t>proline_metabolism</t>
  </si>
  <si>
    <t>Proline metabolism</t>
  </si>
  <si>
    <t>Metabolism &gt; Amino acid metabolism &gt; Proline metabolism</t>
  </si>
  <si>
    <t>propanoate_metabolism</t>
  </si>
  <si>
    <t>Propanoate metabolism</t>
  </si>
  <si>
    <t>Metabolism &gt; Carbohydrate metabolism &gt; Propanoate metabolism</t>
  </si>
  <si>
    <t>proteases</t>
  </si>
  <si>
    <t>Proteases</t>
  </si>
  <si>
    <t>Protein import, sorting and homeostasis &gt; Protein homeostasis &gt; Proteases</t>
  </si>
  <si>
    <t>protein_homeostasis</t>
  </si>
  <si>
    <t>Protein homeostasis</t>
  </si>
  <si>
    <t>Protein import, sorting and homeostasis &gt; Protein homeostasis</t>
  </si>
  <si>
    <t>protein_import_and_sorting</t>
  </si>
  <si>
    <t>Protein import and sorting</t>
  </si>
  <si>
    <t>Protein import, sorting and homeostasis &gt; Protein import and sorting</t>
  </si>
  <si>
    <t>pyruvate_metabolism</t>
  </si>
  <si>
    <t>Pyruvate metabolism</t>
  </si>
  <si>
    <t>Metabolism &gt; Carbohydrate metabolism &gt; Pyruvate metabolism</t>
  </si>
  <si>
    <t>respirasome_assembly</t>
  </si>
  <si>
    <t>Respirasome assembly</t>
  </si>
  <si>
    <t>OXPHOS &gt; Respirasome assembly</t>
  </si>
  <si>
    <t>ros_and_glutathione_metabolism</t>
  </si>
  <si>
    <t>ROS and glutathione metabolism</t>
  </si>
  <si>
    <t>Metabolism &gt; Detoxification &gt; ROS and glutathione metabolism</t>
  </si>
  <si>
    <t>sam</t>
  </si>
  <si>
    <t>SAM</t>
  </si>
  <si>
    <t>Protein import, sorting and homeostasis &gt; Protein import and sorting &gt; SAM</t>
  </si>
  <si>
    <t>selenoproteins</t>
  </si>
  <si>
    <t>Selenoproteins</t>
  </si>
  <si>
    <t>Metabolism &gt; Detoxification &gt; Selenoproteins</t>
  </si>
  <si>
    <t>serine_metabolism</t>
  </si>
  <si>
    <t>Serine metabolism</t>
  </si>
  <si>
    <t>Metabolism &gt; Amino acid metabolism &gt; Serine metabolism</t>
  </si>
  <si>
    <t>sideroflexins</t>
  </si>
  <si>
    <t>Sideroflexins</t>
  </si>
  <si>
    <t>Small molecule transport &gt; Sideroflexins</t>
  </si>
  <si>
    <t>signaling</t>
  </si>
  <si>
    <t>Signaling</t>
  </si>
  <si>
    <t>slc25a_family</t>
  </si>
  <si>
    <t>SLC25A family</t>
  </si>
  <si>
    <t>Small molecule transport &gt; SLC25A family</t>
  </si>
  <si>
    <t>small_molecule_transport</t>
  </si>
  <si>
    <t>Small molecule transport</t>
  </si>
  <si>
    <t>sulfur_metabolism</t>
  </si>
  <si>
    <t>Sulfur metabolism</t>
  </si>
  <si>
    <t>Metabolism &gt; Sulfur metabolism</t>
  </si>
  <si>
    <t>tca_associated</t>
  </si>
  <si>
    <t>TCA-associated</t>
  </si>
  <si>
    <t>Metabolism &gt; Carbohydrate metabolism &gt; TCA-associated</t>
  </si>
  <si>
    <t>tca_cycle</t>
  </si>
  <si>
    <t>TCA cycle</t>
  </si>
  <si>
    <t>Metabolism &gt; Carbohydrate metabolism &gt; TCA cycle</t>
  </si>
  <si>
    <t>tetrahydrobiopterin_synthesis</t>
  </si>
  <si>
    <t>Tetrahydrobiopterin synthesis</t>
  </si>
  <si>
    <t>Metabolism &gt; Metals and cofactors &gt; Tetrahydrobiopterin synthesis</t>
  </si>
  <si>
    <t>tim22_carrier_pathway</t>
  </si>
  <si>
    <t>TIM22 carrier pathway</t>
  </si>
  <si>
    <t>Protein import, sorting and homeostasis &gt; Protein import and sorting &gt; TIM22 carrier pathway</t>
  </si>
  <si>
    <t>tim23_presequence_pathway</t>
  </si>
  <si>
    <t>TIM23 presequence pathway</t>
  </si>
  <si>
    <t>Protein import, sorting and homeostasis &gt; Protein import and sorting &gt; TIM23 presequence pathway</t>
  </si>
  <si>
    <t>tom</t>
  </si>
  <si>
    <t>TOM</t>
  </si>
  <si>
    <t>Protein import, sorting and homeostasis &gt; Protein import and sorting &gt; TOM</t>
  </si>
  <si>
    <t>trafficking</t>
  </si>
  <si>
    <t>Trafficking</t>
  </si>
  <si>
    <t>Mitochondrial dynamics and surveillance &gt; Trafficking</t>
  </si>
  <si>
    <t>transcription</t>
  </si>
  <si>
    <t>Transcription</t>
  </si>
  <si>
    <t>Mitochondrial central dogma &gt; mtRNA metabolism &gt; Transcription</t>
  </si>
  <si>
    <t>translation</t>
  </si>
  <si>
    <t>Translation</t>
  </si>
  <si>
    <t>Mitochondrial central dogma &gt; Translation</t>
  </si>
  <si>
    <t>translation_factors</t>
  </si>
  <si>
    <t>Translation factors</t>
  </si>
  <si>
    <t>Mitochondrial central dogma &gt; Translation &gt; Translation factors</t>
  </si>
  <si>
    <t>type_ii_fatty_acid_synthesis</t>
  </si>
  <si>
    <t>Type II fatty acid synthesis</t>
  </si>
  <si>
    <t>Metabolism &gt; Lipid metabolism &gt; Type II fatty acid synthesis</t>
  </si>
  <si>
    <t>urea_cycle</t>
  </si>
  <si>
    <t>Urea cycle</t>
  </si>
  <si>
    <t>Metabolism &gt; Amino acid metabolism &gt; Urea cycle</t>
  </si>
  <si>
    <t>vitamin_a_metabolism</t>
  </si>
  <si>
    <t>Vitamin A metabolism</t>
  </si>
  <si>
    <t>Metabolism &gt; Vitamin metabolism &gt; Vitamin A metabolism</t>
  </si>
  <si>
    <t>vitamin_b1_metabolism</t>
  </si>
  <si>
    <t>Vitamin B1 metabolism</t>
  </si>
  <si>
    <t>Metabolism &gt; Vitamin metabolism &gt; Vitamin B1 metabolism</t>
  </si>
  <si>
    <t>vitamin_b12_metabolism</t>
  </si>
  <si>
    <t>Vitamin B12 metabolism</t>
  </si>
  <si>
    <t>Metabolism &gt; Vitamin metabolism &gt; Vitamin B12 metabolism</t>
  </si>
  <si>
    <t>vitamin_b2_metabolism</t>
  </si>
  <si>
    <t>Vitamin B2 metabolism</t>
  </si>
  <si>
    <t>Metabolism &gt; Vitamin metabolism &gt; Vitamin B2 metabolism</t>
  </si>
  <si>
    <t>vitamin_b6_metabolism</t>
  </si>
  <si>
    <t>Vitamin B6 metabolism</t>
  </si>
  <si>
    <t>Metabolism &gt; Vitamin metabolism &gt; Vitamin B6 metabolism</t>
  </si>
  <si>
    <t>vitamin_c_metabolism</t>
  </si>
  <si>
    <t>Vitamin C metabolism</t>
  </si>
  <si>
    <t>Metabolism &gt; Vitamin metabolism &gt; Vitamin C metabolism</t>
  </si>
  <si>
    <t>vitamin_d_metabolism</t>
  </si>
  <si>
    <t>Vitamin D metabolism</t>
  </si>
  <si>
    <t>Metabolism &gt; Vitamin metabolism &gt; Vitamin D metabolism</t>
  </si>
  <si>
    <t>vitamin_metabolism</t>
  </si>
  <si>
    <t>Vitamin metabolism</t>
  </si>
  <si>
    <t>Metabolism &gt; Vitamin metabolism</t>
  </si>
  <si>
    <t>xenobiotic_metabolism</t>
  </si>
  <si>
    <t>Xenobiotic metabolism</t>
  </si>
  <si>
    <t>Metabolism &gt; Detoxification &gt; Xenobiotic metabolism</t>
  </si>
  <si>
    <t>arbitrary</t>
  </si>
  <si>
    <t>att_mockup</t>
  </si>
  <si>
    <t>Arbitrary</t>
  </si>
  <si>
    <t>Mock categorie that can be used</t>
  </si>
  <si>
    <t>random</t>
  </si>
  <si>
    <t>Random</t>
  </si>
  <si>
    <t>in_vitro</t>
  </si>
  <si>
    <t>In vitro</t>
  </si>
  <si>
    <t>in the glass</t>
  </si>
  <si>
    <t>in_vivo</t>
  </si>
  <si>
    <t>In vivo</t>
  </si>
  <si>
    <t>within the living</t>
  </si>
  <si>
    <t>xenografts</t>
  </si>
  <si>
    <t>Tissue or cells implanted into a model animal</t>
  </si>
  <si>
    <t>eclips</t>
  </si>
  <si>
    <t>Eclips</t>
  </si>
  <si>
    <t>exploris240</t>
  </si>
  <si>
    <t>Exploris 240</t>
  </si>
  <si>
    <t>Exploris 240 Thermo Fisher</t>
  </si>
  <si>
    <t>exploris480</t>
  </si>
  <si>
    <t xml:space="preserve">Exploris 480 </t>
  </si>
  <si>
    <t>Exploris 480 Thermo Fisher</t>
  </si>
  <si>
    <t>qex</t>
  </si>
  <si>
    <t>QExactive</t>
  </si>
  <si>
    <t>Qexactive Thermo Fisher</t>
  </si>
  <si>
    <t>qexplus</t>
  </si>
  <si>
    <t>QExactive Plus</t>
  </si>
  <si>
    <t>QEXcative Plus Thermo Fisher</t>
  </si>
  <si>
    <t>ttofhct</t>
  </si>
  <si>
    <t>timsTOF HCT</t>
  </si>
  <si>
    <t>ttofscp</t>
  </si>
  <si>
    <t>timsTOF SCP</t>
  </si>
  <si>
    <t>faims</t>
  </si>
  <si>
    <t>Faims</t>
  </si>
  <si>
    <t>FAIMS module attached to the mass spectrometer. Please specify the CV value</t>
  </si>
  <si>
    <t>None</t>
  </si>
  <si>
    <t>No special interface in front of the mass spectrometer.</t>
  </si>
  <si>
    <t>easy_spray</t>
  </si>
  <si>
    <t>EASY-Spray™ Source</t>
  </si>
  <si>
    <t>Easy Spray Source from Thermo Fisher</t>
  </si>
  <si>
    <t>flex</t>
  </si>
  <si>
    <t>Nanospray Flex™ Ion Source</t>
  </si>
  <si>
    <t>Thermo Scientific™ Nanospray Flex™ ion source. </t>
  </si>
  <si>
    <t>ion_max</t>
  </si>
  <si>
    <t>Ion Max Source</t>
  </si>
  <si>
    <t>Ion Max Source from Thermo Fisher</t>
  </si>
  <si>
    <t>e1</t>
  </si>
  <si>
    <t>Doris (E1)</t>
  </si>
  <si>
    <t>Doris</t>
  </si>
  <si>
    <t>e2</t>
  </si>
  <si>
    <t>Boris (E2)</t>
  </si>
  <si>
    <t>Boris</t>
  </si>
  <si>
    <t>expl480</t>
  </si>
  <si>
    <t>Exploris (MPI AGE)</t>
  </si>
  <si>
    <t>ignarius</t>
  </si>
  <si>
    <t>not known (yet)</t>
  </si>
  <si>
    <t>unkown instrument / not known yet</t>
  </si>
  <si>
    <t>timstof</t>
  </si>
  <si>
    <t>TimsTOF (KrisTof)</t>
  </si>
  <si>
    <t>TimsTOF</t>
  </si>
  <si>
    <t>120000res</t>
  </si>
  <si>
    <t>at 200 m/z</t>
  </si>
  <si>
    <t>15000res</t>
  </si>
  <si>
    <t>17500res</t>
  </si>
  <si>
    <t>at 400 m/z</t>
  </si>
  <si>
    <t>30000res</t>
  </si>
  <si>
    <t>35000res</t>
  </si>
  <si>
    <t>45000res</t>
  </si>
  <si>
    <t>60000res</t>
  </si>
  <si>
    <t>7500res</t>
  </si>
  <si>
    <t>ab</t>
  </si>
  <si>
    <t>AB</t>
  </si>
  <si>
    <t>Adductor brevis</t>
  </si>
  <si>
    <t>al</t>
  </si>
  <si>
    <t>AL</t>
  </si>
  <si>
    <t>Adductor longus</t>
  </si>
  <si>
    <t>am</t>
  </si>
  <si>
    <t>AM</t>
  </si>
  <si>
    <t>Adductor magnus</t>
  </si>
  <si>
    <t>an</t>
  </si>
  <si>
    <t>AN</t>
  </si>
  <si>
    <t>Anconeus</t>
  </si>
  <si>
    <t>bbl</t>
  </si>
  <si>
    <t>BBL</t>
  </si>
  <si>
    <t>Biceps brachii long head</t>
  </si>
  <si>
    <t>bbs</t>
  </si>
  <si>
    <t>BBS</t>
  </si>
  <si>
    <t>Biceps brachii short head</t>
  </si>
  <si>
    <t>bfa</t>
  </si>
  <si>
    <t>BFA</t>
  </si>
  <si>
    <t>Biceps femoris anterior</t>
  </si>
  <si>
    <t>bfp_ca</t>
  </si>
  <si>
    <t>BFP(ca)</t>
  </si>
  <si>
    <t>Biceps femoris posterior(caudal)</t>
  </si>
  <si>
    <t>bfp_cr</t>
  </si>
  <si>
    <t>BFP(cr)</t>
  </si>
  <si>
    <t>Biceps femoris posterior(cranial)</t>
  </si>
  <si>
    <t>bfp_mi</t>
  </si>
  <si>
    <t>BFP(mi)</t>
  </si>
  <si>
    <t>Biceps femoris posterior(mid)</t>
  </si>
  <si>
    <t>bra</t>
  </si>
  <si>
    <t>BRA</t>
  </si>
  <si>
    <t>Brachialis</t>
  </si>
  <si>
    <t>cf</t>
  </si>
  <si>
    <t>CF</t>
  </si>
  <si>
    <t>Caudofemoralis</t>
  </si>
  <si>
    <t>cor</t>
  </si>
  <si>
    <t>COR</t>
  </si>
  <si>
    <t>Coracobrachialis</t>
  </si>
  <si>
    <t>ecrb</t>
  </si>
  <si>
    <t>ECRB</t>
  </si>
  <si>
    <t>Extensor carpi radialis brevis</t>
  </si>
  <si>
    <t>ecrl</t>
  </si>
  <si>
    <t>ECRL</t>
  </si>
  <si>
    <t>Extensor carpi radialis longus</t>
  </si>
  <si>
    <t>ecu</t>
  </si>
  <si>
    <t>ECU</t>
  </si>
  <si>
    <t>Extensor carpi ulnaris</t>
  </si>
  <si>
    <t>edl</t>
  </si>
  <si>
    <t>EDL</t>
  </si>
  <si>
    <t>Extensor digitorum longus</t>
  </si>
  <si>
    <t>ehl</t>
  </si>
  <si>
    <t>EHL</t>
  </si>
  <si>
    <t>Extensor hallucis longus</t>
  </si>
  <si>
    <t>eip1</t>
  </si>
  <si>
    <t>EIP1</t>
  </si>
  <si>
    <t>Extensor indicis proprius 1</t>
  </si>
  <si>
    <t>eip2</t>
  </si>
  <si>
    <t>EIP2</t>
  </si>
  <si>
    <t>Extensor indicis proprius 2</t>
  </si>
  <si>
    <t>fcr</t>
  </si>
  <si>
    <t>FCR</t>
  </si>
  <si>
    <t>Flexor carpi radialis</t>
  </si>
  <si>
    <t>fcu</t>
  </si>
  <si>
    <t>FCU</t>
  </si>
  <si>
    <t>Flexor carpi ulnaris</t>
  </si>
  <si>
    <t>fdl</t>
  </si>
  <si>
    <t>FDL</t>
  </si>
  <si>
    <t>Flexor digitorum longus</t>
  </si>
  <si>
    <t>ga</t>
  </si>
  <si>
    <t>GA</t>
  </si>
  <si>
    <t>Gracilis anterior</t>
  </si>
  <si>
    <t>gem</t>
  </si>
  <si>
    <t>GEM</t>
  </si>
  <si>
    <t>Gemellus</t>
  </si>
  <si>
    <t>gm</t>
  </si>
  <si>
    <t>GM</t>
  </si>
  <si>
    <t>Gluteus maximus</t>
  </si>
  <si>
    <t>gm_dr</t>
  </si>
  <si>
    <t>GM(dr)</t>
  </si>
  <si>
    <t>Gluteus maximus(dorsal)</t>
  </si>
  <si>
    <t>gm_mi</t>
  </si>
  <si>
    <t>GM(mi)</t>
  </si>
  <si>
    <t>Gluteus maximus(mid)</t>
  </si>
  <si>
    <t>gm_ve</t>
  </si>
  <si>
    <t>GM(ve)</t>
  </si>
  <si>
    <t>Gluteus maximus(ventral)</t>
  </si>
  <si>
    <t>gp</t>
  </si>
  <si>
    <t>GP</t>
  </si>
  <si>
    <t>Gracilis posterior</t>
  </si>
  <si>
    <t>ili</t>
  </si>
  <si>
    <t>ILI</t>
  </si>
  <si>
    <t>Iliacus</t>
  </si>
  <si>
    <t>lg</t>
  </si>
  <si>
    <t>LG</t>
  </si>
  <si>
    <t>Lateral gastrocnemius</t>
  </si>
  <si>
    <t>mg</t>
  </si>
  <si>
    <t>MG</t>
  </si>
  <si>
    <t>Medial gastrocnemius</t>
  </si>
  <si>
    <t>oe</t>
  </si>
  <si>
    <t>OE</t>
  </si>
  <si>
    <t>Obturator extemus</t>
  </si>
  <si>
    <t>oi</t>
  </si>
  <si>
    <t>OI</t>
  </si>
  <si>
    <t>Obturator internus</t>
  </si>
  <si>
    <t>pb</t>
  </si>
  <si>
    <t>PB</t>
  </si>
  <si>
    <t>Peroneus brevis</t>
  </si>
  <si>
    <t>pdqa</t>
  </si>
  <si>
    <t>PDQA</t>
  </si>
  <si>
    <t>Peroneus digit! quarti</t>
  </si>
  <si>
    <t>pdqi</t>
  </si>
  <si>
    <t>PDQI</t>
  </si>
  <si>
    <t>Peroneus digiti quinti</t>
  </si>
  <si>
    <t>pect</t>
  </si>
  <si>
    <t>PECT</t>
  </si>
  <si>
    <t>Pectineus</t>
  </si>
  <si>
    <t>pl</t>
  </si>
  <si>
    <t>PL</t>
  </si>
  <si>
    <t>Peroneus longus</t>
  </si>
  <si>
    <t>plant</t>
  </si>
  <si>
    <t>PLANT</t>
  </si>
  <si>
    <t>Plantaris</t>
  </si>
  <si>
    <t>plo</t>
  </si>
  <si>
    <t>PLO</t>
  </si>
  <si>
    <t>Palmaris longus</t>
  </si>
  <si>
    <t>pma</t>
  </si>
  <si>
    <t>PMA</t>
  </si>
  <si>
    <t>Psoas major</t>
  </si>
  <si>
    <t>pmi</t>
  </si>
  <si>
    <t>PMI</t>
  </si>
  <si>
    <t>Psoas minor</t>
  </si>
  <si>
    <t>pop</t>
  </si>
  <si>
    <t>POP</t>
  </si>
  <si>
    <t>Popliteus</t>
  </si>
  <si>
    <t>pt</t>
  </si>
  <si>
    <t>PT</t>
  </si>
  <si>
    <t>Peroneus tertius</t>
  </si>
  <si>
    <t>pte</t>
  </si>
  <si>
    <t>PTE</t>
  </si>
  <si>
    <t>Pronator teres</t>
  </si>
  <si>
    <t>qf</t>
  </si>
  <si>
    <t>QF</t>
  </si>
  <si>
    <t>Quadratus femoris</t>
  </si>
  <si>
    <t>rf</t>
  </si>
  <si>
    <t>RF</t>
  </si>
  <si>
    <t>Rectus femoris</t>
  </si>
  <si>
    <t>sm</t>
  </si>
  <si>
    <t>SM</t>
  </si>
  <si>
    <t>Semimembranosus</t>
  </si>
  <si>
    <t>sol</t>
  </si>
  <si>
    <t>SOL</t>
  </si>
  <si>
    <t>Soleus</t>
  </si>
  <si>
    <t>st</t>
  </si>
  <si>
    <t>ST</t>
  </si>
  <si>
    <t>Semitendinosus</t>
  </si>
  <si>
    <t>ta</t>
  </si>
  <si>
    <t>TA</t>
  </si>
  <si>
    <t>Tibialis anterior</t>
  </si>
  <si>
    <t>tbl</t>
  </si>
  <si>
    <t>TBL</t>
  </si>
  <si>
    <t>Triceps brachii lateral head</t>
  </si>
  <si>
    <t>tbm</t>
  </si>
  <si>
    <t>TBM</t>
  </si>
  <si>
    <t>Triceps brachii medial head</t>
  </si>
  <si>
    <t>tbo</t>
  </si>
  <si>
    <t>TBO</t>
  </si>
  <si>
    <t>Triceps brachii long head*</t>
  </si>
  <si>
    <t>tp</t>
  </si>
  <si>
    <t>TP</t>
  </si>
  <si>
    <t>Tibialis posterior</t>
  </si>
  <si>
    <t>vi</t>
  </si>
  <si>
    <t>VI</t>
  </si>
  <si>
    <t>Vastus intermedius</t>
  </si>
  <si>
    <t>vl</t>
  </si>
  <si>
    <t>VL</t>
  </si>
  <si>
    <t>Vastus lateralis</t>
  </si>
  <si>
    <t>vm</t>
  </si>
  <si>
    <t>VM</t>
  </si>
  <si>
    <t>Vastus medialis</t>
  </si>
  <si>
    <t>zirconium</t>
  </si>
  <si>
    <t>Zirconium - PAL</t>
  </si>
  <si>
    <t>Zirconium HPLC Pumps coupled to a PAL autosampler for offline high-pH fractionation.</t>
  </si>
  <si>
    <t>bgpage</t>
  </si>
  <si>
    <t>BN-PAGE</t>
  </si>
  <si>
    <t xml:space="preserve">Blue Native PAGE </t>
  </si>
  <si>
    <t>highph_hplc</t>
  </si>
  <si>
    <t>High-pH HPLC</t>
  </si>
  <si>
    <t>High-pH HPLC peptide based fractionation</t>
  </si>
  <si>
    <t>highph_tip</t>
  </si>
  <si>
    <t>High-pH Tips</t>
  </si>
  <si>
    <t>High-pH StageTip peptide based fractionation</t>
  </si>
  <si>
    <t>sax</t>
  </si>
  <si>
    <t>Strong Anion Exchange</t>
  </si>
  <si>
    <t>SAX peptide based fractionation</t>
  </si>
  <si>
    <t>scx</t>
  </si>
  <si>
    <t>Strong Cation Exchange</t>
  </si>
  <si>
    <t>SCX peptide based fractionation</t>
  </si>
  <si>
    <t>sdspage</t>
  </si>
  <si>
    <t>SDS-PAGE</t>
  </si>
  <si>
    <t>SDS Page Acrylamide Gel</t>
  </si>
  <si>
    <t>proteomics</t>
  </si>
  <si>
    <t>Proteomics</t>
  </si>
  <si>
    <t>Proteomics experiment.</t>
  </si>
  <si>
    <t>appendix</t>
  </si>
  <si>
    <t>Appendix</t>
  </si>
  <si>
    <t>arteries</t>
  </si>
  <si>
    <t>Arteries</t>
  </si>
  <si>
    <t>bladder</t>
  </si>
  <si>
    <t>Bladder</t>
  </si>
  <si>
    <t>bone_marrow</t>
  </si>
  <si>
    <t>Bone_Marrow</t>
  </si>
  <si>
    <t>brain</t>
  </si>
  <si>
    <t>Brain</t>
  </si>
  <si>
    <t>bronchi</t>
  </si>
  <si>
    <t>Bronchi</t>
  </si>
  <si>
    <t>cecum</t>
  </si>
  <si>
    <t>Cecum</t>
  </si>
  <si>
    <t>cerebellum</t>
  </si>
  <si>
    <t>Cerebellum</t>
  </si>
  <si>
    <t>cerebrum</t>
  </si>
  <si>
    <t>Cerebrum</t>
  </si>
  <si>
    <t>ear</t>
  </si>
  <si>
    <t>Ear</t>
  </si>
  <si>
    <t>esophagus</t>
  </si>
  <si>
    <t>Esophagus</t>
  </si>
  <si>
    <t>eye</t>
  </si>
  <si>
    <t>Eye</t>
  </si>
  <si>
    <t>gallbladder</t>
  </si>
  <si>
    <t>Gallbladder</t>
  </si>
  <si>
    <t>ganglia</t>
  </si>
  <si>
    <t>Ganglia</t>
  </si>
  <si>
    <t>heart</t>
  </si>
  <si>
    <t>Heart</t>
  </si>
  <si>
    <t>hypothalamus</t>
  </si>
  <si>
    <t>Hypothalamus</t>
  </si>
  <si>
    <t>kidney</t>
  </si>
  <si>
    <t>Kidney</t>
  </si>
  <si>
    <t>large_intestine</t>
  </si>
  <si>
    <t>largeintestine</t>
  </si>
  <si>
    <t>Large Intestine</t>
  </si>
  <si>
    <t>Large Intestine / Colon; between the Anus and small Intestine</t>
  </si>
  <si>
    <t>liver</t>
  </si>
  <si>
    <t>Liver</t>
  </si>
  <si>
    <t>lung</t>
  </si>
  <si>
    <t>Lung</t>
  </si>
  <si>
    <t>lymph_node</t>
  </si>
  <si>
    <t>Lymph Node</t>
  </si>
  <si>
    <t>medulla</t>
  </si>
  <si>
    <t>Medulla</t>
  </si>
  <si>
    <t>mesentery</t>
  </si>
  <si>
    <t>Mesentery</t>
  </si>
  <si>
    <t>midbrain</t>
  </si>
  <si>
    <t>Midbrain</t>
  </si>
  <si>
    <t>ovaries</t>
  </si>
  <si>
    <t>Ovaries</t>
  </si>
  <si>
    <t>pancreas</t>
  </si>
  <si>
    <t>Pancreas</t>
  </si>
  <si>
    <t>pons</t>
  </si>
  <si>
    <t>Pons</t>
  </si>
  <si>
    <t>prostate</t>
  </si>
  <si>
    <t>Prostate</t>
  </si>
  <si>
    <t>rectum</t>
  </si>
  <si>
    <t>Rectum</t>
  </si>
  <si>
    <t>small_intestine</t>
  </si>
  <si>
    <t>smallintestine</t>
  </si>
  <si>
    <t>Small Intestine</t>
  </si>
  <si>
    <t>Small Intestine; Between the Stomach and the Colon</t>
  </si>
  <si>
    <t>spinal_cord</t>
  </si>
  <si>
    <t>Spinal Cord</t>
  </si>
  <si>
    <t>Spinal_Cord</t>
  </si>
  <si>
    <t>spleen</t>
  </si>
  <si>
    <t>Spleen</t>
  </si>
  <si>
    <t>stomach</t>
  </si>
  <si>
    <t>Stomach</t>
  </si>
  <si>
    <t>testicles</t>
  </si>
  <si>
    <t>Testicles</t>
  </si>
  <si>
    <t>thalamus</t>
  </si>
  <si>
    <t>Thalamus</t>
  </si>
  <si>
    <t>thymus</t>
  </si>
  <si>
    <t>Thymus</t>
  </si>
  <si>
    <t>tongue</t>
  </si>
  <si>
    <t>Tongue</t>
  </si>
  <si>
    <t>tonsils</t>
  </si>
  <si>
    <t>Tonsils</t>
  </si>
  <si>
    <t>uterus</t>
  </si>
  <si>
    <t>Uterus</t>
  </si>
  <si>
    <t>veins</t>
  </si>
  <si>
    <t>Veins</t>
  </si>
  <si>
    <t>UP000000589</t>
  </si>
  <si>
    <t>mouse</t>
  </si>
  <si>
    <t>Mus musculus</t>
  </si>
  <si>
    <t>Mouse (Mus Musculus) reference proteome (UP000000589)</t>
  </si>
  <si>
    <t>UP000001940</t>
  </si>
  <si>
    <t>elegeans</t>
  </si>
  <si>
    <t>Caenorhabditis elegans</t>
  </si>
  <si>
    <t>C. Elegans reference proteome (UP000001940)</t>
  </si>
  <si>
    <t>UP000002311</t>
  </si>
  <si>
    <t>yeast</t>
  </si>
  <si>
    <t>Saccharomyces cerevisiae</t>
  </si>
  <si>
    <t>Baker's yeast (Saccharomyces cerevisiae) reference proteome (UP000002311)</t>
  </si>
  <si>
    <t>UP000002494</t>
  </si>
  <si>
    <t>rat</t>
  </si>
  <si>
    <t>Rattus norvegicus</t>
  </si>
  <si>
    <t>Rat (Rattus norvegus) reference proteome (UP000002494)</t>
  </si>
  <si>
    <t>UP000005640</t>
  </si>
  <si>
    <t>human</t>
  </si>
  <si>
    <t>Homo sapiens</t>
  </si>
  <si>
    <t>Human (Homo sapiens) reference proteome (UP000005640)</t>
  </si>
  <si>
    <t>cardiovascular</t>
  </si>
  <si>
    <t>att_organsystem</t>
  </si>
  <si>
    <t>Cardiovascular</t>
  </si>
  <si>
    <t>Cardiovascular System</t>
  </si>
  <si>
    <t>digestive</t>
  </si>
  <si>
    <t>Digestive</t>
  </si>
  <si>
    <t>Digestive System</t>
  </si>
  <si>
    <t>endocrine</t>
  </si>
  <si>
    <t>Endocrine</t>
  </si>
  <si>
    <t>Endocrine System</t>
  </si>
  <si>
    <t>excretory</t>
  </si>
  <si>
    <t>Excretory</t>
  </si>
  <si>
    <t>Excretory System</t>
  </si>
  <si>
    <t>integumentary</t>
  </si>
  <si>
    <t>Integumentary</t>
  </si>
  <si>
    <t>Integumentary System</t>
  </si>
  <si>
    <t>lymphatic</t>
  </si>
  <si>
    <t>Lymphatic</t>
  </si>
  <si>
    <t>Lymphatic System</t>
  </si>
  <si>
    <t>muscular</t>
  </si>
  <si>
    <t>Muscular</t>
  </si>
  <si>
    <t>Muscular System</t>
  </si>
  <si>
    <t>nervous_system</t>
  </si>
  <si>
    <t>Nervous</t>
  </si>
  <si>
    <t>Nervous System</t>
  </si>
  <si>
    <t>reproductive</t>
  </si>
  <si>
    <t>Reproductive</t>
  </si>
  <si>
    <t>Reproductive System</t>
  </si>
  <si>
    <t>respiratory</t>
  </si>
  <si>
    <t>Respiratory</t>
  </si>
  <si>
    <t>Respiratory System</t>
  </si>
  <si>
    <t>skeletal</t>
  </si>
  <si>
    <t>Skeletal</t>
  </si>
  <si>
    <t>Skeletal System</t>
  </si>
  <si>
    <t>urinary</t>
  </si>
  <si>
    <t>Urinary</t>
  </si>
  <si>
    <t>Urinary system</t>
  </si>
  <si>
    <t>intervalcardio</t>
  </si>
  <si>
    <t>Interval Cardio</t>
  </si>
  <si>
    <t xml:space="preserve">Form of cardiovascular exercise that alternates between short bursts of intense activity and periods of rest or lower-intensity exercise. </t>
  </si>
  <si>
    <t>steadycardio</t>
  </si>
  <si>
    <t>Involves maintaining a constant, moderate intensity for an extended period, such as jogging or cycling at a steady pace.</t>
  </si>
  <si>
    <t>strength</t>
  </si>
  <si>
    <t>Strength Training</t>
  </si>
  <si>
    <t>Strength training using weights.</t>
  </si>
  <si>
    <t>argc</t>
  </si>
  <si>
    <t>ArgC</t>
  </si>
  <si>
    <t>ArgC - Cleaves C-term of arginine (R) residues</t>
  </si>
  <si>
    <t>aspn</t>
  </si>
  <si>
    <t>AspN</t>
  </si>
  <si>
    <t>AspN N-terminal of Asp, optimal pH = 4-9</t>
  </si>
  <si>
    <t>chymotrypsin</t>
  </si>
  <si>
    <t>Chymotrypsin</t>
  </si>
  <si>
    <t>Chymotrypsin, cleaves C-terminal of Tyr, Phe, Trp</t>
  </si>
  <si>
    <t>elastase</t>
  </si>
  <si>
    <t>Elastase</t>
  </si>
  <si>
    <t>Elastase, C-terminal of Ala, Val, Ser, Gly, Leu and ile, optimal pH = 9.0</t>
  </si>
  <si>
    <t>gluc</t>
  </si>
  <si>
    <t>GluC</t>
  </si>
  <si>
    <t>GlucC - Cleaves C-term of glutamine € residues</t>
  </si>
  <si>
    <t>lysc</t>
  </si>
  <si>
    <t>LysC</t>
  </si>
  <si>
    <t>LysC (Wako) - Cleaves C-term of lysine</t>
  </si>
  <si>
    <t>raspn</t>
  </si>
  <si>
    <t>rAsp-N</t>
  </si>
  <si>
    <t>rAsp-N, N-terminal of Asp, optimal pH = 6 - 9</t>
  </si>
  <si>
    <t>trypsin</t>
  </si>
  <si>
    <t>Trypsin</t>
  </si>
  <si>
    <t>Trypsin (Sigma) - Cleave C-term of arginine (R) and lysine (K)</t>
  </si>
  <si>
    <t>Amino acid deletion</t>
  </si>
  <si>
    <t>Deletion of a single amino acid</t>
  </si>
  <si>
    <t>flag</t>
  </si>
  <si>
    <t>Flag tag</t>
  </si>
  <si>
    <t xml:space="preserve">Flag (DYKDDDDK) tagged protein </t>
  </si>
  <si>
    <t>frameshift</t>
  </si>
  <si>
    <t>Frameshift</t>
  </si>
  <si>
    <t>Frameshift mediated by a double strand break</t>
  </si>
  <si>
    <t>gfp</t>
  </si>
  <si>
    <t>GFP tag</t>
  </si>
  <si>
    <t xml:space="preserve">GFP tagged protein </t>
  </si>
  <si>
    <t>ha</t>
  </si>
  <si>
    <t>HA tag</t>
  </si>
  <si>
    <t xml:space="preserve">HA (YPYDVPDYA) tagged protein </t>
  </si>
  <si>
    <t>his</t>
  </si>
  <si>
    <t>HIS tag</t>
  </si>
  <si>
    <t xml:space="preserve">NxHIS tagged protein </t>
  </si>
  <si>
    <t>insertion</t>
  </si>
  <si>
    <t>Amino acid insertion</t>
  </si>
  <si>
    <t>Amino acid insertion.</t>
  </si>
  <si>
    <t>myc</t>
  </si>
  <si>
    <t>Myc tag</t>
  </si>
  <si>
    <t xml:space="preserve">Myc (EQKLISEEDL) tagged protein </t>
  </si>
  <si>
    <t>pep86</t>
  </si>
  <si>
    <t>Pep86 to forms with 11S an active luciferase</t>
  </si>
  <si>
    <t>substitution</t>
  </si>
  <si>
    <t>Amino acid substitution</t>
  </si>
  <si>
    <t>Amino acid exchange on a single amino acid position.</t>
  </si>
  <si>
    <t>truncation</t>
  </si>
  <si>
    <t>Truncation</t>
  </si>
  <si>
    <t>Deletion of a region in the amino acid sequence.</t>
  </si>
  <si>
    <t>aa</t>
  </si>
  <si>
    <t>AA position</t>
  </si>
  <si>
    <t>Specific amino acid position</t>
  </si>
  <si>
    <t>cterm</t>
  </si>
  <si>
    <t>C-term</t>
  </si>
  <si>
    <t>C-terminus of the protein</t>
  </si>
  <si>
    <t>nterm</t>
  </si>
  <si>
    <t>N-term</t>
  </si>
  <si>
    <t>N-terminus of the protein</t>
  </si>
  <si>
    <t>region</t>
  </si>
  <si>
    <t>Region</t>
  </si>
  <si>
    <t>Protein region defined by a start and stop amino acid. Use this for truncation or gRNA target sequences.</t>
  </si>
  <si>
    <t>directlfq</t>
  </si>
  <si>
    <t>direct LFQ</t>
  </si>
  <si>
    <t>maxlfq</t>
  </si>
  <si>
    <t>Max LFQ</t>
  </si>
  <si>
    <t>speccount</t>
  </si>
  <si>
    <t>Spectral Counting</t>
  </si>
  <si>
    <t>isobaric</t>
  </si>
  <si>
    <t>isobaric (TMT)</t>
  </si>
  <si>
    <t>istopic</t>
  </si>
  <si>
    <t>istopic (PlexDIA)</t>
  </si>
  <si>
    <t>label_free</t>
  </si>
  <si>
    <t>Label free</t>
  </si>
  <si>
    <t>Label-free quantification</t>
  </si>
  <si>
    <t>silac</t>
  </si>
  <si>
    <t>Stable isotope labeling by/with amino acids in cell culture (SILAC)</t>
  </si>
  <si>
    <t>dtt</t>
  </si>
  <si>
    <t>DTT</t>
  </si>
  <si>
    <t>Dithiothreitol, at a final above 0.1 M concentration, DTT is also widely used for disruption of protein disulfide bonds prior to protein digestion.</t>
  </si>
  <si>
    <t>Proteins were not reduced - intact S-S bridges</t>
  </si>
  <si>
    <t>tcep</t>
  </si>
  <si>
    <t>TCEP</t>
  </si>
  <si>
    <t>TCEP (tris(2-carboxyethyl)phosphine) is a reducing agent frequently used in biochemistry and molecular biology applications. It is often prepared and used as a hydrochloride salt (TCEP-HCl) with a molecular weight of 286.65 gram/mol.</t>
  </si>
  <si>
    <t>att_signalling</t>
  </si>
  <si>
    <t>Apoptosis or programmed cell death Signallilng</t>
  </si>
  <si>
    <t>autocrine</t>
  </si>
  <si>
    <t>Autocrine</t>
  </si>
  <si>
    <t>Signaling in which a cell secretes a hormone or a chemical substance that binds to the receptors</t>
  </si>
  <si>
    <t>complement</t>
  </si>
  <si>
    <t>Complement</t>
  </si>
  <si>
    <t>Complement system</t>
  </si>
  <si>
    <t>cytokines</t>
  </si>
  <si>
    <t>Cytokines</t>
  </si>
  <si>
    <t>Small proteins that are crucial in controlling the growth and activity of immune system cells</t>
  </si>
  <si>
    <t>inflammation</t>
  </si>
  <si>
    <t>Inflammation</t>
  </si>
  <si>
    <t>Biological response of body tissues to harmful stimuli,</t>
  </si>
  <si>
    <t>insulin</t>
  </si>
  <si>
    <t>Insulin</t>
  </si>
  <si>
    <t>Insulin Signaling</t>
  </si>
  <si>
    <t>juxtacrine</t>
  </si>
  <si>
    <t>Juxtacrine</t>
  </si>
  <si>
    <t>Contact-dependent signalling</t>
  </si>
  <si>
    <t>necrosis</t>
  </si>
  <si>
    <t>Necrosis</t>
  </si>
  <si>
    <t>Uncontrolled cell death.</t>
  </si>
  <si>
    <t>paracrine</t>
  </si>
  <si>
    <t>Paracrine</t>
  </si>
  <si>
    <t>Cell-to-Cell Communication</t>
  </si>
  <si>
    <t>General Protein, Gen or Cell Signaling</t>
  </si>
  <si>
    <t>diann</t>
  </si>
  <si>
    <t>DIA-NN</t>
  </si>
  <si>
    <t>universal automated software suite for DIA proteomics data analysis</t>
  </si>
  <si>
    <t>maxquant</t>
  </si>
  <si>
    <t>MaxQuant</t>
  </si>
  <si>
    <t>MPI’s MaxQuant quantitiative proteomics software package</t>
  </si>
  <si>
    <t>metamorpheus</t>
  </si>
  <si>
    <t>MetaMorpheus</t>
  </si>
  <si>
    <t>Open-Source PTM Disocvery; smith-chem-wisc</t>
  </si>
  <si>
    <t>minora</t>
  </si>
  <si>
    <t>Minora</t>
  </si>
  <si>
    <t>Proteome Discoverer, Minora; Thermo Fisher</t>
  </si>
  <si>
    <t>msfragger</t>
  </si>
  <si>
    <t>MSFragger</t>
  </si>
  <si>
    <t>Nesvilab’s MSFragger</t>
  </si>
  <si>
    <t>msgf</t>
  </si>
  <si>
    <t>MS-GF+</t>
  </si>
  <si>
    <t xml:space="preserve">MS-GF+ (aka MSGF+ or MSGFPlus) </t>
  </si>
  <si>
    <t>spectronaut</t>
  </si>
  <si>
    <t>Spectronaut</t>
  </si>
  <si>
    <t>BioGnoSys’s Spectronaut; DIA proteomics analysis</t>
  </si>
  <si>
    <t>adipose</t>
  </si>
  <si>
    <t>Adipose</t>
  </si>
  <si>
    <t>Adipose connective tissue</t>
  </si>
  <si>
    <t>areolar</t>
  </si>
  <si>
    <t>Areolar</t>
  </si>
  <si>
    <t>Areolar connective tissue</t>
  </si>
  <si>
    <t>blood</t>
  </si>
  <si>
    <t>Blood</t>
  </si>
  <si>
    <t>connective</t>
  </si>
  <si>
    <t>Connective</t>
  </si>
  <si>
    <t>Connective tissue</t>
  </si>
  <si>
    <t>dermis</t>
  </si>
  <si>
    <t>Dermis</t>
  </si>
  <si>
    <t>epidermis</t>
  </si>
  <si>
    <t>Epidermis</t>
  </si>
  <si>
    <t>epithelial</t>
  </si>
  <si>
    <t>Epithelial</t>
  </si>
  <si>
    <t>Epithelial tissue</t>
  </si>
  <si>
    <t>hypodermis</t>
  </si>
  <si>
    <t>Hypodermis</t>
  </si>
  <si>
    <t>muscle</t>
  </si>
  <si>
    <t>Muscle tissue</t>
  </si>
  <si>
    <t>nervous</t>
  </si>
  <si>
    <t>Nervous tissue</t>
  </si>
  <si>
    <t>reticular</t>
  </si>
  <si>
    <t>Reticular</t>
  </si>
  <si>
    <t>Reticular connective tissue</t>
  </si>
  <si>
    <t>stromal</t>
  </si>
  <si>
    <t>Stromal</t>
  </si>
  <si>
    <t>Stroma tissue</t>
  </si>
  <si>
    <t>tmt10_126</t>
  </si>
  <si>
    <t>tmt10_127C</t>
  </si>
  <si>
    <t>127C</t>
  </si>
  <si>
    <t>tmt10_127N</t>
  </si>
  <si>
    <t>127N</t>
  </si>
  <si>
    <t>tmt10_128C</t>
  </si>
  <si>
    <t>128C</t>
  </si>
  <si>
    <t>tmt10_128N</t>
  </si>
  <si>
    <t>128N</t>
  </si>
  <si>
    <t>tmt10_129C</t>
  </si>
  <si>
    <t>129C</t>
  </si>
  <si>
    <t>tmt10_129N</t>
  </si>
  <si>
    <t>129N</t>
  </si>
  <si>
    <t>tmt10_130C</t>
  </si>
  <si>
    <t>130C</t>
  </si>
  <si>
    <t>tmt10_130N</t>
  </si>
  <si>
    <t>130N</t>
  </si>
  <si>
    <t>tmt10_131</t>
  </si>
  <si>
    <t>tmt11_126</t>
  </si>
  <si>
    <t>tmt11_127C</t>
  </si>
  <si>
    <t>tmt11_127N</t>
  </si>
  <si>
    <t>tmt11_128C</t>
  </si>
  <si>
    <t>tmt11_128N</t>
  </si>
  <si>
    <t>tmt11_129C</t>
  </si>
  <si>
    <t>tmt11_129N</t>
  </si>
  <si>
    <t>tmt11_130C</t>
  </si>
  <si>
    <t>tmt11_130N</t>
  </si>
  <si>
    <t>tmt11_131C</t>
  </si>
  <si>
    <t>131C</t>
  </si>
  <si>
    <t>tmt11_131N</t>
  </si>
  <si>
    <t>131N</t>
  </si>
  <si>
    <t>tmt18_126</t>
  </si>
  <si>
    <t>tmt18_127C</t>
  </si>
  <si>
    <t>tmt18_127N</t>
  </si>
  <si>
    <t>tmt18_128C</t>
  </si>
  <si>
    <t>tmt18_128N</t>
  </si>
  <si>
    <t>tmt18_129C</t>
  </si>
  <si>
    <t>tmt18_129N</t>
  </si>
  <si>
    <t>tmt18_130C</t>
  </si>
  <si>
    <t>tmt18_130N</t>
  </si>
  <si>
    <t>tmt18_131C</t>
  </si>
  <si>
    <t>tmt18_131N</t>
  </si>
  <si>
    <t>tmt18_132C</t>
  </si>
  <si>
    <t>132C</t>
  </si>
  <si>
    <t>tmt18_132N</t>
  </si>
  <si>
    <t>132N</t>
  </si>
  <si>
    <t>tmt18_133C</t>
  </si>
  <si>
    <t>133C</t>
  </si>
  <si>
    <t>tmt18_133N</t>
  </si>
  <si>
    <t>133N</t>
  </si>
  <si>
    <t>tmt18_134C</t>
  </si>
  <si>
    <t>134C</t>
  </si>
  <si>
    <t>tmt18_134N</t>
  </si>
  <si>
    <t>134N</t>
  </si>
  <si>
    <t>tmt18_135N</t>
  </si>
  <si>
    <t>135N</t>
  </si>
  <si>
    <t>tmt6_126</t>
  </si>
  <si>
    <t>tmt6_127</t>
  </si>
  <si>
    <t>tmt6_128</t>
  </si>
  <si>
    <t>tmt6_129</t>
  </si>
  <si>
    <t>tmt6_130</t>
  </si>
  <si>
    <t>tmt6_131</t>
  </si>
  <si>
    <t>biochem</t>
  </si>
  <si>
    <t>Institute of Biochemistry</t>
  </si>
  <si>
    <t>University of Cologne, Zülpicher Str. 47, 50931 Cologne</t>
  </si>
  <si>
    <t>cecad</t>
  </si>
  <si>
    <t>CECAD Institute</t>
  </si>
  <si>
    <t>Joseph-Stelzmann-Strasse 26, 50931 Cologne</t>
  </si>
  <si>
    <t>mpiage</t>
  </si>
  <si>
    <t>Max Planck Institute for Biology of Ageing</t>
  </si>
  <si>
    <t>Joseph-Stelzmann-Strasse 9b, 50931 Cologne</t>
  </si>
  <si>
    <t>mpimetab</t>
  </si>
  <si>
    <t>Max Planck Institute for Metabolism</t>
  </si>
  <si>
    <t>Gleueler Str. 50, 50931 Cologne</t>
  </si>
  <si>
    <t>mitoprotea</t>
  </si>
  <si>
    <t>Department of Mitochondrial Proteostasis</t>
  </si>
  <si>
    <t>Department Langer</t>
  </si>
  <si>
    <t>molageing</t>
  </si>
  <si>
    <t>Molecular Genetics of Ageing</t>
  </si>
  <si>
    <t>Department Antebi</t>
  </si>
  <si>
    <t>mandatory</t>
  </si>
  <si>
    <t>comment</t>
  </si>
  <si>
    <t>keywords</t>
  </si>
  <si>
    <t>words</t>
  </si>
  <si>
    <t>Freq</t>
  </si>
  <si>
    <t>group_word</t>
  </si>
  <si>
    <t>group</t>
  </si>
  <si>
    <t>group_full</t>
  </si>
  <si>
    <t>attribute</t>
  </si>
  <si>
    <t>attribute_full</t>
  </si>
  <si>
    <t>include</t>
  </si>
  <si>
    <t>details</t>
  </si>
  <si>
    <t>source_keyword</t>
  </si>
  <si>
    <t>SQL_insert_group</t>
  </si>
  <si>
    <t>sql_insert_attribute</t>
  </si>
  <si>
    <t>acquisition</t>
  </si>
  <si>
    <t>adipoqcre</t>
  </si>
  <si>
    <t>Animal Model</t>
  </si>
  <si>
    <t>animal_model</t>
  </si>
  <si>
    <t>albcre</t>
  </si>
  <si>
    <t>ascko</t>
  </si>
  <si>
    <t>baf53bcre</t>
  </si>
  <si>
    <t>c57bl6j</t>
  </si>
  <si>
    <t>clec4fcre</t>
  </si>
  <si>
    <t>cx3cr1cre</t>
  </si>
  <si>
    <t>glastcre</t>
  </si>
  <si>
    <t>lratcre</t>
  </si>
  <si>
    <t>lysmcre</t>
  </si>
  <si>
    <t>ms4a3cre</t>
  </si>
  <si>
    <t>nlrp3cre</t>
  </si>
  <si>
    <t>nlrp3flox</t>
  </si>
  <si>
    <t>nlrp3ko</t>
  </si>
  <si>
    <t>r26ert2cre</t>
  </si>
  <si>
    <t>r26metrs</t>
  </si>
  <si>
    <t>r26nlrp</t>
  </si>
  <si>
    <t>ribotag</t>
  </si>
  <si>
    <t>sox10cre</t>
  </si>
  <si>
    <t>ucp1cre</t>
  </si>
  <si>
    <t>vilcre</t>
  </si>
  <si>
    <t>Celllines</t>
  </si>
  <si>
    <t>celllines</t>
  </si>
  <si>
    <t>NCI-60</t>
  </si>
  <si>
    <t>common cell line</t>
  </si>
  <si>
    <t>Cells</t>
  </si>
  <si>
    <t>cells</t>
  </si>
  <si>
    <t>Compound</t>
  </si>
  <si>
    <t>compound</t>
  </si>
  <si>
    <t>cgas</t>
  </si>
  <si>
    <t>cGAS</t>
  </si>
  <si>
    <t>diabzi</t>
  </si>
  <si>
    <t>diABZI</t>
  </si>
  <si>
    <t>Dimethyl Sulfoxide</t>
  </si>
  <si>
    <t>lactimidomycin</t>
  </si>
  <si>
    <t>Lactimidomycin</t>
  </si>
  <si>
    <t>lps</t>
  </si>
  <si>
    <t>LPS</t>
  </si>
  <si>
    <t>Lipopolysaccharide</t>
  </si>
  <si>
    <t>niap</t>
  </si>
  <si>
    <t>nIAP</t>
  </si>
  <si>
    <t>pam</t>
  </si>
  <si>
    <t>PAM</t>
  </si>
  <si>
    <t>Polyacrylamide</t>
  </si>
  <si>
    <t>r837</t>
  </si>
  <si>
    <t>R837</t>
  </si>
  <si>
    <t>Imiquimod; stimulates the innate immune system by activating toll-like receptor 7 (TLR7)</t>
  </si>
  <si>
    <t>r848</t>
  </si>
  <si>
    <t>R848</t>
  </si>
  <si>
    <t>Resiquimod; Imidazoquinolinamine and Toll-like receptor (TLR) agonist</t>
  </si>
  <si>
    <t>Context</t>
  </si>
  <si>
    <t>context</t>
  </si>
  <si>
    <t>Spectral Interpretation</t>
  </si>
  <si>
    <t>dataset</t>
  </si>
  <si>
    <t>disease</t>
  </si>
  <si>
    <t>experiment</t>
  </si>
  <si>
    <t>neoenrichment</t>
  </si>
  <si>
    <t>other_ptm</t>
  </si>
  <si>
    <t>other PTMs</t>
  </si>
  <si>
    <t>pulsesilac</t>
  </si>
  <si>
    <t>Fluid</t>
  </si>
  <si>
    <t>fluid</t>
  </si>
  <si>
    <t>fraction</t>
  </si>
  <si>
    <t>01k Spatial Fraction</t>
  </si>
  <si>
    <t>05k Spatial Fraction</t>
  </si>
  <si>
    <t>12k Spatial Fraction</t>
  </si>
  <si>
    <t>24k Spatial Fraction</t>
  </si>
  <si>
    <t>79k Spatial Fraction</t>
  </si>
  <si>
    <t>crude mito</t>
  </si>
  <si>
    <t>fractionation hplc high ph</t>
  </si>
  <si>
    <t>offline_fractionation</t>
  </si>
  <si>
    <t>MS Instrument</t>
  </si>
  <si>
    <t>instrument</t>
  </si>
  <si>
    <t>T</t>
  </si>
  <si>
    <t>t</t>
  </si>
  <si>
    <t>casp1_dko</t>
  </si>
  <si>
    <t>Casp1 dKO</t>
  </si>
  <si>
    <t>Gene Knockout</t>
  </si>
  <si>
    <t>knockout</t>
  </si>
  <si>
    <t>Casp1 −/−</t>
  </si>
  <si>
    <t>casp11_dko</t>
  </si>
  <si>
    <t>Casp11 dKO</t>
  </si>
  <si>
    <t>Casp11 −/−</t>
  </si>
  <si>
    <t>gsdmd_dko</t>
  </si>
  <si>
    <t>Gsdmd dKO</t>
  </si>
  <si>
    <t>Gsdmd −/−</t>
  </si>
  <si>
    <t>il18rdko</t>
  </si>
  <si>
    <t>Il18r dKO</t>
  </si>
  <si>
    <t>il18r_dko</t>
  </si>
  <si>
    <t>Il18r −/−</t>
  </si>
  <si>
    <t>il1rdko</t>
  </si>
  <si>
    <t>Il1r dKO</t>
  </si>
  <si>
    <t>il1r_dko</t>
  </si>
  <si>
    <t>Il1r −/−</t>
  </si>
  <si>
    <t>tlr4_dko</t>
  </si>
  <si>
    <t>Tlr4 dKO</t>
  </si>
  <si>
    <t>Tlr4 −/−</t>
  </si>
  <si>
    <t>lc_system</t>
  </si>
  <si>
    <t>Mockup</t>
  </si>
  <si>
    <t>mockup</t>
  </si>
  <si>
    <t>invitro</t>
  </si>
  <si>
    <t>model</t>
  </si>
  <si>
    <t>invivo</t>
  </si>
  <si>
    <t>column aurora</t>
  </si>
  <si>
    <t>column_type</t>
  </si>
  <si>
    <t>in-house packed column</t>
  </si>
  <si>
    <t>Easy spray</t>
  </si>
  <si>
    <t>uPac neo</t>
  </si>
  <si>
    <t>pepmap</t>
  </si>
  <si>
    <t>aurora_15cm</t>
  </si>
  <si>
    <t>Auroa 15 cm</t>
  </si>
  <si>
    <t>LC Column Configuration</t>
  </si>
  <si>
    <t>mslc_column_configuration</t>
  </si>
  <si>
    <t>Auroa 15 cm MS Column</t>
  </si>
  <si>
    <t>aurora_25cm</t>
  </si>
  <si>
    <t>Auroa 25 cm</t>
  </si>
  <si>
    <t>25cm</t>
  </si>
  <si>
    <t>Auroa 25 cm MS Column</t>
  </si>
  <si>
    <t>aurora_30cm</t>
  </si>
  <si>
    <t>Auroa 30 cm</t>
  </si>
  <si>
    <t>Auroa 30 cm MS Column</t>
  </si>
  <si>
    <t>aurora_50cm</t>
  </si>
  <si>
    <t>Auroa 50 cm</t>
  </si>
  <si>
    <t>Auroa 50 cm MS Column</t>
  </si>
  <si>
    <t>column_inhouse</t>
  </si>
  <si>
    <t>In-house</t>
  </si>
  <si>
    <t>In-House Column</t>
  </si>
  <si>
    <t>trap</t>
  </si>
  <si>
    <t>Trap</t>
  </si>
  <si>
    <t>MS-Setting: Trap</t>
  </si>
  <si>
    <t>ms_interface</t>
  </si>
  <si>
    <t>ion source</t>
  </si>
  <si>
    <t>ms_ionsource</t>
  </si>
  <si>
    <t>organ</t>
  </si>
  <si>
    <t>bacteria</t>
  </si>
  <si>
    <t>Bacteria</t>
  </si>
  <si>
    <t>organism</t>
  </si>
  <si>
    <t>elegans</t>
  </si>
  <si>
    <t>gut</t>
  </si>
  <si>
    <t>Gut Microbiom</t>
  </si>
  <si>
    <t>Gut Microbiomm (Specify in Additional Info)</t>
  </si>
  <si>
    <t>Homo sapiens (Human)</t>
  </si>
  <si>
    <t>Mus musculus (Mouse)</t>
  </si>
  <si>
    <t>Rattus norvegicus (Rat)</t>
  </si>
  <si>
    <t>Saccharomyces cerevisiae (Baker's Yeast)</t>
  </si>
  <si>
    <t>Organ System</t>
  </si>
  <si>
    <t>organsystem</t>
  </si>
  <si>
    <t>nervoussystem</t>
  </si>
  <si>
    <t>kd</t>
  </si>
  <si>
    <t>knockdown (kd)</t>
  </si>
  <si>
    <t>Phenotype</t>
  </si>
  <si>
    <t>phenotype</t>
  </si>
  <si>
    <t>knockout (ko)</t>
  </si>
  <si>
    <t>mt</t>
  </si>
  <si>
    <t>mutant (mt)</t>
  </si>
  <si>
    <t>mutated</t>
  </si>
  <si>
    <t>wt</t>
  </si>
  <si>
    <t>wild type (wt)</t>
  </si>
  <si>
    <t>wilde type cells</t>
  </si>
  <si>
    <t>quantification</t>
  </si>
  <si>
    <t>labelfree</t>
  </si>
  <si>
    <t>Signallling Pathway</t>
  </si>
  <si>
    <t>signalling</t>
  </si>
  <si>
    <t>software</t>
  </si>
  <si>
    <t>tissue</t>
  </si>
  <si>
    <t>database orf_search</t>
  </si>
  <si>
    <t>lysis sds</t>
  </si>
  <si>
    <t>lysis urea</t>
  </si>
  <si>
    <t>lysis sdc</t>
  </si>
  <si>
    <t>detergent sds</t>
  </si>
  <si>
    <t>detergent</t>
  </si>
  <si>
    <t>detergent tween20</t>
  </si>
  <si>
    <t>detergent tweem80</t>
  </si>
  <si>
    <t>Tweem80</t>
  </si>
  <si>
    <t>detergent np-40 np40</t>
  </si>
  <si>
    <t>detergent triton x-100 triton 100</t>
  </si>
  <si>
    <t>detergent chaps</t>
  </si>
  <si>
    <t>detergent dmm</t>
  </si>
  <si>
    <t>detergent og glucoside</t>
  </si>
  <si>
    <t>detergent OTG Octylthioglucoside</t>
  </si>
  <si>
    <t>reducing reduced tcep</t>
  </si>
  <si>
    <t>Protein reducing agent</t>
  </si>
  <si>
    <t>reduction</t>
  </si>
  <si>
    <t>reducing reduced dtt</t>
  </si>
  <si>
    <t>alkylation caa</t>
  </si>
  <si>
    <t>Protein alkylation agent</t>
  </si>
  <si>
    <t>alkylation</t>
  </si>
  <si>
    <t>alkylation iaa</t>
  </si>
  <si>
    <t>digestion, protease</t>
  </si>
  <si>
    <t>protease</t>
  </si>
  <si>
    <t>liquid handler, digestion</t>
  </si>
  <si>
    <t>liquid handler</t>
  </si>
  <si>
    <t>well plate, eppendorf</t>
  </si>
  <si>
    <t>digestion vessel</t>
  </si>
  <si>
    <t>tube, eppendorf</t>
  </si>
  <si>
    <t>aminoacids, treatment</t>
  </si>
  <si>
    <t>Arginine Starvation</t>
  </si>
  <si>
    <t>aa_starvation</t>
  </si>
  <si>
    <t>Asparagine Starvation</t>
  </si>
  <si>
    <t>Aspartic Starvation</t>
  </si>
  <si>
    <t>Cysteine Starvation</t>
  </si>
  <si>
    <t>Glutamic Starvation</t>
  </si>
  <si>
    <t>Glutamine Starvation</t>
  </si>
  <si>
    <t>Glycine Starvation</t>
  </si>
  <si>
    <t>Histidine Starvation</t>
  </si>
  <si>
    <t>Isoleucine Starvation</t>
  </si>
  <si>
    <t>Leucine Starvation</t>
  </si>
  <si>
    <t>Lysine Starvation</t>
  </si>
  <si>
    <t>Methionine Starvation</t>
  </si>
  <si>
    <t>Phenylalanine Starvation</t>
  </si>
  <si>
    <t>Proline Starvation</t>
  </si>
  <si>
    <t>Serine Starvation</t>
  </si>
  <si>
    <t>Threonine Starvation</t>
  </si>
  <si>
    <t>Tryptophan Starvation</t>
  </si>
  <si>
    <t>Tyrosine Starvation</t>
  </si>
  <si>
    <t>Valine Starvation</t>
  </si>
  <si>
    <t xml:space="preserve">5-fluorouracil </t>
  </si>
  <si>
    <t xml:space="preserve">etoposide </t>
  </si>
  <si>
    <t xml:space="preserve">Etoposide </t>
  </si>
  <si>
    <t>Etoposide stabilizes the complex between DNA and topoisomerase II,48 leading to the induction of DNA double- strand breaks.</t>
  </si>
  <si>
    <t>knockdown_technique</t>
  </si>
  <si>
    <t>Gene Engineering</t>
  </si>
  <si>
    <t>gene_engineering</t>
  </si>
  <si>
    <t>ki</t>
  </si>
  <si>
    <t>Stable Exrepssion</t>
  </si>
  <si>
    <t>Gene Editing Method</t>
  </si>
  <si>
    <t>gene_editing_method</t>
  </si>
  <si>
    <t>crispr hdr</t>
  </si>
  <si>
    <t>crispr-hdr</t>
  </si>
  <si>
    <t>biggybac biggy bac</t>
  </si>
  <si>
    <t xml:space="preserve">lentivrial </t>
  </si>
  <si>
    <t>tale talen nuclease</t>
  </si>
  <si>
    <t>Zinc-finger nuclease</t>
  </si>
  <si>
    <t>Double strand break Frameshift</t>
  </si>
  <si>
    <t>Protein mutation</t>
  </si>
  <si>
    <t>protein_mutation</t>
  </si>
  <si>
    <t>mutation point mutation</t>
  </si>
  <si>
    <t>deletion mutation</t>
  </si>
  <si>
    <t>truncation mutation delta</t>
  </si>
  <si>
    <t>mutation tag flag</t>
  </si>
  <si>
    <t>mutation tag HA</t>
  </si>
  <si>
    <t>mutation tag myc</t>
  </si>
  <si>
    <t>mutation tag GFP</t>
  </si>
  <si>
    <t>mutation tag HIS</t>
  </si>
  <si>
    <t>n-term</t>
  </si>
  <si>
    <t>Protein position</t>
  </si>
  <si>
    <t>protein_position</t>
  </si>
  <si>
    <t>c-term</t>
  </si>
  <si>
    <t>aminoacids</t>
  </si>
  <si>
    <t>Amino Acid</t>
  </si>
  <si>
    <t>tmt quantification</t>
  </si>
  <si>
    <t>tmt_channel</t>
  </si>
  <si>
    <t>TMT 11 plex</t>
  </si>
  <si>
    <t>TMT 6 plex</t>
  </si>
  <si>
    <t>TMT 18 plex Pro</t>
  </si>
  <si>
    <t>research group</t>
  </si>
  <si>
    <t>Reserach Group</t>
  </si>
  <si>
    <t>user_group</t>
  </si>
  <si>
    <t>att_user_group</t>
  </si>
  <si>
    <t>institute</t>
  </si>
  <si>
    <t>user_institute</t>
  </si>
  <si>
    <t>Strain</t>
  </si>
  <si>
    <t>Description</t>
  </si>
  <si>
    <t>STATES</t>
  </si>
  <si>
    <t>STOPPED</t>
  </si>
  <si>
    <t>PAUSED</t>
  </si>
  <si>
    <t>SUBMITTED</t>
  </si>
  <si>
    <t>PROCESSED</t>
  </si>
  <si>
    <t>MEASURING</t>
  </si>
  <si>
    <t>DATA ANALYSIS</t>
  </si>
  <si>
    <t>DONE</t>
  </si>
  <si>
    <t>PUBLISHED</t>
  </si>
  <si>
    <t>If allow_for_state === state, then user is prompted to enter those. If the state is higher all the attributes are available as well</t>
  </si>
  <si>
    <t>value</t>
  </si>
  <si>
    <t>Wildtype (+/+)</t>
  </si>
  <si>
    <t>Wildtype</t>
  </si>
  <si>
    <t>Muscle Type</t>
  </si>
  <si>
    <t>Liquid Chromatography Type</t>
  </si>
  <si>
    <t>Liquid Chromatography Name</t>
  </si>
  <si>
    <t>TMT Label Channel</t>
  </si>
  <si>
    <t>(+/-)</t>
  </si>
  <si>
    <t>(-/-)</t>
  </si>
  <si>
    <t>(+/+)</t>
  </si>
  <si>
    <t>Pep86</t>
  </si>
  <si>
    <t>Wildtype form of protein.</t>
  </si>
  <si>
    <t>unknown</t>
  </si>
  <si>
    <t>Unknown. Examples: virus- or biggy-bag expression.</t>
  </si>
  <si>
    <t>quad</t>
  </si>
  <si>
    <t>Q</t>
  </si>
  <si>
    <t>Quadriceps femoris</t>
  </si>
  <si>
    <t>Skeletal Muscle</t>
  </si>
  <si>
    <t>att_diet</t>
  </si>
  <si>
    <t xml:space="preserve">Diet </t>
  </si>
  <si>
    <t>A "Western" Diet for rodents based on AIN-93G, providing 30% of fat from lard, 30% from butterfat, 30% from Crisco (hydrogenated vegetable oil), and, for EFA, 7% from soybean oil and 3% from corn oil. Approximate energy (kcal) from fat 40%, carbohydrate 44%, protein 16%.</t>
  </si>
  <si>
    <t>Western Diet</t>
  </si>
  <si>
    <t>wd</t>
  </si>
  <si>
    <t>sd</t>
  </si>
  <si>
    <t>Standard Diet</t>
  </si>
  <si>
    <t>veg</t>
  </si>
  <si>
    <t>Vegeterian Diet</t>
  </si>
  <si>
    <t>A vegetarian fixed formulation diet for Laboratory Rats and Mice, free of any meat or fish products.</t>
  </si>
  <si>
    <t>High Gluten Diet</t>
  </si>
  <si>
    <t>Die to keep gluten intake/levels high.</t>
  </si>
  <si>
    <t>hg</t>
  </si>
  <si>
    <t>High Fat Diet</t>
  </si>
  <si>
    <t>Diet with more than 60% coloric intake from fat.</t>
  </si>
  <si>
    <t>hfd</t>
  </si>
  <si>
    <t>Steady State Cardio</t>
  </si>
  <si>
    <t>hiit</t>
  </si>
  <si>
    <t>High Intensity Interval Training</t>
  </si>
  <si>
    <t>HIIT training. HIIT is a type of interval training exercise. It incorporates several rounds that alternate between several minutes of high intensity movements to significantly increase the heart rate to at least 80% Hfmax.</t>
  </si>
  <si>
    <t>apex</t>
  </si>
  <si>
    <t>Apex</t>
  </si>
  <si>
    <t>Apex protein for proximity labeling.</t>
  </si>
  <si>
    <t>bioid</t>
  </si>
  <si>
    <t>BioID</t>
  </si>
  <si>
    <t>BioID protein for proximity labeling.</t>
  </si>
  <si>
    <t>turboid</t>
  </si>
  <si>
    <t>TurboID</t>
  </si>
  <si>
    <t>TurboID for protein proximity labeling.</t>
  </si>
  <si>
    <t>Gene Knockdown Technique</t>
  </si>
  <si>
    <t>att_pulldown</t>
  </si>
  <si>
    <t>chemical</t>
  </si>
  <si>
    <t>Chemical/Detergent</t>
  </si>
  <si>
    <t>Cell lysis by adding detergents such as SDS.</t>
  </si>
  <si>
    <t>Digestion Volume [uL]</t>
  </si>
  <si>
    <t>Opentrons Flex</t>
  </si>
  <si>
    <t>Opentrons OT-2</t>
  </si>
  <si>
    <t>Aurora Frontiers</t>
  </si>
  <si>
    <t>IonOpticks Aurora Frontiers Column</t>
  </si>
  <si>
    <t>E-Mail</t>
  </si>
  <si>
    <t>Unknown/Random</t>
  </si>
  <si>
    <t>Number Offline Fractions</t>
  </si>
  <si>
    <t>Cell lysis achieved using sonication.</t>
  </si>
  <si>
    <t>sonicaton</t>
  </si>
  <si>
    <t>Pulse Sonication</t>
  </si>
  <si>
    <t>h2o2</t>
  </si>
  <si>
    <t>Hydrogen peroxide (H2O2)</t>
  </si>
  <si>
    <t>Hydrogen peroxide</t>
  </si>
  <si>
    <t>Epoxomicin</t>
  </si>
  <si>
    <t>expoximicin</t>
  </si>
  <si>
    <t>epoximicin</t>
  </si>
  <si>
    <t>Epoxomicin is a naturally occurring selective proteasome inhibitor.</t>
  </si>
  <si>
    <t>frezza</t>
  </si>
  <si>
    <t>Department Frezza</t>
  </si>
  <si>
    <t>Metabolomics in Aging</t>
  </si>
  <si>
    <t>krueger</t>
  </si>
  <si>
    <t>Department Krueger</t>
  </si>
  <si>
    <t>Institute for Genetics</t>
  </si>
  <si>
    <t>rugarli</t>
  </si>
  <si>
    <t>Department Rugali</t>
  </si>
  <si>
    <t>trifunovic</t>
  </si>
  <si>
    <t>Department Trifunovic</t>
  </si>
  <si>
    <t>Institute for Mitochondrial Diseases and Aging</t>
  </si>
  <si>
    <t>niessen</t>
  </si>
  <si>
    <t>Department Niessen</t>
  </si>
  <si>
    <t>gloeckner</t>
  </si>
  <si>
    <t>Department Gloeckner</t>
  </si>
  <si>
    <t>Center for Biochemistry</t>
  </si>
  <si>
    <t>bazzi</t>
  </si>
  <si>
    <t>Department Bazzi</t>
  </si>
  <si>
    <t>Polyclinic of Dermatology and Venereology</t>
  </si>
  <si>
    <t>hallek</t>
  </si>
  <si>
    <t>Department Hallek</t>
  </si>
  <si>
    <t>Clinic of Internal Medicine I</t>
  </si>
  <si>
    <t>benzing</t>
  </si>
  <si>
    <t>Department Benzing</t>
  </si>
  <si>
    <t>Clinic of Internal Medicine II, UKK</t>
  </si>
  <si>
    <t>hennies</t>
  </si>
  <si>
    <t>Department Hennies</t>
  </si>
  <si>
    <t>Cologne Center for Genomics, UoC</t>
  </si>
  <si>
    <t>vonkarstedt</t>
  </si>
  <si>
    <t>Department vonKarstedt</t>
  </si>
  <si>
    <t>Dept. of Translational Genomics</t>
  </si>
  <si>
    <t>laessig</t>
  </si>
  <si>
    <t>Department Laessig</t>
  </si>
  <si>
    <t>Institute for Biological Physics,UoC</t>
  </si>
  <si>
    <t>hoppe</t>
  </si>
  <si>
    <t>Department Hoppe</t>
  </si>
  <si>
    <t>Institute for Genetics, UoC</t>
  </si>
  <si>
    <t>garcia</t>
  </si>
  <si>
    <t>Department Garcia</t>
  </si>
  <si>
    <t>khaskar</t>
  </si>
  <si>
    <t>Department Kashkar</t>
  </si>
  <si>
    <t>Institute for Medical Microbiology  Immunology and Hygiene, UKK</t>
  </si>
  <si>
    <t>att_protein_treatment</t>
  </si>
  <si>
    <t>Pulldown Bait</t>
  </si>
  <si>
    <t>Protein and Hormone Treatment</t>
  </si>
  <si>
    <t>control</t>
  </si>
  <si>
    <t>Control Target Proteins</t>
  </si>
  <si>
    <t>Control targets proteins such as GFP, LacZ</t>
  </si>
  <si>
    <t>controls</t>
  </si>
  <si>
    <t>att_subcellular_compartment</t>
  </si>
  <si>
    <t>wc</t>
  </si>
  <si>
    <t>Whole cell</t>
  </si>
  <si>
    <t>Complete cell</t>
  </si>
  <si>
    <t>mitochondria</t>
  </si>
  <si>
    <t>membrane</t>
  </si>
  <si>
    <t>Membrane Fraction</t>
  </si>
  <si>
    <t>Membrane fraction (Mitochondria, ER)</t>
  </si>
  <si>
    <t>golgi</t>
  </si>
  <si>
    <t>Golgi</t>
  </si>
  <si>
    <t>Golgi fraction</t>
  </si>
  <si>
    <t>plasmamembrane</t>
  </si>
  <si>
    <t>Plasmamembrane fraction</t>
  </si>
  <si>
    <t>nucleus</t>
  </si>
  <si>
    <t>Nucleus</t>
  </si>
  <si>
    <t xml:space="preserve">Nucleus </t>
  </si>
  <si>
    <t>cytosol</t>
  </si>
  <si>
    <t>Cytosol</t>
  </si>
  <si>
    <t>Cytosolic fraction</t>
  </si>
  <si>
    <t>Plasma membrane</t>
  </si>
  <si>
    <t>Pure mitochondria enriched fraction</t>
  </si>
  <si>
    <t>Mitochondria</t>
  </si>
  <si>
    <t>L-Lysine</t>
  </si>
  <si>
    <t>Lys0 Arg0</t>
  </si>
  <si>
    <t>lys0arg0</t>
  </si>
  <si>
    <t>lys4arg6</t>
  </si>
  <si>
    <t>Lys4 Arg6</t>
  </si>
  <si>
    <t>lys8arg10</t>
  </si>
  <si>
    <t>Lys8 Arg10</t>
  </si>
  <si>
    <t>Lysine +8Da Arginine+10Da (Heavy)</t>
  </si>
  <si>
    <t>Lysine +4Da Arginine +6Da (Middle)</t>
  </si>
  <si>
    <t>L-Lysine, L-Arginine (Light)</t>
  </si>
  <si>
    <t>Membrane Fraction + Proteinase K</t>
  </si>
  <si>
    <t>Membrane fraction (Mitochondria, ER) with Proteinase K digestion.</t>
  </si>
  <si>
    <t>mitochondriapk</t>
  </si>
  <si>
    <t>att_gender</t>
  </si>
  <si>
    <t>Gender</t>
  </si>
  <si>
    <t>male</t>
  </si>
  <si>
    <t>Male</t>
  </si>
  <si>
    <t>female</t>
  </si>
  <si>
    <t>Female</t>
  </si>
  <si>
    <t>att_mouse_id</t>
  </si>
  <si>
    <t>homologrecombination</t>
  </si>
  <si>
    <t>Homologous recombination (loxP-sites)</t>
  </si>
  <si>
    <t>Hmologous recombination is a DNA repair mechanism that is employed in gene targeting to insert a designed mutation into the homologous genetic locus. Targeted homologous recombination can be performed in murine ES cells through electroporation of a targeting construct. These ES cells are totipotent and, when injected into a mouse blastocyst, they can diffentiate into all cell types of a chimeric mouse.</t>
  </si>
  <si>
    <t>Mouse ID</t>
  </si>
  <si>
    <t>att_cloneid</t>
  </si>
  <si>
    <t>att_ptm_enrichment</t>
  </si>
  <si>
    <t>PTM Enrichment Strategy</t>
  </si>
  <si>
    <t>antibody</t>
  </si>
  <si>
    <t>Antibody</t>
  </si>
  <si>
    <t>An enrichment strategy for PTMs that is based on an antibody such pTyr, Acetylation or Ubiquitination.</t>
  </si>
  <si>
    <t>metal</t>
  </si>
  <si>
    <t>Metal</t>
  </si>
  <si>
    <t>PTM enrichment strategy based on a metal interacting with the PTM such as IMAC or TiO2 enrichment for phospho peptides.</t>
  </si>
  <si>
    <t>Ion Chromatography</t>
  </si>
  <si>
    <t>Ion chromatography to enrich for PTMs such as Strong cation or anion exchange chromatography.</t>
  </si>
  <si>
    <t>ionchromatography</t>
  </si>
  <si>
    <t>att_protein_input</t>
  </si>
  <si>
    <t>Protein amount [µg]</t>
  </si>
  <si>
    <t>Clone ID</t>
  </si>
  <si>
    <t>R848 (Resiquimod) - TLR7/TLR8 Agonist</t>
  </si>
  <si>
    <t>mdc</t>
  </si>
  <si>
    <t>mtregs</t>
  </si>
  <si>
    <t>pdc</t>
  </si>
  <si>
    <t>attregs</t>
  </si>
  <si>
    <t>infdc</t>
  </si>
  <si>
    <t>itgres</t>
  </si>
  <si>
    <t>dendritic</t>
  </si>
  <si>
    <t>ememcell</t>
  </si>
  <si>
    <t>CD45RA+ effector memory cell</t>
  </si>
  <si>
    <t>effector Memory Cell</t>
  </si>
  <si>
    <t>Dendritic cell (DC)</t>
  </si>
  <si>
    <t>Dendritic cell</t>
  </si>
  <si>
    <t>Induced (peripheral) T regulatory cells (iTregs, pTregs)</t>
  </si>
  <si>
    <t>Induced Regulatory T cells (iTregs)</t>
  </si>
  <si>
    <t>Inflammatory Dendritic Cells (infDCs)</t>
  </si>
  <si>
    <t>Inflammatory DC (infDCs)</t>
  </si>
  <si>
    <t>Natural Regulatory T cells (nTregs)</t>
  </si>
  <si>
    <t>Plasmacytoid Dendritic Cells (pDCs)</t>
  </si>
  <si>
    <t>Memory regulatory T cells (mTregs)</t>
  </si>
  <si>
    <t>Memory Regulatory T cells (mTregs)</t>
  </si>
  <si>
    <t>Myeloid Dendritic Cells (mDCs)</t>
  </si>
  <si>
    <t>Myeloid DC (mDCs)</t>
  </si>
  <si>
    <t>Plasmacytoid DC (pDCs)</t>
  </si>
  <si>
    <t>Natural T regulatory lymphocytes (tTregs, nTregs)</t>
  </si>
  <si>
    <t>supernatant</t>
  </si>
  <si>
    <t>Supernatant</t>
  </si>
  <si>
    <t>Cellular fraction; a volume of supernatant liquid</t>
  </si>
  <si>
    <t>att_heart</t>
  </si>
  <si>
    <t>leftatrium</t>
  </si>
  <si>
    <t>Left atrium</t>
  </si>
  <si>
    <t>Left atrium: one of the four chambers of the heart. The left atrium receives blood full of oxygen from the lungs and then empties the blood into the left ventricle.</t>
  </si>
  <si>
    <t>rightatrium</t>
  </si>
  <si>
    <t>Right atrium</t>
  </si>
  <si>
    <t>Right atrium: one of the four chambers of the heart. The right atrium receives blood low in oxygen from the body and then empties the blood into the right ventricle.</t>
  </si>
  <si>
    <t>A ventricle is one of two large chambers located toward the bottom of the heart that collect and expel blood towards the peripheral beds within the body and lungs. </t>
  </si>
  <si>
    <t>Gene Knockdown</t>
  </si>
  <si>
    <t>hfxage</t>
  </si>
  <si>
    <t>Qexactive Hf-x</t>
  </si>
  <si>
    <t>Qexactive HF-x, Thermo Fisher, replaced.</t>
  </si>
  <si>
    <t>Exploris 480 Thermo Fisher, SN: MA10161N</t>
  </si>
  <si>
    <t>easy1200mpi</t>
  </si>
  <si>
    <t>Easy LC1 (MPI)</t>
  </si>
  <si>
    <t>Easy nLC 1200, Thermo Fisher, SN: LC-030802</t>
  </si>
  <si>
    <t>opentronsot2</t>
  </si>
  <si>
    <t>att_genotype</t>
  </si>
  <si>
    <t>Genotype</t>
  </si>
  <si>
    <t>hemi</t>
  </si>
  <si>
    <t>Hemizygot (hemi)</t>
  </si>
  <si>
    <t>Hemizygot</t>
  </si>
  <si>
    <t>Left ventricle</t>
  </si>
  <si>
    <t>Right ventricle</t>
  </si>
  <si>
    <t>leftventri</t>
  </si>
  <si>
    <t>rightventri</t>
  </si>
  <si>
    <t>riemer</t>
  </si>
  <si>
    <t>Department Riemer</t>
  </si>
  <si>
    <t>Redox biochemistry, UoC</t>
  </si>
  <si>
    <t>Heart Compartment</t>
  </si>
  <si>
    <t>bergmani</t>
  </si>
  <si>
    <t>motori</t>
  </si>
  <si>
    <t>becker</t>
  </si>
  <si>
    <t>bruening</t>
  </si>
  <si>
    <t>piano</t>
  </si>
  <si>
    <t>schwarz</t>
  </si>
  <si>
    <t>corrado</t>
  </si>
  <si>
    <t>eming</t>
  </si>
  <si>
    <t>Department Bergmani</t>
  </si>
  <si>
    <t>Department Motori</t>
  </si>
  <si>
    <t>Department Becker</t>
  </si>
  <si>
    <t>Department Escobar</t>
  </si>
  <si>
    <t>escobar</t>
  </si>
  <si>
    <t>Department Piano</t>
  </si>
  <si>
    <t>Department Schwarz</t>
  </si>
  <si>
    <t>Department Corrado</t>
  </si>
  <si>
    <t>Department Eming</t>
  </si>
  <si>
    <t>Dermatology, UKK, Institute of Zoology</t>
  </si>
  <si>
    <t>Brain Plasticity and Repair, UKK</t>
  </si>
  <si>
    <t>Neuronal Stress Responses, Resilience and Regeneration, UoC</t>
  </si>
  <si>
    <t>Mitochondrial Dynamics and Ubiquitin, UoC</t>
  </si>
  <si>
    <t>Membrane Biophysics, UoC</t>
  </si>
  <si>
    <t>MPI for Metabolism</t>
  </si>
  <si>
    <t>Department Bruening</t>
  </si>
  <si>
    <t>Schwarz Lab,UoC</t>
  </si>
  <si>
    <t>Becker Lab, UoB</t>
  </si>
  <si>
    <t>unibonn</t>
  </si>
  <si>
    <t>University of Bonn</t>
  </si>
  <si>
    <t>Piano Lab, UKK</t>
  </si>
  <si>
    <t>Mitochondrial Metabolism in Immunity, Inflammation and Aging, UoC</t>
  </si>
  <si>
    <t>120 min</t>
  </si>
  <si>
    <t>A total gradient length of 120min</t>
  </si>
  <si>
    <t>90 min</t>
  </si>
  <si>
    <t>60 min</t>
  </si>
  <si>
    <t>A total gradient length of 60min</t>
  </si>
  <si>
    <t>A total gradient length of 90min</t>
  </si>
  <si>
    <t>att_mouse_cre</t>
  </si>
  <si>
    <t>Mouse Cre Background</t>
  </si>
  <si>
    <t>Nestin-cre (B6)</t>
  </si>
  <si>
    <t>nestincre</t>
  </si>
  <si>
    <t>CMV-cre (B6)</t>
  </si>
  <si>
    <t>cmvcre</t>
  </si>
  <si>
    <t>B6.FVB-Tg(Myh6-cre)2182Mds/J - The cardiac-specific murine alpha myosin-heavy chain (Myh6, myosin, heavy polypeptide 6, cardiac muscle, alpha) promoter drives expression of cre in this transgenic strain. Breeding this mouse with another carrying loxP-flanked sequences results in the deletion of the flanked sequences in the offspring. The promoter induces greater than 90% recombination in cardiac muscle cells. No recombination is observed in liver, lung, skeletal muscle (quadriceps), and spleen, or in extraneous cell types in the heart.</t>
  </si>
  <si>
    <t>MyH6-cre (B6)</t>
  </si>
  <si>
    <t>myh6cre</t>
  </si>
  <si>
    <t>Albumin-cre</t>
  </si>
  <si>
    <t>ucpcre</t>
  </si>
  <si>
    <t>Ucp1-cre</t>
  </si>
  <si>
    <t>B6.FVB-Tg(Ucp1-cre)1Evdr/J  -These Ucp1-cre mice express Cre recombinase in interscapular brown fat at room temperature, and in inguinal and epididymal white adipose tissue after cold exposure.</t>
  </si>
  <si>
    <t>B6.Cg-Speer6-ps1Tg(Alb-cre)21Mgn/J  - These transgenic mice express Cre recombinase under the control of the mouse albumin enhancer/promoter in liver.</t>
  </si>
  <si>
    <t>B6.C-Tg(CMV-cre)1Cgn/J - In this transgenic strain, deletion of loxP-flanked genes occurs in all tissues, including germ cells. The cre gene in this strain is under the transcriptional control of a human cytomegalovirus minimal promoter and is likely to be expressed before implantation during early embryogenesis. It also appears that the cre gene is X-linked since transgene transmission through males is restricted to female offspring.</t>
  </si>
  <si>
    <t xml:space="preserve">B6.Cg-Tg(Nes-cre)1Kln/J - These transgenic mice express Cre recombinase under the control of the rat nestin promoter and enhancer. Mice that are hemizygous and homozygous for the transgenic insert are viable and fertile. Nestin-cre mice exhibit mild hypopituitarism, growth retardation, impaired fear response, and a metabolic phenotype. </t>
  </si>
  <si>
    <t>Adipoq-cre</t>
  </si>
  <si>
    <t>B6.FVB-Tg(Adipoq-cre)1Evdr/J - Mice harboring the Adipoq-Cre BAC transgene express Cre recombinase under control of the mouse adiponectin (Adipoq) promoter/enhancer regions within the BAC transgene. Adipoq-Cre BAC transgenic mice are a Cre-lox tool for deletion of floxed sequences in white adipose tissue and brown adipose tissue, but not in activated or resident macrophages.</t>
  </si>
  <si>
    <t>40cm</t>
  </si>
  <si>
    <t>5 cm column length</t>
  </si>
  <si>
    <t>40 cm column length</t>
  </si>
  <si>
    <t>50c</t>
  </si>
  <si>
    <t>The column was kept at 40°C during the complete gradient time.</t>
  </si>
  <si>
    <t>The column was kept at 50°C during the complete gradient time.</t>
  </si>
  <si>
    <t>The column was kept at 55°C during the complete gradient time.</t>
  </si>
  <si>
    <t>ckmmcre</t>
  </si>
  <si>
    <t>Ckmm-cre</t>
  </si>
  <si>
    <t>B6.FVB(129S4)-Tg(Ckmm-cre)5Khn/J - These MCK-Cre transgenic mice have the Cre recombinase gene driven by the muscle creatine kinase (MCK or Ckm) promoter. Cre activity is observed in skeletal and cardiac muscle. When bred with mice containing a loxP-flanked sequence of interest, Cre-mediated recombination will result in skeletal and cardiac muscle deletion of the flanked genome.</t>
  </si>
  <si>
    <t>Control</t>
  </si>
  <si>
    <t>Control (Amino acids at culture media concentration)</t>
  </si>
  <si>
    <t>att_muscle_fiber_type</t>
  </si>
  <si>
    <t>Muscle Fiber Type</t>
  </si>
  <si>
    <t>type1</t>
  </si>
  <si>
    <t>type2a</t>
  </si>
  <si>
    <t>type2b</t>
  </si>
  <si>
    <t>type2x</t>
  </si>
  <si>
    <t>type2d</t>
  </si>
  <si>
    <t>Human specific muscle fiber type</t>
  </si>
  <si>
    <t>mixedt12a</t>
  </si>
  <si>
    <t>Type 1 and Type 2a fibers (mixed)</t>
  </si>
  <si>
    <t>mixedt12x</t>
  </si>
  <si>
    <t>Type 1 and Type 2x fibers (mixed)</t>
  </si>
  <si>
    <t>mixedt1tb</t>
  </si>
  <si>
    <t>Type 1 and Type 2b fibers (mixed)</t>
  </si>
  <si>
    <t>mixed2a2b</t>
  </si>
  <si>
    <t>Type 2a and Type 2b (mixed)</t>
  </si>
  <si>
    <t>mixed2a2x</t>
  </si>
  <si>
    <t>Type 2a and Type 2x (mixed)</t>
  </si>
  <si>
    <t>mixed2b2x</t>
  </si>
  <si>
    <t>Type 2b and Type 2x (mixed)</t>
  </si>
  <si>
    <t>Type 1 fibers (slow)</t>
  </si>
  <si>
    <t>Type 2a fibers (slow-fast)</t>
  </si>
  <si>
    <t>Type 2b fibers (fast)</t>
  </si>
  <si>
    <t>Type 2x fibers (fast)</t>
  </si>
  <si>
    <t>Type 2d fibers (fast)</t>
  </si>
  <si>
    <t>Myh7 positive type 1 fibers (slow - oxidative)</t>
  </si>
  <si>
    <t>Myh2 positive type 2a (fast - oxidative)</t>
  </si>
  <si>
    <t>Myh4 positives types 2b fibers (fast - glycolytic)</t>
  </si>
  <si>
    <t>Myh1 positive type 2x fibers (fast - glycolytic)</t>
  </si>
  <si>
    <t>Myh7 and Myh1 positive fibers</t>
  </si>
  <si>
    <t>Myh7 and Myh2 psoitive fibers</t>
  </si>
  <si>
    <t>Myh7 and Myh4 positive fibers</t>
  </si>
  <si>
    <t>Myh2 and Myh4 positive fibers</t>
  </si>
  <si>
    <t>Myh2 and Myh1 positive fibers</t>
  </si>
  <si>
    <t>Myh4 and Myh1 psotive fibers</t>
  </si>
  <si>
    <t>att_ms_pasef_min</t>
  </si>
  <si>
    <t>att_ms_pasef_max</t>
  </si>
  <si>
    <t>pepsep</t>
  </si>
  <si>
    <t>PepSep HPLC Column (Bruker)</t>
  </si>
  <si>
    <t>PepSep HPLC Column Bruker</t>
  </si>
  <si>
    <t>pepsepultra</t>
  </si>
  <si>
    <t>PepSep Ultra HPLC Column (Bruker)</t>
  </si>
  <si>
    <t>pepsepmax</t>
  </si>
  <si>
    <t>PepSep Max HPLC Column (Bruker)</t>
  </si>
  <si>
    <t>pepsepmaxht</t>
  </si>
  <si>
    <t>pepsep max hat</t>
  </si>
  <si>
    <t>PepSep Max HAT HPLC Column (Bruker)</t>
  </si>
  <si>
    <t>Designed for high-throughput proteomics, the PepSep™ MAX HT (5 cm x 150 um x 1.5 um) allows for gradients less than 15 minutes. This makes it ideal for applications where speed is essential, such as the analysis of clinical samples or the screening of drug libraries.</t>
  </si>
  <si>
    <t>The PepSep™ MAX (10 cm x 150 um x 1.5 um) increases instrument performance to help drive your analysis. When combined with the timsTOF HT, immerse yourself in 4D-Proteomics, so you can accurately analyze 1000s of samples with high throughput at PASEF® speed.</t>
  </si>
  <si>
    <t>The PepSep™ ULTRA (25 cm x 75 um x 1.5 um) C18 HPLC columns enable the analysis of a higher number of proteins and peptides from routine to restricted sample types. </t>
  </si>
  <si>
    <t>Min inversed Ion Mobility</t>
  </si>
  <si>
    <t>Max inversed Ion Mobility</t>
  </si>
  <si>
    <t>captive</t>
  </si>
  <si>
    <t>captivespray</t>
  </si>
  <si>
    <t>captivespraytwo</t>
  </si>
  <si>
    <t>captive two</t>
  </si>
  <si>
    <t>CaptiveSpray 2 Source</t>
  </si>
  <si>
    <t>CaptiveSpray Source</t>
  </si>
  <si>
    <t>CaptiveSpray 2 Source by Bruker for timsTOF</t>
  </si>
  <si>
    <t>CaptiveSpray Source by Bruker for timsTOF</t>
  </si>
  <si>
    <t>captiivespraypro</t>
  </si>
  <si>
    <t>captivespray pro</t>
  </si>
  <si>
    <t>CaptiveSpray Pro Source</t>
  </si>
  <si>
    <t>CaptiveSpray Pro Source by Bruker for timsTOF</t>
  </si>
  <si>
    <t>Z Project 02 (CRC1218)</t>
  </si>
  <si>
    <t>ZO2 Project (Proteomics)</t>
  </si>
  <si>
    <t>protfa</t>
  </si>
  <si>
    <t>tofpro2</t>
  </si>
  <si>
    <t>timsTOF Pro 2</t>
  </si>
  <si>
    <t>timTOF Pro2 Bruker</t>
  </si>
  <si>
    <t>timsTOF HCT Bruker</t>
  </si>
  <si>
    <t>timsTOF Single Cell Proteomics Bruker</t>
  </si>
  <si>
    <t>att_overexpression</t>
  </si>
  <si>
    <t>Overexpression</t>
  </si>
  <si>
    <t>pellet</t>
  </si>
  <si>
    <t>Pellet</t>
  </si>
  <si>
    <t>Supernatant Fraction</t>
  </si>
  <si>
    <t>Pellet Fraction</t>
  </si>
  <si>
    <t>Subcelullar Compartment</t>
  </si>
  <si>
    <t>Solubilization Fraction</t>
  </si>
  <si>
    <t>att_solubilization_frac</t>
  </si>
  <si>
    <t>Pellet fraction using a solub. buffer and centrifugation</t>
  </si>
  <si>
    <t>Total fraction (input)</t>
  </si>
  <si>
    <t>Supernatant using a solub. buffer and centrifugation</t>
  </si>
  <si>
    <t>ripa</t>
  </si>
  <si>
    <t>RIPA buffer</t>
  </si>
  <si>
    <t>RIPA buffer (specify recipe in info).</t>
  </si>
  <si>
    <t>ripasds</t>
  </si>
  <si>
    <t>RIPA w. 0.1% SDS buffer</t>
  </si>
  <si>
    <t>RIPA cotaning SDS (0.1%) buffer (specify recipe in info).</t>
  </si>
  <si>
    <t>Differential centrifugation fraction</t>
  </si>
  <si>
    <t>solub</t>
  </si>
  <si>
    <t>aggregation solubilization</t>
  </si>
  <si>
    <t>Solubilization Assay</t>
  </si>
  <si>
    <t>Solubilization uses a lysis buffer with low percentage of detergent yielding usually a pellet and supernatant fraction.</t>
  </si>
  <si>
    <t>185 nL/min</t>
  </si>
  <si>
    <t>185nlmin</t>
  </si>
  <si>
    <t>Proteome</t>
  </si>
  <si>
    <t>att_proteome</t>
  </si>
  <si>
    <t>60cm</t>
  </si>
  <si>
    <t>60 cm column length</t>
  </si>
  <si>
    <t>manual</t>
  </si>
  <si>
    <t>None/Manual Pipetting</t>
  </si>
  <si>
    <t>Manual pipetting (By hand)</t>
  </si>
  <si>
    <t>has_unit</t>
  </si>
  <si>
    <t>unit</t>
  </si>
  <si>
    <t>concentration;time</t>
  </si>
  <si>
    <t>att_mouse_strain</t>
  </si>
  <si>
    <t>Mouse Strain</t>
  </si>
  <si>
    <t>time</t>
  </si>
  <si>
    <t>C57BL/6J</t>
  </si>
  <si>
    <t>C57BL/6J (Black 6), inbred, low susceptibility to tumors, high susceptibility to diet-induced
obesity, moderate hyperglycemia and
hyperinsulinemia</t>
  </si>
  <si>
    <t>temperature</t>
  </si>
  <si>
    <t>Spray Voltage</t>
  </si>
  <si>
    <t>voltage</t>
  </si>
  <si>
    <t>weight</t>
  </si>
  <si>
    <t>volume</t>
  </si>
  <si>
    <t>Digestion Temperature</t>
  </si>
  <si>
    <t>flow</t>
  </si>
  <si>
    <t>LC Flow rate</t>
  </si>
  <si>
    <t>Gradient Length</t>
  </si>
  <si>
    <t>proximity</t>
  </si>
  <si>
    <t>bioid, proxomity</t>
  </si>
  <si>
    <t>Proximity Labeling</t>
  </si>
  <si>
    <t>Proximity Labeling using BioID or Apex based assays</t>
  </si>
  <si>
    <t xml:space="preserve">FAIMS Compensation Voltage </t>
  </si>
  <si>
    <t>34 DIA windows (MS2) Scans within one cycle.</t>
  </si>
  <si>
    <t>att_time</t>
  </si>
  <si>
    <t>Time</t>
  </si>
  <si>
    <t>Enrichment Fraction</t>
  </si>
  <si>
    <t>att_enrich_frac</t>
  </si>
  <si>
    <t>input</t>
  </si>
  <si>
    <t xml:space="preserve">Input </t>
  </si>
  <si>
    <t>Input for an enrichment  including immunoprecipitation, PTM enrichments.</t>
  </si>
  <si>
    <t>Elution</t>
  </si>
  <si>
    <t>Wash</t>
  </si>
  <si>
    <t>wash</t>
  </si>
  <si>
    <t>elution</t>
  </si>
  <si>
    <t>Wash fraction/Supernatant for an enrichment  including immunoprecipitation, PTM enrichments. This fraction should not contain the target peptides/proteins.</t>
  </si>
  <si>
    <t xml:space="preserve">Elution for an enrichment  including immunoprecipitation, PTM enrichments. This fraction contains the target peptides/proteins. </t>
  </si>
  <si>
    <t>MitoBlock-10</t>
  </si>
  <si>
    <t>MitoBloCK-10 (MB-10) is the first small molecule modulator to attenuate protein-associated motor (PAM) complex activity. MitoBloCK-10 (MB-10) inhibits Tim44 (C-terminal domain) binding to the precursor and to Hsp70.</t>
  </si>
  <si>
    <t>mitoblock10</t>
  </si>
  <si>
    <t>Amino Acids (Analogues)</t>
  </si>
  <si>
    <t>fbs</t>
  </si>
  <si>
    <t>nofbs</t>
  </si>
  <si>
    <t>att_cellculture_media</t>
  </si>
  <si>
    <t>10% FBS added to the cell culture media.</t>
  </si>
  <si>
    <t>No FBS used in the cell culture</t>
  </si>
  <si>
    <t>Serum Starvation.</t>
  </si>
  <si>
    <t>Normal' growth</t>
  </si>
  <si>
    <t>Cell culture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</si>
</sst>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RUE&quot;;&quot;TRUE&quot;;&quot;FALSE&quot;"/>
    <numFmt numFmtId="165" formatCode="dd/mm/yyyy"/>
  </numFmts>
  <fonts count="11" x14ac:knownFonts="1">
    <font>
      <sz val="10"/>
      <name val="Arial"/>
      <family val="2"/>
      <charset val="1"/>
    </font>
    <font>
      <sz val="10"/>
      <color rgb="FFC9211E"/>
      <name val="Arial"/>
      <family val="2"/>
      <charset val="1"/>
    </font>
    <font>
      <b/>
      <i/>
      <sz val="10"/>
      <color rgb="FFFFFFFF"/>
      <name val="Arial"/>
      <family val="2"/>
      <charset val="1"/>
    </font>
    <font>
      <sz val="10"/>
      <color rgb="FF000000"/>
      <name val="Arial"/>
      <family val="2"/>
      <charset val="1"/>
    </font>
    <font>
      <sz val="10"/>
      <color rgb="FFFF0000"/>
      <name val="Arial"/>
      <family val="2"/>
      <charset val="1"/>
    </font>
    <font>
      <sz val="10"/>
      <color rgb="FF333333"/>
      <name val="Arial"/>
      <family val="2"/>
      <charset val="1"/>
    </font>
    <font>
      <sz val="12"/>
      <name val="Arial"/>
      <family val="2"/>
      <charset val="1"/>
    </font>
    <font>
      <b/>
      <i/>
      <sz val="10"/>
      <color theme="0"/>
      <name val="Arial"/>
      <family val="2"/>
      <charset val="1"/>
    </font>
    <font>
      <sz val="10"/>
      <color theme="0"/>
      <name val="Arial"/>
      <family val="2"/>
      <charset val="1"/>
    </font>
    <font>
      <sz val="12"/>
      <color rgb="FFCCCCCC"/>
      <name val="Menlo"/>
      <family val="2"/>
    </font>
    <font>
      <sz val="12"/>
      <color rgb="FF9CDCFE"/>
      <name val="Menlo"/>
      <family val="2"/>
    </font>
  </fonts>
  <fills count="3">
    <fill>
      <patternFill patternType="none"/>
    </fill>
    <fill>
      <patternFill patternType="gray125"/>
    </fill>
    <fill>
      <patternFill patternType="solid">
        <fgColor rgb="FF333333"/>
        <bgColor rgb="FF333300"/>
      </patternFill>
    </fill>
  </fills>
  <borders count="1">
    <border>
      <left/>
      <right/>
      <top/>
      <bottom/>
      <diagonal/>
    </border>
  </borders>
  <cellStyleXfs count="1">
    <xf numFmtId="0" fontId="0" fillId="0" borderId="0"/>
  </cellStyleXfs>
  <cellXfs count="28">
    <xf numFmtId="0" fontId="0" fillId="0" borderId="0" xfId="0"/>
    <xf numFmtId="49" fontId="0" fillId="0" borderId="0" xfId="0" applyNumberFormat="1"/>
    <xf numFmtId="0" fontId="1" fillId="0" borderId="0" xfId="0" applyFont="1"/>
    <xf numFmtId="0" fontId="2" fillId="2" borderId="0" xfId="0" applyFont="1" applyFill="1" applyAlignment="1">
      <alignment vertical="center"/>
    </xf>
    <xf numFmtId="49" fontId="2" fillId="2" borderId="0" xfId="0" applyNumberFormat="1" applyFont="1" applyFill="1" applyAlignment="1">
      <alignment vertical="center" wrapText="1"/>
    </xf>
    <xf numFmtId="0" fontId="2" fillId="2" borderId="0" xfId="0" applyFont="1" applyFill="1"/>
    <xf numFmtId="0" fontId="0" fillId="0" borderId="0" xfId="0" applyAlignment="1">
      <alignment horizontal="left"/>
    </xf>
    <xf numFmtId="164" fontId="3" fillId="0" borderId="0" xfId="0" applyNumberFormat="1" applyFont="1"/>
    <xf numFmtId="0" fontId="0" fillId="0" borderId="0" xfId="0" applyAlignment="1">
      <alignment horizontal="right"/>
    </xf>
    <xf numFmtId="164" fontId="0" fillId="0" borderId="0" xfId="0" applyNumberFormat="1" applyAlignment="1">
      <alignment horizontal="right"/>
    </xf>
    <xf numFmtId="0" fontId="2" fillId="2" borderId="0" xfId="0" applyFont="1" applyFill="1" applyAlignment="1">
      <alignment horizontal="left"/>
    </xf>
    <xf numFmtId="49" fontId="0" fillId="0" borderId="0" xfId="0" applyNumberFormat="1" applyAlignment="1">
      <alignment horizontal="left"/>
    </xf>
    <xf numFmtId="164" fontId="0" fillId="0" borderId="0" xfId="0" applyNumberFormat="1" applyAlignment="1">
      <alignment horizontal="left"/>
    </xf>
    <xf numFmtId="164" fontId="4" fillId="0" borderId="0" xfId="0" applyNumberFormat="1" applyFont="1" applyAlignment="1">
      <alignment horizontal="left"/>
    </xf>
    <xf numFmtId="0" fontId="4" fillId="0" borderId="0" xfId="0" applyFont="1" applyAlignment="1">
      <alignment horizontal="left"/>
    </xf>
    <xf numFmtId="49" fontId="4" fillId="0" borderId="0" xfId="0" applyNumberFormat="1" applyFont="1" applyAlignment="1">
      <alignment horizontal="left"/>
    </xf>
    <xf numFmtId="0" fontId="5" fillId="0" borderId="0" xfId="0" applyFont="1"/>
    <xf numFmtId="0" fontId="6" fillId="0" borderId="0" xfId="0" applyFont="1" applyAlignment="1">
      <alignment horizontal="justify"/>
    </xf>
    <xf numFmtId="165" fontId="6" fillId="0" borderId="0" xfId="0" applyNumberFormat="1" applyFont="1" applyAlignment="1">
      <alignment horizontal="justify"/>
    </xf>
    <xf numFmtId="0" fontId="7" fillId="2" borderId="0" xfId="0" applyFont="1" applyFill="1" applyAlignment="1">
      <alignment horizontal="right"/>
    </xf>
    <xf numFmtId="0" fontId="8" fillId="0" borderId="0" xfId="0" applyFont="1" applyAlignment="1">
      <alignment horizontal="right"/>
    </xf>
    <xf numFmtId="0" fontId="8" fillId="0" borderId="0" xfId="0" applyFont="1"/>
    <xf numFmtId="49" fontId="0" fillId="0" borderId="0" xfId="0" applyNumberFormat="1" applyAlignment="1">
      <alignment horizontal="right"/>
    </xf>
    <xf numFmtId="164" fontId="3" fillId="0" borderId="0" xfId="0" applyNumberFormat="1" applyFont="1" applyAlignment="1">
      <alignment horizontal="left"/>
    </xf>
    <xf numFmtId="0" fontId="9" fillId="0" borderId="0" xfId="0" applyFont="1"/>
    <xf numFmtId="0" fontId="10" fillId="0" borderId="0" xfId="0" applyFont="1"/>
    <xf numFmtId="0" fontId="0" fillId="0" borderId="0" xfId="0" applyAlignment="1">
      <alignment horizontal="right" wrapText="1"/>
    </xf>
    <xf numFmtId="0" fontId="0" fillId="0" borderId="0" xfId="0" quotePrefix="1" applyAlignment="1">
      <alignment horizontal="right"/>
    </xf>
  </cellXfs>
  <cellStyles count="1">
    <cellStyle name="Normal" xfId="0" builtinId="0"/>
  </cellStyles>
  <dxfs count="8">
    <dxf>
      <font>
        <color rgb="FFCC0000"/>
      </font>
    </dxf>
    <dxf>
      <font>
        <color rgb="FFCC0000"/>
      </font>
    </dxf>
    <dxf>
      <font>
        <color rgb="FFCC0000"/>
      </font>
    </dxf>
    <dxf>
      <font>
        <color rgb="FFCC0000"/>
      </font>
    </dxf>
    <dxf>
      <fill>
        <patternFill>
          <bgColor rgb="FFC5E0B4"/>
        </patternFill>
      </fill>
    </dxf>
    <dxf>
      <fill>
        <patternFill>
          <bgColor rgb="FFC5E0B4"/>
        </patternFill>
      </fill>
    </dxf>
    <dxf>
      <fill>
        <patternFill>
          <bgColor rgb="FFC5E0B4"/>
        </patternFill>
      </fill>
    </dxf>
    <dxf>
      <fill>
        <patternFill>
          <bgColor rgb="FFC5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H135"/>
  <sheetViews>
    <sheetView tabSelected="1" zoomScaleNormal="100" workbookViewId="0">
      <pane ySplit="1" topLeftCell="A105" activePane="bottomLeft" state="frozen"/>
      <selection pane="bottomLeft" activeCell="C141" sqref="C141"/>
    </sheetView>
  </sheetViews>
  <sheetFormatPr baseColWidth="10" defaultColWidth="10.6640625" defaultRowHeight="13" x14ac:dyDescent="0.15"/>
  <cols>
    <col min="1" max="1" width="24.6640625" customWidth="1"/>
    <col min="2" max="2" width="24.1640625" customWidth="1"/>
    <col min="3" max="3" width="32.6640625" customWidth="1"/>
    <col min="5" max="6" width="21.33203125" style="1" customWidth="1"/>
    <col min="7" max="7" width="11.6640625" customWidth="1"/>
    <col min="8" max="8" width="11" customWidth="1"/>
    <col min="9" max="10" width="10.6640625" style="2" customWidth="1"/>
    <col min="11" max="12" width="15.6640625" style="1" customWidth="1"/>
    <col min="13" max="13" width="20.6640625" style="1" customWidth="1"/>
    <col min="14" max="14" width="15.6640625" style="1" customWidth="1"/>
    <col min="15" max="15" width="19.1640625" style="1" customWidth="1"/>
    <col min="16" max="16" width="22" style="1" customWidth="1"/>
  </cols>
  <sheetData>
    <row r="1" spans="1:1022" s="3" customFormat="1" ht="15.75" customHeight="1" x14ac:dyDescent="0.15">
      <c r="A1" s="3" t="s">
        <v>0</v>
      </c>
      <c r="B1" s="3" t="s">
        <v>1</v>
      </c>
      <c r="C1" s="3" t="s">
        <v>2</v>
      </c>
      <c r="D1" s="3" t="s">
        <v>3</v>
      </c>
      <c r="E1" s="4" t="s">
        <v>4</v>
      </c>
      <c r="F1" s="4" t="s">
        <v>5</v>
      </c>
      <c r="G1" s="3" t="s">
        <v>6</v>
      </c>
      <c r="H1" s="3" t="s">
        <v>7</v>
      </c>
      <c r="I1" s="3" t="s">
        <v>8</v>
      </c>
      <c r="J1" s="3" t="s">
        <v>9</v>
      </c>
      <c r="K1" s="4" t="s">
        <v>10</v>
      </c>
      <c r="L1" s="4" t="s">
        <v>11</v>
      </c>
      <c r="M1" s="4" t="s">
        <v>12</v>
      </c>
      <c r="N1" s="4" t="s">
        <v>13</v>
      </c>
      <c r="O1" s="4" t="s">
        <v>14</v>
      </c>
      <c r="P1" s="4" t="s">
        <v>15</v>
      </c>
      <c r="Q1" s="3" t="s">
        <v>3197</v>
      </c>
      <c r="R1" s="3" t="s">
        <v>3198</v>
      </c>
      <c r="AMB1" s="5"/>
      <c r="AMC1" s="5"/>
      <c r="AMD1" s="5"/>
      <c r="AME1" s="5"/>
      <c r="AMF1"/>
      <c r="AMG1"/>
      <c r="AMH1"/>
    </row>
    <row r="2" spans="1:1022" x14ac:dyDescent="0.15">
      <c r="A2" s="6" t="s">
        <v>264</v>
      </c>
      <c r="B2" t="s">
        <v>17</v>
      </c>
      <c r="C2" t="s">
        <v>3236</v>
      </c>
      <c r="D2">
        <v>500</v>
      </c>
      <c r="E2" s="1" t="s">
        <v>19</v>
      </c>
      <c r="F2" s="1" t="s">
        <v>19</v>
      </c>
      <c r="G2" t="s">
        <v>20</v>
      </c>
      <c r="H2">
        <v>0</v>
      </c>
      <c r="I2" s="7" t="b">
        <v>0</v>
      </c>
      <c r="J2" s="7" t="b">
        <v>0</v>
      </c>
      <c r="K2" s="1" t="s">
        <v>21</v>
      </c>
      <c r="L2" s="1" t="s">
        <v>19</v>
      </c>
      <c r="M2" s="1" t="s">
        <v>19</v>
      </c>
      <c r="N2" s="1" t="s">
        <v>19</v>
      </c>
      <c r="O2" s="1" t="s">
        <v>21</v>
      </c>
      <c r="P2" s="1" t="s">
        <v>19</v>
      </c>
      <c r="Q2" t="b">
        <v>0</v>
      </c>
      <c r="R2" s="1" t="s">
        <v>17</v>
      </c>
    </row>
    <row r="3" spans="1:1022" x14ac:dyDescent="0.15">
      <c r="A3" s="6" t="s">
        <v>16</v>
      </c>
      <c r="B3" t="s">
        <v>17</v>
      </c>
      <c r="C3" t="s">
        <v>18</v>
      </c>
      <c r="D3">
        <v>500</v>
      </c>
      <c r="E3" s="1" t="s">
        <v>19</v>
      </c>
      <c r="F3" s="1" t="s">
        <v>19</v>
      </c>
      <c r="G3" t="s">
        <v>20</v>
      </c>
      <c r="H3">
        <v>0</v>
      </c>
      <c r="I3" s="7" t="b">
        <v>0</v>
      </c>
      <c r="J3" s="7" t="b">
        <v>0</v>
      </c>
      <c r="K3" s="1" t="s">
        <v>21</v>
      </c>
      <c r="L3" s="1" t="s">
        <v>19</v>
      </c>
      <c r="M3" s="1" t="s">
        <v>19</v>
      </c>
      <c r="N3" s="1" t="s">
        <v>19</v>
      </c>
      <c r="O3" s="1" t="s">
        <v>21</v>
      </c>
      <c r="P3" s="1" t="s">
        <v>19</v>
      </c>
      <c r="Q3" t="b">
        <v>0</v>
      </c>
      <c r="R3" s="1" t="s">
        <v>17</v>
      </c>
    </row>
    <row r="4" spans="1:1022" x14ac:dyDescent="0.15">
      <c r="A4" s="6" t="s">
        <v>22</v>
      </c>
      <c r="B4" t="s">
        <v>23</v>
      </c>
      <c r="C4" t="s">
        <v>24</v>
      </c>
      <c r="D4">
        <v>500</v>
      </c>
      <c r="E4" s="1" t="s">
        <v>19</v>
      </c>
      <c r="F4" s="1" t="s">
        <v>19</v>
      </c>
      <c r="G4" t="s">
        <v>25</v>
      </c>
      <c r="H4">
        <v>2</v>
      </c>
      <c r="I4" s="7" t="b">
        <v>0</v>
      </c>
      <c r="J4" s="7" t="b">
        <v>1</v>
      </c>
      <c r="K4" s="1" t="s">
        <v>21</v>
      </c>
      <c r="L4" s="1" t="s">
        <v>19</v>
      </c>
      <c r="M4" s="1" t="s">
        <v>19</v>
      </c>
      <c r="N4" s="1" t="s">
        <v>19</v>
      </c>
      <c r="O4" s="1" t="s">
        <v>21</v>
      </c>
      <c r="P4" s="1" t="s">
        <v>21</v>
      </c>
      <c r="Q4" t="b">
        <v>0</v>
      </c>
      <c r="R4" s="1" t="s">
        <v>17</v>
      </c>
    </row>
    <row r="5" spans="1:1022" x14ac:dyDescent="0.15">
      <c r="A5" s="6" t="s">
        <v>26</v>
      </c>
      <c r="B5" s="6" t="s">
        <v>27</v>
      </c>
      <c r="C5" s="6" t="s">
        <v>28</v>
      </c>
      <c r="D5">
        <v>550</v>
      </c>
      <c r="E5" s="1" t="s">
        <v>19</v>
      </c>
      <c r="F5" s="1" t="s">
        <v>19</v>
      </c>
      <c r="G5" t="s">
        <v>29</v>
      </c>
      <c r="H5">
        <v>1</v>
      </c>
      <c r="I5" s="7" t="b">
        <v>0</v>
      </c>
      <c r="J5" s="7" t="b">
        <v>0</v>
      </c>
      <c r="K5" s="1" t="s">
        <v>21</v>
      </c>
      <c r="L5" s="1" t="s">
        <v>19</v>
      </c>
      <c r="M5" s="1" t="s">
        <v>19</v>
      </c>
      <c r="N5" s="1" t="s">
        <v>19</v>
      </c>
      <c r="O5" s="1" t="s">
        <v>21</v>
      </c>
      <c r="P5" s="1" t="s">
        <v>19</v>
      </c>
      <c r="Q5" t="b">
        <v>0</v>
      </c>
      <c r="R5" s="1" t="s">
        <v>17</v>
      </c>
    </row>
    <row r="6" spans="1:1022" x14ac:dyDescent="0.15">
      <c r="A6" s="6" t="s">
        <v>30</v>
      </c>
      <c r="B6" t="s">
        <v>31</v>
      </c>
      <c r="C6" t="s">
        <v>32</v>
      </c>
      <c r="D6">
        <v>500</v>
      </c>
      <c r="E6" s="1" t="s">
        <v>19</v>
      </c>
      <c r="F6" s="1" t="s">
        <v>19</v>
      </c>
      <c r="G6" t="s">
        <v>33</v>
      </c>
      <c r="H6">
        <v>0</v>
      </c>
      <c r="I6" s="7" t="b">
        <v>0</v>
      </c>
      <c r="J6" s="7" t="b">
        <v>0</v>
      </c>
      <c r="K6" s="1" t="s">
        <v>21</v>
      </c>
      <c r="L6" s="1" t="s">
        <v>19</v>
      </c>
      <c r="M6" s="1" t="s">
        <v>19</v>
      </c>
      <c r="N6" s="1" t="s">
        <v>19</v>
      </c>
      <c r="O6" s="1" t="s">
        <v>21</v>
      </c>
      <c r="P6" s="1" t="s">
        <v>19</v>
      </c>
      <c r="Q6" t="b">
        <v>0</v>
      </c>
      <c r="R6" s="1" t="s">
        <v>17</v>
      </c>
    </row>
    <row r="7" spans="1:1022" x14ac:dyDescent="0.15">
      <c r="A7" t="s">
        <v>34</v>
      </c>
      <c r="B7" t="s">
        <v>17</v>
      </c>
      <c r="C7" t="s">
        <v>35</v>
      </c>
      <c r="D7">
        <v>500</v>
      </c>
      <c r="E7" s="1" t="s">
        <v>19</v>
      </c>
      <c r="F7" s="1" t="s">
        <v>21</v>
      </c>
      <c r="G7" t="s">
        <v>36</v>
      </c>
      <c r="H7">
        <v>0</v>
      </c>
      <c r="I7" s="7" t="b">
        <v>0</v>
      </c>
      <c r="J7" s="7" t="b">
        <v>0</v>
      </c>
      <c r="K7" s="1" t="s">
        <v>19</v>
      </c>
      <c r="L7" s="1" t="s">
        <v>19</v>
      </c>
      <c r="M7" s="1" t="s">
        <v>19</v>
      </c>
      <c r="N7" s="1" t="s">
        <v>19</v>
      </c>
      <c r="O7" s="1" t="s">
        <v>21</v>
      </c>
      <c r="P7" s="1" t="s">
        <v>19</v>
      </c>
      <c r="Q7" t="b">
        <v>0</v>
      </c>
      <c r="R7" s="1" t="s">
        <v>17</v>
      </c>
    </row>
    <row r="8" spans="1:1022" x14ac:dyDescent="0.15">
      <c r="A8" t="s">
        <v>37</v>
      </c>
      <c r="B8" t="s">
        <v>38</v>
      </c>
      <c r="C8" t="s">
        <v>39</v>
      </c>
      <c r="D8">
        <v>500</v>
      </c>
      <c r="E8" s="1" t="s">
        <v>19</v>
      </c>
      <c r="F8" s="1" t="s">
        <v>21</v>
      </c>
      <c r="G8" t="s">
        <v>25</v>
      </c>
      <c r="H8">
        <v>2</v>
      </c>
      <c r="I8" s="7" t="b">
        <v>0</v>
      </c>
      <c r="J8" s="7" t="b">
        <v>0</v>
      </c>
      <c r="K8" s="1" t="s">
        <v>21</v>
      </c>
      <c r="L8" s="1" t="s">
        <v>19</v>
      </c>
      <c r="M8" s="1" t="s">
        <v>19</v>
      </c>
      <c r="N8" s="1" t="s">
        <v>21</v>
      </c>
      <c r="O8" s="1" t="s">
        <v>21</v>
      </c>
      <c r="P8" s="1" t="s">
        <v>21</v>
      </c>
      <c r="Q8" t="b">
        <v>1</v>
      </c>
      <c r="R8" s="1" t="s">
        <v>3205</v>
      </c>
    </row>
    <row r="9" spans="1:1022" x14ac:dyDescent="0.15">
      <c r="A9" t="s">
        <v>40</v>
      </c>
      <c r="B9" t="s">
        <v>17</v>
      </c>
      <c r="C9" t="s">
        <v>41</v>
      </c>
      <c r="D9">
        <v>500</v>
      </c>
      <c r="E9" s="1" t="s">
        <v>19</v>
      </c>
      <c r="F9" s="1" t="s">
        <v>19</v>
      </c>
      <c r="G9" t="s">
        <v>42</v>
      </c>
      <c r="H9">
        <v>0</v>
      </c>
      <c r="I9" s="7" t="b">
        <v>0</v>
      </c>
      <c r="J9" s="7" t="b">
        <v>0</v>
      </c>
      <c r="K9" s="1" t="s">
        <v>21</v>
      </c>
      <c r="L9" s="1" t="s">
        <v>19</v>
      </c>
      <c r="M9" s="1" t="s">
        <v>19</v>
      </c>
      <c r="N9" s="1" t="s">
        <v>19</v>
      </c>
      <c r="O9" s="1" t="s">
        <v>21</v>
      </c>
      <c r="P9" s="1" t="s">
        <v>19</v>
      </c>
      <c r="Q9" t="b">
        <v>0</v>
      </c>
      <c r="R9" s="1" t="s">
        <v>17</v>
      </c>
    </row>
    <row r="10" spans="1:1022" x14ac:dyDescent="0.15">
      <c r="A10" t="s">
        <v>43</v>
      </c>
      <c r="B10" t="s">
        <v>17</v>
      </c>
      <c r="C10" t="s">
        <v>44</v>
      </c>
      <c r="D10">
        <v>600</v>
      </c>
      <c r="E10" s="1" t="s">
        <v>19</v>
      </c>
      <c r="F10" s="1" t="s">
        <v>19</v>
      </c>
      <c r="G10" t="s">
        <v>42</v>
      </c>
      <c r="H10">
        <v>0</v>
      </c>
      <c r="I10" s="7" t="b">
        <v>0</v>
      </c>
      <c r="J10" s="7" t="b">
        <v>0</v>
      </c>
      <c r="K10" s="1" t="s">
        <v>21</v>
      </c>
      <c r="L10" s="1" t="s">
        <v>19</v>
      </c>
      <c r="M10" s="1" t="s">
        <v>19</v>
      </c>
      <c r="N10" s="1" t="s">
        <v>19</v>
      </c>
      <c r="O10" s="1" t="s">
        <v>21</v>
      </c>
      <c r="P10" s="1" t="s">
        <v>19</v>
      </c>
      <c r="Q10" t="b">
        <v>0</v>
      </c>
      <c r="R10" s="1" t="s">
        <v>17</v>
      </c>
    </row>
    <row r="11" spans="1:1022" x14ac:dyDescent="0.15">
      <c r="A11" s="6" t="s">
        <v>45</v>
      </c>
      <c r="B11" t="s">
        <v>17</v>
      </c>
      <c r="C11" t="s">
        <v>46</v>
      </c>
      <c r="D11">
        <v>200</v>
      </c>
      <c r="E11" s="1" t="s">
        <v>19</v>
      </c>
      <c r="F11" s="1" t="s">
        <v>21</v>
      </c>
      <c r="G11" t="s">
        <v>47</v>
      </c>
      <c r="H11">
        <v>1</v>
      </c>
      <c r="I11" s="7" t="b">
        <v>0</v>
      </c>
      <c r="J11" s="7" t="b">
        <v>0</v>
      </c>
      <c r="K11" s="1" t="s">
        <v>21</v>
      </c>
      <c r="L11" s="1" t="s">
        <v>19</v>
      </c>
      <c r="M11" s="1" t="s">
        <v>19</v>
      </c>
      <c r="N11" s="1" t="s">
        <v>19</v>
      </c>
      <c r="O11" s="1" t="s">
        <v>21</v>
      </c>
      <c r="P11" s="1" t="s">
        <v>19</v>
      </c>
      <c r="Q11" t="b">
        <v>0</v>
      </c>
      <c r="R11" s="1" t="s">
        <v>17</v>
      </c>
    </row>
    <row r="12" spans="1:1022" x14ac:dyDescent="0.15">
      <c r="A12" s="6" t="s">
        <v>48</v>
      </c>
      <c r="B12" t="s">
        <v>17</v>
      </c>
      <c r="C12" t="s">
        <v>49</v>
      </c>
      <c r="D12">
        <v>200</v>
      </c>
      <c r="E12" s="1" t="s">
        <v>19</v>
      </c>
      <c r="F12" s="1" t="s">
        <v>21</v>
      </c>
      <c r="G12" t="s">
        <v>47</v>
      </c>
      <c r="H12">
        <v>1</v>
      </c>
      <c r="I12" s="7" t="b">
        <v>0</v>
      </c>
      <c r="J12" s="7" t="b">
        <v>0</v>
      </c>
      <c r="K12" s="1" t="s">
        <v>21</v>
      </c>
      <c r="L12" s="1" t="s">
        <v>19</v>
      </c>
      <c r="M12" s="1" t="s">
        <v>19</v>
      </c>
      <c r="N12" s="1" t="s">
        <v>19</v>
      </c>
      <c r="O12" s="1" t="s">
        <v>21</v>
      </c>
      <c r="P12" s="1" t="s">
        <v>19</v>
      </c>
      <c r="Q12" t="b">
        <v>0</v>
      </c>
      <c r="R12" s="1" t="s">
        <v>17</v>
      </c>
    </row>
    <row r="13" spans="1:1022" x14ac:dyDescent="0.15">
      <c r="A13" s="6" t="s">
        <v>2954</v>
      </c>
      <c r="B13" t="s">
        <v>17</v>
      </c>
      <c r="C13" t="s">
        <v>2968</v>
      </c>
      <c r="D13">
        <v>500</v>
      </c>
      <c r="E13" s="1" t="s">
        <v>19</v>
      </c>
      <c r="F13" s="1" t="s">
        <v>21</v>
      </c>
      <c r="G13" t="s">
        <v>42</v>
      </c>
      <c r="H13">
        <v>0</v>
      </c>
      <c r="I13" s="7" t="b">
        <v>0</v>
      </c>
      <c r="J13" s="7" t="b">
        <v>0</v>
      </c>
      <c r="K13" s="23" t="b">
        <v>0</v>
      </c>
      <c r="L13" s="23" t="b">
        <v>0</v>
      </c>
      <c r="M13" s="23" t="b">
        <v>0</v>
      </c>
      <c r="N13" s="23" t="b">
        <v>0</v>
      </c>
      <c r="O13" s="23" t="b">
        <v>1</v>
      </c>
      <c r="P13" s="11" t="s">
        <v>21</v>
      </c>
      <c r="Q13" t="b">
        <v>0</v>
      </c>
      <c r="R13" s="1" t="s">
        <v>17</v>
      </c>
    </row>
    <row r="14" spans="1:1022" x14ac:dyDescent="0.15">
      <c r="A14" s="6" t="s">
        <v>50</v>
      </c>
      <c r="B14" s="6" t="s">
        <v>22</v>
      </c>
      <c r="C14" s="6" t="s">
        <v>51</v>
      </c>
      <c r="D14">
        <v>500</v>
      </c>
      <c r="E14" s="1" t="s">
        <v>19</v>
      </c>
      <c r="F14" s="1" t="s">
        <v>21</v>
      </c>
      <c r="G14" t="s">
        <v>25</v>
      </c>
      <c r="H14">
        <v>2</v>
      </c>
      <c r="I14" s="7" t="b">
        <v>0</v>
      </c>
      <c r="J14" s="7" t="b">
        <v>0</v>
      </c>
      <c r="K14" s="1" t="s">
        <v>21</v>
      </c>
      <c r="L14" s="1" t="s">
        <v>19</v>
      </c>
      <c r="M14" s="1" t="s">
        <v>19</v>
      </c>
      <c r="N14" s="1" t="s">
        <v>19</v>
      </c>
      <c r="O14" s="1" t="s">
        <v>21</v>
      </c>
      <c r="P14" s="1" t="s">
        <v>21</v>
      </c>
      <c r="Q14" t="b">
        <v>0</v>
      </c>
      <c r="R14" s="1" t="s">
        <v>17</v>
      </c>
    </row>
    <row r="15" spans="1:1022" x14ac:dyDescent="0.15">
      <c r="A15" t="s">
        <v>52</v>
      </c>
      <c r="B15" t="s">
        <v>53</v>
      </c>
      <c r="C15" t="s">
        <v>54</v>
      </c>
      <c r="D15">
        <v>500</v>
      </c>
      <c r="E15" s="1" t="s">
        <v>19</v>
      </c>
      <c r="F15" s="1" t="s">
        <v>21</v>
      </c>
      <c r="G15" t="s">
        <v>55</v>
      </c>
      <c r="H15">
        <v>2</v>
      </c>
      <c r="I15" s="7" t="b">
        <v>0</v>
      </c>
      <c r="J15" s="7" t="b">
        <v>0</v>
      </c>
      <c r="K15" s="1" t="s">
        <v>19</v>
      </c>
      <c r="L15" s="1" t="s">
        <v>19</v>
      </c>
      <c r="M15" s="1" t="s">
        <v>19</v>
      </c>
      <c r="N15" s="1" t="s">
        <v>21</v>
      </c>
      <c r="O15" s="1" t="s">
        <v>21</v>
      </c>
      <c r="P15" s="1" t="s">
        <v>21</v>
      </c>
      <c r="Q15" t="b">
        <v>0</v>
      </c>
      <c r="R15" s="1" t="s">
        <v>17</v>
      </c>
    </row>
    <row r="16" spans="1:1022" x14ac:dyDescent="0.15">
      <c r="A16" t="s">
        <v>56</v>
      </c>
      <c r="B16" t="s">
        <v>53</v>
      </c>
      <c r="C16" t="s">
        <v>57</v>
      </c>
      <c r="D16">
        <v>500</v>
      </c>
      <c r="E16" s="1" t="s">
        <v>19</v>
      </c>
      <c r="F16" s="1" t="s">
        <v>21</v>
      </c>
      <c r="G16" t="s">
        <v>55</v>
      </c>
      <c r="H16">
        <v>2</v>
      </c>
      <c r="I16" s="7" t="b">
        <v>0</v>
      </c>
      <c r="J16" s="7" t="b">
        <v>0</v>
      </c>
      <c r="K16" s="1" t="s">
        <v>19</v>
      </c>
      <c r="L16" s="1" t="s">
        <v>19</v>
      </c>
      <c r="M16" s="1" t="s">
        <v>19</v>
      </c>
      <c r="N16" s="1" t="s">
        <v>21</v>
      </c>
      <c r="O16" s="1" t="s">
        <v>21</v>
      </c>
      <c r="P16" s="1" t="s">
        <v>21</v>
      </c>
      <c r="Q16" t="b">
        <v>0</v>
      </c>
      <c r="R16" s="1" t="s">
        <v>17</v>
      </c>
    </row>
    <row r="17" spans="1:18" x14ac:dyDescent="0.15">
      <c r="A17" t="s">
        <v>58</v>
      </c>
      <c r="B17" t="s">
        <v>53</v>
      </c>
      <c r="C17" t="s">
        <v>59</v>
      </c>
      <c r="D17">
        <v>500</v>
      </c>
      <c r="E17" s="1" t="s">
        <v>19</v>
      </c>
      <c r="F17" s="1" t="s">
        <v>21</v>
      </c>
      <c r="G17" t="s">
        <v>55</v>
      </c>
      <c r="H17">
        <v>2</v>
      </c>
      <c r="I17" s="7" t="b">
        <v>0</v>
      </c>
      <c r="J17" s="7" t="b">
        <v>0</v>
      </c>
      <c r="K17" s="1" t="s">
        <v>19</v>
      </c>
      <c r="L17" s="1" t="s">
        <v>19</v>
      </c>
      <c r="M17" s="1" t="s">
        <v>19</v>
      </c>
      <c r="N17" s="1" t="s">
        <v>21</v>
      </c>
      <c r="O17" s="1" t="s">
        <v>21</v>
      </c>
      <c r="P17" s="1" t="s">
        <v>21</v>
      </c>
      <c r="Q17" t="b">
        <v>0</v>
      </c>
      <c r="R17" s="1" t="s">
        <v>17</v>
      </c>
    </row>
    <row r="18" spans="1:18" x14ac:dyDescent="0.15">
      <c r="A18" t="s">
        <v>60</v>
      </c>
      <c r="B18" t="s">
        <v>53</v>
      </c>
      <c r="C18" t="s">
        <v>61</v>
      </c>
      <c r="D18">
        <v>500</v>
      </c>
      <c r="E18" s="1" t="s">
        <v>19</v>
      </c>
      <c r="F18" s="1" t="s">
        <v>21</v>
      </c>
      <c r="G18" t="s">
        <v>55</v>
      </c>
      <c r="H18">
        <v>2</v>
      </c>
      <c r="I18" s="7" t="b">
        <v>0</v>
      </c>
      <c r="J18" s="7" t="b">
        <v>0</v>
      </c>
      <c r="K18" s="1" t="s">
        <v>19</v>
      </c>
      <c r="L18" s="1" t="s">
        <v>19</v>
      </c>
      <c r="M18" s="1" t="s">
        <v>19</v>
      </c>
      <c r="N18" s="1" t="s">
        <v>19</v>
      </c>
      <c r="O18" s="1" t="s">
        <v>21</v>
      </c>
      <c r="P18" s="1" t="s">
        <v>21</v>
      </c>
      <c r="Q18" t="b">
        <v>0</v>
      </c>
      <c r="R18" s="1" t="s">
        <v>17</v>
      </c>
    </row>
    <row r="19" spans="1:18" x14ac:dyDescent="0.15">
      <c r="A19" t="s">
        <v>62</v>
      </c>
      <c r="B19" t="s">
        <v>53</v>
      </c>
      <c r="C19" t="s">
        <v>63</v>
      </c>
      <c r="D19">
        <v>500</v>
      </c>
      <c r="E19" s="1" t="s">
        <v>19</v>
      </c>
      <c r="F19" s="1" t="s">
        <v>21</v>
      </c>
      <c r="G19" t="s">
        <v>55</v>
      </c>
      <c r="H19">
        <v>2</v>
      </c>
      <c r="I19" s="7" t="b">
        <v>0</v>
      </c>
      <c r="J19" s="7" t="b">
        <v>0</v>
      </c>
      <c r="K19" s="1" t="s">
        <v>19</v>
      </c>
      <c r="L19" s="1" t="s">
        <v>19</v>
      </c>
      <c r="M19" s="1" t="s">
        <v>19</v>
      </c>
      <c r="N19" s="1" t="s">
        <v>21</v>
      </c>
      <c r="O19" s="1" t="s">
        <v>21</v>
      </c>
      <c r="P19" s="1" t="s">
        <v>21</v>
      </c>
      <c r="Q19" t="b">
        <v>0</v>
      </c>
      <c r="R19" s="1" t="s">
        <v>17</v>
      </c>
    </row>
    <row r="20" spans="1:18" x14ac:dyDescent="0.15">
      <c r="A20" t="s">
        <v>64</v>
      </c>
      <c r="B20" t="s">
        <v>53</v>
      </c>
      <c r="C20" t="s">
        <v>65</v>
      </c>
      <c r="D20">
        <v>500</v>
      </c>
      <c r="E20" s="1" t="s">
        <v>19</v>
      </c>
      <c r="F20" s="1" t="s">
        <v>21</v>
      </c>
      <c r="G20" t="s">
        <v>55</v>
      </c>
      <c r="H20">
        <v>2</v>
      </c>
      <c r="I20" s="7" t="b">
        <v>0</v>
      </c>
      <c r="J20" s="7" t="b">
        <v>0</v>
      </c>
      <c r="K20" s="1" t="s">
        <v>19</v>
      </c>
      <c r="L20" s="1" t="s">
        <v>19</v>
      </c>
      <c r="M20" s="1" t="s">
        <v>19</v>
      </c>
      <c r="N20" s="1" t="s">
        <v>21</v>
      </c>
      <c r="O20" s="1" t="s">
        <v>21</v>
      </c>
      <c r="P20" s="1" t="s">
        <v>21</v>
      </c>
      <c r="Q20" t="b">
        <v>0</v>
      </c>
      <c r="R20" s="1" t="s">
        <v>17</v>
      </c>
    </row>
    <row r="21" spans="1:18" x14ac:dyDescent="0.15">
      <c r="A21" t="s">
        <v>66</v>
      </c>
      <c r="B21" t="s">
        <v>53</v>
      </c>
      <c r="C21" t="s">
        <v>67</v>
      </c>
      <c r="D21">
        <v>500</v>
      </c>
      <c r="E21" s="1" t="s">
        <v>19</v>
      </c>
      <c r="F21" s="1" t="s">
        <v>21</v>
      </c>
      <c r="G21" t="s">
        <v>55</v>
      </c>
      <c r="H21">
        <v>2</v>
      </c>
      <c r="I21" s="7" t="b">
        <v>0</v>
      </c>
      <c r="J21" s="7" t="b">
        <v>0</v>
      </c>
      <c r="K21" s="1" t="s">
        <v>19</v>
      </c>
      <c r="L21" s="1" t="s">
        <v>19</v>
      </c>
      <c r="M21" s="1" t="s">
        <v>19</v>
      </c>
      <c r="N21" s="1" t="s">
        <v>21</v>
      </c>
      <c r="O21" s="1" t="s">
        <v>21</v>
      </c>
      <c r="P21" s="1" t="s">
        <v>21</v>
      </c>
      <c r="Q21" t="b">
        <v>0</v>
      </c>
      <c r="R21" s="1" t="s">
        <v>17</v>
      </c>
    </row>
    <row r="22" spans="1:18" x14ac:dyDescent="0.15">
      <c r="A22" t="s">
        <v>53</v>
      </c>
      <c r="B22" t="s">
        <v>17</v>
      </c>
      <c r="C22" t="s">
        <v>68</v>
      </c>
      <c r="D22">
        <v>500</v>
      </c>
      <c r="E22" s="1" t="s">
        <v>19</v>
      </c>
      <c r="F22" s="1" t="s">
        <v>19</v>
      </c>
      <c r="G22" t="s">
        <v>55</v>
      </c>
      <c r="H22">
        <v>2</v>
      </c>
      <c r="I22" s="7" t="b">
        <v>0</v>
      </c>
      <c r="J22" s="7" t="b">
        <v>0</v>
      </c>
      <c r="K22" s="1" t="s">
        <v>21</v>
      </c>
      <c r="L22" s="1" t="s">
        <v>19</v>
      </c>
      <c r="M22" s="1" t="s">
        <v>19</v>
      </c>
      <c r="N22" s="1" t="s">
        <v>21</v>
      </c>
      <c r="O22" s="1" t="s">
        <v>21</v>
      </c>
      <c r="P22" s="1" t="s">
        <v>21</v>
      </c>
      <c r="Q22" t="b">
        <v>0</v>
      </c>
      <c r="R22" s="1" t="s">
        <v>17</v>
      </c>
    </row>
    <row r="23" spans="1:18" x14ac:dyDescent="0.15">
      <c r="A23" s="6" t="s">
        <v>69</v>
      </c>
      <c r="B23" t="s">
        <v>17</v>
      </c>
      <c r="C23" t="s">
        <v>70</v>
      </c>
      <c r="D23">
        <v>600</v>
      </c>
      <c r="E23" s="1" t="s">
        <v>19</v>
      </c>
      <c r="F23" s="1" t="s">
        <v>19</v>
      </c>
      <c r="G23" t="s">
        <v>20</v>
      </c>
      <c r="H23">
        <v>0</v>
      </c>
      <c r="I23" s="7" t="b">
        <v>0</v>
      </c>
      <c r="J23" s="7" t="b">
        <v>0</v>
      </c>
      <c r="K23" s="1" t="s">
        <v>21</v>
      </c>
      <c r="L23" s="1" t="s">
        <v>19</v>
      </c>
      <c r="M23" s="1" t="s">
        <v>19</v>
      </c>
      <c r="N23" s="1" t="s">
        <v>19</v>
      </c>
      <c r="O23" s="1" t="s">
        <v>21</v>
      </c>
      <c r="P23" s="1" t="s">
        <v>19</v>
      </c>
      <c r="Q23" t="b">
        <v>1</v>
      </c>
      <c r="R23" s="1" t="s">
        <v>3199</v>
      </c>
    </row>
    <row r="24" spans="1:18" x14ac:dyDescent="0.15">
      <c r="A24" s="6" t="s">
        <v>71</v>
      </c>
      <c r="B24" t="s">
        <v>17</v>
      </c>
      <c r="C24" t="s">
        <v>72</v>
      </c>
      <c r="D24">
        <v>500</v>
      </c>
      <c r="E24" s="1" t="s">
        <v>19</v>
      </c>
      <c r="F24" s="1" t="s">
        <v>19</v>
      </c>
      <c r="G24" t="s">
        <v>20</v>
      </c>
      <c r="H24">
        <v>0</v>
      </c>
      <c r="I24" s="7" t="b">
        <v>0</v>
      </c>
      <c r="J24" s="7" t="b">
        <v>0</v>
      </c>
      <c r="K24" s="1" t="s">
        <v>21</v>
      </c>
      <c r="L24" s="1" t="s">
        <v>19</v>
      </c>
      <c r="M24" s="1" t="s">
        <v>19</v>
      </c>
      <c r="N24" s="1" t="s">
        <v>19</v>
      </c>
      <c r="O24" s="1" t="s">
        <v>21</v>
      </c>
      <c r="P24" s="1" t="s">
        <v>19</v>
      </c>
      <c r="Q24" t="b">
        <v>0</v>
      </c>
      <c r="R24" s="1" t="s">
        <v>17</v>
      </c>
    </row>
    <row r="25" spans="1:18" x14ac:dyDescent="0.15">
      <c r="A25" s="6" t="s">
        <v>73</v>
      </c>
      <c r="B25" t="s">
        <v>17</v>
      </c>
      <c r="C25" t="s">
        <v>74</v>
      </c>
      <c r="D25">
        <v>500</v>
      </c>
      <c r="E25" s="1" t="s">
        <v>19</v>
      </c>
      <c r="F25" s="1" t="s">
        <v>19</v>
      </c>
      <c r="G25" t="s">
        <v>20</v>
      </c>
      <c r="H25">
        <v>0</v>
      </c>
      <c r="I25" s="7" t="b">
        <v>0</v>
      </c>
      <c r="J25" s="7" t="b">
        <v>0</v>
      </c>
      <c r="K25" s="1" t="s">
        <v>21</v>
      </c>
      <c r="L25" s="1" t="s">
        <v>19</v>
      </c>
      <c r="M25" s="1" t="s">
        <v>19</v>
      </c>
      <c r="N25" s="1" t="s">
        <v>19</v>
      </c>
      <c r="O25" s="1" t="s">
        <v>21</v>
      </c>
      <c r="P25" s="1" t="s">
        <v>19</v>
      </c>
      <c r="Q25" t="b">
        <v>0</v>
      </c>
      <c r="R25" s="1" t="s">
        <v>17</v>
      </c>
    </row>
    <row r="26" spans="1:18" x14ac:dyDescent="0.15">
      <c r="A26" s="6" t="s">
        <v>75</v>
      </c>
      <c r="B26" t="s">
        <v>17</v>
      </c>
      <c r="C26" t="s">
        <v>76</v>
      </c>
      <c r="D26">
        <v>500</v>
      </c>
      <c r="E26" s="1" t="s">
        <v>19</v>
      </c>
      <c r="F26" s="1" t="s">
        <v>19</v>
      </c>
      <c r="G26" t="s">
        <v>20</v>
      </c>
      <c r="H26">
        <v>0</v>
      </c>
      <c r="I26" s="7" t="b">
        <v>0</v>
      </c>
      <c r="J26" s="7" t="b">
        <v>0</v>
      </c>
      <c r="K26" s="1" t="s">
        <v>21</v>
      </c>
      <c r="L26" s="1" t="s">
        <v>19</v>
      </c>
      <c r="M26" s="1" t="s">
        <v>19</v>
      </c>
      <c r="N26" s="1" t="s">
        <v>19</v>
      </c>
      <c r="O26" s="1" t="s">
        <v>21</v>
      </c>
      <c r="P26" s="1" t="s">
        <v>19</v>
      </c>
      <c r="Q26" t="b">
        <v>0</v>
      </c>
      <c r="R26" s="1" t="s">
        <v>17</v>
      </c>
    </row>
    <row r="27" spans="1:18" x14ac:dyDescent="0.15">
      <c r="A27" s="6" t="s">
        <v>77</v>
      </c>
      <c r="B27" t="s">
        <v>17</v>
      </c>
      <c r="C27" t="s">
        <v>78</v>
      </c>
      <c r="D27">
        <v>500</v>
      </c>
      <c r="E27" s="1" t="s">
        <v>19</v>
      </c>
      <c r="F27" s="1" t="s">
        <v>19</v>
      </c>
      <c r="G27" t="s">
        <v>20</v>
      </c>
      <c r="H27">
        <v>0</v>
      </c>
      <c r="I27" s="7" t="b">
        <v>0</v>
      </c>
      <c r="J27" s="7" t="b">
        <v>0</v>
      </c>
      <c r="K27" s="1" t="s">
        <v>21</v>
      </c>
      <c r="L27" s="1" t="s">
        <v>19</v>
      </c>
      <c r="M27" s="1" t="s">
        <v>19</v>
      </c>
      <c r="N27" s="1" t="s">
        <v>19</v>
      </c>
      <c r="O27" s="1" t="s">
        <v>21</v>
      </c>
      <c r="P27" s="1" t="s">
        <v>19</v>
      </c>
      <c r="Q27" t="b">
        <v>0</v>
      </c>
      <c r="R27" s="1" t="s">
        <v>17</v>
      </c>
    </row>
    <row r="28" spans="1:18" x14ac:dyDescent="0.15">
      <c r="A28" t="s">
        <v>79</v>
      </c>
      <c r="B28" t="s">
        <v>17</v>
      </c>
      <c r="C28" t="s">
        <v>80</v>
      </c>
      <c r="D28">
        <v>200</v>
      </c>
      <c r="E28" s="1" t="s">
        <v>19</v>
      </c>
      <c r="F28" s="1" t="s">
        <v>19</v>
      </c>
      <c r="G28" t="s">
        <v>81</v>
      </c>
      <c r="H28">
        <v>0</v>
      </c>
      <c r="I28" s="7" t="b">
        <v>0</v>
      </c>
      <c r="J28" s="7" t="b">
        <v>0</v>
      </c>
      <c r="K28" s="1" t="s">
        <v>21</v>
      </c>
      <c r="L28" s="1" t="s">
        <v>19</v>
      </c>
      <c r="M28" s="1" t="s">
        <v>19</v>
      </c>
      <c r="N28" s="1" t="s">
        <v>19</v>
      </c>
      <c r="O28" s="1" t="s">
        <v>21</v>
      </c>
      <c r="P28" s="1" t="s">
        <v>19</v>
      </c>
      <c r="Q28" t="b">
        <v>0</v>
      </c>
      <c r="R28" s="1" t="s">
        <v>17</v>
      </c>
    </row>
    <row r="29" spans="1:18" x14ac:dyDescent="0.15">
      <c r="A29" t="s">
        <v>82</v>
      </c>
      <c r="B29" t="s">
        <v>17</v>
      </c>
      <c r="C29" t="s">
        <v>83</v>
      </c>
      <c r="D29">
        <v>200</v>
      </c>
      <c r="E29" s="1" t="s">
        <v>19</v>
      </c>
      <c r="F29" s="1" t="s">
        <v>19</v>
      </c>
      <c r="G29" t="s">
        <v>81</v>
      </c>
      <c r="H29">
        <v>0</v>
      </c>
      <c r="I29" s="7" t="b">
        <v>0</v>
      </c>
      <c r="J29" s="7" t="b">
        <v>0</v>
      </c>
      <c r="K29" s="1" t="s">
        <v>21</v>
      </c>
      <c r="L29" s="1" t="s">
        <v>19</v>
      </c>
      <c r="M29" s="1" t="s">
        <v>19</v>
      </c>
      <c r="N29" s="1" t="s">
        <v>19</v>
      </c>
      <c r="O29" s="1" t="s">
        <v>21</v>
      </c>
      <c r="P29" s="1" t="s">
        <v>19</v>
      </c>
      <c r="Q29" t="b">
        <v>0</v>
      </c>
      <c r="R29" s="1" t="s">
        <v>17</v>
      </c>
    </row>
    <row r="30" spans="1:18" x14ac:dyDescent="0.15">
      <c r="A30" s="6" t="s">
        <v>84</v>
      </c>
      <c r="B30" t="s">
        <v>17</v>
      </c>
      <c r="C30" t="s">
        <v>85</v>
      </c>
      <c r="D30">
        <v>200</v>
      </c>
      <c r="E30" s="1" t="s">
        <v>19</v>
      </c>
      <c r="F30" s="1" t="s">
        <v>19</v>
      </c>
      <c r="G30" t="s">
        <v>81</v>
      </c>
      <c r="H30">
        <v>0</v>
      </c>
      <c r="I30" s="7" t="b">
        <v>0</v>
      </c>
      <c r="J30" s="7" t="b">
        <v>0</v>
      </c>
      <c r="K30" s="1" t="s">
        <v>21</v>
      </c>
      <c r="L30" s="1" t="s">
        <v>19</v>
      </c>
      <c r="M30" s="1" t="s">
        <v>19</v>
      </c>
      <c r="N30" s="1" t="s">
        <v>19</v>
      </c>
      <c r="O30" s="1" t="s">
        <v>21</v>
      </c>
      <c r="P30" s="1" t="s">
        <v>19</v>
      </c>
      <c r="Q30" t="b">
        <v>0</v>
      </c>
      <c r="R30" s="1" t="s">
        <v>17</v>
      </c>
    </row>
    <row r="31" spans="1:18" x14ac:dyDescent="0.15">
      <c r="A31" t="s">
        <v>86</v>
      </c>
      <c r="B31" t="s">
        <v>17</v>
      </c>
      <c r="C31" t="s">
        <v>87</v>
      </c>
      <c r="D31">
        <v>200</v>
      </c>
      <c r="E31" s="1" t="s">
        <v>19</v>
      </c>
      <c r="F31" s="1" t="s">
        <v>19</v>
      </c>
      <c r="G31" t="s">
        <v>81</v>
      </c>
      <c r="H31">
        <v>0</v>
      </c>
      <c r="I31" s="7" t="b">
        <v>0</v>
      </c>
      <c r="J31" s="7" t="b">
        <v>0</v>
      </c>
      <c r="K31" s="1" t="s">
        <v>21</v>
      </c>
      <c r="L31" s="1" t="s">
        <v>19</v>
      </c>
      <c r="M31" s="1" t="s">
        <v>19</v>
      </c>
      <c r="N31" s="1" t="s">
        <v>19</v>
      </c>
      <c r="O31" s="1" t="s">
        <v>21</v>
      </c>
      <c r="P31" s="1" t="s">
        <v>19</v>
      </c>
      <c r="Q31" t="b">
        <v>0</v>
      </c>
      <c r="R31" s="1" t="s">
        <v>17</v>
      </c>
    </row>
    <row r="32" spans="1:18" x14ac:dyDescent="0.15">
      <c r="A32" s="6" t="s">
        <v>88</v>
      </c>
      <c r="B32" s="6" t="s">
        <v>22</v>
      </c>
      <c r="C32" s="6" t="s">
        <v>89</v>
      </c>
      <c r="D32">
        <v>500</v>
      </c>
      <c r="E32" s="1" t="s">
        <v>19</v>
      </c>
      <c r="F32" s="1" t="s">
        <v>21</v>
      </c>
      <c r="G32" t="s">
        <v>25</v>
      </c>
      <c r="H32">
        <v>2</v>
      </c>
      <c r="I32" s="7" t="b">
        <v>0</v>
      </c>
      <c r="J32" s="7" t="b">
        <v>0</v>
      </c>
      <c r="K32" s="1" t="s">
        <v>21</v>
      </c>
      <c r="L32" s="1" t="s">
        <v>19</v>
      </c>
      <c r="M32" s="1" t="s">
        <v>19</v>
      </c>
      <c r="N32" s="1" t="s">
        <v>19</v>
      </c>
      <c r="O32" s="1" t="s">
        <v>21</v>
      </c>
      <c r="P32" s="1" t="s">
        <v>21</v>
      </c>
      <c r="Q32" t="b">
        <v>0</v>
      </c>
      <c r="R32" s="1" t="s">
        <v>17</v>
      </c>
    </row>
    <row r="33" spans="1:18" x14ac:dyDescent="0.15">
      <c r="A33" s="6" t="s">
        <v>90</v>
      </c>
      <c r="B33" s="6" t="s">
        <v>91</v>
      </c>
      <c r="C33" s="6" t="s">
        <v>92</v>
      </c>
      <c r="D33">
        <v>450</v>
      </c>
      <c r="E33" s="1" t="s">
        <v>19</v>
      </c>
      <c r="F33" s="1" t="s">
        <v>19</v>
      </c>
      <c r="G33" t="s">
        <v>93</v>
      </c>
      <c r="H33">
        <v>1</v>
      </c>
      <c r="I33" s="7" t="b">
        <v>0</v>
      </c>
      <c r="J33" s="7" t="b">
        <v>0</v>
      </c>
      <c r="K33" s="1" t="s">
        <v>21</v>
      </c>
      <c r="L33" s="1" t="s">
        <v>19</v>
      </c>
      <c r="M33" s="1" t="s">
        <v>19</v>
      </c>
      <c r="N33" s="1" t="s">
        <v>19</v>
      </c>
      <c r="O33" s="1" t="s">
        <v>21</v>
      </c>
      <c r="P33" s="1" t="s">
        <v>19</v>
      </c>
      <c r="Q33" t="b">
        <v>0</v>
      </c>
      <c r="R33" s="1" t="s">
        <v>17</v>
      </c>
    </row>
    <row r="34" spans="1:18" x14ac:dyDescent="0.15">
      <c r="A34" s="6" t="s">
        <v>94</v>
      </c>
      <c r="B34" s="6" t="s">
        <v>95</v>
      </c>
      <c r="C34" s="6" t="s">
        <v>96</v>
      </c>
      <c r="D34">
        <v>500</v>
      </c>
      <c r="E34" s="1" t="s">
        <v>19</v>
      </c>
      <c r="F34" s="1" t="s">
        <v>21</v>
      </c>
      <c r="G34" t="s">
        <v>25</v>
      </c>
      <c r="H34">
        <v>2</v>
      </c>
      <c r="I34" s="7" t="b">
        <v>0</v>
      </c>
      <c r="J34" s="7" t="b">
        <v>0</v>
      </c>
      <c r="K34" s="1" t="s">
        <v>21</v>
      </c>
      <c r="L34" s="1" t="s">
        <v>19</v>
      </c>
      <c r="M34" s="1" t="s">
        <v>19</v>
      </c>
      <c r="N34" s="1" t="s">
        <v>19</v>
      </c>
      <c r="O34" s="1" t="s">
        <v>21</v>
      </c>
      <c r="P34" s="1" t="s">
        <v>21</v>
      </c>
      <c r="Q34" t="b">
        <v>0</v>
      </c>
      <c r="R34" s="1" t="s">
        <v>17</v>
      </c>
    </row>
    <row r="35" spans="1:18" x14ac:dyDescent="0.15">
      <c r="A35" s="6" t="s">
        <v>97</v>
      </c>
      <c r="B35" s="6" t="s">
        <v>95</v>
      </c>
      <c r="C35" s="6" t="s">
        <v>98</v>
      </c>
      <c r="D35">
        <v>500</v>
      </c>
      <c r="E35" s="1" t="s">
        <v>19</v>
      </c>
      <c r="F35" s="1" t="s">
        <v>21</v>
      </c>
      <c r="G35" t="s">
        <v>25</v>
      </c>
      <c r="H35">
        <v>2</v>
      </c>
      <c r="I35" s="7" t="b">
        <v>0</v>
      </c>
      <c r="J35" s="7" t="b">
        <v>0</v>
      </c>
      <c r="K35" s="1" t="s">
        <v>21</v>
      </c>
      <c r="L35" s="1" t="s">
        <v>19</v>
      </c>
      <c r="M35" s="1" t="s">
        <v>19</v>
      </c>
      <c r="N35" s="1" t="s">
        <v>19</v>
      </c>
      <c r="O35" s="1" t="s">
        <v>21</v>
      </c>
      <c r="P35" s="1" t="s">
        <v>21</v>
      </c>
      <c r="Q35" t="b">
        <v>0</v>
      </c>
      <c r="R35" s="1" t="s">
        <v>17</v>
      </c>
    </row>
    <row r="36" spans="1:18" x14ac:dyDescent="0.15">
      <c r="A36" s="6" t="s">
        <v>95</v>
      </c>
      <c r="B36" s="6" t="s">
        <v>22</v>
      </c>
      <c r="C36" s="6" t="s">
        <v>99</v>
      </c>
      <c r="D36">
        <v>500</v>
      </c>
      <c r="E36" s="1" t="s">
        <v>19</v>
      </c>
      <c r="F36" s="1" t="s">
        <v>21</v>
      </c>
      <c r="G36" t="s">
        <v>25</v>
      </c>
      <c r="H36">
        <v>2</v>
      </c>
      <c r="I36" s="7" t="b">
        <v>0</v>
      </c>
      <c r="J36" s="7" t="b">
        <v>0</v>
      </c>
      <c r="K36" s="1" t="s">
        <v>21</v>
      </c>
      <c r="L36" s="1" t="s">
        <v>19</v>
      </c>
      <c r="M36" s="1" t="s">
        <v>19</v>
      </c>
      <c r="N36" s="1" t="s">
        <v>19</v>
      </c>
      <c r="O36" s="1" t="s">
        <v>21</v>
      </c>
      <c r="P36" s="1" t="s">
        <v>21</v>
      </c>
      <c r="Q36" t="b">
        <v>0</v>
      </c>
      <c r="R36" s="1" t="s">
        <v>17</v>
      </c>
    </row>
    <row r="37" spans="1:18" x14ac:dyDescent="0.15">
      <c r="A37" s="6" t="s">
        <v>27</v>
      </c>
      <c r="B37" t="s">
        <v>17</v>
      </c>
      <c r="C37" t="s">
        <v>100</v>
      </c>
      <c r="D37">
        <v>500</v>
      </c>
      <c r="E37" s="1" t="s">
        <v>19</v>
      </c>
      <c r="F37" s="1" t="s">
        <v>19</v>
      </c>
      <c r="G37" t="s">
        <v>29</v>
      </c>
      <c r="H37">
        <v>1</v>
      </c>
      <c r="I37" s="7" t="b">
        <v>0</v>
      </c>
      <c r="J37" s="7" t="b">
        <v>1</v>
      </c>
      <c r="K37" s="1" t="s">
        <v>21</v>
      </c>
      <c r="L37" s="1" t="s">
        <v>19</v>
      </c>
      <c r="M37" s="1" t="s">
        <v>19</v>
      </c>
      <c r="N37" s="1" t="s">
        <v>19</v>
      </c>
      <c r="O37" s="1" t="s">
        <v>21</v>
      </c>
      <c r="P37" s="1" t="s">
        <v>19</v>
      </c>
      <c r="Q37" t="b">
        <v>0</v>
      </c>
      <c r="R37" s="1" t="s">
        <v>17</v>
      </c>
    </row>
    <row r="38" spans="1:18" x14ac:dyDescent="0.15">
      <c r="A38" s="6" t="s">
        <v>101</v>
      </c>
      <c r="B38" s="6" t="s">
        <v>27</v>
      </c>
      <c r="C38" s="6" t="s">
        <v>3210</v>
      </c>
      <c r="D38">
        <v>500</v>
      </c>
      <c r="E38" s="1" t="s">
        <v>19</v>
      </c>
      <c r="F38" s="1" t="s">
        <v>21</v>
      </c>
      <c r="G38" t="s">
        <v>29</v>
      </c>
      <c r="H38">
        <v>1</v>
      </c>
      <c r="I38" s="7" t="b">
        <v>0</v>
      </c>
      <c r="J38" s="7" t="b">
        <v>0</v>
      </c>
      <c r="K38" s="1" t="s">
        <v>21</v>
      </c>
      <c r="L38" s="1" t="s">
        <v>19</v>
      </c>
      <c r="M38" s="1" t="s">
        <v>19</v>
      </c>
      <c r="N38" s="1" t="s">
        <v>19</v>
      </c>
      <c r="O38" s="1" t="s">
        <v>21</v>
      </c>
      <c r="P38" s="1" t="s">
        <v>19</v>
      </c>
      <c r="Q38" t="b">
        <v>0</v>
      </c>
      <c r="R38" s="1" t="s">
        <v>3205</v>
      </c>
    </row>
    <row r="39" spans="1:18" x14ac:dyDescent="0.15">
      <c r="A39" s="6" t="s">
        <v>102</v>
      </c>
      <c r="B39" s="6" t="s">
        <v>27</v>
      </c>
      <c r="C39" s="6" t="s">
        <v>103</v>
      </c>
      <c r="D39">
        <v>500</v>
      </c>
      <c r="E39" s="1" t="s">
        <v>19</v>
      </c>
      <c r="F39" s="1" t="s">
        <v>21</v>
      </c>
      <c r="G39" t="s">
        <v>29</v>
      </c>
      <c r="H39">
        <v>1</v>
      </c>
      <c r="I39" s="7" t="b">
        <v>0</v>
      </c>
      <c r="J39" s="7" t="b">
        <v>0</v>
      </c>
      <c r="K39" s="1" t="s">
        <v>21</v>
      </c>
      <c r="L39" s="1" t="s">
        <v>19</v>
      </c>
      <c r="M39" s="1" t="s">
        <v>19</v>
      </c>
      <c r="N39" s="1" t="s">
        <v>19</v>
      </c>
      <c r="O39" s="1" t="s">
        <v>21</v>
      </c>
      <c r="P39" s="1" t="s">
        <v>19</v>
      </c>
      <c r="Q39" t="b">
        <v>1</v>
      </c>
      <c r="R39" s="1" t="s">
        <v>3202</v>
      </c>
    </row>
    <row r="40" spans="1:18" x14ac:dyDescent="0.15">
      <c r="A40" s="6" t="s">
        <v>104</v>
      </c>
      <c r="B40" s="6" t="s">
        <v>27</v>
      </c>
      <c r="C40" s="6" t="s">
        <v>105</v>
      </c>
      <c r="D40">
        <v>450</v>
      </c>
      <c r="E40" s="1" t="s">
        <v>19</v>
      </c>
      <c r="F40" s="1" t="s">
        <v>19</v>
      </c>
      <c r="G40" t="s">
        <v>29</v>
      </c>
      <c r="H40">
        <v>1</v>
      </c>
      <c r="I40" s="7" t="b">
        <v>0</v>
      </c>
      <c r="J40" s="7" t="b">
        <v>0</v>
      </c>
      <c r="K40" s="1" t="s">
        <v>21</v>
      </c>
      <c r="L40" s="1" t="s">
        <v>19</v>
      </c>
      <c r="M40" s="1" t="s">
        <v>19</v>
      </c>
      <c r="N40" s="1" t="s">
        <v>19</v>
      </c>
      <c r="O40" s="1" t="s">
        <v>21</v>
      </c>
      <c r="P40" s="1" t="s">
        <v>19</v>
      </c>
      <c r="Q40" t="b">
        <v>0</v>
      </c>
      <c r="R40" s="1" t="s">
        <v>17</v>
      </c>
    </row>
    <row r="41" spans="1:18" x14ac:dyDescent="0.15">
      <c r="A41" s="6" t="s">
        <v>106</v>
      </c>
      <c r="B41" s="6" t="s">
        <v>104</v>
      </c>
      <c r="C41" s="6" t="s">
        <v>2841</v>
      </c>
      <c r="D41">
        <v>400</v>
      </c>
      <c r="E41" s="1" t="s">
        <v>19</v>
      </c>
      <c r="F41" s="1" t="s">
        <v>21</v>
      </c>
      <c r="G41" t="s">
        <v>29</v>
      </c>
      <c r="H41">
        <v>1</v>
      </c>
      <c r="I41" s="7" t="b">
        <v>0</v>
      </c>
      <c r="J41" s="7" t="b">
        <v>0</v>
      </c>
      <c r="K41" s="1" t="s">
        <v>21</v>
      </c>
      <c r="L41" s="1" t="s">
        <v>19</v>
      </c>
      <c r="M41" s="1" t="s">
        <v>19</v>
      </c>
      <c r="N41" s="1" t="s">
        <v>19</v>
      </c>
      <c r="O41" s="1" t="s">
        <v>21</v>
      </c>
      <c r="P41" s="1" t="s">
        <v>19</v>
      </c>
      <c r="Q41" t="b">
        <v>1</v>
      </c>
      <c r="R41" s="1" t="s">
        <v>3209</v>
      </c>
    </row>
    <row r="42" spans="1:18" x14ac:dyDescent="0.15">
      <c r="A42" t="s">
        <v>107</v>
      </c>
      <c r="B42" t="s">
        <v>17</v>
      </c>
      <c r="C42" t="s">
        <v>108</v>
      </c>
      <c r="D42">
        <v>500</v>
      </c>
      <c r="E42" s="1" t="s">
        <v>19</v>
      </c>
      <c r="F42" s="1" t="s">
        <v>19</v>
      </c>
      <c r="G42" t="s">
        <v>42</v>
      </c>
      <c r="H42">
        <v>0</v>
      </c>
      <c r="I42" s="7" t="b">
        <v>0</v>
      </c>
      <c r="J42" s="7" t="b">
        <v>0</v>
      </c>
      <c r="K42" s="1" t="s">
        <v>21</v>
      </c>
      <c r="L42" s="1" t="s">
        <v>19</v>
      </c>
      <c r="M42" s="1" t="s">
        <v>19</v>
      </c>
      <c r="N42" s="1" t="s">
        <v>19</v>
      </c>
      <c r="O42" s="1" t="s">
        <v>21</v>
      </c>
      <c r="P42" s="1" t="s">
        <v>19</v>
      </c>
      <c r="Q42" t="b">
        <v>0</v>
      </c>
      <c r="R42" s="1" t="s">
        <v>17</v>
      </c>
    </row>
    <row r="43" spans="1:18" x14ac:dyDescent="0.15">
      <c r="A43" s="6" t="s">
        <v>109</v>
      </c>
      <c r="B43" t="s">
        <v>17</v>
      </c>
      <c r="C43" t="s">
        <v>110</v>
      </c>
      <c r="D43">
        <v>500</v>
      </c>
      <c r="E43" s="1" t="s">
        <v>19</v>
      </c>
      <c r="F43" s="1" t="s">
        <v>19</v>
      </c>
      <c r="G43" t="s">
        <v>20</v>
      </c>
      <c r="H43">
        <v>0</v>
      </c>
      <c r="I43" s="7" t="b">
        <v>0</v>
      </c>
      <c r="J43" s="7" t="b">
        <v>0</v>
      </c>
      <c r="K43" s="1" t="s">
        <v>21</v>
      </c>
      <c r="L43" s="1" t="s">
        <v>19</v>
      </c>
      <c r="M43" s="1" t="s">
        <v>19</v>
      </c>
      <c r="N43" s="1" t="s">
        <v>19</v>
      </c>
      <c r="O43" s="1" t="s">
        <v>21</v>
      </c>
      <c r="P43" s="1" t="s">
        <v>19</v>
      </c>
      <c r="Q43" t="b">
        <v>0</v>
      </c>
      <c r="R43" s="1" t="s">
        <v>17</v>
      </c>
    </row>
    <row r="44" spans="1:18" x14ac:dyDescent="0.15">
      <c r="A44" t="s">
        <v>111</v>
      </c>
      <c r="B44" t="s">
        <v>17</v>
      </c>
      <c r="C44" t="s">
        <v>112</v>
      </c>
      <c r="D44">
        <v>500</v>
      </c>
      <c r="E44" s="1" t="s">
        <v>19</v>
      </c>
      <c r="F44" s="1" t="s">
        <v>19</v>
      </c>
      <c r="G44" t="s">
        <v>113</v>
      </c>
      <c r="H44">
        <v>0</v>
      </c>
      <c r="I44" s="7" t="b">
        <v>1</v>
      </c>
      <c r="J44" s="7" t="b">
        <v>1</v>
      </c>
      <c r="K44" s="1" t="s">
        <v>21</v>
      </c>
      <c r="L44" s="1" t="s">
        <v>19</v>
      </c>
      <c r="M44" s="1" t="s">
        <v>19</v>
      </c>
      <c r="N44" s="1" t="s">
        <v>19</v>
      </c>
      <c r="O44" s="1" t="s">
        <v>21</v>
      </c>
      <c r="P44" s="1" t="s">
        <v>19</v>
      </c>
      <c r="Q44" t="b">
        <v>0</v>
      </c>
      <c r="R44" s="1" t="s">
        <v>17</v>
      </c>
    </row>
    <row r="45" spans="1:18" x14ac:dyDescent="0.15">
      <c r="A45" t="s">
        <v>114</v>
      </c>
      <c r="B45" s="6" t="s">
        <v>115</v>
      </c>
      <c r="C45" s="6" t="s">
        <v>3218</v>
      </c>
      <c r="D45">
        <v>500</v>
      </c>
      <c r="E45" s="1" t="s">
        <v>19</v>
      </c>
      <c r="F45" s="1" t="s">
        <v>21</v>
      </c>
      <c r="G45" t="s">
        <v>25</v>
      </c>
      <c r="H45">
        <v>2</v>
      </c>
      <c r="I45" s="7" t="b">
        <v>0</v>
      </c>
      <c r="J45" s="7" t="b">
        <v>0</v>
      </c>
      <c r="K45" s="1" t="s">
        <v>21</v>
      </c>
      <c r="L45" s="1" t="s">
        <v>19</v>
      </c>
      <c r="M45" s="1" t="s">
        <v>19</v>
      </c>
      <c r="N45" s="1" t="s">
        <v>19</v>
      </c>
      <c r="O45" s="1" t="s">
        <v>21</v>
      </c>
      <c r="P45" s="1" t="s">
        <v>21</v>
      </c>
      <c r="Q45" t="b">
        <v>0</v>
      </c>
      <c r="R45" s="1" t="s">
        <v>3207</v>
      </c>
    </row>
    <row r="46" spans="1:18" x14ac:dyDescent="0.15">
      <c r="A46" t="s">
        <v>116</v>
      </c>
      <c r="B46" s="6" t="s">
        <v>115</v>
      </c>
      <c r="C46" s="6" t="s">
        <v>117</v>
      </c>
      <c r="D46">
        <v>500</v>
      </c>
      <c r="E46" s="1" t="s">
        <v>19</v>
      </c>
      <c r="F46" s="1" t="s">
        <v>21</v>
      </c>
      <c r="G46" t="s">
        <v>25</v>
      </c>
      <c r="H46">
        <v>2</v>
      </c>
      <c r="I46" s="7" t="b">
        <v>0</v>
      </c>
      <c r="J46" s="7" t="b">
        <v>0</v>
      </c>
      <c r="K46" s="1" t="s">
        <v>21</v>
      </c>
      <c r="L46" s="1" t="s">
        <v>19</v>
      </c>
      <c r="M46" s="1" t="s">
        <v>19</v>
      </c>
      <c r="N46" s="1" t="s">
        <v>19</v>
      </c>
      <c r="O46" s="1" t="s">
        <v>21</v>
      </c>
      <c r="P46" s="1" t="s">
        <v>21</v>
      </c>
      <c r="Q46" t="b">
        <v>0</v>
      </c>
      <c r="R46" s="1" t="s">
        <v>17</v>
      </c>
    </row>
    <row r="47" spans="1:18" x14ac:dyDescent="0.15">
      <c r="A47" t="s">
        <v>118</v>
      </c>
      <c r="B47" s="6" t="s">
        <v>115</v>
      </c>
      <c r="C47" s="6" t="s">
        <v>119</v>
      </c>
      <c r="D47">
        <v>500</v>
      </c>
      <c r="E47" s="1" t="s">
        <v>19</v>
      </c>
      <c r="F47" s="1" t="s">
        <v>21</v>
      </c>
      <c r="G47" t="s">
        <v>25</v>
      </c>
      <c r="H47">
        <v>2</v>
      </c>
      <c r="I47" s="7" t="b">
        <v>0</v>
      </c>
      <c r="J47" s="7" t="b">
        <v>0</v>
      </c>
      <c r="K47" s="1" t="s">
        <v>21</v>
      </c>
      <c r="L47" s="1" t="s">
        <v>19</v>
      </c>
      <c r="M47" s="1" t="s">
        <v>19</v>
      </c>
      <c r="N47" s="1" t="s">
        <v>19</v>
      </c>
      <c r="O47" s="1" t="s">
        <v>21</v>
      </c>
      <c r="P47" s="1" t="s">
        <v>21</v>
      </c>
      <c r="Q47" t="b">
        <v>0</v>
      </c>
      <c r="R47" s="1" t="s">
        <v>3205</v>
      </c>
    </row>
    <row r="48" spans="1:18" x14ac:dyDescent="0.15">
      <c r="A48" t="s">
        <v>120</v>
      </c>
      <c r="B48" s="6" t="s">
        <v>115</v>
      </c>
      <c r="C48" s="6" t="s">
        <v>121</v>
      </c>
      <c r="D48">
        <v>500</v>
      </c>
      <c r="E48" s="1" t="s">
        <v>19</v>
      </c>
      <c r="F48" s="1" t="s">
        <v>21</v>
      </c>
      <c r="G48" t="s">
        <v>25</v>
      </c>
      <c r="H48">
        <v>2</v>
      </c>
      <c r="I48" s="7" t="b">
        <v>0</v>
      </c>
      <c r="J48" s="7" t="b">
        <v>0</v>
      </c>
      <c r="K48" s="1" t="s">
        <v>21</v>
      </c>
      <c r="L48" s="1" t="s">
        <v>19</v>
      </c>
      <c r="M48" s="1" t="s">
        <v>19</v>
      </c>
      <c r="N48" s="1" t="s">
        <v>19</v>
      </c>
      <c r="O48" s="1" t="s">
        <v>21</v>
      </c>
      <c r="P48" s="1" t="s">
        <v>21</v>
      </c>
      <c r="Q48" t="b">
        <v>0</v>
      </c>
      <c r="R48" s="1" t="s">
        <v>3205</v>
      </c>
    </row>
    <row r="49" spans="1:18" x14ac:dyDescent="0.15">
      <c r="A49" s="6" t="s">
        <v>122</v>
      </c>
      <c r="B49" t="s">
        <v>31</v>
      </c>
      <c r="C49" t="s">
        <v>123</v>
      </c>
      <c r="D49">
        <v>500</v>
      </c>
      <c r="E49" s="1" t="s">
        <v>19</v>
      </c>
      <c r="F49" s="1" t="s">
        <v>19</v>
      </c>
      <c r="G49" t="s">
        <v>33</v>
      </c>
      <c r="H49">
        <v>0</v>
      </c>
      <c r="I49" s="7" t="b">
        <v>0</v>
      </c>
      <c r="J49" s="7" t="b">
        <v>0</v>
      </c>
      <c r="K49" s="1" t="s">
        <v>21</v>
      </c>
      <c r="L49" s="1" t="s">
        <v>19</v>
      </c>
      <c r="M49" s="1" t="s">
        <v>19</v>
      </c>
      <c r="N49" s="1" t="s">
        <v>19</v>
      </c>
      <c r="O49" s="1" t="s">
        <v>21</v>
      </c>
      <c r="P49" s="1" t="s">
        <v>19</v>
      </c>
      <c r="Q49" t="b">
        <v>0</v>
      </c>
      <c r="R49" s="1" t="s">
        <v>17</v>
      </c>
    </row>
    <row r="50" spans="1:18" x14ac:dyDescent="0.15">
      <c r="A50" t="s">
        <v>124</v>
      </c>
      <c r="B50" t="s">
        <v>17</v>
      </c>
      <c r="C50" t="s">
        <v>125</v>
      </c>
      <c r="D50">
        <v>500</v>
      </c>
      <c r="E50" s="1" t="s">
        <v>19</v>
      </c>
      <c r="F50" s="1" t="s">
        <v>19</v>
      </c>
      <c r="G50" t="s">
        <v>126</v>
      </c>
      <c r="H50">
        <v>0</v>
      </c>
      <c r="I50" s="7" t="b">
        <v>0</v>
      </c>
      <c r="J50" s="7" t="b">
        <v>0</v>
      </c>
      <c r="K50" s="1" t="s">
        <v>21</v>
      </c>
      <c r="L50" s="1" t="s">
        <v>19</v>
      </c>
      <c r="M50" s="1" t="s">
        <v>19</v>
      </c>
      <c r="N50" s="1" t="s">
        <v>19</v>
      </c>
      <c r="O50" s="1" t="s">
        <v>21</v>
      </c>
      <c r="P50" s="1" t="s">
        <v>19</v>
      </c>
      <c r="Q50" t="b">
        <v>0</v>
      </c>
      <c r="R50" s="1" t="s">
        <v>17</v>
      </c>
    </row>
    <row r="51" spans="1:18" x14ac:dyDescent="0.15">
      <c r="A51" t="s">
        <v>1226</v>
      </c>
      <c r="B51" s="6" t="s">
        <v>17</v>
      </c>
      <c r="C51" s="6" t="s">
        <v>3183</v>
      </c>
      <c r="D51">
        <v>500</v>
      </c>
      <c r="E51" s="1" t="s">
        <v>19</v>
      </c>
      <c r="F51" s="1" t="s">
        <v>19</v>
      </c>
      <c r="G51" t="s">
        <v>47</v>
      </c>
      <c r="H51">
        <v>0</v>
      </c>
      <c r="I51" s="7" t="b">
        <v>0</v>
      </c>
      <c r="J51" s="7" t="b">
        <v>0</v>
      </c>
      <c r="K51" s="1" t="s">
        <v>21</v>
      </c>
      <c r="L51" s="1" t="s">
        <v>19</v>
      </c>
      <c r="M51" s="1" t="s">
        <v>19</v>
      </c>
      <c r="N51" s="1" t="s">
        <v>19</v>
      </c>
      <c r="O51" s="1" t="s">
        <v>21</v>
      </c>
      <c r="P51" s="1" t="s">
        <v>21</v>
      </c>
      <c r="Q51" t="b">
        <v>0</v>
      </c>
      <c r="R51" s="1" t="s">
        <v>17</v>
      </c>
    </row>
    <row r="52" spans="1:18" x14ac:dyDescent="0.15">
      <c r="A52" t="s">
        <v>127</v>
      </c>
      <c r="B52" t="s">
        <v>128</v>
      </c>
      <c r="C52" t="s">
        <v>129</v>
      </c>
      <c r="D52">
        <v>500</v>
      </c>
      <c r="E52" s="1" t="s">
        <v>19</v>
      </c>
      <c r="F52" s="1" t="s">
        <v>19</v>
      </c>
      <c r="G52" t="s">
        <v>130</v>
      </c>
      <c r="H52">
        <v>0</v>
      </c>
      <c r="I52" s="7" t="b">
        <v>0</v>
      </c>
      <c r="J52" s="7" t="b">
        <v>0</v>
      </c>
      <c r="K52" s="1" t="s">
        <v>21</v>
      </c>
      <c r="L52" s="1" t="s">
        <v>19</v>
      </c>
      <c r="M52" s="1" t="s">
        <v>21</v>
      </c>
      <c r="N52" s="1" t="s">
        <v>19</v>
      </c>
      <c r="O52" s="1" t="s">
        <v>19</v>
      </c>
      <c r="P52" s="1" t="s">
        <v>19</v>
      </c>
      <c r="Q52" t="b">
        <v>0</v>
      </c>
      <c r="R52" s="1" t="s">
        <v>17</v>
      </c>
    </row>
    <row r="53" spans="1:18" x14ac:dyDescent="0.15">
      <c r="A53" t="s">
        <v>131</v>
      </c>
      <c r="B53" t="s">
        <v>132</v>
      </c>
      <c r="C53" t="s">
        <v>133</v>
      </c>
      <c r="D53">
        <v>500</v>
      </c>
      <c r="E53" s="1" t="s">
        <v>19</v>
      </c>
      <c r="F53" s="1" t="s">
        <v>19</v>
      </c>
      <c r="G53" t="s">
        <v>130</v>
      </c>
      <c r="H53">
        <v>0</v>
      </c>
      <c r="I53" s="7" t="b">
        <v>0</v>
      </c>
      <c r="J53" s="7" t="b">
        <v>0</v>
      </c>
      <c r="K53" s="1" t="s">
        <v>21</v>
      </c>
      <c r="L53" s="1" t="s">
        <v>19</v>
      </c>
      <c r="M53" s="1" t="s">
        <v>21</v>
      </c>
      <c r="N53" s="1" t="s">
        <v>19</v>
      </c>
      <c r="O53" s="1" t="s">
        <v>19</v>
      </c>
      <c r="P53" s="1" t="s">
        <v>19</v>
      </c>
      <c r="Q53" t="b">
        <v>0</v>
      </c>
      <c r="R53" s="1" t="s">
        <v>17</v>
      </c>
    </row>
    <row r="54" spans="1:18" x14ac:dyDescent="0.15">
      <c r="A54" t="s">
        <v>128</v>
      </c>
      <c r="B54" t="s">
        <v>131</v>
      </c>
      <c r="C54" t="s">
        <v>134</v>
      </c>
      <c r="D54">
        <v>500</v>
      </c>
      <c r="E54" s="1" t="s">
        <v>19</v>
      </c>
      <c r="F54" s="1" t="s">
        <v>19</v>
      </c>
      <c r="G54" t="s">
        <v>130</v>
      </c>
      <c r="H54">
        <v>0</v>
      </c>
      <c r="I54" s="7" t="b">
        <v>0</v>
      </c>
      <c r="J54" s="7" t="b">
        <v>0</v>
      </c>
      <c r="K54" s="1" t="s">
        <v>21</v>
      </c>
      <c r="L54" s="1" t="s">
        <v>19</v>
      </c>
      <c r="M54" s="1" t="s">
        <v>21</v>
      </c>
      <c r="N54" s="1" t="s">
        <v>19</v>
      </c>
      <c r="O54" s="1" t="s">
        <v>19</v>
      </c>
      <c r="P54" s="1" t="s">
        <v>19</v>
      </c>
      <c r="Q54" t="b">
        <v>0</v>
      </c>
      <c r="R54" s="1" t="s">
        <v>17</v>
      </c>
    </row>
    <row r="55" spans="1:18" x14ac:dyDescent="0.15">
      <c r="A55" t="s">
        <v>2943</v>
      </c>
      <c r="B55" t="s">
        <v>17</v>
      </c>
      <c r="C55" t="s">
        <v>2944</v>
      </c>
      <c r="D55">
        <v>550</v>
      </c>
      <c r="E55" s="1" t="s">
        <v>19</v>
      </c>
      <c r="F55" s="1" t="s">
        <v>19</v>
      </c>
      <c r="G55" t="s">
        <v>42</v>
      </c>
      <c r="H55">
        <v>0</v>
      </c>
      <c r="I55" s="7" t="b">
        <v>0</v>
      </c>
      <c r="J55" s="7" t="b">
        <v>0</v>
      </c>
      <c r="K55" s="1" t="s">
        <v>21</v>
      </c>
      <c r="L55" s="1" t="s">
        <v>19</v>
      </c>
      <c r="M55" s="1" t="s">
        <v>19</v>
      </c>
      <c r="N55" s="1" t="s">
        <v>19</v>
      </c>
      <c r="O55" s="1" t="s">
        <v>21</v>
      </c>
      <c r="P55" s="1" t="s">
        <v>21</v>
      </c>
      <c r="Q55" t="b">
        <v>0</v>
      </c>
      <c r="R55" s="1" t="s">
        <v>17</v>
      </c>
    </row>
    <row r="56" spans="1:18" x14ac:dyDescent="0.15">
      <c r="A56" t="s">
        <v>3014</v>
      </c>
      <c r="B56" t="s">
        <v>17</v>
      </c>
      <c r="C56" t="s">
        <v>3015</v>
      </c>
      <c r="D56">
        <v>600</v>
      </c>
      <c r="E56" s="1" t="s">
        <v>19</v>
      </c>
      <c r="F56" s="1" t="s">
        <v>19</v>
      </c>
      <c r="G56" t="s">
        <v>42</v>
      </c>
      <c r="H56">
        <v>0</v>
      </c>
      <c r="I56" s="7" t="b">
        <v>0</v>
      </c>
      <c r="J56" s="7" t="b">
        <v>0</v>
      </c>
      <c r="K56" s="1" t="s">
        <v>19</v>
      </c>
      <c r="L56" s="1" t="s">
        <v>19</v>
      </c>
      <c r="M56" s="1" t="s">
        <v>19</v>
      </c>
      <c r="N56" s="1" t="s">
        <v>19</v>
      </c>
      <c r="O56" s="1" t="s">
        <v>19</v>
      </c>
      <c r="P56" s="1" t="s">
        <v>19</v>
      </c>
      <c r="Q56" t="b">
        <v>0</v>
      </c>
      <c r="R56" s="1" t="s">
        <v>17</v>
      </c>
    </row>
    <row r="57" spans="1:18" x14ac:dyDescent="0.15">
      <c r="A57" s="6" t="s">
        <v>135</v>
      </c>
      <c r="B57" s="6" t="s">
        <v>22</v>
      </c>
      <c r="C57" s="6" t="s">
        <v>136</v>
      </c>
      <c r="D57">
        <v>500</v>
      </c>
      <c r="E57" s="1" t="s">
        <v>19</v>
      </c>
      <c r="F57" s="1" t="s">
        <v>21</v>
      </c>
      <c r="G57" t="s">
        <v>25</v>
      </c>
      <c r="H57">
        <v>2</v>
      </c>
      <c r="I57" s="7" t="b">
        <v>0</v>
      </c>
      <c r="J57" s="7" t="b">
        <v>0</v>
      </c>
      <c r="K57" s="1" t="s">
        <v>21</v>
      </c>
      <c r="L57" s="1" t="s">
        <v>19</v>
      </c>
      <c r="M57" s="1" t="s">
        <v>19</v>
      </c>
      <c r="N57" s="1" t="s">
        <v>19</v>
      </c>
      <c r="O57" s="1" t="s">
        <v>21</v>
      </c>
      <c r="P57" s="1" t="s">
        <v>21</v>
      </c>
      <c r="Q57" t="b">
        <v>0</v>
      </c>
      <c r="R57" s="1" t="s">
        <v>17</v>
      </c>
    </row>
    <row r="58" spans="1:18" x14ac:dyDescent="0.15">
      <c r="A58" t="s">
        <v>137</v>
      </c>
      <c r="B58" s="6" t="s">
        <v>138</v>
      </c>
      <c r="C58" s="6" t="s">
        <v>3005</v>
      </c>
      <c r="D58">
        <v>650</v>
      </c>
      <c r="E58" s="1" t="s">
        <v>21</v>
      </c>
      <c r="F58" s="1" t="s">
        <v>19</v>
      </c>
      <c r="G58" t="s">
        <v>139</v>
      </c>
      <c r="H58">
        <v>0</v>
      </c>
      <c r="I58" s="7" t="b">
        <v>0</v>
      </c>
      <c r="J58" s="7" t="b">
        <v>0</v>
      </c>
      <c r="K58" s="1" t="s">
        <v>21</v>
      </c>
      <c r="L58" s="1" t="s">
        <v>19</v>
      </c>
      <c r="M58" s="1" t="s">
        <v>19</v>
      </c>
      <c r="N58" s="1" t="s">
        <v>19</v>
      </c>
      <c r="O58" s="1" t="s">
        <v>21</v>
      </c>
      <c r="P58" s="1" t="s">
        <v>19</v>
      </c>
      <c r="Q58" t="b">
        <v>0</v>
      </c>
      <c r="R58" s="1" t="s">
        <v>17</v>
      </c>
    </row>
    <row r="59" spans="1:18" x14ac:dyDescent="0.15">
      <c r="A59" s="6" t="s">
        <v>138</v>
      </c>
      <c r="B59" t="s">
        <v>17</v>
      </c>
      <c r="C59" t="s">
        <v>2836</v>
      </c>
      <c r="D59">
        <v>500</v>
      </c>
      <c r="E59" s="1" t="s">
        <v>19</v>
      </c>
      <c r="F59" s="1" t="s">
        <v>19</v>
      </c>
      <c r="G59" t="s">
        <v>139</v>
      </c>
      <c r="H59">
        <v>0</v>
      </c>
      <c r="I59" s="7" t="b">
        <v>0</v>
      </c>
      <c r="J59" s="7" t="b">
        <v>0</v>
      </c>
      <c r="K59" s="1" t="s">
        <v>21</v>
      </c>
      <c r="L59" s="1" t="s">
        <v>19</v>
      </c>
      <c r="M59" s="1" t="s">
        <v>19</v>
      </c>
      <c r="N59" s="1" t="s">
        <v>19</v>
      </c>
      <c r="O59" s="1" t="s">
        <v>21</v>
      </c>
      <c r="P59" s="1" t="s">
        <v>19</v>
      </c>
      <c r="Q59" t="b">
        <v>0</v>
      </c>
      <c r="R59" s="1" t="s">
        <v>17</v>
      </c>
    </row>
    <row r="60" spans="1:18" x14ac:dyDescent="0.15">
      <c r="A60" t="s">
        <v>141</v>
      </c>
      <c r="B60" t="s">
        <v>142</v>
      </c>
      <c r="C60" t="s">
        <v>3212</v>
      </c>
      <c r="D60">
        <v>500</v>
      </c>
      <c r="E60" s="1" t="s">
        <v>19</v>
      </c>
      <c r="F60" s="1" t="s">
        <v>21</v>
      </c>
      <c r="G60" t="s">
        <v>55</v>
      </c>
      <c r="H60">
        <v>2</v>
      </c>
      <c r="I60" s="7" t="b">
        <v>0</v>
      </c>
      <c r="J60" s="7" t="b">
        <v>0</v>
      </c>
      <c r="K60" s="1" t="s">
        <v>19</v>
      </c>
      <c r="L60" s="1" t="s">
        <v>19</v>
      </c>
      <c r="M60" s="1" t="s">
        <v>19</v>
      </c>
      <c r="N60" s="1" t="s">
        <v>21</v>
      </c>
      <c r="O60" s="1" t="s">
        <v>21</v>
      </c>
      <c r="P60" s="1" t="s">
        <v>21</v>
      </c>
      <c r="Q60" t="b">
        <v>1</v>
      </c>
      <c r="R60" s="1" t="s">
        <v>3211</v>
      </c>
    </row>
    <row r="61" spans="1:18" x14ac:dyDescent="0.15">
      <c r="A61" t="s">
        <v>143</v>
      </c>
      <c r="B61" t="s">
        <v>142</v>
      </c>
      <c r="C61" t="s">
        <v>3213</v>
      </c>
      <c r="D61">
        <v>500</v>
      </c>
      <c r="E61" s="1" t="s">
        <v>19</v>
      </c>
      <c r="F61" s="1" t="s">
        <v>21</v>
      </c>
      <c r="G61" t="s">
        <v>55</v>
      </c>
      <c r="H61">
        <v>2</v>
      </c>
      <c r="I61" s="7" t="b">
        <v>0</v>
      </c>
      <c r="J61" s="7" t="b">
        <v>1</v>
      </c>
      <c r="K61" s="1" t="s">
        <v>19</v>
      </c>
      <c r="L61" s="1" t="s">
        <v>19</v>
      </c>
      <c r="M61" s="1" t="s">
        <v>19</v>
      </c>
      <c r="N61" s="1" t="s">
        <v>21</v>
      </c>
      <c r="O61" s="1" t="s">
        <v>21</v>
      </c>
      <c r="P61" s="1" t="s">
        <v>21</v>
      </c>
      <c r="Q61" t="b">
        <v>1</v>
      </c>
      <c r="R61" s="1" t="s">
        <v>3202</v>
      </c>
    </row>
    <row r="62" spans="1:18" x14ac:dyDescent="0.15">
      <c r="A62" t="s">
        <v>144</v>
      </c>
      <c r="B62" t="s">
        <v>17</v>
      </c>
      <c r="C62" t="s">
        <v>2793</v>
      </c>
      <c r="D62">
        <v>600</v>
      </c>
      <c r="E62" s="1" t="s">
        <v>19</v>
      </c>
      <c r="F62" s="1" t="s">
        <v>19</v>
      </c>
      <c r="G62" t="s">
        <v>55</v>
      </c>
      <c r="H62">
        <v>2</v>
      </c>
      <c r="I62" s="7" t="b">
        <v>0</v>
      </c>
      <c r="J62" s="7" t="b">
        <v>1</v>
      </c>
      <c r="K62" s="1" t="s">
        <v>21</v>
      </c>
      <c r="L62" s="1" t="s">
        <v>19</v>
      </c>
      <c r="M62" s="1" t="s">
        <v>19</v>
      </c>
      <c r="N62" s="1" t="s">
        <v>21</v>
      </c>
      <c r="O62" s="1" t="s">
        <v>21</v>
      </c>
      <c r="P62" s="1" t="s">
        <v>21</v>
      </c>
      <c r="Q62" t="b">
        <v>0</v>
      </c>
      <c r="R62" s="1" t="s">
        <v>17</v>
      </c>
    </row>
    <row r="63" spans="1:18" x14ac:dyDescent="0.15">
      <c r="A63" t="s">
        <v>142</v>
      </c>
      <c r="B63" t="s">
        <v>144</v>
      </c>
      <c r="C63" t="s">
        <v>2794</v>
      </c>
      <c r="D63">
        <v>500</v>
      </c>
      <c r="E63" s="1" t="s">
        <v>19</v>
      </c>
      <c r="F63" s="1" t="s">
        <v>19</v>
      </c>
      <c r="G63" t="s">
        <v>55</v>
      </c>
      <c r="H63">
        <v>2</v>
      </c>
      <c r="I63" s="7" t="b">
        <v>0</v>
      </c>
      <c r="J63" s="7" t="b">
        <v>1</v>
      </c>
      <c r="K63" s="1" t="s">
        <v>21</v>
      </c>
      <c r="L63" s="1" t="s">
        <v>19</v>
      </c>
      <c r="M63" s="1" t="s">
        <v>19</v>
      </c>
      <c r="N63" s="1" t="s">
        <v>21</v>
      </c>
      <c r="O63" s="1" t="s">
        <v>21</v>
      </c>
      <c r="P63" s="1" t="s">
        <v>21</v>
      </c>
      <c r="Q63" t="b">
        <v>0</v>
      </c>
      <c r="R63" s="1" t="s">
        <v>17</v>
      </c>
    </row>
    <row r="64" spans="1:18" x14ac:dyDescent="0.15">
      <c r="A64" s="6" t="s">
        <v>146</v>
      </c>
      <c r="B64" s="6" t="s">
        <v>27</v>
      </c>
      <c r="C64" s="6" t="s">
        <v>147</v>
      </c>
      <c r="D64">
        <v>450</v>
      </c>
      <c r="E64" s="1" t="s">
        <v>19</v>
      </c>
      <c r="F64" s="1" t="s">
        <v>19</v>
      </c>
      <c r="G64" t="s">
        <v>29</v>
      </c>
      <c r="H64">
        <v>1</v>
      </c>
      <c r="I64" s="7" t="b">
        <v>0</v>
      </c>
      <c r="J64" s="7" t="b">
        <v>0</v>
      </c>
      <c r="K64" s="1" t="s">
        <v>21</v>
      </c>
      <c r="L64" s="1" t="s">
        <v>19</v>
      </c>
      <c r="M64" s="1" t="s">
        <v>19</v>
      </c>
      <c r="N64" s="1" t="s">
        <v>19</v>
      </c>
      <c r="O64" s="1" t="s">
        <v>21</v>
      </c>
      <c r="P64" s="1" t="s">
        <v>19</v>
      </c>
      <c r="Q64" t="b">
        <v>0</v>
      </c>
      <c r="R64" s="1" t="s">
        <v>17</v>
      </c>
    </row>
    <row r="65" spans="1:18" x14ac:dyDescent="0.15">
      <c r="A65" s="6" t="s">
        <v>148</v>
      </c>
      <c r="B65" s="6" t="s">
        <v>91</v>
      </c>
      <c r="C65" t="s">
        <v>149</v>
      </c>
      <c r="D65">
        <v>500</v>
      </c>
      <c r="E65" s="1" t="s">
        <v>19</v>
      </c>
      <c r="F65" s="1" t="s">
        <v>19</v>
      </c>
      <c r="G65" t="s">
        <v>93</v>
      </c>
      <c r="H65">
        <v>1</v>
      </c>
      <c r="I65" s="7" t="b">
        <v>0</v>
      </c>
      <c r="J65" s="7" t="b">
        <v>0</v>
      </c>
      <c r="K65" s="1" t="s">
        <v>21</v>
      </c>
      <c r="L65" s="1" t="s">
        <v>19</v>
      </c>
      <c r="M65" s="1" t="s">
        <v>19</v>
      </c>
      <c r="N65" s="1" t="s">
        <v>19</v>
      </c>
      <c r="O65" s="1" t="s">
        <v>21</v>
      </c>
      <c r="P65" s="1" t="s">
        <v>19</v>
      </c>
      <c r="Q65" t="b">
        <v>0</v>
      </c>
      <c r="R65" s="1" t="s">
        <v>17</v>
      </c>
    </row>
    <row r="66" spans="1:18" x14ac:dyDescent="0.15">
      <c r="A66" s="6" t="s">
        <v>91</v>
      </c>
      <c r="B66" t="s">
        <v>17</v>
      </c>
      <c r="C66" t="s">
        <v>150</v>
      </c>
      <c r="D66">
        <v>500</v>
      </c>
      <c r="E66" s="1" t="s">
        <v>19</v>
      </c>
      <c r="F66" s="1" t="s">
        <v>19</v>
      </c>
      <c r="G66" t="s">
        <v>93</v>
      </c>
      <c r="H66">
        <v>1</v>
      </c>
      <c r="I66" s="7" t="b">
        <v>0</v>
      </c>
      <c r="J66" s="7" t="b">
        <v>0</v>
      </c>
      <c r="K66" s="1" t="s">
        <v>21</v>
      </c>
      <c r="L66" s="1" t="s">
        <v>19</v>
      </c>
      <c r="M66" s="1" t="s">
        <v>19</v>
      </c>
      <c r="N66" s="1" t="s">
        <v>19</v>
      </c>
      <c r="O66" s="1" t="s">
        <v>21</v>
      </c>
      <c r="P66" s="1" t="s">
        <v>19</v>
      </c>
      <c r="Q66" t="b">
        <v>0</v>
      </c>
      <c r="R66" s="1" t="s">
        <v>17</v>
      </c>
    </row>
    <row r="67" spans="1:18" x14ac:dyDescent="0.15">
      <c r="A67" s="6" t="s">
        <v>151</v>
      </c>
      <c r="B67" t="s">
        <v>17</v>
      </c>
      <c r="C67" t="s">
        <v>152</v>
      </c>
      <c r="D67">
        <v>500</v>
      </c>
      <c r="E67" s="1" t="s">
        <v>19</v>
      </c>
      <c r="F67" s="1" t="s">
        <v>19</v>
      </c>
      <c r="G67" t="s">
        <v>42</v>
      </c>
      <c r="H67">
        <v>0</v>
      </c>
      <c r="I67" s="7" t="b">
        <v>0</v>
      </c>
      <c r="J67" s="7" t="b">
        <v>0</v>
      </c>
      <c r="K67" s="1" t="s">
        <v>21</v>
      </c>
      <c r="L67" s="1" t="s">
        <v>19</v>
      </c>
      <c r="M67" s="1" t="s">
        <v>19</v>
      </c>
      <c r="N67" s="1" t="s">
        <v>19</v>
      </c>
      <c r="O67" s="1" t="s">
        <v>21</v>
      </c>
      <c r="P67" s="1" t="s">
        <v>19</v>
      </c>
      <c r="Q67" t="b">
        <v>0</v>
      </c>
      <c r="R67" s="1" t="s">
        <v>17</v>
      </c>
    </row>
    <row r="68" spans="1:18" x14ac:dyDescent="0.15">
      <c r="A68" t="s">
        <v>153</v>
      </c>
      <c r="B68" t="s">
        <v>17</v>
      </c>
      <c r="C68" t="s">
        <v>154</v>
      </c>
      <c r="D68">
        <v>500</v>
      </c>
      <c r="E68" s="1" t="s">
        <v>19</v>
      </c>
      <c r="F68" s="1" t="s">
        <v>19</v>
      </c>
      <c r="G68" t="s">
        <v>155</v>
      </c>
      <c r="H68">
        <v>0</v>
      </c>
      <c r="I68" s="7" t="b">
        <v>0</v>
      </c>
      <c r="J68" s="7" t="b">
        <v>0</v>
      </c>
      <c r="K68" s="1" t="s">
        <v>21</v>
      </c>
      <c r="L68" s="1" t="s">
        <v>19</v>
      </c>
      <c r="M68" s="1" t="s">
        <v>19</v>
      </c>
      <c r="N68" s="1" t="s">
        <v>19</v>
      </c>
      <c r="O68" s="1" t="s">
        <v>21</v>
      </c>
      <c r="P68" s="1" t="s">
        <v>19</v>
      </c>
      <c r="Q68" t="b">
        <v>0</v>
      </c>
      <c r="R68" s="1" t="s">
        <v>17</v>
      </c>
    </row>
    <row r="69" spans="1:18" x14ac:dyDescent="0.15">
      <c r="A69" t="s">
        <v>156</v>
      </c>
      <c r="B69" t="s">
        <v>17</v>
      </c>
      <c r="C69" t="s">
        <v>157</v>
      </c>
      <c r="D69">
        <v>500</v>
      </c>
      <c r="E69" s="1" t="s">
        <v>19</v>
      </c>
      <c r="F69" s="1" t="s">
        <v>19</v>
      </c>
      <c r="G69" t="s">
        <v>42</v>
      </c>
      <c r="H69">
        <v>0</v>
      </c>
      <c r="I69" s="7" t="b">
        <v>0</v>
      </c>
      <c r="J69" s="7" t="b">
        <v>0</v>
      </c>
      <c r="K69" s="1" t="s">
        <v>21</v>
      </c>
      <c r="L69" s="1" t="s">
        <v>19</v>
      </c>
      <c r="M69" s="1" t="s">
        <v>19</v>
      </c>
      <c r="N69" s="1" t="s">
        <v>19</v>
      </c>
      <c r="O69" s="1" t="s">
        <v>21</v>
      </c>
      <c r="P69" s="1" t="s">
        <v>19</v>
      </c>
      <c r="Q69" t="b">
        <v>0</v>
      </c>
      <c r="R69" s="1" t="s">
        <v>17</v>
      </c>
    </row>
    <row r="70" spans="1:18" x14ac:dyDescent="0.15">
      <c r="A70" s="6" t="s">
        <v>3063</v>
      </c>
      <c r="B70" t="s">
        <v>3200</v>
      </c>
      <c r="C70" t="s">
        <v>3064</v>
      </c>
      <c r="D70">
        <v>600</v>
      </c>
      <c r="E70" s="1" t="s">
        <v>19</v>
      </c>
      <c r="F70" s="1" t="s">
        <v>19</v>
      </c>
      <c r="G70" t="s">
        <v>42</v>
      </c>
      <c r="H70">
        <v>0</v>
      </c>
      <c r="I70" s="7" t="b">
        <v>0</v>
      </c>
      <c r="J70" s="7" t="b">
        <v>0</v>
      </c>
      <c r="K70" s="1" t="s">
        <v>21</v>
      </c>
      <c r="L70" s="1" t="s">
        <v>19</v>
      </c>
      <c r="M70" s="1" t="s">
        <v>19</v>
      </c>
      <c r="N70" s="1" t="s">
        <v>19</v>
      </c>
      <c r="O70" s="1" t="s">
        <v>21</v>
      </c>
      <c r="P70" s="1" t="s">
        <v>21</v>
      </c>
      <c r="Q70" t="b">
        <v>0</v>
      </c>
      <c r="R70" s="1" t="s">
        <v>17</v>
      </c>
    </row>
    <row r="71" spans="1:18" x14ac:dyDescent="0.15">
      <c r="A71" s="6" t="s">
        <v>2949</v>
      </c>
      <c r="B71" t="s">
        <v>17</v>
      </c>
      <c r="C71" t="s">
        <v>2953</v>
      </c>
      <c r="D71">
        <v>500</v>
      </c>
      <c r="E71" s="1" t="s">
        <v>19</v>
      </c>
      <c r="F71" s="1" t="s">
        <v>21</v>
      </c>
      <c r="G71" t="s">
        <v>42</v>
      </c>
      <c r="H71">
        <v>0</v>
      </c>
      <c r="I71" s="7" t="b">
        <v>0</v>
      </c>
      <c r="J71" s="7" t="b">
        <v>0</v>
      </c>
      <c r="K71" s="1" t="s">
        <v>19</v>
      </c>
      <c r="L71" s="1" t="s">
        <v>19</v>
      </c>
      <c r="M71" s="1" t="s">
        <v>19</v>
      </c>
      <c r="N71" s="1" t="s">
        <v>19</v>
      </c>
      <c r="O71" s="1" t="s">
        <v>21</v>
      </c>
      <c r="P71" s="1" t="s">
        <v>21</v>
      </c>
      <c r="Q71" t="b">
        <v>0</v>
      </c>
      <c r="R71" s="1" t="s">
        <v>17</v>
      </c>
    </row>
    <row r="72" spans="1:18" x14ac:dyDescent="0.15">
      <c r="A72" s="6" t="s">
        <v>3200</v>
      </c>
      <c r="B72" t="s">
        <v>17</v>
      </c>
      <c r="C72" t="s">
        <v>3201</v>
      </c>
      <c r="D72">
        <v>600</v>
      </c>
      <c r="E72" s="1" t="s">
        <v>19</v>
      </c>
      <c r="F72" s="1" t="s">
        <v>19</v>
      </c>
      <c r="G72" t="s">
        <v>42</v>
      </c>
      <c r="H72">
        <v>0</v>
      </c>
      <c r="I72" s="7" t="b">
        <v>0</v>
      </c>
      <c r="J72" s="7" t="b">
        <v>0</v>
      </c>
      <c r="K72" s="1" t="s">
        <v>21</v>
      </c>
      <c r="L72" s="1" t="s">
        <v>19</v>
      </c>
      <c r="M72" s="1" t="s">
        <v>19</v>
      </c>
      <c r="N72" s="1" t="s">
        <v>19</v>
      </c>
      <c r="O72" s="1" t="s">
        <v>21</v>
      </c>
      <c r="P72" s="1" t="s">
        <v>21</v>
      </c>
      <c r="Q72" t="b">
        <v>1</v>
      </c>
      <c r="R72" s="1" t="s">
        <v>3202</v>
      </c>
    </row>
    <row r="73" spans="1:18" x14ac:dyDescent="0.15">
      <c r="A73" t="s">
        <v>23</v>
      </c>
      <c r="B73" t="s">
        <v>17</v>
      </c>
      <c r="C73" t="s">
        <v>158</v>
      </c>
      <c r="D73">
        <v>610</v>
      </c>
      <c r="E73" s="1" t="s">
        <v>19</v>
      </c>
      <c r="F73" s="1" t="s">
        <v>19</v>
      </c>
      <c r="G73" t="s">
        <v>25</v>
      </c>
      <c r="H73">
        <v>2</v>
      </c>
      <c r="I73" s="7" t="b">
        <v>0</v>
      </c>
      <c r="J73" s="7" t="b">
        <v>1</v>
      </c>
      <c r="K73" s="1" t="s">
        <v>21</v>
      </c>
      <c r="L73" s="1" t="s">
        <v>19</v>
      </c>
      <c r="M73" s="1" t="s">
        <v>19</v>
      </c>
      <c r="N73" s="1" t="s">
        <v>21</v>
      </c>
      <c r="O73" s="1" t="s">
        <v>21</v>
      </c>
      <c r="P73" s="1" t="s">
        <v>21</v>
      </c>
      <c r="Q73" t="b">
        <v>0</v>
      </c>
      <c r="R73" s="1" t="s">
        <v>17</v>
      </c>
    </row>
    <row r="74" spans="1:18" x14ac:dyDescent="0.15">
      <c r="A74" s="6" t="s">
        <v>115</v>
      </c>
      <c r="B74" t="s">
        <v>23</v>
      </c>
      <c r="C74" t="s">
        <v>159</v>
      </c>
      <c r="D74">
        <v>500</v>
      </c>
      <c r="E74" s="1" t="s">
        <v>19</v>
      </c>
      <c r="F74" s="1" t="s">
        <v>19</v>
      </c>
      <c r="G74" t="s">
        <v>25</v>
      </c>
      <c r="H74">
        <v>2</v>
      </c>
      <c r="I74" s="7" t="b">
        <v>0</v>
      </c>
      <c r="J74" s="7" t="b">
        <v>0</v>
      </c>
      <c r="K74" s="1" t="s">
        <v>21</v>
      </c>
      <c r="L74" s="1" t="s">
        <v>19</v>
      </c>
      <c r="M74" s="1" t="s">
        <v>19</v>
      </c>
      <c r="N74" s="1" t="s">
        <v>19</v>
      </c>
      <c r="O74" s="1" t="s">
        <v>21</v>
      </c>
      <c r="P74" s="1" t="s">
        <v>21</v>
      </c>
      <c r="Q74" t="b">
        <v>0</v>
      </c>
      <c r="R74" s="1" t="s">
        <v>17</v>
      </c>
    </row>
    <row r="75" spans="1:18" x14ac:dyDescent="0.15">
      <c r="A75" t="s">
        <v>38</v>
      </c>
      <c r="B75" t="s">
        <v>160</v>
      </c>
      <c r="C75" t="s">
        <v>161</v>
      </c>
      <c r="D75">
        <v>500</v>
      </c>
      <c r="E75" s="1" t="s">
        <v>19</v>
      </c>
      <c r="F75" s="1" t="s">
        <v>19</v>
      </c>
      <c r="G75" t="s">
        <v>25</v>
      </c>
      <c r="H75">
        <v>2</v>
      </c>
      <c r="I75" s="7" t="b">
        <v>0</v>
      </c>
      <c r="J75" s="7" t="b">
        <v>1</v>
      </c>
      <c r="K75" s="1" t="s">
        <v>21</v>
      </c>
      <c r="L75" s="1" t="s">
        <v>19</v>
      </c>
      <c r="M75" s="1" t="s">
        <v>19</v>
      </c>
      <c r="N75" s="1" t="s">
        <v>21</v>
      </c>
      <c r="O75" s="1" t="s">
        <v>21</v>
      </c>
      <c r="P75" s="1" t="s">
        <v>21</v>
      </c>
      <c r="Q75" t="b">
        <v>0</v>
      </c>
      <c r="R75" s="1" t="s">
        <v>17</v>
      </c>
    </row>
    <row r="76" spans="1:18" x14ac:dyDescent="0.15">
      <c r="A76" t="s">
        <v>160</v>
      </c>
      <c r="B76" t="s">
        <v>23</v>
      </c>
      <c r="C76" t="s">
        <v>162</v>
      </c>
      <c r="D76">
        <v>500</v>
      </c>
      <c r="E76" s="1" t="s">
        <v>19</v>
      </c>
      <c r="F76" s="1" t="s">
        <v>19</v>
      </c>
      <c r="G76" t="s">
        <v>25</v>
      </c>
      <c r="H76">
        <v>2</v>
      </c>
      <c r="I76" s="7" t="b">
        <v>0</v>
      </c>
      <c r="J76" s="7" t="b">
        <v>1</v>
      </c>
      <c r="K76" s="1" t="s">
        <v>21</v>
      </c>
      <c r="L76" s="1" t="s">
        <v>19</v>
      </c>
      <c r="M76" s="1" t="s">
        <v>19</v>
      </c>
      <c r="N76" s="1" t="s">
        <v>21</v>
      </c>
      <c r="O76" s="1" t="s">
        <v>21</v>
      </c>
      <c r="P76" s="1" t="s">
        <v>21</v>
      </c>
      <c r="Q76" t="b">
        <v>0</v>
      </c>
      <c r="R76" s="1" t="s">
        <v>17</v>
      </c>
    </row>
    <row r="77" spans="1:18" x14ac:dyDescent="0.15">
      <c r="A77" s="6" t="s">
        <v>163</v>
      </c>
      <c r="B77" t="s">
        <v>164</v>
      </c>
      <c r="C77" t="s">
        <v>165</v>
      </c>
      <c r="D77">
        <v>500</v>
      </c>
      <c r="E77" s="1" t="s">
        <v>19</v>
      </c>
      <c r="F77" s="1" t="s">
        <v>21</v>
      </c>
      <c r="G77" t="s">
        <v>25</v>
      </c>
      <c r="H77">
        <v>2</v>
      </c>
      <c r="I77" s="7" t="b">
        <v>0</v>
      </c>
      <c r="J77" s="7" t="b">
        <v>0</v>
      </c>
      <c r="K77" s="1" t="s">
        <v>21</v>
      </c>
      <c r="L77" s="1" t="s">
        <v>19</v>
      </c>
      <c r="M77" s="1" t="s">
        <v>19</v>
      </c>
      <c r="N77" s="1" t="s">
        <v>19</v>
      </c>
      <c r="O77" s="1" t="s">
        <v>21</v>
      </c>
      <c r="P77" s="1" t="s">
        <v>21</v>
      </c>
      <c r="Q77" t="b">
        <v>0</v>
      </c>
      <c r="R77" s="1" t="s">
        <v>17</v>
      </c>
    </row>
    <row r="78" spans="1:18" x14ac:dyDescent="0.15">
      <c r="A78" s="6" t="s">
        <v>166</v>
      </c>
      <c r="B78" t="s">
        <v>164</v>
      </c>
      <c r="C78" t="s">
        <v>167</v>
      </c>
      <c r="D78">
        <v>500</v>
      </c>
      <c r="E78" s="1" t="s">
        <v>19</v>
      </c>
      <c r="F78" s="1" t="s">
        <v>21</v>
      </c>
      <c r="G78" t="s">
        <v>25</v>
      </c>
      <c r="H78">
        <v>2</v>
      </c>
      <c r="I78" s="7" t="b">
        <v>0</v>
      </c>
      <c r="J78" s="7" t="b">
        <v>0</v>
      </c>
      <c r="K78" s="1" t="s">
        <v>21</v>
      </c>
      <c r="L78" s="1" t="s">
        <v>19</v>
      </c>
      <c r="M78" s="1" t="s">
        <v>19</v>
      </c>
      <c r="N78" s="1" t="s">
        <v>19</v>
      </c>
      <c r="O78" s="1" t="s">
        <v>21</v>
      </c>
      <c r="P78" s="1" t="s">
        <v>21</v>
      </c>
      <c r="Q78" t="b">
        <v>0</v>
      </c>
      <c r="R78" s="1" t="s">
        <v>17</v>
      </c>
    </row>
    <row r="79" spans="1:18" x14ac:dyDescent="0.15">
      <c r="A79" t="s">
        <v>164</v>
      </c>
      <c r="B79" s="6" t="s">
        <v>22</v>
      </c>
      <c r="C79" s="6" t="s">
        <v>168</v>
      </c>
      <c r="D79">
        <v>500</v>
      </c>
      <c r="E79" s="1" t="s">
        <v>19</v>
      </c>
      <c r="F79" s="1" t="s">
        <v>21</v>
      </c>
      <c r="G79" t="s">
        <v>25</v>
      </c>
      <c r="H79">
        <v>2</v>
      </c>
      <c r="I79" s="7" t="b">
        <v>0</v>
      </c>
      <c r="J79" s="7" t="b">
        <v>0</v>
      </c>
      <c r="K79" s="1" t="s">
        <v>21</v>
      </c>
      <c r="L79" s="1" t="s">
        <v>19</v>
      </c>
      <c r="M79" s="1" t="s">
        <v>19</v>
      </c>
      <c r="N79" s="1" t="s">
        <v>19</v>
      </c>
      <c r="O79" s="1" t="s">
        <v>21</v>
      </c>
      <c r="P79" s="1" t="s">
        <v>21</v>
      </c>
      <c r="Q79" t="b">
        <v>0</v>
      </c>
      <c r="R79" s="1" t="s">
        <v>17</v>
      </c>
    </row>
    <row r="80" spans="1:18" x14ac:dyDescent="0.15">
      <c r="A80" s="6" t="s">
        <v>169</v>
      </c>
      <c r="B80" t="s">
        <v>170</v>
      </c>
      <c r="C80" t="s">
        <v>171</v>
      </c>
      <c r="D80">
        <v>500</v>
      </c>
      <c r="E80" s="1" t="s">
        <v>19</v>
      </c>
      <c r="F80" s="1" t="s">
        <v>21</v>
      </c>
      <c r="G80" t="s">
        <v>25</v>
      </c>
      <c r="H80">
        <v>2</v>
      </c>
      <c r="I80" s="7" t="b">
        <v>0</v>
      </c>
      <c r="J80" s="7" t="b">
        <v>0</v>
      </c>
      <c r="K80" s="1" t="s">
        <v>21</v>
      </c>
      <c r="L80" s="1" t="s">
        <v>19</v>
      </c>
      <c r="M80" s="1" t="s">
        <v>19</v>
      </c>
      <c r="N80" s="1" t="s">
        <v>19</v>
      </c>
      <c r="O80" s="1" t="s">
        <v>21</v>
      </c>
      <c r="P80" s="1" t="s">
        <v>21</v>
      </c>
      <c r="Q80" t="b">
        <v>0</v>
      </c>
      <c r="R80" s="1" t="s">
        <v>17</v>
      </c>
    </row>
    <row r="81" spans="1:18" x14ac:dyDescent="0.15">
      <c r="A81" s="6" t="s">
        <v>172</v>
      </c>
      <c r="B81" t="s">
        <v>170</v>
      </c>
      <c r="C81" t="s">
        <v>173</v>
      </c>
      <c r="D81">
        <v>500</v>
      </c>
      <c r="E81" s="1" t="s">
        <v>19</v>
      </c>
      <c r="F81" s="1" t="s">
        <v>21</v>
      </c>
      <c r="G81" t="s">
        <v>25</v>
      </c>
      <c r="H81">
        <v>2</v>
      </c>
      <c r="I81" s="7" t="b">
        <v>0</v>
      </c>
      <c r="J81" s="7" t="b">
        <v>0</v>
      </c>
      <c r="K81" s="1" t="s">
        <v>21</v>
      </c>
      <c r="L81" s="1" t="s">
        <v>19</v>
      </c>
      <c r="M81" s="1" t="s">
        <v>19</v>
      </c>
      <c r="N81" s="1" t="s">
        <v>19</v>
      </c>
      <c r="O81" s="1" t="s">
        <v>21</v>
      </c>
      <c r="P81" s="1" t="s">
        <v>21</v>
      </c>
      <c r="Q81" t="b">
        <v>0</v>
      </c>
      <c r="R81" s="1" t="s">
        <v>17</v>
      </c>
    </row>
    <row r="82" spans="1:18" x14ac:dyDescent="0.15">
      <c r="A82" t="s">
        <v>170</v>
      </c>
      <c r="B82" s="6" t="s">
        <v>22</v>
      </c>
      <c r="C82" s="6" t="s">
        <v>174</v>
      </c>
      <c r="D82">
        <v>500</v>
      </c>
      <c r="E82" s="1" t="s">
        <v>19</v>
      </c>
      <c r="F82" s="1" t="s">
        <v>21</v>
      </c>
      <c r="G82" t="s">
        <v>25</v>
      </c>
      <c r="H82">
        <v>2</v>
      </c>
      <c r="I82" s="7" t="b">
        <v>0</v>
      </c>
      <c r="J82" s="7" t="b">
        <v>0</v>
      </c>
      <c r="K82" s="1" t="s">
        <v>21</v>
      </c>
      <c r="L82" s="1" t="s">
        <v>19</v>
      </c>
      <c r="M82" s="1" t="s">
        <v>19</v>
      </c>
      <c r="N82" s="1" t="s">
        <v>19</v>
      </c>
      <c r="O82" s="1" t="s">
        <v>21</v>
      </c>
      <c r="P82" s="1" t="s">
        <v>21</v>
      </c>
      <c r="Q82" t="b">
        <v>0</v>
      </c>
      <c r="R82" s="1" t="s">
        <v>17</v>
      </c>
    </row>
    <row r="83" spans="1:18" x14ac:dyDescent="0.15">
      <c r="A83" s="6" t="s">
        <v>3128</v>
      </c>
      <c r="B83" s="6" t="s">
        <v>23</v>
      </c>
      <c r="C83" s="6" t="s">
        <v>3143</v>
      </c>
      <c r="D83">
        <v>500</v>
      </c>
      <c r="E83" s="1" t="s">
        <v>19</v>
      </c>
      <c r="F83" s="1" t="s">
        <v>21</v>
      </c>
      <c r="G83" t="s">
        <v>25</v>
      </c>
      <c r="H83">
        <v>2</v>
      </c>
      <c r="I83" s="7" t="b">
        <v>0</v>
      </c>
      <c r="J83" s="7" t="b">
        <v>0</v>
      </c>
      <c r="K83" s="1" t="s">
        <v>21</v>
      </c>
      <c r="L83" s="1" t="s">
        <v>19</v>
      </c>
      <c r="M83" s="1" t="s">
        <v>19</v>
      </c>
      <c r="N83" s="1" t="s">
        <v>19</v>
      </c>
      <c r="O83" s="1" t="s">
        <v>21</v>
      </c>
      <c r="P83" s="1" t="s">
        <v>21</v>
      </c>
      <c r="Q83" t="b">
        <v>1</v>
      </c>
      <c r="R83" s="1" t="s">
        <v>1827</v>
      </c>
    </row>
    <row r="84" spans="1:18" x14ac:dyDescent="0.15">
      <c r="A84" s="6" t="s">
        <v>3129</v>
      </c>
      <c r="B84" s="6" t="s">
        <v>23</v>
      </c>
      <c r="C84" s="6" t="s">
        <v>3144</v>
      </c>
      <c r="D84">
        <v>500</v>
      </c>
      <c r="E84" s="1" t="s">
        <v>19</v>
      </c>
      <c r="F84" s="1" t="s">
        <v>21</v>
      </c>
      <c r="G84" t="s">
        <v>25</v>
      </c>
      <c r="H84">
        <v>2</v>
      </c>
      <c r="I84" s="7" t="b">
        <v>0</v>
      </c>
      <c r="J84" s="7" t="b">
        <v>0</v>
      </c>
      <c r="K84" s="1" t="s">
        <v>21</v>
      </c>
      <c r="L84" s="1" t="s">
        <v>19</v>
      </c>
      <c r="M84" s="1" t="s">
        <v>19</v>
      </c>
      <c r="N84" s="1" t="s">
        <v>19</v>
      </c>
      <c r="O84" s="1" t="s">
        <v>21</v>
      </c>
      <c r="P84" s="1" t="s">
        <v>21</v>
      </c>
      <c r="Q84" t="b">
        <v>1</v>
      </c>
      <c r="R84" s="1" t="s">
        <v>1827</v>
      </c>
    </row>
    <row r="85" spans="1:18" x14ac:dyDescent="0.15">
      <c r="A85" t="s">
        <v>175</v>
      </c>
      <c r="B85" t="s">
        <v>176</v>
      </c>
      <c r="C85" t="s">
        <v>2792</v>
      </c>
      <c r="D85">
        <v>500</v>
      </c>
      <c r="E85" s="1" t="s">
        <v>19</v>
      </c>
      <c r="F85" s="1" t="s">
        <v>19</v>
      </c>
      <c r="G85" t="s">
        <v>42</v>
      </c>
      <c r="H85">
        <v>0</v>
      </c>
      <c r="I85" s="7" t="b">
        <v>0</v>
      </c>
      <c r="J85" s="7" t="b">
        <v>0</v>
      </c>
      <c r="K85" s="1" t="s">
        <v>21</v>
      </c>
      <c r="L85" s="1" t="s">
        <v>19</v>
      </c>
      <c r="M85" s="1" t="s">
        <v>19</v>
      </c>
      <c r="N85" s="1" t="s">
        <v>19</v>
      </c>
      <c r="O85" s="1" t="s">
        <v>21</v>
      </c>
      <c r="P85" s="1" t="s">
        <v>19</v>
      </c>
      <c r="Q85" t="b">
        <v>0</v>
      </c>
      <c r="R85" s="1" t="s">
        <v>17</v>
      </c>
    </row>
    <row r="86" spans="1:18" x14ac:dyDescent="0.15">
      <c r="A86" t="s">
        <v>3093</v>
      </c>
      <c r="B86" t="s">
        <v>175</v>
      </c>
      <c r="C86" t="s">
        <v>3094</v>
      </c>
      <c r="D86">
        <v>500</v>
      </c>
      <c r="E86" s="1" t="s">
        <v>19</v>
      </c>
      <c r="F86" s="1" t="s">
        <v>19</v>
      </c>
      <c r="G86" t="s">
        <v>42</v>
      </c>
      <c r="H86">
        <v>0</v>
      </c>
      <c r="I86" s="7" t="b">
        <v>0</v>
      </c>
      <c r="J86" s="7" t="b">
        <v>0</v>
      </c>
      <c r="K86" s="1" t="s">
        <v>21</v>
      </c>
      <c r="L86" s="1" t="s">
        <v>19</v>
      </c>
      <c r="M86" s="1" t="s">
        <v>19</v>
      </c>
      <c r="N86" s="1" t="s">
        <v>19</v>
      </c>
      <c r="O86" s="1" t="s">
        <v>21</v>
      </c>
      <c r="P86" s="1" t="s">
        <v>19</v>
      </c>
      <c r="Q86" t="b">
        <v>0</v>
      </c>
      <c r="R86" s="1" t="s">
        <v>17</v>
      </c>
    </row>
    <row r="87" spans="1:18" x14ac:dyDescent="0.15">
      <c r="A87" s="6" t="s">
        <v>178</v>
      </c>
      <c r="B87" s="6" t="s">
        <v>179</v>
      </c>
      <c r="C87" s="6" t="s">
        <v>180</v>
      </c>
      <c r="D87">
        <v>400</v>
      </c>
      <c r="E87" s="1" t="s">
        <v>19</v>
      </c>
      <c r="F87" s="1" t="s">
        <v>21</v>
      </c>
      <c r="G87" t="s">
        <v>181</v>
      </c>
      <c r="H87">
        <v>1</v>
      </c>
      <c r="I87" s="7" t="b">
        <v>0</v>
      </c>
      <c r="J87" s="7" t="b">
        <v>0</v>
      </c>
      <c r="K87" s="1" t="s">
        <v>21</v>
      </c>
      <c r="L87" s="1" t="s">
        <v>19</v>
      </c>
      <c r="M87" s="1" t="s">
        <v>19</v>
      </c>
      <c r="N87" s="1" t="s">
        <v>19</v>
      </c>
      <c r="O87" s="1" t="s">
        <v>21</v>
      </c>
      <c r="P87" s="1" t="s">
        <v>19</v>
      </c>
      <c r="Q87" t="b">
        <v>0</v>
      </c>
      <c r="R87" s="1" t="s">
        <v>17</v>
      </c>
    </row>
    <row r="88" spans="1:18" x14ac:dyDescent="0.15">
      <c r="A88" s="6" t="s">
        <v>182</v>
      </c>
      <c r="B88" s="6" t="s">
        <v>183</v>
      </c>
      <c r="C88" s="6" t="s">
        <v>184</v>
      </c>
      <c r="D88">
        <v>400</v>
      </c>
      <c r="E88" s="1" t="s">
        <v>19</v>
      </c>
      <c r="F88" s="1" t="s">
        <v>21</v>
      </c>
      <c r="G88" t="s">
        <v>181</v>
      </c>
      <c r="H88">
        <v>1</v>
      </c>
      <c r="I88" s="7" t="b">
        <v>0</v>
      </c>
      <c r="J88" s="7" t="b">
        <v>0</v>
      </c>
      <c r="K88" s="1" t="s">
        <v>19</v>
      </c>
      <c r="L88" s="1" t="s">
        <v>19</v>
      </c>
      <c r="M88" s="1" t="s">
        <v>19</v>
      </c>
      <c r="N88" s="1" t="s">
        <v>19</v>
      </c>
      <c r="O88" s="1" t="s">
        <v>19</v>
      </c>
      <c r="P88" s="1" t="s">
        <v>21</v>
      </c>
      <c r="Q88" t="b">
        <v>0</v>
      </c>
      <c r="R88" s="1" t="s">
        <v>17</v>
      </c>
    </row>
    <row r="89" spans="1:18" x14ac:dyDescent="0.15">
      <c r="A89" s="6" t="s">
        <v>179</v>
      </c>
      <c r="B89" t="s">
        <v>17</v>
      </c>
      <c r="C89" t="s">
        <v>185</v>
      </c>
      <c r="D89">
        <v>400</v>
      </c>
      <c r="E89" s="1" t="s">
        <v>19</v>
      </c>
      <c r="F89" s="1" t="s">
        <v>19</v>
      </c>
      <c r="G89" t="s">
        <v>181</v>
      </c>
      <c r="H89">
        <v>1</v>
      </c>
      <c r="I89" s="7" t="b">
        <v>0</v>
      </c>
      <c r="J89" s="7" t="b">
        <v>0</v>
      </c>
      <c r="K89" s="1" t="s">
        <v>21</v>
      </c>
      <c r="L89" s="1" t="s">
        <v>19</v>
      </c>
      <c r="M89" s="1" t="s">
        <v>19</v>
      </c>
      <c r="N89" s="1" t="s">
        <v>19</v>
      </c>
      <c r="O89" s="1" t="s">
        <v>21</v>
      </c>
      <c r="P89" s="1" t="s">
        <v>19</v>
      </c>
      <c r="Q89" t="b">
        <v>0</v>
      </c>
      <c r="R89" s="1" t="s">
        <v>17</v>
      </c>
    </row>
    <row r="90" spans="1:18" x14ac:dyDescent="0.15">
      <c r="A90" s="6" t="s">
        <v>186</v>
      </c>
      <c r="B90" s="6" t="s">
        <v>179</v>
      </c>
      <c r="C90" s="6" t="s">
        <v>187</v>
      </c>
      <c r="D90">
        <v>400</v>
      </c>
      <c r="E90" s="1" t="s">
        <v>19</v>
      </c>
      <c r="F90" s="1" t="s">
        <v>21</v>
      </c>
      <c r="G90" t="s">
        <v>181</v>
      </c>
      <c r="H90">
        <v>1</v>
      </c>
      <c r="I90" s="7" t="b">
        <v>0</v>
      </c>
      <c r="J90" s="7" t="b">
        <v>0</v>
      </c>
      <c r="K90" s="1" t="s">
        <v>21</v>
      </c>
      <c r="L90" s="1" t="s">
        <v>19</v>
      </c>
      <c r="M90" s="1" t="s">
        <v>19</v>
      </c>
      <c r="N90" s="1" t="s">
        <v>19</v>
      </c>
      <c r="O90" s="1" t="s">
        <v>21</v>
      </c>
      <c r="P90" s="1" t="s">
        <v>19</v>
      </c>
      <c r="Q90" t="b">
        <v>0</v>
      </c>
      <c r="R90" s="1" t="s">
        <v>17</v>
      </c>
    </row>
    <row r="91" spans="1:18" x14ac:dyDescent="0.15">
      <c r="A91" s="6" t="s">
        <v>188</v>
      </c>
      <c r="B91" s="6" t="s">
        <v>179</v>
      </c>
      <c r="C91" s="6" t="s">
        <v>2848</v>
      </c>
      <c r="D91">
        <v>400</v>
      </c>
      <c r="E91" s="1" t="s">
        <v>19</v>
      </c>
      <c r="F91" s="1" t="s">
        <v>21</v>
      </c>
      <c r="G91" t="s">
        <v>181</v>
      </c>
      <c r="H91">
        <v>1</v>
      </c>
      <c r="I91" s="7" t="b">
        <v>0</v>
      </c>
      <c r="J91" s="7" t="b">
        <v>0</v>
      </c>
      <c r="K91" s="1" t="s">
        <v>21</v>
      </c>
      <c r="L91" s="1" t="s">
        <v>19</v>
      </c>
      <c r="M91" s="1" t="s">
        <v>19</v>
      </c>
      <c r="N91" s="1" t="s">
        <v>19</v>
      </c>
      <c r="O91" s="1" t="s">
        <v>21</v>
      </c>
      <c r="P91" s="1" t="s">
        <v>19</v>
      </c>
      <c r="Q91" t="b">
        <v>0</v>
      </c>
      <c r="R91" s="1" t="s">
        <v>17</v>
      </c>
    </row>
    <row r="92" spans="1:18" x14ac:dyDescent="0.15">
      <c r="A92" t="s">
        <v>189</v>
      </c>
      <c r="B92" t="s">
        <v>17</v>
      </c>
      <c r="C92" t="s">
        <v>190</v>
      </c>
      <c r="D92">
        <v>500</v>
      </c>
      <c r="E92" s="1" t="s">
        <v>19</v>
      </c>
      <c r="F92" s="1" t="s">
        <v>19</v>
      </c>
      <c r="G92" t="s">
        <v>113</v>
      </c>
      <c r="H92">
        <v>0</v>
      </c>
      <c r="I92" s="7" t="b">
        <v>1</v>
      </c>
      <c r="J92" s="7" t="b">
        <v>1</v>
      </c>
      <c r="K92" s="1" t="s">
        <v>21</v>
      </c>
      <c r="L92" s="1" t="s">
        <v>19</v>
      </c>
      <c r="M92" s="1" t="s">
        <v>19</v>
      </c>
      <c r="N92" s="1" t="s">
        <v>19</v>
      </c>
      <c r="O92" s="1" t="s">
        <v>21</v>
      </c>
      <c r="P92" s="1" t="s">
        <v>19</v>
      </c>
      <c r="Q92" t="b">
        <v>0</v>
      </c>
      <c r="R92" s="1" t="s">
        <v>17</v>
      </c>
    </row>
    <row r="93" spans="1:18" x14ac:dyDescent="0.15">
      <c r="A93" t="s">
        <v>176</v>
      </c>
      <c r="B93" t="s">
        <v>17</v>
      </c>
      <c r="C93" t="s">
        <v>191</v>
      </c>
      <c r="D93">
        <v>500</v>
      </c>
      <c r="E93" s="1" t="s">
        <v>19</v>
      </c>
      <c r="F93" s="1" t="s">
        <v>19</v>
      </c>
      <c r="G93" t="s">
        <v>42</v>
      </c>
      <c r="H93">
        <v>0</v>
      </c>
      <c r="I93" s="7" t="b">
        <v>0</v>
      </c>
      <c r="J93" s="7" t="b">
        <v>0</v>
      </c>
      <c r="K93" s="1" t="s">
        <v>21</v>
      </c>
      <c r="L93" s="1" t="s">
        <v>19</v>
      </c>
      <c r="M93" s="1" t="s">
        <v>19</v>
      </c>
      <c r="N93" s="1" t="s">
        <v>19</v>
      </c>
      <c r="O93" s="1" t="s">
        <v>21</v>
      </c>
      <c r="P93" s="1" t="s">
        <v>19</v>
      </c>
      <c r="Q93" t="b">
        <v>0</v>
      </c>
      <c r="R93" s="1" t="s">
        <v>17</v>
      </c>
    </row>
    <row r="94" spans="1:18" x14ac:dyDescent="0.15">
      <c r="A94" s="6" t="s">
        <v>3191</v>
      </c>
      <c r="B94" t="s">
        <v>17</v>
      </c>
      <c r="C94" t="s">
        <v>3190</v>
      </c>
      <c r="D94">
        <v>500</v>
      </c>
      <c r="E94" s="1" t="s">
        <v>19</v>
      </c>
      <c r="F94" s="1" t="s">
        <v>19</v>
      </c>
      <c r="G94" t="s">
        <v>42</v>
      </c>
      <c r="H94">
        <v>0</v>
      </c>
      <c r="I94" s="7" t="b">
        <v>1</v>
      </c>
      <c r="J94" s="7" t="b">
        <v>0</v>
      </c>
      <c r="K94" s="1" t="s">
        <v>21</v>
      </c>
      <c r="L94" s="1" t="s">
        <v>19</v>
      </c>
      <c r="M94" s="1" t="s">
        <v>19</v>
      </c>
      <c r="N94" s="1" t="s">
        <v>19</v>
      </c>
      <c r="O94" s="1" t="s">
        <v>21</v>
      </c>
      <c r="P94" s="1" t="s">
        <v>19</v>
      </c>
      <c r="Q94" t="b">
        <v>0</v>
      </c>
      <c r="R94" s="1" t="s">
        <v>17</v>
      </c>
    </row>
    <row r="95" spans="1:18" x14ac:dyDescent="0.15">
      <c r="A95" t="s">
        <v>194</v>
      </c>
      <c r="B95" t="s">
        <v>17</v>
      </c>
      <c r="C95" t="s">
        <v>195</v>
      </c>
      <c r="D95">
        <v>500</v>
      </c>
      <c r="E95" s="1" t="s">
        <v>19</v>
      </c>
      <c r="F95" s="1" t="s">
        <v>19</v>
      </c>
      <c r="G95" t="s">
        <v>42</v>
      </c>
      <c r="H95">
        <v>0</v>
      </c>
      <c r="I95" s="7" t="b">
        <v>0</v>
      </c>
      <c r="J95" s="7" t="b">
        <v>0</v>
      </c>
      <c r="K95" s="1" t="s">
        <v>21</v>
      </c>
      <c r="L95" s="1" t="s">
        <v>19</v>
      </c>
      <c r="M95" s="1" t="s">
        <v>19</v>
      </c>
      <c r="N95" s="1" t="s">
        <v>19</v>
      </c>
      <c r="O95" s="1" t="s">
        <v>21</v>
      </c>
      <c r="P95" s="1" t="s">
        <v>19</v>
      </c>
      <c r="Q95" t="b">
        <v>0</v>
      </c>
      <c r="R95" s="1" t="s">
        <v>17</v>
      </c>
    </row>
    <row r="96" spans="1:18" x14ac:dyDescent="0.15">
      <c r="A96" t="s">
        <v>196</v>
      </c>
      <c r="B96" t="s">
        <v>17</v>
      </c>
      <c r="C96" t="s">
        <v>197</v>
      </c>
      <c r="D96">
        <v>500</v>
      </c>
      <c r="E96" s="1" t="s">
        <v>21</v>
      </c>
      <c r="F96" s="1" t="s">
        <v>19</v>
      </c>
      <c r="G96" t="s">
        <v>198</v>
      </c>
      <c r="H96">
        <v>0</v>
      </c>
      <c r="I96" s="7" t="b">
        <v>1</v>
      </c>
      <c r="J96" s="7" t="b">
        <v>1</v>
      </c>
      <c r="K96" s="1" t="s">
        <v>21</v>
      </c>
      <c r="L96" s="1" t="s">
        <v>19</v>
      </c>
      <c r="M96" s="1" t="s">
        <v>19</v>
      </c>
      <c r="N96" s="1" t="s">
        <v>19</v>
      </c>
      <c r="O96" s="1" t="s">
        <v>21</v>
      </c>
      <c r="P96" s="1" t="s">
        <v>19</v>
      </c>
      <c r="Q96" t="b">
        <v>0</v>
      </c>
      <c r="R96" s="1" t="s">
        <v>17</v>
      </c>
    </row>
    <row r="97" spans="1:18" x14ac:dyDescent="0.15">
      <c r="A97" s="6" t="s">
        <v>199</v>
      </c>
      <c r="B97" s="6" t="s">
        <v>27</v>
      </c>
      <c r="C97" s="6" t="s">
        <v>200</v>
      </c>
      <c r="D97">
        <v>500</v>
      </c>
      <c r="E97" s="1" t="s">
        <v>19</v>
      </c>
      <c r="F97" s="1" t="s">
        <v>19</v>
      </c>
      <c r="G97" t="s">
        <v>29</v>
      </c>
      <c r="H97">
        <v>1</v>
      </c>
      <c r="I97" s="7" t="b">
        <v>0</v>
      </c>
      <c r="J97" s="7" t="b">
        <v>1</v>
      </c>
      <c r="K97" s="1" t="s">
        <v>21</v>
      </c>
      <c r="L97" s="1" t="s">
        <v>19</v>
      </c>
      <c r="M97" s="1" t="s">
        <v>19</v>
      </c>
      <c r="N97" s="1" t="s">
        <v>19</v>
      </c>
      <c r="O97" s="1" t="s">
        <v>21</v>
      </c>
      <c r="P97" s="1" t="s">
        <v>19</v>
      </c>
      <c r="Q97" t="b">
        <v>0</v>
      </c>
      <c r="R97" s="1" t="s">
        <v>17</v>
      </c>
    </row>
    <row r="98" spans="1:18" x14ac:dyDescent="0.15">
      <c r="A98" t="s">
        <v>132</v>
      </c>
      <c r="B98" t="s">
        <v>17</v>
      </c>
      <c r="C98" s="6" t="s">
        <v>201</v>
      </c>
      <c r="D98">
        <v>500</v>
      </c>
      <c r="E98" s="1" t="s">
        <v>21</v>
      </c>
      <c r="F98" s="1" t="s">
        <v>19</v>
      </c>
      <c r="G98" t="s">
        <v>130</v>
      </c>
      <c r="H98">
        <v>0</v>
      </c>
      <c r="I98" s="7" t="b">
        <v>0</v>
      </c>
      <c r="J98" s="7" t="b">
        <v>0</v>
      </c>
      <c r="K98" s="1" t="s">
        <v>21</v>
      </c>
      <c r="L98" s="1" t="s">
        <v>19</v>
      </c>
      <c r="M98" s="1" t="s">
        <v>21</v>
      </c>
      <c r="N98" s="1" t="s">
        <v>19</v>
      </c>
      <c r="O98" s="1" t="s">
        <v>19</v>
      </c>
      <c r="P98" s="1" t="s">
        <v>19</v>
      </c>
      <c r="Q98" t="b">
        <v>0</v>
      </c>
      <c r="R98" s="1" t="s">
        <v>17</v>
      </c>
    </row>
    <row r="99" spans="1:18" x14ac:dyDescent="0.15">
      <c r="A99" t="s">
        <v>2966</v>
      </c>
      <c r="B99" s="6" t="s">
        <v>27</v>
      </c>
      <c r="C99" s="6" t="s">
        <v>2967</v>
      </c>
      <c r="D99">
        <v>600</v>
      </c>
      <c r="E99" s="1" t="s">
        <v>19</v>
      </c>
      <c r="F99" s="1" t="s">
        <v>21</v>
      </c>
      <c r="G99" t="s">
        <v>29</v>
      </c>
      <c r="H99">
        <v>1</v>
      </c>
      <c r="I99" s="7" t="b">
        <v>0</v>
      </c>
      <c r="J99" s="7" t="b">
        <v>1</v>
      </c>
      <c r="K99" s="1" t="s">
        <v>19</v>
      </c>
      <c r="L99" s="1" t="s">
        <v>19</v>
      </c>
      <c r="M99" s="1" t="s">
        <v>19</v>
      </c>
      <c r="N99" s="1" t="s">
        <v>19</v>
      </c>
      <c r="O99" s="1" t="s">
        <v>21</v>
      </c>
      <c r="P99" s="1" t="s">
        <v>21</v>
      </c>
      <c r="Q99" t="b">
        <v>1</v>
      </c>
      <c r="R99" s="1" t="s">
        <v>3208</v>
      </c>
    </row>
    <row r="100" spans="1:18" x14ac:dyDescent="0.15">
      <c r="A100" t="s">
        <v>202</v>
      </c>
      <c r="B100" t="s">
        <v>127</v>
      </c>
      <c r="C100" t="s">
        <v>203</v>
      </c>
      <c r="D100">
        <v>500</v>
      </c>
      <c r="E100" s="1" t="s">
        <v>19</v>
      </c>
      <c r="F100" s="1" t="s">
        <v>19</v>
      </c>
      <c r="G100" t="s">
        <v>130</v>
      </c>
      <c r="H100">
        <v>0</v>
      </c>
      <c r="I100" s="7" t="b">
        <v>0</v>
      </c>
      <c r="J100" s="7" t="b">
        <v>0</v>
      </c>
      <c r="K100" s="1" t="s">
        <v>21</v>
      </c>
      <c r="L100" s="1" t="s">
        <v>19</v>
      </c>
      <c r="M100" s="1" t="s">
        <v>21</v>
      </c>
      <c r="N100" s="1" t="s">
        <v>19</v>
      </c>
      <c r="O100" s="1" t="s">
        <v>19</v>
      </c>
      <c r="P100" s="1" t="s">
        <v>19</v>
      </c>
      <c r="Q100" t="b">
        <v>0</v>
      </c>
      <c r="R100" s="1" t="s">
        <v>17</v>
      </c>
    </row>
    <row r="101" spans="1:18" x14ac:dyDescent="0.15">
      <c r="A101" t="s">
        <v>204</v>
      </c>
      <c r="B101" t="s">
        <v>202</v>
      </c>
      <c r="C101" t="s">
        <v>205</v>
      </c>
      <c r="D101">
        <v>500</v>
      </c>
      <c r="E101" s="1" t="s">
        <v>19</v>
      </c>
      <c r="F101" s="1" t="s">
        <v>19</v>
      </c>
      <c r="G101" t="s">
        <v>130</v>
      </c>
      <c r="H101">
        <v>0</v>
      </c>
      <c r="I101" s="7" t="b">
        <v>0</v>
      </c>
      <c r="J101" s="7" t="b">
        <v>0</v>
      </c>
      <c r="K101" s="1" t="s">
        <v>21</v>
      </c>
      <c r="L101" s="1" t="s">
        <v>19</v>
      </c>
      <c r="M101" s="1" t="s">
        <v>21</v>
      </c>
      <c r="N101" s="1" t="s">
        <v>19</v>
      </c>
      <c r="O101" s="1" t="s">
        <v>19</v>
      </c>
      <c r="P101" s="1" t="s">
        <v>19</v>
      </c>
      <c r="Q101" t="b">
        <v>0</v>
      </c>
      <c r="R101" s="1" t="s">
        <v>17</v>
      </c>
    </row>
    <row r="102" spans="1:18" x14ac:dyDescent="0.15">
      <c r="A102" t="s">
        <v>2955</v>
      </c>
      <c r="B102" t="s">
        <v>17</v>
      </c>
      <c r="C102" t="s">
        <v>2956</v>
      </c>
      <c r="D102">
        <v>500</v>
      </c>
      <c r="E102" s="1" t="s">
        <v>19</v>
      </c>
      <c r="F102" s="1" t="s">
        <v>19</v>
      </c>
      <c r="G102" t="s">
        <v>47</v>
      </c>
      <c r="H102">
        <v>1</v>
      </c>
      <c r="I102" s="7" t="b">
        <v>0</v>
      </c>
      <c r="J102" s="7" t="b">
        <v>0</v>
      </c>
      <c r="K102" s="1" t="s">
        <v>21</v>
      </c>
      <c r="L102" s="1" t="s">
        <v>19</v>
      </c>
      <c r="M102" s="1" t="s">
        <v>19</v>
      </c>
      <c r="N102" s="1" t="s">
        <v>19</v>
      </c>
      <c r="O102" s="1" t="s">
        <v>21</v>
      </c>
      <c r="P102" s="1" t="s">
        <v>21</v>
      </c>
      <c r="Q102" t="b">
        <v>0</v>
      </c>
      <c r="R102" s="1" t="s">
        <v>17</v>
      </c>
    </row>
    <row r="103" spans="1:18" x14ac:dyDescent="0.15">
      <c r="A103" s="6" t="s">
        <v>206</v>
      </c>
      <c r="B103" t="s">
        <v>207</v>
      </c>
      <c r="C103" t="s">
        <v>208</v>
      </c>
      <c r="D103">
        <v>500</v>
      </c>
      <c r="E103" s="1" t="s">
        <v>19</v>
      </c>
      <c r="F103" s="1" t="s">
        <v>19</v>
      </c>
      <c r="G103" t="s">
        <v>33</v>
      </c>
      <c r="H103">
        <v>3</v>
      </c>
      <c r="I103" s="7" t="b">
        <v>0</v>
      </c>
      <c r="J103" s="7" t="b">
        <v>1</v>
      </c>
      <c r="K103" s="1" t="s">
        <v>21</v>
      </c>
      <c r="L103" s="1" t="s">
        <v>19</v>
      </c>
      <c r="M103" s="1" t="s">
        <v>19</v>
      </c>
      <c r="N103" s="1" t="s">
        <v>19</v>
      </c>
      <c r="O103" s="1" t="s">
        <v>21</v>
      </c>
      <c r="P103" s="1" t="s">
        <v>19</v>
      </c>
      <c r="Q103" t="b">
        <v>0</v>
      </c>
      <c r="R103" s="1" t="s">
        <v>17</v>
      </c>
    </row>
    <row r="104" spans="1:18" x14ac:dyDescent="0.15">
      <c r="A104" s="6" t="s">
        <v>207</v>
      </c>
      <c r="B104" t="s">
        <v>17</v>
      </c>
      <c r="C104" t="s">
        <v>209</v>
      </c>
      <c r="D104">
        <v>500</v>
      </c>
      <c r="E104" s="1" t="s">
        <v>19</v>
      </c>
      <c r="F104" s="1" t="s">
        <v>19</v>
      </c>
      <c r="G104" t="s">
        <v>33</v>
      </c>
      <c r="H104">
        <v>3</v>
      </c>
      <c r="I104" s="7" t="b">
        <v>0</v>
      </c>
      <c r="J104" s="7" t="b">
        <v>1</v>
      </c>
      <c r="K104" s="1" t="s">
        <v>21</v>
      </c>
      <c r="L104" s="1" t="s">
        <v>19</v>
      </c>
      <c r="M104" s="1" t="s">
        <v>19</v>
      </c>
      <c r="N104" s="1" t="s">
        <v>19</v>
      </c>
      <c r="O104" s="1" t="s">
        <v>21</v>
      </c>
      <c r="P104" s="1" t="s">
        <v>19</v>
      </c>
      <c r="Q104" t="b">
        <v>0</v>
      </c>
      <c r="R104" s="1" t="s">
        <v>17</v>
      </c>
    </row>
    <row r="105" spans="1:18" x14ac:dyDescent="0.15">
      <c r="A105" s="6" t="s">
        <v>210</v>
      </c>
      <c r="B105" s="6" t="s">
        <v>27</v>
      </c>
      <c r="C105" s="6" t="s">
        <v>211</v>
      </c>
      <c r="D105">
        <v>550</v>
      </c>
      <c r="E105" s="1" t="s">
        <v>19</v>
      </c>
      <c r="F105" s="1" t="s">
        <v>19</v>
      </c>
      <c r="G105" t="s">
        <v>29</v>
      </c>
      <c r="H105">
        <v>1</v>
      </c>
      <c r="I105" s="7" t="b">
        <v>0</v>
      </c>
      <c r="J105" s="7" t="b">
        <v>0</v>
      </c>
      <c r="K105" s="1" t="s">
        <v>21</v>
      </c>
      <c r="L105" s="1" t="s">
        <v>19</v>
      </c>
      <c r="M105" s="1" t="s">
        <v>19</v>
      </c>
      <c r="N105" s="1" t="s">
        <v>19</v>
      </c>
      <c r="O105" s="1" t="s">
        <v>21</v>
      </c>
      <c r="P105" s="1" t="s">
        <v>19</v>
      </c>
      <c r="Q105" t="b">
        <v>0</v>
      </c>
      <c r="R105" s="1" t="s">
        <v>17</v>
      </c>
    </row>
    <row r="106" spans="1:18" x14ac:dyDescent="0.15">
      <c r="A106" t="s">
        <v>212</v>
      </c>
      <c r="B106" t="s">
        <v>23</v>
      </c>
      <c r="C106" t="s">
        <v>213</v>
      </c>
      <c r="D106">
        <v>500</v>
      </c>
      <c r="E106" s="1" t="s">
        <v>19</v>
      </c>
      <c r="F106" s="1" t="s">
        <v>21</v>
      </c>
      <c r="G106" t="s">
        <v>25</v>
      </c>
      <c r="H106">
        <v>2</v>
      </c>
      <c r="I106" s="7" t="b">
        <v>0</v>
      </c>
      <c r="J106" s="7" t="b">
        <v>0</v>
      </c>
      <c r="K106" s="1" t="s">
        <v>21</v>
      </c>
      <c r="L106" s="1" t="s">
        <v>19</v>
      </c>
      <c r="M106" s="1" t="s">
        <v>19</v>
      </c>
      <c r="N106" s="1" t="s">
        <v>21</v>
      </c>
      <c r="O106" s="1" t="s">
        <v>21</v>
      </c>
      <c r="P106" s="1" t="s">
        <v>21</v>
      </c>
      <c r="Q106" t="b">
        <v>0</v>
      </c>
      <c r="R106" s="1" t="s">
        <v>17</v>
      </c>
    </row>
    <row r="107" spans="1:18" x14ac:dyDescent="0.15">
      <c r="A107" t="s">
        <v>31</v>
      </c>
      <c r="B107" t="s">
        <v>17</v>
      </c>
      <c r="C107" t="s">
        <v>214</v>
      </c>
      <c r="D107">
        <v>500</v>
      </c>
      <c r="E107" s="1" t="s">
        <v>19</v>
      </c>
      <c r="F107" s="1" t="s">
        <v>19</v>
      </c>
      <c r="G107" t="s">
        <v>33</v>
      </c>
      <c r="H107">
        <v>3</v>
      </c>
      <c r="I107" s="7" t="b">
        <v>0</v>
      </c>
      <c r="J107" s="7" t="b">
        <v>1</v>
      </c>
      <c r="K107" s="1" t="s">
        <v>21</v>
      </c>
      <c r="L107" s="1" t="s">
        <v>19</v>
      </c>
      <c r="M107" s="1" t="s">
        <v>19</v>
      </c>
      <c r="N107" s="1" t="s">
        <v>19</v>
      </c>
      <c r="O107" s="1" t="s">
        <v>21</v>
      </c>
      <c r="P107" s="1" t="s">
        <v>19</v>
      </c>
      <c r="Q107" t="b">
        <v>0</v>
      </c>
      <c r="R107" s="1" t="s">
        <v>17</v>
      </c>
    </row>
    <row r="108" spans="1:18" x14ac:dyDescent="0.15">
      <c r="A108" s="6" t="s">
        <v>215</v>
      </c>
      <c r="B108" t="s">
        <v>17</v>
      </c>
      <c r="C108" t="s">
        <v>216</v>
      </c>
      <c r="D108">
        <v>500</v>
      </c>
      <c r="E108" s="1" t="s">
        <v>19</v>
      </c>
      <c r="F108" s="1" t="s">
        <v>19</v>
      </c>
      <c r="G108" t="s">
        <v>181</v>
      </c>
      <c r="H108">
        <v>1</v>
      </c>
      <c r="I108" s="7" t="b">
        <v>0</v>
      </c>
      <c r="J108" s="7" t="b">
        <v>0</v>
      </c>
      <c r="K108" s="1" t="s">
        <v>21</v>
      </c>
      <c r="L108" s="1" t="s">
        <v>19</v>
      </c>
      <c r="M108" s="1" t="s">
        <v>19</v>
      </c>
      <c r="N108" s="1" t="s">
        <v>19</v>
      </c>
      <c r="O108" s="1" t="s">
        <v>21</v>
      </c>
      <c r="P108" s="1" t="s">
        <v>19</v>
      </c>
      <c r="Q108" t="b">
        <v>0</v>
      </c>
      <c r="R108" s="1" t="s">
        <v>17</v>
      </c>
    </row>
    <row r="109" spans="1:18" x14ac:dyDescent="0.15">
      <c r="A109" t="s">
        <v>217</v>
      </c>
      <c r="B109" t="s">
        <v>38</v>
      </c>
      <c r="C109" t="s">
        <v>3206</v>
      </c>
      <c r="D109">
        <v>500</v>
      </c>
      <c r="E109" s="1" t="s">
        <v>19</v>
      </c>
      <c r="F109" s="1" t="s">
        <v>21</v>
      </c>
      <c r="G109" t="s">
        <v>25</v>
      </c>
      <c r="H109">
        <v>2</v>
      </c>
      <c r="I109" s="7" t="b">
        <v>0</v>
      </c>
      <c r="J109" s="7" t="b">
        <v>0</v>
      </c>
      <c r="K109" s="1" t="s">
        <v>21</v>
      </c>
      <c r="L109" s="1" t="s">
        <v>19</v>
      </c>
      <c r="M109" s="1" t="s">
        <v>19</v>
      </c>
      <c r="N109" s="1" t="s">
        <v>21</v>
      </c>
      <c r="O109" s="1" t="s">
        <v>21</v>
      </c>
      <c r="P109" s="1" t="s">
        <v>21</v>
      </c>
      <c r="Q109" t="b">
        <v>1</v>
      </c>
      <c r="R109" s="1" t="s">
        <v>3207</v>
      </c>
    </row>
    <row r="110" spans="1:18" x14ac:dyDescent="0.15">
      <c r="A110" t="s">
        <v>3220</v>
      </c>
      <c r="B110" t="s">
        <v>17</v>
      </c>
      <c r="C110" t="s">
        <v>3221</v>
      </c>
      <c r="D110">
        <v>500</v>
      </c>
      <c r="E110" s="1" t="s">
        <v>19</v>
      </c>
      <c r="F110" s="1" t="s">
        <v>21</v>
      </c>
      <c r="G110" t="s">
        <v>42</v>
      </c>
      <c r="H110">
        <v>0</v>
      </c>
      <c r="I110" s="7" t="b">
        <v>0</v>
      </c>
      <c r="J110" s="7" t="b">
        <v>0</v>
      </c>
      <c r="K110" s="1" t="s">
        <v>19</v>
      </c>
      <c r="L110" s="1" t="s">
        <v>19</v>
      </c>
      <c r="M110" s="1" t="s">
        <v>19</v>
      </c>
      <c r="N110" s="1" t="s">
        <v>19</v>
      </c>
      <c r="O110" s="1" t="s">
        <v>21</v>
      </c>
      <c r="P110" s="1" t="s">
        <v>19</v>
      </c>
      <c r="Q110" t="b">
        <v>0</v>
      </c>
      <c r="R110" s="1" t="s">
        <v>3202</v>
      </c>
    </row>
    <row r="111" spans="1:18" x14ac:dyDescent="0.15">
      <c r="A111" t="s">
        <v>218</v>
      </c>
      <c r="B111" t="s">
        <v>17</v>
      </c>
      <c r="C111" t="s">
        <v>219</v>
      </c>
      <c r="D111">
        <v>500</v>
      </c>
      <c r="E111" s="1" t="s">
        <v>19</v>
      </c>
      <c r="F111" s="1" t="s">
        <v>21</v>
      </c>
      <c r="G111" t="s">
        <v>42</v>
      </c>
      <c r="H111">
        <v>0</v>
      </c>
      <c r="I111" s="7" t="b">
        <v>0</v>
      </c>
      <c r="J111" s="7" t="b">
        <v>0</v>
      </c>
      <c r="K111" s="1" t="s">
        <v>19</v>
      </c>
      <c r="L111" s="1" t="s">
        <v>19</v>
      </c>
      <c r="M111" s="1" t="s">
        <v>19</v>
      </c>
      <c r="N111" s="1" t="s">
        <v>19</v>
      </c>
      <c r="O111" s="1" t="s">
        <v>21</v>
      </c>
      <c r="P111" s="1" t="s">
        <v>19</v>
      </c>
      <c r="Q111" t="b">
        <v>0</v>
      </c>
      <c r="R111" s="1" t="s">
        <v>17</v>
      </c>
    </row>
    <row r="112" spans="1:18" x14ac:dyDescent="0.15">
      <c r="A112" t="s">
        <v>220</v>
      </c>
      <c r="B112" t="s">
        <v>17</v>
      </c>
      <c r="C112" t="s">
        <v>221</v>
      </c>
      <c r="D112">
        <v>500</v>
      </c>
      <c r="E112" s="1" t="s">
        <v>19</v>
      </c>
      <c r="F112" s="1" t="s">
        <v>21</v>
      </c>
      <c r="G112" t="s">
        <v>42</v>
      </c>
      <c r="H112">
        <v>0</v>
      </c>
      <c r="I112" s="7" t="b">
        <v>0</v>
      </c>
      <c r="J112" s="7" t="b">
        <v>0</v>
      </c>
      <c r="K112" s="1" t="s">
        <v>19</v>
      </c>
      <c r="L112" s="1" t="s">
        <v>19</v>
      </c>
      <c r="M112" s="1" t="s">
        <v>19</v>
      </c>
      <c r="N112" s="1" t="s">
        <v>19</v>
      </c>
      <c r="O112" s="1" t="s">
        <v>21</v>
      </c>
      <c r="P112" s="1" t="s">
        <v>19</v>
      </c>
      <c r="Q112" t="b">
        <v>0</v>
      </c>
      <c r="R112" s="1" t="s">
        <v>17</v>
      </c>
    </row>
    <row r="113" spans="1:18" x14ac:dyDescent="0.15">
      <c r="A113" t="s">
        <v>222</v>
      </c>
      <c r="B113" t="s">
        <v>17</v>
      </c>
      <c r="C113" t="s">
        <v>223</v>
      </c>
      <c r="D113">
        <v>500</v>
      </c>
      <c r="E113" s="1" t="s">
        <v>19</v>
      </c>
      <c r="F113" s="1" t="s">
        <v>21</v>
      </c>
      <c r="G113" t="s">
        <v>42</v>
      </c>
      <c r="H113">
        <v>0</v>
      </c>
      <c r="I113" s="7" t="b">
        <v>0</v>
      </c>
      <c r="J113" s="7" t="b">
        <v>0</v>
      </c>
      <c r="K113" s="1" t="s">
        <v>19</v>
      </c>
      <c r="L113" s="1" t="s">
        <v>19</v>
      </c>
      <c r="M113" s="1" t="s">
        <v>19</v>
      </c>
      <c r="N113" s="1" t="s">
        <v>19</v>
      </c>
      <c r="O113" s="1" t="s">
        <v>21</v>
      </c>
      <c r="P113" s="1" t="s">
        <v>19</v>
      </c>
      <c r="Q113" t="b">
        <v>0</v>
      </c>
      <c r="R113" s="1" t="s">
        <v>17</v>
      </c>
    </row>
    <row r="114" spans="1:18" x14ac:dyDescent="0.15">
      <c r="A114" t="s">
        <v>224</v>
      </c>
      <c r="B114" t="s">
        <v>17</v>
      </c>
      <c r="C114" t="s">
        <v>225</v>
      </c>
      <c r="D114">
        <v>500</v>
      </c>
      <c r="E114" s="1" t="s">
        <v>19</v>
      </c>
      <c r="F114" s="1" t="s">
        <v>21</v>
      </c>
      <c r="G114" t="s">
        <v>42</v>
      </c>
      <c r="H114">
        <v>0</v>
      </c>
      <c r="I114" s="7" t="b">
        <v>0</v>
      </c>
      <c r="J114" s="7" t="b">
        <v>0</v>
      </c>
      <c r="K114" s="1" t="s">
        <v>19</v>
      </c>
      <c r="L114" s="1" t="s">
        <v>19</v>
      </c>
      <c r="M114" s="1" t="s">
        <v>19</v>
      </c>
      <c r="N114" s="1" t="s">
        <v>19</v>
      </c>
      <c r="O114" s="1" t="s">
        <v>21</v>
      </c>
      <c r="P114" s="1" t="s">
        <v>19</v>
      </c>
      <c r="Q114" t="b">
        <v>0</v>
      </c>
      <c r="R114" s="1" t="s">
        <v>17</v>
      </c>
    </row>
    <row r="115" spans="1:18" x14ac:dyDescent="0.15">
      <c r="A115" t="s">
        <v>226</v>
      </c>
      <c r="B115" t="s">
        <v>17</v>
      </c>
      <c r="C115" t="s">
        <v>227</v>
      </c>
      <c r="D115">
        <v>500</v>
      </c>
      <c r="E115" s="1" t="s">
        <v>19</v>
      </c>
      <c r="F115" s="1" t="s">
        <v>21</v>
      </c>
      <c r="G115" t="s">
        <v>42</v>
      </c>
      <c r="H115">
        <v>0</v>
      </c>
      <c r="I115" s="7" t="b">
        <v>0</v>
      </c>
      <c r="J115" s="7" t="b">
        <v>0</v>
      </c>
      <c r="K115" s="1" t="s">
        <v>19</v>
      </c>
      <c r="L115" s="1" t="s">
        <v>19</v>
      </c>
      <c r="M115" s="1" t="s">
        <v>19</v>
      </c>
      <c r="N115" s="1" t="s">
        <v>19</v>
      </c>
      <c r="O115" s="1" t="s">
        <v>21</v>
      </c>
      <c r="P115" s="1" t="s">
        <v>19</v>
      </c>
      <c r="Q115" t="b">
        <v>0</v>
      </c>
      <c r="R115" s="1" t="s">
        <v>17</v>
      </c>
    </row>
    <row r="116" spans="1:18" x14ac:dyDescent="0.15">
      <c r="A116" t="s">
        <v>228</v>
      </c>
      <c r="B116" t="s">
        <v>17</v>
      </c>
      <c r="C116" t="s">
        <v>229</v>
      </c>
      <c r="D116">
        <v>500</v>
      </c>
      <c r="E116" s="1" t="s">
        <v>19</v>
      </c>
      <c r="F116" s="1" t="s">
        <v>21</v>
      </c>
      <c r="G116" t="s">
        <v>42</v>
      </c>
      <c r="H116">
        <v>0</v>
      </c>
      <c r="I116" s="7" t="b">
        <v>0</v>
      </c>
      <c r="J116" s="7" t="b">
        <v>0</v>
      </c>
      <c r="K116" s="1" t="s">
        <v>19</v>
      </c>
      <c r="L116" s="1" t="s">
        <v>19</v>
      </c>
      <c r="M116" s="1" t="s">
        <v>19</v>
      </c>
      <c r="N116" s="1" t="s">
        <v>19</v>
      </c>
      <c r="O116" s="1" t="s">
        <v>21</v>
      </c>
      <c r="P116" s="1" t="s">
        <v>19</v>
      </c>
      <c r="Q116" t="b">
        <v>0</v>
      </c>
      <c r="R116" s="1" t="s">
        <v>17</v>
      </c>
    </row>
    <row r="117" spans="1:18" x14ac:dyDescent="0.15">
      <c r="A117" t="s">
        <v>230</v>
      </c>
      <c r="B117" t="s">
        <v>17</v>
      </c>
      <c r="C117" t="s">
        <v>231</v>
      </c>
      <c r="D117">
        <v>500</v>
      </c>
      <c r="E117" s="1" t="s">
        <v>19</v>
      </c>
      <c r="F117" s="1" t="s">
        <v>21</v>
      </c>
      <c r="G117" t="s">
        <v>42</v>
      </c>
      <c r="H117">
        <v>0</v>
      </c>
      <c r="I117" s="7" t="b">
        <v>0</v>
      </c>
      <c r="J117" s="7" t="b">
        <v>0</v>
      </c>
      <c r="K117" s="1" t="s">
        <v>19</v>
      </c>
      <c r="L117" s="1" t="s">
        <v>19</v>
      </c>
      <c r="M117" s="1" t="s">
        <v>19</v>
      </c>
      <c r="N117" s="1" t="s">
        <v>19</v>
      </c>
      <c r="O117" s="1" t="s">
        <v>21</v>
      </c>
      <c r="P117" s="1" t="s">
        <v>19</v>
      </c>
      <c r="Q117" t="b">
        <v>0</v>
      </c>
      <c r="R117" s="1" t="s">
        <v>17</v>
      </c>
    </row>
    <row r="118" spans="1:18" ht="13.5" customHeight="1" x14ac:dyDescent="0.15">
      <c r="A118" s="6" t="s">
        <v>232</v>
      </c>
      <c r="B118" t="s">
        <v>17</v>
      </c>
      <c r="C118" t="s">
        <v>233</v>
      </c>
      <c r="D118">
        <v>500</v>
      </c>
      <c r="E118" s="1" t="s">
        <v>19</v>
      </c>
      <c r="F118" s="1" t="s">
        <v>19</v>
      </c>
      <c r="G118" t="s">
        <v>42</v>
      </c>
      <c r="H118">
        <v>0</v>
      </c>
      <c r="I118" s="7" t="b">
        <v>0</v>
      </c>
      <c r="J118" s="7" t="b">
        <v>0</v>
      </c>
      <c r="K118" s="1" t="s">
        <v>21</v>
      </c>
      <c r="L118" s="1" t="s">
        <v>19</v>
      </c>
      <c r="M118" s="1" t="s">
        <v>19</v>
      </c>
      <c r="N118" s="1" t="s">
        <v>19</v>
      </c>
      <c r="O118" s="1" t="s">
        <v>21</v>
      </c>
      <c r="P118" s="1" t="s">
        <v>19</v>
      </c>
      <c r="Q118" t="b">
        <v>0</v>
      </c>
      <c r="R118" s="1" t="s">
        <v>17</v>
      </c>
    </row>
    <row r="119" spans="1:18" x14ac:dyDescent="0.15">
      <c r="A119" s="6" t="s">
        <v>234</v>
      </c>
      <c r="B119" t="s">
        <v>17</v>
      </c>
      <c r="C119" t="s">
        <v>2795</v>
      </c>
      <c r="D119">
        <v>500</v>
      </c>
      <c r="E119" s="1" t="s">
        <v>19</v>
      </c>
      <c r="F119" s="1" t="s">
        <v>19</v>
      </c>
      <c r="G119" t="s">
        <v>42</v>
      </c>
      <c r="H119">
        <v>0</v>
      </c>
      <c r="I119" s="7" t="b">
        <v>0</v>
      </c>
      <c r="J119" s="7" t="b">
        <v>0</v>
      </c>
      <c r="K119" s="1" t="s">
        <v>21</v>
      </c>
      <c r="L119" s="1" t="s">
        <v>19</v>
      </c>
      <c r="M119" s="1" t="s">
        <v>19</v>
      </c>
      <c r="N119" s="1" t="s">
        <v>19</v>
      </c>
      <c r="O119" s="1" t="s">
        <v>21</v>
      </c>
      <c r="P119" s="1" t="s">
        <v>19</v>
      </c>
      <c r="Q119" t="b">
        <v>0</v>
      </c>
      <c r="R119" s="1" t="s">
        <v>17</v>
      </c>
    </row>
    <row r="120" spans="1:18" x14ac:dyDescent="0.15">
      <c r="A120" s="6" t="s">
        <v>236</v>
      </c>
      <c r="B120" s="6" t="s">
        <v>22</v>
      </c>
      <c r="C120" s="6" t="s">
        <v>237</v>
      </c>
      <c r="D120">
        <v>500</v>
      </c>
      <c r="E120" s="1" t="s">
        <v>19</v>
      </c>
      <c r="F120" s="1" t="s">
        <v>21</v>
      </c>
      <c r="G120" t="s">
        <v>25</v>
      </c>
      <c r="H120">
        <v>2</v>
      </c>
      <c r="I120" s="7" t="b">
        <v>0</v>
      </c>
      <c r="J120" s="7" t="b">
        <v>0</v>
      </c>
      <c r="K120" s="1" t="s">
        <v>21</v>
      </c>
      <c r="L120" s="1" t="s">
        <v>19</v>
      </c>
      <c r="M120" s="1" t="s">
        <v>19</v>
      </c>
      <c r="N120" s="1" t="s">
        <v>19</v>
      </c>
      <c r="O120" s="1" t="s">
        <v>21</v>
      </c>
      <c r="P120" s="1" t="s">
        <v>21</v>
      </c>
      <c r="Q120" t="b">
        <v>0</v>
      </c>
      <c r="R120" s="1" t="s">
        <v>17</v>
      </c>
    </row>
    <row r="121" spans="1:18" x14ac:dyDescent="0.15">
      <c r="A121" t="s">
        <v>238</v>
      </c>
      <c r="B121" t="s">
        <v>17</v>
      </c>
      <c r="C121" t="s">
        <v>2846</v>
      </c>
      <c r="D121">
        <v>800</v>
      </c>
      <c r="E121" s="1" t="s">
        <v>19</v>
      </c>
      <c r="F121" s="1" t="s">
        <v>19</v>
      </c>
      <c r="G121" t="s">
        <v>239</v>
      </c>
      <c r="H121">
        <v>0</v>
      </c>
      <c r="I121" s="7" t="b">
        <v>0</v>
      </c>
      <c r="J121" s="7" t="b">
        <v>0</v>
      </c>
      <c r="K121" s="1" t="s">
        <v>19</v>
      </c>
      <c r="L121" s="1" t="s">
        <v>21</v>
      </c>
      <c r="M121" s="1" t="s">
        <v>19</v>
      </c>
      <c r="N121" s="1" t="s">
        <v>19</v>
      </c>
      <c r="O121" s="1" t="s">
        <v>19</v>
      </c>
      <c r="P121" s="1" t="s">
        <v>19</v>
      </c>
      <c r="Q121" t="b">
        <v>0</v>
      </c>
      <c r="R121" s="1" t="s">
        <v>17</v>
      </c>
    </row>
    <row r="122" spans="1:18" x14ac:dyDescent="0.15">
      <c r="A122" t="s">
        <v>240</v>
      </c>
      <c r="B122" t="s">
        <v>17</v>
      </c>
      <c r="C122" t="s">
        <v>241</v>
      </c>
      <c r="D122">
        <v>700</v>
      </c>
      <c r="E122" s="1" t="s">
        <v>19</v>
      </c>
      <c r="F122" s="1" t="s">
        <v>19</v>
      </c>
      <c r="G122" t="s">
        <v>239</v>
      </c>
      <c r="H122">
        <v>0</v>
      </c>
      <c r="I122" s="7" t="b">
        <v>0</v>
      </c>
      <c r="J122" s="7" t="b">
        <v>0</v>
      </c>
      <c r="K122" s="1" t="s">
        <v>19</v>
      </c>
      <c r="L122" s="1" t="s">
        <v>21</v>
      </c>
      <c r="M122" s="1" t="s">
        <v>19</v>
      </c>
      <c r="N122" s="1" t="s">
        <v>19</v>
      </c>
      <c r="O122" s="1" t="s">
        <v>19</v>
      </c>
      <c r="P122" s="1" t="s">
        <v>19</v>
      </c>
      <c r="Q122" t="b">
        <v>0</v>
      </c>
      <c r="R122" s="1" t="s">
        <v>17</v>
      </c>
    </row>
    <row r="123" spans="1:18" x14ac:dyDescent="0.15">
      <c r="A123" t="s">
        <v>242</v>
      </c>
      <c r="B123" t="s">
        <v>17</v>
      </c>
      <c r="C123" t="s">
        <v>243</v>
      </c>
      <c r="D123">
        <v>550</v>
      </c>
      <c r="E123" s="1" t="s">
        <v>19</v>
      </c>
      <c r="F123" s="1" t="s">
        <v>19</v>
      </c>
      <c r="G123" t="s">
        <v>239</v>
      </c>
      <c r="H123">
        <v>0</v>
      </c>
      <c r="I123" s="7" t="b">
        <v>0</v>
      </c>
      <c r="J123" s="7" t="b">
        <v>0</v>
      </c>
      <c r="K123" s="1" t="s">
        <v>21</v>
      </c>
      <c r="L123" s="1" t="s">
        <v>21</v>
      </c>
      <c r="M123" s="1" t="s">
        <v>19</v>
      </c>
      <c r="N123" s="1" t="s">
        <v>19</v>
      </c>
      <c r="O123" s="1" t="s">
        <v>19</v>
      </c>
      <c r="P123" s="1" t="s">
        <v>19</v>
      </c>
      <c r="Q123" t="b">
        <v>0</v>
      </c>
      <c r="R123" s="1" t="s">
        <v>17</v>
      </c>
    </row>
    <row r="124" spans="1:18" x14ac:dyDescent="0.15">
      <c r="A124" t="s">
        <v>244</v>
      </c>
      <c r="B124" t="s">
        <v>17</v>
      </c>
      <c r="C124" t="s">
        <v>245</v>
      </c>
      <c r="D124">
        <v>600</v>
      </c>
      <c r="E124" s="1" t="s">
        <v>19</v>
      </c>
      <c r="F124" s="1" t="s">
        <v>19</v>
      </c>
      <c r="G124" t="s">
        <v>239</v>
      </c>
      <c r="H124">
        <v>0</v>
      </c>
      <c r="I124" s="7" t="b">
        <v>0</v>
      </c>
      <c r="J124" s="7" t="b">
        <v>0</v>
      </c>
      <c r="K124" s="1" t="s">
        <v>19</v>
      </c>
      <c r="L124" s="1" t="s">
        <v>21</v>
      </c>
      <c r="M124" s="1" t="s">
        <v>19</v>
      </c>
      <c r="N124" s="1" t="s">
        <v>19</v>
      </c>
      <c r="O124" s="1" t="s">
        <v>19</v>
      </c>
      <c r="P124" s="1" t="s">
        <v>19</v>
      </c>
      <c r="Q124" t="b">
        <v>0</v>
      </c>
      <c r="R124" s="1" t="s">
        <v>17</v>
      </c>
    </row>
    <row r="125" spans="1:18" x14ac:dyDescent="0.15">
      <c r="A125" t="s">
        <v>246</v>
      </c>
      <c r="B125" t="s">
        <v>17</v>
      </c>
      <c r="C125" t="s">
        <v>247</v>
      </c>
      <c r="D125">
        <v>500</v>
      </c>
      <c r="E125" s="1" t="s">
        <v>19</v>
      </c>
      <c r="F125" s="1" t="s">
        <v>19</v>
      </c>
      <c r="G125" t="s">
        <v>239</v>
      </c>
      <c r="H125">
        <v>0</v>
      </c>
      <c r="I125" s="7" t="b">
        <v>0</v>
      </c>
      <c r="J125" s="7" t="b">
        <v>0</v>
      </c>
      <c r="K125" s="1" t="s">
        <v>21</v>
      </c>
      <c r="L125" s="1" t="s">
        <v>21</v>
      </c>
      <c r="M125" s="1" t="s">
        <v>19</v>
      </c>
      <c r="N125" s="1" t="s">
        <v>19</v>
      </c>
      <c r="O125" s="1" t="s">
        <v>19</v>
      </c>
      <c r="P125" s="1" t="s">
        <v>19</v>
      </c>
      <c r="Q125" t="b">
        <v>0</v>
      </c>
      <c r="R125" s="1" t="s">
        <v>17</v>
      </c>
    </row>
    <row r="126" spans="1:18" x14ac:dyDescent="0.15">
      <c r="A126" t="s">
        <v>248</v>
      </c>
      <c r="B126" t="s">
        <v>17</v>
      </c>
      <c r="C126" t="s">
        <v>249</v>
      </c>
      <c r="D126">
        <v>300</v>
      </c>
      <c r="E126" s="1" t="s">
        <v>19</v>
      </c>
      <c r="F126" s="1" t="s">
        <v>19</v>
      </c>
      <c r="G126" t="s">
        <v>239</v>
      </c>
      <c r="H126">
        <v>0</v>
      </c>
      <c r="I126" s="7" t="b">
        <v>0</v>
      </c>
      <c r="J126" s="7" t="b">
        <v>0</v>
      </c>
      <c r="K126" s="1" t="s">
        <v>19</v>
      </c>
      <c r="L126" s="1" t="s">
        <v>21</v>
      </c>
      <c r="M126" s="1" t="s">
        <v>19</v>
      </c>
      <c r="N126" s="1" t="s">
        <v>19</v>
      </c>
      <c r="O126" s="1" t="s">
        <v>19</v>
      </c>
      <c r="P126" s="1" t="s">
        <v>19</v>
      </c>
      <c r="Q126" t="b">
        <v>0</v>
      </c>
      <c r="R126" s="1" t="s">
        <v>17</v>
      </c>
    </row>
    <row r="127" spans="1:18" x14ac:dyDescent="0.15">
      <c r="A127" t="s">
        <v>2807</v>
      </c>
      <c r="B127" t="s">
        <v>17</v>
      </c>
      <c r="C127" t="s">
        <v>2808</v>
      </c>
      <c r="D127">
        <v>500</v>
      </c>
      <c r="E127" s="1" t="s">
        <v>19</v>
      </c>
      <c r="F127" s="1" t="s">
        <v>19</v>
      </c>
      <c r="G127" t="s">
        <v>20</v>
      </c>
      <c r="H127">
        <v>0</v>
      </c>
      <c r="I127" s="2" t="b">
        <v>0</v>
      </c>
      <c r="J127" s="7" t="b">
        <v>0</v>
      </c>
      <c r="K127" s="1" t="s">
        <v>21</v>
      </c>
      <c r="L127" s="1" t="s">
        <v>19</v>
      </c>
      <c r="M127" s="1" t="s">
        <v>19</v>
      </c>
      <c r="N127" s="1" t="s">
        <v>19</v>
      </c>
      <c r="O127" s="1" t="s">
        <v>21</v>
      </c>
      <c r="P127" s="1" t="s">
        <v>19</v>
      </c>
      <c r="Q127" t="b">
        <v>0</v>
      </c>
      <c r="R127" s="1" t="s">
        <v>17</v>
      </c>
    </row>
    <row r="128" spans="1:18" x14ac:dyDescent="0.15">
      <c r="A128" t="s">
        <v>2837</v>
      </c>
      <c r="B128" t="s">
        <v>17</v>
      </c>
      <c r="C128" t="s">
        <v>2902</v>
      </c>
      <c r="D128">
        <v>500</v>
      </c>
      <c r="E128" s="1" t="s">
        <v>21</v>
      </c>
      <c r="F128" s="1" t="s">
        <v>19</v>
      </c>
      <c r="G128" t="s">
        <v>42</v>
      </c>
      <c r="H128">
        <v>0</v>
      </c>
      <c r="I128" s="2" t="b">
        <v>0</v>
      </c>
      <c r="J128" s="7" t="b">
        <v>0</v>
      </c>
      <c r="K128" s="1" t="s">
        <v>21</v>
      </c>
      <c r="L128" s="1" t="s">
        <v>19</v>
      </c>
      <c r="M128" s="1" t="s">
        <v>19</v>
      </c>
      <c r="N128" s="1" t="s">
        <v>19</v>
      </c>
      <c r="O128" s="1" t="s">
        <v>21</v>
      </c>
      <c r="P128" s="1" t="s">
        <v>19</v>
      </c>
      <c r="Q128" t="b">
        <v>0</v>
      </c>
      <c r="R128" s="1" t="s">
        <v>17</v>
      </c>
    </row>
    <row r="129" spans="1:18" x14ac:dyDescent="0.15">
      <c r="A129" t="s">
        <v>2901</v>
      </c>
      <c r="B129" t="s">
        <v>17</v>
      </c>
      <c r="C129" t="s">
        <v>2903</v>
      </c>
      <c r="D129">
        <v>500</v>
      </c>
      <c r="E129" s="1" t="s">
        <v>21</v>
      </c>
      <c r="F129" s="1" t="s">
        <v>19</v>
      </c>
      <c r="G129" t="s">
        <v>42</v>
      </c>
      <c r="H129">
        <v>0</v>
      </c>
      <c r="I129" s="2" t="b">
        <v>0</v>
      </c>
      <c r="J129" s="2" t="b">
        <v>0</v>
      </c>
      <c r="K129" s="1" t="s">
        <v>19</v>
      </c>
      <c r="L129" s="1" t="s">
        <v>19</v>
      </c>
      <c r="M129" s="1" t="s">
        <v>19</v>
      </c>
      <c r="N129" s="1" t="s">
        <v>19</v>
      </c>
      <c r="O129" s="1" t="s">
        <v>21</v>
      </c>
      <c r="P129" s="1" t="s">
        <v>19</v>
      </c>
      <c r="Q129" t="b">
        <v>0</v>
      </c>
      <c r="R129" s="1" t="s">
        <v>17</v>
      </c>
    </row>
    <row r="130" spans="1:18" x14ac:dyDescent="0.15">
      <c r="A130" t="s">
        <v>2908</v>
      </c>
      <c r="B130" t="s">
        <v>17</v>
      </c>
      <c r="C130" t="s">
        <v>3171</v>
      </c>
      <c r="D130">
        <v>650</v>
      </c>
      <c r="E130" s="1" t="s">
        <v>19</v>
      </c>
      <c r="F130" s="1" t="s">
        <v>19</v>
      </c>
      <c r="G130" t="s">
        <v>47</v>
      </c>
      <c r="H130">
        <v>0</v>
      </c>
      <c r="I130" s="2" t="b">
        <v>0</v>
      </c>
      <c r="J130" s="2" t="b">
        <v>0</v>
      </c>
      <c r="K130" s="1" t="s">
        <v>21</v>
      </c>
      <c r="L130" s="1" t="s">
        <v>19</v>
      </c>
      <c r="M130" s="1" t="s">
        <v>19</v>
      </c>
      <c r="N130" s="1" t="s">
        <v>19</v>
      </c>
      <c r="O130" s="1" t="s">
        <v>21</v>
      </c>
      <c r="P130" s="1" t="s">
        <v>21</v>
      </c>
      <c r="Q130" t="b">
        <v>0</v>
      </c>
      <c r="R130" s="1" t="s">
        <v>17</v>
      </c>
    </row>
    <row r="131" spans="1:18" x14ac:dyDescent="0.15">
      <c r="A131" t="s">
        <v>2997</v>
      </c>
      <c r="B131" t="s">
        <v>17</v>
      </c>
      <c r="C131" t="s">
        <v>3026</v>
      </c>
      <c r="D131">
        <v>500</v>
      </c>
      <c r="E131" s="1" t="s">
        <v>19</v>
      </c>
      <c r="F131" s="1" t="s">
        <v>19</v>
      </c>
      <c r="G131" t="s">
        <v>42</v>
      </c>
      <c r="H131">
        <v>0</v>
      </c>
      <c r="I131" s="2" t="b">
        <v>0</v>
      </c>
      <c r="J131" s="2" t="b">
        <v>0</v>
      </c>
      <c r="K131" s="1" t="s">
        <v>21</v>
      </c>
      <c r="L131" s="1" t="s">
        <v>19</v>
      </c>
      <c r="M131" s="1" t="s">
        <v>19</v>
      </c>
      <c r="N131" s="1" t="s">
        <v>19</v>
      </c>
      <c r="O131" s="1" t="s">
        <v>21</v>
      </c>
      <c r="P131" s="1" t="s">
        <v>21</v>
      </c>
      <c r="Q131" t="b">
        <v>0</v>
      </c>
      <c r="R131" s="1" t="s">
        <v>17</v>
      </c>
    </row>
    <row r="132" spans="1:18" x14ac:dyDescent="0.15">
      <c r="A132" t="s">
        <v>3165</v>
      </c>
      <c r="B132" t="s">
        <v>17</v>
      </c>
      <c r="C132" t="s">
        <v>3166</v>
      </c>
      <c r="D132">
        <v>500</v>
      </c>
      <c r="E132" s="1" t="s">
        <v>21</v>
      </c>
      <c r="F132" s="1" t="s">
        <v>19</v>
      </c>
      <c r="G132" t="s">
        <v>42</v>
      </c>
      <c r="H132">
        <v>0</v>
      </c>
      <c r="I132" s="2" t="b">
        <v>0</v>
      </c>
      <c r="J132" s="7" t="b">
        <v>0</v>
      </c>
      <c r="K132" s="1" t="s">
        <v>21</v>
      </c>
      <c r="L132" s="1" t="s">
        <v>19</v>
      </c>
      <c r="M132" s="1" t="s">
        <v>19</v>
      </c>
      <c r="N132" s="1" t="s">
        <v>19</v>
      </c>
      <c r="O132" s="1" t="s">
        <v>21</v>
      </c>
      <c r="P132" s="1" t="s">
        <v>21</v>
      </c>
      <c r="Q132" t="b">
        <v>0</v>
      </c>
      <c r="R132" s="1" t="s">
        <v>17</v>
      </c>
    </row>
    <row r="133" spans="1:18" x14ac:dyDescent="0.15">
      <c r="A133" t="s">
        <v>3173</v>
      </c>
      <c r="B133" t="s">
        <v>17</v>
      </c>
      <c r="C133" t="s">
        <v>3172</v>
      </c>
      <c r="D133">
        <v>500</v>
      </c>
      <c r="E133" s="1" t="s">
        <v>19</v>
      </c>
      <c r="F133" s="1" t="s">
        <v>19</v>
      </c>
      <c r="G133" t="s">
        <v>42</v>
      </c>
      <c r="H133">
        <v>0</v>
      </c>
      <c r="I133" s="2" t="b">
        <v>0</v>
      </c>
      <c r="J133" s="2" t="b">
        <v>0</v>
      </c>
      <c r="K133" s="1" t="s">
        <v>21</v>
      </c>
      <c r="L133" s="1" t="s">
        <v>19</v>
      </c>
      <c r="M133" s="1" t="s">
        <v>19</v>
      </c>
      <c r="N133" s="1" t="s">
        <v>19</v>
      </c>
      <c r="O133" s="1" t="s">
        <v>21</v>
      </c>
      <c r="P133" s="1" t="s">
        <v>21</v>
      </c>
      <c r="Q133" t="b">
        <v>0</v>
      </c>
      <c r="R133" s="1" t="s">
        <v>17</v>
      </c>
    </row>
    <row r="134" spans="1:18" x14ac:dyDescent="0.15">
      <c r="A134" t="s">
        <v>3223</v>
      </c>
      <c r="B134" t="s">
        <v>17</v>
      </c>
      <c r="C134" t="s">
        <v>3222</v>
      </c>
      <c r="D134">
        <v>500</v>
      </c>
      <c r="E134" s="1" t="s">
        <v>19</v>
      </c>
      <c r="F134" s="1" t="s">
        <v>19</v>
      </c>
      <c r="G134" t="s">
        <v>42</v>
      </c>
      <c r="H134">
        <v>0</v>
      </c>
      <c r="I134" s="2" t="b">
        <v>0</v>
      </c>
      <c r="J134" s="2" t="b">
        <v>0</v>
      </c>
      <c r="K134" s="1" t="s">
        <v>21</v>
      </c>
      <c r="L134" s="1" t="s">
        <v>19</v>
      </c>
      <c r="M134" s="1" t="s">
        <v>19</v>
      </c>
      <c r="N134" s="1" t="s">
        <v>19</v>
      </c>
      <c r="O134" s="1" t="s">
        <v>21</v>
      </c>
      <c r="P134" s="1" t="s">
        <v>21</v>
      </c>
      <c r="Q134" t="b">
        <v>0</v>
      </c>
      <c r="R134" s="1" t="s">
        <v>17</v>
      </c>
    </row>
    <row r="135" spans="1:18" ht="16" x14ac:dyDescent="0.2">
      <c r="A135" s="25" t="s">
        <v>3239</v>
      </c>
      <c r="B135" t="s">
        <v>17</v>
      </c>
      <c r="C135" t="s">
        <v>3244</v>
      </c>
      <c r="D135">
        <v>500</v>
      </c>
      <c r="E135" s="1" t="s">
        <v>19</v>
      </c>
      <c r="F135" s="1" t="s">
        <v>19</v>
      </c>
      <c r="G135" t="s">
        <v>42</v>
      </c>
      <c r="H135">
        <v>0</v>
      </c>
      <c r="I135" s="2" t="b">
        <v>0</v>
      </c>
      <c r="J135" s="2" t="b">
        <v>0</v>
      </c>
      <c r="K135" s="1" t="s">
        <v>21</v>
      </c>
      <c r="L135" s="1" t="s">
        <v>19</v>
      </c>
      <c r="M135" s="1" t="s">
        <v>19</v>
      </c>
      <c r="N135" s="1" t="s">
        <v>19</v>
      </c>
      <c r="O135" s="1" t="s">
        <v>21</v>
      </c>
      <c r="P135" s="1" t="s">
        <v>21</v>
      </c>
      <c r="Q135" t="b">
        <v>0</v>
      </c>
      <c r="R135" s="1" t="s">
        <v>17</v>
      </c>
    </row>
  </sheetData>
  <conditionalFormatting sqref="J132:P132">
    <cfRule type="containsText" dxfId="7" priority="1" operator="containsText" text="TRUE">
      <formula>NOT(ISERROR(SEARCH("TRUE",J132)))</formula>
    </cfRule>
  </conditionalFormatting>
  <conditionalFormatting sqref="K1:P1 E1:F126 I2:P126">
    <cfRule type="containsText" dxfId="6" priority="6" operator="containsText" text="TRUE">
      <formula>NOT(ISERROR(SEARCH("TRUE",E1)))</formula>
    </cfRule>
  </conditionalFormatting>
  <conditionalFormatting sqref="M129:P129">
    <cfRule type="containsText" dxfId="5" priority="2" operator="containsText" text="TRUE">
      <formula>NOT(ISERROR(SEARCH("TRUE",M129)))</formula>
    </cfRule>
  </conditionalFormatting>
  <conditionalFormatting sqref="J127:P128 R2:R135">
    <cfRule type="containsText" dxfId="4" priority="3" operator="containsText" text="TRUE">
      <formula>NOT(ISERROR(SEARCH("TRUE",J2)))</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090"/>
  <sheetViews>
    <sheetView topLeftCell="A956" zoomScale="120" zoomScaleNormal="120" workbookViewId="0">
      <selection activeCell="B994" sqref="B994"/>
    </sheetView>
  </sheetViews>
  <sheetFormatPr baseColWidth="10" defaultColWidth="10.6640625" defaultRowHeight="13" x14ac:dyDescent="0.15"/>
  <cols>
    <col min="1" max="1" width="19.1640625" style="8" customWidth="1"/>
    <col min="2" max="2" width="27.6640625" style="8" customWidth="1"/>
    <col min="3" max="3" width="31" style="8" customWidth="1"/>
    <col min="4" max="4" width="15.1640625" style="8" customWidth="1"/>
    <col min="5" max="5" width="35.5" style="8" customWidth="1"/>
    <col min="6" max="6" width="52.5" style="8" customWidth="1"/>
    <col min="7" max="1022" width="10.6640625" style="8"/>
  </cols>
  <sheetData>
    <row r="1" spans="1:1024" s="19" customFormat="1" x14ac:dyDescent="0.15">
      <c r="A1" s="19" t="s">
        <v>2789</v>
      </c>
      <c r="B1" s="19" t="s">
        <v>250</v>
      </c>
      <c r="C1" s="19" t="s">
        <v>0</v>
      </c>
      <c r="D1" s="19" t="s">
        <v>251</v>
      </c>
      <c r="E1" s="19" t="s">
        <v>2</v>
      </c>
      <c r="F1" s="19" t="s">
        <v>252</v>
      </c>
      <c r="AMF1" s="20"/>
      <c r="AMG1" s="20"/>
      <c r="AMH1" s="20"/>
      <c r="AMI1" s="21"/>
      <c r="AMJ1" s="21"/>
    </row>
    <row r="2" spans="1:1024" x14ac:dyDescent="0.15">
      <c r="A2" s="8" t="s">
        <v>253</v>
      </c>
      <c r="B2" s="8" t="s">
        <v>153</v>
      </c>
      <c r="C2" s="8" t="str">
        <f t="shared" ref="C2:C66" si="0">B2&amp;":"&amp;A2</f>
        <v>att_mitocarta_pathway:steroid_synthesis</v>
      </c>
      <c r="D2" s="9" t="s">
        <v>17</v>
      </c>
      <c r="E2" s="8" t="s">
        <v>254</v>
      </c>
      <c r="F2" s="8" t="s">
        <v>255</v>
      </c>
    </row>
    <row r="3" spans="1:1024" x14ac:dyDescent="0.15">
      <c r="A3" s="8" t="s">
        <v>256</v>
      </c>
      <c r="B3" s="8" t="s">
        <v>153</v>
      </c>
      <c r="C3" s="8" t="str">
        <f t="shared" si="0"/>
        <v>att_mitocarta_pathway:q_linked_reactions</v>
      </c>
      <c r="D3" s="9" t="s">
        <v>17</v>
      </c>
      <c r="E3" s="8" t="s">
        <v>257</v>
      </c>
      <c r="F3" s="8" t="s">
        <v>258</v>
      </c>
    </row>
    <row r="4" spans="1:1024" x14ac:dyDescent="0.15">
      <c r="A4" s="8" t="s">
        <v>259</v>
      </c>
      <c r="B4" s="8" t="s">
        <v>153</v>
      </c>
      <c r="C4" s="8" t="str">
        <f t="shared" si="0"/>
        <v>att_mitocarta_pathway:protein_import</v>
      </c>
      <c r="D4" s="9" t="s">
        <v>17</v>
      </c>
      <c r="E4" s="8" t="s">
        <v>260</v>
      </c>
      <c r="F4" s="8" t="s">
        <v>260</v>
      </c>
    </row>
    <row r="5" spans="1:1024" x14ac:dyDescent="0.15">
      <c r="A5" s="8" t="s">
        <v>261</v>
      </c>
      <c r="B5" s="8" t="s">
        <v>58</v>
      </c>
      <c r="C5" s="8" t="str">
        <f t="shared" si="0"/>
        <v>att_column_outer_diameter:360um</v>
      </c>
      <c r="D5" s="9" t="s">
        <v>17</v>
      </c>
      <c r="E5" s="8">
        <v>360</v>
      </c>
      <c r="F5" s="8" t="s">
        <v>262</v>
      </c>
    </row>
    <row r="6" spans="1:1024" x14ac:dyDescent="0.15">
      <c r="A6" s="8" t="s">
        <v>263</v>
      </c>
      <c r="B6" s="8" t="s">
        <v>264</v>
      </c>
      <c r="C6" s="8" t="str">
        <f t="shared" si="0"/>
        <v>att_aa:arginine</v>
      </c>
      <c r="D6" s="8" t="s">
        <v>263</v>
      </c>
      <c r="E6" s="8" t="s">
        <v>265</v>
      </c>
      <c r="F6" s="8" t="s">
        <v>266</v>
      </c>
    </row>
    <row r="7" spans="1:1024" x14ac:dyDescent="0.15">
      <c r="A7" s="8" t="s">
        <v>267</v>
      </c>
      <c r="B7" s="8" t="s">
        <v>264</v>
      </c>
      <c r="C7" s="8" t="str">
        <f t="shared" si="0"/>
        <v>att_aa:asparagine</v>
      </c>
      <c r="D7" s="8" t="s">
        <v>267</v>
      </c>
      <c r="E7" s="8" t="s">
        <v>268</v>
      </c>
      <c r="F7" s="8" t="s">
        <v>269</v>
      </c>
    </row>
    <row r="8" spans="1:1024" x14ac:dyDescent="0.15">
      <c r="A8" s="8" t="s">
        <v>270</v>
      </c>
      <c r="B8" s="8" t="s">
        <v>264</v>
      </c>
      <c r="C8" s="8" t="str">
        <f t="shared" si="0"/>
        <v>att_aa:asparticacid</v>
      </c>
      <c r="D8" s="8" t="s">
        <v>270</v>
      </c>
      <c r="E8" s="8" t="s">
        <v>271</v>
      </c>
      <c r="F8" s="8" t="s">
        <v>272</v>
      </c>
    </row>
    <row r="9" spans="1:1024" x14ac:dyDescent="0.15">
      <c r="A9" s="8" t="s">
        <v>273</v>
      </c>
      <c r="B9" s="8" t="s">
        <v>264</v>
      </c>
      <c r="C9" s="8" t="str">
        <f t="shared" si="0"/>
        <v>att_aa:cysteine</v>
      </c>
      <c r="D9" s="8" t="s">
        <v>273</v>
      </c>
      <c r="E9" s="8" t="s">
        <v>274</v>
      </c>
      <c r="F9" s="8" t="s">
        <v>275</v>
      </c>
    </row>
    <row r="10" spans="1:1024" x14ac:dyDescent="0.15">
      <c r="A10" s="8" t="s">
        <v>276</v>
      </c>
      <c r="B10" s="8" t="s">
        <v>264</v>
      </c>
      <c r="C10" s="8" t="str">
        <f t="shared" si="0"/>
        <v>att_aa:glutamicacid</v>
      </c>
      <c r="D10" s="8" t="s">
        <v>276</v>
      </c>
      <c r="E10" s="8" t="s">
        <v>277</v>
      </c>
      <c r="F10" s="8" t="s">
        <v>278</v>
      </c>
    </row>
    <row r="11" spans="1:1024" x14ac:dyDescent="0.15">
      <c r="A11" s="8" t="s">
        <v>279</v>
      </c>
      <c r="B11" s="8" t="s">
        <v>264</v>
      </c>
      <c r="C11" s="8" t="str">
        <f t="shared" si="0"/>
        <v>att_aa:glutamine</v>
      </c>
      <c r="D11" s="8" t="s">
        <v>279</v>
      </c>
      <c r="E11" s="8" t="s">
        <v>280</v>
      </c>
      <c r="F11" s="8" t="s">
        <v>281</v>
      </c>
    </row>
    <row r="12" spans="1:1024" x14ac:dyDescent="0.15">
      <c r="A12" s="8" t="s">
        <v>282</v>
      </c>
      <c r="B12" s="8" t="s">
        <v>264</v>
      </c>
      <c r="C12" s="8" t="str">
        <f t="shared" si="0"/>
        <v>att_aa:glycine</v>
      </c>
      <c r="D12" s="8" t="s">
        <v>282</v>
      </c>
      <c r="E12" s="8" t="s">
        <v>283</v>
      </c>
      <c r="F12" s="8" t="s">
        <v>284</v>
      </c>
    </row>
    <row r="13" spans="1:1024" x14ac:dyDescent="0.15">
      <c r="A13" s="8" t="s">
        <v>285</v>
      </c>
      <c r="B13" s="8" t="s">
        <v>264</v>
      </c>
      <c r="C13" s="8" t="str">
        <f t="shared" si="0"/>
        <v>att_aa:histidine</v>
      </c>
      <c r="D13" s="8" t="s">
        <v>285</v>
      </c>
      <c r="E13" s="8" t="s">
        <v>286</v>
      </c>
      <c r="F13" s="8" t="s">
        <v>287</v>
      </c>
    </row>
    <row r="14" spans="1:1024" x14ac:dyDescent="0.15">
      <c r="A14" s="8" t="s">
        <v>288</v>
      </c>
      <c r="B14" s="8" t="s">
        <v>264</v>
      </c>
      <c r="C14" s="8" t="str">
        <f t="shared" si="0"/>
        <v>att_aa:isoleucine</v>
      </c>
      <c r="D14" s="8" t="s">
        <v>288</v>
      </c>
      <c r="E14" s="8" t="s">
        <v>289</v>
      </c>
      <c r="F14" s="8" t="s">
        <v>290</v>
      </c>
    </row>
    <row r="15" spans="1:1024" x14ac:dyDescent="0.15">
      <c r="A15" s="8" t="s">
        <v>291</v>
      </c>
      <c r="B15" s="8" t="s">
        <v>264</v>
      </c>
      <c r="C15" s="8" t="str">
        <f t="shared" si="0"/>
        <v>att_aa:leucine</v>
      </c>
      <c r="D15" s="8" t="s">
        <v>291</v>
      </c>
      <c r="E15" s="8" t="s">
        <v>292</v>
      </c>
      <c r="F15" s="8" t="s">
        <v>293</v>
      </c>
    </row>
    <row r="16" spans="1:1024" x14ac:dyDescent="0.15">
      <c r="A16" s="8" t="s">
        <v>294</v>
      </c>
      <c r="B16" s="8" t="s">
        <v>264</v>
      </c>
      <c r="C16" s="8" t="str">
        <f t="shared" si="0"/>
        <v>att_aa:lysine</v>
      </c>
      <c r="D16" s="8" t="s">
        <v>294</v>
      </c>
      <c r="E16" s="8" t="s">
        <v>295</v>
      </c>
      <c r="F16" s="8" t="s">
        <v>296</v>
      </c>
    </row>
    <row r="17" spans="1:6" x14ac:dyDescent="0.15">
      <c r="A17" s="8" t="s">
        <v>297</v>
      </c>
      <c r="B17" s="8" t="s">
        <v>264</v>
      </c>
      <c r="C17" s="8" t="str">
        <f t="shared" si="0"/>
        <v>att_aa:methionine</v>
      </c>
      <c r="D17" s="8" t="s">
        <v>297</v>
      </c>
      <c r="E17" s="8" t="s">
        <v>298</v>
      </c>
      <c r="F17" s="8" t="s">
        <v>299</v>
      </c>
    </row>
    <row r="18" spans="1:6" x14ac:dyDescent="0.15">
      <c r="A18" s="8" t="s">
        <v>300</v>
      </c>
      <c r="B18" s="8" t="s">
        <v>264</v>
      </c>
      <c r="C18" s="8" t="str">
        <f t="shared" si="0"/>
        <v>att_aa:phenylalanine</v>
      </c>
      <c r="D18" s="8" t="s">
        <v>300</v>
      </c>
      <c r="E18" s="8" t="s">
        <v>301</v>
      </c>
      <c r="F18" s="8" t="s">
        <v>302</v>
      </c>
    </row>
    <row r="19" spans="1:6" x14ac:dyDescent="0.15">
      <c r="A19" s="8" t="s">
        <v>303</v>
      </c>
      <c r="B19" s="8" t="s">
        <v>264</v>
      </c>
      <c r="C19" s="8" t="str">
        <f t="shared" si="0"/>
        <v>att_aa:proline</v>
      </c>
      <c r="D19" s="8" t="s">
        <v>303</v>
      </c>
      <c r="E19" s="8" t="s">
        <v>304</v>
      </c>
      <c r="F19" s="8" t="s">
        <v>305</v>
      </c>
    </row>
    <row r="20" spans="1:6" x14ac:dyDescent="0.15">
      <c r="A20" s="8" t="s">
        <v>306</v>
      </c>
      <c r="B20" s="8" t="s">
        <v>264</v>
      </c>
      <c r="C20" s="8" t="str">
        <f t="shared" si="0"/>
        <v>att_aa:serine</v>
      </c>
      <c r="D20" s="8" t="s">
        <v>306</v>
      </c>
      <c r="E20" s="8" t="s">
        <v>307</v>
      </c>
      <c r="F20" s="8" t="s">
        <v>308</v>
      </c>
    </row>
    <row r="21" spans="1:6" x14ac:dyDescent="0.15">
      <c r="A21" s="8" t="s">
        <v>309</v>
      </c>
      <c r="B21" s="8" t="s">
        <v>264</v>
      </c>
      <c r="C21" s="8" t="str">
        <f t="shared" si="0"/>
        <v>att_aa:threonine</v>
      </c>
      <c r="D21" s="8" t="s">
        <v>309</v>
      </c>
      <c r="E21" s="8" t="s">
        <v>310</v>
      </c>
      <c r="F21" s="8" t="s">
        <v>311</v>
      </c>
    </row>
    <row r="22" spans="1:6" x14ac:dyDescent="0.15">
      <c r="A22" s="8" t="s">
        <v>312</v>
      </c>
      <c r="B22" s="8" t="s">
        <v>264</v>
      </c>
      <c r="C22" s="8" t="str">
        <f t="shared" si="0"/>
        <v>att_aa:tryptophan</v>
      </c>
      <c r="D22" s="8" t="s">
        <v>312</v>
      </c>
      <c r="E22" s="8" t="s">
        <v>313</v>
      </c>
      <c r="F22" s="8" t="s">
        <v>314</v>
      </c>
    </row>
    <row r="23" spans="1:6" x14ac:dyDescent="0.15">
      <c r="A23" s="8" t="s">
        <v>315</v>
      </c>
      <c r="B23" s="8" t="s">
        <v>264</v>
      </c>
      <c r="C23" s="8" t="str">
        <f t="shared" si="0"/>
        <v>att_aa:tyrosine</v>
      </c>
      <c r="D23" s="8" t="s">
        <v>315</v>
      </c>
      <c r="E23" s="8" t="s">
        <v>316</v>
      </c>
      <c r="F23" s="8" t="s">
        <v>317</v>
      </c>
    </row>
    <row r="24" spans="1:6" x14ac:dyDescent="0.15">
      <c r="A24" s="8" t="s">
        <v>318</v>
      </c>
      <c r="B24" s="8" t="s">
        <v>264</v>
      </c>
      <c r="C24" s="8" t="str">
        <f t="shared" si="0"/>
        <v>att_aa:valine</v>
      </c>
      <c r="D24" s="8" t="s">
        <v>318</v>
      </c>
      <c r="E24" s="8" t="s">
        <v>319</v>
      </c>
      <c r="F24" s="8" t="s">
        <v>320</v>
      </c>
    </row>
    <row r="25" spans="1:6" x14ac:dyDescent="0.15">
      <c r="A25" s="8" t="s">
        <v>263</v>
      </c>
      <c r="B25" s="8" t="s">
        <v>16</v>
      </c>
      <c r="C25" s="8" t="str">
        <f t="shared" si="0"/>
        <v>att_aa_starvation:arginine</v>
      </c>
      <c r="D25" s="9" t="s">
        <v>17</v>
      </c>
      <c r="E25" s="8" t="s">
        <v>265</v>
      </c>
      <c r="F25" s="8" t="s">
        <v>266</v>
      </c>
    </row>
    <row r="26" spans="1:6" x14ac:dyDescent="0.15">
      <c r="A26" s="8" t="s">
        <v>267</v>
      </c>
      <c r="B26" s="8" t="s">
        <v>16</v>
      </c>
      <c r="C26" s="8" t="str">
        <f t="shared" si="0"/>
        <v>att_aa_starvation:asparagine</v>
      </c>
      <c r="D26" s="9" t="s">
        <v>17</v>
      </c>
      <c r="E26" s="8" t="s">
        <v>268</v>
      </c>
      <c r="F26" s="8" t="s">
        <v>269</v>
      </c>
    </row>
    <row r="27" spans="1:6" x14ac:dyDescent="0.15">
      <c r="A27" s="8" t="s">
        <v>270</v>
      </c>
      <c r="B27" s="8" t="s">
        <v>16</v>
      </c>
      <c r="C27" s="8" t="str">
        <f t="shared" si="0"/>
        <v>att_aa_starvation:asparticacid</v>
      </c>
      <c r="D27" s="9" t="s">
        <v>17</v>
      </c>
      <c r="E27" s="8" t="s">
        <v>271</v>
      </c>
      <c r="F27" s="8" t="s">
        <v>272</v>
      </c>
    </row>
    <row r="28" spans="1:6" x14ac:dyDescent="0.15">
      <c r="A28" s="8" t="s">
        <v>273</v>
      </c>
      <c r="B28" s="8" t="s">
        <v>16</v>
      </c>
      <c r="C28" s="8" t="str">
        <f t="shared" si="0"/>
        <v>att_aa_starvation:cysteine</v>
      </c>
      <c r="D28" s="9" t="s">
        <v>17</v>
      </c>
      <c r="E28" s="8" t="s">
        <v>274</v>
      </c>
      <c r="F28" s="8" t="s">
        <v>275</v>
      </c>
    </row>
    <row r="29" spans="1:6" x14ac:dyDescent="0.15">
      <c r="A29" s="8" t="s">
        <v>276</v>
      </c>
      <c r="B29" s="8" t="s">
        <v>16</v>
      </c>
      <c r="C29" s="8" t="str">
        <f t="shared" si="0"/>
        <v>att_aa_starvation:glutamicacid</v>
      </c>
      <c r="D29" s="9" t="s">
        <v>17</v>
      </c>
      <c r="E29" s="8" t="s">
        <v>277</v>
      </c>
      <c r="F29" s="8" t="s">
        <v>278</v>
      </c>
    </row>
    <row r="30" spans="1:6" x14ac:dyDescent="0.15">
      <c r="A30" s="8" t="s">
        <v>279</v>
      </c>
      <c r="B30" s="8" t="s">
        <v>16</v>
      </c>
      <c r="C30" s="8" t="str">
        <f t="shared" si="0"/>
        <v>att_aa_starvation:glutamine</v>
      </c>
      <c r="D30" s="9" t="s">
        <v>17</v>
      </c>
      <c r="E30" s="8" t="s">
        <v>280</v>
      </c>
      <c r="F30" s="8" t="s">
        <v>281</v>
      </c>
    </row>
    <row r="31" spans="1:6" x14ac:dyDescent="0.15">
      <c r="A31" s="8" t="s">
        <v>282</v>
      </c>
      <c r="B31" s="8" t="s">
        <v>16</v>
      </c>
      <c r="C31" s="8" t="str">
        <f t="shared" si="0"/>
        <v>att_aa_starvation:glycine</v>
      </c>
      <c r="D31" s="9" t="s">
        <v>17</v>
      </c>
      <c r="E31" s="8" t="s">
        <v>283</v>
      </c>
      <c r="F31" s="8" t="s">
        <v>284</v>
      </c>
    </row>
    <row r="32" spans="1:6" x14ac:dyDescent="0.15">
      <c r="A32" s="8" t="s">
        <v>285</v>
      </c>
      <c r="B32" s="8" t="s">
        <v>16</v>
      </c>
      <c r="C32" s="8" t="str">
        <f t="shared" si="0"/>
        <v>att_aa_starvation:histidine</v>
      </c>
      <c r="D32" s="9" t="s">
        <v>17</v>
      </c>
      <c r="E32" s="8" t="s">
        <v>286</v>
      </c>
      <c r="F32" s="8" t="s">
        <v>287</v>
      </c>
    </row>
    <row r="33" spans="1:6" x14ac:dyDescent="0.15">
      <c r="A33" s="8" t="s">
        <v>288</v>
      </c>
      <c r="B33" s="8" t="s">
        <v>16</v>
      </c>
      <c r="C33" s="8" t="str">
        <f t="shared" si="0"/>
        <v>att_aa_starvation:isoleucine</v>
      </c>
      <c r="D33" s="9" t="s">
        <v>17</v>
      </c>
      <c r="E33" s="8" t="s">
        <v>289</v>
      </c>
      <c r="F33" s="8" t="s">
        <v>290</v>
      </c>
    </row>
    <row r="34" spans="1:6" x14ac:dyDescent="0.15">
      <c r="A34" s="8" t="s">
        <v>291</v>
      </c>
      <c r="B34" s="8" t="s">
        <v>16</v>
      </c>
      <c r="C34" s="8" t="str">
        <f t="shared" si="0"/>
        <v>att_aa_starvation:leucine</v>
      </c>
      <c r="D34" s="9" t="s">
        <v>17</v>
      </c>
      <c r="E34" s="8" t="s">
        <v>292</v>
      </c>
      <c r="F34" s="8" t="s">
        <v>293</v>
      </c>
    </row>
    <row r="35" spans="1:6" x14ac:dyDescent="0.15">
      <c r="A35" s="8" t="s">
        <v>294</v>
      </c>
      <c r="B35" s="8" t="s">
        <v>16</v>
      </c>
      <c r="C35" s="8" t="str">
        <f t="shared" si="0"/>
        <v>att_aa_starvation:lysine</v>
      </c>
      <c r="D35" s="9" t="s">
        <v>17</v>
      </c>
      <c r="E35" s="8" t="s">
        <v>295</v>
      </c>
      <c r="F35" s="8" t="s">
        <v>296</v>
      </c>
    </row>
    <row r="36" spans="1:6" x14ac:dyDescent="0.15">
      <c r="A36" s="8" t="s">
        <v>297</v>
      </c>
      <c r="B36" s="8" t="s">
        <v>16</v>
      </c>
      <c r="C36" s="8" t="str">
        <f t="shared" si="0"/>
        <v>att_aa_starvation:methionine</v>
      </c>
      <c r="D36" s="9" t="s">
        <v>17</v>
      </c>
      <c r="E36" s="8" t="s">
        <v>298</v>
      </c>
      <c r="F36" s="8" t="s">
        <v>299</v>
      </c>
    </row>
    <row r="37" spans="1:6" x14ac:dyDescent="0.15">
      <c r="A37" s="8" t="s">
        <v>300</v>
      </c>
      <c r="B37" s="8" t="s">
        <v>16</v>
      </c>
      <c r="C37" s="8" t="str">
        <f t="shared" si="0"/>
        <v>att_aa_starvation:phenylalanine</v>
      </c>
      <c r="D37" s="9" t="s">
        <v>17</v>
      </c>
      <c r="E37" s="8" t="s">
        <v>301</v>
      </c>
      <c r="F37" s="8" t="s">
        <v>302</v>
      </c>
    </row>
    <row r="38" spans="1:6" x14ac:dyDescent="0.15">
      <c r="A38" s="8" t="s">
        <v>303</v>
      </c>
      <c r="B38" s="8" t="s">
        <v>16</v>
      </c>
      <c r="C38" s="8" t="str">
        <f t="shared" si="0"/>
        <v>att_aa_starvation:proline</v>
      </c>
      <c r="D38" s="9" t="s">
        <v>17</v>
      </c>
      <c r="E38" s="8" t="s">
        <v>304</v>
      </c>
      <c r="F38" s="8" t="s">
        <v>305</v>
      </c>
    </row>
    <row r="39" spans="1:6" x14ac:dyDescent="0.15">
      <c r="A39" s="8" t="s">
        <v>306</v>
      </c>
      <c r="B39" s="8" t="s">
        <v>16</v>
      </c>
      <c r="C39" s="8" t="str">
        <f t="shared" si="0"/>
        <v>att_aa_starvation:serine</v>
      </c>
      <c r="D39" s="9" t="s">
        <v>17</v>
      </c>
      <c r="E39" s="8" t="s">
        <v>307</v>
      </c>
      <c r="F39" s="8" t="s">
        <v>308</v>
      </c>
    </row>
    <row r="40" spans="1:6" x14ac:dyDescent="0.15">
      <c r="A40" s="8" t="s">
        <v>309</v>
      </c>
      <c r="B40" s="8" t="s">
        <v>16</v>
      </c>
      <c r="C40" s="8" t="str">
        <f t="shared" si="0"/>
        <v>att_aa_starvation:threonine</v>
      </c>
      <c r="D40" s="9" t="s">
        <v>17</v>
      </c>
      <c r="E40" s="8" t="s">
        <v>310</v>
      </c>
      <c r="F40" s="8" t="s">
        <v>311</v>
      </c>
    </row>
    <row r="41" spans="1:6" x14ac:dyDescent="0.15">
      <c r="A41" s="8" t="s">
        <v>312</v>
      </c>
      <c r="B41" s="8" t="s">
        <v>16</v>
      </c>
      <c r="C41" s="8" t="str">
        <f t="shared" si="0"/>
        <v>att_aa_starvation:tryptophan</v>
      </c>
      <c r="D41" s="9" t="s">
        <v>17</v>
      </c>
      <c r="E41" s="8" t="s">
        <v>313</v>
      </c>
      <c r="F41" s="8" t="s">
        <v>314</v>
      </c>
    </row>
    <row r="42" spans="1:6" x14ac:dyDescent="0.15">
      <c r="A42" s="8" t="s">
        <v>315</v>
      </c>
      <c r="B42" s="8" t="s">
        <v>16</v>
      </c>
      <c r="C42" s="8" t="str">
        <f t="shared" si="0"/>
        <v>att_aa_starvation:tyrosine</v>
      </c>
      <c r="D42" s="9" t="s">
        <v>17</v>
      </c>
      <c r="E42" s="8" t="s">
        <v>316</v>
      </c>
      <c r="F42" s="8" t="s">
        <v>317</v>
      </c>
    </row>
    <row r="43" spans="1:6" x14ac:dyDescent="0.15">
      <c r="A43" s="8" t="s">
        <v>318</v>
      </c>
      <c r="B43" s="8" t="s">
        <v>16</v>
      </c>
      <c r="C43" s="8" t="str">
        <f t="shared" si="0"/>
        <v>att_aa_starvation:valine</v>
      </c>
      <c r="D43" s="9" t="s">
        <v>17</v>
      </c>
      <c r="E43" s="8" t="s">
        <v>319</v>
      </c>
      <c r="F43" s="8" t="s">
        <v>320</v>
      </c>
    </row>
    <row r="44" spans="1:6" x14ac:dyDescent="0.15">
      <c r="A44" s="8" t="s">
        <v>336</v>
      </c>
      <c r="B44" s="8" t="s">
        <v>16</v>
      </c>
      <c r="C44" s="8" t="str">
        <f t="shared" ref="C44" si="1">B44&amp;":"&amp;A44</f>
        <v>att_aa_starvation:none</v>
      </c>
      <c r="D44" s="9" t="s">
        <v>17</v>
      </c>
      <c r="E44" s="8" t="s">
        <v>3091</v>
      </c>
      <c r="F44" s="8" t="s">
        <v>3092</v>
      </c>
    </row>
    <row r="45" spans="1:6" x14ac:dyDescent="0.15">
      <c r="A45" s="8" t="s">
        <v>321</v>
      </c>
      <c r="B45" s="8" t="s">
        <v>22</v>
      </c>
      <c r="C45" s="8" t="str">
        <f t="shared" si="0"/>
        <v>att_acquisition:dda</v>
      </c>
      <c r="D45" s="8" t="s">
        <v>321</v>
      </c>
      <c r="E45" s="8" t="s">
        <v>322</v>
      </c>
      <c r="F45" s="8" t="s">
        <v>323</v>
      </c>
    </row>
    <row r="46" spans="1:6" x14ac:dyDescent="0.15">
      <c r="A46" s="8" t="s">
        <v>324</v>
      </c>
      <c r="B46" s="8" t="s">
        <v>22</v>
      </c>
      <c r="C46" s="8" t="str">
        <f t="shared" si="0"/>
        <v>att_acquisition:dia</v>
      </c>
      <c r="D46" s="8" t="s">
        <v>324</v>
      </c>
      <c r="E46" s="8" t="s">
        <v>325</v>
      </c>
      <c r="F46" s="8" t="s">
        <v>326</v>
      </c>
    </row>
    <row r="47" spans="1:6" x14ac:dyDescent="0.15">
      <c r="A47" s="8" t="s">
        <v>327</v>
      </c>
      <c r="B47" s="8" t="s">
        <v>22</v>
      </c>
      <c r="C47" s="8" t="str">
        <f t="shared" si="0"/>
        <v>att_acquisition:srm</v>
      </c>
      <c r="D47" s="8" t="s">
        <v>327</v>
      </c>
      <c r="E47" s="8" t="s">
        <v>328</v>
      </c>
      <c r="F47" s="8" t="s">
        <v>329</v>
      </c>
    </row>
    <row r="48" spans="1:6" x14ac:dyDescent="0.15">
      <c r="A48" s="8" t="s">
        <v>330</v>
      </c>
      <c r="B48" s="8" t="s">
        <v>26</v>
      </c>
      <c r="C48" s="8" t="str">
        <f t="shared" si="0"/>
        <v>att_alkylation:caa</v>
      </c>
      <c r="D48" s="9" t="s">
        <v>17</v>
      </c>
      <c r="E48" s="8" t="s">
        <v>331</v>
      </c>
      <c r="F48" s="8" t="s">
        <v>332</v>
      </c>
    </row>
    <row r="49" spans="1:6" x14ac:dyDescent="0.15">
      <c r="A49" s="8" t="s">
        <v>333</v>
      </c>
      <c r="B49" s="8" t="s">
        <v>26</v>
      </c>
      <c r="C49" s="8" t="str">
        <f t="shared" si="0"/>
        <v>att_alkylation:iaa</v>
      </c>
      <c r="D49" s="9" t="s">
        <v>17</v>
      </c>
      <c r="E49" s="8" t="s">
        <v>334</v>
      </c>
      <c r="F49" s="8" t="s">
        <v>335</v>
      </c>
    </row>
    <row r="50" spans="1:6" x14ac:dyDescent="0.15">
      <c r="A50" s="8" t="s">
        <v>336</v>
      </c>
      <c r="B50" s="8" t="s">
        <v>26</v>
      </c>
      <c r="C50" s="8" t="str">
        <f t="shared" si="0"/>
        <v>att_alkylation:none</v>
      </c>
      <c r="D50" s="9" t="s">
        <v>17</v>
      </c>
      <c r="E50" s="8" t="s">
        <v>337</v>
      </c>
      <c r="F50" s="8" t="s">
        <v>338</v>
      </c>
    </row>
    <row r="51" spans="1:6" x14ac:dyDescent="0.15">
      <c r="A51" s="8" t="s">
        <v>339</v>
      </c>
      <c r="B51" s="8" t="s">
        <v>30</v>
      </c>
      <c r="C51" s="8" t="str">
        <f t="shared" si="0"/>
        <v>att_analysis_mode:directdia</v>
      </c>
      <c r="D51" s="9" t="s">
        <v>17</v>
      </c>
      <c r="E51" s="8" t="s">
        <v>340</v>
      </c>
      <c r="F51" s="8" t="s">
        <v>341</v>
      </c>
    </row>
    <row r="52" spans="1:6" x14ac:dyDescent="0.15">
      <c r="A52" s="8" t="s">
        <v>342</v>
      </c>
      <c r="B52" s="8" t="s">
        <v>30</v>
      </c>
      <c r="C52" s="8" t="str">
        <f t="shared" si="0"/>
        <v>att_analysis_mode:libdia</v>
      </c>
      <c r="D52" s="9" t="s">
        <v>17</v>
      </c>
      <c r="E52" s="8" t="s">
        <v>343</v>
      </c>
      <c r="F52" s="8" t="s">
        <v>344</v>
      </c>
    </row>
    <row r="53" spans="1:6" x14ac:dyDescent="0.15">
      <c r="A53" s="8" t="s">
        <v>345</v>
      </c>
      <c r="B53" s="8" t="s">
        <v>346</v>
      </c>
      <c r="C53" s="8" t="str">
        <f t="shared" si="0"/>
        <v>att_animal_model:adipoq_cre</v>
      </c>
      <c r="D53" s="9" t="s">
        <v>17</v>
      </c>
      <c r="E53" s="8" t="s">
        <v>347</v>
      </c>
      <c r="F53" s="8" t="s">
        <v>348</v>
      </c>
    </row>
    <row r="54" spans="1:6" x14ac:dyDescent="0.15">
      <c r="A54" s="8" t="s">
        <v>349</v>
      </c>
      <c r="B54" s="8" t="s">
        <v>346</v>
      </c>
      <c r="C54" s="8" t="str">
        <f t="shared" si="0"/>
        <v>att_animal_model:alb_cre</v>
      </c>
      <c r="D54" s="9" t="s">
        <v>17</v>
      </c>
      <c r="E54" s="8" t="s">
        <v>350</v>
      </c>
      <c r="F54" s="8" t="s">
        <v>351</v>
      </c>
    </row>
    <row r="55" spans="1:6" x14ac:dyDescent="0.15">
      <c r="A55" s="8" t="s">
        <v>352</v>
      </c>
      <c r="B55" s="8" t="s">
        <v>346</v>
      </c>
      <c r="C55" s="8" t="str">
        <f t="shared" si="0"/>
        <v>att_animal_model:asc_ko</v>
      </c>
      <c r="D55" s="9" t="s">
        <v>17</v>
      </c>
      <c r="E55" s="8" t="s">
        <v>353</v>
      </c>
      <c r="F55" s="8" t="s">
        <v>353</v>
      </c>
    </row>
    <row r="56" spans="1:6" x14ac:dyDescent="0.15">
      <c r="A56" s="8" t="s">
        <v>354</v>
      </c>
      <c r="B56" s="8" t="s">
        <v>346</v>
      </c>
      <c r="C56" s="8" t="str">
        <f t="shared" si="0"/>
        <v>att_animal_model:baf53b_cre</v>
      </c>
      <c r="D56" s="9" t="s">
        <v>17</v>
      </c>
      <c r="E56" s="8" t="s">
        <v>355</v>
      </c>
      <c r="F56" s="8" t="s">
        <v>356</v>
      </c>
    </row>
    <row r="57" spans="1:6" x14ac:dyDescent="0.15">
      <c r="A57" s="8" t="s">
        <v>357</v>
      </c>
      <c r="B57" s="8" t="s">
        <v>346</v>
      </c>
      <c r="C57" s="8" t="str">
        <f t="shared" si="0"/>
        <v>att_animal_model:c57_bl6j</v>
      </c>
      <c r="D57" s="9" t="s">
        <v>17</v>
      </c>
      <c r="E57" s="8" t="s">
        <v>358</v>
      </c>
      <c r="F57" s="8" t="s">
        <v>358</v>
      </c>
    </row>
    <row r="58" spans="1:6" x14ac:dyDescent="0.15">
      <c r="A58" s="8" t="s">
        <v>359</v>
      </c>
      <c r="B58" s="8" t="s">
        <v>346</v>
      </c>
      <c r="C58" s="8" t="str">
        <f t="shared" si="0"/>
        <v>att_animal_model:clec4f_cre</v>
      </c>
      <c r="D58" s="9" t="s">
        <v>17</v>
      </c>
      <c r="E58" s="8" t="s">
        <v>360</v>
      </c>
      <c r="F58" s="8" t="s">
        <v>361</v>
      </c>
    </row>
    <row r="59" spans="1:6" x14ac:dyDescent="0.15">
      <c r="A59" s="8" t="s">
        <v>362</v>
      </c>
      <c r="B59" s="8" t="s">
        <v>346</v>
      </c>
      <c r="C59" s="8" t="str">
        <f t="shared" si="0"/>
        <v>att_animal_model:cx3cr1_cre</v>
      </c>
      <c r="D59" s="9" t="s">
        <v>17</v>
      </c>
      <c r="E59" s="8" t="s">
        <v>363</v>
      </c>
      <c r="F59" s="8" t="s">
        <v>364</v>
      </c>
    </row>
    <row r="60" spans="1:6" x14ac:dyDescent="0.15">
      <c r="A60" s="8" t="s">
        <v>365</v>
      </c>
      <c r="B60" s="8" t="s">
        <v>346</v>
      </c>
      <c r="C60" s="8" t="str">
        <f t="shared" si="0"/>
        <v>att_animal_model:cxcr4creert2</v>
      </c>
      <c r="D60" s="9" t="s">
        <v>17</v>
      </c>
      <c r="E60" s="8" t="s">
        <v>366</v>
      </c>
      <c r="F60" s="8" t="s">
        <v>366</v>
      </c>
    </row>
    <row r="61" spans="1:6" x14ac:dyDescent="0.15">
      <c r="A61" s="8" t="s">
        <v>367</v>
      </c>
      <c r="B61" s="8" t="s">
        <v>346</v>
      </c>
      <c r="C61" s="8" t="str">
        <f t="shared" si="0"/>
        <v>att_animal_model:glast_cre</v>
      </c>
      <c r="D61" s="9" t="s">
        <v>17</v>
      </c>
      <c r="E61" s="8" t="s">
        <v>368</v>
      </c>
      <c r="F61" s="8" t="s">
        <v>369</v>
      </c>
    </row>
    <row r="62" spans="1:6" x14ac:dyDescent="0.15">
      <c r="A62" s="8" t="s">
        <v>370</v>
      </c>
      <c r="B62" s="8" t="s">
        <v>346</v>
      </c>
      <c r="C62" s="8" t="str">
        <f t="shared" si="0"/>
        <v>att_animal_model:lrat_cre</v>
      </c>
      <c r="D62" s="9" t="s">
        <v>17</v>
      </c>
      <c r="E62" s="8" t="s">
        <v>371</v>
      </c>
      <c r="F62" s="8" t="s">
        <v>372</v>
      </c>
    </row>
    <row r="63" spans="1:6" x14ac:dyDescent="0.15">
      <c r="A63" s="8" t="s">
        <v>373</v>
      </c>
      <c r="B63" s="8" t="s">
        <v>346</v>
      </c>
      <c r="C63" s="8" t="str">
        <f t="shared" si="0"/>
        <v>att_animal_model:lysm_cre</v>
      </c>
      <c r="D63" s="9" t="s">
        <v>17</v>
      </c>
      <c r="E63" s="8" t="s">
        <v>374</v>
      </c>
      <c r="F63" s="8" t="s">
        <v>375</v>
      </c>
    </row>
    <row r="64" spans="1:6" x14ac:dyDescent="0.15">
      <c r="A64" s="8" t="s">
        <v>376</v>
      </c>
      <c r="B64" s="8" t="s">
        <v>346</v>
      </c>
      <c r="C64" s="8" t="str">
        <f t="shared" si="0"/>
        <v>att_animal_model:ms4a3_cre</v>
      </c>
      <c r="D64" s="9" t="s">
        <v>17</v>
      </c>
      <c r="E64" s="8" t="s">
        <v>377</v>
      </c>
      <c r="F64" s="8" t="s">
        <v>378</v>
      </c>
    </row>
    <row r="65" spans="1:6" x14ac:dyDescent="0.15">
      <c r="A65" s="8" t="s">
        <v>379</v>
      </c>
      <c r="B65" s="8" t="s">
        <v>346</v>
      </c>
      <c r="C65" s="8" t="str">
        <f t="shared" si="0"/>
        <v>att_animal_model:mt_nlrp3_cre</v>
      </c>
      <c r="D65" s="9" t="s">
        <v>17</v>
      </c>
      <c r="E65" s="8" t="s">
        <v>380</v>
      </c>
      <c r="F65" s="8" t="s">
        <v>381</v>
      </c>
    </row>
    <row r="66" spans="1:6" x14ac:dyDescent="0.15">
      <c r="A66" s="8" t="s">
        <v>382</v>
      </c>
      <c r="B66" s="8" t="s">
        <v>346</v>
      </c>
      <c r="C66" s="8" t="str">
        <f t="shared" si="0"/>
        <v>att_animal_model:nlrp3_flox</v>
      </c>
      <c r="D66" s="9" t="s">
        <v>17</v>
      </c>
      <c r="E66" s="8" t="s">
        <v>383</v>
      </c>
      <c r="F66" s="8" t="s">
        <v>383</v>
      </c>
    </row>
    <row r="67" spans="1:6" x14ac:dyDescent="0.15">
      <c r="A67" s="8" t="s">
        <v>384</v>
      </c>
      <c r="B67" s="8" t="s">
        <v>346</v>
      </c>
      <c r="C67" s="8" t="str">
        <f t="shared" ref="C67:C130" si="2">B67&amp;":"&amp;A67</f>
        <v>att_animal_model:nlrp3_ko</v>
      </c>
      <c r="D67" s="9" t="s">
        <v>17</v>
      </c>
      <c r="E67" s="8" t="s">
        <v>385</v>
      </c>
      <c r="F67" s="8" t="s">
        <v>385</v>
      </c>
    </row>
    <row r="68" spans="1:6" x14ac:dyDescent="0.15">
      <c r="A68" s="8" t="s">
        <v>386</v>
      </c>
      <c r="B68" s="8" t="s">
        <v>346</v>
      </c>
      <c r="C68" s="8" t="str">
        <f t="shared" si="2"/>
        <v>att_animal_model:oaf</v>
      </c>
      <c r="D68" s="9" t="s">
        <v>17</v>
      </c>
      <c r="E68" s="8" t="s">
        <v>387</v>
      </c>
      <c r="F68" s="8" t="s">
        <v>387</v>
      </c>
    </row>
    <row r="69" spans="1:6" x14ac:dyDescent="0.15">
      <c r="A69" s="8" t="s">
        <v>388</v>
      </c>
      <c r="B69" s="8" t="s">
        <v>346</v>
      </c>
      <c r="C69" s="8" t="str">
        <f t="shared" si="2"/>
        <v>att_animal_model:r26_ert2cre</v>
      </c>
      <c r="D69" s="9" t="s">
        <v>17</v>
      </c>
      <c r="E69" s="8" t="s">
        <v>389</v>
      </c>
      <c r="F69" s="8" t="s">
        <v>390</v>
      </c>
    </row>
    <row r="70" spans="1:6" x14ac:dyDescent="0.15">
      <c r="A70" s="8" t="s">
        <v>391</v>
      </c>
      <c r="B70" s="8" t="s">
        <v>346</v>
      </c>
      <c r="C70" s="8" t="str">
        <f t="shared" si="2"/>
        <v>att_animal_model:r26_metrs_flox</v>
      </c>
      <c r="D70" s="9" t="s">
        <v>17</v>
      </c>
      <c r="E70" s="9" t="s">
        <v>392</v>
      </c>
      <c r="F70" s="8" t="s">
        <v>393</v>
      </c>
    </row>
    <row r="71" spans="1:6" x14ac:dyDescent="0.15">
      <c r="A71" s="8" t="s">
        <v>394</v>
      </c>
      <c r="B71" s="8" t="s">
        <v>346</v>
      </c>
      <c r="C71" s="8" t="str">
        <f t="shared" si="2"/>
        <v>att_animal_model:r26_nlrp3_flox</v>
      </c>
      <c r="D71" s="9" t="s">
        <v>17</v>
      </c>
      <c r="E71" s="8" t="s">
        <v>395</v>
      </c>
      <c r="F71" s="8" t="s">
        <v>395</v>
      </c>
    </row>
    <row r="72" spans="1:6" x14ac:dyDescent="0.15">
      <c r="A72" s="8" t="s">
        <v>396</v>
      </c>
      <c r="B72" s="8" t="s">
        <v>346</v>
      </c>
      <c r="C72" s="8" t="str">
        <f t="shared" si="2"/>
        <v>att_animal_model:ribotag_lox</v>
      </c>
      <c r="D72" s="9" t="s">
        <v>17</v>
      </c>
      <c r="E72" s="8" t="s">
        <v>397</v>
      </c>
      <c r="F72" s="9" t="s">
        <v>17</v>
      </c>
    </row>
    <row r="73" spans="1:6" x14ac:dyDescent="0.15">
      <c r="A73" s="8" t="s">
        <v>398</v>
      </c>
      <c r="B73" s="8" t="s">
        <v>346</v>
      </c>
      <c r="C73" s="8" t="str">
        <f t="shared" si="2"/>
        <v>att_animal_model:sox10_cre</v>
      </c>
      <c r="D73" s="9" t="s">
        <v>17</v>
      </c>
      <c r="E73" s="8" t="s">
        <v>399</v>
      </c>
      <c r="F73" s="8" t="s">
        <v>400</v>
      </c>
    </row>
    <row r="74" spans="1:6" x14ac:dyDescent="0.15">
      <c r="A74" s="8" t="s">
        <v>401</v>
      </c>
      <c r="B74" s="8" t="s">
        <v>346</v>
      </c>
      <c r="C74" s="8" t="str">
        <f t="shared" si="2"/>
        <v>att_animal_model:ucp1_cre</v>
      </c>
      <c r="D74" s="9" t="s">
        <v>17</v>
      </c>
      <c r="E74" s="8" t="s">
        <v>402</v>
      </c>
      <c r="F74" s="8" t="s">
        <v>403</v>
      </c>
    </row>
    <row r="75" spans="1:6" x14ac:dyDescent="0.15">
      <c r="A75" s="8" t="s">
        <v>404</v>
      </c>
      <c r="B75" s="8" t="s">
        <v>346</v>
      </c>
      <c r="C75" s="8" t="str">
        <f t="shared" si="2"/>
        <v>att_animal_model:vil_cre</v>
      </c>
      <c r="D75" s="9" t="s">
        <v>17</v>
      </c>
      <c r="E75" s="8" t="s">
        <v>405</v>
      </c>
      <c r="F75" s="8" t="s">
        <v>406</v>
      </c>
    </row>
    <row r="76" spans="1:6" x14ac:dyDescent="0.15">
      <c r="A76" s="8" t="s">
        <v>407</v>
      </c>
      <c r="B76" s="8" t="s">
        <v>40</v>
      </c>
      <c r="C76" s="8" t="str">
        <f t="shared" si="2"/>
        <v>att_cell:adipose_macrophages</v>
      </c>
      <c r="D76" s="8" t="s">
        <v>408</v>
      </c>
      <c r="E76" s="8" t="s">
        <v>409</v>
      </c>
      <c r="F76" s="8" t="s">
        <v>410</v>
      </c>
    </row>
    <row r="77" spans="1:6" x14ac:dyDescent="0.15">
      <c r="A77" s="8" t="s">
        <v>411</v>
      </c>
      <c r="B77" s="8" t="s">
        <v>40</v>
      </c>
      <c r="C77" s="8" t="str">
        <f t="shared" si="2"/>
        <v>att_cell:astrocytes</v>
      </c>
      <c r="D77" s="8" t="s">
        <v>411</v>
      </c>
      <c r="E77" s="8" t="s">
        <v>369</v>
      </c>
      <c r="F77" s="8" t="s">
        <v>369</v>
      </c>
    </row>
    <row r="78" spans="1:6" x14ac:dyDescent="0.15">
      <c r="A78" s="8" t="s">
        <v>412</v>
      </c>
      <c r="B78" s="8" t="s">
        <v>40</v>
      </c>
      <c r="C78" s="8" t="str">
        <f t="shared" si="2"/>
        <v>att_cell:basophils</v>
      </c>
      <c r="D78" s="8" t="s">
        <v>412</v>
      </c>
      <c r="E78" s="8" t="s">
        <v>413</v>
      </c>
      <c r="F78" s="8" t="s">
        <v>414</v>
      </c>
    </row>
    <row r="79" spans="1:6" x14ac:dyDescent="0.15">
      <c r="A79" s="8" t="s">
        <v>415</v>
      </c>
      <c r="B79" s="8" t="s">
        <v>40</v>
      </c>
      <c r="C79" s="8" t="str">
        <f t="shared" si="2"/>
        <v>att_cell:bcells</v>
      </c>
      <c r="D79" s="8" t="s">
        <v>415</v>
      </c>
      <c r="E79" s="8" t="s">
        <v>416</v>
      </c>
      <c r="F79" s="8" t="s">
        <v>416</v>
      </c>
    </row>
    <row r="80" spans="1:6" x14ac:dyDescent="0.15">
      <c r="A80" s="8" t="s">
        <v>417</v>
      </c>
      <c r="B80" s="8" t="s">
        <v>40</v>
      </c>
      <c r="C80" s="8" t="str">
        <f t="shared" si="2"/>
        <v>att_cell:cytotoxict</v>
      </c>
      <c r="D80" s="8" t="s">
        <v>417</v>
      </c>
      <c r="E80" s="8" t="s">
        <v>418</v>
      </c>
      <c r="F80" s="8" t="s">
        <v>419</v>
      </c>
    </row>
    <row r="81" spans="1:6" x14ac:dyDescent="0.15">
      <c r="A81" s="8" t="s">
        <v>420</v>
      </c>
      <c r="B81" s="8" t="s">
        <v>40</v>
      </c>
      <c r="C81" s="8" t="str">
        <f t="shared" si="2"/>
        <v>att_cell:endothelial</v>
      </c>
      <c r="D81" s="8" t="s">
        <v>420</v>
      </c>
      <c r="E81" s="8" t="s">
        <v>421</v>
      </c>
      <c r="F81" s="8" t="s">
        <v>422</v>
      </c>
    </row>
    <row r="82" spans="1:6" x14ac:dyDescent="0.15">
      <c r="A82" s="8" t="s">
        <v>423</v>
      </c>
      <c r="B82" s="8" t="s">
        <v>40</v>
      </c>
      <c r="C82" s="8" t="str">
        <f t="shared" si="2"/>
        <v>att_cell:eosinophils</v>
      </c>
      <c r="D82" s="8" t="s">
        <v>423</v>
      </c>
      <c r="E82" s="8" t="s">
        <v>424</v>
      </c>
      <c r="F82" s="8" t="s">
        <v>425</v>
      </c>
    </row>
    <row r="83" spans="1:6" x14ac:dyDescent="0.15">
      <c r="A83" s="8" t="s">
        <v>426</v>
      </c>
      <c r="B83" s="8" t="s">
        <v>40</v>
      </c>
      <c r="C83" s="8" t="str">
        <f t="shared" si="2"/>
        <v>att_cell:epithelioid</v>
      </c>
      <c r="D83" s="8" t="s">
        <v>426</v>
      </c>
      <c r="E83" s="8" t="s">
        <v>427</v>
      </c>
      <c r="F83" s="8" t="s">
        <v>428</v>
      </c>
    </row>
    <row r="84" spans="1:6" x14ac:dyDescent="0.15">
      <c r="A84" s="8" t="s">
        <v>429</v>
      </c>
      <c r="B84" s="8" t="s">
        <v>40</v>
      </c>
      <c r="C84" s="8" t="str">
        <f t="shared" si="2"/>
        <v>att_cell:erythrocytes</v>
      </c>
      <c r="D84" s="8" t="s">
        <v>429</v>
      </c>
      <c r="E84" s="8" t="s">
        <v>430</v>
      </c>
      <c r="F84" s="8" t="s">
        <v>431</v>
      </c>
    </row>
    <row r="85" spans="1:6" x14ac:dyDescent="0.15">
      <c r="A85" s="8" t="s">
        <v>432</v>
      </c>
      <c r="B85" s="8" t="s">
        <v>40</v>
      </c>
      <c r="C85" s="8" t="str">
        <f t="shared" si="2"/>
        <v>att_cell:gammadeltat</v>
      </c>
      <c r="D85" s="8" t="s">
        <v>432</v>
      </c>
      <c r="E85" s="8" t="s">
        <v>433</v>
      </c>
      <c r="F85" s="8" t="s">
        <v>434</v>
      </c>
    </row>
    <row r="86" spans="1:6" x14ac:dyDescent="0.15">
      <c r="A86" s="8" t="s">
        <v>435</v>
      </c>
      <c r="B86" s="8" t="s">
        <v>40</v>
      </c>
      <c r="C86" s="8" t="str">
        <f t="shared" si="2"/>
        <v>att_cell:hofbauer</v>
      </c>
      <c r="D86" s="8" t="s">
        <v>435</v>
      </c>
      <c r="E86" s="8" t="s">
        <v>436</v>
      </c>
      <c r="F86" s="8" t="s">
        <v>437</v>
      </c>
    </row>
    <row r="87" spans="1:6" x14ac:dyDescent="0.15">
      <c r="A87" s="8" t="s">
        <v>438</v>
      </c>
      <c r="B87" s="8" t="s">
        <v>40</v>
      </c>
      <c r="C87" s="8" t="str">
        <f t="shared" si="2"/>
        <v>att_cell:keratinocytes</v>
      </c>
      <c r="D87" s="8" t="s">
        <v>438</v>
      </c>
      <c r="E87" s="8" t="s">
        <v>439</v>
      </c>
      <c r="F87" s="8" t="s">
        <v>440</v>
      </c>
    </row>
    <row r="88" spans="1:6" x14ac:dyDescent="0.15">
      <c r="A88" s="8" t="s">
        <v>441</v>
      </c>
      <c r="B88" s="8" t="s">
        <v>40</v>
      </c>
      <c r="C88" s="8" t="str">
        <f t="shared" si="2"/>
        <v>att_cell:kupffer</v>
      </c>
      <c r="D88" s="8" t="s">
        <v>441</v>
      </c>
      <c r="E88" s="8" t="s">
        <v>442</v>
      </c>
      <c r="F88" s="8" t="s">
        <v>443</v>
      </c>
    </row>
    <row r="89" spans="1:6" x14ac:dyDescent="0.15">
      <c r="A89" s="8" t="s">
        <v>444</v>
      </c>
      <c r="B89" s="8" t="s">
        <v>40</v>
      </c>
      <c r="C89" s="8" t="str">
        <f t="shared" si="2"/>
        <v>att_cell:langerhans</v>
      </c>
      <c r="D89" s="8" t="s">
        <v>444</v>
      </c>
      <c r="E89" s="8" t="s">
        <v>445</v>
      </c>
      <c r="F89" s="8" t="s">
        <v>446</v>
      </c>
    </row>
    <row r="90" spans="1:6" x14ac:dyDescent="0.15">
      <c r="A90" s="8" t="s">
        <v>447</v>
      </c>
      <c r="B90" s="8" t="s">
        <v>40</v>
      </c>
      <c r="C90" s="8" t="str">
        <f t="shared" si="2"/>
        <v>att_cell:leukocytes</v>
      </c>
      <c r="D90" s="8" t="s">
        <v>447</v>
      </c>
      <c r="E90" s="8" t="s">
        <v>448</v>
      </c>
      <c r="F90" s="8" t="s">
        <v>449</v>
      </c>
    </row>
    <row r="91" spans="1:6" x14ac:dyDescent="0.15">
      <c r="A91" s="8" t="s">
        <v>450</v>
      </c>
      <c r="B91" s="8" t="s">
        <v>40</v>
      </c>
      <c r="C91" s="8" t="str">
        <f t="shared" si="2"/>
        <v>att_cell:lymphocytes</v>
      </c>
      <c r="D91" s="8" t="s">
        <v>450</v>
      </c>
      <c r="E91" s="8" t="s">
        <v>451</v>
      </c>
      <c r="F91" s="8" t="s">
        <v>452</v>
      </c>
    </row>
    <row r="92" spans="1:6" x14ac:dyDescent="0.15">
      <c r="A92" s="8" t="s">
        <v>453</v>
      </c>
      <c r="B92" s="8" t="s">
        <v>40</v>
      </c>
      <c r="C92" s="8" t="str">
        <f t="shared" si="2"/>
        <v>att_cell:macrophage</v>
      </c>
      <c r="D92" s="8" t="s">
        <v>453</v>
      </c>
      <c r="E92" s="8" t="s">
        <v>454</v>
      </c>
      <c r="F92" s="8" t="s">
        <v>454</v>
      </c>
    </row>
    <row r="93" spans="1:6" x14ac:dyDescent="0.15">
      <c r="A93" s="8" t="s">
        <v>455</v>
      </c>
      <c r="B93" s="8" t="s">
        <v>40</v>
      </c>
      <c r="C93" s="8" t="str">
        <f t="shared" si="2"/>
        <v>att_cell:microglia</v>
      </c>
      <c r="D93" s="8" t="s">
        <v>455</v>
      </c>
      <c r="E93" s="8" t="s">
        <v>456</v>
      </c>
      <c r="F93" s="8" t="s">
        <v>457</v>
      </c>
    </row>
    <row r="94" spans="1:6" x14ac:dyDescent="0.15">
      <c r="A94" s="8" t="s">
        <v>458</v>
      </c>
      <c r="B94" s="8" t="s">
        <v>40</v>
      </c>
      <c r="C94" s="8" t="str">
        <f t="shared" si="2"/>
        <v>att_cell:monoblast</v>
      </c>
      <c r="D94" s="8" t="s">
        <v>458</v>
      </c>
      <c r="E94" s="8" t="s">
        <v>459</v>
      </c>
      <c r="F94" s="8" t="s">
        <v>459</v>
      </c>
    </row>
    <row r="95" spans="1:6" x14ac:dyDescent="0.15">
      <c r="A95" s="8" t="s">
        <v>460</v>
      </c>
      <c r="B95" s="8" t="s">
        <v>40</v>
      </c>
      <c r="C95" s="8" t="str">
        <f t="shared" si="2"/>
        <v>att_cell:monocytes</v>
      </c>
      <c r="D95" s="8" t="s">
        <v>460</v>
      </c>
      <c r="E95" s="8" t="s">
        <v>378</v>
      </c>
      <c r="F95" s="8" t="s">
        <v>461</v>
      </c>
    </row>
    <row r="96" spans="1:6" x14ac:dyDescent="0.15">
      <c r="A96" s="8" t="s">
        <v>462</v>
      </c>
      <c r="B96" s="8" t="s">
        <v>40</v>
      </c>
      <c r="C96" s="8" t="str">
        <f t="shared" si="2"/>
        <v>att_cell:neutrophils</v>
      </c>
      <c r="D96" s="8" t="s">
        <v>462</v>
      </c>
      <c r="E96" s="8" t="s">
        <v>463</v>
      </c>
      <c r="F96" s="8" t="s">
        <v>464</v>
      </c>
    </row>
    <row r="97" spans="1:6" x14ac:dyDescent="0.15">
      <c r="A97" s="8" t="s">
        <v>465</v>
      </c>
      <c r="B97" s="8" t="s">
        <v>40</v>
      </c>
      <c r="C97" s="8" t="str">
        <f t="shared" si="2"/>
        <v>att_cell:nk</v>
      </c>
      <c r="D97" s="8" t="s">
        <v>465</v>
      </c>
      <c r="E97" s="8" t="s">
        <v>466</v>
      </c>
      <c r="F97" s="8" t="s">
        <v>467</v>
      </c>
    </row>
    <row r="98" spans="1:6" x14ac:dyDescent="0.15">
      <c r="A98" s="8" t="s">
        <v>468</v>
      </c>
      <c r="B98" s="8" t="s">
        <v>40</v>
      </c>
      <c r="C98" s="8" t="str">
        <f t="shared" si="2"/>
        <v>att_cell:osteoblast</v>
      </c>
      <c r="D98" s="8" t="s">
        <v>468</v>
      </c>
      <c r="E98" s="8" t="s">
        <v>469</v>
      </c>
      <c r="F98" s="8" t="s">
        <v>470</v>
      </c>
    </row>
    <row r="99" spans="1:6" x14ac:dyDescent="0.15">
      <c r="A99" s="8" t="s">
        <v>471</v>
      </c>
      <c r="B99" s="8" t="s">
        <v>40</v>
      </c>
      <c r="C99" s="8" t="str">
        <f t="shared" si="2"/>
        <v>att_cell:osteoclast</v>
      </c>
      <c r="D99" s="8" t="s">
        <v>471</v>
      </c>
      <c r="E99" s="8" t="s">
        <v>472</v>
      </c>
      <c r="F99" s="8" t="s">
        <v>473</v>
      </c>
    </row>
    <row r="100" spans="1:6" x14ac:dyDescent="0.15">
      <c r="A100" s="8" t="s">
        <v>474</v>
      </c>
      <c r="B100" s="8" t="s">
        <v>40</v>
      </c>
      <c r="C100" s="8" t="str">
        <f t="shared" si="2"/>
        <v>att_cell:osteocytes</v>
      </c>
      <c r="D100" s="8" t="s">
        <v>474</v>
      </c>
      <c r="E100" s="8" t="s">
        <v>475</v>
      </c>
      <c r="F100" s="8" t="s">
        <v>476</v>
      </c>
    </row>
    <row r="101" spans="1:6" x14ac:dyDescent="0.15">
      <c r="A101" s="8" t="s">
        <v>477</v>
      </c>
      <c r="B101" s="8" t="s">
        <v>40</v>
      </c>
      <c r="C101" s="8" t="str">
        <f t="shared" si="2"/>
        <v>att_cell:osteogenic</v>
      </c>
      <c r="D101" s="8" t="s">
        <v>477</v>
      </c>
      <c r="E101" s="8" t="s">
        <v>478</v>
      </c>
      <c r="F101" s="8" t="s">
        <v>479</v>
      </c>
    </row>
    <row r="102" spans="1:6" x14ac:dyDescent="0.15">
      <c r="A102" s="8" t="s">
        <v>480</v>
      </c>
      <c r="B102" s="8" t="s">
        <v>40</v>
      </c>
      <c r="C102" s="8" t="str">
        <f t="shared" si="2"/>
        <v>att_cell:regt</v>
      </c>
      <c r="D102" s="8" t="s">
        <v>480</v>
      </c>
      <c r="E102" s="8" t="s">
        <v>481</v>
      </c>
      <c r="F102" s="8" t="s">
        <v>482</v>
      </c>
    </row>
    <row r="103" spans="1:6" x14ac:dyDescent="0.15">
      <c r="A103" s="8" t="s">
        <v>483</v>
      </c>
      <c r="B103" s="8" t="s">
        <v>40</v>
      </c>
      <c r="C103" s="8" t="str">
        <f t="shared" si="2"/>
        <v>att_cell:stemcells</v>
      </c>
      <c r="D103" s="8" t="s">
        <v>483</v>
      </c>
      <c r="E103" s="8" t="s">
        <v>484</v>
      </c>
      <c r="F103" s="8" t="s">
        <v>485</v>
      </c>
    </row>
    <row r="104" spans="1:6" x14ac:dyDescent="0.15">
      <c r="A104" s="8" t="s">
        <v>486</v>
      </c>
      <c r="B104" s="8" t="s">
        <v>40</v>
      </c>
      <c r="C104" s="8" t="str">
        <f t="shared" si="2"/>
        <v>att_cell:tcells</v>
      </c>
      <c r="D104" s="8" t="s">
        <v>486</v>
      </c>
      <c r="E104" s="8" t="s">
        <v>487</v>
      </c>
      <c r="F104" s="8" t="s">
        <v>487</v>
      </c>
    </row>
    <row r="105" spans="1:6" x14ac:dyDescent="0.15">
      <c r="A105" s="8" t="s">
        <v>488</v>
      </c>
      <c r="B105" s="8" t="s">
        <v>40</v>
      </c>
      <c r="C105" s="8" t="str">
        <f t="shared" si="2"/>
        <v>att_cell:thelper</v>
      </c>
      <c r="D105" s="8" t="s">
        <v>488</v>
      </c>
      <c r="E105" s="8" t="s">
        <v>489</v>
      </c>
      <c r="F105" s="8" t="s">
        <v>490</v>
      </c>
    </row>
    <row r="106" spans="1:6" x14ac:dyDescent="0.15">
      <c r="A106" s="8" t="s">
        <v>491</v>
      </c>
      <c r="B106" s="8" t="s">
        <v>40</v>
      </c>
      <c r="C106" s="8" t="str">
        <f t="shared" si="2"/>
        <v>att_cell:thrombocytes</v>
      </c>
      <c r="D106" s="8" t="s">
        <v>491</v>
      </c>
      <c r="E106" s="8" t="s">
        <v>492</v>
      </c>
      <c r="F106" s="8" t="s">
        <v>493</v>
      </c>
    </row>
    <row r="107" spans="1:6" x14ac:dyDescent="0.15">
      <c r="A107" s="8" t="s">
        <v>494</v>
      </c>
      <c r="B107" s="8" t="s">
        <v>43</v>
      </c>
      <c r="C107" s="8" t="str">
        <f t="shared" si="2"/>
        <v>att_cellline:786_0</v>
      </c>
      <c r="D107" s="8">
        <v>786</v>
      </c>
      <c r="E107" s="8" t="s">
        <v>495</v>
      </c>
      <c r="F107" s="8" t="s">
        <v>496</v>
      </c>
    </row>
    <row r="108" spans="1:6" x14ac:dyDescent="0.15">
      <c r="A108" s="8" t="s">
        <v>497</v>
      </c>
      <c r="B108" s="8" t="s">
        <v>43</v>
      </c>
      <c r="C108" s="8" t="str">
        <f t="shared" si="2"/>
        <v>att_cellline:a498</v>
      </c>
      <c r="D108" s="8" t="s">
        <v>497</v>
      </c>
      <c r="E108" s="8" t="s">
        <v>498</v>
      </c>
      <c r="F108" s="8" t="s">
        <v>496</v>
      </c>
    </row>
    <row r="109" spans="1:6" x14ac:dyDescent="0.15">
      <c r="A109" s="8" t="s">
        <v>499</v>
      </c>
      <c r="B109" s="8" t="s">
        <v>43</v>
      </c>
      <c r="C109" s="8" t="str">
        <f t="shared" si="2"/>
        <v>att_cellline:a549</v>
      </c>
      <c r="D109" s="8" t="s">
        <v>499</v>
      </c>
      <c r="E109" s="8" t="s">
        <v>500</v>
      </c>
      <c r="F109" s="8" t="s">
        <v>501</v>
      </c>
    </row>
    <row r="110" spans="1:6" x14ac:dyDescent="0.15">
      <c r="A110" s="8" t="s">
        <v>502</v>
      </c>
      <c r="B110" s="8" t="s">
        <v>43</v>
      </c>
      <c r="C110" s="8" t="str">
        <f t="shared" si="2"/>
        <v>att_cellline:achn</v>
      </c>
      <c r="D110" s="8" t="s">
        <v>502</v>
      </c>
      <c r="E110" s="8" t="s">
        <v>503</v>
      </c>
      <c r="F110" s="8" t="s">
        <v>496</v>
      </c>
    </row>
    <row r="111" spans="1:6" x14ac:dyDescent="0.15">
      <c r="A111" s="8" t="s">
        <v>504</v>
      </c>
      <c r="B111" s="8" t="s">
        <v>43</v>
      </c>
      <c r="C111" s="8" t="str">
        <f t="shared" si="2"/>
        <v>att_cellline:bmdc</v>
      </c>
      <c r="D111" s="8" t="s">
        <v>504</v>
      </c>
      <c r="E111" s="8" t="s">
        <v>505</v>
      </c>
      <c r="F111" s="8" t="s">
        <v>505</v>
      </c>
    </row>
    <row r="112" spans="1:6" x14ac:dyDescent="0.15">
      <c r="A112" s="8" t="s">
        <v>506</v>
      </c>
      <c r="B112" s="8" t="s">
        <v>43</v>
      </c>
      <c r="C112" s="8" t="str">
        <f t="shared" si="2"/>
        <v>att_cellline:bmm</v>
      </c>
      <c r="D112" s="8" t="s">
        <v>506</v>
      </c>
      <c r="E112" s="8" t="s">
        <v>507</v>
      </c>
      <c r="F112" s="8" t="s">
        <v>508</v>
      </c>
    </row>
    <row r="113" spans="1:6" x14ac:dyDescent="0.15">
      <c r="A113" s="8" t="s">
        <v>509</v>
      </c>
      <c r="B113" s="8" t="s">
        <v>43</v>
      </c>
      <c r="C113" s="8" t="str">
        <f t="shared" si="2"/>
        <v>att_cellline:bt549</v>
      </c>
      <c r="D113" s="8" t="s">
        <v>509</v>
      </c>
      <c r="E113" s="8" t="s">
        <v>510</v>
      </c>
      <c r="F113" s="8" t="s">
        <v>511</v>
      </c>
    </row>
    <row r="114" spans="1:6" x14ac:dyDescent="0.15">
      <c r="A114" s="8" t="s">
        <v>512</v>
      </c>
      <c r="B114" s="8" t="s">
        <v>43</v>
      </c>
      <c r="C114" s="8" t="str">
        <f t="shared" si="2"/>
        <v>att_cellline:caki1</v>
      </c>
      <c r="D114" s="8" t="s">
        <v>512</v>
      </c>
      <c r="E114" s="8" t="s">
        <v>513</v>
      </c>
      <c r="F114" s="8" t="s">
        <v>496</v>
      </c>
    </row>
    <row r="115" spans="1:6" x14ac:dyDescent="0.15">
      <c r="A115" s="8" t="s">
        <v>514</v>
      </c>
      <c r="B115" s="8" t="s">
        <v>43</v>
      </c>
      <c r="C115" s="8" t="str">
        <f t="shared" si="2"/>
        <v>att_cellline:cho</v>
      </c>
      <c r="D115" s="8" t="s">
        <v>514</v>
      </c>
      <c r="E115" s="8" t="s">
        <v>515</v>
      </c>
      <c r="F115" s="8" t="s">
        <v>516</v>
      </c>
    </row>
    <row r="116" spans="1:6" x14ac:dyDescent="0.15">
      <c r="A116" s="8" t="s">
        <v>517</v>
      </c>
      <c r="B116" s="8" t="s">
        <v>43</v>
      </c>
      <c r="C116" s="8" t="str">
        <f t="shared" si="2"/>
        <v>att_cellline:colo205</v>
      </c>
      <c r="D116" s="8" t="s">
        <v>517</v>
      </c>
      <c r="E116" s="8" t="s">
        <v>518</v>
      </c>
      <c r="F116" s="8" t="s">
        <v>519</v>
      </c>
    </row>
    <row r="117" spans="1:6" x14ac:dyDescent="0.15">
      <c r="A117" s="8" t="s">
        <v>520</v>
      </c>
      <c r="B117" s="8" t="s">
        <v>43</v>
      </c>
      <c r="C117" s="8" t="str">
        <f t="shared" si="2"/>
        <v>att_cellline:crfcem</v>
      </c>
      <c r="D117" s="8" t="s">
        <v>520</v>
      </c>
      <c r="E117" s="8" t="s">
        <v>521</v>
      </c>
      <c r="F117" s="8" t="s">
        <v>522</v>
      </c>
    </row>
    <row r="118" spans="1:6" x14ac:dyDescent="0.15">
      <c r="A118" s="8" t="s">
        <v>523</v>
      </c>
      <c r="B118" s="8" t="s">
        <v>43</v>
      </c>
      <c r="C118" s="8" t="str">
        <f t="shared" si="2"/>
        <v>att_cellline:du145</v>
      </c>
      <c r="D118" s="8" t="s">
        <v>523</v>
      </c>
      <c r="E118" s="8" t="s">
        <v>524</v>
      </c>
      <c r="F118" s="8" t="s">
        <v>525</v>
      </c>
    </row>
    <row r="119" spans="1:6" x14ac:dyDescent="0.15">
      <c r="A119" s="8" t="s">
        <v>526</v>
      </c>
      <c r="B119" s="8" t="s">
        <v>43</v>
      </c>
      <c r="C119" s="8" t="str">
        <f t="shared" si="2"/>
        <v>att_cellline:ekvx</v>
      </c>
      <c r="D119" s="8" t="s">
        <v>526</v>
      </c>
      <c r="E119" s="8" t="s">
        <v>527</v>
      </c>
      <c r="F119" s="8" t="s">
        <v>501</v>
      </c>
    </row>
    <row r="120" spans="1:6" x14ac:dyDescent="0.15">
      <c r="A120" s="8" t="s">
        <v>528</v>
      </c>
      <c r="B120" s="8" t="s">
        <v>43</v>
      </c>
      <c r="C120" s="8" t="str">
        <f t="shared" si="2"/>
        <v>att_cellline:hcc2998</v>
      </c>
      <c r="D120" s="8" t="s">
        <v>528</v>
      </c>
      <c r="E120" s="8" t="s">
        <v>529</v>
      </c>
      <c r="F120" s="8" t="s">
        <v>519</v>
      </c>
    </row>
    <row r="121" spans="1:6" x14ac:dyDescent="0.15">
      <c r="A121" s="8" t="s">
        <v>530</v>
      </c>
      <c r="B121" s="8" t="s">
        <v>43</v>
      </c>
      <c r="C121" s="8" t="str">
        <f t="shared" si="2"/>
        <v>att_cellline:hct116</v>
      </c>
      <c r="D121" s="8" t="s">
        <v>530</v>
      </c>
      <c r="E121" s="8" t="s">
        <v>531</v>
      </c>
      <c r="F121" s="8" t="s">
        <v>519</v>
      </c>
    </row>
    <row r="122" spans="1:6" x14ac:dyDescent="0.15">
      <c r="A122" s="8" t="s">
        <v>532</v>
      </c>
      <c r="B122" s="8" t="s">
        <v>43</v>
      </c>
      <c r="C122" s="8" t="str">
        <f t="shared" si="2"/>
        <v>att_cellline:hct15</v>
      </c>
      <c r="D122" s="8" t="s">
        <v>532</v>
      </c>
      <c r="E122" s="8" t="s">
        <v>533</v>
      </c>
      <c r="F122" s="8" t="s">
        <v>519</v>
      </c>
    </row>
    <row r="123" spans="1:6" x14ac:dyDescent="0.15">
      <c r="A123" s="8" t="s">
        <v>534</v>
      </c>
      <c r="B123" s="8" t="s">
        <v>43</v>
      </c>
      <c r="C123" s="8" t="str">
        <f t="shared" si="2"/>
        <v>att_cellline:hek293</v>
      </c>
      <c r="D123" s="8" t="s">
        <v>534</v>
      </c>
      <c r="E123" s="8" t="s">
        <v>535</v>
      </c>
      <c r="F123" s="8" t="s">
        <v>536</v>
      </c>
    </row>
    <row r="124" spans="1:6" x14ac:dyDescent="0.15">
      <c r="A124" s="8" t="s">
        <v>537</v>
      </c>
      <c r="B124" s="8" t="s">
        <v>43</v>
      </c>
      <c r="C124" s="8" t="str">
        <f t="shared" si="2"/>
        <v>att_cellline:hek293t</v>
      </c>
      <c r="D124" s="8" t="s">
        <v>537</v>
      </c>
      <c r="E124" s="8" t="s">
        <v>538</v>
      </c>
      <c r="F124" s="8" t="s">
        <v>539</v>
      </c>
    </row>
    <row r="125" spans="1:6" x14ac:dyDescent="0.15">
      <c r="A125" s="8" t="s">
        <v>540</v>
      </c>
      <c r="B125" s="8" t="s">
        <v>43</v>
      </c>
      <c r="C125" s="8" t="str">
        <f t="shared" si="2"/>
        <v>att_cellline:hela</v>
      </c>
      <c r="D125" s="8" t="s">
        <v>540</v>
      </c>
      <c r="E125" s="8" t="s">
        <v>541</v>
      </c>
      <c r="F125" s="8" t="s">
        <v>542</v>
      </c>
    </row>
    <row r="126" spans="1:6" x14ac:dyDescent="0.15">
      <c r="A126" s="8" t="s">
        <v>543</v>
      </c>
      <c r="B126" s="8" t="s">
        <v>43</v>
      </c>
      <c r="C126" s="8" t="str">
        <f t="shared" si="2"/>
        <v>att_cellline:hl60</v>
      </c>
      <c r="D126" s="8" t="s">
        <v>543</v>
      </c>
      <c r="E126" s="8" t="s">
        <v>544</v>
      </c>
      <c r="F126" s="8" t="s">
        <v>522</v>
      </c>
    </row>
    <row r="127" spans="1:6" x14ac:dyDescent="0.15">
      <c r="A127" s="8" t="s">
        <v>545</v>
      </c>
      <c r="B127" s="8" t="s">
        <v>43</v>
      </c>
      <c r="C127" s="8" t="str">
        <f t="shared" si="2"/>
        <v>att_cellline:hop62</v>
      </c>
      <c r="D127" s="8" t="s">
        <v>545</v>
      </c>
      <c r="E127" s="8" t="s">
        <v>546</v>
      </c>
      <c r="F127" s="8" t="s">
        <v>501</v>
      </c>
    </row>
    <row r="128" spans="1:6" x14ac:dyDescent="0.15">
      <c r="A128" s="8" t="s">
        <v>547</v>
      </c>
      <c r="B128" s="8" t="s">
        <v>43</v>
      </c>
      <c r="C128" s="8" t="str">
        <f t="shared" si="2"/>
        <v>att_cellline:hop92</v>
      </c>
      <c r="D128" s="8" t="s">
        <v>547</v>
      </c>
      <c r="E128" s="8" t="s">
        <v>548</v>
      </c>
      <c r="F128" s="8" t="s">
        <v>501</v>
      </c>
    </row>
    <row r="129" spans="1:6" x14ac:dyDescent="0.15">
      <c r="A129" s="8" t="s">
        <v>549</v>
      </c>
      <c r="B129" s="8" t="s">
        <v>43</v>
      </c>
      <c r="C129" s="8" t="str">
        <f t="shared" si="2"/>
        <v>att_cellline:hs578t</v>
      </c>
      <c r="D129" s="8" t="s">
        <v>549</v>
      </c>
      <c r="E129" s="8" t="s">
        <v>550</v>
      </c>
      <c r="F129" s="8" t="s">
        <v>511</v>
      </c>
    </row>
    <row r="130" spans="1:6" x14ac:dyDescent="0.15">
      <c r="A130" s="8" t="s">
        <v>551</v>
      </c>
      <c r="B130" s="8" t="s">
        <v>43</v>
      </c>
      <c r="C130" s="8" t="str">
        <f t="shared" si="2"/>
        <v>att_cellline:ht29</v>
      </c>
      <c r="D130" s="8" t="s">
        <v>551</v>
      </c>
      <c r="E130" s="8" t="s">
        <v>552</v>
      </c>
      <c r="F130" s="8" t="s">
        <v>519</v>
      </c>
    </row>
    <row r="131" spans="1:6" x14ac:dyDescent="0.15">
      <c r="A131" s="8" t="s">
        <v>553</v>
      </c>
      <c r="B131" s="8" t="s">
        <v>43</v>
      </c>
      <c r="C131" s="8" t="str">
        <f t="shared" ref="C131:C196" si="3">B131&amp;":"&amp;A131</f>
        <v>att_cellline:igrov1</v>
      </c>
      <c r="D131" s="8" t="s">
        <v>553</v>
      </c>
      <c r="E131" s="8" t="s">
        <v>554</v>
      </c>
      <c r="F131" s="8" t="s">
        <v>555</v>
      </c>
    </row>
    <row r="132" spans="1:6" x14ac:dyDescent="0.15">
      <c r="A132" s="8" t="s">
        <v>556</v>
      </c>
      <c r="B132" s="8" t="s">
        <v>43</v>
      </c>
      <c r="C132" s="8" t="str">
        <f t="shared" si="3"/>
        <v>att_cellline:immmef</v>
      </c>
      <c r="D132" s="8" t="s">
        <v>556</v>
      </c>
      <c r="E132" s="8" t="s">
        <v>557</v>
      </c>
      <c r="F132" s="8" t="s">
        <v>558</v>
      </c>
    </row>
    <row r="133" spans="1:6" x14ac:dyDescent="0.15">
      <c r="A133" s="8" t="s">
        <v>559</v>
      </c>
      <c r="B133" s="8" t="s">
        <v>43</v>
      </c>
      <c r="C133" s="8" t="str">
        <f t="shared" si="3"/>
        <v>att_cellline:jeko1</v>
      </c>
      <c r="D133" s="8" t="s">
        <v>559</v>
      </c>
      <c r="E133" s="8" t="s">
        <v>560</v>
      </c>
      <c r="F133" s="8" t="s">
        <v>561</v>
      </c>
    </row>
    <row r="134" spans="1:6" x14ac:dyDescent="0.15">
      <c r="A134" s="8" t="s">
        <v>562</v>
      </c>
      <c r="B134" s="8" t="s">
        <v>43</v>
      </c>
      <c r="C134" s="8" t="str">
        <f t="shared" si="3"/>
        <v>att_cellline:jurkat</v>
      </c>
      <c r="D134" s="8" t="s">
        <v>562</v>
      </c>
      <c r="E134" s="8" t="s">
        <v>563</v>
      </c>
      <c r="F134" s="8" t="s">
        <v>564</v>
      </c>
    </row>
    <row r="135" spans="1:6" x14ac:dyDescent="0.15">
      <c r="A135" s="8" t="s">
        <v>565</v>
      </c>
      <c r="B135" s="8" t="s">
        <v>43</v>
      </c>
      <c r="C135" s="8" t="str">
        <f t="shared" si="3"/>
        <v>att_cellline:jvm13</v>
      </c>
      <c r="D135" s="8" t="s">
        <v>565</v>
      </c>
      <c r="E135" s="8" t="s">
        <v>566</v>
      </c>
      <c r="F135" s="8" t="s">
        <v>561</v>
      </c>
    </row>
    <row r="136" spans="1:6" x14ac:dyDescent="0.15">
      <c r="A136" s="8" t="s">
        <v>567</v>
      </c>
      <c r="B136" s="8" t="s">
        <v>43</v>
      </c>
      <c r="C136" s="8" t="str">
        <f t="shared" si="3"/>
        <v>att_cellline:jvm2</v>
      </c>
      <c r="D136" s="8" t="s">
        <v>567</v>
      </c>
      <c r="E136" s="8" t="s">
        <v>568</v>
      </c>
      <c r="F136" s="8" t="s">
        <v>561</v>
      </c>
    </row>
    <row r="137" spans="1:6" x14ac:dyDescent="0.15">
      <c r="A137" s="8" t="s">
        <v>569</v>
      </c>
      <c r="B137" s="8" t="s">
        <v>43</v>
      </c>
      <c r="C137" s="8" t="str">
        <f t="shared" si="3"/>
        <v>att_cellline:k562</v>
      </c>
      <c r="D137" s="8" t="s">
        <v>569</v>
      </c>
      <c r="E137" s="8" t="s">
        <v>570</v>
      </c>
      <c r="F137" s="8" t="s">
        <v>522</v>
      </c>
    </row>
    <row r="138" spans="1:6" x14ac:dyDescent="0.15">
      <c r="A138" s="8" t="s">
        <v>571</v>
      </c>
      <c r="B138" s="8" t="s">
        <v>43</v>
      </c>
      <c r="C138" s="8" t="str">
        <f t="shared" si="3"/>
        <v>att_cellline:km12</v>
      </c>
      <c r="D138" s="8" t="s">
        <v>571</v>
      </c>
      <c r="E138" s="8" t="s">
        <v>572</v>
      </c>
      <c r="F138" s="8" t="s">
        <v>519</v>
      </c>
    </row>
    <row r="139" spans="1:6" x14ac:dyDescent="0.15">
      <c r="A139" s="8" t="s">
        <v>573</v>
      </c>
      <c r="B139" s="8" t="s">
        <v>43</v>
      </c>
      <c r="C139" s="8" t="str">
        <f t="shared" si="3"/>
        <v>att_cellline:lox_imvi</v>
      </c>
      <c r="D139" s="8" t="s">
        <v>573</v>
      </c>
      <c r="E139" s="8" t="s">
        <v>574</v>
      </c>
      <c r="F139" s="8" t="s">
        <v>575</v>
      </c>
    </row>
    <row r="140" spans="1:6" x14ac:dyDescent="0.15">
      <c r="A140" s="8" t="s">
        <v>576</v>
      </c>
      <c r="B140" s="8" t="s">
        <v>43</v>
      </c>
      <c r="C140" s="8" t="str">
        <f t="shared" si="3"/>
        <v>att_cellline:m14</v>
      </c>
      <c r="D140" s="8" t="s">
        <v>576</v>
      </c>
      <c r="E140" s="8" t="s">
        <v>577</v>
      </c>
      <c r="F140" s="8" t="s">
        <v>575</v>
      </c>
    </row>
    <row r="141" spans="1:6" x14ac:dyDescent="0.15">
      <c r="A141" s="8" t="s">
        <v>578</v>
      </c>
      <c r="B141" s="8" t="s">
        <v>43</v>
      </c>
      <c r="C141" s="8" t="str">
        <f t="shared" si="3"/>
        <v>att_cellline:malme3m</v>
      </c>
      <c r="D141" s="8" t="s">
        <v>578</v>
      </c>
      <c r="E141" s="8" t="s">
        <v>579</v>
      </c>
      <c r="F141" s="8" t="s">
        <v>575</v>
      </c>
    </row>
    <row r="142" spans="1:6" x14ac:dyDescent="0.15">
      <c r="A142" s="8" t="s">
        <v>580</v>
      </c>
      <c r="B142" s="8" t="s">
        <v>43</v>
      </c>
      <c r="C142" s="8" t="str">
        <f t="shared" si="3"/>
        <v>att_cellline:maver1</v>
      </c>
      <c r="D142" s="8" t="s">
        <v>580</v>
      </c>
      <c r="E142" s="8" t="s">
        <v>581</v>
      </c>
      <c r="F142" s="8" t="s">
        <v>561</v>
      </c>
    </row>
    <row r="143" spans="1:6" x14ac:dyDescent="0.15">
      <c r="A143" s="8" t="s">
        <v>582</v>
      </c>
      <c r="B143" s="8" t="s">
        <v>43</v>
      </c>
      <c r="C143" s="8" t="str">
        <f t="shared" si="3"/>
        <v>att_cellline:mcf7</v>
      </c>
      <c r="D143" s="8" t="s">
        <v>582</v>
      </c>
      <c r="E143" s="8" t="s">
        <v>583</v>
      </c>
      <c r="F143" s="8" t="s">
        <v>511</v>
      </c>
    </row>
    <row r="144" spans="1:6" x14ac:dyDescent="0.15">
      <c r="A144" s="8" t="s">
        <v>584</v>
      </c>
      <c r="B144" s="8" t="s">
        <v>43</v>
      </c>
      <c r="C144" s="8" t="str">
        <f t="shared" si="3"/>
        <v>att_cellline:mdamb231</v>
      </c>
      <c r="D144" s="8" t="s">
        <v>584</v>
      </c>
      <c r="E144" s="8" t="s">
        <v>585</v>
      </c>
      <c r="F144" s="8" t="s">
        <v>511</v>
      </c>
    </row>
    <row r="145" spans="1:6" x14ac:dyDescent="0.15">
      <c r="A145" s="8" t="s">
        <v>586</v>
      </c>
      <c r="B145" s="8" t="s">
        <v>43</v>
      </c>
      <c r="C145" s="8" t="str">
        <f t="shared" si="3"/>
        <v>att_cellline:mdamb435</v>
      </c>
      <c r="D145" s="8" t="s">
        <v>586</v>
      </c>
      <c r="E145" s="8" t="s">
        <v>587</v>
      </c>
      <c r="F145" s="8" t="s">
        <v>575</v>
      </c>
    </row>
    <row r="146" spans="1:6" x14ac:dyDescent="0.15">
      <c r="A146" s="8" t="s">
        <v>588</v>
      </c>
      <c r="B146" s="8" t="s">
        <v>43</v>
      </c>
      <c r="C146" s="8" t="str">
        <f t="shared" si="3"/>
        <v>att_cellline:mdamb468</v>
      </c>
      <c r="D146" s="8" t="s">
        <v>588</v>
      </c>
      <c r="E146" s="8" t="s">
        <v>589</v>
      </c>
      <c r="F146" s="8" t="s">
        <v>511</v>
      </c>
    </row>
    <row r="147" spans="1:6" x14ac:dyDescent="0.15">
      <c r="A147" s="8" t="s">
        <v>590</v>
      </c>
      <c r="B147" s="8" t="s">
        <v>43</v>
      </c>
      <c r="C147" s="8" t="str">
        <f t="shared" si="3"/>
        <v>att_cellline:mef</v>
      </c>
      <c r="D147" s="8" t="s">
        <v>590</v>
      </c>
      <c r="E147" s="8" t="s">
        <v>591</v>
      </c>
      <c r="F147" s="8" t="s">
        <v>592</v>
      </c>
    </row>
    <row r="148" spans="1:6" x14ac:dyDescent="0.15">
      <c r="A148" s="8" t="s">
        <v>593</v>
      </c>
      <c r="B148" s="8" t="s">
        <v>43</v>
      </c>
      <c r="C148" s="8" t="str">
        <f t="shared" si="3"/>
        <v>att_cellline:mino</v>
      </c>
      <c r="D148" s="8" t="s">
        <v>593</v>
      </c>
      <c r="E148" s="8" t="s">
        <v>594</v>
      </c>
      <c r="F148" s="8" t="s">
        <v>561</v>
      </c>
    </row>
    <row r="149" spans="1:6" x14ac:dyDescent="0.15">
      <c r="A149" s="8" t="s">
        <v>595</v>
      </c>
      <c r="B149" s="8" t="s">
        <v>43</v>
      </c>
      <c r="C149" s="8" t="str">
        <f t="shared" si="3"/>
        <v>att_cellline:molt4</v>
      </c>
      <c r="D149" s="8" t="s">
        <v>595</v>
      </c>
      <c r="E149" s="8" t="s">
        <v>596</v>
      </c>
      <c r="F149" s="8" t="s">
        <v>522</v>
      </c>
    </row>
    <row r="150" spans="1:6" x14ac:dyDescent="0.15">
      <c r="A150" s="8" t="s">
        <v>597</v>
      </c>
      <c r="B150" s="8" t="s">
        <v>43</v>
      </c>
      <c r="C150" s="8" t="str">
        <f t="shared" si="3"/>
        <v>att_cellline:nceb1</v>
      </c>
      <c r="D150" s="8" t="s">
        <v>597</v>
      </c>
      <c r="E150" s="8" t="s">
        <v>598</v>
      </c>
      <c r="F150" s="8" t="s">
        <v>561</v>
      </c>
    </row>
    <row r="151" spans="1:6" x14ac:dyDescent="0.15">
      <c r="A151" s="8" t="s">
        <v>599</v>
      </c>
      <c r="B151" s="8" t="s">
        <v>43</v>
      </c>
      <c r="C151" s="8" t="str">
        <f t="shared" si="3"/>
        <v>att_cellline:nci_adrres</v>
      </c>
      <c r="D151" s="8" t="s">
        <v>600</v>
      </c>
      <c r="E151" s="8" t="s">
        <v>601</v>
      </c>
      <c r="F151" s="8" t="s">
        <v>555</v>
      </c>
    </row>
    <row r="152" spans="1:6" x14ac:dyDescent="0.15">
      <c r="A152" s="8" t="s">
        <v>602</v>
      </c>
      <c r="B152" s="8" t="s">
        <v>43</v>
      </c>
      <c r="C152" s="8" t="str">
        <f t="shared" si="3"/>
        <v>att_cellline:nci_h226</v>
      </c>
      <c r="D152" s="8" t="s">
        <v>603</v>
      </c>
      <c r="E152" s="8" t="s">
        <v>604</v>
      </c>
      <c r="F152" s="8" t="s">
        <v>501</v>
      </c>
    </row>
    <row r="153" spans="1:6" x14ac:dyDescent="0.15">
      <c r="A153" s="8" t="s">
        <v>605</v>
      </c>
      <c r="B153" s="8" t="s">
        <v>43</v>
      </c>
      <c r="C153" s="8" t="str">
        <f t="shared" si="3"/>
        <v>att_cellline:nci_h23</v>
      </c>
      <c r="D153" s="8" t="s">
        <v>606</v>
      </c>
      <c r="E153" s="8" t="s">
        <v>607</v>
      </c>
      <c r="F153" s="8" t="s">
        <v>501</v>
      </c>
    </row>
    <row r="154" spans="1:6" x14ac:dyDescent="0.15">
      <c r="A154" s="8" t="s">
        <v>608</v>
      </c>
      <c r="B154" s="8" t="s">
        <v>43</v>
      </c>
      <c r="C154" s="8" t="str">
        <f t="shared" si="3"/>
        <v>att_cellline:nci_h322m</v>
      </c>
      <c r="D154" s="8" t="s">
        <v>609</v>
      </c>
      <c r="E154" s="8" t="s">
        <v>610</v>
      </c>
      <c r="F154" s="8" t="s">
        <v>501</v>
      </c>
    </row>
    <row r="155" spans="1:6" x14ac:dyDescent="0.15">
      <c r="A155" s="8" t="s">
        <v>611</v>
      </c>
      <c r="B155" s="8" t="s">
        <v>43</v>
      </c>
      <c r="C155" s="8" t="str">
        <f t="shared" si="3"/>
        <v>att_cellline:nci_h460</v>
      </c>
      <c r="D155" s="8" t="s">
        <v>612</v>
      </c>
      <c r="E155" s="8" t="s">
        <v>613</v>
      </c>
      <c r="F155" s="8" t="s">
        <v>501</v>
      </c>
    </row>
    <row r="156" spans="1:6" x14ac:dyDescent="0.15">
      <c r="A156" s="8" t="s">
        <v>614</v>
      </c>
      <c r="B156" s="8" t="s">
        <v>43</v>
      </c>
      <c r="C156" s="8" t="str">
        <f t="shared" si="3"/>
        <v>att_cellline:nci_h522</v>
      </c>
      <c r="D156" s="8" t="s">
        <v>615</v>
      </c>
      <c r="E156" s="8" t="s">
        <v>616</v>
      </c>
      <c r="F156" s="8" t="s">
        <v>501</v>
      </c>
    </row>
    <row r="157" spans="1:6" x14ac:dyDescent="0.15">
      <c r="A157" s="8" t="s">
        <v>617</v>
      </c>
      <c r="B157" s="8" t="s">
        <v>43</v>
      </c>
      <c r="C157" s="8" t="str">
        <f t="shared" si="3"/>
        <v>att_cellline:ovcar3</v>
      </c>
      <c r="D157" s="8" t="s">
        <v>617</v>
      </c>
      <c r="E157" s="8" t="s">
        <v>618</v>
      </c>
      <c r="F157" s="8" t="s">
        <v>555</v>
      </c>
    </row>
    <row r="158" spans="1:6" x14ac:dyDescent="0.15">
      <c r="A158" s="8" t="s">
        <v>619</v>
      </c>
      <c r="B158" s="8" t="s">
        <v>43</v>
      </c>
      <c r="C158" s="8" t="str">
        <f t="shared" si="3"/>
        <v>att_cellline:ovcar4</v>
      </c>
      <c r="D158" s="8" t="s">
        <v>619</v>
      </c>
      <c r="E158" s="8" t="s">
        <v>620</v>
      </c>
      <c r="F158" s="8" t="s">
        <v>555</v>
      </c>
    </row>
    <row r="159" spans="1:6" x14ac:dyDescent="0.15">
      <c r="A159" s="8" t="s">
        <v>621</v>
      </c>
      <c r="B159" s="8" t="s">
        <v>43</v>
      </c>
      <c r="C159" s="8" t="str">
        <f t="shared" si="3"/>
        <v>att_cellline:ovcar5</v>
      </c>
      <c r="D159" s="8" t="s">
        <v>621</v>
      </c>
      <c r="E159" s="8" t="s">
        <v>622</v>
      </c>
      <c r="F159" s="8" t="s">
        <v>555</v>
      </c>
    </row>
    <row r="160" spans="1:6" x14ac:dyDescent="0.15">
      <c r="A160" s="8" t="s">
        <v>623</v>
      </c>
      <c r="B160" s="8" t="s">
        <v>43</v>
      </c>
      <c r="C160" s="8" t="str">
        <f t="shared" si="3"/>
        <v>att_cellline:ovcar8</v>
      </c>
      <c r="D160" s="8" t="s">
        <v>623</v>
      </c>
      <c r="E160" s="8" t="s">
        <v>624</v>
      </c>
      <c r="F160" s="8" t="s">
        <v>555</v>
      </c>
    </row>
    <row r="161" spans="1:6" x14ac:dyDescent="0.15">
      <c r="A161" s="8" t="s">
        <v>625</v>
      </c>
      <c r="B161" s="8" t="s">
        <v>43</v>
      </c>
      <c r="C161" s="8" t="str">
        <f t="shared" si="3"/>
        <v>att_cellline:p388</v>
      </c>
      <c r="D161" s="8" t="s">
        <v>625</v>
      </c>
      <c r="E161" s="8" t="s">
        <v>626</v>
      </c>
      <c r="F161" s="8" t="s">
        <v>627</v>
      </c>
    </row>
    <row r="162" spans="1:6" x14ac:dyDescent="0.15">
      <c r="A162" s="8" t="s">
        <v>628</v>
      </c>
      <c r="B162" s="8" t="s">
        <v>43</v>
      </c>
      <c r="C162" s="8" t="str">
        <f t="shared" si="3"/>
        <v>att_cellline:pc3</v>
      </c>
      <c r="D162" s="8" t="s">
        <v>628</v>
      </c>
      <c r="E162" s="8" t="s">
        <v>629</v>
      </c>
      <c r="F162" s="8" t="s">
        <v>525</v>
      </c>
    </row>
    <row r="163" spans="1:6" x14ac:dyDescent="0.15">
      <c r="A163" s="8" t="s">
        <v>630</v>
      </c>
      <c r="B163" s="8" t="s">
        <v>43</v>
      </c>
      <c r="C163" s="8" t="str">
        <f t="shared" si="3"/>
        <v>att_cellline:rec1</v>
      </c>
      <c r="D163" s="8" t="s">
        <v>630</v>
      </c>
      <c r="E163" s="8" t="s">
        <v>631</v>
      </c>
      <c r="F163" s="8" t="s">
        <v>561</v>
      </c>
    </row>
    <row r="164" spans="1:6" x14ac:dyDescent="0.15">
      <c r="A164" s="8" t="s">
        <v>632</v>
      </c>
      <c r="B164" s="8" t="s">
        <v>43</v>
      </c>
      <c r="C164" s="8" t="str">
        <f t="shared" si="3"/>
        <v>att_cellline:rpmi8226</v>
      </c>
      <c r="D164" s="8" t="s">
        <v>632</v>
      </c>
      <c r="E164" s="8" t="s">
        <v>633</v>
      </c>
      <c r="F164" s="8" t="s">
        <v>522</v>
      </c>
    </row>
    <row r="165" spans="1:6" x14ac:dyDescent="0.15">
      <c r="A165" s="8" t="s">
        <v>634</v>
      </c>
      <c r="B165" s="8" t="s">
        <v>43</v>
      </c>
      <c r="C165" s="8" t="str">
        <f t="shared" si="3"/>
        <v>att_cellline:rxf393</v>
      </c>
      <c r="D165" s="8" t="s">
        <v>634</v>
      </c>
      <c r="E165" s="8" t="s">
        <v>635</v>
      </c>
      <c r="F165" s="8" t="s">
        <v>496</v>
      </c>
    </row>
    <row r="166" spans="1:6" x14ac:dyDescent="0.15">
      <c r="A166" s="8" t="s">
        <v>636</v>
      </c>
      <c r="B166" s="8" t="s">
        <v>43</v>
      </c>
      <c r="C166" s="8" t="str">
        <f t="shared" si="3"/>
        <v>att_cellline:sf268</v>
      </c>
      <c r="D166" s="8" t="s">
        <v>636</v>
      </c>
      <c r="E166" s="8" t="s">
        <v>637</v>
      </c>
      <c r="F166" s="8" t="s">
        <v>638</v>
      </c>
    </row>
    <row r="167" spans="1:6" x14ac:dyDescent="0.15">
      <c r="A167" s="8" t="s">
        <v>639</v>
      </c>
      <c r="B167" s="8" t="s">
        <v>43</v>
      </c>
      <c r="C167" s="8" t="str">
        <f t="shared" si="3"/>
        <v>att_cellline:sf295</v>
      </c>
      <c r="D167" s="8" t="s">
        <v>639</v>
      </c>
      <c r="E167" s="8" t="s">
        <v>640</v>
      </c>
      <c r="F167" s="8" t="s">
        <v>638</v>
      </c>
    </row>
    <row r="168" spans="1:6" x14ac:dyDescent="0.15">
      <c r="A168" s="8" t="s">
        <v>641</v>
      </c>
      <c r="B168" s="8" t="s">
        <v>43</v>
      </c>
      <c r="C168" s="8" t="str">
        <f t="shared" si="3"/>
        <v>att_cellline:sf539</v>
      </c>
      <c r="D168" s="8" t="s">
        <v>641</v>
      </c>
      <c r="E168" s="8" t="s">
        <v>642</v>
      </c>
      <c r="F168" s="8" t="s">
        <v>638</v>
      </c>
    </row>
    <row r="169" spans="1:6" x14ac:dyDescent="0.15">
      <c r="A169" s="8" t="s">
        <v>643</v>
      </c>
      <c r="B169" s="8" t="s">
        <v>43</v>
      </c>
      <c r="C169" s="8" t="str">
        <f t="shared" si="3"/>
        <v>att_cellline:skmel2</v>
      </c>
      <c r="D169" s="8" t="s">
        <v>643</v>
      </c>
      <c r="E169" s="8" t="s">
        <v>644</v>
      </c>
      <c r="F169" s="8" t="s">
        <v>575</v>
      </c>
    </row>
    <row r="170" spans="1:6" x14ac:dyDescent="0.15">
      <c r="A170" s="8" t="s">
        <v>645</v>
      </c>
      <c r="B170" s="8" t="s">
        <v>43</v>
      </c>
      <c r="C170" s="8" t="str">
        <f t="shared" si="3"/>
        <v>att_cellline:skmel28</v>
      </c>
      <c r="D170" s="8" t="s">
        <v>645</v>
      </c>
      <c r="E170" s="8" t="s">
        <v>646</v>
      </c>
      <c r="F170" s="8" t="s">
        <v>575</v>
      </c>
    </row>
    <row r="171" spans="1:6" x14ac:dyDescent="0.15">
      <c r="A171" s="8" t="s">
        <v>647</v>
      </c>
      <c r="B171" s="8" t="s">
        <v>43</v>
      </c>
      <c r="C171" s="8" t="str">
        <f t="shared" si="3"/>
        <v>att_cellline:skmel5</v>
      </c>
      <c r="D171" s="8" t="s">
        <v>647</v>
      </c>
      <c r="E171" s="8" t="s">
        <v>648</v>
      </c>
      <c r="F171" s="8" t="s">
        <v>575</v>
      </c>
    </row>
    <row r="172" spans="1:6" x14ac:dyDescent="0.15">
      <c r="A172" s="8" t="s">
        <v>649</v>
      </c>
      <c r="B172" s="8" t="s">
        <v>43</v>
      </c>
      <c r="C172" s="8" t="str">
        <f t="shared" si="3"/>
        <v>att_cellline:skov3</v>
      </c>
      <c r="D172" s="8" t="s">
        <v>649</v>
      </c>
      <c r="E172" s="8" t="s">
        <v>650</v>
      </c>
      <c r="F172" s="8" t="s">
        <v>555</v>
      </c>
    </row>
    <row r="173" spans="1:6" x14ac:dyDescent="0.15">
      <c r="A173" s="8" t="s">
        <v>651</v>
      </c>
      <c r="B173" s="8" t="s">
        <v>43</v>
      </c>
      <c r="C173" s="8" t="str">
        <f t="shared" si="3"/>
        <v>att_cellline:sn12c</v>
      </c>
      <c r="D173" s="8" t="s">
        <v>651</v>
      </c>
      <c r="E173" s="8" t="s">
        <v>652</v>
      </c>
      <c r="F173" s="8" t="s">
        <v>496</v>
      </c>
    </row>
    <row r="174" spans="1:6" x14ac:dyDescent="0.15">
      <c r="A174" s="8" t="s">
        <v>653</v>
      </c>
      <c r="B174" s="8" t="s">
        <v>43</v>
      </c>
      <c r="C174" s="8" t="str">
        <f t="shared" si="3"/>
        <v>att_cellline:snb19</v>
      </c>
      <c r="D174" s="8" t="s">
        <v>653</v>
      </c>
      <c r="E174" s="8" t="s">
        <v>654</v>
      </c>
      <c r="F174" s="8" t="s">
        <v>638</v>
      </c>
    </row>
    <row r="175" spans="1:6" x14ac:dyDescent="0.15">
      <c r="A175" s="8" t="s">
        <v>655</v>
      </c>
      <c r="B175" s="8" t="s">
        <v>43</v>
      </c>
      <c r="C175" s="8" t="str">
        <f t="shared" si="3"/>
        <v>att_cellline:snb75</v>
      </c>
      <c r="D175" s="8" t="s">
        <v>655</v>
      </c>
      <c r="E175" s="8" t="s">
        <v>656</v>
      </c>
      <c r="F175" s="8" t="s">
        <v>638</v>
      </c>
    </row>
    <row r="176" spans="1:6" x14ac:dyDescent="0.15">
      <c r="A176" s="8" t="s">
        <v>657</v>
      </c>
      <c r="B176" s="8" t="s">
        <v>43</v>
      </c>
      <c r="C176" s="8" t="str">
        <f t="shared" si="3"/>
        <v>att_cellline:sr</v>
      </c>
      <c r="D176" s="8" t="s">
        <v>657</v>
      </c>
      <c r="E176" s="8" t="s">
        <v>658</v>
      </c>
      <c r="F176" s="8" t="s">
        <v>522</v>
      </c>
    </row>
    <row r="177" spans="1:6" x14ac:dyDescent="0.15">
      <c r="A177" s="8" t="s">
        <v>659</v>
      </c>
      <c r="B177" s="8" t="s">
        <v>43</v>
      </c>
      <c r="C177" s="8" t="str">
        <f t="shared" si="3"/>
        <v>att_cellline:sw620</v>
      </c>
      <c r="D177" s="8" t="s">
        <v>659</v>
      </c>
      <c r="E177" s="8" t="s">
        <v>660</v>
      </c>
      <c r="F177" s="8" t="s">
        <v>519</v>
      </c>
    </row>
    <row r="178" spans="1:6" x14ac:dyDescent="0.15">
      <c r="A178" s="8" t="s">
        <v>661</v>
      </c>
      <c r="B178" s="8" t="s">
        <v>43</v>
      </c>
      <c r="C178" s="8" t="str">
        <f t="shared" si="3"/>
        <v>att_cellline:t47d</v>
      </c>
      <c r="D178" s="8" t="s">
        <v>661</v>
      </c>
      <c r="E178" s="8" t="s">
        <v>662</v>
      </c>
      <c r="F178" s="8" t="s">
        <v>511</v>
      </c>
    </row>
    <row r="179" spans="1:6" x14ac:dyDescent="0.15">
      <c r="A179" s="8" t="s">
        <v>663</v>
      </c>
      <c r="B179" s="8" t="s">
        <v>43</v>
      </c>
      <c r="C179" s="8" t="str">
        <f t="shared" si="3"/>
        <v>att_cellline:thp1</v>
      </c>
      <c r="D179" s="8" t="s">
        <v>663</v>
      </c>
      <c r="E179" s="8" t="s">
        <v>664</v>
      </c>
      <c r="F179" s="8" t="s">
        <v>665</v>
      </c>
    </row>
    <row r="180" spans="1:6" x14ac:dyDescent="0.15">
      <c r="A180" s="8" t="s">
        <v>666</v>
      </c>
      <c r="B180" s="8" t="s">
        <v>43</v>
      </c>
      <c r="C180" s="8" t="str">
        <f t="shared" si="3"/>
        <v>att_cellline:tk10</v>
      </c>
      <c r="D180" s="8" t="s">
        <v>666</v>
      </c>
      <c r="E180" s="8" t="s">
        <v>667</v>
      </c>
      <c r="F180" s="8" t="s">
        <v>496</v>
      </c>
    </row>
    <row r="181" spans="1:6" x14ac:dyDescent="0.15">
      <c r="A181" s="8" t="s">
        <v>668</v>
      </c>
      <c r="B181" s="8" t="s">
        <v>43</v>
      </c>
      <c r="C181" s="8" t="str">
        <f t="shared" si="3"/>
        <v>att_cellline:u251</v>
      </c>
      <c r="D181" s="8" t="s">
        <v>668</v>
      </c>
      <c r="E181" s="8" t="s">
        <v>669</v>
      </c>
      <c r="F181" s="8" t="s">
        <v>638</v>
      </c>
    </row>
    <row r="182" spans="1:6" x14ac:dyDescent="0.15">
      <c r="A182" s="8" t="s">
        <v>670</v>
      </c>
      <c r="B182" s="8" t="s">
        <v>43</v>
      </c>
      <c r="C182" s="8" t="str">
        <f t="shared" si="3"/>
        <v>att_cellline:u937</v>
      </c>
      <c r="D182" s="8" t="s">
        <v>670</v>
      </c>
      <c r="E182" s="8" t="s">
        <v>671</v>
      </c>
      <c r="F182" s="8" t="s">
        <v>672</v>
      </c>
    </row>
    <row r="183" spans="1:6" x14ac:dyDescent="0.15">
      <c r="A183" s="8" t="s">
        <v>673</v>
      </c>
      <c r="B183" s="8" t="s">
        <v>43</v>
      </c>
      <c r="C183" s="8" t="str">
        <f t="shared" si="3"/>
        <v>att_cellline:uacc257</v>
      </c>
      <c r="D183" s="8" t="s">
        <v>673</v>
      </c>
      <c r="E183" s="8" t="s">
        <v>674</v>
      </c>
      <c r="F183" s="8" t="s">
        <v>575</v>
      </c>
    </row>
    <row r="184" spans="1:6" x14ac:dyDescent="0.15">
      <c r="A184" s="8" t="s">
        <v>675</v>
      </c>
      <c r="B184" s="8" t="s">
        <v>43</v>
      </c>
      <c r="C184" s="8" t="str">
        <f t="shared" si="3"/>
        <v>att_cellline:uacc62</v>
      </c>
      <c r="D184" s="8" t="s">
        <v>675</v>
      </c>
      <c r="E184" s="8" t="s">
        <v>676</v>
      </c>
      <c r="F184" s="8" t="s">
        <v>575</v>
      </c>
    </row>
    <row r="185" spans="1:6" x14ac:dyDescent="0.15">
      <c r="A185" s="8" t="s">
        <v>677</v>
      </c>
      <c r="B185" s="8" t="s">
        <v>43</v>
      </c>
      <c r="C185" s="8" t="str">
        <f t="shared" si="3"/>
        <v>att_cellline:uo31</v>
      </c>
      <c r="D185" s="8" t="s">
        <v>677</v>
      </c>
      <c r="E185" s="8" t="s">
        <v>678</v>
      </c>
      <c r="F185" s="8" t="s">
        <v>496</v>
      </c>
    </row>
    <row r="186" spans="1:6" x14ac:dyDescent="0.15">
      <c r="A186" s="8" t="s">
        <v>679</v>
      </c>
      <c r="B186" s="8" t="s">
        <v>43</v>
      </c>
      <c r="C186" s="8" t="str">
        <f t="shared" si="3"/>
        <v>att_cellline:z138</v>
      </c>
      <c r="D186" s="8" t="s">
        <v>679</v>
      </c>
      <c r="E186" s="8" t="s">
        <v>680</v>
      </c>
      <c r="F186" s="8" t="s">
        <v>561</v>
      </c>
    </row>
    <row r="187" spans="1:6" x14ac:dyDescent="0.15">
      <c r="A187" s="8" t="s">
        <v>681</v>
      </c>
      <c r="B187" s="8" t="s">
        <v>52</v>
      </c>
      <c r="C187" s="8" t="str">
        <f t="shared" si="3"/>
        <v>att_column_inner_diameter:75um</v>
      </c>
      <c r="D187" s="9" t="s">
        <v>17</v>
      </c>
      <c r="E187" s="8">
        <v>75</v>
      </c>
      <c r="F187" s="8" t="s">
        <v>682</v>
      </c>
    </row>
    <row r="188" spans="1:6" x14ac:dyDescent="0.15">
      <c r="A188" s="8" t="s">
        <v>683</v>
      </c>
      <c r="B188" s="8" t="s">
        <v>56</v>
      </c>
      <c r="C188" s="8" t="str">
        <f t="shared" si="3"/>
        <v>att_column_length:15cm</v>
      </c>
      <c r="D188" s="8" t="s">
        <v>683</v>
      </c>
      <c r="E188" s="8">
        <v>15</v>
      </c>
      <c r="F188" s="8" t="s">
        <v>684</v>
      </c>
    </row>
    <row r="189" spans="1:6" x14ac:dyDescent="0.15">
      <c r="A189" s="8" t="s">
        <v>685</v>
      </c>
      <c r="B189" s="8" t="s">
        <v>56</v>
      </c>
      <c r="C189" s="8" t="str">
        <f t="shared" si="3"/>
        <v>att_column_length:30cm</v>
      </c>
      <c r="D189" s="8" t="s">
        <v>685</v>
      </c>
      <c r="E189" s="8">
        <v>30</v>
      </c>
      <c r="F189" s="8" t="s">
        <v>686</v>
      </c>
    </row>
    <row r="190" spans="1:6" x14ac:dyDescent="0.15">
      <c r="A190" s="8" t="s">
        <v>687</v>
      </c>
      <c r="B190" s="8" t="s">
        <v>56</v>
      </c>
      <c r="C190" s="8" t="str">
        <f t="shared" si="3"/>
        <v>att_column_length:50cm</v>
      </c>
      <c r="D190" s="8" t="s">
        <v>687</v>
      </c>
      <c r="E190" s="8">
        <v>50</v>
      </c>
      <c r="F190" s="8" t="s">
        <v>688</v>
      </c>
    </row>
    <row r="191" spans="1:6" x14ac:dyDescent="0.15">
      <c r="A191" s="8" t="s">
        <v>689</v>
      </c>
      <c r="B191" s="8" t="s">
        <v>56</v>
      </c>
      <c r="C191" s="8" t="str">
        <f t="shared" si="3"/>
        <v>att_column_length:5cm</v>
      </c>
      <c r="D191" s="8" t="s">
        <v>689</v>
      </c>
      <c r="E191" s="8">
        <v>5</v>
      </c>
      <c r="F191" s="8" t="s">
        <v>3082</v>
      </c>
    </row>
    <row r="192" spans="1:6" x14ac:dyDescent="0.15">
      <c r="A192" s="8" t="s">
        <v>3081</v>
      </c>
      <c r="B192" s="8" t="s">
        <v>56</v>
      </c>
      <c r="C192" s="8" t="str">
        <f t="shared" ref="C192:C193" si="4">B192&amp;":"&amp;A192</f>
        <v>att_column_length:40cm</v>
      </c>
      <c r="D192" s="8">
        <v>40</v>
      </c>
      <c r="E192" s="8">
        <v>40</v>
      </c>
      <c r="F192" s="8" t="s">
        <v>3083</v>
      </c>
    </row>
    <row r="193" spans="1:6" x14ac:dyDescent="0.15">
      <c r="A193" s="8" t="s">
        <v>3192</v>
      </c>
      <c r="B193" s="8" t="s">
        <v>56</v>
      </c>
      <c r="C193" s="8" t="str">
        <f t="shared" si="4"/>
        <v>att_column_length:60cm</v>
      </c>
      <c r="D193" s="8" t="s">
        <v>3192</v>
      </c>
      <c r="E193" s="8">
        <v>60</v>
      </c>
      <c r="F193" s="8" t="s">
        <v>3193</v>
      </c>
    </row>
    <row r="194" spans="1:6" x14ac:dyDescent="0.15">
      <c r="A194" s="8" t="s">
        <v>690</v>
      </c>
      <c r="B194" s="8" t="s">
        <v>60</v>
      </c>
      <c r="C194" s="8" t="str">
        <f t="shared" si="3"/>
        <v>att_column_oven_temp:40c</v>
      </c>
      <c r="D194" s="9" t="s">
        <v>17</v>
      </c>
      <c r="E194" s="8">
        <v>40</v>
      </c>
      <c r="F194" s="9" t="s">
        <v>3085</v>
      </c>
    </row>
    <row r="195" spans="1:6" x14ac:dyDescent="0.15">
      <c r="A195" s="8" t="s">
        <v>3084</v>
      </c>
      <c r="B195" s="8" t="s">
        <v>60</v>
      </c>
      <c r="C195" s="8" t="str">
        <f t="shared" si="3"/>
        <v>att_column_oven_temp:50c</v>
      </c>
      <c r="D195" s="9" t="s">
        <v>17</v>
      </c>
      <c r="E195" s="8">
        <v>50</v>
      </c>
      <c r="F195" s="9" t="s">
        <v>3086</v>
      </c>
    </row>
    <row r="196" spans="1:6" x14ac:dyDescent="0.15">
      <c r="A196" s="8" t="s">
        <v>691</v>
      </c>
      <c r="B196" s="8" t="s">
        <v>60</v>
      </c>
      <c r="C196" s="8" t="str">
        <f t="shared" si="3"/>
        <v>att_column_oven_temp:55c</v>
      </c>
      <c r="D196" s="9" t="s">
        <v>17</v>
      </c>
      <c r="E196" s="8">
        <v>55</v>
      </c>
      <c r="F196" s="9" t="s">
        <v>3087</v>
      </c>
    </row>
    <row r="197" spans="1:6" x14ac:dyDescent="0.15">
      <c r="A197" s="8" t="s">
        <v>692</v>
      </c>
      <c r="B197" s="8" t="s">
        <v>62</v>
      </c>
      <c r="C197" s="8" t="str">
        <f t="shared" ref="C197:C266" si="5">B197&amp;":"&amp;A197</f>
        <v>att_column_particle_size:170nm</v>
      </c>
      <c r="D197" s="9" t="s">
        <v>17</v>
      </c>
      <c r="E197" s="8">
        <v>1.7</v>
      </c>
      <c r="F197" s="8" t="s">
        <v>693</v>
      </c>
    </row>
    <row r="198" spans="1:6" x14ac:dyDescent="0.15">
      <c r="A198" s="8" t="s">
        <v>694</v>
      </c>
      <c r="B198" s="8" t="s">
        <v>62</v>
      </c>
      <c r="C198" s="8" t="str">
        <f t="shared" si="5"/>
        <v>att_column_particle_size:270nm</v>
      </c>
      <c r="D198" s="9" t="s">
        <v>17</v>
      </c>
      <c r="E198" s="8">
        <v>2.7</v>
      </c>
      <c r="F198" s="8" t="s">
        <v>695</v>
      </c>
    </row>
    <row r="199" spans="1:6" x14ac:dyDescent="0.15">
      <c r="A199" s="8" t="s">
        <v>696</v>
      </c>
      <c r="B199" s="8" t="s">
        <v>66</v>
      </c>
      <c r="C199" s="8" t="str">
        <f t="shared" si="5"/>
        <v>att_column_stat_phase:c18</v>
      </c>
      <c r="D199" s="9" t="s">
        <v>17</v>
      </c>
      <c r="E199" s="8" t="s">
        <v>697</v>
      </c>
      <c r="F199" s="8" t="s">
        <v>698</v>
      </c>
    </row>
    <row r="200" spans="1:6" x14ac:dyDescent="0.15">
      <c r="A200" s="8" t="s">
        <v>699</v>
      </c>
      <c r="B200" s="8" t="s">
        <v>66</v>
      </c>
      <c r="C200" s="8" t="str">
        <f t="shared" si="5"/>
        <v>att_column_stat_phase:c8</v>
      </c>
      <c r="D200" s="9" t="s">
        <v>17</v>
      </c>
      <c r="E200" s="8" t="s">
        <v>700</v>
      </c>
      <c r="F200" s="8" t="s">
        <v>701</v>
      </c>
    </row>
    <row r="201" spans="1:6" x14ac:dyDescent="0.15">
      <c r="A201" s="8" t="s">
        <v>702</v>
      </c>
      <c r="B201" s="8" t="s">
        <v>53</v>
      </c>
      <c r="C201" s="8" t="str">
        <f t="shared" si="5"/>
        <v>att_column_type:aurora</v>
      </c>
      <c r="D201" s="9" t="s">
        <v>17</v>
      </c>
      <c r="E201" s="8" t="s">
        <v>2844</v>
      </c>
      <c r="F201" s="8" t="s">
        <v>2845</v>
      </c>
    </row>
    <row r="202" spans="1:6" x14ac:dyDescent="0.15">
      <c r="A202" s="8" t="s">
        <v>705</v>
      </c>
      <c r="B202" s="8" t="s">
        <v>53</v>
      </c>
      <c r="C202" s="8" t="str">
        <f t="shared" si="5"/>
        <v>att_column_type:easyspray</v>
      </c>
      <c r="D202" s="9" t="s">
        <v>17</v>
      </c>
      <c r="E202" s="8" t="s">
        <v>706</v>
      </c>
      <c r="F202" s="8" t="s">
        <v>707</v>
      </c>
    </row>
    <row r="203" spans="1:6" x14ac:dyDescent="0.15">
      <c r="A203" s="8" t="s">
        <v>708</v>
      </c>
      <c r="B203" s="8" t="s">
        <v>53</v>
      </c>
      <c r="C203" s="8" t="str">
        <f t="shared" si="5"/>
        <v>att_column_type:inhouse</v>
      </c>
      <c r="D203" s="9" t="s">
        <v>17</v>
      </c>
      <c r="E203" s="8" t="s">
        <v>709</v>
      </c>
      <c r="F203" s="8" t="s">
        <v>710</v>
      </c>
    </row>
    <row r="204" spans="1:6" x14ac:dyDescent="0.15">
      <c r="A204" s="8" t="s">
        <v>711</v>
      </c>
      <c r="B204" s="8" t="s">
        <v>53</v>
      </c>
      <c r="C204" s="8" t="str">
        <f t="shared" si="5"/>
        <v>att_column_type:upac_doubleviper</v>
      </c>
      <c r="D204" s="9" t="s">
        <v>17</v>
      </c>
      <c r="E204" s="8" t="s">
        <v>712</v>
      </c>
      <c r="F204" s="8" t="s">
        <v>713</v>
      </c>
    </row>
    <row r="205" spans="1:6" x14ac:dyDescent="0.15">
      <c r="A205" s="8" t="s">
        <v>714</v>
      </c>
      <c r="B205" s="8" t="s">
        <v>53</v>
      </c>
      <c r="C205" s="8" t="str">
        <f t="shared" si="5"/>
        <v>att_column_type:upac_low_loadneo</v>
      </c>
      <c r="D205" s="9" t="s">
        <v>17</v>
      </c>
      <c r="E205" s="8" t="s">
        <v>715</v>
      </c>
      <c r="F205" s="8" t="s">
        <v>716</v>
      </c>
    </row>
    <row r="206" spans="1:6" x14ac:dyDescent="0.15">
      <c r="A206" s="8" t="s">
        <v>717</v>
      </c>
      <c r="B206" s="8" t="s">
        <v>53</v>
      </c>
      <c r="C206" s="8" t="str">
        <f t="shared" si="5"/>
        <v>att_column_type:upac_neo</v>
      </c>
      <c r="D206" s="9" t="s">
        <v>17</v>
      </c>
      <c r="E206" s="8" t="s">
        <v>718</v>
      </c>
      <c r="F206" s="8" t="s">
        <v>719</v>
      </c>
    </row>
    <row r="207" spans="1:6" x14ac:dyDescent="0.15">
      <c r="A207" s="8" t="s">
        <v>3130</v>
      </c>
      <c r="B207" s="8" t="s">
        <v>53</v>
      </c>
      <c r="C207" s="8" t="str">
        <f t="shared" si="5"/>
        <v>att_column_type:pepsep</v>
      </c>
      <c r="D207" s="9" t="s">
        <v>3130</v>
      </c>
      <c r="E207" s="8" t="s">
        <v>3131</v>
      </c>
      <c r="F207" s="8" t="s">
        <v>3132</v>
      </c>
    </row>
    <row r="208" spans="1:6" x14ac:dyDescent="0.15">
      <c r="A208" s="8" t="s">
        <v>3133</v>
      </c>
      <c r="B208" s="8" t="s">
        <v>53</v>
      </c>
      <c r="C208" s="8" t="str">
        <f t="shared" ref="C208" si="6">B208&amp;":"&amp;A208</f>
        <v>att_column_type:pepsepultra</v>
      </c>
      <c r="D208" s="9" t="s">
        <v>3130</v>
      </c>
      <c r="E208" s="8" t="s">
        <v>3134</v>
      </c>
      <c r="F208" s="8" t="s">
        <v>3142</v>
      </c>
    </row>
    <row r="209" spans="1:6" x14ac:dyDescent="0.15">
      <c r="A209" s="8" t="s">
        <v>3135</v>
      </c>
      <c r="B209" s="8" t="s">
        <v>53</v>
      </c>
      <c r="C209" s="8" t="str">
        <f t="shared" ref="C209" si="7">B209&amp;":"&amp;A209</f>
        <v>att_column_type:pepsepmax</v>
      </c>
      <c r="D209" s="9" t="s">
        <v>3130</v>
      </c>
      <c r="E209" s="8" t="s">
        <v>3136</v>
      </c>
      <c r="F209" s="8" t="s">
        <v>3141</v>
      </c>
    </row>
    <row r="210" spans="1:6" x14ac:dyDescent="0.15">
      <c r="A210" s="8" t="s">
        <v>3137</v>
      </c>
      <c r="B210" s="8" t="s">
        <v>53</v>
      </c>
      <c r="C210" s="8" t="str">
        <f t="shared" ref="C210" si="8">B210&amp;":"&amp;A210</f>
        <v>att_column_type:pepsepmaxht</v>
      </c>
      <c r="D210" s="9" t="s">
        <v>3138</v>
      </c>
      <c r="E210" s="8" t="s">
        <v>3139</v>
      </c>
      <c r="F210" s="8" t="s">
        <v>3140</v>
      </c>
    </row>
    <row r="211" spans="1:6" x14ac:dyDescent="0.15">
      <c r="A211" s="8" t="s">
        <v>720</v>
      </c>
      <c r="B211" s="8" t="s">
        <v>69</v>
      </c>
      <c r="C211" s="8" t="str">
        <f t="shared" si="5"/>
        <v>att_compound:5_fluorouracil</v>
      </c>
      <c r="D211" s="8" t="s">
        <v>721</v>
      </c>
      <c r="E211" s="8" t="s">
        <v>722</v>
      </c>
      <c r="F211" s="8" t="s">
        <v>723</v>
      </c>
    </row>
    <row r="212" spans="1:6" x14ac:dyDescent="0.15">
      <c r="A212" s="8" t="s">
        <v>724</v>
      </c>
      <c r="B212" s="8" t="s">
        <v>69</v>
      </c>
      <c r="C212" s="8" t="str">
        <f t="shared" si="5"/>
        <v>att_compound:anisomycin</v>
      </c>
      <c r="D212" s="8" t="s">
        <v>724</v>
      </c>
      <c r="E212" s="8" t="s">
        <v>725</v>
      </c>
      <c r="F212" s="8" t="s">
        <v>725</v>
      </c>
    </row>
    <row r="213" spans="1:6" x14ac:dyDescent="0.15">
      <c r="A213" s="8" t="s">
        <v>726</v>
      </c>
      <c r="B213" s="8" t="s">
        <v>69</v>
      </c>
      <c r="C213" s="8" t="str">
        <f t="shared" si="5"/>
        <v>att_compound:antimycin</v>
      </c>
      <c r="D213" s="8" t="s">
        <v>726</v>
      </c>
      <c r="E213" s="8" t="s">
        <v>727</v>
      </c>
      <c r="F213" s="8" t="s">
        <v>728</v>
      </c>
    </row>
    <row r="214" spans="1:6" x14ac:dyDescent="0.15">
      <c r="A214" s="8" t="s">
        <v>729</v>
      </c>
      <c r="B214" s="8" t="s">
        <v>69</v>
      </c>
      <c r="C214" s="8" t="str">
        <f t="shared" si="5"/>
        <v>att_compound:atp</v>
      </c>
      <c r="D214" s="8" t="s">
        <v>729</v>
      </c>
      <c r="E214" s="8" t="s">
        <v>730</v>
      </c>
      <c r="F214" s="8" t="s">
        <v>731</v>
      </c>
    </row>
    <row r="215" spans="1:6" x14ac:dyDescent="0.15">
      <c r="A215" s="8" t="s">
        <v>732</v>
      </c>
      <c r="B215" s="8" t="s">
        <v>69</v>
      </c>
      <c r="C215" s="8" t="str">
        <f t="shared" si="5"/>
        <v>att_compound:berzosertib</v>
      </c>
      <c r="D215" s="8" t="s">
        <v>732</v>
      </c>
      <c r="E215" s="8" t="s">
        <v>732</v>
      </c>
      <c r="F215" s="8" t="s">
        <v>733</v>
      </c>
    </row>
    <row r="216" spans="1:6" x14ac:dyDescent="0.15">
      <c r="A216" s="8" t="s">
        <v>734</v>
      </c>
      <c r="B216" s="8" t="s">
        <v>69</v>
      </c>
      <c r="C216" s="8" t="str">
        <f t="shared" si="5"/>
        <v>att_compound:bortezomib</v>
      </c>
      <c r="D216" s="8" t="s">
        <v>734</v>
      </c>
      <c r="E216" s="8" t="s">
        <v>734</v>
      </c>
      <c r="F216" s="8" t="s">
        <v>735</v>
      </c>
    </row>
    <row r="217" spans="1:6" x14ac:dyDescent="0.15">
      <c r="A217" s="8" t="s">
        <v>736</v>
      </c>
      <c r="B217" s="8" t="s">
        <v>69</v>
      </c>
      <c r="C217" s="8" t="str">
        <f t="shared" si="5"/>
        <v>att_compound:cccp</v>
      </c>
      <c r="D217" s="8" t="s">
        <v>736</v>
      </c>
      <c r="E217" s="8" t="s">
        <v>737</v>
      </c>
      <c r="F217" s="8" t="s">
        <v>738</v>
      </c>
    </row>
    <row r="218" spans="1:6" x14ac:dyDescent="0.15">
      <c r="A218" s="8" t="s">
        <v>739</v>
      </c>
      <c r="B218" s="8" t="s">
        <v>69</v>
      </c>
      <c r="C218" s="8" t="str">
        <f t="shared" si="5"/>
        <v>att_compound:cycloheximide</v>
      </c>
      <c r="D218" s="8" t="s">
        <v>739</v>
      </c>
      <c r="E218" s="8" t="s">
        <v>740</v>
      </c>
      <c r="F218" s="8" t="s">
        <v>740</v>
      </c>
    </row>
    <row r="219" spans="1:6" x14ac:dyDescent="0.15">
      <c r="A219" s="8" t="s">
        <v>741</v>
      </c>
      <c r="B219" s="8" t="s">
        <v>69</v>
      </c>
      <c r="C219" s="8" t="str">
        <f t="shared" si="5"/>
        <v>att_compound:dmso</v>
      </c>
      <c r="D219" s="8" t="s">
        <v>741</v>
      </c>
      <c r="E219" s="8" t="s">
        <v>742</v>
      </c>
      <c r="F219" s="8" t="s">
        <v>743</v>
      </c>
    </row>
    <row r="220" spans="1:6" x14ac:dyDescent="0.15">
      <c r="A220" s="8" t="s">
        <v>744</v>
      </c>
      <c r="B220" s="8" t="s">
        <v>69</v>
      </c>
      <c r="C220" s="8" t="str">
        <f t="shared" si="5"/>
        <v>att_compound:doxorubicin</v>
      </c>
      <c r="D220" s="8" t="s">
        <v>744</v>
      </c>
      <c r="E220" s="8" t="s">
        <v>745</v>
      </c>
      <c r="F220" s="8" t="s">
        <v>746</v>
      </c>
    </row>
    <row r="221" spans="1:6" x14ac:dyDescent="0.15">
      <c r="A221" s="8" t="s">
        <v>747</v>
      </c>
      <c r="B221" s="8" t="s">
        <v>69</v>
      </c>
      <c r="C221" s="8" t="str">
        <f t="shared" si="5"/>
        <v>att_compound:doxycycline</v>
      </c>
      <c r="D221" s="8" t="s">
        <v>747</v>
      </c>
      <c r="E221" s="8" t="s">
        <v>748</v>
      </c>
      <c r="F221" s="8" t="s">
        <v>749</v>
      </c>
    </row>
    <row r="222" spans="1:6" x14ac:dyDescent="0.15">
      <c r="A222" s="8" t="s">
        <v>2857</v>
      </c>
      <c r="B222" s="8" t="s">
        <v>69</v>
      </c>
      <c r="C222" s="8" t="str">
        <f t="shared" si="5"/>
        <v>att_compound:epoximicin</v>
      </c>
      <c r="D222" s="8" t="s">
        <v>2856</v>
      </c>
      <c r="E222" s="8" t="s">
        <v>2855</v>
      </c>
      <c r="F222" s="8" t="s">
        <v>2858</v>
      </c>
    </row>
    <row r="223" spans="1:6" x14ac:dyDescent="0.15">
      <c r="A223" s="8" t="s">
        <v>750</v>
      </c>
      <c r="B223" s="8" t="s">
        <v>69</v>
      </c>
      <c r="C223" s="8" t="str">
        <f t="shared" si="5"/>
        <v>att_compound:etoposide</v>
      </c>
      <c r="D223" s="8" t="s">
        <v>750</v>
      </c>
      <c r="E223" s="8" t="s">
        <v>751</v>
      </c>
      <c r="F223" s="8" t="s">
        <v>752</v>
      </c>
    </row>
    <row r="224" spans="1:6" x14ac:dyDescent="0.15">
      <c r="A224" s="8" t="s">
        <v>753</v>
      </c>
      <c r="B224" s="8" t="s">
        <v>69</v>
      </c>
      <c r="C224" s="8" t="str">
        <f t="shared" si="5"/>
        <v>att_compound:fccp</v>
      </c>
      <c r="D224" s="8" t="s">
        <v>753</v>
      </c>
      <c r="E224" s="8" t="s">
        <v>754</v>
      </c>
      <c r="F224" s="8" t="s">
        <v>755</v>
      </c>
    </row>
    <row r="225" spans="1:6" x14ac:dyDescent="0.15">
      <c r="A225" s="8" t="s">
        <v>756</v>
      </c>
      <c r="B225" s="8" t="s">
        <v>69</v>
      </c>
      <c r="C225" s="8" t="str">
        <f t="shared" si="5"/>
        <v>att_compound:h2o</v>
      </c>
      <c r="D225" s="8" t="s">
        <v>756</v>
      </c>
      <c r="E225" s="8" t="s">
        <v>757</v>
      </c>
      <c r="F225" s="8" t="s">
        <v>758</v>
      </c>
    </row>
    <row r="226" spans="1:6" x14ac:dyDescent="0.15">
      <c r="A226" s="8" t="s">
        <v>2852</v>
      </c>
      <c r="B226" s="8" t="s">
        <v>69</v>
      </c>
      <c r="C226" s="8" t="str">
        <f t="shared" ref="C226" si="9">B226&amp;":"&amp;A226</f>
        <v>att_compound:h2o2</v>
      </c>
      <c r="D226" s="8" t="s">
        <v>2852</v>
      </c>
      <c r="E226" s="8" t="s">
        <v>2853</v>
      </c>
      <c r="F226" s="8" t="s">
        <v>2854</v>
      </c>
    </row>
    <row r="227" spans="1:6" x14ac:dyDescent="0.15">
      <c r="A227" s="8" t="s">
        <v>759</v>
      </c>
      <c r="B227" s="8" t="s">
        <v>69</v>
      </c>
      <c r="C227" s="8" t="str">
        <f t="shared" si="5"/>
        <v>att_compound:hydroxyurea</v>
      </c>
      <c r="D227" s="8" t="s">
        <v>759</v>
      </c>
      <c r="E227" s="8" t="s">
        <v>760</v>
      </c>
      <c r="F227" s="8" t="s">
        <v>761</v>
      </c>
    </row>
    <row r="228" spans="1:6" x14ac:dyDescent="0.15">
      <c r="A228" s="8" t="s">
        <v>762</v>
      </c>
      <c r="B228" s="8" t="s">
        <v>69</v>
      </c>
      <c r="C228" s="8" t="str">
        <f t="shared" si="5"/>
        <v>att_compound:oligomycin</v>
      </c>
      <c r="D228" s="8" t="s">
        <v>762</v>
      </c>
      <c r="E228" s="8" t="s">
        <v>763</v>
      </c>
      <c r="F228" s="8" t="s">
        <v>764</v>
      </c>
    </row>
    <row r="229" spans="1:6" x14ac:dyDescent="0.15">
      <c r="A229" s="8" t="s">
        <v>765</v>
      </c>
      <c r="B229" s="8" t="s">
        <v>69</v>
      </c>
      <c r="C229" s="8" t="str">
        <f t="shared" si="5"/>
        <v>att_compound:rapamycin</v>
      </c>
      <c r="D229" s="8" t="s">
        <v>765</v>
      </c>
      <c r="E229" s="8" t="s">
        <v>766</v>
      </c>
      <c r="F229" s="8" t="s">
        <v>767</v>
      </c>
    </row>
    <row r="230" spans="1:6" x14ac:dyDescent="0.15">
      <c r="A230" s="8" t="s">
        <v>768</v>
      </c>
      <c r="B230" s="8" t="s">
        <v>69</v>
      </c>
      <c r="C230" s="8" t="str">
        <f t="shared" si="5"/>
        <v>att_compound:rotenone</v>
      </c>
      <c r="D230" s="8" t="s">
        <v>768</v>
      </c>
      <c r="E230" s="8" t="s">
        <v>769</v>
      </c>
      <c r="F230" s="8" t="s">
        <v>770</v>
      </c>
    </row>
    <row r="231" spans="1:6" x14ac:dyDescent="0.15">
      <c r="A231" s="8" t="s">
        <v>771</v>
      </c>
      <c r="B231" s="8" t="s">
        <v>69</v>
      </c>
      <c r="C231" s="8" t="str">
        <f t="shared" si="5"/>
        <v>att_compound:tamoxifen</v>
      </c>
      <c r="D231" s="8" t="s">
        <v>771</v>
      </c>
      <c r="E231" s="8" t="s">
        <v>771</v>
      </c>
      <c r="F231" s="8" t="s">
        <v>772</v>
      </c>
    </row>
    <row r="232" spans="1:6" x14ac:dyDescent="0.15">
      <c r="A232" s="8" t="s">
        <v>773</v>
      </c>
      <c r="B232" s="8" t="s">
        <v>69</v>
      </c>
      <c r="C232" s="8" t="str">
        <f t="shared" si="5"/>
        <v>att_compound:torin</v>
      </c>
      <c r="D232" s="8" t="s">
        <v>773</v>
      </c>
      <c r="E232" s="8" t="s">
        <v>774</v>
      </c>
      <c r="F232" s="8" t="s">
        <v>775</v>
      </c>
    </row>
    <row r="233" spans="1:6" x14ac:dyDescent="0.15">
      <c r="A233" s="8" t="s">
        <v>776</v>
      </c>
      <c r="B233" s="8" t="s">
        <v>69</v>
      </c>
      <c r="C233" s="8" t="str">
        <f t="shared" si="5"/>
        <v>att_compound:trametinib</v>
      </c>
      <c r="D233" s="8" t="s">
        <v>776</v>
      </c>
      <c r="E233" s="8" t="s">
        <v>776</v>
      </c>
      <c r="F233" s="8" t="s">
        <v>777</v>
      </c>
    </row>
    <row r="234" spans="1:6" x14ac:dyDescent="0.15">
      <c r="A234" s="8" t="s">
        <v>778</v>
      </c>
      <c r="B234" s="8" t="s">
        <v>69</v>
      </c>
      <c r="C234" s="8" t="str">
        <f t="shared" si="5"/>
        <v>att_compound:unstimulated</v>
      </c>
      <c r="D234" s="8" t="s">
        <v>778</v>
      </c>
      <c r="E234" s="8" t="s">
        <v>779</v>
      </c>
      <c r="F234" s="8" t="s">
        <v>780</v>
      </c>
    </row>
    <row r="235" spans="1:6" x14ac:dyDescent="0.15">
      <c r="A235" s="8" t="s">
        <v>781</v>
      </c>
      <c r="B235" s="8" t="s">
        <v>782</v>
      </c>
      <c r="C235" s="8" t="str">
        <f t="shared" si="5"/>
        <v>att_context:microenvironment</v>
      </c>
      <c r="D235" s="9" t="s">
        <v>17</v>
      </c>
      <c r="E235" s="8" t="s">
        <v>781</v>
      </c>
      <c r="F235" s="8" t="s">
        <v>781</v>
      </c>
    </row>
    <row r="236" spans="1:6" x14ac:dyDescent="0.15">
      <c r="A236" s="8" t="s">
        <v>783</v>
      </c>
      <c r="B236" s="8" t="s">
        <v>79</v>
      </c>
      <c r="C236" s="8" t="str">
        <f t="shared" si="5"/>
        <v>att_crosslink_hydroamine_cleavable:egs</v>
      </c>
      <c r="D236" s="9" t="s">
        <v>17</v>
      </c>
      <c r="E236" s="8" t="s">
        <v>784</v>
      </c>
      <c r="F236" s="8" t="s">
        <v>785</v>
      </c>
    </row>
    <row r="237" spans="1:6" x14ac:dyDescent="0.15">
      <c r="A237" s="8" t="s">
        <v>786</v>
      </c>
      <c r="B237" s="8" t="s">
        <v>79</v>
      </c>
      <c r="C237" s="8" t="str">
        <f t="shared" si="5"/>
        <v>att_crosslink_hydroamine_cleavable:suflo_egs</v>
      </c>
      <c r="D237" s="9" t="s">
        <v>17</v>
      </c>
      <c r="E237" s="8" t="s">
        <v>787</v>
      </c>
      <c r="F237" s="8" t="s">
        <v>788</v>
      </c>
    </row>
    <row r="238" spans="1:6" x14ac:dyDescent="0.15">
      <c r="A238" s="8" t="s">
        <v>789</v>
      </c>
      <c r="B238" s="8" t="s">
        <v>82</v>
      </c>
      <c r="C238" s="8" t="str">
        <f t="shared" si="5"/>
        <v>att_crosslink_ms_cleavable:dsbu</v>
      </c>
      <c r="D238" s="9" t="s">
        <v>17</v>
      </c>
      <c r="E238" s="8" t="s">
        <v>790</v>
      </c>
      <c r="F238" s="8" t="s">
        <v>791</v>
      </c>
    </row>
    <row r="239" spans="1:6" x14ac:dyDescent="0.15">
      <c r="A239" s="8" t="s">
        <v>792</v>
      </c>
      <c r="B239" s="8" t="s">
        <v>82</v>
      </c>
      <c r="C239" s="8" t="str">
        <f t="shared" si="5"/>
        <v>att_crosslink_ms_cleavable:dsso</v>
      </c>
      <c r="D239" s="9" t="s">
        <v>17</v>
      </c>
      <c r="E239" s="8" t="s">
        <v>793</v>
      </c>
      <c r="F239" s="8" t="s">
        <v>794</v>
      </c>
    </row>
    <row r="240" spans="1:6" x14ac:dyDescent="0.15">
      <c r="A240" s="8" t="s">
        <v>795</v>
      </c>
      <c r="B240" s="8" t="s">
        <v>84</v>
      </c>
      <c r="C240" s="8" t="str">
        <f t="shared" si="5"/>
        <v>att_crosslink_non_clevable:amas</v>
      </c>
      <c r="D240" s="9" t="s">
        <v>17</v>
      </c>
      <c r="E240" s="8" t="s">
        <v>796</v>
      </c>
      <c r="F240" s="8" t="s">
        <v>797</v>
      </c>
    </row>
    <row r="241" spans="1:6" x14ac:dyDescent="0.15">
      <c r="A241" s="8" t="s">
        <v>798</v>
      </c>
      <c r="B241" s="8" t="s">
        <v>84</v>
      </c>
      <c r="C241" s="8" t="str">
        <f t="shared" si="5"/>
        <v>att_crosslink_non_clevable:bm_peg_3</v>
      </c>
      <c r="D241" s="9" t="s">
        <v>17</v>
      </c>
      <c r="E241" s="8" t="s">
        <v>799</v>
      </c>
      <c r="F241" s="8" t="s">
        <v>800</v>
      </c>
    </row>
    <row r="242" spans="1:6" x14ac:dyDescent="0.15">
      <c r="A242" s="8" t="s">
        <v>801</v>
      </c>
      <c r="B242" s="8" t="s">
        <v>84</v>
      </c>
      <c r="C242" s="8" t="str">
        <f t="shared" si="5"/>
        <v>att_crosslink_non_clevable:bmb</v>
      </c>
      <c r="D242" s="9" t="s">
        <v>17</v>
      </c>
      <c r="E242" s="8" t="s">
        <v>802</v>
      </c>
      <c r="F242" s="8" t="s">
        <v>803</v>
      </c>
    </row>
    <row r="243" spans="1:6" x14ac:dyDescent="0.15">
      <c r="A243" s="8" t="s">
        <v>804</v>
      </c>
      <c r="B243" s="8" t="s">
        <v>84</v>
      </c>
      <c r="C243" s="8" t="str">
        <f t="shared" si="5"/>
        <v>att_crosslink_non_clevable:bmh</v>
      </c>
      <c r="D243" s="9" t="s">
        <v>17</v>
      </c>
      <c r="E243" s="8" t="s">
        <v>805</v>
      </c>
      <c r="F243" s="8" t="s">
        <v>806</v>
      </c>
    </row>
    <row r="244" spans="1:6" x14ac:dyDescent="0.15">
      <c r="A244" s="8" t="s">
        <v>807</v>
      </c>
      <c r="B244" s="8" t="s">
        <v>84</v>
      </c>
      <c r="C244" s="8" t="str">
        <f t="shared" si="5"/>
        <v>att_crosslink_non_clevable:bmoe</v>
      </c>
      <c r="D244" s="9" t="s">
        <v>17</v>
      </c>
      <c r="E244" s="8" t="s">
        <v>808</v>
      </c>
      <c r="F244" s="8" t="s">
        <v>809</v>
      </c>
    </row>
    <row r="245" spans="1:6" x14ac:dyDescent="0.15">
      <c r="A245" s="8" t="s">
        <v>810</v>
      </c>
      <c r="B245" s="8" t="s">
        <v>84</v>
      </c>
      <c r="C245" s="8" t="str">
        <f t="shared" si="5"/>
        <v>att_crosslink_non_clevable:bmph</v>
      </c>
      <c r="D245" s="9" t="s">
        <v>17</v>
      </c>
      <c r="E245" s="8" t="s">
        <v>811</v>
      </c>
      <c r="F245" s="8" t="s">
        <v>812</v>
      </c>
    </row>
    <row r="246" spans="1:6" x14ac:dyDescent="0.15">
      <c r="A246" s="8" t="s">
        <v>813</v>
      </c>
      <c r="B246" s="8" t="s">
        <v>84</v>
      </c>
      <c r="C246" s="8" t="str">
        <f t="shared" si="5"/>
        <v>att_crosslink_non_clevable:bmps</v>
      </c>
      <c r="D246" s="9" t="s">
        <v>17</v>
      </c>
      <c r="E246" s="8" t="s">
        <v>814</v>
      </c>
      <c r="F246" s="8" t="s">
        <v>815</v>
      </c>
    </row>
    <row r="247" spans="1:6" x14ac:dyDescent="0.15">
      <c r="A247" s="8" t="s">
        <v>816</v>
      </c>
      <c r="B247" s="8" t="s">
        <v>84</v>
      </c>
      <c r="C247" s="8" t="str">
        <f t="shared" si="5"/>
        <v>att_crosslink_non_clevable:bs_peg_5</v>
      </c>
      <c r="D247" s="9" t="s">
        <v>17</v>
      </c>
      <c r="E247" s="8" t="s">
        <v>817</v>
      </c>
      <c r="F247" s="8" t="s">
        <v>818</v>
      </c>
    </row>
    <row r="248" spans="1:6" x14ac:dyDescent="0.15">
      <c r="A248" s="8" t="s">
        <v>819</v>
      </c>
      <c r="B248" s="8" t="s">
        <v>84</v>
      </c>
      <c r="C248" s="8" t="str">
        <f t="shared" si="5"/>
        <v>att_crosslink_non_clevable:bs_peg_9</v>
      </c>
      <c r="D248" s="9" t="s">
        <v>17</v>
      </c>
      <c r="E248" s="8" t="s">
        <v>820</v>
      </c>
      <c r="F248" s="8" t="s">
        <v>821</v>
      </c>
    </row>
    <row r="249" spans="1:6" x14ac:dyDescent="0.15">
      <c r="A249" s="8" t="s">
        <v>822</v>
      </c>
      <c r="B249" s="8" t="s">
        <v>84</v>
      </c>
      <c r="C249" s="8" t="str">
        <f t="shared" si="5"/>
        <v>att_crosslink_non_clevable:bs2g_d0</v>
      </c>
      <c r="D249" s="9" t="s">
        <v>17</v>
      </c>
      <c r="E249" s="8" t="s">
        <v>823</v>
      </c>
      <c r="F249" s="8" t="s">
        <v>824</v>
      </c>
    </row>
    <row r="250" spans="1:6" x14ac:dyDescent="0.15">
      <c r="A250" s="8" t="s">
        <v>825</v>
      </c>
      <c r="B250" s="8" t="s">
        <v>84</v>
      </c>
      <c r="C250" s="8" t="str">
        <f t="shared" si="5"/>
        <v>att_crosslink_non_clevable:bs3</v>
      </c>
      <c r="D250" s="9" t="s">
        <v>17</v>
      </c>
      <c r="E250" s="8" t="s">
        <v>826</v>
      </c>
      <c r="F250" s="8" t="s">
        <v>827</v>
      </c>
    </row>
    <row r="251" spans="1:6" ht="10.5" customHeight="1" x14ac:dyDescent="0.15">
      <c r="A251" s="8" t="s">
        <v>828</v>
      </c>
      <c r="B251" s="8" t="s">
        <v>84</v>
      </c>
      <c r="C251" s="8" t="str">
        <f t="shared" si="5"/>
        <v>att_crosslink_non_clevable:bs3_d0</v>
      </c>
      <c r="D251" s="9" t="s">
        <v>17</v>
      </c>
      <c r="E251" s="8" t="s">
        <v>829</v>
      </c>
      <c r="F251" s="8" t="s">
        <v>830</v>
      </c>
    </row>
    <row r="252" spans="1:6" x14ac:dyDescent="0.15">
      <c r="A252" s="8" t="s">
        <v>831</v>
      </c>
      <c r="B252" s="8" t="s">
        <v>84</v>
      </c>
      <c r="C252" s="8" t="str">
        <f t="shared" si="5"/>
        <v>att_crosslink_non_clevable:bs3_d4</v>
      </c>
      <c r="D252" s="9" t="s">
        <v>17</v>
      </c>
      <c r="E252" s="8" t="s">
        <v>832</v>
      </c>
      <c r="F252" s="8" t="s">
        <v>830</v>
      </c>
    </row>
    <row r="253" spans="1:6" x14ac:dyDescent="0.15">
      <c r="A253" s="8" t="s">
        <v>833</v>
      </c>
      <c r="B253" s="8" t="s">
        <v>84</v>
      </c>
      <c r="C253" s="8" t="str">
        <f t="shared" si="5"/>
        <v>att_crosslink_non_clevable:dmp</v>
      </c>
      <c r="D253" s="9" t="s">
        <v>17</v>
      </c>
      <c r="E253" s="8" t="s">
        <v>834</v>
      </c>
      <c r="F253" s="8" t="s">
        <v>835</v>
      </c>
    </row>
    <row r="254" spans="1:6" x14ac:dyDescent="0.15">
      <c r="A254" s="8" t="s">
        <v>836</v>
      </c>
      <c r="B254" s="8" t="s">
        <v>84</v>
      </c>
      <c r="C254" s="8" t="str">
        <f t="shared" si="5"/>
        <v>att_crosslink_non_clevable:dms</v>
      </c>
      <c r="D254" s="9" t="s">
        <v>17</v>
      </c>
      <c r="E254" s="8" t="s">
        <v>837</v>
      </c>
      <c r="F254" s="8" t="s">
        <v>838</v>
      </c>
    </row>
    <row r="255" spans="1:6" x14ac:dyDescent="0.15">
      <c r="A255" s="8" t="s">
        <v>839</v>
      </c>
      <c r="B255" s="8" t="s">
        <v>84</v>
      </c>
      <c r="C255" s="8" t="str">
        <f t="shared" si="5"/>
        <v>att_crosslink_non_clevable:dss</v>
      </c>
      <c r="D255" s="9" t="s">
        <v>17</v>
      </c>
      <c r="E255" s="8" t="s">
        <v>840</v>
      </c>
      <c r="F255" s="8" t="s">
        <v>841</v>
      </c>
    </row>
    <row r="256" spans="1:6" x14ac:dyDescent="0.15">
      <c r="A256" s="8" t="s">
        <v>842</v>
      </c>
      <c r="B256" s="8" t="s">
        <v>84</v>
      </c>
      <c r="C256" s="8" t="str">
        <f t="shared" si="5"/>
        <v>att_crosslink_non_clevable:edc</v>
      </c>
      <c r="D256" s="9" t="s">
        <v>17</v>
      </c>
      <c r="E256" s="8" t="s">
        <v>843</v>
      </c>
      <c r="F256" s="8" t="s">
        <v>844</v>
      </c>
    </row>
    <row r="257" spans="1:6" x14ac:dyDescent="0.15">
      <c r="A257" s="8" t="s">
        <v>845</v>
      </c>
      <c r="B257" s="8" t="s">
        <v>84</v>
      </c>
      <c r="C257" s="8" t="str">
        <f t="shared" si="5"/>
        <v>att_crosslink_non_clevable:emch</v>
      </c>
      <c r="D257" s="9" t="s">
        <v>17</v>
      </c>
      <c r="E257" s="8" t="s">
        <v>846</v>
      </c>
      <c r="F257" s="8" t="s">
        <v>847</v>
      </c>
    </row>
    <row r="258" spans="1:6" x14ac:dyDescent="0.15">
      <c r="A258" s="8" t="s">
        <v>848</v>
      </c>
      <c r="B258" s="8" t="s">
        <v>84</v>
      </c>
      <c r="C258" s="8" t="str">
        <f t="shared" si="5"/>
        <v>att_crosslink_non_clevable:emcs</v>
      </c>
      <c r="D258" s="9" t="s">
        <v>17</v>
      </c>
      <c r="E258" s="8" t="s">
        <v>849</v>
      </c>
      <c r="F258" s="8" t="s">
        <v>850</v>
      </c>
    </row>
    <row r="259" spans="1:6" x14ac:dyDescent="0.15">
      <c r="A259" s="8" t="s">
        <v>851</v>
      </c>
      <c r="B259" s="8" t="s">
        <v>84</v>
      </c>
      <c r="C259" s="8" t="str">
        <f t="shared" si="5"/>
        <v>att_crosslink_non_clevable:gmbs</v>
      </c>
      <c r="D259" s="9" t="s">
        <v>17</v>
      </c>
      <c r="E259" s="8" t="s">
        <v>852</v>
      </c>
      <c r="F259" s="8" t="s">
        <v>853</v>
      </c>
    </row>
    <row r="260" spans="1:6" x14ac:dyDescent="0.15">
      <c r="A260" s="8" t="s">
        <v>854</v>
      </c>
      <c r="B260" s="8" t="s">
        <v>84</v>
      </c>
      <c r="C260" s="8" t="str">
        <f t="shared" si="5"/>
        <v>att_crosslink_non_clevable:kmuh</v>
      </c>
      <c r="D260" s="9" t="s">
        <v>17</v>
      </c>
      <c r="E260" s="8" t="s">
        <v>855</v>
      </c>
      <c r="F260" s="8" t="s">
        <v>856</v>
      </c>
    </row>
    <row r="261" spans="1:6" x14ac:dyDescent="0.15">
      <c r="A261" s="8" t="s">
        <v>857</v>
      </c>
      <c r="B261" s="8" t="s">
        <v>84</v>
      </c>
      <c r="C261" s="8" t="str">
        <f t="shared" si="5"/>
        <v>att_crosslink_non_clevable:l_photo_methionine</v>
      </c>
      <c r="D261" s="9" t="s">
        <v>17</v>
      </c>
      <c r="E261" s="8" t="s">
        <v>858</v>
      </c>
      <c r="F261" s="8" t="s">
        <v>859</v>
      </c>
    </row>
    <row r="262" spans="1:6" x14ac:dyDescent="0.15">
      <c r="A262" s="8" t="s">
        <v>860</v>
      </c>
      <c r="B262" s="8" t="s">
        <v>84</v>
      </c>
      <c r="C262" s="8" t="str">
        <f t="shared" si="5"/>
        <v>att_crosslink_non_clevable:lc_smcc</v>
      </c>
      <c r="D262" s="9" t="s">
        <v>17</v>
      </c>
      <c r="E262" s="8" t="s">
        <v>861</v>
      </c>
      <c r="F262" s="8" t="s">
        <v>862</v>
      </c>
    </row>
    <row r="263" spans="1:6" x14ac:dyDescent="0.15">
      <c r="A263" s="8" t="s">
        <v>863</v>
      </c>
      <c r="B263" s="8" t="s">
        <v>84</v>
      </c>
      <c r="C263" s="8" t="str">
        <f t="shared" si="5"/>
        <v>att_crosslink_non_clevable:maleimide_peg4_dbco</v>
      </c>
      <c r="D263" s="9" t="s">
        <v>17</v>
      </c>
      <c r="E263" s="8" t="s">
        <v>864</v>
      </c>
      <c r="F263" s="8" t="s">
        <v>865</v>
      </c>
    </row>
    <row r="264" spans="1:6" x14ac:dyDescent="0.15">
      <c r="A264" s="8" t="s">
        <v>866</v>
      </c>
      <c r="B264" s="8" t="s">
        <v>84</v>
      </c>
      <c r="C264" s="8" t="str">
        <f t="shared" si="5"/>
        <v>att_crosslink_non_clevable:mpbh</v>
      </c>
      <c r="D264" s="9" t="s">
        <v>17</v>
      </c>
      <c r="E264" s="8" t="s">
        <v>867</v>
      </c>
      <c r="F264" s="8" t="s">
        <v>868</v>
      </c>
    </row>
    <row r="265" spans="1:6" x14ac:dyDescent="0.15">
      <c r="A265" s="8" t="s">
        <v>869</v>
      </c>
      <c r="B265" s="8" t="s">
        <v>84</v>
      </c>
      <c r="C265" s="8" t="str">
        <f t="shared" si="5"/>
        <v>att_crosslink_non_clevable:nhs</v>
      </c>
      <c r="D265" s="9" t="s">
        <v>17</v>
      </c>
      <c r="E265" s="8" t="s">
        <v>870</v>
      </c>
      <c r="F265" s="8" t="s">
        <v>871</v>
      </c>
    </row>
    <row r="266" spans="1:6" x14ac:dyDescent="0.15">
      <c r="A266" s="8" t="s">
        <v>872</v>
      </c>
      <c r="B266" s="8" t="s">
        <v>84</v>
      </c>
      <c r="C266" s="8" t="str">
        <f t="shared" si="5"/>
        <v>att_crosslink_non_clevable:nhs_azide</v>
      </c>
      <c r="D266" s="9" t="s">
        <v>17</v>
      </c>
      <c r="E266" s="8" t="s">
        <v>873</v>
      </c>
      <c r="F266" s="8" t="s">
        <v>874</v>
      </c>
    </row>
    <row r="267" spans="1:6" x14ac:dyDescent="0.15">
      <c r="A267" s="8" t="s">
        <v>875</v>
      </c>
      <c r="B267" s="8" t="s">
        <v>84</v>
      </c>
      <c r="C267" s="8" t="str">
        <f t="shared" ref="C267:C331" si="10">B267&amp;":"&amp;A267</f>
        <v>att_crosslink_non_clevable:nhs_peg4_azide</v>
      </c>
      <c r="D267" s="9" t="s">
        <v>17</v>
      </c>
      <c r="E267" s="8" t="s">
        <v>876</v>
      </c>
      <c r="F267" s="8" t="s">
        <v>877</v>
      </c>
    </row>
    <row r="268" spans="1:6" x14ac:dyDescent="0.15">
      <c r="A268" s="8" t="s">
        <v>878</v>
      </c>
      <c r="B268" s="8" t="s">
        <v>84</v>
      </c>
      <c r="C268" s="8" t="str">
        <f t="shared" si="10"/>
        <v>att_crosslink_non_clevable:nhs_phosphine</v>
      </c>
      <c r="D268" s="9" t="s">
        <v>17</v>
      </c>
      <c r="E268" s="8" t="s">
        <v>879</v>
      </c>
      <c r="F268" s="8" t="s">
        <v>880</v>
      </c>
    </row>
    <row r="269" spans="1:6" x14ac:dyDescent="0.15">
      <c r="A269" s="8" t="s">
        <v>881</v>
      </c>
      <c r="B269" s="8" t="s">
        <v>84</v>
      </c>
      <c r="C269" s="8" t="str">
        <f t="shared" si="10"/>
        <v>att_crosslink_non_clevable:pmpi</v>
      </c>
      <c r="D269" s="9" t="s">
        <v>17</v>
      </c>
      <c r="E269" s="8" t="s">
        <v>882</v>
      </c>
      <c r="F269" s="8" t="s">
        <v>883</v>
      </c>
    </row>
    <row r="270" spans="1:6" x14ac:dyDescent="0.15">
      <c r="A270" s="8" t="s">
        <v>884</v>
      </c>
      <c r="B270" s="8" t="s">
        <v>84</v>
      </c>
      <c r="C270" s="8" t="str">
        <f t="shared" si="10"/>
        <v>att_crosslink_non_clevable:sbap</v>
      </c>
      <c r="D270" s="9" t="s">
        <v>17</v>
      </c>
      <c r="E270" s="8" t="s">
        <v>885</v>
      </c>
      <c r="F270" s="8" t="s">
        <v>886</v>
      </c>
    </row>
    <row r="271" spans="1:6" x14ac:dyDescent="0.15">
      <c r="A271" s="8" t="s">
        <v>887</v>
      </c>
      <c r="B271" s="8" t="s">
        <v>84</v>
      </c>
      <c r="C271" s="8" t="str">
        <f t="shared" si="10"/>
        <v>att_crosslink_non_clevable:sda</v>
      </c>
      <c r="D271" s="9" t="s">
        <v>17</v>
      </c>
      <c r="E271" s="8" t="s">
        <v>888</v>
      </c>
      <c r="F271" s="8" t="s">
        <v>889</v>
      </c>
    </row>
    <row r="272" spans="1:6" x14ac:dyDescent="0.15">
      <c r="A272" s="8" t="s">
        <v>890</v>
      </c>
      <c r="B272" s="8" t="s">
        <v>84</v>
      </c>
      <c r="C272" s="8" t="str">
        <f t="shared" si="10"/>
        <v>att_crosslink_non_clevable:sia</v>
      </c>
      <c r="D272" s="9" t="s">
        <v>17</v>
      </c>
      <c r="E272" s="8" t="s">
        <v>891</v>
      </c>
      <c r="F272" s="8" t="s">
        <v>892</v>
      </c>
    </row>
    <row r="273" spans="1:6" x14ac:dyDescent="0.15">
      <c r="A273" s="8" t="s">
        <v>893</v>
      </c>
      <c r="B273" s="8" t="s">
        <v>84</v>
      </c>
      <c r="C273" s="8" t="str">
        <f t="shared" si="10"/>
        <v>att_crosslink_non_clevable:smpb</v>
      </c>
      <c r="D273" s="9" t="s">
        <v>17</v>
      </c>
      <c r="E273" s="8" t="s">
        <v>894</v>
      </c>
      <c r="F273" s="8" t="s">
        <v>895</v>
      </c>
    </row>
    <row r="274" spans="1:6" x14ac:dyDescent="0.15">
      <c r="A274" s="8" t="s">
        <v>896</v>
      </c>
      <c r="B274" s="8" t="s">
        <v>84</v>
      </c>
      <c r="C274" s="8" t="str">
        <f t="shared" si="10"/>
        <v>att_crosslink_non_clevable:smph</v>
      </c>
      <c r="D274" s="9" t="s">
        <v>17</v>
      </c>
      <c r="E274" s="8" t="s">
        <v>897</v>
      </c>
      <c r="F274" s="8" t="s">
        <v>898</v>
      </c>
    </row>
    <row r="275" spans="1:6" x14ac:dyDescent="0.15">
      <c r="A275" s="8" t="s">
        <v>899</v>
      </c>
      <c r="B275" s="8" t="s">
        <v>84</v>
      </c>
      <c r="C275" s="8" t="str">
        <f t="shared" si="10"/>
        <v>att_crosslink_non_clevable:spb</v>
      </c>
      <c r="D275" s="9" t="s">
        <v>17</v>
      </c>
      <c r="E275" s="8" t="s">
        <v>900</v>
      </c>
      <c r="F275" s="8" t="s">
        <v>901</v>
      </c>
    </row>
    <row r="276" spans="1:6" x14ac:dyDescent="0.15">
      <c r="A276" s="8" t="s">
        <v>902</v>
      </c>
      <c r="B276" s="8" t="s">
        <v>84</v>
      </c>
      <c r="C276" s="8" t="str">
        <f t="shared" si="10"/>
        <v>att_crosslink_non_clevable:sulfo_emcs</v>
      </c>
      <c r="D276" s="9" t="s">
        <v>17</v>
      </c>
      <c r="E276" s="8" t="s">
        <v>903</v>
      </c>
      <c r="F276" s="8" t="s">
        <v>904</v>
      </c>
    </row>
    <row r="277" spans="1:6" x14ac:dyDescent="0.15">
      <c r="A277" s="8" t="s">
        <v>905</v>
      </c>
      <c r="B277" s="8" t="s">
        <v>84</v>
      </c>
      <c r="C277" s="8" t="str">
        <f t="shared" si="10"/>
        <v>att_crosslink_non_clevable:sulfo_kmus</v>
      </c>
      <c r="D277" s="9" t="s">
        <v>17</v>
      </c>
      <c r="E277" s="8" t="s">
        <v>906</v>
      </c>
      <c r="F277" s="8" t="s">
        <v>907</v>
      </c>
    </row>
    <row r="278" spans="1:6" x14ac:dyDescent="0.15">
      <c r="A278" s="8" t="s">
        <v>908</v>
      </c>
      <c r="B278" s="8" t="s">
        <v>84</v>
      </c>
      <c r="C278" s="8" t="str">
        <f t="shared" si="10"/>
        <v>att_crosslink_non_clevable:sulfo_lc_sda</v>
      </c>
      <c r="D278" s="9" t="s">
        <v>17</v>
      </c>
      <c r="E278" s="8" t="s">
        <v>909</v>
      </c>
      <c r="F278" s="8" t="s">
        <v>910</v>
      </c>
    </row>
    <row r="279" spans="1:6" x14ac:dyDescent="0.15">
      <c r="A279" s="8" t="s">
        <v>911</v>
      </c>
      <c r="B279" s="8" t="s">
        <v>84</v>
      </c>
      <c r="C279" s="8" t="str">
        <f t="shared" si="10"/>
        <v>att_crosslink_non_clevable:sulfo_mbs</v>
      </c>
      <c r="D279" s="9" t="s">
        <v>17</v>
      </c>
      <c r="E279" s="8" t="s">
        <v>912</v>
      </c>
      <c r="F279" s="8" t="s">
        <v>913</v>
      </c>
    </row>
    <row r="280" spans="1:6" x14ac:dyDescent="0.15">
      <c r="A280" s="8" t="s">
        <v>914</v>
      </c>
      <c r="B280" s="8" t="s">
        <v>84</v>
      </c>
      <c r="C280" s="8" t="str">
        <f t="shared" si="10"/>
        <v>att_crosslink_non_clevable:sulfo_sda</v>
      </c>
      <c r="D280" s="9" t="s">
        <v>17</v>
      </c>
      <c r="E280" s="8" t="s">
        <v>915</v>
      </c>
      <c r="F280" s="8" t="s">
        <v>916</v>
      </c>
    </row>
    <row r="281" spans="1:6" x14ac:dyDescent="0.15">
      <c r="A281" s="8" t="s">
        <v>917</v>
      </c>
      <c r="B281" s="8" t="s">
        <v>84</v>
      </c>
      <c r="C281" s="8" t="str">
        <f t="shared" si="10"/>
        <v>att_crosslink_non_clevable:sulfo_siab</v>
      </c>
      <c r="D281" s="9" t="s">
        <v>17</v>
      </c>
      <c r="E281" s="8" t="s">
        <v>918</v>
      </c>
      <c r="F281" s="8" t="s">
        <v>919</v>
      </c>
    </row>
    <row r="282" spans="1:6" x14ac:dyDescent="0.15">
      <c r="A282" s="8" t="s">
        <v>920</v>
      </c>
      <c r="B282" s="8" t="s">
        <v>84</v>
      </c>
      <c r="C282" s="8" t="str">
        <f t="shared" si="10"/>
        <v>att_crosslink_non_clevable:sulfo_smcc</v>
      </c>
      <c r="D282" s="9" t="s">
        <v>17</v>
      </c>
      <c r="E282" s="8" t="s">
        <v>921</v>
      </c>
      <c r="F282" s="8" t="s">
        <v>922</v>
      </c>
    </row>
    <row r="283" spans="1:6" x14ac:dyDescent="0.15">
      <c r="A283" s="8" t="s">
        <v>923</v>
      </c>
      <c r="B283" s="8" t="s">
        <v>84</v>
      </c>
      <c r="C283" s="8" t="str">
        <f t="shared" si="10"/>
        <v>att_crosslink_non_clevable:sulfo_smpb</v>
      </c>
      <c r="D283" s="9" t="s">
        <v>17</v>
      </c>
      <c r="E283" s="8" t="s">
        <v>924</v>
      </c>
      <c r="F283" s="8" t="s">
        <v>925</v>
      </c>
    </row>
    <row r="284" spans="1:6" x14ac:dyDescent="0.15">
      <c r="A284" s="8" t="s">
        <v>926</v>
      </c>
      <c r="B284" s="8" t="s">
        <v>84</v>
      </c>
      <c r="C284" s="8" t="str">
        <f t="shared" si="10"/>
        <v>att_crosslink_non_clevable:tbdspp</v>
      </c>
      <c r="D284" s="9" t="s">
        <v>17</v>
      </c>
      <c r="E284" s="8" t="s">
        <v>927</v>
      </c>
      <c r="F284" s="8" t="s">
        <v>928</v>
      </c>
    </row>
    <row r="285" spans="1:6" x14ac:dyDescent="0.15">
      <c r="A285" s="8" t="s">
        <v>929</v>
      </c>
      <c r="B285" s="8" t="s">
        <v>84</v>
      </c>
      <c r="C285" s="8" t="str">
        <f t="shared" si="10"/>
        <v>att_crosslink_non_clevable:tfpester_peg12_dbco</v>
      </c>
      <c r="D285" s="9" t="s">
        <v>17</v>
      </c>
      <c r="E285" s="8" t="s">
        <v>930</v>
      </c>
      <c r="F285" s="8" t="s">
        <v>931</v>
      </c>
    </row>
    <row r="286" spans="1:6" x14ac:dyDescent="0.15">
      <c r="A286" s="8" t="s">
        <v>932</v>
      </c>
      <c r="B286" s="8" t="s">
        <v>84</v>
      </c>
      <c r="C286" s="8" t="str">
        <f t="shared" si="10"/>
        <v>att_crosslink_non_clevable:tfpester_peg4_dbco</v>
      </c>
      <c r="D286" s="9" t="s">
        <v>17</v>
      </c>
      <c r="E286" s="8" t="s">
        <v>933</v>
      </c>
      <c r="F286" s="8" t="s">
        <v>934</v>
      </c>
    </row>
    <row r="287" spans="1:6" x14ac:dyDescent="0.15">
      <c r="A287" s="8" t="s">
        <v>935</v>
      </c>
      <c r="B287" s="8" t="s">
        <v>84</v>
      </c>
      <c r="C287" s="8" t="str">
        <f t="shared" si="10"/>
        <v>att_crosslink_non_clevable:tmea</v>
      </c>
      <c r="D287" s="9" t="s">
        <v>17</v>
      </c>
      <c r="E287" s="8" t="s">
        <v>936</v>
      </c>
      <c r="F287" s="8" t="s">
        <v>937</v>
      </c>
    </row>
    <row r="288" spans="1:6" x14ac:dyDescent="0.15">
      <c r="A288" s="8" t="s">
        <v>938</v>
      </c>
      <c r="B288" s="8" t="s">
        <v>84</v>
      </c>
      <c r="C288" s="8" t="str">
        <f t="shared" si="10"/>
        <v>att_crosslink_non_clevable:tsat</v>
      </c>
      <c r="D288" s="9" t="s">
        <v>17</v>
      </c>
      <c r="E288" s="8" t="s">
        <v>939</v>
      </c>
      <c r="F288" s="8" t="s">
        <v>940</v>
      </c>
    </row>
    <row r="289" spans="1:6" x14ac:dyDescent="0.15">
      <c r="A289" s="8" t="s">
        <v>941</v>
      </c>
      <c r="B289" s="8" t="s">
        <v>86</v>
      </c>
      <c r="C289" s="8" t="str">
        <f t="shared" si="10"/>
        <v>att_crosslink_thiol_cleavable:dsp</v>
      </c>
      <c r="D289" s="9" t="s">
        <v>17</v>
      </c>
      <c r="E289" s="8" t="s">
        <v>942</v>
      </c>
      <c r="F289" s="8" t="s">
        <v>943</v>
      </c>
    </row>
    <row r="290" spans="1:6" x14ac:dyDescent="0.15">
      <c r="A290" s="8" t="s">
        <v>944</v>
      </c>
      <c r="B290" s="8" t="s">
        <v>86</v>
      </c>
      <c r="C290" s="8" t="str">
        <f t="shared" si="10"/>
        <v>att_crosslink_thiol_cleavable:dtbp</v>
      </c>
      <c r="D290" s="9" t="s">
        <v>17</v>
      </c>
      <c r="E290" s="8" t="s">
        <v>945</v>
      </c>
      <c r="F290" s="8" t="s">
        <v>946</v>
      </c>
    </row>
    <row r="291" spans="1:6" x14ac:dyDescent="0.15">
      <c r="A291" s="8" t="s">
        <v>947</v>
      </c>
      <c r="B291" s="8" t="s">
        <v>86</v>
      </c>
      <c r="C291" s="8" t="str">
        <f t="shared" si="10"/>
        <v>att_crosslink_thiol_cleavable:dtme</v>
      </c>
      <c r="D291" s="9" t="s">
        <v>17</v>
      </c>
      <c r="E291" s="8" t="s">
        <v>948</v>
      </c>
      <c r="F291" s="8" t="s">
        <v>949</v>
      </c>
    </row>
    <row r="292" spans="1:6" x14ac:dyDescent="0.15">
      <c r="A292" s="8" t="s">
        <v>950</v>
      </c>
      <c r="B292" s="8" t="s">
        <v>86</v>
      </c>
      <c r="C292" s="8" t="str">
        <f t="shared" si="10"/>
        <v>att_crosslink_thiol_cleavable:dtssp</v>
      </c>
      <c r="D292" s="9" t="s">
        <v>17</v>
      </c>
      <c r="E292" s="8" t="s">
        <v>951</v>
      </c>
      <c r="F292" s="8" t="s">
        <v>952</v>
      </c>
    </row>
    <row r="293" spans="1:6" x14ac:dyDescent="0.15">
      <c r="A293" s="8" t="s">
        <v>953</v>
      </c>
      <c r="B293" s="8" t="s">
        <v>86</v>
      </c>
      <c r="C293" s="8" t="str">
        <f t="shared" si="10"/>
        <v>att_crosslink_thiol_cleavable:lc_spdp</v>
      </c>
      <c r="D293" s="9" t="s">
        <v>17</v>
      </c>
      <c r="E293" s="8" t="s">
        <v>954</v>
      </c>
      <c r="F293" s="8" t="s">
        <v>955</v>
      </c>
    </row>
    <row r="294" spans="1:6" x14ac:dyDescent="0.15">
      <c r="A294" s="8" t="s">
        <v>956</v>
      </c>
      <c r="B294" s="8" t="s">
        <v>86</v>
      </c>
      <c r="C294" s="8" t="str">
        <f t="shared" si="10"/>
        <v>att_crosslink_thiol_cleavable:pdph</v>
      </c>
      <c r="D294" s="9" t="s">
        <v>17</v>
      </c>
      <c r="E294" s="8" t="s">
        <v>957</v>
      </c>
      <c r="F294" s="8" t="s">
        <v>958</v>
      </c>
    </row>
    <row r="295" spans="1:6" x14ac:dyDescent="0.15">
      <c r="A295" s="8" t="s">
        <v>959</v>
      </c>
      <c r="B295" s="8" t="s">
        <v>86</v>
      </c>
      <c r="C295" s="8" t="str">
        <f t="shared" si="10"/>
        <v>att_crosslink_thiol_cleavable:peg12_spdp</v>
      </c>
      <c r="D295" s="9" t="s">
        <v>17</v>
      </c>
      <c r="E295" s="8" t="s">
        <v>960</v>
      </c>
      <c r="F295" s="8" t="s">
        <v>961</v>
      </c>
    </row>
    <row r="296" spans="1:6" x14ac:dyDescent="0.15">
      <c r="A296" s="8" t="s">
        <v>962</v>
      </c>
      <c r="B296" s="8" t="s">
        <v>86</v>
      </c>
      <c r="C296" s="8" t="str">
        <f t="shared" si="10"/>
        <v>att_crosslink_thiol_cleavable:peg4_spdp</v>
      </c>
      <c r="D296" s="9" t="s">
        <v>17</v>
      </c>
      <c r="E296" s="8" t="s">
        <v>963</v>
      </c>
      <c r="F296" s="8" t="s">
        <v>964</v>
      </c>
    </row>
    <row r="297" spans="1:6" x14ac:dyDescent="0.15">
      <c r="A297" s="8" t="s">
        <v>965</v>
      </c>
      <c r="B297" s="8" t="s">
        <v>86</v>
      </c>
      <c r="C297" s="8" t="str">
        <f t="shared" si="10"/>
        <v>att_crosslink_thiol_cleavable:sdad</v>
      </c>
      <c r="D297" s="9" t="s">
        <v>17</v>
      </c>
      <c r="E297" s="8" t="s">
        <v>966</v>
      </c>
      <c r="F297" s="8" t="s">
        <v>967</v>
      </c>
    </row>
    <row r="298" spans="1:6" x14ac:dyDescent="0.15">
      <c r="A298" s="8" t="s">
        <v>968</v>
      </c>
      <c r="B298" s="8" t="s">
        <v>86</v>
      </c>
      <c r="C298" s="8" t="str">
        <f t="shared" si="10"/>
        <v>att_crosslink_thiol_cleavable:smcc</v>
      </c>
      <c r="D298" s="9" t="s">
        <v>17</v>
      </c>
      <c r="E298" s="8" t="s">
        <v>969</v>
      </c>
      <c r="F298" s="8" t="s">
        <v>970</v>
      </c>
    </row>
    <row r="299" spans="1:6" x14ac:dyDescent="0.15">
      <c r="A299" s="8" t="s">
        <v>971</v>
      </c>
      <c r="B299" s="8" t="s">
        <v>86</v>
      </c>
      <c r="C299" s="8" t="str">
        <f t="shared" si="10"/>
        <v>att_crosslink_thiol_cleavable:smpt</v>
      </c>
      <c r="D299" s="9" t="s">
        <v>17</v>
      </c>
      <c r="E299" s="8" t="s">
        <v>972</v>
      </c>
      <c r="F299" s="8" t="s">
        <v>973</v>
      </c>
    </row>
    <row r="300" spans="1:6" x14ac:dyDescent="0.15">
      <c r="A300" s="8" t="s">
        <v>974</v>
      </c>
      <c r="B300" s="8" t="s">
        <v>86</v>
      </c>
      <c r="C300" s="8" t="str">
        <f t="shared" si="10"/>
        <v>att_crosslink_thiol_cleavable:spdp</v>
      </c>
      <c r="D300" s="9" t="s">
        <v>17</v>
      </c>
      <c r="E300" s="8" t="s">
        <v>975</v>
      </c>
      <c r="F300" s="8" t="s">
        <v>976</v>
      </c>
    </row>
    <row r="301" spans="1:6" x14ac:dyDescent="0.15">
      <c r="A301" s="8" t="s">
        <v>977</v>
      </c>
      <c r="B301" s="8" t="s">
        <v>86</v>
      </c>
      <c r="C301" s="8" t="str">
        <f t="shared" si="10"/>
        <v>att_crosslink_thiol_cleavable:sulfo_lc_spdp</v>
      </c>
      <c r="D301" s="9" t="s">
        <v>17</v>
      </c>
      <c r="E301" s="8" t="s">
        <v>978</v>
      </c>
      <c r="F301" s="8" t="s">
        <v>979</v>
      </c>
    </row>
    <row r="302" spans="1:6" x14ac:dyDescent="0.15">
      <c r="A302" s="8" t="s">
        <v>980</v>
      </c>
      <c r="B302" s="8" t="s">
        <v>86</v>
      </c>
      <c r="C302" s="8" t="str">
        <f t="shared" si="10"/>
        <v>att_crosslink_thiol_cleavable:sulfo_sanpah</v>
      </c>
      <c r="D302" s="9" t="s">
        <v>17</v>
      </c>
      <c r="E302" s="8" t="s">
        <v>981</v>
      </c>
      <c r="F302" s="8" t="s">
        <v>982</v>
      </c>
    </row>
    <row r="303" spans="1:6" x14ac:dyDescent="0.15">
      <c r="A303" s="8" t="s">
        <v>983</v>
      </c>
      <c r="B303" s="8" t="s">
        <v>86</v>
      </c>
      <c r="C303" s="8" t="str">
        <f t="shared" si="10"/>
        <v>att_crosslink_thiol_cleavable:sulfo_sdad</v>
      </c>
      <c r="D303" s="9" t="s">
        <v>17</v>
      </c>
      <c r="E303" s="8" t="s">
        <v>984</v>
      </c>
      <c r="F303" s="8" t="s">
        <v>985</v>
      </c>
    </row>
    <row r="304" spans="1:6" x14ac:dyDescent="0.15">
      <c r="A304" s="8" t="s">
        <v>986</v>
      </c>
      <c r="B304" s="8" t="s">
        <v>987</v>
      </c>
      <c r="C304" s="8" t="str">
        <f t="shared" si="10"/>
        <v>att_dataset:database_orf_search</v>
      </c>
      <c r="D304" s="9" t="s">
        <v>17</v>
      </c>
      <c r="E304" s="8" t="s">
        <v>988</v>
      </c>
      <c r="F304" s="8" t="s">
        <v>989</v>
      </c>
    </row>
    <row r="305" spans="1:6" x14ac:dyDescent="0.15">
      <c r="A305" s="8" t="s">
        <v>990</v>
      </c>
      <c r="B305" s="8" t="s">
        <v>987</v>
      </c>
      <c r="C305" s="8" t="str">
        <f t="shared" si="10"/>
        <v>att_dataset:database_search</v>
      </c>
      <c r="D305" s="9" t="s">
        <v>17</v>
      </c>
      <c r="E305" s="8" t="s">
        <v>991</v>
      </c>
      <c r="F305" s="8" t="s">
        <v>992</v>
      </c>
    </row>
    <row r="306" spans="1:6" x14ac:dyDescent="0.15">
      <c r="A306" s="8" t="s">
        <v>993</v>
      </c>
      <c r="B306" s="8" t="s">
        <v>987</v>
      </c>
      <c r="C306" s="8" t="str">
        <f t="shared" si="10"/>
        <v>att_dataset:de_novo</v>
      </c>
      <c r="D306" s="9" t="s">
        <v>17</v>
      </c>
      <c r="E306" s="8" t="s">
        <v>994</v>
      </c>
      <c r="F306" s="8" t="s">
        <v>994</v>
      </c>
    </row>
    <row r="307" spans="1:6" x14ac:dyDescent="0.15">
      <c r="A307" s="8" t="s">
        <v>995</v>
      </c>
      <c r="B307" s="8" t="s">
        <v>90</v>
      </c>
      <c r="C307" s="8" t="str">
        <f t="shared" si="10"/>
        <v>att_detergent:chaps</v>
      </c>
      <c r="D307" s="9" t="s">
        <v>17</v>
      </c>
      <c r="E307" s="8" t="s">
        <v>996</v>
      </c>
      <c r="F307" s="8" t="s">
        <v>997</v>
      </c>
    </row>
    <row r="308" spans="1:6" x14ac:dyDescent="0.15">
      <c r="A308" s="8" t="s">
        <v>998</v>
      </c>
      <c r="B308" s="8" t="s">
        <v>90</v>
      </c>
      <c r="C308" s="8" t="str">
        <f t="shared" si="10"/>
        <v>att_detergent:dmm</v>
      </c>
      <c r="D308" s="9" t="s">
        <v>17</v>
      </c>
      <c r="E308" s="8" t="s">
        <v>999</v>
      </c>
      <c r="F308" s="8" t="s">
        <v>1000</v>
      </c>
    </row>
    <row r="309" spans="1:6" x14ac:dyDescent="0.15">
      <c r="A309" s="8" t="s">
        <v>1001</v>
      </c>
      <c r="B309" s="8" t="s">
        <v>90</v>
      </c>
      <c r="C309" s="8" t="str">
        <f t="shared" si="10"/>
        <v>att_detergent:np40</v>
      </c>
      <c r="D309" s="9" t="s">
        <v>17</v>
      </c>
      <c r="E309" s="8" t="s">
        <v>1002</v>
      </c>
      <c r="F309" s="8" t="s">
        <v>1003</v>
      </c>
    </row>
    <row r="310" spans="1:6" x14ac:dyDescent="0.15">
      <c r="A310" s="8" t="s">
        <v>1004</v>
      </c>
      <c r="B310" s="8" t="s">
        <v>90</v>
      </c>
      <c r="C310" s="8" t="str">
        <f t="shared" si="10"/>
        <v>att_detergent:og</v>
      </c>
      <c r="D310" s="9" t="s">
        <v>17</v>
      </c>
      <c r="E310" s="8" t="s">
        <v>1005</v>
      </c>
      <c r="F310" s="8" t="s">
        <v>1006</v>
      </c>
    </row>
    <row r="311" spans="1:6" x14ac:dyDescent="0.15">
      <c r="A311" s="8" t="s">
        <v>1007</v>
      </c>
      <c r="B311" s="8" t="s">
        <v>90</v>
      </c>
      <c r="C311" s="8" t="str">
        <f t="shared" si="10"/>
        <v>att_detergent:otg</v>
      </c>
      <c r="D311" s="9" t="s">
        <v>17</v>
      </c>
      <c r="E311" s="8" t="s">
        <v>1008</v>
      </c>
      <c r="F311" s="8" t="s">
        <v>1009</v>
      </c>
    </row>
    <row r="312" spans="1:6" x14ac:dyDescent="0.15">
      <c r="A312" s="8" t="s">
        <v>1010</v>
      </c>
      <c r="B312" s="8" t="s">
        <v>90</v>
      </c>
      <c r="C312" s="8" t="str">
        <f t="shared" si="10"/>
        <v>att_detergent:sds</v>
      </c>
      <c r="D312" s="9" t="s">
        <v>17</v>
      </c>
      <c r="E312" s="8" t="s">
        <v>1011</v>
      </c>
      <c r="F312" s="8" t="s">
        <v>1012</v>
      </c>
    </row>
    <row r="313" spans="1:6" x14ac:dyDescent="0.15">
      <c r="A313" s="8" t="s">
        <v>1013</v>
      </c>
      <c r="B313" s="8" t="s">
        <v>90</v>
      </c>
      <c r="C313" s="8" t="str">
        <f t="shared" si="10"/>
        <v>att_detergent:tritonx100</v>
      </c>
      <c r="D313" s="9" t="s">
        <v>17</v>
      </c>
      <c r="E313" s="8" t="s">
        <v>1014</v>
      </c>
      <c r="F313" s="8" t="s">
        <v>1015</v>
      </c>
    </row>
    <row r="314" spans="1:6" x14ac:dyDescent="0.15">
      <c r="A314" s="8" t="s">
        <v>1016</v>
      </c>
      <c r="B314" s="8" t="s">
        <v>90</v>
      </c>
      <c r="C314" s="8" t="str">
        <f t="shared" si="10"/>
        <v>att_detergent:tween20</v>
      </c>
      <c r="D314" s="9" t="s">
        <v>17</v>
      </c>
      <c r="E314" s="8" t="s">
        <v>1017</v>
      </c>
      <c r="F314" s="8" t="s">
        <v>1018</v>
      </c>
    </row>
    <row r="315" spans="1:6" x14ac:dyDescent="0.15">
      <c r="A315" s="8" t="s">
        <v>1019</v>
      </c>
      <c r="B315" s="8" t="s">
        <v>90</v>
      </c>
      <c r="C315" s="8" t="str">
        <f t="shared" si="10"/>
        <v>att_detergent:tween80</v>
      </c>
      <c r="D315" s="9" t="s">
        <v>17</v>
      </c>
      <c r="E315" s="8" t="s">
        <v>1020</v>
      </c>
      <c r="F315" s="8" t="s">
        <v>1021</v>
      </c>
    </row>
    <row r="316" spans="1:6" x14ac:dyDescent="0.15">
      <c r="A316" s="8">
        <v>1200</v>
      </c>
      <c r="B316" s="8" t="s">
        <v>94</v>
      </c>
      <c r="C316" s="8" t="str">
        <f t="shared" si="10"/>
        <v>att_dia_mz_end:1200</v>
      </c>
      <c r="D316" s="9" t="s">
        <v>17</v>
      </c>
      <c r="E316" s="8">
        <v>1200</v>
      </c>
      <c r="F316" s="9" t="s">
        <v>17</v>
      </c>
    </row>
    <row r="317" spans="1:6" x14ac:dyDescent="0.15">
      <c r="A317" s="8">
        <v>800</v>
      </c>
      <c r="B317" s="8" t="s">
        <v>94</v>
      </c>
      <c r="C317" s="8" t="str">
        <f t="shared" si="10"/>
        <v>att_dia_mz_end:800</v>
      </c>
      <c r="D317" s="9" t="s">
        <v>17</v>
      </c>
      <c r="E317" s="8">
        <v>800</v>
      </c>
      <c r="F317" s="9" t="s">
        <v>17</v>
      </c>
    </row>
    <row r="318" spans="1:6" x14ac:dyDescent="0.15">
      <c r="A318" s="8">
        <v>400</v>
      </c>
      <c r="B318" s="8" t="s">
        <v>97</v>
      </c>
      <c r="C318" s="8" t="str">
        <f t="shared" si="10"/>
        <v>att_dia_mz_start:400</v>
      </c>
      <c r="D318" s="9" t="s">
        <v>17</v>
      </c>
      <c r="E318" s="8">
        <v>400</v>
      </c>
      <c r="F318" s="9" t="s">
        <v>17</v>
      </c>
    </row>
    <row r="319" spans="1:6" x14ac:dyDescent="0.15">
      <c r="A319" s="8">
        <v>30</v>
      </c>
      <c r="B319" s="8" t="s">
        <v>95</v>
      </c>
      <c r="C319" s="8" t="str">
        <f t="shared" si="10"/>
        <v>att_diawindows:30</v>
      </c>
      <c r="D319" s="9" t="s">
        <v>17</v>
      </c>
      <c r="E319" s="8">
        <v>30</v>
      </c>
      <c r="F319" s="8" t="s">
        <v>1022</v>
      </c>
    </row>
    <row r="320" spans="1:6" x14ac:dyDescent="0.15">
      <c r="A320" s="8">
        <v>34</v>
      </c>
      <c r="B320" s="8" t="s">
        <v>95</v>
      </c>
      <c r="C320" s="8" t="str">
        <f t="shared" ref="C320" si="11">B320&amp;":"&amp;A320</f>
        <v>att_diawindows:34</v>
      </c>
      <c r="D320" s="9" t="s">
        <v>17</v>
      </c>
      <c r="E320" s="8">
        <v>30</v>
      </c>
      <c r="F320" s="8" t="s">
        <v>3219</v>
      </c>
    </row>
    <row r="321" spans="1:6" x14ac:dyDescent="0.15">
      <c r="A321" s="8">
        <v>40</v>
      </c>
      <c r="B321" s="8" t="s">
        <v>95</v>
      </c>
      <c r="C321" s="8" t="str">
        <f t="shared" si="10"/>
        <v>att_diawindows:40</v>
      </c>
      <c r="D321" s="9" t="s">
        <v>17</v>
      </c>
      <c r="E321" s="8">
        <v>40</v>
      </c>
      <c r="F321" s="8" t="s">
        <v>1023</v>
      </c>
    </row>
    <row r="322" spans="1:6" x14ac:dyDescent="0.15">
      <c r="A322" s="8" t="s">
        <v>1024</v>
      </c>
      <c r="B322" s="8" t="s">
        <v>27</v>
      </c>
      <c r="C322" s="8" t="str">
        <f t="shared" si="10"/>
        <v>att_digestion_method:fasp</v>
      </c>
      <c r="D322" s="9" t="s">
        <v>17</v>
      </c>
      <c r="E322" s="8" t="s">
        <v>1025</v>
      </c>
      <c r="F322" s="8" t="s">
        <v>1026</v>
      </c>
    </row>
    <row r="323" spans="1:6" x14ac:dyDescent="0.15">
      <c r="A323" s="8" t="s">
        <v>1027</v>
      </c>
      <c r="B323" s="8" t="s">
        <v>27</v>
      </c>
      <c r="C323" s="8" t="str">
        <f t="shared" si="10"/>
        <v>att_digestion_method:ingel</v>
      </c>
      <c r="D323" s="9" t="s">
        <v>17</v>
      </c>
      <c r="E323" s="8" t="s">
        <v>1028</v>
      </c>
      <c r="F323" s="8" t="s">
        <v>1029</v>
      </c>
    </row>
    <row r="324" spans="1:6" x14ac:dyDescent="0.15">
      <c r="A324" s="8" t="s">
        <v>1030</v>
      </c>
      <c r="B324" s="8" t="s">
        <v>27</v>
      </c>
      <c r="C324" s="8" t="str">
        <f t="shared" si="10"/>
        <v>att_digestion_method:insol</v>
      </c>
      <c r="D324" s="9" t="s">
        <v>17</v>
      </c>
      <c r="E324" s="8" t="s">
        <v>1031</v>
      </c>
      <c r="F324" s="8" t="s">
        <v>1032</v>
      </c>
    </row>
    <row r="325" spans="1:6" x14ac:dyDescent="0.15">
      <c r="A325" s="8" t="s">
        <v>1033</v>
      </c>
      <c r="B325" s="8" t="s">
        <v>27</v>
      </c>
      <c r="C325" s="8" t="str">
        <f t="shared" si="10"/>
        <v>att_digestion_method:sp3</v>
      </c>
      <c r="D325" s="9" t="s">
        <v>17</v>
      </c>
      <c r="E325" s="8" t="s">
        <v>1034</v>
      </c>
      <c r="F325" s="8" t="s">
        <v>1035</v>
      </c>
    </row>
    <row r="326" spans="1:6" x14ac:dyDescent="0.15">
      <c r="A326" s="8" t="s">
        <v>1036</v>
      </c>
      <c r="B326" s="8" t="s">
        <v>101</v>
      </c>
      <c r="C326" s="8" t="str">
        <f t="shared" si="10"/>
        <v>att_digestion_temp:23c</v>
      </c>
      <c r="D326" s="9" t="s">
        <v>17</v>
      </c>
      <c r="E326" s="8" t="s">
        <v>1037</v>
      </c>
      <c r="F326" s="8" t="s">
        <v>1038</v>
      </c>
    </row>
    <row r="327" spans="1:6" x14ac:dyDescent="0.15">
      <c r="A327" s="8" t="s">
        <v>1039</v>
      </c>
      <c r="B327" s="8" t="s">
        <v>101</v>
      </c>
      <c r="C327" s="8" t="str">
        <f t="shared" si="10"/>
        <v>att_digestion_temp:37c</v>
      </c>
      <c r="D327" s="9" t="s">
        <v>17</v>
      </c>
      <c r="E327" s="8" t="s">
        <v>1040</v>
      </c>
      <c r="F327" s="8" t="s">
        <v>1041</v>
      </c>
    </row>
    <row r="328" spans="1:6" x14ac:dyDescent="0.15">
      <c r="A328" s="8" t="s">
        <v>1042</v>
      </c>
      <c r="B328" s="8" t="s">
        <v>102</v>
      </c>
      <c r="C328" s="8" t="str">
        <f t="shared" si="10"/>
        <v>att_digestion_time:12h</v>
      </c>
      <c r="D328" s="9" t="s">
        <v>17</v>
      </c>
      <c r="E328" s="8" t="s">
        <v>1043</v>
      </c>
      <c r="F328" s="8" t="s">
        <v>1044</v>
      </c>
    </row>
    <row r="329" spans="1:6" x14ac:dyDescent="0.15">
      <c r="A329" s="8" t="s">
        <v>1045</v>
      </c>
      <c r="B329" s="8" t="s">
        <v>102</v>
      </c>
      <c r="C329" s="8" t="str">
        <f t="shared" si="10"/>
        <v>att_digestion_time:16h</v>
      </c>
      <c r="D329" s="9" t="s">
        <v>17</v>
      </c>
      <c r="E329" s="8" t="s">
        <v>1046</v>
      </c>
      <c r="F329" s="8" t="s">
        <v>1047</v>
      </c>
    </row>
    <row r="330" spans="1:6" x14ac:dyDescent="0.15">
      <c r="A330" s="8" t="s">
        <v>1048</v>
      </c>
      <c r="B330" s="8" t="s">
        <v>102</v>
      </c>
      <c r="C330" s="8" t="str">
        <f t="shared" si="10"/>
        <v>att_digestion_time:8h</v>
      </c>
      <c r="D330" s="9" t="s">
        <v>17</v>
      </c>
      <c r="E330" s="8" t="s">
        <v>1049</v>
      </c>
      <c r="F330" s="8" t="s">
        <v>1050</v>
      </c>
    </row>
    <row r="331" spans="1:6" x14ac:dyDescent="0.15">
      <c r="A331" s="8" t="s">
        <v>1051</v>
      </c>
      <c r="B331" s="8" t="s">
        <v>104</v>
      </c>
      <c r="C331" s="8" t="str">
        <f t="shared" si="10"/>
        <v>att_digestion_vessel:384well_plate</v>
      </c>
      <c r="D331" s="9" t="s">
        <v>17</v>
      </c>
      <c r="E331" s="8" t="s">
        <v>1052</v>
      </c>
      <c r="F331" s="8" t="s">
        <v>1052</v>
      </c>
    </row>
    <row r="332" spans="1:6" x14ac:dyDescent="0.15">
      <c r="A332" s="8" t="s">
        <v>1053</v>
      </c>
      <c r="B332" s="8" t="s">
        <v>104</v>
      </c>
      <c r="C332" s="8" t="str">
        <f t="shared" ref="C332:C397" si="12">B332&amp;":"&amp;A332</f>
        <v>att_digestion_vessel:96well_plate</v>
      </c>
      <c r="D332" s="9" t="s">
        <v>17</v>
      </c>
      <c r="E332" s="8" t="s">
        <v>1054</v>
      </c>
      <c r="F332" s="8" t="s">
        <v>1055</v>
      </c>
    </row>
    <row r="333" spans="1:6" x14ac:dyDescent="0.15">
      <c r="A333" s="8" t="s">
        <v>1056</v>
      </c>
      <c r="B333" s="8" t="s">
        <v>104</v>
      </c>
      <c r="C333" s="8" t="str">
        <f t="shared" si="12"/>
        <v>att_digestion_vessel:onefive_ml_tube</v>
      </c>
      <c r="D333" s="9" t="s">
        <v>17</v>
      </c>
      <c r="E333" s="8" t="s">
        <v>1057</v>
      </c>
      <c r="F333" s="8" t="s">
        <v>1058</v>
      </c>
    </row>
    <row r="334" spans="1:6" x14ac:dyDescent="0.15">
      <c r="A334" s="8" t="s">
        <v>1059</v>
      </c>
      <c r="B334" s="8" t="s">
        <v>104</v>
      </c>
      <c r="C334" s="8" t="str">
        <f t="shared" si="12"/>
        <v>att_digestion_vessel:pcrstripe</v>
      </c>
      <c r="D334" s="9" t="s">
        <v>17</v>
      </c>
      <c r="E334" s="8" t="s">
        <v>1060</v>
      </c>
      <c r="F334" s="8" t="s">
        <v>1060</v>
      </c>
    </row>
    <row r="335" spans="1:6" x14ac:dyDescent="0.15">
      <c r="A335" s="8" t="s">
        <v>1061</v>
      </c>
      <c r="B335" s="8" t="s">
        <v>104</v>
      </c>
      <c r="C335" s="8" t="str">
        <f t="shared" si="12"/>
        <v>att_digestion_vessel:two_ml_tube</v>
      </c>
      <c r="D335" s="9" t="s">
        <v>17</v>
      </c>
      <c r="E335" s="8" t="s">
        <v>1062</v>
      </c>
      <c r="F335" s="8" t="s">
        <v>1063</v>
      </c>
    </row>
    <row r="336" spans="1:6" x14ac:dyDescent="0.15">
      <c r="A336" s="8" t="s">
        <v>1064</v>
      </c>
      <c r="B336" s="8" t="s">
        <v>107</v>
      </c>
      <c r="C336" s="8" t="str">
        <f t="shared" si="12"/>
        <v>att_disease:als</v>
      </c>
      <c r="D336" s="8" t="s">
        <v>1064</v>
      </c>
      <c r="E336" s="8" t="s">
        <v>1065</v>
      </c>
      <c r="F336" s="8" t="s">
        <v>1066</v>
      </c>
    </row>
    <row r="337" spans="1:6" x14ac:dyDescent="0.15">
      <c r="A337" s="8" t="s">
        <v>1067</v>
      </c>
      <c r="B337" s="8" t="s">
        <v>107</v>
      </c>
      <c r="C337" s="8" t="str">
        <f t="shared" si="12"/>
        <v>att_disease:alzheimer</v>
      </c>
      <c r="D337" s="8" t="s">
        <v>1067</v>
      </c>
      <c r="E337" s="8" t="s">
        <v>1068</v>
      </c>
      <c r="F337" s="8" t="s">
        <v>1069</v>
      </c>
    </row>
    <row r="338" spans="1:6" x14ac:dyDescent="0.15">
      <c r="A338" s="8" t="s">
        <v>1070</v>
      </c>
      <c r="B338" s="8" t="s">
        <v>107</v>
      </c>
      <c r="C338" s="8" t="str">
        <f t="shared" si="12"/>
        <v>att_disease:autoimmune</v>
      </c>
      <c r="D338" s="8" t="s">
        <v>1070</v>
      </c>
      <c r="E338" s="8" t="s">
        <v>1071</v>
      </c>
      <c r="F338" s="8" t="s">
        <v>1072</v>
      </c>
    </row>
    <row r="339" spans="1:6" x14ac:dyDescent="0.15">
      <c r="A339" s="8" t="s">
        <v>1073</v>
      </c>
      <c r="B339" s="8" t="s">
        <v>107</v>
      </c>
      <c r="C339" s="8" t="str">
        <f t="shared" si="12"/>
        <v>att_disease:cancer</v>
      </c>
      <c r="D339" s="8" t="s">
        <v>1073</v>
      </c>
      <c r="E339" s="8" t="s">
        <v>1074</v>
      </c>
      <c r="F339" s="8" t="s">
        <v>1075</v>
      </c>
    </row>
    <row r="340" spans="1:6" x14ac:dyDescent="0.15">
      <c r="A340" s="8" t="s">
        <v>1076</v>
      </c>
      <c r="B340" s="8" t="s">
        <v>107</v>
      </c>
      <c r="C340" s="8" t="str">
        <f t="shared" si="12"/>
        <v>att_disease:cardiovascular_diseases</v>
      </c>
      <c r="D340" s="8" t="s">
        <v>1077</v>
      </c>
      <c r="E340" s="8" t="s">
        <v>1078</v>
      </c>
      <c r="F340" s="8" t="s">
        <v>1079</v>
      </c>
    </row>
    <row r="341" spans="1:6" x14ac:dyDescent="0.15">
      <c r="A341" s="8" t="s">
        <v>1080</v>
      </c>
      <c r="B341" s="8" t="s">
        <v>107</v>
      </c>
      <c r="C341" s="8" t="str">
        <f t="shared" si="12"/>
        <v>att_disease:chronic_inflammation</v>
      </c>
      <c r="D341" s="8" t="s">
        <v>1081</v>
      </c>
      <c r="E341" s="8" t="s">
        <v>1082</v>
      </c>
      <c r="F341" s="8" t="s">
        <v>1083</v>
      </c>
    </row>
    <row r="342" spans="1:6" x14ac:dyDescent="0.15">
      <c r="A342" s="8" t="s">
        <v>1084</v>
      </c>
      <c r="B342" s="8" t="s">
        <v>107</v>
      </c>
      <c r="C342" s="8" t="str">
        <f t="shared" si="12"/>
        <v>att_disease:coeliac</v>
      </c>
      <c r="D342" s="8" t="s">
        <v>1084</v>
      </c>
      <c r="E342" s="8" t="s">
        <v>1085</v>
      </c>
      <c r="F342" s="8" t="s">
        <v>1086</v>
      </c>
    </row>
    <row r="343" spans="1:6" x14ac:dyDescent="0.15">
      <c r="A343" s="8" t="s">
        <v>1087</v>
      </c>
      <c r="B343" s="8" t="s">
        <v>107</v>
      </c>
      <c r="C343" s="8" t="str">
        <f t="shared" si="12"/>
        <v>att_disease:covid19</v>
      </c>
      <c r="D343" s="8" t="s">
        <v>1087</v>
      </c>
      <c r="E343" s="8" t="s">
        <v>1088</v>
      </c>
      <c r="F343" s="8" t="s">
        <v>1089</v>
      </c>
    </row>
    <row r="344" spans="1:6" x14ac:dyDescent="0.15">
      <c r="A344" s="8" t="s">
        <v>1090</v>
      </c>
      <c r="B344" s="8" t="s">
        <v>107</v>
      </c>
      <c r="C344" s="8" t="str">
        <f t="shared" si="12"/>
        <v>att_disease:dementia</v>
      </c>
      <c r="D344" s="8" t="s">
        <v>1090</v>
      </c>
      <c r="E344" s="8" t="s">
        <v>1091</v>
      </c>
      <c r="F344" s="8" t="s">
        <v>1091</v>
      </c>
    </row>
    <row r="345" spans="1:6" x14ac:dyDescent="0.15">
      <c r="A345" s="8" t="s">
        <v>1092</v>
      </c>
      <c r="B345" s="8" t="s">
        <v>107</v>
      </c>
      <c r="C345" s="8" t="str">
        <f t="shared" si="12"/>
        <v>att_disease:demyelinating</v>
      </c>
      <c r="D345" s="8" t="s">
        <v>1092</v>
      </c>
      <c r="E345" s="8" t="s">
        <v>1093</v>
      </c>
      <c r="F345" s="8" t="s">
        <v>1094</v>
      </c>
    </row>
    <row r="346" spans="1:6" x14ac:dyDescent="0.15">
      <c r="A346" s="8" t="s">
        <v>1095</v>
      </c>
      <c r="B346" s="8" t="s">
        <v>107</v>
      </c>
      <c r="C346" s="8" t="str">
        <f t="shared" si="12"/>
        <v>att_disease:diabetes</v>
      </c>
      <c r="D346" s="8" t="s">
        <v>1095</v>
      </c>
      <c r="E346" s="8" t="s">
        <v>1096</v>
      </c>
      <c r="F346" s="8" t="s">
        <v>1096</v>
      </c>
    </row>
    <row r="347" spans="1:6" x14ac:dyDescent="0.15">
      <c r="A347" s="8" t="s">
        <v>1097</v>
      </c>
      <c r="B347" s="8" t="s">
        <v>107</v>
      </c>
      <c r="C347" s="8" t="str">
        <f t="shared" si="12"/>
        <v>att_disease:glioblastoma</v>
      </c>
      <c r="D347" s="8" t="s">
        <v>1097</v>
      </c>
      <c r="E347" s="8" t="s">
        <v>1098</v>
      </c>
      <c r="F347" s="8" t="s">
        <v>1099</v>
      </c>
    </row>
    <row r="348" spans="1:6" x14ac:dyDescent="0.15">
      <c r="A348" s="8" t="s">
        <v>1100</v>
      </c>
      <c r="B348" s="8" t="s">
        <v>107</v>
      </c>
      <c r="C348" s="8" t="str">
        <f t="shared" si="12"/>
        <v>att_disease:hiv</v>
      </c>
      <c r="D348" s="8" t="s">
        <v>1100</v>
      </c>
      <c r="E348" s="8" t="s">
        <v>1101</v>
      </c>
      <c r="F348" s="8" t="s">
        <v>1102</v>
      </c>
    </row>
    <row r="349" spans="1:6" x14ac:dyDescent="0.15">
      <c r="A349" s="8" t="s">
        <v>1103</v>
      </c>
      <c r="B349" s="8" t="s">
        <v>107</v>
      </c>
      <c r="C349" s="8" t="str">
        <f t="shared" si="12"/>
        <v>att_disease:huntington</v>
      </c>
      <c r="D349" s="8" t="s">
        <v>1103</v>
      </c>
      <c r="E349" s="8" t="s">
        <v>1104</v>
      </c>
      <c r="F349" s="8" t="s">
        <v>1105</v>
      </c>
    </row>
    <row r="350" spans="1:6" x14ac:dyDescent="0.15">
      <c r="A350" s="8" t="s">
        <v>1106</v>
      </c>
      <c r="B350" s="8" t="s">
        <v>107</v>
      </c>
      <c r="C350" s="8" t="str">
        <f t="shared" si="12"/>
        <v>att_disease:ibd</v>
      </c>
      <c r="D350" s="8" t="s">
        <v>1106</v>
      </c>
      <c r="E350" s="8" t="s">
        <v>1107</v>
      </c>
      <c r="F350" s="8" t="s">
        <v>1108</v>
      </c>
    </row>
    <row r="351" spans="1:6" x14ac:dyDescent="0.15">
      <c r="A351" s="8" t="s">
        <v>1109</v>
      </c>
      <c r="B351" s="8" t="s">
        <v>107</v>
      </c>
      <c r="C351" s="8" t="str">
        <f t="shared" si="12"/>
        <v>att_disease:infection</v>
      </c>
      <c r="D351" s="8" t="s">
        <v>1109</v>
      </c>
      <c r="E351" s="8" t="s">
        <v>1110</v>
      </c>
      <c r="F351" s="8" t="s">
        <v>1111</v>
      </c>
    </row>
    <row r="352" spans="1:6" x14ac:dyDescent="0.15">
      <c r="A352" s="8" t="s">
        <v>1112</v>
      </c>
      <c r="B352" s="8" t="s">
        <v>107</v>
      </c>
      <c r="C352" s="8" t="str">
        <f t="shared" si="12"/>
        <v>att_disease:influenza</v>
      </c>
      <c r="D352" s="8" t="s">
        <v>1112</v>
      </c>
      <c r="E352" s="8" t="s">
        <v>1113</v>
      </c>
      <c r="F352" s="8" t="s">
        <v>1114</v>
      </c>
    </row>
    <row r="353" spans="1:6" x14ac:dyDescent="0.15">
      <c r="A353" s="8" t="s">
        <v>1115</v>
      </c>
      <c r="B353" s="8" t="s">
        <v>107</v>
      </c>
      <c r="C353" s="8" t="str">
        <f t="shared" si="12"/>
        <v>att_disease:leukemia</v>
      </c>
      <c r="D353" s="8" t="s">
        <v>1115</v>
      </c>
      <c r="E353" s="8" t="s">
        <v>627</v>
      </c>
      <c r="F353" s="8" t="s">
        <v>1116</v>
      </c>
    </row>
    <row r="354" spans="1:6" x14ac:dyDescent="0.15">
      <c r="A354" s="8" t="s">
        <v>1117</v>
      </c>
      <c r="B354" s="8" t="s">
        <v>107</v>
      </c>
      <c r="C354" s="8" t="str">
        <f t="shared" si="12"/>
        <v>att_disease:lymphoma</v>
      </c>
      <c r="D354" s="8" t="s">
        <v>1117</v>
      </c>
      <c r="E354" s="8" t="s">
        <v>1118</v>
      </c>
      <c r="F354" s="8" t="s">
        <v>1119</v>
      </c>
    </row>
    <row r="355" spans="1:6" x14ac:dyDescent="0.15">
      <c r="A355" s="8" t="s">
        <v>1120</v>
      </c>
      <c r="B355" s="8" t="s">
        <v>107</v>
      </c>
      <c r="C355" s="8" t="str">
        <f t="shared" si="12"/>
        <v>att_disease:malaria</v>
      </c>
      <c r="D355" s="8" t="s">
        <v>1120</v>
      </c>
      <c r="E355" s="8" t="s">
        <v>1121</v>
      </c>
      <c r="F355" s="8" t="s">
        <v>1122</v>
      </c>
    </row>
    <row r="356" spans="1:6" x14ac:dyDescent="0.15">
      <c r="A356" s="8" t="s">
        <v>25</v>
      </c>
      <c r="B356" s="8" t="s">
        <v>107</v>
      </c>
      <c r="C356" s="8" t="str">
        <f t="shared" si="12"/>
        <v>att_disease:ms</v>
      </c>
      <c r="D356" s="8" t="s">
        <v>25</v>
      </c>
      <c r="E356" s="8" t="s">
        <v>1123</v>
      </c>
      <c r="F356" s="8" t="s">
        <v>1124</v>
      </c>
    </row>
    <row r="357" spans="1:6" x14ac:dyDescent="0.15">
      <c r="A357" s="8" t="s">
        <v>1125</v>
      </c>
      <c r="B357" s="8" t="s">
        <v>107</v>
      </c>
      <c r="C357" s="8" t="str">
        <f t="shared" si="12"/>
        <v>att_disease:msa</v>
      </c>
      <c r="D357" s="8" t="s">
        <v>1125</v>
      </c>
      <c r="E357" s="8" t="s">
        <v>1126</v>
      </c>
      <c r="F357" s="8" t="s">
        <v>1127</v>
      </c>
    </row>
    <row r="358" spans="1:6" x14ac:dyDescent="0.15">
      <c r="A358" s="8" t="s">
        <v>1128</v>
      </c>
      <c r="B358" s="8" t="s">
        <v>107</v>
      </c>
      <c r="C358" s="8" t="str">
        <f t="shared" si="12"/>
        <v>att_disease:neurodegenerative</v>
      </c>
      <c r="D358" s="8" t="s">
        <v>1128</v>
      </c>
      <c r="E358" s="8" t="s">
        <v>1129</v>
      </c>
      <c r="F358" s="8" t="s">
        <v>1130</v>
      </c>
    </row>
    <row r="359" spans="1:6" x14ac:dyDescent="0.15">
      <c r="A359" s="8" t="s">
        <v>1131</v>
      </c>
      <c r="B359" s="8" t="s">
        <v>107</v>
      </c>
      <c r="C359" s="8" t="str">
        <f t="shared" si="12"/>
        <v>att_disease:parkinson</v>
      </c>
      <c r="D359" s="8" t="s">
        <v>1131</v>
      </c>
      <c r="E359" s="8" t="s">
        <v>1132</v>
      </c>
      <c r="F359" s="8" t="s">
        <v>1133</v>
      </c>
    </row>
    <row r="360" spans="1:6" x14ac:dyDescent="0.15">
      <c r="A360" s="8" t="s">
        <v>1134</v>
      </c>
      <c r="B360" s="8" t="s">
        <v>107</v>
      </c>
      <c r="C360" s="8" t="str">
        <f t="shared" si="12"/>
        <v>att_disease:prion</v>
      </c>
      <c r="D360" s="8" t="s">
        <v>1134</v>
      </c>
      <c r="E360" s="8" t="s">
        <v>1135</v>
      </c>
      <c r="F360" s="8" t="s">
        <v>1136</v>
      </c>
    </row>
    <row r="361" spans="1:6" x14ac:dyDescent="0.15">
      <c r="A361" s="8" t="s">
        <v>1137</v>
      </c>
      <c r="B361" s="8" t="s">
        <v>107</v>
      </c>
      <c r="C361" s="8" t="str">
        <f t="shared" si="12"/>
        <v>att_disease:rheumatoid</v>
      </c>
      <c r="D361" s="8" t="s">
        <v>1137</v>
      </c>
      <c r="E361" s="8" t="s">
        <v>1138</v>
      </c>
      <c r="F361" s="8" t="s">
        <v>1139</v>
      </c>
    </row>
    <row r="362" spans="1:6" x14ac:dyDescent="0.15">
      <c r="A362" s="8" t="s">
        <v>1140</v>
      </c>
      <c r="B362" s="8" t="s">
        <v>107</v>
      </c>
      <c r="C362" s="8" t="str">
        <f t="shared" si="12"/>
        <v>att_disease:stress</v>
      </c>
      <c r="D362" s="8" t="s">
        <v>1140</v>
      </c>
      <c r="E362" s="8" t="s">
        <v>1141</v>
      </c>
      <c r="F362" s="8" t="s">
        <v>1142</v>
      </c>
    </row>
    <row r="363" spans="1:6" x14ac:dyDescent="0.15">
      <c r="A363" s="8" t="s">
        <v>1143</v>
      </c>
      <c r="B363" s="8" t="s">
        <v>107</v>
      </c>
      <c r="C363" s="8" t="str">
        <f t="shared" si="12"/>
        <v>att_disease:stroke</v>
      </c>
      <c r="D363" s="8" t="s">
        <v>1143</v>
      </c>
      <c r="E363" s="8" t="s">
        <v>1144</v>
      </c>
      <c r="F363" s="8" t="s">
        <v>1145</v>
      </c>
    </row>
    <row r="364" spans="1:6" x14ac:dyDescent="0.15">
      <c r="A364" s="8" t="s">
        <v>1146</v>
      </c>
      <c r="B364" s="8" t="s">
        <v>107</v>
      </c>
      <c r="C364" s="8" t="str">
        <f t="shared" si="12"/>
        <v>att_disease:tuberculosis</v>
      </c>
      <c r="D364" s="8" t="s">
        <v>1146</v>
      </c>
      <c r="E364" s="8" t="s">
        <v>1147</v>
      </c>
      <c r="F364" s="8" t="s">
        <v>1148</v>
      </c>
    </row>
    <row r="365" spans="1:6" x14ac:dyDescent="0.15">
      <c r="A365" s="8" t="s">
        <v>1149</v>
      </c>
      <c r="B365" s="8" t="s">
        <v>109</v>
      </c>
      <c r="C365" s="8" t="str">
        <f t="shared" si="12"/>
        <v>att_environment_treatment:hypoxia</v>
      </c>
      <c r="D365" s="8" t="s">
        <v>1149</v>
      </c>
      <c r="E365" s="8" t="s">
        <v>1150</v>
      </c>
      <c r="F365" s="8" t="s">
        <v>1151</v>
      </c>
    </row>
    <row r="366" spans="1:6" x14ac:dyDescent="0.15">
      <c r="A366" s="8" t="s">
        <v>1152</v>
      </c>
      <c r="B366" s="8" t="s">
        <v>109</v>
      </c>
      <c r="C366" s="8" t="str">
        <f t="shared" si="12"/>
        <v>att_environment_treatment:normoxia</v>
      </c>
      <c r="D366" s="8" t="s">
        <v>1152</v>
      </c>
      <c r="E366" s="8" t="s">
        <v>1153</v>
      </c>
      <c r="F366" s="8" t="s">
        <v>1154</v>
      </c>
    </row>
    <row r="367" spans="1:6" x14ac:dyDescent="0.15">
      <c r="A367" s="8" t="s">
        <v>1155</v>
      </c>
      <c r="B367" s="8" t="s">
        <v>111</v>
      </c>
      <c r="C367" s="8" t="str">
        <f t="shared" si="12"/>
        <v>att_experiment:acetylome</v>
      </c>
      <c r="D367" s="8" t="s">
        <v>1155</v>
      </c>
      <c r="E367" s="8" t="s">
        <v>1156</v>
      </c>
      <c r="F367" s="8" t="s">
        <v>1156</v>
      </c>
    </row>
    <row r="368" spans="1:6" x14ac:dyDescent="0.15">
      <c r="A368" s="8" t="s">
        <v>1157</v>
      </c>
      <c r="B368" s="8" t="s">
        <v>111</v>
      </c>
      <c r="C368" s="8" t="str">
        <f t="shared" si="12"/>
        <v>att_experiment:dvp</v>
      </c>
      <c r="D368" s="8" t="s">
        <v>1157</v>
      </c>
      <c r="E368" s="8" t="s">
        <v>1158</v>
      </c>
      <c r="F368" s="8" t="s">
        <v>1159</v>
      </c>
    </row>
    <row r="369" spans="1:6" x14ac:dyDescent="0.15">
      <c r="A369" s="8" t="s">
        <v>1160</v>
      </c>
      <c r="B369" s="8" t="s">
        <v>111</v>
      </c>
      <c r="C369" s="8" t="str">
        <f t="shared" si="12"/>
        <v>att_experiment:expression_proteome</v>
      </c>
      <c r="D369" s="8" t="s">
        <v>1161</v>
      </c>
      <c r="E369" s="8" t="s">
        <v>1162</v>
      </c>
      <c r="F369" s="8" t="s">
        <v>1162</v>
      </c>
    </row>
    <row r="370" spans="1:6" x14ac:dyDescent="0.15">
      <c r="A370" s="8" t="s">
        <v>3214</v>
      </c>
      <c r="B370" s="8" t="s">
        <v>111</v>
      </c>
      <c r="C370" s="8" t="str">
        <f t="shared" si="12"/>
        <v>att_experiment:proximity</v>
      </c>
      <c r="D370" s="8" t="s">
        <v>3215</v>
      </c>
      <c r="E370" s="8" t="s">
        <v>3216</v>
      </c>
      <c r="F370" s="8" t="s">
        <v>3217</v>
      </c>
    </row>
    <row r="371" spans="1:6" x14ac:dyDescent="0.15">
      <c r="A371" s="8" t="s">
        <v>1163</v>
      </c>
      <c r="B371" s="8" t="s">
        <v>111</v>
      </c>
      <c r="C371" s="8" t="str">
        <f t="shared" si="12"/>
        <v>att_experiment:interaction</v>
      </c>
      <c r="D371" s="8" t="s">
        <v>1163</v>
      </c>
      <c r="E371" s="8" t="s">
        <v>1164</v>
      </c>
      <c r="F371" s="8" t="s">
        <v>1164</v>
      </c>
    </row>
    <row r="372" spans="1:6" x14ac:dyDescent="0.15">
      <c r="A372" s="8" t="s">
        <v>1165</v>
      </c>
      <c r="B372" s="8" t="s">
        <v>111</v>
      </c>
      <c r="C372" s="8" t="str">
        <f t="shared" si="12"/>
        <v>att_experiment:metrs</v>
      </c>
      <c r="D372" s="8" t="s">
        <v>1165</v>
      </c>
      <c r="E372" s="8" t="s">
        <v>1166</v>
      </c>
      <c r="F372" s="8" t="s">
        <v>1166</v>
      </c>
    </row>
    <row r="373" spans="1:6" x14ac:dyDescent="0.15">
      <c r="A373" s="8" t="s">
        <v>1167</v>
      </c>
      <c r="B373" s="8" t="s">
        <v>111</v>
      </c>
      <c r="C373" s="8" t="str">
        <f t="shared" si="12"/>
        <v>att_experiment:neo_nterm_enrichment</v>
      </c>
      <c r="D373" s="8" t="s">
        <v>1168</v>
      </c>
      <c r="E373" s="8" t="s">
        <v>1169</v>
      </c>
      <c r="F373" s="8" t="s">
        <v>1169</v>
      </c>
    </row>
    <row r="374" spans="1:6" x14ac:dyDescent="0.15">
      <c r="A374" s="8" t="s">
        <v>1170</v>
      </c>
      <c r="B374" s="8" t="s">
        <v>111</v>
      </c>
      <c r="C374" s="8" t="str">
        <f t="shared" si="12"/>
        <v>att_experiment:oxinome</v>
      </c>
      <c r="D374" s="8" t="s">
        <v>1170</v>
      </c>
      <c r="E374" s="8" t="s">
        <v>1171</v>
      </c>
      <c r="F374" s="8" t="s">
        <v>1171</v>
      </c>
    </row>
    <row r="375" spans="1:6" x14ac:dyDescent="0.15">
      <c r="A375" s="8" t="s">
        <v>1172</v>
      </c>
      <c r="B375" s="8" t="s">
        <v>111</v>
      </c>
      <c r="C375" s="8" t="str">
        <f t="shared" si="12"/>
        <v>att_experiment:phosphoproteome</v>
      </c>
      <c r="D375" s="8" t="s">
        <v>1172</v>
      </c>
      <c r="E375" s="8" t="s">
        <v>1173</v>
      </c>
      <c r="F375" s="8" t="s">
        <v>1173</v>
      </c>
    </row>
    <row r="376" spans="1:6" x14ac:dyDescent="0.15">
      <c r="A376" s="8" t="s">
        <v>1174</v>
      </c>
      <c r="B376" s="8" t="s">
        <v>111</v>
      </c>
      <c r="C376" s="8" t="str">
        <f t="shared" si="12"/>
        <v>att_experiment:pulse_silac</v>
      </c>
      <c r="D376" s="8" t="s">
        <v>1174</v>
      </c>
      <c r="E376" s="8" t="s">
        <v>1175</v>
      </c>
      <c r="F376" s="8" t="s">
        <v>1175</v>
      </c>
    </row>
    <row r="377" spans="1:6" x14ac:dyDescent="0.15">
      <c r="A377" s="8" t="s">
        <v>1176</v>
      </c>
      <c r="B377" s="8" t="s">
        <v>111</v>
      </c>
      <c r="C377" s="8" t="str">
        <f t="shared" si="12"/>
        <v>att_experiment:secretome</v>
      </c>
      <c r="D377" s="8" t="s">
        <v>1176</v>
      </c>
      <c r="E377" s="8" t="s">
        <v>1177</v>
      </c>
      <c r="F377" s="8" t="s">
        <v>1177</v>
      </c>
    </row>
    <row r="378" spans="1:6" x14ac:dyDescent="0.15">
      <c r="A378" s="8" t="s">
        <v>1178</v>
      </c>
      <c r="B378" s="8" t="s">
        <v>111</v>
      </c>
      <c r="C378" s="8" t="str">
        <f t="shared" si="12"/>
        <v>att_experiment:spatial</v>
      </c>
      <c r="D378" s="8" t="s">
        <v>1178</v>
      </c>
      <c r="E378" s="8" t="s">
        <v>1179</v>
      </c>
      <c r="F378" s="8" t="s">
        <v>1179</v>
      </c>
    </row>
    <row r="379" spans="1:6" x14ac:dyDescent="0.15">
      <c r="A379" s="8" t="s">
        <v>1180</v>
      </c>
      <c r="B379" s="8" t="s">
        <v>111</v>
      </c>
      <c r="C379" s="8" t="str">
        <f t="shared" si="12"/>
        <v>att_experiment:ubiquitinome</v>
      </c>
      <c r="D379" s="8" t="s">
        <v>1180</v>
      </c>
      <c r="E379" s="8" t="s">
        <v>1181</v>
      </c>
      <c r="F379" s="8" t="s">
        <v>1181</v>
      </c>
    </row>
    <row r="380" spans="1:6" x14ac:dyDescent="0.15">
      <c r="A380" s="8" t="s">
        <v>3184</v>
      </c>
      <c r="B380" s="8" t="s">
        <v>111</v>
      </c>
      <c r="C380" s="8" t="str">
        <f t="shared" si="12"/>
        <v>att_experiment:solub</v>
      </c>
      <c r="D380" s="8" t="s">
        <v>3185</v>
      </c>
      <c r="E380" s="8" t="s">
        <v>3186</v>
      </c>
      <c r="F380" s="8" t="s">
        <v>3187</v>
      </c>
    </row>
    <row r="381" spans="1:6" x14ac:dyDescent="0.15">
      <c r="A381" s="8" t="s">
        <v>1182</v>
      </c>
      <c r="B381" s="8" t="s">
        <v>118</v>
      </c>
      <c r="C381" s="8" t="str">
        <f t="shared" si="12"/>
        <v>att_faims_inner_temp:100c</v>
      </c>
      <c r="D381" s="9" t="s">
        <v>17</v>
      </c>
      <c r="E381" s="8">
        <v>100</v>
      </c>
      <c r="F381" s="9" t="s">
        <v>17</v>
      </c>
    </row>
    <row r="382" spans="1:6" x14ac:dyDescent="0.15">
      <c r="A382" s="8" t="s">
        <v>1183</v>
      </c>
      <c r="B382" s="8" t="s">
        <v>118</v>
      </c>
      <c r="C382" s="8" t="str">
        <f t="shared" si="12"/>
        <v>att_faims_inner_temp:95c</v>
      </c>
      <c r="D382" s="9" t="s">
        <v>17</v>
      </c>
      <c r="E382" s="8">
        <v>95</v>
      </c>
      <c r="F382" s="9" t="s">
        <v>17</v>
      </c>
    </row>
    <row r="383" spans="1:6" x14ac:dyDescent="0.15">
      <c r="A383" s="8" t="s">
        <v>1184</v>
      </c>
      <c r="B383" s="8" t="s">
        <v>118</v>
      </c>
      <c r="C383" s="8" t="str">
        <f t="shared" si="12"/>
        <v>att_faims_inner_temp:96c</v>
      </c>
      <c r="D383" s="9" t="s">
        <v>17</v>
      </c>
      <c r="E383" s="8">
        <v>96</v>
      </c>
      <c r="F383" s="9" t="s">
        <v>17</v>
      </c>
    </row>
    <row r="384" spans="1:6" x14ac:dyDescent="0.15">
      <c r="A384" s="8" t="s">
        <v>1185</v>
      </c>
      <c r="B384" s="8" t="s">
        <v>118</v>
      </c>
      <c r="C384" s="8" t="str">
        <f t="shared" si="12"/>
        <v>att_faims_inner_temp:97c</v>
      </c>
      <c r="D384" s="9" t="s">
        <v>17</v>
      </c>
      <c r="E384" s="8">
        <v>97</v>
      </c>
      <c r="F384" s="9" t="s">
        <v>17</v>
      </c>
    </row>
    <row r="385" spans="1:6" x14ac:dyDescent="0.15">
      <c r="A385" s="8" t="s">
        <v>1186</v>
      </c>
      <c r="B385" s="8" t="s">
        <v>118</v>
      </c>
      <c r="C385" s="8" t="str">
        <f t="shared" si="12"/>
        <v>att_faims_inner_temp:98c</v>
      </c>
      <c r="D385" s="9" t="s">
        <v>17</v>
      </c>
      <c r="E385" s="8">
        <v>98</v>
      </c>
      <c r="F385" s="9" t="s">
        <v>17</v>
      </c>
    </row>
    <row r="386" spans="1:6" x14ac:dyDescent="0.15">
      <c r="A386" s="8" t="s">
        <v>1187</v>
      </c>
      <c r="B386" s="8" t="s">
        <v>118</v>
      </c>
      <c r="C386" s="8" t="str">
        <f t="shared" si="12"/>
        <v>att_faims_inner_temp:99c</v>
      </c>
      <c r="D386" s="9" t="s">
        <v>17</v>
      </c>
      <c r="E386" s="8">
        <v>99</v>
      </c>
      <c r="F386" s="9" t="s">
        <v>17</v>
      </c>
    </row>
    <row r="387" spans="1:6" x14ac:dyDescent="0.15">
      <c r="A387" s="8" t="s">
        <v>1182</v>
      </c>
      <c r="B387" s="8" t="s">
        <v>120</v>
      </c>
      <c r="C387" s="8" t="str">
        <f t="shared" si="12"/>
        <v>att_faims_outer_temp:100c</v>
      </c>
      <c r="D387" s="9" t="s">
        <v>17</v>
      </c>
      <c r="E387" s="8">
        <v>100</v>
      </c>
      <c r="F387" s="9" t="s">
        <v>17</v>
      </c>
    </row>
    <row r="388" spans="1:6" x14ac:dyDescent="0.15">
      <c r="A388" s="8" t="s">
        <v>1183</v>
      </c>
      <c r="B388" s="8" t="s">
        <v>120</v>
      </c>
      <c r="C388" s="8" t="str">
        <f t="shared" si="12"/>
        <v>att_faims_outer_temp:95c</v>
      </c>
      <c r="D388" s="9" t="s">
        <v>17</v>
      </c>
      <c r="E388" s="8">
        <v>95</v>
      </c>
      <c r="F388" s="9" t="s">
        <v>17</v>
      </c>
    </row>
    <row r="389" spans="1:6" x14ac:dyDescent="0.15">
      <c r="A389" s="8" t="s">
        <v>1184</v>
      </c>
      <c r="B389" s="8" t="s">
        <v>120</v>
      </c>
      <c r="C389" s="8" t="str">
        <f t="shared" si="12"/>
        <v>att_faims_outer_temp:96c</v>
      </c>
      <c r="D389" s="9" t="s">
        <v>17</v>
      </c>
      <c r="E389" s="8">
        <v>96</v>
      </c>
      <c r="F389" s="9" t="s">
        <v>17</v>
      </c>
    </row>
    <row r="390" spans="1:6" x14ac:dyDescent="0.15">
      <c r="A390" s="8" t="s">
        <v>1185</v>
      </c>
      <c r="B390" s="8" t="s">
        <v>120</v>
      </c>
      <c r="C390" s="8" t="str">
        <f t="shared" si="12"/>
        <v>att_faims_outer_temp:97c</v>
      </c>
      <c r="D390" s="9" t="s">
        <v>17</v>
      </c>
      <c r="E390" s="8">
        <v>97</v>
      </c>
      <c r="F390" s="9" t="s">
        <v>17</v>
      </c>
    </row>
    <row r="391" spans="1:6" x14ac:dyDescent="0.15">
      <c r="A391" s="8" t="s">
        <v>1186</v>
      </c>
      <c r="B391" s="8" t="s">
        <v>120</v>
      </c>
      <c r="C391" s="8" t="str">
        <f t="shared" si="12"/>
        <v>att_faims_outer_temp:98c</v>
      </c>
      <c r="D391" s="9" t="s">
        <v>17</v>
      </c>
      <c r="E391" s="8">
        <v>98</v>
      </c>
      <c r="F391" s="9" t="s">
        <v>17</v>
      </c>
    </row>
    <row r="392" spans="1:6" x14ac:dyDescent="0.15">
      <c r="A392" s="8" t="s">
        <v>1187</v>
      </c>
      <c r="B392" s="8" t="s">
        <v>120</v>
      </c>
      <c r="C392" s="8" t="str">
        <f t="shared" si="12"/>
        <v>att_faims_outer_temp:99c</v>
      </c>
      <c r="D392" s="9" t="s">
        <v>17</v>
      </c>
      <c r="E392" s="8">
        <v>99</v>
      </c>
      <c r="F392" s="9" t="s">
        <v>17</v>
      </c>
    </row>
    <row r="393" spans="1:6" x14ac:dyDescent="0.15">
      <c r="A393" s="8" t="s">
        <v>1188</v>
      </c>
      <c r="B393" s="8" t="s">
        <v>1189</v>
      </c>
      <c r="C393" s="8" t="str">
        <f t="shared" si="12"/>
        <v>att_fluid:bal</v>
      </c>
      <c r="D393" s="9" t="s">
        <v>17</v>
      </c>
      <c r="E393" s="8" t="s">
        <v>1190</v>
      </c>
      <c r="F393" s="8" t="s">
        <v>1191</v>
      </c>
    </row>
    <row r="394" spans="1:6" x14ac:dyDescent="0.15">
      <c r="A394" s="8" t="s">
        <v>1192</v>
      </c>
      <c r="B394" s="8" t="s">
        <v>1189</v>
      </c>
      <c r="C394" s="8" t="str">
        <f t="shared" si="12"/>
        <v>att_fluid:cerebrospinal</v>
      </c>
      <c r="D394" s="9" t="s">
        <v>17</v>
      </c>
      <c r="E394" s="8" t="s">
        <v>1193</v>
      </c>
      <c r="F394" s="8" t="s">
        <v>1194</v>
      </c>
    </row>
    <row r="395" spans="1:6" x14ac:dyDescent="0.15">
      <c r="A395" s="8" t="s">
        <v>1195</v>
      </c>
      <c r="B395" s="8" t="s">
        <v>1189</v>
      </c>
      <c r="C395" s="8" t="str">
        <f t="shared" si="12"/>
        <v>att_fluid:feces</v>
      </c>
      <c r="D395" s="9" t="s">
        <v>17</v>
      </c>
      <c r="E395" s="8" t="s">
        <v>1196</v>
      </c>
      <c r="F395" s="8" t="s">
        <v>1197</v>
      </c>
    </row>
    <row r="396" spans="1:6" x14ac:dyDescent="0.15">
      <c r="A396" s="8" t="s">
        <v>1198</v>
      </c>
      <c r="B396" s="8" t="s">
        <v>1189</v>
      </c>
      <c r="C396" s="8" t="str">
        <f t="shared" si="12"/>
        <v>att_fluid:interstitial</v>
      </c>
      <c r="D396" s="9" t="s">
        <v>17</v>
      </c>
      <c r="E396" s="8" t="s">
        <v>1199</v>
      </c>
      <c r="F396" s="8" t="s">
        <v>1200</v>
      </c>
    </row>
    <row r="397" spans="1:6" x14ac:dyDescent="0.15">
      <c r="A397" s="8" t="s">
        <v>1201</v>
      </c>
      <c r="B397" s="8" t="s">
        <v>1189</v>
      </c>
      <c r="C397" s="8" t="str">
        <f t="shared" si="12"/>
        <v>att_fluid:lymph</v>
      </c>
      <c r="D397" s="9" t="s">
        <v>17</v>
      </c>
      <c r="E397" s="8" t="s">
        <v>1202</v>
      </c>
      <c r="F397" s="8" t="s">
        <v>1203</v>
      </c>
    </row>
    <row r="398" spans="1:6" x14ac:dyDescent="0.15">
      <c r="A398" s="8" t="s">
        <v>1204</v>
      </c>
      <c r="B398" s="8" t="s">
        <v>1189</v>
      </c>
      <c r="C398" s="8" t="str">
        <f t="shared" ref="C398:C442" si="13">B398&amp;":"&amp;A398</f>
        <v>att_fluid:peritoneal</v>
      </c>
      <c r="D398" s="9" t="s">
        <v>17</v>
      </c>
      <c r="E398" s="8" t="s">
        <v>1205</v>
      </c>
      <c r="F398" s="8" t="s">
        <v>1206</v>
      </c>
    </row>
    <row r="399" spans="1:6" x14ac:dyDescent="0.15">
      <c r="A399" s="8" t="s">
        <v>1207</v>
      </c>
      <c r="B399" s="8" t="s">
        <v>1189</v>
      </c>
      <c r="C399" s="8" t="str">
        <f t="shared" si="13"/>
        <v>att_fluid:plasma</v>
      </c>
      <c r="D399" s="9" t="s">
        <v>17</v>
      </c>
      <c r="E399" s="8" t="s">
        <v>1208</v>
      </c>
      <c r="F399" s="8" t="s">
        <v>1209</v>
      </c>
    </row>
    <row r="400" spans="1:6" x14ac:dyDescent="0.15">
      <c r="A400" s="8" t="s">
        <v>1210</v>
      </c>
      <c r="B400" s="8" t="s">
        <v>1189</v>
      </c>
      <c r="C400" s="8" t="str">
        <f t="shared" si="13"/>
        <v>att_fluid:pleural</v>
      </c>
      <c r="D400" s="9" t="s">
        <v>17</v>
      </c>
      <c r="E400" s="8" t="s">
        <v>1211</v>
      </c>
      <c r="F400" s="8" t="s">
        <v>1212</v>
      </c>
    </row>
    <row r="401" spans="1:6" x14ac:dyDescent="0.15">
      <c r="A401" s="8" t="s">
        <v>1213</v>
      </c>
      <c r="B401" s="8" t="s">
        <v>1189</v>
      </c>
      <c r="C401" s="8" t="str">
        <f t="shared" si="13"/>
        <v>att_fluid:saliva</v>
      </c>
      <c r="D401" s="9" t="s">
        <v>17</v>
      </c>
      <c r="E401" s="8" t="s">
        <v>1214</v>
      </c>
      <c r="F401" s="8" t="s">
        <v>1215</v>
      </c>
    </row>
    <row r="402" spans="1:6" x14ac:dyDescent="0.15">
      <c r="A402" s="8" t="s">
        <v>1216</v>
      </c>
      <c r="B402" s="8" t="s">
        <v>1189</v>
      </c>
      <c r="C402" s="8" t="str">
        <f t="shared" si="13"/>
        <v>att_fluid:seminal</v>
      </c>
      <c r="D402" s="9" t="s">
        <v>17</v>
      </c>
      <c r="E402" s="8" t="s">
        <v>1217</v>
      </c>
      <c r="F402" s="8" t="s">
        <v>1218</v>
      </c>
    </row>
    <row r="403" spans="1:6" x14ac:dyDescent="0.15">
      <c r="A403" s="8" t="s">
        <v>1219</v>
      </c>
      <c r="B403" s="8" t="s">
        <v>1189</v>
      </c>
      <c r="C403" s="8" t="str">
        <f t="shared" si="13"/>
        <v>att_fluid:serum</v>
      </c>
      <c r="D403" s="9" t="s">
        <v>17</v>
      </c>
      <c r="E403" s="8" t="s">
        <v>1220</v>
      </c>
      <c r="F403" s="8" t="s">
        <v>1221</v>
      </c>
    </row>
    <row r="404" spans="1:6" x14ac:dyDescent="0.15">
      <c r="A404" s="8" t="s">
        <v>1222</v>
      </c>
      <c r="B404" s="8" t="s">
        <v>1189</v>
      </c>
      <c r="C404" s="8" t="str">
        <f t="shared" si="13"/>
        <v>att_fluid:urine</v>
      </c>
      <c r="D404" s="9" t="s">
        <v>17</v>
      </c>
      <c r="E404" s="8" t="s">
        <v>1223</v>
      </c>
      <c r="F404" s="8" t="s">
        <v>1224</v>
      </c>
    </row>
    <row r="405" spans="1:6" x14ac:dyDescent="0.15">
      <c r="A405" s="8" t="s">
        <v>1225</v>
      </c>
      <c r="B405" s="8" t="s">
        <v>1226</v>
      </c>
      <c r="C405" s="8" t="str">
        <f t="shared" si="13"/>
        <v>att_fraction:01k</v>
      </c>
      <c r="D405" s="8" t="s">
        <v>1225</v>
      </c>
      <c r="E405" s="8" t="s">
        <v>1225</v>
      </c>
      <c r="F405" s="8" t="s">
        <v>1227</v>
      </c>
    </row>
    <row r="406" spans="1:6" x14ac:dyDescent="0.15">
      <c r="A406" s="8" t="s">
        <v>1228</v>
      </c>
      <c r="B406" s="8" t="s">
        <v>1226</v>
      </c>
      <c r="C406" s="8" t="str">
        <f t="shared" si="13"/>
        <v>att_fraction:05k</v>
      </c>
      <c r="D406" s="8" t="s">
        <v>1228</v>
      </c>
      <c r="E406" s="8" t="s">
        <v>1228</v>
      </c>
      <c r="F406" s="8" t="s">
        <v>1229</v>
      </c>
    </row>
    <row r="407" spans="1:6" x14ac:dyDescent="0.15">
      <c r="A407" s="8" t="s">
        <v>1230</v>
      </c>
      <c r="B407" s="8" t="s">
        <v>1226</v>
      </c>
      <c r="C407" s="8" t="str">
        <f t="shared" si="13"/>
        <v>att_fraction:12k</v>
      </c>
      <c r="D407" s="8" t="s">
        <v>1230</v>
      </c>
      <c r="E407" s="8" t="s">
        <v>1230</v>
      </c>
      <c r="F407" s="8" t="s">
        <v>1231</v>
      </c>
    </row>
    <row r="408" spans="1:6" x14ac:dyDescent="0.15">
      <c r="A408" s="8" t="s">
        <v>1232</v>
      </c>
      <c r="B408" s="8" t="s">
        <v>1226</v>
      </c>
      <c r="C408" s="8" t="str">
        <f t="shared" si="13"/>
        <v>att_fraction:24k</v>
      </c>
      <c r="D408" s="8" t="s">
        <v>1232</v>
      </c>
      <c r="E408" s="8" t="s">
        <v>1232</v>
      </c>
      <c r="F408" s="8" t="s">
        <v>1233</v>
      </c>
    </row>
    <row r="409" spans="1:6" x14ac:dyDescent="0.15">
      <c r="A409" s="8" t="s">
        <v>1234</v>
      </c>
      <c r="B409" s="8" t="s">
        <v>1226</v>
      </c>
      <c r="C409" s="8" t="str">
        <f t="shared" si="13"/>
        <v>att_fraction:79k</v>
      </c>
      <c r="D409" s="8" t="s">
        <v>1234</v>
      </c>
      <c r="E409" s="8" t="s">
        <v>1234</v>
      </c>
      <c r="F409" s="8" t="s">
        <v>1235</v>
      </c>
    </row>
    <row r="410" spans="1:6" x14ac:dyDescent="0.15">
      <c r="A410" s="8" t="s">
        <v>1236</v>
      </c>
      <c r="B410" s="8" t="s">
        <v>1226</v>
      </c>
      <c r="C410" s="8" t="str">
        <f t="shared" si="13"/>
        <v>att_fraction:crude_mito</v>
      </c>
      <c r="D410" s="8" t="s">
        <v>1237</v>
      </c>
      <c r="E410" s="8" t="s">
        <v>1238</v>
      </c>
      <c r="F410" s="8" t="s">
        <v>1239</v>
      </c>
    </row>
    <row r="411" spans="1:6" x14ac:dyDescent="0.15">
      <c r="A411" s="8" t="s">
        <v>1240</v>
      </c>
      <c r="B411" s="8" t="s">
        <v>1226</v>
      </c>
      <c r="C411" s="8" t="str">
        <f t="shared" si="13"/>
        <v>att_fraction:cytosolic</v>
      </c>
      <c r="D411" s="8" t="s">
        <v>1240</v>
      </c>
      <c r="E411" s="8" t="s">
        <v>1241</v>
      </c>
      <c r="F411" s="8" t="s">
        <v>1242</v>
      </c>
    </row>
    <row r="412" spans="1:6" x14ac:dyDescent="0.15">
      <c r="A412" s="8" t="s">
        <v>1243</v>
      </c>
      <c r="B412" s="8" t="s">
        <v>1226</v>
      </c>
      <c r="C412" s="8" t="str">
        <f t="shared" si="13"/>
        <v>att_fraction:total</v>
      </c>
      <c r="D412" s="8" t="s">
        <v>1243</v>
      </c>
      <c r="E412" s="8" t="s">
        <v>1244</v>
      </c>
      <c r="F412" s="8" t="s">
        <v>1245</v>
      </c>
    </row>
    <row r="413" spans="1:6" x14ac:dyDescent="0.15">
      <c r="A413" s="8" t="s">
        <v>3167</v>
      </c>
      <c r="B413" s="8" t="s">
        <v>1226</v>
      </c>
      <c r="C413" s="8" t="str">
        <f t="shared" si="13"/>
        <v>att_fraction:pellet</v>
      </c>
      <c r="D413" s="8" t="s">
        <v>3167</v>
      </c>
      <c r="E413" s="8" t="s">
        <v>3168</v>
      </c>
      <c r="F413" s="8" t="s">
        <v>3170</v>
      </c>
    </row>
    <row r="414" spans="1:6" x14ac:dyDescent="0.15">
      <c r="A414" s="8" t="s">
        <v>2994</v>
      </c>
      <c r="B414" s="8" t="s">
        <v>1226</v>
      </c>
      <c r="C414" s="8" t="str">
        <f t="shared" si="13"/>
        <v>att_fraction:supernatant</v>
      </c>
      <c r="D414" s="8" t="s">
        <v>2994</v>
      </c>
      <c r="E414" s="8" t="s">
        <v>2995</v>
      </c>
      <c r="F414" s="8" t="s">
        <v>3169</v>
      </c>
    </row>
    <row r="415" spans="1:6" x14ac:dyDescent="0.15">
      <c r="A415" s="8" t="s">
        <v>2950</v>
      </c>
      <c r="B415" s="8" t="s">
        <v>127</v>
      </c>
      <c r="C415" s="8" t="str">
        <f t="shared" si="13"/>
        <v>att_gene_editing_method:homologrecombination</v>
      </c>
      <c r="D415" s="8" t="s">
        <v>17</v>
      </c>
      <c r="E415" s="8" t="s">
        <v>2951</v>
      </c>
      <c r="F415" s="8" t="s">
        <v>2952</v>
      </c>
    </row>
    <row r="416" spans="1:6" x14ac:dyDescent="0.15">
      <c r="A416" s="8" t="s">
        <v>1246</v>
      </c>
      <c r="B416" s="8" t="s">
        <v>127</v>
      </c>
      <c r="C416" s="8" t="str">
        <f t="shared" si="13"/>
        <v>att_gene_editing_method:biggybac</v>
      </c>
      <c r="D416" s="9" t="s">
        <v>17</v>
      </c>
      <c r="E416" s="8" t="s">
        <v>1247</v>
      </c>
      <c r="F416" s="8" t="s">
        <v>1248</v>
      </c>
    </row>
    <row r="417" spans="1:6" x14ac:dyDescent="0.15">
      <c r="A417" s="8" t="s">
        <v>1249</v>
      </c>
      <c r="B417" s="8" t="s">
        <v>127</v>
      </c>
      <c r="C417" s="8" t="str">
        <f t="shared" si="13"/>
        <v>att_gene_editing_method:crispr</v>
      </c>
      <c r="D417" s="9" t="s">
        <v>17</v>
      </c>
      <c r="E417" s="8" t="s">
        <v>1250</v>
      </c>
      <c r="F417" s="8" t="s">
        <v>1251</v>
      </c>
    </row>
    <row r="418" spans="1:6" x14ac:dyDescent="0.15">
      <c r="A418" s="8" t="s">
        <v>1252</v>
      </c>
      <c r="B418" s="8" t="s">
        <v>127</v>
      </c>
      <c r="C418" s="8" t="str">
        <f t="shared" si="13"/>
        <v>att_gene_editing_method:crispr_hdr</v>
      </c>
      <c r="D418" s="9" t="s">
        <v>17</v>
      </c>
      <c r="E418" s="8" t="s">
        <v>1253</v>
      </c>
      <c r="F418" s="8" t="s">
        <v>1254</v>
      </c>
    </row>
    <row r="419" spans="1:6" x14ac:dyDescent="0.15">
      <c r="A419" s="8" t="s">
        <v>1255</v>
      </c>
      <c r="B419" s="8" t="s">
        <v>127</v>
      </c>
      <c r="C419" s="8" t="str">
        <f t="shared" si="13"/>
        <v>att_gene_editing_method:lentiviral</v>
      </c>
      <c r="D419" s="9" t="s">
        <v>17</v>
      </c>
      <c r="E419" s="8" t="s">
        <v>1256</v>
      </c>
      <c r="F419" s="8" t="s">
        <v>1257</v>
      </c>
    </row>
    <row r="420" spans="1:6" x14ac:dyDescent="0.15">
      <c r="A420" s="8" t="s">
        <v>1258</v>
      </c>
      <c r="B420" s="8" t="s">
        <v>127</v>
      </c>
      <c r="C420" s="8" t="str">
        <f t="shared" si="13"/>
        <v>att_gene_editing_method:talen</v>
      </c>
      <c r="D420" s="9" t="s">
        <v>17</v>
      </c>
      <c r="E420" s="8" t="s">
        <v>1259</v>
      </c>
      <c r="F420" s="8" t="s">
        <v>1260</v>
      </c>
    </row>
    <row r="421" spans="1:6" x14ac:dyDescent="0.15">
      <c r="A421" s="8" t="s">
        <v>1261</v>
      </c>
      <c r="B421" s="8" t="s">
        <v>127</v>
      </c>
      <c r="C421" s="8" t="str">
        <f t="shared" si="13"/>
        <v>att_gene_editing_method:zincfinger</v>
      </c>
      <c r="D421" s="9" t="s">
        <v>17</v>
      </c>
      <c r="E421" s="8" t="s">
        <v>1262</v>
      </c>
      <c r="F421" s="8" t="s">
        <v>1263</v>
      </c>
    </row>
    <row r="422" spans="1:6" x14ac:dyDescent="0.15">
      <c r="A422" s="8" t="s">
        <v>1264</v>
      </c>
      <c r="B422" s="8" t="s">
        <v>131</v>
      </c>
      <c r="C422" s="8" t="str">
        <f t="shared" si="13"/>
        <v>att_gene_engineering:deletion</v>
      </c>
      <c r="D422" s="9" t="s">
        <v>17</v>
      </c>
      <c r="E422" s="8" t="s">
        <v>1265</v>
      </c>
      <c r="F422" s="8" t="s">
        <v>1266</v>
      </c>
    </row>
    <row r="423" spans="1:6" x14ac:dyDescent="0.15">
      <c r="A423" s="8" t="s">
        <v>1267</v>
      </c>
      <c r="B423" s="8" t="s">
        <v>131</v>
      </c>
      <c r="C423" s="8" t="str">
        <f t="shared" si="13"/>
        <v>att_gene_engineering:inducible_expression</v>
      </c>
      <c r="D423" s="9" t="s">
        <v>17</v>
      </c>
      <c r="E423" s="8" t="s">
        <v>1268</v>
      </c>
      <c r="F423" s="8" t="s">
        <v>1269</v>
      </c>
    </row>
    <row r="424" spans="1:6" x14ac:dyDescent="0.15">
      <c r="A424" s="8" t="s">
        <v>1270</v>
      </c>
      <c r="B424" s="8" t="s">
        <v>131</v>
      </c>
      <c r="C424" s="8" t="str">
        <f t="shared" si="13"/>
        <v>att_gene_engineering:knockin</v>
      </c>
      <c r="D424" s="9" t="s">
        <v>17</v>
      </c>
      <c r="E424" s="8" t="s">
        <v>1271</v>
      </c>
      <c r="F424" s="8" t="s">
        <v>1272</v>
      </c>
    </row>
    <row r="425" spans="1:6" x14ac:dyDescent="0.15">
      <c r="A425" s="8" t="s">
        <v>1273</v>
      </c>
      <c r="B425" s="8" t="s">
        <v>131</v>
      </c>
      <c r="C425" s="8" t="str">
        <f t="shared" si="13"/>
        <v>att_gene_engineering:ko</v>
      </c>
      <c r="D425" s="9" t="s">
        <v>17</v>
      </c>
      <c r="E425" s="8" t="s">
        <v>1274</v>
      </c>
      <c r="F425" s="8" t="s">
        <v>1275</v>
      </c>
    </row>
    <row r="426" spans="1:6" x14ac:dyDescent="0.15">
      <c r="A426" s="8" t="s">
        <v>1276</v>
      </c>
      <c r="B426" s="8" t="s">
        <v>131</v>
      </c>
      <c r="C426" s="8" t="str">
        <f t="shared" si="13"/>
        <v>att_gene_engineering:stable_expression</v>
      </c>
      <c r="D426" s="9" t="s">
        <v>17</v>
      </c>
      <c r="E426" s="8" t="s">
        <v>1277</v>
      </c>
      <c r="F426" s="8" t="s">
        <v>1278</v>
      </c>
    </row>
    <row r="427" spans="1:6" x14ac:dyDescent="0.15">
      <c r="A427" s="8" t="s">
        <v>2796</v>
      </c>
      <c r="B427" s="8" t="s">
        <v>128</v>
      </c>
      <c r="C427" s="8" t="str">
        <f t="shared" si="13"/>
        <v>att_gene_zygosity:(+/-)</v>
      </c>
      <c r="D427" s="9" t="s">
        <v>17</v>
      </c>
      <c r="E427" s="8" t="s">
        <v>1279</v>
      </c>
      <c r="F427" s="8" t="s">
        <v>1280</v>
      </c>
    </row>
    <row r="428" spans="1:6" x14ac:dyDescent="0.15">
      <c r="A428" s="8" t="s">
        <v>2797</v>
      </c>
      <c r="B428" s="8" t="s">
        <v>128</v>
      </c>
      <c r="C428" s="8" t="str">
        <f t="shared" ref="C428:C436" si="14">B428&amp;":"&amp;A428</f>
        <v>att_gene_zygosity:(-/-)</v>
      </c>
      <c r="D428" s="9" t="s">
        <v>17</v>
      </c>
      <c r="E428" s="8" t="s">
        <v>1281</v>
      </c>
      <c r="F428" s="8" t="s">
        <v>1282</v>
      </c>
    </row>
    <row r="429" spans="1:6" x14ac:dyDescent="0.15">
      <c r="A429" s="8" t="s">
        <v>2798</v>
      </c>
      <c r="B429" s="8" t="s">
        <v>128</v>
      </c>
      <c r="C429" s="8" t="str">
        <f t="shared" si="14"/>
        <v>att_gene_zygosity:(+/+)</v>
      </c>
      <c r="D429" s="9" t="s">
        <v>17</v>
      </c>
      <c r="E429" s="8" t="s">
        <v>2790</v>
      </c>
      <c r="F429" s="8" t="s">
        <v>2791</v>
      </c>
    </row>
    <row r="430" spans="1:6" x14ac:dyDescent="0.15">
      <c r="A430" s="8" t="s">
        <v>3016</v>
      </c>
      <c r="B430" s="8" t="s">
        <v>128</v>
      </c>
      <c r="C430" s="8" t="str">
        <f t="shared" si="14"/>
        <v>att_gene_zygosity:hemi</v>
      </c>
      <c r="D430" s="9" t="s">
        <v>17</v>
      </c>
      <c r="E430" s="8" t="s">
        <v>3017</v>
      </c>
      <c r="F430" s="8" t="s">
        <v>3018</v>
      </c>
    </row>
    <row r="431" spans="1:6" x14ac:dyDescent="0.15">
      <c r="A431" s="8" t="s">
        <v>2801</v>
      </c>
      <c r="B431" s="8" t="s">
        <v>128</v>
      </c>
      <c r="C431" s="8" t="str">
        <f t="shared" si="14"/>
        <v>att_gene_zygosity:unknown</v>
      </c>
      <c r="D431" s="9" t="s">
        <v>17</v>
      </c>
      <c r="E431" s="8" t="s">
        <v>2847</v>
      </c>
      <c r="F431" s="8" t="s">
        <v>2802</v>
      </c>
    </row>
    <row r="432" spans="1:6" x14ac:dyDescent="0.15">
      <c r="A432" s="8" t="s">
        <v>2945</v>
      </c>
      <c r="B432" s="8" t="s">
        <v>2943</v>
      </c>
      <c r="C432" s="8" t="str">
        <f t="shared" si="14"/>
        <v>att_gender:male</v>
      </c>
      <c r="D432" s="9" t="s">
        <v>17</v>
      </c>
      <c r="E432" s="8" t="s">
        <v>2946</v>
      </c>
      <c r="F432" s="8" t="s">
        <v>2946</v>
      </c>
    </row>
    <row r="433" spans="1:6" x14ac:dyDescent="0.15">
      <c r="A433" s="8" t="s">
        <v>2947</v>
      </c>
      <c r="B433" s="8" t="s">
        <v>2943</v>
      </c>
      <c r="C433" s="8" t="str">
        <f t="shared" si="14"/>
        <v>att_gender:female</v>
      </c>
      <c r="D433" s="9" t="s">
        <v>17</v>
      </c>
      <c r="E433" s="8" t="s">
        <v>2948</v>
      </c>
      <c r="F433" s="8" t="s">
        <v>2948</v>
      </c>
    </row>
    <row r="434" spans="1:6" x14ac:dyDescent="0.15">
      <c r="A434" s="8">
        <v>60</v>
      </c>
      <c r="B434" s="8" t="s">
        <v>143</v>
      </c>
      <c r="C434" s="8" t="str">
        <f t="shared" si="14"/>
        <v>att_lc_gradient_length:60</v>
      </c>
      <c r="D434" s="9" t="s">
        <v>17</v>
      </c>
      <c r="E434" s="8" t="s">
        <v>3060</v>
      </c>
      <c r="F434" s="8" t="s">
        <v>3061</v>
      </c>
    </row>
    <row r="435" spans="1:6" x14ac:dyDescent="0.15">
      <c r="A435" s="8">
        <v>90</v>
      </c>
      <c r="B435" s="8" t="s">
        <v>143</v>
      </c>
      <c r="C435" s="8" t="str">
        <f t="shared" ref="C435" si="15">B435&amp;":"&amp;A435</f>
        <v>att_lc_gradient_length:90</v>
      </c>
      <c r="D435" s="9" t="s">
        <v>17</v>
      </c>
      <c r="E435" s="8" t="s">
        <v>3059</v>
      </c>
      <c r="F435" s="8" t="s">
        <v>3062</v>
      </c>
    </row>
    <row r="436" spans="1:6" x14ac:dyDescent="0.15">
      <c r="A436" s="8">
        <v>120</v>
      </c>
      <c r="B436" s="8" t="s">
        <v>143</v>
      </c>
      <c r="C436" s="8" t="str">
        <f t="shared" si="14"/>
        <v>att_lc_gradient_length:120</v>
      </c>
      <c r="D436" s="9" t="s">
        <v>17</v>
      </c>
      <c r="E436" s="8" t="s">
        <v>3057</v>
      </c>
      <c r="F436" s="8" t="s">
        <v>3058</v>
      </c>
    </row>
    <row r="437" spans="1:6" x14ac:dyDescent="0.15">
      <c r="A437" s="8" t="s">
        <v>1283</v>
      </c>
      <c r="B437" s="8" t="s">
        <v>135</v>
      </c>
      <c r="C437" s="8" t="str">
        <f t="shared" si="13"/>
        <v>att_isolation_width:14dia</v>
      </c>
      <c r="D437" s="9" t="s">
        <v>17</v>
      </c>
      <c r="E437" s="8">
        <v>14</v>
      </c>
      <c r="F437" s="8" t="s">
        <v>1284</v>
      </c>
    </row>
    <row r="438" spans="1:6" x14ac:dyDescent="0.15">
      <c r="A438" s="8" t="s">
        <v>1285</v>
      </c>
      <c r="B438" s="8" t="s">
        <v>135</v>
      </c>
      <c r="C438" s="8" t="str">
        <f t="shared" si="13"/>
        <v>att_isolation_width:onepointfour</v>
      </c>
      <c r="D438" s="9" t="s">
        <v>17</v>
      </c>
      <c r="E438" s="8">
        <v>1.4</v>
      </c>
      <c r="F438" s="8" t="s">
        <v>1286</v>
      </c>
    </row>
    <row r="439" spans="1:6" x14ac:dyDescent="0.15">
      <c r="A439" s="8" t="s">
        <v>1287</v>
      </c>
      <c r="B439" s="8" t="s">
        <v>138</v>
      </c>
      <c r="C439" s="8" t="str">
        <f t="shared" si="13"/>
        <v>att_knockdown_technique:esirna</v>
      </c>
      <c r="D439" s="8" t="s">
        <v>1287</v>
      </c>
      <c r="E439" s="8" t="s">
        <v>1288</v>
      </c>
      <c r="F439" s="8" t="s">
        <v>1289</v>
      </c>
    </row>
    <row r="440" spans="1:6" x14ac:dyDescent="0.15">
      <c r="A440" s="8" t="s">
        <v>1290</v>
      </c>
      <c r="B440" s="8" t="s">
        <v>138</v>
      </c>
      <c r="C440" s="8" t="str">
        <f t="shared" si="13"/>
        <v>att_knockdown_technique:grna</v>
      </c>
      <c r="D440" s="8" t="s">
        <v>1290</v>
      </c>
      <c r="E440" s="8" t="s">
        <v>1291</v>
      </c>
      <c r="F440" s="8" t="s">
        <v>1292</v>
      </c>
    </row>
    <row r="441" spans="1:6" x14ac:dyDescent="0.15">
      <c r="A441" s="8" t="s">
        <v>1293</v>
      </c>
      <c r="B441" s="8" t="s">
        <v>138</v>
      </c>
      <c r="C441" s="8" t="str">
        <f t="shared" si="13"/>
        <v>att_knockdown_technique:mirna</v>
      </c>
      <c r="D441" s="8" t="s">
        <v>1293</v>
      </c>
      <c r="E441" s="8" t="s">
        <v>1294</v>
      </c>
      <c r="F441" s="8" t="s">
        <v>1295</v>
      </c>
    </row>
    <row r="442" spans="1:6" x14ac:dyDescent="0.15">
      <c r="A442" s="8" t="s">
        <v>1296</v>
      </c>
      <c r="B442" s="8" t="s">
        <v>138</v>
      </c>
      <c r="C442" s="8" t="str">
        <f t="shared" si="13"/>
        <v>att_knockdown_technique:shrna</v>
      </c>
      <c r="D442" s="8" t="s">
        <v>1296</v>
      </c>
      <c r="E442" s="8" t="s">
        <v>1297</v>
      </c>
      <c r="F442" s="8" t="s">
        <v>1298</v>
      </c>
    </row>
    <row r="443" spans="1:6" x14ac:dyDescent="0.15">
      <c r="A443" s="8" t="s">
        <v>1299</v>
      </c>
      <c r="B443" s="8" t="s">
        <v>138</v>
      </c>
      <c r="C443" s="8" t="str">
        <f t="shared" ref="C443:C518" si="16">B443&amp;":"&amp;A443</f>
        <v>att_knockdown_technique:sirna</v>
      </c>
      <c r="D443" s="8" t="s">
        <v>1299</v>
      </c>
      <c r="E443" s="8" t="s">
        <v>1300</v>
      </c>
      <c r="F443" s="8" t="s">
        <v>1301</v>
      </c>
    </row>
    <row r="444" spans="1:6" x14ac:dyDescent="0.15">
      <c r="A444" s="8" t="s">
        <v>3189</v>
      </c>
      <c r="B444" s="8" t="s">
        <v>141</v>
      </c>
      <c r="C444" s="8" t="str">
        <f t="shared" ref="C444" si="17">B444&amp;":"&amp;A444</f>
        <v>att_lc_flow_rate:185nlmin</v>
      </c>
      <c r="D444" s="9" t="s">
        <v>17</v>
      </c>
      <c r="E444" s="8">
        <v>185</v>
      </c>
      <c r="F444" s="8" t="s">
        <v>3188</v>
      </c>
    </row>
    <row r="445" spans="1:6" x14ac:dyDescent="0.15">
      <c r="A445" s="8" t="s">
        <v>1302</v>
      </c>
      <c r="B445" s="8" t="s">
        <v>141</v>
      </c>
      <c r="C445" s="8" t="str">
        <f t="shared" si="16"/>
        <v>att_lc_flow_rate:200nlmin</v>
      </c>
      <c r="D445" s="9" t="s">
        <v>17</v>
      </c>
      <c r="E445" s="8">
        <v>200</v>
      </c>
      <c r="F445" s="8" t="s">
        <v>1303</v>
      </c>
    </row>
    <row r="446" spans="1:6" x14ac:dyDescent="0.15">
      <c r="A446" s="8" t="s">
        <v>1304</v>
      </c>
      <c r="B446" s="8" t="s">
        <v>141</v>
      </c>
      <c r="C446" s="8" t="str">
        <f t="shared" si="16"/>
        <v>att_lc_flow_rate:250nlmin</v>
      </c>
      <c r="D446" s="9" t="s">
        <v>17</v>
      </c>
      <c r="E446" s="8">
        <v>250</v>
      </c>
      <c r="F446" s="8" t="s">
        <v>1305</v>
      </c>
    </row>
    <row r="447" spans="1:6" x14ac:dyDescent="0.15">
      <c r="A447" s="8" t="s">
        <v>1306</v>
      </c>
      <c r="B447" s="8" t="s">
        <v>141</v>
      </c>
      <c r="C447" s="8" t="str">
        <f t="shared" si="16"/>
        <v>att_lc_flow_rate:500nlmin</v>
      </c>
      <c r="D447" s="9" t="s">
        <v>17</v>
      </c>
      <c r="E447" s="8">
        <v>500</v>
      </c>
      <c r="F447" s="8" t="s">
        <v>1307</v>
      </c>
    </row>
    <row r="448" spans="1:6" x14ac:dyDescent="0.15">
      <c r="A448" s="8" t="s">
        <v>1308</v>
      </c>
      <c r="B448" s="8" t="s">
        <v>144</v>
      </c>
      <c r="C448" s="8" t="str">
        <f t="shared" si="16"/>
        <v>att_lc_system:e1000</v>
      </c>
      <c r="D448" s="8" t="s">
        <v>1308</v>
      </c>
      <c r="E448" s="8" t="s">
        <v>1309</v>
      </c>
      <c r="F448" s="8" t="s">
        <v>1310</v>
      </c>
    </row>
    <row r="449" spans="1:6" x14ac:dyDescent="0.15">
      <c r="A449" s="8" t="s">
        <v>1311</v>
      </c>
      <c r="B449" s="8" t="s">
        <v>144</v>
      </c>
      <c r="C449" s="8" t="str">
        <f t="shared" si="16"/>
        <v>att_lc_system:e1200</v>
      </c>
      <c r="D449" s="8" t="s">
        <v>1311</v>
      </c>
      <c r="E449" s="8" t="s">
        <v>1312</v>
      </c>
      <c r="F449" s="8" t="s">
        <v>1313</v>
      </c>
    </row>
    <row r="450" spans="1:6" x14ac:dyDescent="0.15">
      <c r="A450" s="8" t="s">
        <v>1314</v>
      </c>
      <c r="B450" s="8" t="s">
        <v>144</v>
      </c>
      <c r="C450" s="8" t="str">
        <f t="shared" si="16"/>
        <v>att_lc_system:evosep</v>
      </c>
      <c r="D450" s="8" t="s">
        <v>1314</v>
      </c>
      <c r="E450" s="8" t="s">
        <v>1315</v>
      </c>
      <c r="F450" s="8" t="s">
        <v>1315</v>
      </c>
    </row>
    <row r="451" spans="1:6" x14ac:dyDescent="0.15">
      <c r="A451" s="8" t="s">
        <v>1316</v>
      </c>
      <c r="B451" s="8" t="s">
        <v>144</v>
      </c>
      <c r="C451" s="8" t="str">
        <f t="shared" si="16"/>
        <v>att_lc_system:nanoelute</v>
      </c>
      <c r="D451" s="8" t="s">
        <v>1316</v>
      </c>
      <c r="E451" s="8" t="s">
        <v>1317</v>
      </c>
      <c r="F451" s="8" t="s">
        <v>1318</v>
      </c>
    </row>
    <row r="452" spans="1:6" x14ac:dyDescent="0.15">
      <c r="A452" s="8" t="s">
        <v>1319</v>
      </c>
      <c r="B452" s="8" t="s">
        <v>144</v>
      </c>
      <c r="C452" s="8" t="str">
        <f t="shared" si="16"/>
        <v>att_lc_system:ultimate</v>
      </c>
      <c r="D452" s="8" t="s">
        <v>1319</v>
      </c>
      <c r="E452" s="8" t="s">
        <v>1320</v>
      </c>
      <c r="F452" s="8" t="s">
        <v>1321</v>
      </c>
    </row>
    <row r="453" spans="1:6" x14ac:dyDescent="0.15">
      <c r="A453" s="8" t="s">
        <v>1322</v>
      </c>
      <c r="B453" s="8" t="s">
        <v>144</v>
      </c>
      <c r="C453" s="8" t="str">
        <f t="shared" si="16"/>
        <v>att_lc_system:vanquish</v>
      </c>
      <c r="D453" s="8" t="s">
        <v>1322</v>
      </c>
      <c r="E453" s="8" t="s">
        <v>1323</v>
      </c>
      <c r="F453" s="8" t="s">
        <v>1324</v>
      </c>
    </row>
    <row r="454" spans="1:6" x14ac:dyDescent="0.15">
      <c r="A454" s="8" t="s">
        <v>3010</v>
      </c>
      <c r="B454" s="8" t="s">
        <v>142</v>
      </c>
      <c r="C454" s="8" t="str">
        <f t="shared" si="16"/>
        <v>att_lc_system_name:easy1200mpi</v>
      </c>
      <c r="D454" s="8" t="s">
        <v>17</v>
      </c>
      <c r="E454" s="8" t="s">
        <v>3011</v>
      </c>
      <c r="F454" s="8" t="s">
        <v>3012</v>
      </c>
    </row>
    <row r="455" spans="1:6" x14ac:dyDescent="0.15">
      <c r="A455" s="8" t="s">
        <v>1325</v>
      </c>
      <c r="B455" s="8" t="s">
        <v>142</v>
      </c>
      <c r="C455" s="8" t="str">
        <f t="shared" si="16"/>
        <v>att_lc_system_name:easylc1</v>
      </c>
      <c r="D455" s="9" t="s">
        <v>17</v>
      </c>
      <c r="E455" s="8" t="s">
        <v>1326</v>
      </c>
      <c r="F455" s="8" t="s">
        <v>1326</v>
      </c>
    </row>
    <row r="456" spans="1:6" x14ac:dyDescent="0.15">
      <c r="A456" s="8" t="s">
        <v>1327</v>
      </c>
      <c r="B456" s="8" t="s">
        <v>142</v>
      </c>
      <c r="C456" s="8" t="str">
        <f t="shared" si="16"/>
        <v>att_lc_system_name:easylc2</v>
      </c>
      <c r="D456" s="9" t="s">
        <v>17</v>
      </c>
      <c r="E456" s="8" t="s">
        <v>1328</v>
      </c>
      <c r="F456" s="8" t="s">
        <v>1328</v>
      </c>
    </row>
    <row r="457" spans="1:6" x14ac:dyDescent="0.15">
      <c r="A457" s="8" t="s">
        <v>1329</v>
      </c>
      <c r="B457" s="8" t="s">
        <v>142</v>
      </c>
      <c r="C457" s="8" t="str">
        <f t="shared" si="16"/>
        <v>att_lc_system_name:evosep1</v>
      </c>
      <c r="D457" s="9" t="s">
        <v>17</v>
      </c>
      <c r="E457" s="8" t="s">
        <v>1330</v>
      </c>
      <c r="F457" s="8" t="s">
        <v>1331</v>
      </c>
    </row>
    <row r="458" spans="1:6" x14ac:dyDescent="0.15">
      <c r="A458" s="8" t="s">
        <v>1332</v>
      </c>
      <c r="B458" s="8" t="s">
        <v>142</v>
      </c>
      <c r="C458" s="8" t="str">
        <f t="shared" si="16"/>
        <v>att_lc_system_name:vanquishneo1</v>
      </c>
      <c r="D458" s="9" t="s">
        <v>17</v>
      </c>
      <c r="E458" s="8" t="s">
        <v>1333</v>
      </c>
      <c r="F458" s="8" t="s">
        <v>1333</v>
      </c>
    </row>
    <row r="459" spans="1:6" x14ac:dyDescent="0.15">
      <c r="A459" s="8" t="s">
        <v>1334</v>
      </c>
      <c r="B459" s="8" t="s">
        <v>146</v>
      </c>
      <c r="C459" s="8" t="str">
        <f t="shared" si="16"/>
        <v>att_liquid_handler:bravo</v>
      </c>
      <c r="D459" s="8" t="s">
        <v>1334</v>
      </c>
      <c r="E459" s="8" t="s">
        <v>1335</v>
      </c>
      <c r="F459" s="8" t="s">
        <v>1336</v>
      </c>
    </row>
    <row r="460" spans="1:6" x14ac:dyDescent="0.15">
      <c r="A460" s="8" t="s">
        <v>1337</v>
      </c>
      <c r="B460" s="8" t="s">
        <v>146</v>
      </c>
      <c r="C460" s="8" t="str">
        <f t="shared" si="16"/>
        <v>att_liquid_handler:felix</v>
      </c>
      <c r="D460" s="8" t="s">
        <v>1337</v>
      </c>
      <c r="E460" s="8" t="s">
        <v>1338</v>
      </c>
      <c r="F460" s="8" t="s">
        <v>1339</v>
      </c>
    </row>
    <row r="461" spans="1:6" x14ac:dyDescent="0.15">
      <c r="A461" s="8" t="s">
        <v>1340</v>
      </c>
      <c r="B461" s="8" t="s">
        <v>146</v>
      </c>
      <c r="C461" s="8" t="str">
        <f t="shared" si="16"/>
        <v>att_liquid_handler:kingfisher</v>
      </c>
      <c r="D461" s="8" t="s">
        <v>1340</v>
      </c>
      <c r="E461" s="8" t="s">
        <v>1341</v>
      </c>
      <c r="F461" s="8" t="s">
        <v>1342</v>
      </c>
    </row>
    <row r="462" spans="1:6" x14ac:dyDescent="0.15">
      <c r="A462" s="8" t="s">
        <v>1343</v>
      </c>
      <c r="B462" s="8" t="s">
        <v>146</v>
      </c>
      <c r="C462" s="8" t="str">
        <f t="shared" si="16"/>
        <v>att_liquid_handler:microlabhamilton</v>
      </c>
      <c r="D462" s="8" t="s">
        <v>1343</v>
      </c>
      <c r="E462" s="8" t="s">
        <v>1344</v>
      </c>
      <c r="F462" s="8" t="s">
        <v>1345</v>
      </c>
    </row>
    <row r="463" spans="1:6" x14ac:dyDescent="0.15">
      <c r="A463" s="8" t="s">
        <v>1346</v>
      </c>
      <c r="B463" s="8" t="s">
        <v>146</v>
      </c>
      <c r="C463" s="8" t="str">
        <f t="shared" si="16"/>
        <v>att_liquid_handler:mosquitoHV</v>
      </c>
      <c r="D463" s="8" t="s">
        <v>1346</v>
      </c>
      <c r="E463" s="8" t="s">
        <v>1347</v>
      </c>
      <c r="F463" s="8" t="s">
        <v>1348</v>
      </c>
    </row>
    <row r="464" spans="1:6" x14ac:dyDescent="0.15">
      <c r="A464" s="8" t="s">
        <v>1349</v>
      </c>
      <c r="B464" s="8" t="s">
        <v>146</v>
      </c>
      <c r="C464" s="8" t="str">
        <f t="shared" si="16"/>
        <v>att_liquid_handler:mosquitoLV</v>
      </c>
      <c r="D464" s="8" t="s">
        <v>1349</v>
      </c>
      <c r="E464" s="8" t="s">
        <v>1350</v>
      </c>
      <c r="F464" s="8" t="s">
        <v>1351</v>
      </c>
    </row>
    <row r="465" spans="1:1022" x14ac:dyDescent="0.15">
      <c r="A465" s="8" t="s">
        <v>1352</v>
      </c>
      <c r="B465" s="8" t="s">
        <v>146</v>
      </c>
      <c r="C465" s="8" t="str">
        <f t="shared" si="16"/>
        <v>att_liquid_handler:opentrons</v>
      </c>
      <c r="D465" s="8" t="s">
        <v>1352</v>
      </c>
      <c r="E465" s="8" t="s">
        <v>2842</v>
      </c>
      <c r="F465" s="8" t="s">
        <v>2842</v>
      </c>
    </row>
    <row r="466" spans="1:1022" x14ac:dyDescent="0.15">
      <c r="A466" s="8" t="s">
        <v>3013</v>
      </c>
      <c r="B466" s="8" t="s">
        <v>146</v>
      </c>
      <c r="C466" s="8" t="str">
        <f t="shared" ref="C466" si="18">B466&amp;":"&amp;A466</f>
        <v>att_liquid_handler:opentronsot2</v>
      </c>
      <c r="D466" s="8" t="s">
        <v>1352</v>
      </c>
      <c r="E466" s="8" t="s">
        <v>2843</v>
      </c>
      <c r="F466" s="8" t="s">
        <v>2843</v>
      </c>
    </row>
    <row r="467" spans="1:1022" x14ac:dyDescent="0.15">
      <c r="A467" s="8" t="s">
        <v>1354</v>
      </c>
      <c r="B467" s="8" t="s">
        <v>146</v>
      </c>
      <c r="C467" s="8" t="str">
        <f t="shared" si="16"/>
        <v>att_liquid_handler:tecan</v>
      </c>
      <c r="D467" s="8" t="s">
        <v>1354</v>
      </c>
      <c r="E467" s="8" t="s">
        <v>1355</v>
      </c>
      <c r="F467" s="8" t="s">
        <v>1356</v>
      </c>
    </row>
    <row r="468" spans="1:1022" x14ac:dyDescent="0.15">
      <c r="A468" s="8" t="s">
        <v>336</v>
      </c>
      <c r="B468" s="8" t="s">
        <v>146</v>
      </c>
      <c r="C468" s="8" t="str">
        <f t="shared" si="16"/>
        <v>att_liquid_handler:none</v>
      </c>
      <c r="D468" s="8" t="s">
        <v>3194</v>
      </c>
      <c r="E468" s="8" t="s">
        <v>3195</v>
      </c>
      <c r="F468" s="8" t="s">
        <v>3196</v>
      </c>
    </row>
    <row r="469" spans="1:1022" x14ac:dyDescent="0.15">
      <c r="A469" s="8" t="s">
        <v>1357</v>
      </c>
      <c r="B469" s="8" t="s">
        <v>148</v>
      </c>
      <c r="C469" s="8" t="str">
        <f t="shared" si="16"/>
        <v>att_lysis_buffer:one_sdc</v>
      </c>
      <c r="D469" s="9" t="s">
        <v>17</v>
      </c>
      <c r="E469" s="8" t="s">
        <v>1358</v>
      </c>
      <c r="F469" s="8" t="s">
        <v>1359</v>
      </c>
    </row>
    <row r="470" spans="1:1022" x14ac:dyDescent="0.15">
      <c r="A470" s="8" t="s">
        <v>1010</v>
      </c>
      <c r="B470" s="8" t="s">
        <v>148</v>
      </c>
      <c r="C470" s="8" t="str">
        <f t="shared" si="16"/>
        <v>att_lysis_buffer:sds</v>
      </c>
      <c r="D470" s="9" t="s">
        <v>17</v>
      </c>
      <c r="E470" s="8" t="s">
        <v>1360</v>
      </c>
      <c r="F470" s="8" t="s">
        <v>1361</v>
      </c>
    </row>
    <row r="471" spans="1:1022" x14ac:dyDescent="0.15">
      <c r="A471" s="8" t="s">
        <v>1362</v>
      </c>
      <c r="B471" s="8" t="s">
        <v>148</v>
      </c>
      <c r="C471" s="8" t="str">
        <f t="shared" si="16"/>
        <v>att_lysis_buffer:two_sdc</v>
      </c>
      <c r="D471" s="9" t="s">
        <v>17</v>
      </c>
      <c r="E471" s="8" t="s">
        <v>1363</v>
      </c>
      <c r="F471" s="8" t="s">
        <v>1364</v>
      </c>
    </row>
    <row r="472" spans="1:1022" x14ac:dyDescent="0.15">
      <c r="A472" s="8" t="s">
        <v>1365</v>
      </c>
      <c r="B472" s="8" t="s">
        <v>148</v>
      </c>
      <c r="C472" s="8" t="str">
        <f t="shared" si="16"/>
        <v>att_lysis_buffer:urea</v>
      </c>
      <c r="D472" s="9" t="s">
        <v>17</v>
      </c>
      <c r="E472" s="8" t="s">
        <v>1366</v>
      </c>
      <c r="F472" s="8" t="s">
        <v>1367</v>
      </c>
    </row>
    <row r="473" spans="1:1022" x14ac:dyDescent="0.15">
      <c r="A473" s="8" t="s">
        <v>3177</v>
      </c>
      <c r="B473" s="8" t="s">
        <v>148</v>
      </c>
      <c r="C473" s="8" t="str">
        <f t="shared" si="16"/>
        <v>att_lysis_buffer:ripa</v>
      </c>
      <c r="D473" s="9" t="s">
        <v>17</v>
      </c>
      <c r="E473" s="8" t="s">
        <v>3178</v>
      </c>
      <c r="F473" s="8" t="s">
        <v>3179</v>
      </c>
    </row>
    <row r="474" spans="1:1022" x14ac:dyDescent="0.15">
      <c r="A474" s="8" t="s">
        <v>3180</v>
      </c>
      <c r="B474" s="8" t="s">
        <v>148</v>
      </c>
      <c r="C474" s="8" t="str">
        <f t="shared" ref="C474" si="19">B474&amp;":"&amp;A474</f>
        <v>att_lysis_buffer:ripasds</v>
      </c>
      <c r="D474" s="9" t="s">
        <v>17</v>
      </c>
      <c r="E474" s="8" t="s">
        <v>3181</v>
      </c>
      <c r="F474" s="8" t="s">
        <v>3182</v>
      </c>
    </row>
    <row r="475" spans="1:1022" x14ac:dyDescent="0.15">
      <c r="A475" s="8" t="s">
        <v>2838</v>
      </c>
      <c r="B475" s="8" t="s">
        <v>91</v>
      </c>
      <c r="C475" s="8" t="str">
        <f t="shared" ref="C475" si="20">B475&amp;":"&amp;A475</f>
        <v>att_lysis_method:chemical</v>
      </c>
      <c r="D475" s="9" t="s">
        <v>17</v>
      </c>
      <c r="E475" s="8" t="s">
        <v>2839</v>
      </c>
      <c r="F475" s="8" t="s">
        <v>2840</v>
      </c>
    </row>
    <row r="476" spans="1:1022" x14ac:dyDescent="0.15">
      <c r="A476" s="8" t="s">
        <v>2850</v>
      </c>
      <c r="B476" s="8" t="s">
        <v>91</v>
      </c>
      <c r="C476" s="8" t="str">
        <f t="shared" ref="C476" si="21">B476&amp;":"&amp;A476</f>
        <v>att_lysis_method:sonicaton</v>
      </c>
      <c r="D476" s="9" t="s">
        <v>17</v>
      </c>
      <c r="E476" s="8" t="s">
        <v>2851</v>
      </c>
      <c r="F476" s="8" t="s">
        <v>2849</v>
      </c>
    </row>
    <row r="477" spans="1:1022" x14ac:dyDescent="0.15">
      <c r="A477" s="8" t="s">
        <v>1368</v>
      </c>
      <c r="B477" s="8" t="s">
        <v>91</v>
      </c>
      <c r="C477" s="8" t="str">
        <f t="shared" si="16"/>
        <v>att_lysis_method:dounce</v>
      </c>
      <c r="D477" s="9" t="s">
        <v>17</v>
      </c>
      <c r="E477" s="8" t="s">
        <v>1369</v>
      </c>
      <c r="F477" s="8" t="s">
        <v>1370</v>
      </c>
    </row>
    <row r="478" spans="1:1022" x14ac:dyDescent="0.15">
      <c r="A478" s="8" t="s">
        <v>1371</v>
      </c>
      <c r="B478" s="8" t="s">
        <v>91</v>
      </c>
      <c r="C478" s="8" t="str">
        <f t="shared" si="16"/>
        <v>att_lysis_method:motar_pestle</v>
      </c>
      <c r="D478" s="9" t="s">
        <v>17</v>
      </c>
      <c r="E478" s="8" t="s">
        <v>1372</v>
      </c>
      <c r="F478" s="8" t="s">
        <v>1373</v>
      </c>
    </row>
    <row r="479" spans="1:1022" x14ac:dyDescent="0.15">
      <c r="A479" s="8" t="s">
        <v>1374</v>
      </c>
      <c r="B479" s="8" t="s">
        <v>91</v>
      </c>
      <c r="C479" s="8" t="str">
        <f t="shared" si="16"/>
        <v>att_lysis_method:paracyllus</v>
      </c>
      <c r="D479" s="9" t="s">
        <v>17</v>
      </c>
      <c r="E479" s="8" t="s">
        <v>1375</v>
      </c>
      <c r="F479" s="8" t="s">
        <v>1376</v>
      </c>
    </row>
    <row r="480" spans="1:1022" ht="56" x14ac:dyDescent="0.15">
      <c r="A480" s="8" t="s">
        <v>2520</v>
      </c>
      <c r="B480" s="8" t="s">
        <v>3200</v>
      </c>
      <c r="C480" s="8" t="str">
        <f t="shared" si="16"/>
        <v>att_mouse_strain:c57bl6j</v>
      </c>
      <c r="D480"/>
      <c r="E480" s="8" t="s">
        <v>3203</v>
      </c>
      <c r="F480" s="26" t="s">
        <v>3204</v>
      </c>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c r="CT480"/>
      <c r="CU480"/>
      <c r="CV480"/>
      <c r="CW480"/>
      <c r="CX480"/>
      <c r="CY480"/>
      <c r="CZ480"/>
      <c r="DA480"/>
      <c r="DB480"/>
      <c r="DC480"/>
      <c r="DD480"/>
      <c r="DE480"/>
      <c r="DF480"/>
      <c r="DG480"/>
      <c r="DH480"/>
      <c r="DI480"/>
      <c r="DJ480"/>
      <c r="DK480"/>
      <c r="DL480"/>
      <c r="DM480"/>
      <c r="DN480"/>
      <c r="DO480"/>
      <c r="DP480"/>
      <c r="DQ480"/>
      <c r="DR480"/>
      <c r="DS480"/>
      <c r="DT480"/>
      <c r="DU480"/>
      <c r="DV480"/>
      <c r="DW480"/>
      <c r="DX480"/>
      <c r="DY480"/>
      <c r="DZ480"/>
      <c r="EA480"/>
      <c r="EB480"/>
      <c r="EC480"/>
      <c r="ED480"/>
      <c r="EE480"/>
      <c r="EF480"/>
      <c r="EG480"/>
      <c r="EH480"/>
      <c r="EI480"/>
      <c r="EJ480"/>
      <c r="EK480"/>
      <c r="EL480"/>
      <c r="EM480"/>
      <c r="EN480"/>
      <c r="EO480"/>
      <c r="EP480"/>
      <c r="EQ480"/>
      <c r="ER480"/>
      <c r="ES480"/>
      <c r="ET480"/>
      <c r="EU480"/>
      <c r="EV480"/>
      <c r="EW480"/>
      <c r="EX480"/>
      <c r="EY480"/>
      <c r="EZ480"/>
      <c r="FA480"/>
      <c r="FB480"/>
      <c r="FC480"/>
      <c r="FD480"/>
      <c r="FE480"/>
      <c r="FF480"/>
      <c r="FG480"/>
      <c r="FH480"/>
      <c r="FI480"/>
      <c r="FJ480"/>
      <c r="FK480"/>
      <c r="FL480"/>
      <c r="FM480"/>
      <c r="FN480"/>
      <c r="FO480"/>
      <c r="FP480"/>
      <c r="FQ480"/>
      <c r="FR480"/>
      <c r="FS480"/>
      <c r="FT480"/>
      <c r="FU480"/>
      <c r="FV480"/>
      <c r="FW480"/>
      <c r="FX480"/>
      <c r="FY480"/>
      <c r="FZ480"/>
      <c r="GA480"/>
      <c r="GB480"/>
      <c r="GC480"/>
      <c r="GD480"/>
      <c r="GE480"/>
      <c r="GF480"/>
      <c r="GG480"/>
      <c r="GH480"/>
      <c r="GI480"/>
      <c r="GJ480"/>
      <c r="GK480"/>
      <c r="GL480"/>
      <c r="GM480"/>
      <c r="GN480"/>
      <c r="GO480"/>
      <c r="GP480"/>
      <c r="GQ480"/>
      <c r="GR480"/>
      <c r="GS480"/>
      <c r="GT480"/>
      <c r="GU480"/>
      <c r="GV480"/>
      <c r="GW480"/>
      <c r="GX480"/>
      <c r="GY480"/>
      <c r="GZ480"/>
      <c r="HA480"/>
      <c r="HB480"/>
      <c r="HC480"/>
      <c r="HD480"/>
      <c r="HE480"/>
      <c r="HF480"/>
      <c r="HG480"/>
      <c r="HH480"/>
      <c r="HI480"/>
      <c r="HJ480"/>
      <c r="HK480"/>
      <c r="HL480"/>
      <c r="HM480"/>
      <c r="HN480"/>
      <c r="HO480"/>
      <c r="HP480"/>
      <c r="HQ480"/>
      <c r="HR480"/>
      <c r="HS480"/>
      <c r="HT480"/>
      <c r="HU480"/>
      <c r="HV480"/>
      <c r="HW480"/>
      <c r="HX480"/>
      <c r="HY480"/>
      <c r="HZ480"/>
      <c r="IA480"/>
      <c r="IB480"/>
      <c r="IC480"/>
      <c r="ID480"/>
      <c r="IE480"/>
      <c r="IF480"/>
      <c r="IG480"/>
      <c r="IH480"/>
      <c r="II480"/>
      <c r="IJ480"/>
      <c r="IK480"/>
      <c r="IL480"/>
      <c r="IM480"/>
      <c r="IN480"/>
      <c r="IO480"/>
      <c r="IP480"/>
      <c r="IQ480"/>
      <c r="IR480"/>
      <c r="IS480"/>
      <c r="IT480"/>
      <c r="IU480"/>
      <c r="IV480"/>
      <c r="IW480"/>
      <c r="IX480"/>
      <c r="IY480"/>
      <c r="IZ480"/>
      <c r="JA480"/>
      <c r="JB480"/>
      <c r="JC480"/>
      <c r="JD480"/>
      <c r="JE480"/>
      <c r="JF480"/>
      <c r="JG480"/>
      <c r="JH480"/>
      <c r="JI480"/>
      <c r="JJ480"/>
      <c r="JK480"/>
      <c r="JL480"/>
      <c r="JM480"/>
      <c r="JN480"/>
      <c r="JO480"/>
      <c r="JP480"/>
      <c r="JQ480"/>
      <c r="JR480"/>
      <c r="JS480"/>
      <c r="JT480"/>
      <c r="JU480"/>
      <c r="JV480"/>
      <c r="JW480"/>
      <c r="JX480"/>
      <c r="JY480"/>
      <c r="JZ480"/>
      <c r="KA480"/>
      <c r="KB480"/>
      <c r="KC480"/>
      <c r="KD480"/>
      <c r="KE480"/>
      <c r="KF480"/>
      <c r="KG480"/>
      <c r="KH480"/>
      <c r="KI480"/>
      <c r="KJ480"/>
      <c r="KK480"/>
      <c r="KL480"/>
      <c r="KM480"/>
      <c r="KN480"/>
      <c r="KO480"/>
      <c r="KP480"/>
      <c r="KQ480"/>
      <c r="KR480"/>
      <c r="KS480"/>
      <c r="KT480"/>
      <c r="KU480"/>
      <c r="KV480"/>
      <c r="KW480"/>
      <c r="KX480"/>
      <c r="KY480"/>
      <c r="KZ480"/>
      <c r="LA480"/>
      <c r="LB480"/>
      <c r="LC480"/>
      <c r="LD480"/>
      <c r="LE480"/>
      <c r="LF480"/>
      <c r="LG480"/>
      <c r="LH480"/>
      <c r="LI480"/>
      <c r="LJ480"/>
      <c r="LK480"/>
      <c r="LL480"/>
      <c r="LM480"/>
      <c r="LN480"/>
      <c r="LO480"/>
      <c r="LP480"/>
      <c r="LQ480"/>
      <c r="LR480"/>
      <c r="LS480"/>
      <c r="LT480"/>
      <c r="LU480"/>
      <c r="LV480"/>
      <c r="LW480"/>
      <c r="LX480"/>
      <c r="LY480"/>
      <c r="LZ480"/>
      <c r="MA480"/>
      <c r="MB480"/>
      <c r="MC480"/>
      <c r="MD480"/>
      <c r="ME480"/>
      <c r="MF480"/>
      <c r="MG480"/>
      <c r="MH480"/>
      <c r="MI480"/>
      <c r="MJ480"/>
      <c r="MK480"/>
      <c r="ML480"/>
      <c r="MM480"/>
      <c r="MN480"/>
      <c r="MO480"/>
      <c r="MP480"/>
      <c r="MQ480"/>
      <c r="MR480"/>
      <c r="MS480"/>
      <c r="MT480"/>
      <c r="MU480"/>
      <c r="MV480"/>
      <c r="MW480"/>
      <c r="MX480"/>
      <c r="MY480"/>
      <c r="MZ480"/>
      <c r="NA480"/>
      <c r="NB480"/>
      <c r="NC480"/>
      <c r="ND480"/>
      <c r="NE480"/>
      <c r="NF480"/>
      <c r="NG480"/>
      <c r="NH480"/>
      <c r="NI480"/>
      <c r="NJ480"/>
      <c r="NK480"/>
      <c r="NL480"/>
      <c r="NM480"/>
      <c r="NN480"/>
      <c r="NO480"/>
      <c r="NP480"/>
      <c r="NQ480"/>
      <c r="NR480"/>
      <c r="NS480"/>
      <c r="NT480"/>
      <c r="NU480"/>
      <c r="NV480"/>
      <c r="NW480"/>
      <c r="NX480"/>
      <c r="NY480"/>
      <c r="NZ480"/>
      <c r="OA480"/>
      <c r="OB480"/>
      <c r="OC480"/>
      <c r="OD480"/>
      <c r="OE480"/>
      <c r="OF480"/>
      <c r="OG480"/>
      <c r="OH480"/>
      <c r="OI480"/>
      <c r="OJ480"/>
      <c r="OK480"/>
      <c r="OL480"/>
      <c r="OM480"/>
      <c r="ON480"/>
      <c r="OO480"/>
      <c r="OP480"/>
      <c r="OQ480"/>
      <c r="OR480"/>
      <c r="OS480"/>
      <c r="OT480"/>
      <c r="OU480"/>
      <c r="OV480"/>
      <c r="OW480"/>
      <c r="OX480"/>
      <c r="OY480"/>
      <c r="OZ480"/>
      <c r="PA480"/>
      <c r="PB480"/>
      <c r="PC480"/>
      <c r="PD480"/>
      <c r="PE480"/>
      <c r="PF480"/>
      <c r="PG480"/>
      <c r="PH480"/>
      <c r="PI480"/>
      <c r="PJ480"/>
      <c r="PK480"/>
      <c r="PL480"/>
      <c r="PM480"/>
      <c r="PN480"/>
      <c r="PO480"/>
      <c r="PP480"/>
      <c r="PQ480"/>
      <c r="PR480"/>
      <c r="PS480"/>
      <c r="PT480"/>
      <c r="PU480"/>
      <c r="PV480"/>
      <c r="PW480"/>
      <c r="PX480"/>
      <c r="PY480"/>
      <c r="PZ480"/>
      <c r="QA480"/>
      <c r="QB480"/>
      <c r="QC480"/>
      <c r="QD480"/>
      <c r="QE480"/>
      <c r="QF480"/>
      <c r="QG480"/>
      <c r="QH480"/>
      <c r="QI480"/>
      <c r="QJ480"/>
      <c r="QK480"/>
      <c r="QL480"/>
      <c r="QM480"/>
      <c r="QN480"/>
      <c r="QO480"/>
      <c r="QP480"/>
      <c r="QQ480"/>
      <c r="QR480"/>
      <c r="QS480"/>
      <c r="QT480"/>
      <c r="QU480"/>
      <c r="QV480"/>
      <c r="QW480"/>
      <c r="QX480"/>
      <c r="QY480"/>
      <c r="QZ480"/>
      <c r="RA480"/>
      <c r="RB480"/>
      <c r="RC480"/>
      <c r="RD480"/>
      <c r="RE480"/>
      <c r="RF480"/>
      <c r="RG480"/>
      <c r="RH480"/>
      <c r="RI480"/>
      <c r="RJ480"/>
      <c r="RK480"/>
      <c r="RL480"/>
      <c r="RM480"/>
      <c r="RN480"/>
      <c r="RO480"/>
      <c r="RP480"/>
      <c r="RQ480"/>
      <c r="RR480"/>
      <c r="RS480"/>
      <c r="RT480"/>
      <c r="RU480"/>
      <c r="RV480"/>
      <c r="RW480"/>
      <c r="RX480"/>
      <c r="RY480"/>
      <c r="RZ480"/>
      <c r="SA480"/>
      <c r="SB480"/>
      <c r="SC480"/>
      <c r="SD480"/>
      <c r="SE480"/>
      <c r="SF480"/>
      <c r="SG480"/>
      <c r="SH480"/>
      <c r="SI480"/>
      <c r="SJ480"/>
      <c r="SK480"/>
      <c r="SL480"/>
      <c r="SM480"/>
      <c r="SN480"/>
      <c r="SO480"/>
      <c r="SP480"/>
      <c r="SQ480"/>
      <c r="SR480"/>
      <c r="SS480"/>
      <c r="ST480"/>
      <c r="SU480"/>
      <c r="SV480"/>
      <c r="SW480"/>
      <c r="SX480"/>
      <c r="SY480"/>
      <c r="SZ480"/>
      <c r="TA480"/>
      <c r="TB480"/>
      <c r="TC480"/>
      <c r="TD480"/>
      <c r="TE480"/>
      <c r="TF480"/>
      <c r="TG480"/>
      <c r="TH480"/>
      <c r="TI480"/>
      <c r="TJ480"/>
      <c r="TK480"/>
      <c r="TL480"/>
      <c r="TM480"/>
      <c r="TN480"/>
      <c r="TO480"/>
      <c r="TP480"/>
      <c r="TQ480"/>
      <c r="TR480"/>
      <c r="TS480"/>
      <c r="TT480"/>
      <c r="TU480"/>
      <c r="TV480"/>
      <c r="TW480"/>
      <c r="TX480"/>
      <c r="TY480"/>
      <c r="TZ480"/>
      <c r="UA480"/>
      <c r="UB480"/>
      <c r="UC480"/>
      <c r="UD480"/>
      <c r="UE480"/>
      <c r="UF480"/>
      <c r="UG480"/>
      <c r="UH480"/>
      <c r="UI480"/>
      <c r="UJ480"/>
      <c r="UK480"/>
      <c r="UL480"/>
      <c r="UM480"/>
      <c r="UN480"/>
      <c r="UO480"/>
      <c r="UP480"/>
      <c r="UQ480"/>
      <c r="UR480"/>
      <c r="US480"/>
      <c r="UT480"/>
      <c r="UU480"/>
      <c r="UV480"/>
      <c r="UW480"/>
      <c r="UX480"/>
      <c r="UY480"/>
      <c r="UZ480"/>
      <c r="VA480"/>
      <c r="VB480"/>
      <c r="VC480"/>
      <c r="VD480"/>
      <c r="VE480"/>
      <c r="VF480"/>
      <c r="VG480"/>
      <c r="VH480"/>
      <c r="VI480"/>
      <c r="VJ480"/>
      <c r="VK480"/>
      <c r="VL480"/>
      <c r="VM480"/>
      <c r="VN480"/>
      <c r="VO480"/>
      <c r="VP480"/>
      <c r="VQ480"/>
      <c r="VR480"/>
      <c r="VS480"/>
      <c r="VT480"/>
      <c r="VU480"/>
      <c r="VV480"/>
      <c r="VW480"/>
      <c r="VX480"/>
      <c r="VY480"/>
      <c r="VZ480"/>
      <c r="WA480"/>
      <c r="WB480"/>
      <c r="WC480"/>
      <c r="WD480"/>
      <c r="WE480"/>
      <c r="WF480"/>
      <c r="WG480"/>
      <c r="WH480"/>
      <c r="WI480"/>
      <c r="WJ480"/>
      <c r="WK480"/>
      <c r="WL480"/>
      <c r="WM480"/>
      <c r="WN480"/>
      <c r="WO480"/>
      <c r="WP480"/>
      <c r="WQ480"/>
      <c r="WR480"/>
      <c r="WS480"/>
      <c r="WT480"/>
      <c r="WU480"/>
      <c r="WV480"/>
      <c r="WW480"/>
      <c r="WX480"/>
      <c r="WY480"/>
      <c r="WZ480"/>
      <c r="XA480"/>
      <c r="XB480"/>
      <c r="XC480"/>
      <c r="XD480"/>
      <c r="XE480"/>
      <c r="XF480"/>
      <c r="XG480"/>
      <c r="XH480"/>
      <c r="XI480"/>
      <c r="XJ480"/>
      <c r="XK480"/>
      <c r="XL480"/>
      <c r="XM480"/>
      <c r="XN480"/>
      <c r="XO480"/>
      <c r="XP480"/>
      <c r="XQ480"/>
      <c r="XR480"/>
      <c r="XS480"/>
      <c r="XT480"/>
      <c r="XU480"/>
      <c r="XV480"/>
      <c r="XW480"/>
      <c r="XX480"/>
      <c r="XY480"/>
      <c r="XZ480"/>
      <c r="YA480"/>
      <c r="YB480"/>
      <c r="YC480"/>
      <c r="YD480"/>
      <c r="YE480"/>
      <c r="YF480"/>
      <c r="YG480"/>
      <c r="YH480"/>
      <c r="YI480"/>
      <c r="YJ480"/>
      <c r="YK480"/>
      <c r="YL480"/>
      <c r="YM480"/>
      <c r="YN480"/>
      <c r="YO480"/>
      <c r="YP480"/>
      <c r="YQ480"/>
      <c r="YR480"/>
      <c r="YS480"/>
      <c r="YT480"/>
      <c r="YU480"/>
      <c r="YV480"/>
      <c r="YW480"/>
      <c r="YX480"/>
      <c r="YY480"/>
      <c r="YZ480"/>
      <c r="ZA480"/>
      <c r="ZB480"/>
      <c r="ZC480"/>
      <c r="ZD480"/>
      <c r="ZE480"/>
      <c r="ZF480"/>
      <c r="ZG480"/>
      <c r="ZH480"/>
      <c r="ZI480"/>
      <c r="ZJ480"/>
      <c r="ZK480"/>
      <c r="ZL480"/>
      <c r="ZM480"/>
      <c r="ZN480"/>
      <c r="ZO480"/>
      <c r="ZP480"/>
      <c r="ZQ480"/>
      <c r="ZR480"/>
      <c r="ZS480"/>
      <c r="ZT480"/>
      <c r="ZU480"/>
      <c r="ZV480"/>
      <c r="ZW480"/>
      <c r="ZX480"/>
      <c r="ZY480"/>
      <c r="ZZ480"/>
      <c r="AAA480"/>
      <c r="AAB480"/>
      <c r="AAC480"/>
      <c r="AAD480"/>
      <c r="AAE480"/>
      <c r="AAF480"/>
      <c r="AAG480"/>
      <c r="AAH480"/>
      <c r="AAI480"/>
      <c r="AAJ480"/>
      <c r="AAK480"/>
      <c r="AAL480"/>
      <c r="AAM480"/>
      <c r="AAN480"/>
      <c r="AAO480"/>
      <c r="AAP480"/>
      <c r="AAQ480"/>
      <c r="AAR480"/>
      <c r="AAS480"/>
      <c r="AAT480"/>
      <c r="AAU480"/>
      <c r="AAV480"/>
      <c r="AAW480"/>
      <c r="AAX480"/>
      <c r="AAY480"/>
      <c r="AAZ480"/>
      <c r="ABA480"/>
      <c r="ABB480"/>
      <c r="ABC480"/>
      <c r="ABD480"/>
      <c r="ABE480"/>
      <c r="ABF480"/>
      <c r="ABG480"/>
      <c r="ABH480"/>
      <c r="ABI480"/>
      <c r="ABJ480"/>
      <c r="ABK480"/>
      <c r="ABL480"/>
      <c r="ABM480"/>
      <c r="ABN480"/>
      <c r="ABO480"/>
      <c r="ABP480"/>
      <c r="ABQ480"/>
      <c r="ABR480"/>
      <c r="ABS480"/>
      <c r="ABT480"/>
      <c r="ABU480"/>
      <c r="ABV480"/>
      <c r="ABW480"/>
      <c r="ABX480"/>
      <c r="ABY480"/>
      <c r="ABZ480"/>
      <c r="ACA480"/>
      <c r="ACB480"/>
      <c r="ACC480"/>
      <c r="ACD480"/>
      <c r="ACE480"/>
      <c r="ACF480"/>
      <c r="ACG480"/>
      <c r="ACH480"/>
      <c r="ACI480"/>
      <c r="ACJ480"/>
      <c r="ACK480"/>
      <c r="ACL480"/>
      <c r="ACM480"/>
      <c r="ACN480"/>
      <c r="ACO480"/>
      <c r="ACP480"/>
      <c r="ACQ480"/>
      <c r="ACR480"/>
      <c r="ACS480"/>
      <c r="ACT480"/>
      <c r="ACU480"/>
      <c r="ACV480"/>
      <c r="ACW480"/>
      <c r="ACX480"/>
      <c r="ACY480"/>
      <c r="ACZ480"/>
      <c r="ADA480"/>
      <c r="ADB480"/>
      <c r="ADC480"/>
      <c r="ADD480"/>
      <c r="ADE480"/>
      <c r="ADF480"/>
      <c r="ADG480"/>
      <c r="ADH480"/>
      <c r="ADI480"/>
      <c r="ADJ480"/>
      <c r="ADK480"/>
      <c r="ADL480"/>
      <c r="ADM480"/>
      <c r="ADN480"/>
      <c r="ADO480"/>
      <c r="ADP480"/>
      <c r="ADQ480"/>
      <c r="ADR480"/>
      <c r="ADS480"/>
      <c r="ADT480"/>
      <c r="ADU480"/>
      <c r="ADV480"/>
      <c r="ADW480"/>
      <c r="ADX480"/>
      <c r="ADY480"/>
      <c r="ADZ480"/>
      <c r="AEA480"/>
      <c r="AEB480"/>
      <c r="AEC480"/>
      <c r="AED480"/>
      <c r="AEE480"/>
      <c r="AEF480"/>
      <c r="AEG480"/>
      <c r="AEH480"/>
      <c r="AEI480"/>
      <c r="AEJ480"/>
      <c r="AEK480"/>
      <c r="AEL480"/>
      <c r="AEM480"/>
      <c r="AEN480"/>
      <c r="AEO480"/>
      <c r="AEP480"/>
      <c r="AEQ480"/>
      <c r="AER480"/>
      <c r="AES480"/>
      <c r="AET480"/>
      <c r="AEU480"/>
      <c r="AEV480"/>
      <c r="AEW480"/>
      <c r="AEX480"/>
      <c r="AEY480"/>
      <c r="AEZ480"/>
      <c r="AFA480"/>
      <c r="AFB480"/>
      <c r="AFC480"/>
      <c r="AFD480"/>
      <c r="AFE480"/>
      <c r="AFF480"/>
      <c r="AFG480"/>
      <c r="AFH480"/>
      <c r="AFI480"/>
      <c r="AFJ480"/>
      <c r="AFK480"/>
      <c r="AFL480"/>
      <c r="AFM480"/>
      <c r="AFN480"/>
      <c r="AFO480"/>
      <c r="AFP480"/>
      <c r="AFQ480"/>
      <c r="AFR480"/>
      <c r="AFS480"/>
      <c r="AFT480"/>
      <c r="AFU480"/>
      <c r="AFV480"/>
      <c r="AFW480"/>
      <c r="AFX480"/>
      <c r="AFY480"/>
      <c r="AFZ480"/>
      <c r="AGA480"/>
      <c r="AGB480"/>
      <c r="AGC480"/>
      <c r="AGD480"/>
      <c r="AGE480"/>
      <c r="AGF480"/>
      <c r="AGG480"/>
      <c r="AGH480"/>
      <c r="AGI480"/>
      <c r="AGJ480"/>
      <c r="AGK480"/>
      <c r="AGL480"/>
      <c r="AGM480"/>
      <c r="AGN480"/>
      <c r="AGO480"/>
      <c r="AGP480"/>
      <c r="AGQ480"/>
      <c r="AGR480"/>
      <c r="AGS480"/>
      <c r="AGT480"/>
      <c r="AGU480"/>
      <c r="AGV480"/>
      <c r="AGW480"/>
      <c r="AGX480"/>
      <c r="AGY480"/>
      <c r="AGZ480"/>
      <c r="AHA480"/>
      <c r="AHB480"/>
      <c r="AHC480"/>
      <c r="AHD480"/>
      <c r="AHE480"/>
      <c r="AHF480"/>
      <c r="AHG480"/>
      <c r="AHH480"/>
      <c r="AHI480"/>
      <c r="AHJ480"/>
      <c r="AHK480"/>
      <c r="AHL480"/>
      <c r="AHM480"/>
      <c r="AHN480"/>
      <c r="AHO480"/>
      <c r="AHP480"/>
      <c r="AHQ480"/>
      <c r="AHR480"/>
      <c r="AHS480"/>
      <c r="AHT480"/>
      <c r="AHU480"/>
      <c r="AHV480"/>
      <c r="AHW480"/>
      <c r="AHX480"/>
      <c r="AHY480"/>
      <c r="AHZ480"/>
      <c r="AIA480"/>
      <c r="AIB480"/>
      <c r="AIC480"/>
      <c r="AID480"/>
      <c r="AIE480"/>
      <c r="AIF480"/>
      <c r="AIG480"/>
      <c r="AIH480"/>
      <c r="AII480"/>
      <c r="AIJ480"/>
      <c r="AIK480"/>
      <c r="AIL480"/>
      <c r="AIM480"/>
      <c r="AIN480"/>
      <c r="AIO480"/>
      <c r="AIP480"/>
      <c r="AIQ480"/>
      <c r="AIR480"/>
      <c r="AIS480"/>
      <c r="AIT480"/>
      <c r="AIU480"/>
      <c r="AIV480"/>
      <c r="AIW480"/>
      <c r="AIX480"/>
      <c r="AIY480"/>
      <c r="AIZ480"/>
      <c r="AJA480"/>
      <c r="AJB480"/>
      <c r="AJC480"/>
      <c r="AJD480"/>
      <c r="AJE480"/>
      <c r="AJF480"/>
      <c r="AJG480"/>
      <c r="AJH480"/>
      <c r="AJI480"/>
      <c r="AJJ480"/>
      <c r="AJK480"/>
      <c r="AJL480"/>
      <c r="AJM480"/>
      <c r="AJN480"/>
      <c r="AJO480"/>
      <c r="AJP480"/>
      <c r="AJQ480"/>
      <c r="AJR480"/>
      <c r="AJS480"/>
      <c r="AJT480"/>
      <c r="AJU480"/>
      <c r="AJV480"/>
      <c r="AJW480"/>
      <c r="AJX480"/>
      <c r="AJY480"/>
      <c r="AJZ480"/>
      <c r="AKA480"/>
      <c r="AKB480"/>
      <c r="AKC480"/>
      <c r="AKD480"/>
      <c r="AKE480"/>
      <c r="AKF480"/>
      <c r="AKG480"/>
      <c r="AKH480"/>
      <c r="AKI480"/>
      <c r="AKJ480"/>
      <c r="AKK480"/>
      <c r="AKL480"/>
      <c r="AKM480"/>
      <c r="AKN480"/>
      <c r="AKO480"/>
      <c r="AKP480"/>
      <c r="AKQ480"/>
      <c r="AKR480"/>
      <c r="AKS480"/>
      <c r="AKT480"/>
      <c r="AKU480"/>
      <c r="AKV480"/>
      <c r="AKW480"/>
      <c r="AKX480"/>
      <c r="AKY480"/>
      <c r="AKZ480"/>
      <c r="ALA480"/>
      <c r="ALB480"/>
      <c r="ALC480"/>
      <c r="ALD480"/>
      <c r="ALE480"/>
      <c r="ALF480"/>
      <c r="ALG480"/>
      <c r="ALH480"/>
      <c r="ALI480"/>
      <c r="ALJ480"/>
      <c r="ALK480"/>
      <c r="ALL480"/>
      <c r="ALM480"/>
      <c r="ALN480"/>
      <c r="ALO480"/>
      <c r="ALP480"/>
      <c r="ALQ480"/>
      <c r="ALR480"/>
      <c r="ALS480"/>
      <c r="ALT480"/>
      <c r="ALU480"/>
      <c r="ALV480"/>
      <c r="ALW480"/>
      <c r="ALX480"/>
      <c r="ALY480"/>
      <c r="ALZ480"/>
      <c r="AMA480"/>
      <c r="AMB480"/>
      <c r="AMC480"/>
      <c r="AMD480"/>
      <c r="AME480"/>
      <c r="AMF480"/>
      <c r="AMG480"/>
      <c r="AMH480"/>
    </row>
    <row r="481" spans="1:6" x14ac:dyDescent="0.15">
      <c r="A481" s="8" t="s">
        <v>1377</v>
      </c>
      <c r="B481" s="8" t="s">
        <v>151</v>
      </c>
      <c r="C481" s="8" t="str">
        <f t="shared" si="16"/>
        <v>att_metabolic_label:arg0</v>
      </c>
      <c r="D481" s="9" t="s">
        <v>17</v>
      </c>
      <c r="E481" s="8" t="s">
        <v>1378</v>
      </c>
      <c r="F481" s="8" t="s">
        <v>1379</v>
      </c>
    </row>
    <row r="482" spans="1:6" x14ac:dyDescent="0.15">
      <c r="A482" s="8" t="s">
        <v>1380</v>
      </c>
      <c r="B482" s="8" t="s">
        <v>151</v>
      </c>
      <c r="C482" s="8" t="str">
        <f t="shared" si="16"/>
        <v>att_metabolic_label:arg10</v>
      </c>
      <c r="D482" s="9" t="s">
        <v>17</v>
      </c>
      <c r="E482" s="8" t="s">
        <v>1381</v>
      </c>
      <c r="F482" s="8" t="s">
        <v>1382</v>
      </c>
    </row>
    <row r="483" spans="1:6" x14ac:dyDescent="0.15">
      <c r="A483" s="8" t="s">
        <v>1383</v>
      </c>
      <c r="B483" s="8" t="s">
        <v>151</v>
      </c>
      <c r="C483" s="8" t="str">
        <f t="shared" si="16"/>
        <v>att_metabolic_label:arg6</v>
      </c>
      <c r="D483" s="9" t="s">
        <v>17</v>
      </c>
      <c r="E483" s="8" t="s">
        <v>1384</v>
      </c>
      <c r="F483" s="8" t="s">
        <v>1385</v>
      </c>
    </row>
    <row r="484" spans="1:6" x14ac:dyDescent="0.15">
      <c r="A484" s="8" t="s">
        <v>1386</v>
      </c>
      <c r="B484" s="8" t="s">
        <v>151</v>
      </c>
      <c r="C484" s="8" t="str">
        <f t="shared" si="16"/>
        <v>att_metabolic_label:lys0</v>
      </c>
      <c r="D484" s="9" t="s">
        <v>17</v>
      </c>
      <c r="E484" s="8" t="s">
        <v>1387</v>
      </c>
      <c r="F484" s="9" t="s">
        <v>2930</v>
      </c>
    </row>
    <row r="485" spans="1:6" x14ac:dyDescent="0.15">
      <c r="A485" s="8" t="s">
        <v>1388</v>
      </c>
      <c r="B485" s="8" t="s">
        <v>151</v>
      </c>
      <c r="C485" s="8" t="str">
        <f t="shared" si="16"/>
        <v>att_metabolic_label:lys4</v>
      </c>
      <c r="D485" s="9" t="s">
        <v>17</v>
      </c>
      <c r="E485" s="8" t="s">
        <v>1389</v>
      </c>
      <c r="F485" s="8" t="s">
        <v>1390</v>
      </c>
    </row>
    <row r="486" spans="1:6" x14ac:dyDescent="0.15">
      <c r="A486" s="8" t="s">
        <v>1391</v>
      </c>
      <c r="B486" s="8" t="s">
        <v>151</v>
      </c>
      <c r="C486" s="8" t="str">
        <f t="shared" si="16"/>
        <v>att_metabolic_label:lys6</v>
      </c>
      <c r="D486" s="9" t="s">
        <v>17</v>
      </c>
      <c r="E486" s="8" t="s">
        <v>1392</v>
      </c>
      <c r="F486" s="8" t="s">
        <v>1393</v>
      </c>
    </row>
    <row r="487" spans="1:6" x14ac:dyDescent="0.15">
      <c r="A487" s="8" t="s">
        <v>1394</v>
      </c>
      <c r="B487" s="8" t="s">
        <v>151</v>
      </c>
      <c r="C487" s="8" t="str">
        <f t="shared" si="16"/>
        <v>att_metabolic_label:lys8</v>
      </c>
      <c r="D487" s="9" t="s">
        <v>17</v>
      </c>
      <c r="E487" s="8" t="s">
        <v>1395</v>
      </c>
      <c r="F487" s="8" t="s">
        <v>1396</v>
      </c>
    </row>
    <row r="488" spans="1:6" x14ac:dyDescent="0.15">
      <c r="A488" s="8" t="s">
        <v>2932</v>
      </c>
      <c r="B488" s="8" t="s">
        <v>151</v>
      </c>
      <c r="C488" s="8" t="str">
        <f t="shared" ref="C488" si="22">B488&amp;":"&amp;A488</f>
        <v>att_metabolic_label:lys0arg0</v>
      </c>
      <c r="D488" s="9" t="s">
        <v>17</v>
      </c>
      <c r="E488" s="8" t="s">
        <v>2931</v>
      </c>
      <c r="F488" s="8" t="s">
        <v>2939</v>
      </c>
    </row>
    <row r="489" spans="1:6" x14ac:dyDescent="0.15">
      <c r="A489" s="8" t="s">
        <v>2933</v>
      </c>
      <c r="B489" s="8" t="s">
        <v>151</v>
      </c>
      <c r="C489" s="8" t="str">
        <f t="shared" ref="C489:C490" si="23">B489&amp;":"&amp;A489</f>
        <v>att_metabolic_label:lys4arg6</v>
      </c>
      <c r="D489" s="9"/>
      <c r="E489" s="8" t="s">
        <v>2934</v>
      </c>
      <c r="F489" s="8" t="s">
        <v>2938</v>
      </c>
    </row>
    <row r="490" spans="1:6" x14ac:dyDescent="0.15">
      <c r="A490" s="8" t="s">
        <v>2935</v>
      </c>
      <c r="B490" s="8" t="s">
        <v>151</v>
      </c>
      <c r="C490" s="8" t="str">
        <f t="shared" si="23"/>
        <v>att_metabolic_label:lys8arg10</v>
      </c>
      <c r="D490" s="9"/>
      <c r="E490" s="8" t="s">
        <v>2936</v>
      </c>
      <c r="F490" s="8" t="s">
        <v>2937</v>
      </c>
    </row>
    <row r="491" spans="1:6" x14ac:dyDescent="0.15">
      <c r="A491" s="8" t="s">
        <v>1397</v>
      </c>
      <c r="B491" s="8" t="s">
        <v>153</v>
      </c>
      <c r="C491" s="8" t="str">
        <f t="shared" si="16"/>
        <v>att_mitocarta_pathway:abc_transporters</v>
      </c>
      <c r="D491" s="9" t="s">
        <v>17</v>
      </c>
      <c r="E491" s="8" t="s">
        <v>1398</v>
      </c>
      <c r="F491" s="8" t="s">
        <v>1399</v>
      </c>
    </row>
    <row r="492" spans="1:6" x14ac:dyDescent="0.15">
      <c r="A492" s="8" t="s">
        <v>1400</v>
      </c>
      <c r="B492" s="8" t="s">
        <v>153</v>
      </c>
      <c r="C492" s="8" t="str">
        <f t="shared" si="16"/>
        <v>att_mitocarta_pathway:amidoxime_reducing_complex</v>
      </c>
      <c r="D492" s="9" t="s">
        <v>17</v>
      </c>
      <c r="E492" s="8" t="s">
        <v>1401</v>
      </c>
      <c r="F492" s="8" t="s">
        <v>1402</v>
      </c>
    </row>
    <row r="493" spans="1:6" x14ac:dyDescent="0.15">
      <c r="A493" s="8" t="s">
        <v>1403</v>
      </c>
      <c r="B493" s="8" t="s">
        <v>153</v>
      </c>
      <c r="C493" s="8" t="str">
        <f t="shared" si="16"/>
        <v>att_mitocarta_pathway:amino_acid_metabolism</v>
      </c>
      <c r="D493" s="9" t="s">
        <v>17</v>
      </c>
      <c r="E493" s="8" t="s">
        <v>1404</v>
      </c>
      <c r="F493" s="8" t="s">
        <v>1405</v>
      </c>
    </row>
    <row r="494" spans="1:6" x14ac:dyDescent="0.15">
      <c r="A494" s="8" t="s">
        <v>1406</v>
      </c>
      <c r="B494" s="8" t="s">
        <v>153</v>
      </c>
      <c r="C494" s="8" t="str">
        <f t="shared" si="16"/>
        <v>att_mitocarta_pathway:apoptosis</v>
      </c>
      <c r="D494" s="9" t="s">
        <v>17</v>
      </c>
      <c r="E494" s="8" t="s">
        <v>1407</v>
      </c>
      <c r="F494" s="8" t="s">
        <v>1408</v>
      </c>
    </row>
    <row r="495" spans="1:6" x14ac:dyDescent="0.15">
      <c r="A495" s="8" t="s">
        <v>1409</v>
      </c>
      <c r="B495" s="8" t="s">
        <v>153</v>
      </c>
      <c r="C495" s="8" t="str">
        <f t="shared" si="16"/>
        <v>att_mitocarta_pathway:autophagy</v>
      </c>
      <c r="D495" s="9" t="s">
        <v>17</v>
      </c>
      <c r="E495" s="8" t="s">
        <v>1410</v>
      </c>
      <c r="F495" s="8" t="s">
        <v>1411</v>
      </c>
    </row>
    <row r="496" spans="1:6" x14ac:dyDescent="0.15">
      <c r="A496" s="8" t="s">
        <v>1412</v>
      </c>
      <c r="B496" s="8" t="s">
        <v>153</v>
      </c>
      <c r="C496" s="8" t="str">
        <f t="shared" si="16"/>
        <v>att_mitocarta_pathway:biotin_utilizing_proteins</v>
      </c>
      <c r="D496" s="9" t="s">
        <v>17</v>
      </c>
      <c r="E496" s="8" t="s">
        <v>1413</v>
      </c>
      <c r="F496" s="8" t="s">
        <v>1414</v>
      </c>
    </row>
    <row r="497" spans="1:6" x14ac:dyDescent="0.15">
      <c r="A497" s="8" t="s">
        <v>1415</v>
      </c>
      <c r="B497" s="8" t="s">
        <v>153</v>
      </c>
      <c r="C497" s="8" t="str">
        <f t="shared" si="16"/>
        <v>att_mitocarta_pathway:branched_chain_amino_acid_dehydrogenase_complex</v>
      </c>
      <c r="D497" s="9" t="s">
        <v>17</v>
      </c>
      <c r="E497" s="8" t="s">
        <v>1416</v>
      </c>
      <c r="F497" s="8" t="s">
        <v>1417</v>
      </c>
    </row>
    <row r="498" spans="1:6" x14ac:dyDescent="0.15">
      <c r="A498" s="8" t="s">
        <v>1418</v>
      </c>
      <c r="B498" s="8" t="s">
        <v>153</v>
      </c>
      <c r="C498" s="8" t="str">
        <f t="shared" si="16"/>
        <v>att_mitocarta_pathway:branched_chain_amino_acid_metabolism</v>
      </c>
      <c r="D498" s="9" t="s">
        <v>17</v>
      </c>
      <c r="E498" s="8" t="s">
        <v>1419</v>
      </c>
      <c r="F498" s="8" t="s">
        <v>1420</v>
      </c>
    </row>
    <row r="499" spans="1:6" x14ac:dyDescent="0.15">
      <c r="A499" s="8" t="s">
        <v>1421</v>
      </c>
      <c r="B499" s="8" t="s">
        <v>153</v>
      </c>
      <c r="C499" s="8" t="str">
        <f t="shared" si="16"/>
        <v>att_mitocarta_pathway:calcium_cycle</v>
      </c>
      <c r="D499" s="9" t="s">
        <v>17</v>
      </c>
      <c r="E499" s="8" t="s">
        <v>1422</v>
      </c>
      <c r="F499" s="8" t="s">
        <v>1423</v>
      </c>
    </row>
    <row r="500" spans="1:6" x14ac:dyDescent="0.15">
      <c r="A500" s="8" t="s">
        <v>1424</v>
      </c>
      <c r="B500" s="8" t="s">
        <v>153</v>
      </c>
      <c r="C500" s="8" t="str">
        <f t="shared" si="16"/>
        <v>att_mitocarta_pathway:calcium_homeostasis</v>
      </c>
      <c r="D500" s="9" t="s">
        <v>17</v>
      </c>
      <c r="E500" s="8" t="s">
        <v>1425</v>
      </c>
      <c r="F500" s="8" t="s">
        <v>1426</v>
      </c>
    </row>
    <row r="501" spans="1:6" x14ac:dyDescent="0.15">
      <c r="A501" s="8" t="s">
        <v>1427</v>
      </c>
      <c r="B501" s="8" t="s">
        <v>153</v>
      </c>
      <c r="C501" s="8" t="str">
        <f t="shared" si="16"/>
        <v>att_mitocarta_pathway:calcium_uniporter</v>
      </c>
      <c r="D501" s="9" t="s">
        <v>17</v>
      </c>
      <c r="E501" s="8" t="s">
        <v>1428</v>
      </c>
      <c r="F501" s="8" t="s">
        <v>1429</v>
      </c>
    </row>
    <row r="502" spans="1:6" x14ac:dyDescent="0.15">
      <c r="A502" s="8" t="s">
        <v>1430</v>
      </c>
      <c r="B502" s="8" t="s">
        <v>153</v>
      </c>
      <c r="C502" s="8" t="str">
        <f t="shared" si="16"/>
        <v>att_mitocarta_pathway:camp_pka_signaling</v>
      </c>
      <c r="D502" s="9" t="s">
        <v>17</v>
      </c>
      <c r="E502" s="8" t="s">
        <v>1431</v>
      </c>
      <c r="F502" s="8" t="s">
        <v>1432</v>
      </c>
    </row>
    <row r="503" spans="1:6" x14ac:dyDescent="0.15">
      <c r="A503" s="8" t="s">
        <v>1433</v>
      </c>
      <c r="B503" s="8" t="s">
        <v>153</v>
      </c>
      <c r="C503" s="8" t="str">
        <f t="shared" si="16"/>
        <v>att_mitocarta_pathway:carbohydrate_metabolism</v>
      </c>
      <c r="D503" s="9" t="s">
        <v>17</v>
      </c>
      <c r="E503" s="8" t="s">
        <v>1434</v>
      </c>
      <c r="F503" s="8" t="s">
        <v>1435</v>
      </c>
    </row>
    <row r="504" spans="1:6" x14ac:dyDescent="0.15">
      <c r="A504" s="8" t="s">
        <v>1436</v>
      </c>
      <c r="B504" s="8" t="s">
        <v>153</v>
      </c>
      <c r="C504" s="8" t="str">
        <f t="shared" si="16"/>
        <v>att_mitocarta_pathway:cardiolipin_synthesis</v>
      </c>
      <c r="D504" s="9" t="s">
        <v>17</v>
      </c>
      <c r="E504" s="8" t="s">
        <v>1437</v>
      </c>
      <c r="F504" s="8" t="s">
        <v>1438</v>
      </c>
    </row>
    <row r="505" spans="1:6" x14ac:dyDescent="0.15">
      <c r="A505" s="8" t="s">
        <v>1439</v>
      </c>
      <c r="B505" s="8" t="s">
        <v>153</v>
      </c>
      <c r="C505" s="8" t="str">
        <f t="shared" si="16"/>
        <v>att_mitocarta_pathway:carnitine_shuttle</v>
      </c>
      <c r="D505" s="9" t="s">
        <v>17</v>
      </c>
      <c r="E505" s="8" t="s">
        <v>1440</v>
      </c>
      <c r="F505" s="8" t="s">
        <v>1441</v>
      </c>
    </row>
    <row r="506" spans="1:6" x14ac:dyDescent="0.15">
      <c r="A506" s="8" t="s">
        <v>1442</v>
      </c>
      <c r="B506" s="8" t="s">
        <v>153</v>
      </c>
      <c r="C506" s="8" t="str">
        <f t="shared" si="16"/>
        <v>att_mitocarta_pathway:carnitine_synthesis_and_transport</v>
      </c>
      <c r="D506" s="9" t="s">
        <v>17</v>
      </c>
      <c r="E506" s="8" t="s">
        <v>1443</v>
      </c>
      <c r="F506" s="8" t="s">
        <v>1444</v>
      </c>
    </row>
    <row r="507" spans="1:6" x14ac:dyDescent="0.15">
      <c r="A507" s="8" t="s">
        <v>1445</v>
      </c>
      <c r="B507" s="8" t="s">
        <v>153</v>
      </c>
      <c r="C507" s="8" t="str">
        <f t="shared" si="16"/>
        <v>att_mitocarta_pathway:catechol_metabolism</v>
      </c>
      <c r="D507" s="9" t="s">
        <v>17</v>
      </c>
      <c r="E507" s="8" t="s">
        <v>1446</v>
      </c>
      <c r="F507" s="8" t="s">
        <v>1447</v>
      </c>
    </row>
    <row r="508" spans="1:6" x14ac:dyDescent="0.15">
      <c r="A508" s="8" t="s">
        <v>1448</v>
      </c>
      <c r="B508" s="8" t="s">
        <v>153</v>
      </c>
      <c r="C508" s="8" t="str">
        <f t="shared" si="16"/>
        <v>att_mitocarta_pathway:chaperones</v>
      </c>
      <c r="D508" s="9" t="s">
        <v>17</v>
      </c>
      <c r="E508" s="8" t="s">
        <v>1449</v>
      </c>
      <c r="F508" s="8" t="s">
        <v>1450</v>
      </c>
    </row>
    <row r="509" spans="1:6" x14ac:dyDescent="0.15">
      <c r="A509" s="8" t="s">
        <v>1451</v>
      </c>
      <c r="B509" s="8" t="s">
        <v>153</v>
      </c>
      <c r="C509" s="8" t="str">
        <f t="shared" si="16"/>
        <v>att_mitocarta_pathway:cholesterol_associated</v>
      </c>
      <c r="D509" s="9" t="s">
        <v>17</v>
      </c>
      <c r="E509" s="8" t="s">
        <v>1452</v>
      </c>
      <c r="F509" s="8" t="s">
        <v>1453</v>
      </c>
    </row>
    <row r="510" spans="1:6" x14ac:dyDescent="0.15">
      <c r="A510" s="8" t="s">
        <v>1454</v>
      </c>
      <c r="B510" s="8" t="s">
        <v>153</v>
      </c>
      <c r="C510" s="8" t="str">
        <f t="shared" si="16"/>
        <v>att_mitocarta_pathway:choline_and_betaine_metabolism</v>
      </c>
      <c r="D510" s="9" t="s">
        <v>17</v>
      </c>
      <c r="E510" s="8" t="s">
        <v>1455</v>
      </c>
      <c r="F510" s="8" t="s">
        <v>1456</v>
      </c>
    </row>
    <row r="511" spans="1:6" x14ac:dyDescent="0.15">
      <c r="A511" s="8" t="s">
        <v>1457</v>
      </c>
      <c r="B511" s="8" t="s">
        <v>153</v>
      </c>
      <c r="C511" s="8" t="str">
        <f t="shared" si="16"/>
        <v>att_mitocarta_pathway:ci_assembly_factors</v>
      </c>
      <c r="D511" s="9" t="s">
        <v>17</v>
      </c>
      <c r="E511" s="8" t="s">
        <v>1458</v>
      </c>
      <c r="F511" s="8" t="s">
        <v>1459</v>
      </c>
    </row>
    <row r="512" spans="1:6" x14ac:dyDescent="0.15">
      <c r="A512" s="8" t="s">
        <v>1460</v>
      </c>
      <c r="B512" s="8" t="s">
        <v>153</v>
      </c>
      <c r="C512" s="8" t="str">
        <f t="shared" si="16"/>
        <v>att_mitocarta_pathway:ci_subunits</v>
      </c>
      <c r="D512" s="9" t="s">
        <v>17</v>
      </c>
      <c r="E512" s="8" t="s">
        <v>1461</v>
      </c>
      <c r="F512" s="8" t="s">
        <v>1462</v>
      </c>
    </row>
    <row r="513" spans="1:6" x14ac:dyDescent="0.15">
      <c r="A513" s="8" t="s">
        <v>1463</v>
      </c>
      <c r="B513" s="8" t="s">
        <v>153</v>
      </c>
      <c r="C513" s="8" t="str">
        <f t="shared" si="16"/>
        <v>att_mitocarta_pathway:cii_assembly_factors</v>
      </c>
      <c r="D513" s="9" t="s">
        <v>17</v>
      </c>
      <c r="E513" s="8" t="s">
        <v>1464</v>
      </c>
      <c r="F513" s="8" t="s">
        <v>1465</v>
      </c>
    </row>
    <row r="514" spans="1:6" x14ac:dyDescent="0.15">
      <c r="A514" s="8" t="s">
        <v>1466</v>
      </c>
      <c r="B514" s="8" t="s">
        <v>153</v>
      </c>
      <c r="C514" s="8" t="str">
        <f t="shared" si="16"/>
        <v>att_mitocarta_pathway:cii_subunits</v>
      </c>
      <c r="D514" s="9" t="s">
        <v>17</v>
      </c>
      <c r="E514" s="8" t="s">
        <v>1467</v>
      </c>
      <c r="F514" s="8" t="s">
        <v>1468</v>
      </c>
    </row>
    <row r="515" spans="1:6" x14ac:dyDescent="0.15">
      <c r="A515" s="8" t="s">
        <v>1469</v>
      </c>
      <c r="B515" s="8" t="s">
        <v>153</v>
      </c>
      <c r="C515" s="8" t="str">
        <f t="shared" si="16"/>
        <v>att_mitocarta_pathway:ciii_assembly_factors</v>
      </c>
      <c r="D515" s="9" t="s">
        <v>17</v>
      </c>
      <c r="E515" s="8" t="s">
        <v>1470</v>
      </c>
      <c r="F515" s="8" t="s">
        <v>1471</v>
      </c>
    </row>
    <row r="516" spans="1:6" x14ac:dyDescent="0.15">
      <c r="A516" s="8" t="s">
        <v>1472</v>
      </c>
      <c r="B516" s="8" t="s">
        <v>153</v>
      </c>
      <c r="C516" s="8" t="str">
        <f t="shared" si="16"/>
        <v>att_mitocarta_pathway:ciii_subunits</v>
      </c>
      <c r="D516" s="9" t="s">
        <v>17</v>
      </c>
      <c r="E516" s="8" t="s">
        <v>1473</v>
      </c>
      <c r="F516" s="8" t="s">
        <v>1474</v>
      </c>
    </row>
    <row r="517" spans="1:6" x14ac:dyDescent="0.15">
      <c r="A517" s="8" t="s">
        <v>1475</v>
      </c>
      <c r="B517" s="8" t="s">
        <v>153</v>
      </c>
      <c r="C517" s="8" t="str">
        <f t="shared" si="16"/>
        <v>att_mitocarta_pathway:civ_assembly_factors</v>
      </c>
      <c r="D517" s="9" t="s">
        <v>17</v>
      </c>
      <c r="E517" s="8" t="s">
        <v>1476</v>
      </c>
      <c r="F517" s="8" t="s">
        <v>1477</v>
      </c>
    </row>
    <row r="518" spans="1:6" x14ac:dyDescent="0.15">
      <c r="A518" s="8" t="s">
        <v>1478</v>
      </c>
      <c r="B518" s="8" t="s">
        <v>153</v>
      </c>
      <c r="C518" s="8" t="str">
        <f t="shared" si="16"/>
        <v>att_mitocarta_pathway:civ_subunits</v>
      </c>
      <c r="D518" s="9" t="s">
        <v>17</v>
      </c>
      <c r="E518" s="8" t="s">
        <v>1479</v>
      </c>
      <c r="F518" s="8" t="s">
        <v>1480</v>
      </c>
    </row>
    <row r="519" spans="1:6" x14ac:dyDescent="0.15">
      <c r="A519" s="8" t="s">
        <v>1481</v>
      </c>
      <c r="B519" s="8" t="s">
        <v>153</v>
      </c>
      <c r="C519" s="8" t="str">
        <f t="shared" ref="C519:C582" si="24">B519&amp;":"&amp;A519</f>
        <v>att_mitocarta_pathway:coenzyme_a_metabolism</v>
      </c>
      <c r="D519" s="9" t="s">
        <v>17</v>
      </c>
      <c r="E519" s="8" t="s">
        <v>1482</v>
      </c>
      <c r="F519" s="8" t="s">
        <v>1483</v>
      </c>
    </row>
    <row r="520" spans="1:6" x14ac:dyDescent="0.15">
      <c r="A520" s="8" t="s">
        <v>1484</v>
      </c>
      <c r="B520" s="8" t="s">
        <v>153</v>
      </c>
      <c r="C520" s="8" t="str">
        <f t="shared" si="24"/>
        <v>att_mitocarta_pathway:coenzyme_q_metabolism</v>
      </c>
      <c r="D520" s="9" t="s">
        <v>17</v>
      </c>
      <c r="E520" s="8" t="s">
        <v>1485</v>
      </c>
      <c r="F520" s="8" t="s">
        <v>1486</v>
      </c>
    </row>
    <row r="521" spans="1:6" x14ac:dyDescent="0.15">
      <c r="A521" s="8" t="s">
        <v>1487</v>
      </c>
      <c r="B521" s="8" t="s">
        <v>153</v>
      </c>
      <c r="C521" s="8" t="str">
        <f t="shared" si="24"/>
        <v>att_mitocarta_pathway:complex_i</v>
      </c>
      <c r="D521" s="9" t="s">
        <v>17</v>
      </c>
      <c r="E521" s="8" t="s">
        <v>1488</v>
      </c>
      <c r="F521" s="8" t="s">
        <v>1489</v>
      </c>
    </row>
    <row r="522" spans="1:6" x14ac:dyDescent="0.15">
      <c r="A522" s="8" t="s">
        <v>1490</v>
      </c>
      <c r="B522" s="8" t="s">
        <v>153</v>
      </c>
      <c r="C522" s="8" t="str">
        <f t="shared" si="24"/>
        <v>att_mitocarta_pathway:complex_ii</v>
      </c>
      <c r="D522" s="9" t="s">
        <v>17</v>
      </c>
      <c r="E522" s="8" t="s">
        <v>1491</v>
      </c>
      <c r="F522" s="8" t="s">
        <v>1492</v>
      </c>
    </row>
    <row r="523" spans="1:6" x14ac:dyDescent="0.15">
      <c r="A523" s="8" t="s">
        <v>1493</v>
      </c>
      <c r="B523" s="8" t="s">
        <v>153</v>
      </c>
      <c r="C523" s="8" t="str">
        <f t="shared" si="24"/>
        <v>att_mitocarta_pathway:complex_iii</v>
      </c>
      <c r="D523" s="9" t="s">
        <v>17</v>
      </c>
      <c r="E523" s="8" t="s">
        <v>1494</v>
      </c>
      <c r="F523" s="8" t="s">
        <v>1495</v>
      </c>
    </row>
    <row r="524" spans="1:6" x14ac:dyDescent="0.15">
      <c r="A524" s="8" t="s">
        <v>1496</v>
      </c>
      <c r="B524" s="8" t="s">
        <v>153</v>
      </c>
      <c r="C524" s="8" t="str">
        <f t="shared" si="24"/>
        <v>att_mitocarta_pathway:complex_iv</v>
      </c>
      <c r="D524" s="9" t="s">
        <v>17</v>
      </c>
      <c r="E524" s="8" t="s">
        <v>1497</v>
      </c>
      <c r="F524" s="8" t="s">
        <v>1498</v>
      </c>
    </row>
    <row r="525" spans="1:6" x14ac:dyDescent="0.15">
      <c r="A525" s="8" t="s">
        <v>1499</v>
      </c>
      <c r="B525" s="8" t="s">
        <v>153</v>
      </c>
      <c r="C525" s="8" t="str">
        <f t="shared" si="24"/>
        <v>att_mitocarta_pathway:complex_v</v>
      </c>
      <c r="D525" s="9" t="s">
        <v>17</v>
      </c>
      <c r="E525" s="8" t="s">
        <v>1500</v>
      </c>
      <c r="F525" s="8" t="s">
        <v>1501</v>
      </c>
    </row>
    <row r="526" spans="1:6" x14ac:dyDescent="0.15">
      <c r="A526" s="8" t="s">
        <v>1502</v>
      </c>
      <c r="B526" s="8" t="s">
        <v>153</v>
      </c>
      <c r="C526" s="8" t="str">
        <f t="shared" si="24"/>
        <v>att_mitocarta_pathway:copper_metabolism</v>
      </c>
      <c r="D526" s="9" t="s">
        <v>17</v>
      </c>
      <c r="E526" s="8" t="s">
        <v>1503</v>
      </c>
      <c r="F526" s="8" t="s">
        <v>1504</v>
      </c>
    </row>
    <row r="527" spans="1:6" x14ac:dyDescent="0.15">
      <c r="A527" s="8" t="s">
        <v>1505</v>
      </c>
      <c r="B527" s="8" t="s">
        <v>153</v>
      </c>
      <c r="C527" s="8" t="str">
        <f t="shared" si="24"/>
        <v>att_mitocarta_pathway:creatine_metabolism</v>
      </c>
      <c r="D527" s="9" t="s">
        <v>17</v>
      </c>
      <c r="E527" s="8" t="s">
        <v>1506</v>
      </c>
      <c r="F527" s="8" t="s">
        <v>1507</v>
      </c>
    </row>
    <row r="528" spans="1:6" x14ac:dyDescent="0.15">
      <c r="A528" s="8" t="s">
        <v>1508</v>
      </c>
      <c r="B528" s="8" t="s">
        <v>153</v>
      </c>
      <c r="C528" s="8" t="str">
        <f t="shared" si="24"/>
        <v>att_mitocarta_pathway:cristae_formation</v>
      </c>
      <c r="D528" s="9" t="s">
        <v>17</v>
      </c>
      <c r="E528" s="8" t="s">
        <v>1509</v>
      </c>
      <c r="F528" s="8" t="s">
        <v>1510</v>
      </c>
    </row>
    <row r="529" spans="1:6" x14ac:dyDescent="0.15">
      <c r="A529" s="8" t="s">
        <v>1511</v>
      </c>
      <c r="B529" s="8" t="s">
        <v>153</v>
      </c>
      <c r="C529" s="8" t="str">
        <f t="shared" si="24"/>
        <v>att_mitocarta_pathway:cv_assembly_factors</v>
      </c>
      <c r="D529" s="9" t="s">
        <v>17</v>
      </c>
      <c r="E529" s="8" t="s">
        <v>1512</v>
      </c>
      <c r="F529" s="8" t="s">
        <v>1513</v>
      </c>
    </row>
    <row r="530" spans="1:6" x14ac:dyDescent="0.15">
      <c r="A530" s="8" t="s">
        <v>1514</v>
      </c>
      <c r="B530" s="8" t="s">
        <v>153</v>
      </c>
      <c r="C530" s="8" t="str">
        <f t="shared" si="24"/>
        <v>att_mitocarta_pathway:cv_subunits</v>
      </c>
      <c r="D530" s="9" t="s">
        <v>17</v>
      </c>
      <c r="E530" s="8" t="s">
        <v>1515</v>
      </c>
      <c r="F530" s="8" t="s">
        <v>1516</v>
      </c>
    </row>
    <row r="531" spans="1:6" x14ac:dyDescent="0.15">
      <c r="A531" s="8" t="s">
        <v>1517</v>
      </c>
      <c r="B531" s="8" t="s">
        <v>153</v>
      </c>
      <c r="C531" s="8" t="str">
        <f t="shared" si="24"/>
        <v>att_mitocarta_pathway:cytochrome_c</v>
      </c>
      <c r="D531" s="9" t="s">
        <v>17</v>
      </c>
      <c r="E531" s="8" t="s">
        <v>1518</v>
      </c>
      <c r="F531" s="8" t="s">
        <v>1519</v>
      </c>
    </row>
    <row r="532" spans="1:6" x14ac:dyDescent="0.15">
      <c r="A532" s="8" t="s">
        <v>1520</v>
      </c>
      <c r="B532" s="8" t="s">
        <v>153</v>
      </c>
      <c r="C532" s="8" t="str">
        <f t="shared" si="24"/>
        <v>att_mitocarta_pathway:cytochromes</v>
      </c>
      <c r="D532" s="9" t="s">
        <v>17</v>
      </c>
      <c r="E532" s="8" t="s">
        <v>1521</v>
      </c>
      <c r="F532" s="8" t="s">
        <v>1522</v>
      </c>
    </row>
    <row r="533" spans="1:6" x14ac:dyDescent="0.15">
      <c r="A533" s="8" t="s">
        <v>1523</v>
      </c>
      <c r="B533" s="8" t="s">
        <v>153</v>
      </c>
      <c r="C533" s="8" t="str">
        <f t="shared" si="24"/>
        <v>att_mitocarta_pathway:detoxification</v>
      </c>
      <c r="D533" s="9" t="s">
        <v>17</v>
      </c>
      <c r="E533" s="8" t="s">
        <v>1524</v>
      </c>
      <c r="F533" s="8" t="s">
        <v>1525</v>
      </c>
    </row>
    <row r="534" spans="1:6" x14ac:dyDescent="0.15">
      <c r="A534" s="8" t="s">
        <v>1526</v>
      </c>
      <c r="B534" s="8" t="s">
        <v>153</v>
      </c>
      <c r="C534" s="8" t="str">
        <f t="shared" si="24"/>
        <v>att_mitocarta_pathway:ef_hand_proteins</v>
      </c>
      <c r="D534" s="9" t="s">
        <v>17</v>
      </c>
      <c r="E534" s="8" t="s">
        <v>1527</v>
      </c>
      <c r="F534" s="8" t="s">
        <v>1528</v>
      </c>
    </row>
    <row r="535" spans="1:6" x14ac:dyDescent="0.15">
      <c r="A535" s="8" t="s">
        <v>1529</v>
      </c>
      <c r="B535" s="8" t="s">
        <v>153</v>
      </c>
      <c r="C535" s="8" t="str">
        <f t="shared" si="24"/>
        <v>att_mitocarta_pathway:eicosanoid_metabolism</v>
      </c>
      <c r="D535" s="9" t="s">
        <v>17</v>
      </c>
      <c r="E535" s="8" t="s">
        <v>1530</v>
      </c>
      <c r="F535" s="8" t="s">
        <v>1531</v>
      </c>
    </row>
    <row r="536" spans="1:6" x14ac:dyDescent="0.15">
      <c r="A536" s="8" t="s">
        <v>1532</v>
      </c>
      <c r="B536" s="8" t="s">
        <v>153</v>
      </c>
      <c r="C536" s="8" t="str">
        <f t="shared" si="24"/>
        <v>att_mitocarta_pathway:electron_carriers</v>
      </c>
      <c r="D536" s="9" t="s">
        <v>17</v>
      </c>
      <c r="E536" s="8" t="s">
        <v>1533</v>
      </c>
      <c r="F536" s="8" t="s">
        <v>1534</v>
      </c>
    </row>
    <row r="537" spans="1:6" x14ac:dyDescent="0.15">
      <c r="A537" s="8" t="s">
        <v>1535</v>
      </c>
      <c r="B537" s="8" t="s">
        <v>153</v>
      </c>
      <c r="C537" s="8" t="str">
        <f t="shared" si="24"/>
        <v>att_mitocarta_pathway:fatty_acid_oxidation</v>
      </c>
      <c r="D537" s="9" t="s">
        <v>17</v>
      </c>
      <c r="E537" s="8" t="s">
        <v>1536</v>
      </c>
      <c r="F537" s="8" t="s">
        <v>1537</v>
      </c>
    </row>
    <row r="538" spans="1:6" x14ac:dyDescent="0.15">
      <c r="A538" s="8" t="s">
        <v>1538</v>
      </c>
      <c r="B538" s="8" t="s">
        <v>153</v>
      </c>
      <c r="C538" s="8" t="str">
        <f t="shared" si="24"/>
        <v>att_mitocarta_pathway:fe_s_cluster_biosynthesis</v>
      </c>
      <c r="D538" s="9" t="s">
        <v>17</v>
      </c>
      <c r="E538" s="8" t="s">
        <v>1539</v>
      </c>
      <c r="F538" s="8" t="s">
        <v>1540</v>
      </c>
    </row>
    <row r="539" spans="1:6" x14ac:dyDescent="0.15">
      <c r="A539" s="8" t="s">
        <v>1541</v>
      </c>
      <c r="B539" s="8" t="s">
        <v>153</v>
      </c>
      <c r="C539" s="8" t="str">
        <f t="shared" si="24"/>
        <v>att_mitocarta_pathway:fe_s_containing_proteins</v>
      </c>
      <c r="D539" s="9" t="s">
        <v>17</v>
      </c>
      <c r="E539" s="8" t="s">
        <v>1542</v>
      </c>
      <c r="F539" s="8" t="s">
        <v>1543</v>
      </c>
    </row>
    <row r="540" spans="1:6" x14ac:dyDescent="0.15">
      <c r="A540" s="8" t="s">
        <v>1544</v>
      </c>
      <c r="B540" s="8" t="s">
        <v>153</v>
      </c>
      <c r="C540" s="8" t="str">
        <f t="shared" si="24"/>
        <v>att_mitocarta_pathway:fission</v>
      </c>
      <c r="D540" s="9" t="s">
        <v>17</v>
      </c>
      <c r="E540" s="8" t="s">
        <v>1545</v>
      </c>
      <c r="F540" s="8" t="s">
        <v>1546</v>
      </c>
    </row>
    <row r="541" spans="1:6" x14ac:dyDescent="0.15">
      <c r="A541" s="8" t="s">
        <v>1547</v>
      </c>
      <c r="B541" s="8" t="s">
        <v>153</v>
      </c>
      <c r="C541" s="8" t="str">
        <f t="shared" si="24"/>
        <v>att_mitocarta_pathway:fmet_processing</v>
      </c>
      <c r="D541" s="9" t="s">
        <v>17</v>
      </c>
      <c r="E541" s="8" t="s">
        <v>1548</v>
      </c>
      <c r="F541" s="8" t="s">
        <v>1549</v>
      </c>
    </row>
    <row r="542" spans="1:6" x14ac:dyDescent="0.15">
      <c r="A542" s="8" t="s">
        <v>1550</v>
      </c>
      <c r="B542" s="8" t="s">
        <v>153</v>
      </c>
      <c r="C542" s="8" t="str">
        <f t="shared" si="24"/>
        <v>att_mitocarta_pathway:folate_and_1_c_metabolism</v>
      </c>
      <c r="D542" s="9" t="s">
        <v>17</v>
      </c>
      <c r="E542" s="8" t="s">
        <v>1551</v>
      </c>
      <c r="F542" s="8" t="s">
        <v>1552</v>
      </c>
    </row>
    <row r="543" spans="1:6" x14ac:dyDescent="0.15">
      <c r="A543" s="8" t="s">
        <v>1553</v>
      </c>
      <c r="B543" s="8" t="s">
        <v>153</v>
      </c>
      <c r="C543" s="8" t="str">
        <f t="shared" si="24"/>
        <v>att_mitocarta_pathway:fusion</v>
      </c>
      <c r="D543" s="9" t="s">
        <v>17</v>
      </c>
      <c r="E543" s="8" t="s">
        <v>1554</v>
      </c>
      <c r="F543" s="8" t="s">
        <v>1555</v>
      </c>
    </row>
    <row r="544" spans="1:6" x14ac:dyDescent="0.15">
      <c r="A544" s="8" t="s">
        <v>1556</v>
      </c>
      <c r="B544" s="8" t="s">
        <v>153</v>
      </c>
      <c r="C544" s="8" t="str">
        <f t="shared" si="24"/>
        <v>att_mitocarta_pathway:gaba_metabolism</v>
      </c>
      <c r="D544" s="9" t="s">
        <v>17</v>
      </c>
      <c r="E544" s="8" t="s">
        <v>1557</v>
      </c>
      <c r="F544" s="8" t="s">
        <v>1558</v>
      </c>
    </row>
    <row r="545" spans="1:6" x14ac:dyDescent="0.15">
      <c r="A545" s="8" t="s">
        <v>1559</v>
      </c>
      <c r="B545" s="8" t="s">
        <v>153</v>
      </c>
      <c r="C545" s="8" t="str">
        <f t="shared" si="24"/>
        <v>att_mitocarta_pathway:gluconeogenesis</v>
      </c>
      <c r="D545" s="9" t="s">
        <v>17</v>
      </c>
      <c r="E545" s="8" t="s">
        <v>1560</v>
      </c>
      <c r="F545" s="8" t="s">
        <v>1561</v>
      </c>
    </row>
    <row r="546" spans="1:6" x14ac:dyDescent="0.15">
      <c r="A546" s="8" t="s">
        <v>1562</v>
      </c>
      <c r="B546" s="8" t="s">
        <v>153</v>
      </c>
      <c r="C546" s="8" t="str">
        <f t="shared" si="24"/>
        <v>att_mitocarta_pathway:glutamate_metabolism</v>
      </c>
      <c r="D546" s="9" t="s">
        <v>17</v>
      </c>
      <c r="E546" s="8" t="s">
        <v>1563</v>
      </c>
      <c r="F546" s="8" t="s">
        <v>1564</v>
      </c>
    </row>
    <row r="547" spans="1:6" x14ac:dyDescent="0.15">
      <c r="A547" s="8" t="s">
        <v>1565</v>
      </c>
      <c r="B547" s="8" t="s">
        <v>153</v>
      </c>
      <c r="C547" s="8" t="str">
        <f t="shared" si="24"/>
        <v>att_mitocarta_pathway:glycerol_phosphate_shuttle</v>
      </c>
      <c r="D547" s="9" t="s">
        <v>17</v>
      </c>
      <c r="E547" s="8" t="s">
        <v>1566</v>
      </c>
      <c r="F547" s="8" t="s">
        <v>1567</v>
      </c>
    </row>
    <row r="548" spans="1:6" x14ac:dyDescent="0.15">
      <c r="A548" s="8" t="s">
        <v>1568</v>
      </c>
      <c r="B548" s="8" t="s">
        <v>153</v>
      </c>
      <c r="C548" s="8" t="str">
        <f t="shared" si="24"/>
        <v>att_mitocarta_pathway:glycine_cleavage_system</v>
      </c>
      <c r="D548" s="9" t="s">
        <v>17</v>
      </c>
      <c r="E548" s="8" t="s">
        <v>1569</v>
      </c>
      <c r="F548" s="8" t="s">
        <v>1570</v>
      </c>
    </row>
    <row r="549" spans="1:6" x14ac:dyDescent="0.15">
      <c r="A549" s="8" t="s">
        <v>1571</v>
      </c>
      <c r="B549" s="8" t="s">
        <v>153</v>
      </c>
      <c r="C549" s="8" t="str">
        <f t="shared" si="24"/>
        <v>att_mitocarta_pathway:glycine_metabolism</v>
      </c>
      <c r="D549" s="9" t="s">
        <v>17</v>
      </c>
      <c r="E549" s="8" t="s">
        <v>1572</v>
      </c>
      <c r="F549" s="8" t="s">
        <v>1573</v>
      </c>
    </row>
    <row r="550" spans="1:6" x14ac:dyDescent="0.15">
      <c r="A550" s="8" t="s">
        <v>1574</v>
      </c>
      <c r="B550" s="8" t="s">
        <v>153</v>
      </c>
      <c r="C550" s="8" t="str">
        <f t="shared" si="24"/>
        <v>att_mitocarta_pathway:glyoxylate_metabolism</v>
      </c>
      <c r="D550" s="9" t="s">
        <v>17</v>
      </c>
      <c r="E550" s="8" t="s">
        <v>1575</v>
      </c>
      <c r="F550" s="8" t="s">
        <v>1576</v>
      </c>
    </row>
    <row r="551" spans="1:6" x14ac:dyDescent="0.15">
      <c r="A551" s="8" t="s">
        <v>1577</v>
      </c>
      <c r="B551" s="8" t="s">
        <v>153</v>
      </c>
      <c r="C551" s="8" t="str">
        <f t="shared" si="24"/>
        <v>att_mitocarta_pathway:heme_containing_proteins</v>
      </c>
      <c r="D551" s="9" t="s">
        <v>17</v>
      </c>
      <c r="E551" s="8" t="s">
        <v>1578</v>
      </c>
      <c r="F551" s="8" t="s">
        <v>1579</v>
      </c>
    </row>
    <row r="552" spans="1:6" x14ac:dyDescent="0.15">
      <c r="A552" s="8" t="s">
        <v>1580</v>
      </c>
      <c r="B552" s="8" t="s">
        <v>153</v>
      </c>
      <c r="C552" s="8" t="str">
        <f t="shared" si="24"/>
        <v>att_mitocarta_pathway:heme_synthesis_and_processing</v>
      </c>
      <c r="D552" s="9" t="s">
        <v>17</v>
      </c>
      <c r="E552" s="8" t="s">
        <v>1581</v>
      </c>
      <c r="F552" s="8" t="s">
        <v>1582</v>
      </c>
    </row>
    <row r="553" spans="1:6" x14ac:dyDescent="0.15">
      <c r="A553" s="8" t="s">
        <v>1583</v>
      </c>
      <c r="B553" s="8" t="s">
        <v>153</v>
      </c>
      <c r="C553" s="8" t="str">
        <f t="shared" si="24"/>
        <v>att_mitocarta_pathway:immune_response</v>
      </c>
      <c r="D553" s="9" t="s">
        <v>17</v>
      </c>
      <c r="E553" s="8" t="s">
        <v>1584</v>
      </c>
      <c r="F553" s="8" t="s">
        <v>1585</v>
      </c>
    </row>
    <row r="554" spans="1:6" x14ac:dyDescent="0.15">
      <c r="A554" s="8" t="s">
        <v>1586</v>
      </c>
      <c r="B554" s="8" t="s">
        <v>153</v>
      </c>
      <c r="C554" s="8" t="str">
        <f t="shared" si="24"/>
        <v>att_mitocarta_pathway:import_motor</v>
      </c>
      <c r="D554" s="9" t="s">
        <v>17</v>
      </c>
      <c r="E554" s="8" t="s">
        <v>1587</v>
      </c>
      <c r="F554" s="8" t="s">
        <v>1588</v>
      </c>
    </row>
    <row r="555" spans="1:6" x14ac:dyDescent="0.15">
      <c r="A555" s="8" t="s">
        <v>1589</v>
      </c>
      <c r="B555" s="8" t="s">
        <v>153</v>
      </c>
      <c r="C555" s="8" t="str">
        <f t="shared" si="24"/>
        <v>att_mitocarta_pathway:intramitochondrial_membrane_interactions</v>
      </c>
      <c r="D555" s="9" t="s">
        <v>17</v>
      </c>
      <c r="E555" s="8" t="s">
        <v>1590</v>
      </c>
      <c r="F555" s="8" t="s">
        <v>1591</v>
      </c>
    </row>
    <row r="556" spans="1:6" x14ac:dyDescent="0.15">
      <c r="A556" s="8" t="s">
        <v>1592</v>
      </c>
      <c r="B556" s="8" t="s">
        <v>153</v>
      </c>
      <c r="C556" s="8" t="str">
        <f t="shared" si="24"/>
        <v>att_mitocarta_pathway:iron_homeostasis</v>
      </c>
      <c r="D556" s="9" t="s">
        <v>17</v>
      </c>
      <c r="E556" s="8" t="s">
        <v>1593</v>
      </c>
      <c r="F556" s="8" t="s">
        <v>1594</v>
      </c>
    </row>
    <row r="557" spans="1:6" x14ac:dyDescent="0.15">
      <c r="A557" s="8" t="s">
        <v>1595</v>
      </c>
      <c r="B557" s="8" t="s">
        <v>153</v>
      </c>
      <c r="C557" s="8" t="str">
        <f t="shared" si="24"/>
        <v>att_mitocarta_pathway:itaconate_metabolism</v>
      </c>
      <c r="D557" s="9" t="s">
        <v>17</v>
      </c>
      <c r="E557" s="8" t="s">
        <v>1596</v>
      </c>
      <c r="F557" s="8" t="s">
        <v>1597</v>
      </c>
    </row>
    <row r="558" spans="1:6" x14ac:dyDescent="0.15">
      <c r="A558" s="8" t="s">
        <v>1598</v>
      </c>
      <c r="B558" s="8" t="s">
        <v>153</v>
      </c>
      <c r="C558" s="8" t="str">
        <f t="shared" si="24"/>
        <v>att_mitocarta_pathway:ketone_metabolism</v>
      </c>
      <c r="D558" s="9" t="s">
        <v>17</v>
      </c>
      <c r="E558" s="8" t="s">
        <v>1599</v>
      </c>
      <c r="F558" s="8" t="s">
        <v>1600</v>
      </c>
    </row>
    <row r="559" spans="1:6" x14ac:dyDescent="0.15">
      <c r="A559" s="8" t="s">
        <v>1601</v>
      </c>
      <c r="B559" s="8" t="s">
        <v>153</v>
      </c>
      <c r="C559" s="8" t="str">
        <f t="shared" si="24"/>
        <v>att_mitocarta_pathway:kynurenine_metabolism</v>
      </c>
      <c r="D559" s="9" t="s">
        <v>17</v>
      </c>
      <c r="E559" s="8" t="s">
        <v>1602</v>
      </c>
      <c r="F559" s="8" t="s">
        <v>1603</v>
      </c>
    </row>
    <row r="560" spans="1:6" x14ac:dyDescent="0.15">
      <c r="A560" s="8" t="s">
        <v>1604</v>
      </c>
      <c r="B560" s="8" t="s">
        <v>153</v>
      </c>
      <c r="C560" s="8" t="str">
        <f t="shared" si="24"/>
        <v>att_mitocarta_pathway:lipid_metabolism</v>
      </c>
      <c r="D560" s="9" t="s">
        <v>17</v>
      </c>
      <c r="E560" s="8" t="s">
        <v>1605</v>
      </c>
      <c r="F560" s="8" t="s">
        <v>1606</v>
      </c>
    </row>
    <row r="561" spans="1:6" x14ac:dyDescent="0.15">
      <c r="A561" s="8" t="s">
        <v>1607</v>
      </c>
      <c r="B561" s="8" t="s">
        <v>153</v>
      </c>
      <c r="C561" s="8" t="str">
        <f t="shared" si="24"/>
        <v>att_mitocarta_pathway:lipoate_insertion</v>
      </c>
      <c r="D561" s="9" t="s">
        <v>17</v>
      </c>
      <c r="E561" s="8" t="s">
        <v>1608</v>
      </c>
      <c r="F561" s="8" t="s">
        <v>1609</v>
      </c>
    </row>
    <row r="562" spans="1:6" x14ac:dyDescent="0.15">
      <c r="A562" s="8" t="s">
        <v>1610</v>
      </c>
      <c r="B562" s="8" t="s">
        <v>153</v>
      </c>
      <c r="C562" s="8" t="str">
        <f t="shared" si="24"/>
        <v>att_mitocarta_pathway:lysine_metabolism</v>
      </c>
      <c r="D562" s="9" t="s">
        <v>17</v>
      </c>
      <c r="E562" s="8" t="s">
        <v>1611</v>
      </c>
      <c r="F562" s="8" t="s">
        <v>1612</v>
      </c>
    </row>
    <row r="563" spans="1:6" x14ac:dyDescent="0.15">
      <c r="A563" s="8" t="s">
        <v>1613</v>
      </c>
      <c r="B563" s="8" t="s">
        <v>153</v>
      </c>
      <c r="C563" s="8" t="str">
        <f t="shared" si="24"/>
        <v>att_mitocarta_pathway:malate_aspartate_shuttle</v>
      </c>
      <c r="D563" s="9" t="s">
        <v>17</v>
      </c>
      <c r="E563" s="8" t="s">
        <v>1614</v>
      </c>
      <c r="F563" s="8" t="s">
        <v>1615</v>
      </c>
    </row>
    <row r="564" spans="1:6" x14ac:dyDescent="0.15">
      <c r="A564" s="8" t="s">
        <v>1616</v>
      </c>
      <c r="B564" s="8" t="s">
        <v>153</v>
      </c>
      <c r="C564" s="8" t="str">
        <f t="shared" si="24"/>
        <v>att_mitocarta_pathway:metabolism</v>
      </c>
      <c r="D564" s="9" t="s">
        <v>17</v>
      </c>
      <c r="E564" s="8" t="s">
        <v>1617</v>
      </c>
      <c r="F564" s="8" t="s">
        <v>1617</v>
      </c>
    </row>
    <row r="565" spans="1:6" x14ac:dyDescent="0.15">
      <c r="A565" s="8" t="s">
        <v>1618</v>
      </c>
      <c r="B565" s="8" t="s">
        <v>153</v>
      </c>
      <c r="C565" s="8" t="str">
        <f t="shared" si="24"/>
        <v>att_mitocarta_pathway:metals_and_cofactors</v>
      </c>
      <c r="D565" s="9" t="s">
        <v>17</v>
      </c>
      <c r="E565" s="8" t="s">
        <v>1619</v>
      </c>
      <c r="F565" s="8" t="s">
        <v>1620</v>
      </c>
    </row>
    <row r="566" spans="1:6" x14ac:dyDescent="0.15">
      <c r="A566" s="8" t="s">
        <v>1621</v>
      </c>
      <c r="B566" s="8" t="s">
        <v>153</v>
      </c>
      <c r="C566" s="8" t="str">
        <f t="shared" si="24"/>
        <v>att_mitocarta_pathway:mia40</v>
      </c>
      <c r="D566" s="9" t="s">
        <v>17</v>
      </c>
      <c r="E566" s="8" t="s">
        <v>1622</v>
      </c>
      <c r="F566" s="8" t="s">
        <v>1623</v>
      </c>
    </row>
    <row r="567" spans="1:6" x14ac:dyDescent="0.15">
      <c r="A567" s="8" t="s">
        <v>1624</v>
      </c>
      <c r="B567" s="8" t="s">
        <v>153</v>
      </c>
      <c r="C567" s="8" t="str">
        <f t="shared" si="24"/>
        <v>att_mitocarta_pathway:micos_complex</v>
      </c>
      <c r="D567" s="9" t="s">
        <v>17</v>
      </c>
      <c r="E567" s="8" t="s">
        <v>1625</v>
      </c>
      <c r="F567" s="8" t="s">
        <v>1626</v>
      </c>
    </row>
    <row r="568" spans="1:6" x14ac:dyDescent="0.15">
      <c r="A568" s="8" t="s">
        <v>1627</v>
      </c>
      <c r="B568" s="8" t="s">
        <v>153</v>
      </c>
      <c r="C568" s="8" t="str">
        <f t="shared" si="24"/>
        <v>att_mitocarta_pathway:mitochondrial_dynamics_and_surveillance</v>
      </c>
      <c r="D568" s="9" t="s">
        <v>17</v>
      </c>
      <c r="E568" s="8" t="s">
        <v>1628</v>
      </c>
      <c r="F568" s="8" t="s">
        <v>1628</v>
      </c>
    </row>
    <row r="569" spans="1:6" x14ac:dyDescent="0.15">
      <c r="A569" s="8" t="s">
        <v>1629</v>
      </c>
      <c r="B569" s="8" t="s">
        <v>153</v>
      </c>
      <c r="C569" s="8" t="str">
        <f t="shared" si="24"/>
        <v>att_mitocarta_pathway:mitochondrial_permeability_transition_pore</v>
      </c>
      <c r="D569" s="9" t="s">
        <v>17</v>
      </c>
      <c r="E569" s="8" t="s">
        <v>1630</v>
      </c>
      <c r="F569" s="8" t="s">
        <v>1631</v>
      </c>
    </row>
    <row r="570" spans="1:6" x14ac:dyDescent="0.15">
      <c r="A570" s="8" t="s">
        <v>1632</v>
      </c>
      <c r="B570" s="8" t="s">
        <v>153</v>
      </c>
      <c r="C570" s="8" t="str">
        <f t="shared" si="24"/>
        <v>att_mitocarta_pathway:mitochondrial_ribosome</v>
      </c>
      <c r="D570" s="9" t="s">
        <v>17</v>
      </c>
      <c r="E570" s="8" t="s">
        <v>1633</v>
      </c>
      <c r="F570" s="8" t="s">
        <v>1634</v>
      </c>
    </row>
    <row r="571" spans="1:6" x14ac:dyDescent="0.15">
      <c r="A571" s="8" t="s">
        <v>1635</v>
      </c>
      <c r="B571" s="8" t="s">
        <v>153</v>
      </c>
      <c r="C571" s="8" t="str">
        <f t="shared" si="24"/>
        <v>att_mitocarta_pathway:mitochondrial_ribosome_assembly</v>
      </c>
      <c r="D571" s="9" t="s">
        <v>17</v>
      </c>
      <c r="E571" s="8" t="s">
        <v>1636</v>
      </c>
      <c r="F571" s="8" t="s">
        <v>1637</v>
      </c>
    </row>
    <row r="572" spans="1:6" x14ac:dyDescent="0.15">
      <c r="A572" s="8" t="s">
        <v>1638</v>
      </c>
      <c r="B572" s="8" t="s">
        <v>153</v>
      </c>
      <c r="C572" s="8" t="str">
        <f t="shared" si="24"/>
        <v>att_mitocarta_pathway:mitophagy</v>
      </c>
      <c r="D572" s="9" t="s">
        <v>17</v>
      </c>
      <c r="E572" s="8" t="s">
        <v>1639</v>
      </c>
      <c r="F572" s="8" t="s">
        <v>1640</v>
      </c>
    </row>
    <row r="573" spans="1:6" x14ac:dyDescent="0.15">
      <c r="A573" s="8" t="s">
        <v>1641</v>
      </c>
      <c r="B573" s="8" t="s">
        <v>153</v>
      </c>
      <c r="C573" s="8" t="str">
        <f t="shared" si="24"/>
        <v>att_mitocarta_pathway:molybdenum_cofactor_synthesis_and_proteins</v>
      </c>
      <c r="D573" s="9" t="s">
        <v>17</v>
      </c>
      <c r="E573" s="8" t="s">
        <v>1642</v>
      </c>
      <c r="F573" s="8" t="s">
        <v>1643</v>
      </c>
    </row>
    <row r="574" spans="1:6" x14ac:dyDescent="0.15">
      <c r="A574" s="8" t="s">
        <v>1644</v>
      </c>
      <c r="B574" s="8" t="s">
        <v>153</v>
      </c>
      <c r="C574" s="8" t="str">
        <f t="shared" si="24"/>
        <v>att_mitocarta_pathway:mt_mrna_modifications</v>
      </c>
      <c r="D574" s="9" t="s">
        <v>17</v>
      </c>
      <c r="E574" s="8" t="s">
        <v>1645</v>
      </c>
      <c r="F574" s="8" t="s">
        <v>1646</v>
      </c>
    </row>
    <row r="575" spans="1:6" x14ac:dyDescent="0.15">
      <c r="A575" s="8" t="s">
        <v>1647</v>
      </c>
      <c r="B575" s="8" t="s">
        <v>153</v>
      </c>
      <c r="C575" s="8" t="str">
        <f t="shared" si="24"/>
        <v>att_mitocarta_pathway:mt_rrna_modifications</v>
      </c>
      <c r="D575" s="9" t="s">
        <v>17</v>
      </c>
      <c r="E575" s="8" t="s">
        <v>1648</v>
      </c>
      <c r="F575" s="8" t="s">
        <v>1649</v>
      </c>
    </row>
    <row r="576" spans="1:6" x14ac:dyDescent="0.15">
      <c r="A576" s="8" t="s">
        <v>1650</v>
      </c>
      <c r="B576" s="8" t="s">
        <v>153</v>
      </c>
      <c r="C576" s="8" t="str">
        <f t="shared" si="24"/>
        <v>att_mitocarta_pathway:mt_trna_modifications</v>
      </c>
      <c r="D576" s="9" t="s">
        <v>17</v>
      </c>
      <c r="E576" s="8" t="s">
        <v>1651</v>
      </c>
      <c r="F576" s="8" t="s">
        <v>1652</v>
      </c>
    </row>
    <row r="577" spans="1:6" x14ac:dyDescent="0.15">
      <c r="A577" s="8" t="s">
        <v>1653</v>
      </c>
      <c r="B577" s="8" t="s">
        <v>153</v>
      </c>
      <c r="C577" s="8" t="str">
        <f t="shared" si="24"/>
        <v>att_mitocarta_pathway:mt_trna_synthetases</v>
      </c>
      <c r="D577" s="9" t="s">
        <v>17</v>
      </c>
      <c r="E577" s="8" t="s">
        <v>1654</v>
      </c>
      <c r="F577" s="8" t="s">
        <v>1655</v>
      </c>
    </row>
    <row r="578" spans="1:6" x14ac:dyDescent="0.15">
      <c r="A578" s="8" t="s">
        <v>1656</v>
      </c>
      <c r="B578" s="8" t="s">
        <v>153</v>
      </c>
      <c r="C578" s="8" t="str">
        <f t="shared" si="24"/>
        <v>att_mitocarta_pathway:mtdna_maintenance</v>
      </c>
      <c r="D578" s="9" t="s">
        <v>17</v>
      </c>
      <c r="E578" s="8" t="s">
        <v>1657</v>
      </c>
      <c r="F578" s="8" t="s">
        <v>1658</v>
      </c>
    </row>
    <row r="579" spans="1:6" x14ac:dyDescent="0.15">
      <c r="A579" s="8" t="s">
        <v>1659</v>
      </c>
      <c r="B579" s="8" t="s">
        <v>153</v>
      </c>
      <c r="C579" s="8" t="str">
        <f t="shared" si="24"/>
        <v>att_mitocarta_pathway:mtdna_modifications</v>
      </c>
      <c r="D579" s="9" t="s">
        <v>17</v>
      </c>
      <c r="E579" s="8" t="s">
        <v>1660</v>
      </c>
      <c r="F579" s="8" t="s">
        <v>1661</v>
      </c>
    </row>
    <row r="580" spans="1:6" x14ac:dyDescent="0.15">
      <c r="A580" s="8" t="s">
        <v>1662</v>
      </c>
      <c r="B580" s="8" t="s">
        <v>153</v>
      </c>
      <c r="C580" s="8" t="str">
        <f t="shared" si="24"/>
        <v>att_mitocarta_pathway:mtdna_nucleoid</v>
      </c>
      <c r="D580" s="9" t="s">
        <v>17</v>
      </c>
      <c r="E580" s="8" t="s">
        <v>1663</v>
      </c>
      <c r="F580" s="8" t="s">
        <v>1664</v>
      </c>
    </row>
    <row r="581" spans="1:6" x14ac:dyDescent="0.15">
      <c r="A581" s="8" t="s">
        <v>1665</v>
      </c>
      <c r="B581" s="8" t="s">
        <v>153</v>
      </c>
      <c r="C581" s="8" t="str">
        <f t="shared" si="24"/>
        <v>att_mitocarta_pathway:mtdna_repair</v>
      </c>
      <c r="D581" s="9" t="s">
        <v>17</v>
      </c>
      <c r="E581" s="8" t="s">
        <v>1666</v>
      </c>
      <c r="F581" s="8" t="s">
        <v>1667</v>
      </c>
    </row>
    <row r="582" spans="1:6" x14ac:dyDescent="0.15">
      <c r="A582" s="8" t="s">
        <v>1668</v>
      </c>
      <c r="B582" s="8" t="s">
        <v>153</v>
      </c>
      <c r="C582" s="8" t="str">
        <f t="shared" si="24"/>
        <v>att_mitocarta_pathway:mtdna_replication</v>
      </c>
      <c r="D582" s="9" t="s">
        <v>17</v>
      </c>
      <c r="E582" s="8" t="s">
        <v>1669</v>
      </c>
      <c r="F582" s="8" t="s">
        <v>1670</v>
      </c>
    </row>
    <row r="583" spans="1:6" x14ac:dyDescent="0.15">
      <c r="A583" s="8" t="s">
        <v>1671</v>
      </c>
      <c r="B583" s="8" t="s">
        <v>153</v>
      </c>
      <c r="C583" s="8" t="str">
        <f t="shared" ref="C583:C654" si="25">B583&amp;":"&amp;A583</f>
        <v>att_mitocarta_pathway:mtdna_stability_and_decay</v>
      </c>
      <c r="D583" s="9" t="s">
        <v>17</v>
      </c>
      <c r="E583" s="8" t="s">
        <v>1672</v>
      </c>
      <c r="F583" s="8" t="s">
        <v>1673</v>
      </c>
    </row>
    <row r="584" spans="1:6" x14ac:dyDescent="0.15">
      <c r="A584" s="8" t="s">
        <v>1674</v>
      </c>
      <c r="B584" s="8" t="s">
        <v>153</v>
      </c>
      <c r="C584" s="8" t="str">
        <f t="shared" si="25"/>
        <v>att_mitocarta_pathway:mtrna_granules</v>
      </c>
      <c r="D584" s="9" t="s">
        <v>17</v>
      </c>
      <c r="E584" s="8" t="s">
        <v>1675</v>
      </c>
      <c r="F584" s="8" t="s">
        <v>1676</v>
      </c>
    </row>
    <row r="585" spans="1:6" x14ac:dyDescent="0.15">
      <c r="A585" s="8" t="s">
        <v>1677</v>
      </c>
      <c r="B585" s="8" t="s">
        <v>153</v>
      </c>
      <c r="C585" s="8" t="str">
        <f t="shared" si="25"/>
        <v>att_mitocarta_pathway:mtrna_metabolism</v>
      </c>
      <c r="D585" s="9" t="s">
        <v>17</v>
      </c>
      <c r="E585" s="8" t="s">
        <v>1678</v>
      </c>
      <c r="F585" s="8" t="s">
        <v>1679</v>
      </c>
    </row>
    <row r="586" spans="1:6" x14ac:dyDescent="0.15">
      <c r="A586" s="8" t="s">
        <v>1680</v>
      </c>
      <c r="B586" s="8" t="s">
        <v>153</v>
      </c>
      <c r="C586" s="8" t="str">
        <f t="shared" si="25"/>
        <v>att_mitocarta_pathway:mtrna_stability_and_decay</v>
      </c>
      <c r="D586" s="9" t="s">
        <v>17</v>
      </c>
      <c r="E586" s="8" t="s">
        <v>1681</v>
      </c>
      <c r="F586" s="8" t="s">
        <v>1682</v>
      </c>
    </row>
    <row r="587" spans="1:6" x14ac:dyDescent="0.15">
      <c r="A587" s="8" t="s">
        <v>1683</v>
      </c>
      <c r="B587" s="8" t="s">
        <v>153</v>
      </c>
      <c r="C587" s="8" t="str">
        <f t="shared" si="25"/>
        <v>att_mitocarta_pathway:nad_biosynthesis_and_metabolism</v>
      </c>
      <c r="D587" s="9" t="s">
        <v>17</v>
      </c>
      <c r="E587" s="8" t="s">
        <v>1684</v>
      </c>
      <c r="F587" s="8" t="s">
        <v>1685</v>
      </c>
    </row>
    <row r="588" spans="1:6" x14ac:dyDescent="0.15">
      <c r="A588" s="8" t="s">
        <v>1686</v>
      </c>
      <c r="B588" s="8" t="s">
        <v>153</v>
      </c>
      <c r="C588" s="8" t="str">
        <f t="shared" si="25"/>
        <v>att_mitocarta_pathway:nucleotide_import</v>
      </c>
      <c r="D588" s="9" t="s">
        <v>17</v>
      </c>
      <c r="E588" s="8" t="s">
        <v>1687</v>
      </c>
      <c r="F588" s="8" t="s">
        <v>1688</v>
      </c>
    </row>
    <row r="589" spans="1:6" x14ac:dyDescent="0.15">
      <c r="A589" s="8" t="s">
        <v>1689</v>
      </c>
      <c r="B589" s="8" t="s">
        <v>153</v>
      </c>
      <c r="C589" s="8" t="str">
        <f t="shared" si="25"/>
        <v>att_mitocarta_pathway:nucleotide_metabolism</v>
      </c>
      <c r="D589" s="9" t="s">
        <v>17</v>
      </c>
      <c r="E589" s="8" t="s">
        <v>1690</v>
      </c>
      <c r="F589" s="8" t="s">
        <v>1691</v>
      </c>
    </row>
    <row r="590" spans="1:6" x14ac:dyDescent="0.15">
      <c r="A590" s="8" t="s">
        <v>1692</v>
      </c>
      <c r="B590" s="8" t="s">
        <v>153</v>
      </c>
      <c r="C590" s="8" t="str">
        <f t="shared" si="25"/>
        <v>att_mitocarta_pathway:nucleotide_synthesis_and_processing</v>
      </c>
      <c r="D590" s="9" t="s">
        <v>17</v>
      </c>
      <c r="E590" s="8" t="s">
        <v>1693</v>
      </c>
      <c r="F590" s="8" t="s">
        <v>1694</v>
      </c>
    </row>
    <row r="591" spans="1:6" x14ac:dyDescent="0.15">
      <c r="A591" s="8" t="s">
        <v>1695</v>
      </c>
      <c r="B591" s="8" t="s">
        <v>153</v>
      </c>
      <c r="C591" s="8" t="str">
        <f t="shared" si="25"/>
        <v>att_mitocarta_pathway:organelle_contact_sites</v>
      </c>
      <c r="D591" s="9" t="s">
        <v>17</v>
      </c>
      <c r="E591" s="8" t="s">
        <v>1696</v>
      </c>
      <c r="F591" s="8" t="s">
        <v>1697</v>
      </c>
    </row>
    <row r="592" spans="1:6" x14ac:dyDescent="0.15">
      <c r="A592" s="8" t="s">
        <v>1698</v>
      </c>
      <c r="B592" s="8" t="s">
        <v>153</v>
      </c>
      <c r="C592" s="8" t="str">
        <f t="shared" si="25"/>
        <v>att_mitocarta_pathway:oxa</v>
      </c>
      <c r="D592" s="9" t="s">
        <v>17</v>
      </c>
      <c r="E592" s="8" t="s">
        <v>1699</v>
      </c>
      <c r="F592" s="8" t="s">
        <v>1700</v>
      </c>
    </row>
    <row r="593" spans="1:6" x14ac:dyDescent="0.15">
      <c r="A593" s="8" t="s">
        <v>1701</v>
      </c>
      <c r="B593" s="8" t="s">
        <v>153</v>
      </c>
      <c r="C593" s="8" t="str">
        <f t="shared" si="25"/>
        <v>att_mitocarta_pathway:oxphos</v>
      </c>
      <c r="D593" s="9" t="s">
        <v>17</v>
      </c>
      <c r="E593" s="8" t="s">
        <v>1702</v>
      </c>
      <c r="F593" s="8" t="s">
        <v>1702</v>
      </c>
    </row>
    <row r="594" spans="1:6" x14ac:dyDescent="0.15">
      <c r="A594" s="8" t="s">
        <v>1703</v>
      </c>
      <c r="B594" s="8" t="s">
        <v>153</v>
      </c>
      <c r="C594" s="8" t="str">
        <f t="shared" si="25"/>
        <v>att_mitocarta_pathway:oxphos_assembly_factors</v>
      </c>
      <c r="D594" s="9" t="s">
        <v>17</v>
      </c>
      <c r="E594" s="8" t="s">
        <v>1704</v>
      </c>
      <c r="F594" s="8" t="s">
        <v>1705</v>
      </c>
    </row>
    <row r="595" spans="1:6" x14ac:dyDescent="0.15">
      <c r="A595" s="8" t="s">
        <v>1706</v>
      </c>
      <c r="B595" s="8" t="s">
        <v>153</v>
      </c>
      <c r="C595" s="8" t="str">
        <f t="shared" si="25"/>
        <v>att_mitocarta_pathway:oxphos_subunits</v>
      </c>
      <c r="D595" s="9" t="s">
        <v>17</v>
      </c>
      <c r="E595" s="8" t="s">
        <v>1707</v>
      </c>
      <c r="F595" s="8" t="s">
        <v>1708</v>
      </c>
    </row>
    <row r="596" spans="1:6" x14ac:dyDescent="0.15">
      <c r="A596" s="8" t="s">
        <v>1709</v>
      </c>
      <c r="B596" s="8" t="s">
        <v>153</v>
      </c>
      <c r="C596" s="8" t="str">
        <f t="shared" si="25"/>
        <v>att_mitocarta_pathway:phospholipid_metabolism</v>
      </c>
      <c r="D596" s="9" t="s">
        <v>17</v>
      </c>
      <c r="E596" s="8" t="s">
        <v>1710</v>
      </c>
      <c r="F596" s="8" t="s">
        <v>1711</v>
      </c>
    </row>
    <row r="597" spans="1:6" x14ac:dyDescent="0.15">
      <c r="A597" s="8" t="s">
        <v>1712</v>
      </c>
      <c r="B597" s="8" t="s">
        <v>153</v>
      </c>
      <c r="C597" s="8" t="str">
        <f t="shared" si="25"/>
        <v>att_mitocarta_pathway:polycistronic_mtrna_processing</v>
      </c>
      <c r="D597" s="9" t="s">
        <v>17</v>
      </c>
      <c r="E597" s="8" t="s">
        <v>1713</v>
      </c>
      <c r="F597" s="8" t="s">
        <v>1714</v>
      </c>
    </row>
    <row r="598" spans="1:6" x14ac:dyDescent="0.15">
      <c r="A598" s="8" t="s">
        <v>1715</v>
      </c>
      <c r="B598" s="8" t="s">
        <v>153</v>
      </c>
      <c r="C598" s="8" t="str">
        <f t="shared" si="25"/>
        <v>att_mitocarta_pathway:preprotein_cleavage</v>
      </c>
      <c r="D598" s="9" t="s">
        <v>17</v>
      </c>
      <c r="E598" s="8" t="s">
        <v>1716</v>
      </c>
      <c r="F598" s="8" t="s">
        <v>1717</v>
      </c>
    </row>
    <row r="599" spans="1:6" x14ac:dyDescent="0.15">
      <c r="A599" s="8" t="s">
        <v>1718</v>
      </c>
      <c r="B599" s="8" t="s">
        <v>153</v>
      </c>
      <c r="C599" s="8" t="str">
        <f t="shared" si="25"/>
        <v>att_mitocarta_pathway:proline_metabolism</v>
      </c>
      <c r="D599" s="9" t="s">
        <v>17</v>
      </c>
      <c r="E599" s="8" t="s">
        <v>1719</v>
      </c>
      <c r="F599" s="8" t="s">
        <v>1720</v>
      </c>
    </row>
    <row r="600" spans="1:6" x14ac:dyDescent="0.15">
      <c r="A600" s="8" t="s">
        <v>1721</v>
      </c>
      <c r="B600" s="8" t="s">
        <v>153</v>
      </c>
      <c r="C600" s="8" t="str">
        <f t="shared" si="25"/>
        <v>att_mitocarta_pathway:propanoate_metabolism</v>
      </c>
      <c r="D600" s="9" t="s">
        <v>17</v>
      </c>
      <c r="E600" s="8" t="s">
        <v>1722</v>
      </c>
      <c r="F600" s="8" t="s">
        <v>1723</v>
      </c>
    </row>
    <row r="601" spans="1:6" x14ac:dyDescent="0.15">
      <c r="A601" s="8" t="s">
        <v>1724</v>
      </c>
      <c r="B601" s="8" t="s">
        <v>153</v>
      </c>
      <c r="C601" s="8" t="str">
        <f t="shared" si="25"/>
        <v>att_mitocarta_pathway:proteases</v>
      </c>
      <c r="D601" s="9" t="s">
        <v>17</v>
      </c>
      <c r="E601" s="8" t="s">
        <v>1725</v>
      </c>
      <c r="F601" s="8" t="s">
        <v>1726</v>
      </c>
    </row>
    <row r="602" spans="1:6" x14ac:dyDescent="0.15">
      <c r="A602" s="8" t="s">
        <v>1727</v>
      </c>
      <c r="B602" s="8" t="s">
        <v>153</v>
      </c>
      <c r="C602" s="8" t="str">
        <f t="shared" si="25"/>
        <v>att_mitocarta_pathway:protein_homeostasis</v>
      </c>
      <c r="D602" s="9" t="s">
        <v>17</v>
      </c>
      <c r="E602" s="8" t="s">
        <v>1728</v>
      </c>
      <c r="F602" s="8" t="s">
        <v>1729</v>
      </c>
    </row>
    <row r="603" spans="1:6" x14ac:dyDescent="0.15">
      <c r="A603" s="8" t="s">
        <v>1730</v>
      </c>
      <c r="B603" s="8" t="s">
        <v>153</v>
      </c>
      <c r="C603" s="8" t="str">
        <f t="shared" si="25"/>
        <v>att_mitocarta_pathway:protein_import_and_sorting</v>
      </c>
      <c r="D603" s="9" t="s">
        <v>17</v>
      </c>
      <c r="E603" s="8" t="s">
        <v>1731</v>
      </c>
      <c r="F603" s="8" t="s">
        <v>1732</v>
      </c>
    </row>
    <row r="604" spans="1:6" x14ac:dyDescent="0.15">
      <c r="A604" s="8" t="s">
        <v>1733</v>
      </c>
      <c r="B604" s="8" t="s">
        <v>153</v>
      </c>
      <c r="C604" s="8" t="str">
        <f t="shared" si="25"/>
        <v>att_mitocarta_pathway:pyruvate_metabolism</v>
      </c>
      <c r="D604" s="9" t="s">
        <v>17</v>
      </c>
      <c r="E604" s="8" t="s">
        <v>1734</v>
      </c>
      <c r="F604" s="8" t="s">
        <v>1735</v>
      </c>
    </row>
    <row r="605" spans="1:6" x14ac:dyDescent="0.15">
      <c r="A605" s="8" t="s">
        <v>1736</v>
      </c>
      <c r="B605" s="8" t="s">
        <v>153</v>
      </c>
      <c r="C605" s="8" t="str">
        <f t="shared" si="25"/>
        <v>att_mitocarta_pathway:respirasome_assembly</v>
      </c>
      <c r="D605" s="9" t="s">
        <v>17</v>
      </c>
      <c r="E605" s="8" t="s">
        <v>1737</v>
      </c>
      <c r="F605" s="8" t="s">
        <v>1738</v>
      </c>
    </row>
    <row r="606" spans="1:6" x14ac:dyDescent="0.15">
      <c r="A606" s="8" t="s">
        <v>1739</v>
      </c>
      <c r="B606" s="8" t="s">
        <v>153</v>
      </c>
      <c r="C606" s="8" t="str">
        <f t="shared" si="25"/>
        <v>att_mitocarta_pathway:ros_and_glutathione_metabolism</v>
      </c>
      <c r="D606" s="9" t="s">
        <v>17</v>
      </c>
      <c r="E606" s="8" t="s">
        <v>1740</v>
      </c>
      <c r="F606" s="8" t="s">
        <v>1741</v>
      </c>
    </row>
    <row r="607" spans="1:6" x14ac:dyDescent="0.15">
      <c r="A607" s="8" t="s">
        <v>1742</v>
      </c>
      <c r="B607" s="8" t="s">
        <v>153</v>
      </c>
      <c r="C607" s="8" t="str">
        <f t="shared" si="25"/>
        <v>att_mitocarta_pathway:sam</v>
      </c>
      <c r="D607" s="9" t="s">
        <v>17</v>
      </c>
      <c r="E607" s="8" t="s">
        <v>1743</v>
      </c>
      <c r="F607" s="8" t="s">
        <v>1744</v>
      </c>
    </row>
    <row r="608" spans="1:6" x14ac:dyDescent="0.15">
      <c r="A608" s="8" t="s">
        <v>1745</v>
      </c>
      <c r="B608" s="8" t="s">
        <v>153</v>
      </c>
      <c r="C608" s="8" t="str">
        <f t="shared" si="25"/>
        <v>att_mitocarta_pathway:selenoproteins</v>
      </c>
      <c r="D608" s="9" t="s">
        <v>17</v>
      </c>
      <c r="E608" s="8" t="s">
        <v>1746</v>
      </c>
      <c r="F608" s="8" t="s">
        <v>1747</v>
      </c>
    </row>
    <row r="609" spans="1:6" x14ac:dyDescent="0.15">
      <c r="A609" s="8" t="s">
        <v>1748</v>
      </c>
      <c r="B609" s="8" t="s">
        <v>153</v>
      </c>
      <c r="C609" s="8" t="str">
        <f t="shared" si="25"/>
        <v>att_mitocarta_pathway:serine_metabolism</v>
      </c>
      <c r="D609" s="9" t="s">
        <v>17</v>
      </c>
      <c r="E609" s="8" t="s">
        <v>1749</v>
      </c>
      <c r="F609" s="8" t="s">
        <v>1750</v>
      </c>
    </row>
    <row r="610" spans="1:6" x14ac:dyDescent="0.15">
      <c r="A610" s="8" t="s">
        <v>1751</v>
      </c>
      <c r="B610" s="8" t="s">
        <v>153</v>
      </c>
      <c r="C610" s="8" t="str">
        <f t="shared" si="25"/>
        <v>att_mitocarta_pathway:sideroflexins</v>
      </c>
      <c r="D610" s="9" t="s">
        <v>17</v>
      </c>
      <c r="E610" s="8" t="s">
        <v>1752</v>
      </c>
      <c r="F610" s="8" t="s">
        <v>1753</v>
      </c>
    </row>
    <row r="611" spans="1:6" x14ac:dyDescent="0.15">
      <c r="A611" s="8" t="s">
        <v>1754</v>
      </c>
      <c r="B611" s="8" t="s">
        <v>153</v>
      </c>
      <c r="C611" s="8" t="str">
        <f t="shared" si="25"/>
        <v>att_mitocarta_pathway:signaling</v>
      </c>
      <c r="D611" s="9" t="s">
        <v>17</v>
      </c>
      <c r="E611" s="8" t="s">
        <v>1755</v>
      </c>
      <c r="F611" s="8" t="s">
        <v>1755</v>
      </c>
    </row>
    <row r="612" spans="1:6" x14ac:dyDescent="0.15">
      <c r="A612" s="8" t="s">
        <v>1756</v>
      </c>
      <c r="B612" s="8" t="s">
        <v>153</v>
      </c>
      <c r="C612" s="8" t="str">
        <f t="shared" si="25"/>
        <v>att_mitocarta_pathway:slc25a_family</v>
      </c>
      <c r="D612" s="9" t="s">
        <v>17</v>
      </c>
      <c r="E612" s="8" t="s">
        <v>1757</v>
      </c>
      <c r="F612" s="8" t="s">
        <v>1758</v>
      </c>
    </row>
    <row r="613" spans="1:6" x14ac:dyDescent="0.15">
      <c r="A613" s="8" t="s">
        <v>1759</v>
      </c>
      <c r="B613" s="8" t="s">
        <v>153</v>
      </c>
      <c r="C613" s="8" t="str">
        <f t="shared" si="25"/>
        <v>att_mitocarta_pathway:small_molecule_transport</v>
      </c>
      <c r="D613" s="9" t="s">
        <v>17</v>
      </c>
      <c r="E613" s="8" t="s">
        <v>1760</v>
      </c>
      <c r="F613" s="8" t="s">
        <v>1760</v>
      </c>
    </row>
    <row r="614" spans="1:6" x14ac:dyDescent="0.15">
      <c r="A614" s="8" t="s">
        <v>1761</v>
      </c>
      <c r="B614" s="8" t="s">
        <v>153</v>
      </c>
      <c r="C614" s="8" t="str">
        <f t="shared" si="25"/>
        <v>att_mitocarta_pathway:sulfur_metabolism</v>
      </c>
      <c r="D614" s="9" t="s">
        <v>17</v>
      </c>
      <c r="E614" s="8" t="s">
        <v>1762</v>
      </c>
      <c r="F614" s="8" t="s">
        <v>1763</v>
      </c>
    </row>
    <row r="615" spans="1:6" x14ac:dyDescent="0.15">
      <c r="A615" s="8" t="s">
        <v>1764</v>
      </c>
      <c r="B615" s="8" t="s">
        <v>153</v>
      </c>
      <c r="C615" s="8" t="str">
        <f t="shared" si="25"/>
        <v>att_mitocarta_pathway:tca_associated</v>
      </c>
      <c r="D615" s="9" t="s">
        <v>17</v>
      </c>
      <c r="E615" s="8" t="s">
        <v>1765</v>
      </c>
      <c r="F615" s="8" t="s">
        <v>1766</v>
      </c>
    </row>
    <row r="616" spans="1:6" x14ac:dyDescent="0.15">
      <c r="A616" s="8" t="s">
        <v>1767</v>
      </c>
      <c r="B616" s="8" t="s">
        <v>153</v>
      </c>
      <c r="C616" s="8" t="str">
        <f t="shared" si="25"/>
        <v>att_mitocarta_pathway:tca_cycle</v>
      </c>
      <c r="D616" s="9" t="s">
        <v>17</v>
      </c>
      <c r="E616" s="8" t="s">
        <v>1768</v>
      </c>
      <c r="F616" s="8" t="s">
        <v>1769</v>
      </c>
    </row>
    <row r="617" spans="1:6" x14ac:dyDescent="0.15">
      <c r="A617" s="8" t="s">
        <v>1770</v>
      </c>
      <c r="B617" s="8" t="s">
        <v>153</v>
      </c>
      <c r="C617" s="8" t="str">
        <f t="shared" si="25"/>
        <v>att_mitocarta_pathway:tetrahydrobiopterin_synthesis</v>
      </c>
      <c r="D617" s="9" t="s">
        <v>17</v>
      </c>
      <c r="E617" s="8" t="s">
        <v>1771</v>
      </c>
      <c r="F617" s="8" t="s">
        <v>1772</v>
      </c>
    </row>
    <row r="618" spans="1:6" x14ac:dyDescent="0.15">
      <c r="A618" s="8" t="s">
        <v>1773</v>
      </c>
      <c r="B618" s="8" t="s">
        <v>153</v>
      </c>
      <c r="C618" s="8" t="str">
        <f t="shared" si="25"/>
        <v>att_mitocarta_pathway:tim22_carrier_pathway</v>
      </c>
      <c r="D618" s="9" t="s">
        <v>17</v>
      </c>
      <c r="E618" s="8" t="s">
        <v>1774</v>
      </c>
      <c r="F618" s="8" t="s">
        <v>1775</v>
      </c>
    </row>
    <row r="619" spans="1:6" x14ac:dyDescent="0.15">
      <c r="A619" s="8" t="s">
        <v>1776</v>
      </c>
      <c r="B619" s="8" t="s">
        <v>153</v>
      </c>
      <c r="C619" s="8" t="str">
        <f t="shared" si="25"/>
        <v>att_mitocarta_pathway:tim23_presequence_pathway</v>
      </c>
      <c r="D619" s="9" t="s">
        <v>17</v>
      </c>
      <c r="E619" s="8" t="s">
        <v>1777</v>
      </c>
      <c r="F619" s="8" t="s">
        <v>1778</v>
      </c>
    </row>
    <row r="620" spans="1:6" x14ac:dyDescent="0.15">
      <c r="A620" s="8" t="s">
        <v>1779</v>
      </c>
      <c r="B620" s="8" t="s">
        <v>153</v>
      </c>
      <c r="C620" s="8" t="str">
        <f t="shared" si="25"/>
        <v>att_mitocarta_pathway:tom</v>
      </c>
      <c r="D620" s="9" t="s">
        <v>17</v>
      </c>
      <c r="E620" s="8" t="s">
        <v>1780</v>
      </c>
      <c r="F620" s="8" t="s">
        <v>1781</v>
      </c>
    </row>
    <row r="621" spans="1:6" x14ac:dyDescent="0.15">
      <c r="A621" s="8" t="s">
        <v>1782</v>
      </c>
      <c r="B621" s="8" t="s">
        <v>153</v>
      </c>
      <c r="C621" s="8" t="str">
        <f t="shared" si="25"/>
        <v>att_mitocarta_pathway:trafficking</v>
      </c>
      <c r="D621" s="9" t="s">
        <v>17</v>
      </c>
      <c r="E621" s="8" t="s">
        <v>1783</v>
      </c>
      <c r="F621" s="8" t="s">
        <v>1784</v>
      </c>
    </row>
    <row r="622" spans="1:6" x14ac:dyDescent="0.15">
      <c r="A622" s="8" t="s">
        <v>1785</v>
      </c>
      <c r="B622" s="8" t="s">
        <v>153</v>
      </c>
      <c r="C622" s="8" t="str">
        <f t="shared" si="25"/>
        <v>att_mitocarta_pathway:transcription</v>
      </c>
      <c r="D622" s="9" t="s">
        <v>17</v>
      </c>
      <c r="E622" s="8" t="s">
        <v>1786</v>
      </c>
      <c r="F622" s="8" t="s">
        <v>1787</v>
      </c>
    </row>
    <row r="623" spans="1:6" x14ac:dyDescent="0.15">
      <c r="A623" s="8" t="s">
        <v>1788</v>
      </c>
      <c r="B623" s="8" t="s">
        <v>153</v>
      </c>
      <c r="C623" s="8" t="str">
        <f t="shared" si="25"/>
        <v>att_mitocarta_pathway:translation</v>
      </c>
      <c r="D623" s="9" t="s">
        <v>17</v>
      </c>
      <c r="E623" s="8" t="s">
        <v>1789</v>
      </c>
      <c r="F623" s="8" t="s">
        <v>1790</v>
      </c>
    </row>
    <row r="624" spans="1:6" x14ac:dyDescent="0.15">
      <c r="A624" s="8" t="s">
        <v>1791</v>
      </c>
      <c r="B624" s="8" t="s">
        <v>153</v>
      </c>
      <c r="C624" s="8" t="str">
        <f t="shared" si="25"/>
        <v>att_mitocarta_pathway:translation_factors</v>
      </c>
      <c r="D624" s="9" t="s">
        <v>17</v>
      </c>
      <c r="E624" s="8" t="s">
        <v>1792</v>
      </c>
      <c r="F624" s="8" t="s">
        <v>1793</v>
      </c>
    </row>
    <row r="625" spans="1:6" x14ac:dyDescent="0.15">
      <c r="A625" s="8" t="s">
        <v>1794</v>
      </c>
      <c r="B625" s="8" t="s">
        <v>153</v>
      </c>
      <c r="C625" s="8" t="str">
        <f t="shared" si="25"/>
        <v>att_mitocarta_pathway:type_ii_fatty_acid_synthesis</v>
      </c>
      <c r="D625" s="9" t="s">
        <v>17</v>
      </c>
      <c r="E625" s="8" t="s">
        <v>1795</v>
      </c>
      <c r="F625" s="8" t="s">
        <v>1796</v>
      </c>
    </row>
    <row r="626" spans="1:6" x14ac:dyDescent="0.15">
      <c r="A626" s="8" t="s">
        <v>1797</v>
      </c>
      <c r="B626" s="8" t="s">
        <v>153</v>
      </c>
      <c r="C626" s="8" t="str">
        <f t="shared" si="25"/>
        <v>att_mitocarta_pathway:urea_cycle</v>
      </c>
      <c r="D626" s="9" t="s">
        <v>17</v>
      </c>
      <c r="E626" s="8" t="s">
        <v>1798</v>
      </c>
      <c r="F626" s="8" t="s">
        <v>1799</v>
      </c>
    </row>
    <row r="627" spans="1:6" x14ac:dyDescent="0.15">
      <c r="A627" s="8" t="s">
        <v>1800</v>
      </c>
      <c r="B627" s="8" t="s">
        <v>153</v>
      </c>
      <c r="C627" s="8" t="str">
        <f t="shared" si="25"/>
        <v>att_mitocarta_pathway:vitamin_a_metabolism</v>
      </c>
      <c r="D627" s="9" t="s">
        <v>17</v>
      </c>
      <c r="E627" s="8" t="s">
        <v>1801</v>
      </c>
      <c r="F627" s="8" t="s">
        <v>1802</v>
      </c>
    </row>
    <row r="628" spans="1:6" x14ac:dyDescent="0.15">
      <c r="A628" s="8" t="s">
        <v>1803</v>
      </c>
      <c r="B628" s="8" t="s">
        <v>153</v>
      </c>
      <c r="C628" s="8" t="str">
        <f t="shared" si="25"/>
        <v>att_mitocarta_pathway:vitamin_b1_metabolism</v>
      </c>
      <c r="D628" s="9" t="s">
        <v>17</v>
      </c>
      <c r="E628" s="8" t="s">
        <v>1804</v>
      </c>
      <c r="F628" s="8" t="s">
        <v>1805</v>
      </c>
    </row>
    <row r="629" spans="1:6" x14ac:dyDescent="0.15">
      <c r="A629" s="8" t="s">
        <v>1806</v>
      </c>
      <c r="B629" s="8" t="s">
        <v>153</v>
      </c>
      <c r="C629" s="8" t="str">
        <f t="shared" si="25"/>
        <v>att_mitocarta_pathway:vitamin_b12_metabolism</v>
      </c>
      <c r="D629" s="9" t="s">
        <v>17</v>
      </c>
      <c r="E629" s="8" t="s">
        <v>1807</v>
      </c>
      <c r="F629" s="8" t="s">
        <v>1808</v>
      </c>
    </row>
    <row r="630" spans="1:6" x14ac:dyDescent="0.15">
      <c r="A630" s="8" t="s">
        <v>1809</v>
      </c>
      <c r="B630" s="8" t="s">
        <v>153</v>
      </c>
      <c r="C630" s="8" t="str">
        <f t="shared" si="25"/>
        <v>att_mitocarta_pathway:vitamin_b2_metabolism</v>
      </c>
      <c r="D630" s="9" t="s">
        <v>17</v>
      </c>
      <c r="E630" s="8" t="s">
        <v>1810</v>
      </c>
      <c r="F630" s="8" t="s">
        <v>1811</v>
      </c>
    </row>
    <row r="631" spans="1:6" x14ac:dyDescent="0.15">
      <c r="A631" s="8" t="s">
        <v>1812</v>
      </c>
      <c r="B631" s="8" t="s">
        <v>153</v>
      </c>
      <c r="C631" s="8" t="str">
        <f t="shared" si="25"/>
        <v>att_mitocarta_pathway:vitamin_b6_metabolism</v>
      </c>
      <c r="D631" s="9" t="s">
        <v>17</v>
      </c>
      <c r="E631" s="8" t="s">
        <v>1813</v>
      </c>
      <c r="F631" s="8" t="s">
        <v>1814</v>
      </c>
    </row>
    <row r="632" spans="1:6" x14ac:dyDescent="0.15">
      <c r="A632" s="8" t="s">
        <v>1815</v>
      </c>
      <c r="B632" s="8" t="s">
        <v>153</v>
      </c>
      <c r="C632" s="8" t="str">
        <f t="shared" si="25"/>
        <v>att_mitocarta_pathway:vitamin_c_metabolism</v>
      </c>
      <c r="D632" s="9" t="s">
        <v>17</v>
      </c>
      <c r="E632" s="8" t="s">
        <v>1816</v>
      </c>
      <c r="F632" s="8" t="s">
        <v>1817</v>
      </c>
    </row>
    <row r="633" spans="1:6" x14ac:dyDescent="0.15">
      <c r="A633" s="8" t="s">
        <v>1818</v>
      </c>
      <c r="B633" s="8" t="s">
        <v>153</v>
      </c>
      <c r="C633" s="8" t="str">
        <f t="shared" si="25"/>
        <v>att_mitocarta_pathway:vitamin_d_metabolism</v>
      </c>
      <c r="D633" s="9" t="s">
        <v>17</v>
      </c>
      <c r="E633" s="8" t="s">
        <v>1819</v>
      </c>
      <c r="F633" s="8" t="s">
        <v>1820</v>
      </c>
    </row>
    <row r="634" spans="1:6" x14ac:dyDescent="0.15">
      <c r="A634" s="8" t="s">
        <v>1821</v>
      </c>
      <c r="B634" s="8" t="s">
        <v>153</v>
      </c>
      <c r="C634" s="8" t="str">
        <f t="shared" si="25"/>
        <v>att_mitocarta_pathway:vitamin_metabolism</v>
      </c>
      <c r="D634" s="9" t="s">
        <v>17</v>
      </c>
      <c r="E634" s="8" t="s">
        <v>1822</v>
      </c>
      <c r="F634" s="8" t="s">
        <v>1823</v>
      </c>
    </row>
    <row r="635" spans="1:6" x14ac:dyDescent="0.15">
      <c r="A635" s="8" t="s">
        <v>1824</v>
      </c>
      <c r="B635" s="8" t="s">
        <v>153</v>
      </c>
      <c r="C635" s="8" t="str">
        <f t="shared" si="25"/>
        <v>att_mitocarta_pathway:xenobiotic_metabolism</v>
      </c>
      <c r="D635" s="9" t="s">
        <v>17</v>
      </c>
      <c r="E635" s="8" t="s">
        <v>1825</v>
      </c>
      <c r="F635" s="8" t="s">
        <v>1826</v>
      </c>
    </row>
    <row r="636" spans="1:6" x14ac:dyDescent="0.15">
      <c r="A636" s="8" t="s">
        <v>1827</v>
      </c>
      <c r="B636" s="8" t="s">
        <v>1828</v>
      </c>
      <c r="C636" s="8" t="str">
        <f t="shared" si="25"/>
        <v>att_mockup:arbitrary</v>
      </c>
      <c r="D636" s="9" t="s">
        <v>17</v>
      </c>
      <c r="E636" s="8" t="s">
        <v>1829</v>
      </c>
      <c r="F636" s="8" t="s">
        <v>1830</v>
      </c>
    </row>
    <row r="637" spans="1:6" x14ac:dyDescent="0.15">
      <c r="A637" s="8" t="s">
        <v>1831</v>
      </c>
      <c r="B637" s="8" t="s">
        <v>1828</v>
      </c>
      <c r="C637" s="8" t="str">
        <f t="shared" si="25"/>
        <v>att_mockup:random</v>
      </c>
      <c r="D637" s="9" t="s">
        <v>17</v>
      </c>
      <c r="E637" s="8" t="s">
        <v>1832</v>
      </c>
      <c r="F637" s="8" t="s">
        <v>1830</v>
      </c>
    </row>
    <row r="638" spans="1:6" x14ac:dyDescent="0.15">
      <c r="A638" s="8" t="s">
        <v>1833</v>
      </c>
      <c r="B638" s="8" t="s">
        <v>156</v>
      </c>
      <c r="C638" s="8" t="str">
        <f t="shared" si="25"/>
        <v>att_model:in_vitro</v>
      </c>
      <c r="D638" s="9" t="s">
        <v>17</v>
      </c>
      <c r="E638" s="8" t="s">
        <v>1834</v>
      </c>
      <c r="F638" s="8" t="s">
        <v>1835</v>
      </c>
    </row>
    <row r="639" spans="1:6" x14ac:dyDescent="0.15">
      <c r="A639" s="8" t="s">
        <v>1836</v>
      </c>
      <c r="B639" s="8" t="s">
        <v>156</v>
      </c>
      <c r="C639" s="8" t="str">
        <f t="shared" si="25"/>
        <v>att_model:in_vivo</v>
      </c>
      <c r="D639" s="9" t="s">
        <v>17</v>
      </c>
      <c r="E639" s="8" t="s">
        <v>1837</v>
      </c>
      <c r="F639" s="8" t="s">
        <v>1838</v>
      </c>
    </row>
    <row r="640" spans="1:6" s="6" customFormat="1" x14ac:dyDescent="0.15">
      <c r="A640" s="8" t="s">
        <v>1839</v>
      </c>
      <c r="B640" s="8" t="s">
        <v>156</v>
      </c>
      <c r="C640" s="8" t="str">
        <f t="shared" si="25"/>
        <v>att_model:xenografts</v>
      </c>
      <c r="D640" s="9" t="s">
        <v>17</v>
      </c>
      <c r="E640" s="8" t="s">
        <v>1839</v>
      </c>
      <c r="F640" s="8" t="s">
        <v>1840</v>
      </c>
    </row>
    <row r="641" spans="1:6" s="6" customFormat="1" x14ac:dyDescent="0.15">
      <c r="A641" s="8" t="s">
        <v>3066</v>
      </c>
      <c r="B641" s="8" t="s">
        <v>3063</v>
      </c>
      <c r="C641" s="8" t="str">
        <f t="shared" si="25"/>
        <v>att_mouse_cre:nestincre</v>
      </c>
      <c r="D641" s="8" t="s">
        <v>17</v>
      </c>
      <c r="E641" s="8" t="s">
        <v>3065</v>
      </c>
      <c r="F641" s="8" t="s">
        <v>3078</v>
      </c>
    </row>
    <row r="642" spans="1:6" x14ac:dyDescent="0.15">
      <c r="A642" s="8" t="s">
        <v>3068</v>
      </c>
      <c r="B642" s="8" t="s">
        <v>3063</v>
      </c>
      <c r="C642" s="8" t="str">
        <f t="shared" si="25"/>
        <v>att_mouse_cre:cmvcre</v>
      </c>
      <c r="D642" s="8" t="s">
        <v>17</v>
      </c>
      <c r="E642" s="8" t="s">
        <v>3067</v>
      </c>
      <c r="F642" s="8" t="s">
        <v>3077</v>
      </c>
    </row>
    <row r="643" spans="1:6" x14ac:dyDescent="0.15">
      <c r="A643" s="8" t="s">
        <v>3071</v>
      </c>
      <c r="B643" s="8" t="s">
        <v>3063</v>
      </c>
      <c r="C643" s="8" t="str">
        <f t="shared" si="25"/>
        <v>att_mouse_cre:myh6cre</v>
      </c>
      <c r="D643" s="8" t="s">
        <v>17</v>
      </c>
      <c r="E643" s="8" t="s">
        <v>3070</v>
      </c>
      <c r="F643" s="8" t="s">
        <v>3069</v>
      </c>
    </row>
    <row r="644" spans="1:6" x14ac:dyDescent="0.15">
      <c r="A644" s="8" t="s">
        <v>2517</v>
      </c>
      <c r="B644" s="8" t="s">
        <v>3063</v>
      </c>
      <c r="C644" s="8" t="str">
        <f t="shared" si="25"/>
        <v>att_mouse_cre:albcre</v>
      </c>
      <c r="D644" s="8" t="s">
        <v>17</v>
      </c>
      <c r="E644" s="8" t="s">
        <v>3072</v>
      </c>
      <c r="F644" s="8" t="s">
        <v>3076</v>
      </c>
    </row>
    <row r="645" spans="1:6" x14ac:dyDescent="0.15">
      <c r="A645" s="8" t="s">
        <v>3073</v>
      </c>
      <c r="B645" s="8" t="s">
        <v>3063</v>
      </c>
      <c r="C645" s="8" t="str">
        <f t="shared" ref="C645:C646" si="26">B645&amp;":"&amp;A645</f>
        <v>att_mouse_cre:ucpcre</v>
      </c>
      <c r="D645" s="8" t="s">
        <v>17</v>
      </c>
      <c r="E645" s="8" t="s">
        <v>3074</v>
      </c>
      <c r="F645" s="8" t="s">
        <v>3075</v>
      </c>
    </row>
    <row r="646" spans="1:6" x14ac:dyDescent="0.15">
      <c r="A646" s="8" t="s">
        <v>2514</v>
      </c>
      <c r="B646" s="8" t="s">
        <v>3063</v>
      </c>
      <c r="C646" s="8" t="str">
        <f t="shared" si="26"/>
        <v>att_mouse_cre:adipoqcre</v>
      </c>
      <c r="D646" s="8" t="s">
        <v>17</v>
      </c>
      <c r="E646" s="8" t="s">
        <v>3079</v>
      </c>
      <c r="F646" s="8" t="s">
        <v>3080</v>
      </c>
    </row>
    <row r="647" spans="1:6" x14ac:dyDescent="0.15">
      <c r="A647" s="8" t="s">
        <v>3088</v>
      </c>
      <c r="B647" s="8" t="s">
        <v>3063</v>
      </c>
      <c r="C647" s="8" t="str">
        <f t="shared" ref="C647" si="27">B647&amp;":"&amp;A647</f>
        <v>att_mouse_cre:ckmmcre</v>
      </c>
      <c r="D647" s="8" t="s">
        <v>17</v>
      </c>
      <c r="E647" s="8" t="s">
        <v>3089</v>
      </c>
      <c r="F647" s="8" t="s">
        <v>3090</v>
      </c>
    </row>
    <row r="648" spans="1:6" x14ac:dyDescent="0.15">
      <c r="A648" s="8" t="s">
        <v>1841</v>
      </c>
      <c r="B648" s="8" t="s">
        <v>23</v>
      </c>
      <c r="C648" s="8" t="str">
        <f>B648&amp;":"&amp;A648</f>
        <v>att_ms:eclips</v>
      </c>
      <c r="D648" s="9" t="s">
        <v>17</v>
      </c>
      <c r="E648" s="8" t="s">
        <v>1842</v>
      </c>
      <c r="F648" s="8" t="s">
        <v>1842</v>
      </c>
    </row>
    <row r="649" spans="1:6" x14ac:dyDescent="0.15">
      <c r="A649" s="8" t="s">
        <v>1843</v>
      </c>
      <c r="B649" s="8" t="s">
        <v>23</v>
      </c>
      <c r="C649" s="8" t="str">
        <f t="shared" si="25"/>
        <v>att_ms:exploris240</v>
      </c>
      <c r="D649" s="9" t="s">
        <v>17</v>
      </c>
      <c r="E649" s="8" t="s">
        <v>1844</v>
      </c>
      <c r="F649" s="8" t="s">
        <v>1845</v>
      </c>
    </row>
    <row r="650" spans="1:6" x14ac:dyDescent="0.15">
      <c r="A650" s="8" t="s">
        <v>1846</v>
      </c>
      <c r="B650" s="8" t="s">
        <v>23</v>
      </c>
      <c r="C650" s="8" t="str">
        <f t="shared" si="25"/>
        <v>att_ms:exploris480</v>
      </c>
      <c r="D650" s="9" t="s">
        <v>17</v>
      </c>
      <c r="E650" s="8" t="s">
        <v>1847</v>
      </c>
      <c r="F650" s="8" t="s">
        <v>1848</v>
      </c>
    </row>
    <row r="651" spans="1:6" x14ac:dyDescent="0.15">
      <c r="A651" s="8" t="s">
        <v>1849</v>
      </c>
      <c r="B651" s="8" t="s">
        <v>23</v>
      </c>
      <c r="C651" s="8" t="str">
        <f t="shared" si="25"/>
        <v>att_ms:qex</v>
      </c>
      <c r="D651" s="9" t="s">
        <v>17</v>
      </c>
      <c r="E651" s="8" t="s">
        <v>1850</v>
      </c>
      <c r="F651" s="8" t="s">
        <v>1851</v>
      </c>
    </row>
    <row r="652" spans="1:6" x14ac:dyDescent="0.15">
      <c r="A652" s="8" t="s">
        <v>1852</v>
      </c>
      <c r="B652" s="8" t="s">
        <v>23</v>
      </c>
      <c r="C652" s="8" t="str">
        <f t="shared" si="25"/>
        <v>att_ms:qexplus</v>
      </c>
      <c r="D652" s="9" t="s">
        <v>17</v>
      </c>
      <c r="E652" s="8" t="s">
        <v>1853</v>
      </c>
      <c r="F652" s="8" t="s">
        <v>1854</v>
      </c>
    </row>
    <row r="653" spans="1:6" x14ac:dyDescent="0.15">
      <c r="A653" s="8" t="s">
        <v>3160</v>
      </c>
      <c r="B653" s="8" t="s">
        <v>23</v>
      </c>
      <c r="C653" s="8" t="str">
        <f t="shared" si="25"/>
        <v>att_ms:tofpro2</v>
      </c>
      <c r="D653" s="9" t="s">
        <v>17</v>
      </c>
      <c r="E653" s="8" t="s">
        <v>3161</v>
      </c>
      <c r="F653" s="8" t="s">
        <v>3162</v>
      </c>
    </row>
    <row r="654" spans="1:6" x14ac:dyDescent="0.15">
      <c r="A654" s="8" t="s">
        <v>1855</v>
      </c>
      <c r="B654" s="8" t="s">
        <v>23</v>
      </c>
      <c r="C654" s="8" t="str">
        <f t="shared" si="25"/>
        <v>att_ms:ttofhct</v>
      </c>
      <c r="D654" s="9" t="s">
        <v>17</v>
      </c>
      <c r="E654" s="8" t="s">
        <v>1856</v>
      </c>
      <c r="F654" s="8" t="s">
        <v>3163</v>
      </c>
    </row>
    <row r="655" spans="1:6" x14ac:dyDescent="0.15">
      <c r="A655" s="8" t="s">
        <v>1857</v>
      </c>
      <c r="B655" s="8" t="s">
        <v>23</v>
      </c>
      <c r="C655" s="8" t="str">
        <f t="shared" ref="C655:C722" si="28">B655&amp;":"&amp;A655</f>
        <v>att_ms:ttofscp</v>
      </c>
      <c r="D655" s="9" t="s">
        <v>17</v>
      </c>
      <c r="E655" s="8" t="s">
        <v>1858</v>
      </c>
      <c r="F655" s="8" t="s">
        <v>3164</v>
      </c>
    </row>
    <row r="656" spans="1:6" x14ac:dyDescent="0.15">
      <c r="A656" s="8" t="s">
        <v>1859</v>
      </c>
      <c r="B656" s="8" t="s">
        <v>115</v>
      </c>
      <c r="C656" s="8" t="str">
        <f t="shared" si="28"/>
        <v>att_ms_interface:faims</v>
      </c>
      <c r="D656" s="9" t="s">
        <v>17</v>
      </c>
      <c r="E656" s="8" t="s">
        <v>1860</v>
      </c>
      <c r="F656" s="8" t="s">
        <v>1861</v>
      </c>
    </row>
    <row r="657" spans="1:6" x14ac:dyDescent="0.15">
      <c r="A657" s="8" t="s">
        <v>336</v>
      </c>
      <c r="B657" s="8" t="s">
        <v>115</v>
      </c>
      <c r="C657" s="8" t="str">
        <f t="shared" si="28"/>
        <v>att_ms_interface:none</v>
      </c>
      <c r="D657" s="9" t="s">
        <v>17</v>
      </c>
      <c r="E657" s="8" t="s">
        <v>1862</v>
      </c>
      <c r="F657" s="8" t="s">
        <v>1863</v>
      </c>
    </row>
    <row r="658" spans="1:6" x14ac:dyDescent="0.15">
      <c r="A658" s="8" t="s">
        <v>1864</v>
      </c>
      <c r="B658" s="8" t="s">
        <v>38</v>
      </c>
      <c r="C658" s="8" t="str">
        <f t="shared" si="28"/>
        <v>att_ms_ionsource:easy_spray</v>
      </c>
      <c r="D658" s="9" t="s">
        <v>17</v>
      </c>
      <c r="E658" s="8" t="s">
        <v>1865</v>
      </c>
      <c r="F658" s="8" t="s">
        <v>1866</v>
      </c>
    </row>
    <row r="659" spans="1:6" x14ac:dyDescent="0.15">
      <c r="A659" s="8" t="s">
        <v>1867</v>
      </c>
      <c r="B659" s="8" t="s">
        <v>38</v>
      </c>
      <c r="C659" s="8" t="str">
        <f t="shared" si="28"/>
        <v>att_ms_ionsource:flex</v>
      </c>
      <c r="D659" s="9" t="s">
        <v>17</v>
      </c>
      <c r="E659" s="8" t="s">
        <v>1868</v>
      </c>
      <c r="F659" s="8" t="s">
        <v>1869</v>
      </c>
    </row>
    <row r="660" spans="1:6" x14ac:dyDescent="0.15">
      <c r="A660" s="8" t="s">
        <v>1870</v>
      </c>
      <c r="B660" s="8" t="s">
        <v>38</v>
      </c>
      <c r="C660" s="8" t="str">
        <f t="shared" si="28"/>
        <v>att_ms_ionsource:ion_max</v>
      </c>
      <c r="D660" s="9" t="s">
        <v>17</v>
      </c>
      <c r="E660" s="8" t="s">
        <v>1871</v>
      </c>
      <c r="F660" s="8" t="s">
        <v>1872</v>
      </c>
    </row>
    <row r="661" spans="1:6" x14ac:dyDescent="0.15">
      <c r="A661" s="8" t="s">
        <v>3146</v>
      </c>
      <c r="B661" s="8" t="s">
        <v>38</v>
      </c>
      <c r="C661" s="8" t="str">
        <f t="shared" si="28"/>
        <v>att_ms_ionsource:captivespray</v>
      </c>
      <c r="D661" s="9" t="s">
        <v>3145</v>
      </c>
      <c r="E661" s="8" t="s">
        <v>3150</v>
      </c>
      <c r="F661" s="8" t="s">
        <v>3152</v>
      </c>
    </row>
    <row r="662" spans="1:6" x14ac:dyDescent="0.15">
      <c r="A662" s="8" t="s">
        <v>3147</v>
      </c>
      <c r="B662" s="8" t="s">
        <v>38</v>
      </c>
      <c r="C662" s="8" t="str">
        <f t="shared" ref="C662:C663" si="29">B662&amp;":"&amp;A662</f>
        <v>att_ms_ionsource:captivespraytwo</v>
      </c>
      <c r="D662" s="9" t="s">
        <v>3148</v>
      </c>
      <c r="E662" s="8" t="s">
        <v>3149</v>
      </c>
      <c r="F662" s="8" t="s">
        <v>3151</v>
      </c>
    </row>
    <row r="663" spans="1:6" x14ac:dyDescent="0.15">
      <c r="A663" s="8" t="s">
        <v>3153</v>
      </c>
      <c r="B663" s="8" t="s">
        <v>38</v>
      </c>
      <c r="C663" s="8" t="str">
        <f t="shared" si="29"/>
        <v>att_ms_ionsource:captiivespraypro</v>
      </c>
      <c r="D663" s="9" t="s">
        <v>3154</v>
      </c>
      <c r="E663" s="8" t="s">
        <v>3155</v>
      </c>
      <c r="F663" s="8" t="s">
        <v>3156</v>
      </c>
    </row>
    <row r="664" spans="1:6" x14ac:dyDescent="0.15">
      <c r="A664" s="8" t="s">
        <v>1873</v>
      </c>
      <c r="B664" s="8" t="s">
        <v>160</v>
      </c>
      <c r="C664" s="8" t="str">
        <f t="shared" si="28"/>
        <v>att_ms_name:e1</v>
      </c>
      <c r="D664" s="8" t="s">
        <v>1873</v>
      </c>
      <c r="E664" s="8" t="s">
        <v>1874</v>
      </c>
      <c r="F664" s="8" t="s">
        <v>1875</v>
      </c>
    </row>
    <row r="665" spans="1:6" x14ac:dyDescent="0.15">
      <c r="A665" s="8" t="s">
        <v>1876</v>
      </c>
      <c r="B665" s="8" t="s">
        <v>160</v>
      </c>
      <c r="C665" s="8" t="str">
        <f t="shared" si="28"/>
        <v>att_ms_name:e2</v>
      </c>
      <c r="D665" s="8" t="s">
        <v>1876</v>
      </c>
      <c r="E665" s="8" t="s">
        <v>1877</v>
      </c>
      <c r="F665" s="8" t="s">
        <v>1878</v>
      </c>
    </row>
    <row r="666" spans="1:6" x14ac:dyDescent="0.15">
      <c r="A666" s="8" t="s">
        <v>1879</v>
      </c>
      <c r="B666" s="8" t="s">
        <v>160</v>
      </c>
      <c r="C666" s="8" t="str">
        <f t="shared" si="28"/>
        <v>att_ms_name:expl480</v>
      </c>
      <c r="D666" s="8" t="s">
        <v>1879</v>
      </c>
      <c r="E666" s="8" t="s">
        <v>1880</v>
      </c>
      <c r="F666" s="8" t="s">
        <v>3009</v>
      </c>
    </row>
    <row r="667" spans="1:6" x14ac:dyDescent="0.15">
      <c r="A667" s="8" t="s">
        <v>3006</v>
      </c>
      <c r="B667" s="8" t="s">
        <v>160</v>
      </c>
      <c r="C667" s="8" t="str">
        <f t="shared" si="28"/>
        <v>att_ms_name:hfxage</v>
      </c>
      <c r="D667" s="8" t="s">
        <v>17</v>
      </c>
      <c r="E667" s="8" t="s">
        <v>3007</v>
      </c>
      <c r="F667" s="8" t="s">
        <v>3008</v>
      </c>
    </row>
    <row r="668" spans="1:6" x14ac:dyDescent="0.15">
      <c r="A668" s="8" t="s">
        <v>1881</v>
      </c>
      <c r="B668" s="8" t="s">
        <v>160</v>
      </c>
      <c r="C668" s="8" t="str">
        <f t="shared" si="28"/>
        <v>att_ms_name:ignarius</v>
      </c>
      <c r="D668" s="8" t="s">
        <v>1881</v>
      </c>
      <c r="E668" s="8" t="s">
        <v>1882</v>
      </c>
      <c r="F668" s="8" t="s">
        <v>1883</v>
      </c>
    </row>
    <row r="669" spans="1:6" x14ac:dyDescent="0.15">
      <c r="A669" s="8" t="s">
        <v>1884</v>
      </c>
      <c r="B669" s="8" t="s">
        <v>160</v>
      </c>
      <c r="C669" s="8" t="str">
        <f t="shared" si="28"/>
        <v>att_ms_name:timstof</v>
      </c>
      <c r="D669" s="8" t="s">
        <v>1884</v>
      </c>
      <c r="E669" s="8" t="s">
        <v>1885</v>
      </c>
      <c r="F669" s="8" t="s">
        <v>1886</v>
      </c>
    </row>
    <row r="670" spans="1:6" x14ac:dyDescent="0.15">
      <c r="A670" s="8" t="s">
        <v>1887</v>
      </c>
      <c r="B670" s="8" t="s">
        <v>170</v>
      </c>
      <c r="C670" s="8" t="str">
        <f t="shared" si="28"/>
        <v>att_ms2_resolution:120000res</v>
      </c>
      <c r="D670" s="9" t="s">
        <v>17</v>
      </c>
      <c r="E670" s="8">
        <v>120000</v>
      </c>
      <c r="F670" s="8" t="s">
        <v>1888</v>
      </c>
    </row>
    <row r="671" spans="1:6" x14ac:dyDescent="0.15">
      <c r="A671" s="8" t="s">
        <v>1889</v>
      </c>
      <c r="B671" s="8" t="s">
        <v>170</v>
      </c>
      <c r="C671" s="8" t="str">
        <f t="shared" si="28"/>
        <v>att_ms2_resolution:15000res</v>
      </c>
      <c r="D671" s="9" t="s">
        <v>17</v>
      </c>
      <c r="E671" s="8">
        <v>15000</v>
      </c>
      <c r="F671" s="8" t="s">
        <v>1888</v>
      </c>
    </row>
    <row r="672" spans="1:6" x14ac:dyDescent="0.15">
      <c r="A672" s="8" t="s">
        <v>1890</v>
      </c>
      <c r="B672" s="8" t="s">
        <v>170</v>
      </c>
      <c r="C672" s="8" t="str">
        <f t="shared" si="28"/>
        <v>att_ms2_resolution:17500res</v>
      </c>
      <c r="D672" s="9" t="s">
        <v>17</v>
      </c>
      <c r="E672" s="8">
        <v>17500</v>
      </c>
      <c r="F672" s="8" t="s">
        <v>1891</v>
      </c>
    </row>
    <row r="673" spans="1:6" x14ac:dyDescent="0.15">
      <c r="A673" s="8" t="s">
        <v>1892</v>
      </c>
      <c r="B673" s="8" t="s">
        <v>170</v>
      </c>
      <c r="C673" s="8" t="str">
        <f t="shared" si="28"/>
        <v>att_ms2_resolution:30000res</v>
      </c>
      <c r="D673" s="9" t="s">
        <v>17</v>
      </c>
      <c r="E673" s="8">
        <v>30000</v>
      </c>
      <c r="F673" s="8" t="s">
        <v>1888</v>
      </c>
    </row>
    <row r="674" spans="1:6" x14ac:dyDescent="0.15">
      <c r="A674" s="8" t="s">
        <v>1893</v>
      </c>
      <c r="B674" s="8" t="s">
        <v>170</v>
      </c>
      <c r="C674" s="8" t="str">
        <f t="shared" si="28"/>
        <v>att_ms2_resolution:35000res</v>
      </c>
      <c r="D674" s="9" t="s">
        <v>17</v>
      </c>
      <c r="E674" s="8">
        <v>35000</v>
      </c>
      <c r="F674" s="8" t="s">
        <v>1891</v>
      </c>
    </row>
    <row r="675" spans="1:6" x14ac:dyDescent="0.15">
      <c r="A675" s="8" t="s">
        <v>1894</v>
      </c>
      <c r="B675" s="8" t="s">
        <v>170</v>
      </c>
      <c r="C675" s="8" t="str">
        <f t="shared" si="28"/>
        <v>att_ms2_resolution:45000res</v>
      </c>
      <c r="D675" s="9" t="s">
        <v>17</v>
      </c>
      <c r="E675" s="8">
        <v>45000</v>
      </c>
      <c r="F675" s="8" t="s">
        <v>1888</v>
      </c>
    </row>
    <row r="676" spans="1:6" x14ac:dyDescent="0.15">
      <c r="A676" s="8" t="s">
        <v>1895</v>
      </c>
      <c r="B676" s="8" t="s">
        <v>170</v>
      </c>
      <c r="C676" s="8" t="str">
        <f t="shared" si="28"/>
        <v>att_ms2_resolution:60000res</v>
      </c>
      <c r="D676" s="9" t="s">
        <v>17</v>
      </c>
      <c r="E676" s="8">
        <v>60000</v>
      </c>
      <c r="F676" s="8" t="s">
        <v>1888</v>
      </c>
    </row>
    <row r="677" spans="1:6" x14ac:dyDescent="0.15">
      <c r="A677" s="8" t="s">
        <v>1896</v>
      </c>
      <c r="B677" s="8" t="s">
        <v>170</v>
      </c>
      <c r="C677" s="8" t="str">
        <f t="shared" si="28"/>
        <v>att_ms2_resolution:7500res</v>
      </c>
      <c r="D677" s="9" t="s">
        <v>17</v>
      </c>
      <c r="E677" s="8">
        <v>7500</v>
      </c>
      <c r="F677" s="8" t="s">
        <v>1888</v>
      </c>
    </row>
    <row r="678" spans="1:6" x14ac:dyDescent="0.15">
      <c r="A678" s="8" t="s">
        <v>1897</v>
      </c>
      <c r="B678" s="8" t="s">
        <v>175</v>
      </c>
      <c r="C678" s="8" t="str">
        <f t="shared" si="28"/>
        <v>att_muscle:ab</v>
      </c>
      <c r="D678" s="9" t="s">
        <v>17</v>
      </c>
      <c r="E678" s="8" t="s">
        <v>1899</v>
      </c>
      <c r="F678" s="8" t="s">
        <v>1898</v>
      </c>
    </row>
    <row r="679" spans="1:6" x14ac:dyDescent="0.15">
      <c r="A679" s="8" t="s">
        <v>1900</v>
      </c>
      <c r="B679" s="8" t="s">
        <v>175</v>
      </c>
      <c r="C679" s="8" t="str">
        <f t="shared" si="28"/>
        <v>att_muscle:al</v>
      </c>
      <c r="D679" s="9" t="s">
        <v>17</v>
      </c>
      <c r="E679" s="8" t="s">
        <v>1902</v>
      </c>
      <c r="F679" s="8" t="s">
        <v>1901</v>
      </c>
    </row>
    <row r="680" spans="1:6" x14ac:dyDescent="0.15">
      <c r="A680" s="8" t="s">
        <v>1903</v>
      </c>
      <c r="B680" s="8" t="s">
        <v>175</v>
      </c>
      <c r="C680" s="8" t="str">
        <f t="shared" si="28"/>
        <v>att_muscle:am</v>
      </c>
      <c r="D680" s="9" t="s">
        <v>17</v>
      </c>
      <c r="E680" s="8" t="s">
        <v>1905</v>
      </c>
      <c r="F680" s="8" t="s">
        <v>1904</v>
      </c>
    </row>
    <row r="681" spans="1:6" x14ac:dyDescent="0.15">
      <c r="A681" s="8" t="s">
        <v>1906</v>
      </c>
      <c r="B681" s="8" t="s">
        <v>175</v>
      </c>
      <c r="C681" s="8" t="str">
        <f t="shared" si="28"/>
        <v>att_muscle:an</v>
      </c>
      <c r="D681" s="9" t="s">
        <v>17</v>
      </c>
      <c r="E681" s="8" t="s">
        <v>1908</v>
      </c>
      <c r="F681" s="8" t="s">
        <v>1907</v>
      </c>
    </row>
    <row r="682" spans="1:6" x14ac:dyDescent="0.15">
      <c r="A682" s="8" t="s">
        <v>1909</v>
      </c>
      <c r="B682" s="8" t="s">
        <v>175</v>
      </c>
      <c r="C682" s="8" t="str">
        <f t="shared" si="28"/>
        <v>att_muscle:bbl</v>
      </c>
      <c r="D682" s="9" t="s">
        <v>17</v>
      </c>
      <c r="E682" s="8" t="s">
        <v>1911</v>
      </c>
      <c r="F682" s="8" t="s">
        <v>1910</v>
      </c>
    </row>
    <row r="683" spans="1:6" x14ac:dyDescent="0.15">
      <c r="A683" s="8" t="s">
        <v>1912</v>
      </c>
      <c r="B683" s="8" t="s">
        <v>175</v>
      </c>
      <c r="C683" s="8" t="str">
        <f t="shared" si="28"/>
        <v>att_muscle:bbs</v>
      </c>
      <c r="D683" s="9" t="s">
        <v>17</v>
      </c>
      <c r="E683" s="8" t="s">
        <v>1914</v>
      </c>
      <c r="F683" s="8" t="s">
        <v>1913</v>
      </c>
    </row>
    <row r="684" spans="1:6" x14ac:dyDescent="0.15">
      <c r="A684" s="8" t="s">
        <v>1915</v>
      </c>
      <c r="B684" s="8" t="s">
        <v>175</v>
      </c>
      <c r="C684" s="8" t="str">
        <f t="shared" si="28"/>
        <v>att_muscle:bfa</v>
      </c>
      <c r="D684" s="9" t="s">
        <v>17</v>
      </c>
      <c r="E684" s="8" t="s">
        <v>1917</v>
      </c>
      <c r="F684" s="8" t="s">
        <v>1916</v>
      </c>
    </row>
    <row r="685" spans="1:6" x14ac:dyDescent="0.15">
      <c r="A685" s="8" t="s">
        <v>1918</v>
      </c>
      <c r="B685" s="8" t="s">
        <v>175</v>
      </c>
      <c r="C685" s="8" t="str">
        <f t="shared" si="28"/>
        <v>att_muscle:bfp_ca</v>
      </c>
      <c r="D685" s="9" t="s">
        <v>17</v>
      </c>
      <c r="E685" s="8" t="s">
        <v>1920</v>
      </c>
      <c r="F685" s="8" t="s">
        <v>1919</v>
      </c>
    </row>
    <row r="686" spans="1:6" x14ac:dyDescent="0.15">
      <c r="A686" s="8" t="s">
        <v>1921</v>
      </c>
      <c r="B686" s="8" t="s">
        <v>175</v>
      </c>
      <c r="C686" s="8" t="str">
        <f t="shared" si="28"/>
        <v>att_muscle:bfp_cr</v>
      </c>
      <c r="D686" s="9" t="s">
        <v>17</v>
      </c>
      <c r="E686" s="8" t="s">
        <v>1923</v>
      </c>
      <c r="F686" s="8" t="s">
        <v>1922</v>
      </c>
    </row>
    <row r="687" spans="1:6" x14ac:dyDescent="0.15">
      <c r="A687" s="8" t="s">
        <v>1924</v>
      </c>
      <c r="B687" s="8" t="s">
        <v>175</v>
      </c>
      <c r="C687" s="8" t="str">
        <f t="shared" si="28"/>
        <v>att_muscle:bfp_mi</v>
      </c>
      <c r="D687" s="9" t="s">
        <v>17</v>
      </c>
      <c r="E687" s="8" t="s">
        <v>1926</v>
      </c>
      <c r="F687" s="8" t="s">
        <v>1925</v>
      </c>
    </row>
    <row r="688" spans="1:6" x14ac:dyDescent="0.15">
      <c r="A688" s="8" t="s">
        <v>1927</v>
      </c>
      <c r="B688" s="8" t="s">
        <v>175</v>
      </c>
      <c r="C688" s="8" t="str">
        <f t="shared" si="28"/>
        <v>att_muscle:bra</v>
      </c>
      <c r="D688" s="9" t="s">
        <v>17</v>
      </c>
      <c r="E688" s="8" t="s">
        <v>1929</v>
      </c>
      <c r="F688" s="8" t="s">
        <v>1928</v>
      </c>
    </row>
    <row r="689" spans="1:6" x14ac:dyDescent="0.15">
      <c r="A689" s="8" t="s">
        <v>1930</v>
      </c>
      <c r="B689" s="8" t="s">
        <v>175</v>
      </c>
      <c r="C689" s="8" t="str">
        <f t="shared" si="28"/>
        <v>att_muscle:cf</v>
      </c>
      <c r="D689" s="9" t="s">
        <v>17</v>
      </c>
      <c r="E689" s="8" t="s">
        <v>1932</v>
      </c>
      <c r="F689" s="8" t="s">
        <v>1931</v>
      </c>
    </row>
    <row r="690" spans="1:6" x14ac:dyDescent="0.15">
      <c r="A690" s="8" t="s">
        <v>1933</v>
      </c>
      <c r="B690" s="8" t="s">
        <v>175</v>
      </c>
      <c r="C690" s="8" t="str">
        <f t="shared" si="28"/>
        <v>att_muscle:cor</v>
      </c>
      <c r="D690" s="9" t="s">
        <v>17</v>
      </c>
      <c r="E690" s="8" t="s">
        <v>1935</v>
      </c>
      <c r="F690" s="8" t="s">
        <v>1934</v>
      </c>
    </row>
    <row r="691" spans="1:6" x14ac:dyDescent="0.15">
      <c r="A691" s="8" t="s">
        <v>1936</v>
      </c>
      <c r="B691" s="8" t="s">
        <v>175</v>
      </c>
      <c r="C691" s="8" t="str">
        <f t="shared" si="28"/>
        <v>att_muscle:ecrb</v>
      </c>
      <c r="D691" s="9" t="s">
        <v>17</v>
      </c>
      <c r="E691" s="8" t="s">
        <v>1938</v>
      </c>
      <c r="F691" s="8" t="s">
        <v>1937</v>
      </c>
    </row>
    <row r="692" spans="1:6" x14ac:dyDescent="0.15">
      <c r="A692" s="8" t="s">
        <v>1939</v>
      </c>
      <c r="B692" s="8" t="s">
        <v>175</v>
      </c>
      <c r="C692" s="8" t="str">
        <f t="shared" si="28"/>
        <v>att_muscle:ecrl</v>
      </c>
      <c r="D692" s="9" t="s">
        <v>17</v>
      </c>
      <c r="E692" s="8" t="s">
        <v>1941</v>
      </c>
      <c r="F692" s="8" t="s">
        <v>1940</v>
      </c>
    </row>
    <row r="693" spans="1:6" x14ac:dyDescent="0.15">
      <c r="A693" s="8" t="s">
        <v>1942</v>
      </c>
      <c r="B693" s="8" t="s">
        <v>175</v>
      </c>
      <c r="C693" s="8" t="str">
        <f t="shared" si="28"/>
        <v>att_muscle:ecu</v>
      </c>
      <c r="D693" s="9" t="s">
        <v>17</v>
      </c>
      <c r="E693" s="8" t="s">
        <v>1944</v>
      </c>
      <c r="F693" s="8" t="s">
        <v>1943</v>
      </c>
    </row>
    <row r="694" spans="1:6" x14ac:dyDescent="0.15">
      <c r="A694" s="8" t="s">
        <v>1945</v>
      </c>
      <c r="B694" s="8" t="s">
        <v>175</v>
      </c>
      <c r="C694" s="8" t="str">
        <f t="shared" si="28"/>
        <v>att_muscle:edl</v>
      </c>
      <c r="D694" s="9" t="s">
        <v>17</v>
      </c>
      <c r="E694" s="8" t="s">
        <v>1947</v>
      </c>
      <c r="F694" s="8" t="s">
        <v>1946</v>
      </c>
    </row>
    <row r="695" spans="1:6" x14ac:dyDescent="0.15">
      <c r="A695" s="8" t="s">
        <v>1948</v>
      </c>
      <c r="B695" s="8" t="s">
        <v>175</v>
      </c>
      <c r="C695" s="8" t="str">
        <f t="shared" si="28"/>
        <v>att_muscle:ehl</v>
      </c>
      <c r="D695" s="9" t="s">
        <v>17</v>
      </c>
      <c r="E695" s="8" t="s">
        <v>1950</v>
      </c>
      <c r="F695" s="8" t="s">
        <v>1949</v>
      </c>
    </row>
    <row r="696" spans="1:6" x14ac:dyDescent="0.15">
      <c r="A696" s="8" t="s">
        <v>1951</v>
      </c>
      <c r="B696" s="8" t="s">
        <v>175</v>
      </c>
      <c r="C696" s="8" t="str">
        <f t="shared" si="28"/>
        <v>att_muscle:eip1</v>
      </c>
      <c r="D696" s="9" t="s">
        <v>17</v>
      </c>
      <c r="E696" s="8" t="s">
        <v>1953</v>
      </c>
      <c r="F696" s="8" t="s">
        <v>1952</v>
      </c>
    </row>
    <row r="697" spans="1:6" x14ac:dyDescent="0.15">
      <c r="A697" s="8" t="s">
        <v>1954</v>
      </c>
      <c r="B697" s="8" t="s">
        <v>175</v>
      </c>
      <c r="C697" s="8" t="str">
        <f t="shared" si="28"/>
        <v>att_muscle:eip2</v>
      </c>
      <c r="D697" s="9" t="s">
        <v>17</v>
      </c>
      <c r="E697" s="8" t="s">
        <v>1956</v>
      </c>
      <c r="F697" s="8" t="s">
        <v>1955</v>
      </c>
    </row>
    <row r="698" spans="1:6" x14ac:dyDescent="0.15">
      <c r="A698" s="8" t="s">
        <v>1957</v>
      </c>
      <c r="B698" s="8" t="s">
        <v>175</v>
      </c>
      <c r="C698" s="8" t="str">
        <f t="shared" si="28"/>
        <v>att_muscle:fcr</v>
      </c>
      <c r="D698" s="9" t="s">
        <v>17</v>
      </c>
      <c r="E698" s="8" t="s">
        <v>1959</v>
      </c>
      <c r="F698" s="8" t="s">
        <v>1958</v>
      </c>
    </row>
    <row r="699" spans="1:6" x14ac:dyDescent="0.15">
      <c r="A699" s="8" t="s">
        <v>1960</v>
      </c>
      <c r="B699" s="8" t="s">
        <v>175</v>
      </c>
      <c r="C699" s="8" t="str">
        <f t="shared" si="28"/>
        <v>att_muscle:fcu</v>
      </c>
      <c r="D699" s="9" t="s">
        <v>17</v>
      </c>
      <c r="E699" s="8" t="s">
        <v>1962</v>
      </c>
      <c r="F699" s="8" t="s">
        <v>1961</v>
      </c>
    </row>
    <row r="700" spans="1:6" x14ac:dyDescent="0.15">
      <c r="A700" s="8" t="s">
        <v>1963</v>
      </c>
      <c r="B700" s="8" t="s">
        <v>175</v>
      </c>
      <c r="C700" s="8" t="str">
        <f t="shared" si="28"/>
        <v>att_muscle:fdl</v>
      </c>
      <c r="D700" s="9" t="s">
        <v>17</v>
      </c>
      <c r="E700" s="8" t="s">
        <v>1965</v>
      </c>
      <c r="F700" s="8" t="s">
        <v>1964</v>
      </c>
    </row>
    <row r="701" spans="1:6" x14ac:dyDescent="0.15">
      <c r="A701" s="8" t="s">
        <v>1966</v>
      </c>
      <c r="B701" s="8" t="s">
        <v>175</v>
      </c>
      <c r="C701" s="8" t="str">
        <f t="shared" si="28"/>
        <v>att_muscle:ga</v>
      </c>
      <c r="D701" s="9" t="s">
        <v>17</v>
      </c>
      <c r="E701" s="8" t="s">
        <v>1968</v>
      </c>
      <c r="F701" s="8" t="s">
        <v>1967</v>
      </c>
    </row>
    <row r="702" spans="1:6" x14ac:dyDescent="0.15">
      <c r="A702" s="8" t="s">
        <v>1969</v>
      </c>
      <c r="B702" s="8" t="s">
        <v>175</v>
      </c>
      <c r="C702" s="8" t="str">
        <f t="shared" si="28"/>
        <v>att_muscle:gem</v>
      </c>
      <c r="D702" s="9" t="s">
        <v>17</v>
      </c>
      <c r="E702" s="8" t="s">
        <v>1971</v>
      </c>
      <c r="F702" s="8" t="s">
        <v>1970</v>
      </c>
    </row>
    <row r="703" spans="1:6" x14ac:dyDescent="0.15">
      <c r="A703" s="8" t="s">
        <v>1972</v>
      </c>
      <c r="B703" s="8" t="s">
        <v>175</v>
      </c>
      <c r="C703" s="8" t="str">
        <f t="shared" si="28"/>
        <v>att_muscle:gm</v>
      </c>
      <c r="D703" s="9" t="s">
        <v>17</v>
      </c>
      <c r="E703" s="8" t="s">
        <v>1974</v>
      </c>
      <c r="F703" s="8" t="s">
        <v>1973</v>
      </c>
    </row>
    <row r="704" spans="1:6" x14ac:dyDescent="0.15">
      <c r="A704" s="8" t="s">
        <v>1975</v>
      </c>
      <c r="B704" s="8" t="s">
        <v>175</v>
      </c>
      <c r="C704" s="8" t="str">
        <f t="shared" si="28"/>
        <v>att_muscle:gm_dr</v>
      </c>
      <c r="D704" s="9" t="s">
        <v>17</v>
      </c>
      <c r="E704" s="8" t="s">
        <v>1977</v>
      </c>
      <c r="F704" s="8" t="s">
        <v>1976</v>
      </c>
    </row>
    <row r="705" spans="1:6" x14ac:dyDescent="0.15">
      <c r="A705" s="8" t="s">
        <v>1978</v>
      </c>
      <c r="B705" s="8" t="s">
        <v>175</v>
      </c>
      <c r="C705" s="8" t="str">
        <f t="shared" si="28"/>
        <v>att_muscle:gm_mi</v>
      </c>
      <c r="D705" s="9" t="s">
        <v>17</v>
      </c>
      <c r="E705" s="8" t="s">
        <v>1980</v>
      </c>
      <c r="F705" s="8" t="s">
        <v>1979</v>
      </c>
    </row>
    <row r="706" spans="1:6" x14ac:dyDescent="0.15">
      <c r="A706" s="8" t="s">
        <v>1981</v>
      </c>
      <c r="B706" s="8" t="s">
        <v>175</v>
      </c>
      <c r="C706" s="8" t="str">
        <f t="shared" si="28"/>
        <v>att_muscle:gm_ve</v>
      </c>
      <c r="D706" s="9" t="s">
        <v>17</v>
      </c>
      <c r="E706" s="8" t="s">
        <v>1983</v>
      </c>
      <c r="F706" s="8" t="s">
        <v>1982</v>
      </c>
    </row>
    <row r="707" spans="1:6" x14ac:dyDescent="0.15">
      <c r="A707" s="8" t="s">
        <v>1984</v>
      </c>
      <c r="B707" s="8" t="s">
        <v>175</v>
      </c>
      <c r="C707" s="8" t="str">
        <f t="shared" si="28"/>
        <v>att_muscle:gp</v>
      </c>
      <c r="D707" s="9" t="s">
        <v>17</v>
      </c>
      <c r="E707" s="8" t="s">
        <v>1986</v>
      </c>
      <c r="F707" s="8" t="s">
        <v>1985</v>
      </c>
    </row>
    <row r="708" spans="1:6" x14ac:dyDescent="0.15">
      <c r="A708" s="8" t="s">
        <v>1987</v>
      </c>
      <c r="B708" s="8" t="s">
        <v>175</v>
      </c>
      <c r="C708" s="8" t="str">
        <f t="shared" si="28"/>
        <v>att_muscle:ili</v>
      </c>
      <c r="D708" s="9" t="s">
        <v>17</v>
      </c>
      <c r="E708" s="8" t="s">
        <v>1989</v>
      </c>
      <c r="F708" s="8" t="s">
        <v>1988</v>
      </c>
    </row>
    <row r="709" spans="1:6" x14ac:dyDescent="0.15">
      <c r="A709" s="8" t="s">
        <v>1990</v>
      </c>
      <c r="B709" s="8" t="s">
        <v>175</v>
      </c>
      <c r="C709" s="8" t="str">
        <f t="shared" si="28"/>
        <v>att_muscle:lg</v>
      </c>
      <c r="D709" s="9" t="s">
        <v>17</v>
      </c>
      <c r="E709" s="8" t="s">
        <v>1992</v>
      </c>
      <c r="F709" s="8" t="s">
        <v>1991</v>
      </c>
    </row>
    <row r="710" spans="1:6" x14ac:dyDescent="0.15">
      <c r="A710" s="8" t="s">
        <v>1993</v>
      </c>
      <c r="B710" s="8" t="s">
        <v>175</v>
      </c>
      <c r="C710" s="8" t="str">
        <f t="shared" si="28"/>
        <v>att_muscle:mg</v>
      </c>
      <c r="D710" s="9" t="s">
        <v>17</v>
      </c>
      <c r="E710" s="8" t="s">
        <v>1995</v>
      </c>
      <c r="F710" s="8" t="s">
        <v>1994</v>
      </c>
    </row>
    <row r="711" spans="1:6" x14ac:dyDescent="0.15">
      <c r="A711" s="8" t="s">
        <v>1996</v>
      </c>
      <c r="B711" s="8" t="s">
        <v>175</v>
      </c>
      <c r="C711" s="8" t="str">
        <f t="shared" si="28"/>
        <v>att_muscle:oe</v>
      </c>
      <c r="D711" s="9" t="s">
        <v>17</v>
      </c>
      <c r="E711" s="8" t="s">
        <v>1998</v>
      </c>
      <c r="F711" s="8" t="s">
        <v>1997</v>
      </c>
    </row>
    <row r="712" spans="1:6" x14ac:dyDescent="0.15">
      <c r="A712" s="8" t="s">
        <v>1999</v>
      </c>
      <c r="B712" s="8" t="s">
        <v>175</v>
      </c>
      <c r="C712" s="8" t="str">
        <f t="shared" si="28"/>
        <v>att_muscle:oi</v>
      </c>
      <c r="D712" s="9" t="s">
        <v>17</v>
      </c>
      <c r="E712" s="8" t="s">
        <v>2001</v>
      </c>
      <c r="F712" s="8" t="s">
        <v>2000</v>
      </c>
    </row>
    <row r="713" spans="1:6" x14ac:dyDescent="0.15">
      <c r="A713" s="8" t="s">
        <v>2002</v>
      </c>
      <c r="B713" s="8" t="s">
        <v>175</v>
      </c>
      <c r="C713" s="8" t="str">
        <f t="shared" si="28"/>
        <v>att_muscle:pb</v>
      </c>
      <c r="D713" s="9" t="s">
        <v>17</v>
      </c>
      <c r="E713" s="8" t="s">
        <v>2004</v>
      </c>
      <c r="F713" s="8" t="s">
        <v>2003</v>
      </c>
    </row>
    <row r="714" spans="1:6" x14ac:dyDescent="0.15">
      <c r="A714" s="8" t="s">
        <v>2005</v>
      </c>
      <c r="B714" s="8" t="s">
        <v>175</v>
      </c>
      <c r="C714" s="8" t="str">
        <f t="shared" si="28"/>
        <v>att_muscle:pdqa</v>
      </c>
      <c r="D714" s="9" t="s">
        <v>17</v>
      </c>
      <c r="E714" s="8" t="s">
        <v>2007</v>
      </c>
      <c r="F714" s="8" t="s">
        <v>2006</v>
      </c>
    </row>
    <row r="715" spans="1:6" x14ac:dyDescent="0.15">
      <c r="A715" s="8" t="s">
        <v>2008</v>
      </c>
      <c r="B715" s="8" t="s">
        <v>175</v>
      </c>
      <c r="C715" s="8" t="str">
        <f t="shared" si="28"/>
        <v>att_muscle:pdqi</v>
      </c>
      <c r="D715" s="9" t="s">
        <v>17</v>
      </c>
      <c r="E715" s="8" t="s">
        <v>2010</v>
      </c>
      <c r="F715" s="8" t="s">
        <v>2009</v>
      </c>
    </row>
    <row r="716" spans="1:6" x14ac:dyDescent="0.15">
      <c r="A716" s="8" t="s">
        <v>2011</v>
      </c>
      <c r="B716" s="8" t="s">
        <v>175</v>
      </c>
      <c r="C716" s="8" t="str">
        <f t="shared" si="28"/>
        <v>att_muscle:pect</v>
      </c>
      <c r="D716" s="9" t="s">
        <v>17</v>
      </c>
      <c r="E716" s="8" t="s">
        <v>2013</v>
      </c>
      <c r="F716" s="8" t="s">
        <v>2012</v>
      </c>
    </row>
    <row r="717" spans="1:6" x14ac:dyDescent="0.15">
      <c r="A717" s="8" t="s">
        <v>2014</v>
      </c>
      <c r="B717" s="8" t="s">
        <v>175</v>
      </c>
      <c r="C717" s="8" t="str">
        <f t="shared" si="28"/>
        <v>att_muscle:pl</v>
      </c>
      <c r="D717" s="9" t="s">
        <v>17</v>
      </c>
      <c r="E717" s="8" t="s">
        <v>2016</v>
      </c>
      <c r="F717" s="8" t="s">
        <v>2015</v>
      </c>
    </row>
    <row r="718" spans="1:6" x14ac:dyDescent="0.15">
      <c r="A718" s="8" t="s">
        <v>2017</v>
      </c>
      <c r="B718" s="8" t="s">
        <v>175</v>
      </c>
      <c r="C718" s="8" t="str">
        <f t="shared" si="28"/>
        <v>att_muscle:plant</v>
      </c>
      <c r="D718" s="9" t="s">
        <v>17</v>
      </c>
      <c r="E718" s="8" t="s">
        <v>2019</v>
      </c>
      <c r="F718" s="8" t="s">
        <v>2018</v>
      </c>
    </row>
    <row r="719" spans="1:6" x14ac:dyDescent="0.15">
      <c r="A719" s="8" t="s">
        <v>2020</v>
      </c>
      <c r="B719" s="8" t="s">
        <v>175</v>
      </c>
      <c r="C719" s="8" t="str">
        <f t="shared" si="28"/>
        <v>att_muscle:plo</v>
      </c>
      <c r="D719" s="9" t="s">
        <v>17</v>
      </c>
      <c r="E719" s="8" t="s">
        <v>2022</v>
      </c>
      <c r="F719" s="8" t="s">
        <v>2021</v>
      </c>
    </row>
    <row r="720" spans="1:6" x14ac:dyDescent="0.15">
      <c r="A720" s="8" t="s">
        <v>2023</v>
      </c>
      <c r="B720" s="8" t="s">
        <v>175</v>
      </c>
      <c r="C720" s="8" t="str">
        <f t="shared" si="28"/>
        <v>att_muscle:pma</v>
      </c>
      <c r="D720" s="9" t="s">
        <v>17</v>
      </c>
      <c r="E720" s="8" t="s">
        <v>2025</v>
      </c>
      <c r="F720" s="8" t="s">
        <v>2024</v>
      </c>
    </row>
    <row r="721" spans="1:6" x14ac:dyDescent="0.15">
      <c r="A721" s="8" t="s">
        <v>2026</v>
      </c>
      <c r="B721" s="8" t="s">
        <v>175</v>
      </c>
      <c r="C721" s="8" t="str">
        <f t="shared" si="28"/>
        <v>att_muscle:pmi</v>
      </c>
      <c r="D721" s="9" t="s">
        <v>17</v>
      </c>
      <c r="E721" s="8" t="s">
        <v>2028</v>
      </c>
      <c r="F721" s="8" t="s">
        <v>2027</v>
      </c>
    </row>
    <row r="722" spans="1:6" x14ac:dyDescent="0.15">
      <c r="A722" s="8" t="s">
        <v>2029</v>
      </c>
      <c r="B722" s="8" t="s">
        <v>175</v>
      </c>
      <c r="C722" s="8" t="str">
        <f t="shared" si="28"/>
        <v>att_muscle:pop</v>
      </c>
      <c r="D722" s="9" t="s">
        <v>17</v>
      </c>
      <c r="E722" s="8" t="s">
        <v>2031</v>
      </c>
      <c r="F722" s="8" t="s">
        <v>2030</v>
      </c>
    </row>
    <row r="723" spans="1:6" x14ac:dyDescent="0.15">
      <c r="A723" s="8" t="s">
        <v>2032</v>
      </c>
      <c r="B723" s="8" t="s">
        <v>175</v>
      </c>
      <c r="C723" s="8" t="str">
        <f t="shared" ref="C723:C754" si="30">B723&amp;":"&amp;A723</f>
        <v>att_muscle:pt</v>
      </c>
      <c r="D723" s="9" t="s">
        <v>17</v>
      </c>
      <c r="E723" s="8" t="s">
        <v>2034</v>
      </c>
      <c r="F723" s="8" t="s">
        <v>2033</v>
      </c>
    </row>
    <row r="724" spans="1:6" x14ac:dyDescent="0.15">
      <c r="A724" s="8" t="s">
        <v>2035</v>
      </c>
      <c r="B724" s="8" t="s">
        <v>175</v>
      </c>
      <c r="C724" s="8" t="str">
        <f t="shared" si="30"/>
        <v>att_muscle:pte</v>
      </c>
      <c r="D724" s="9" t="s">
        <v>17</v>
      </c>
      <c r="E724" s="8" t="s">
        <v>2037</v>
      </c>
      <c r="F724" s="8" t="s">
        <v>2036</v>
      </c>
    </row>
    <row r="725" spans="1:6" x14ac:dyDescent="0.15">
      <c r="A725" s="8" t="s">
        <v>2038</v>
      </c>
      <c r="B725" s="8" t="s">
        <v>175</v>
      </c>
      <c r="C725" s="8" t="str">
        <f t="shared" si="30"/>
        <v>att_muscle:qf</v>
      </c>
      <c r="D725" s="9" t="s">
        <v>17</v>
      </c>
      <c r="E725" s="8" t="s">
        <v>2040</v>
      </c>
      <c r="F725" s="8" t="s">
        <v>2039</v>
      </c>
    </row>
    <row r="726" spans="1:6" x14ac:dyDescent="0.15">
      <c r="A726" s="8" t="s">
        <v>2041</v>
      </c>
      <c r="B726" s="8" t="s">
        <v>175</v>
      </c>
      <c r="C726" s="8" t="str">
        <f t="shared" si="30"/>
        <v>att_muscle:rf</v>
      </c>
      <c r="D726" s="9" t="s">
        <v>17</v>
      </c>
      <c r="E726" s="8" t="s">
        <v>2043</v>
      </c>
      <c r="F726" s="8" t="s">
        <v>2042</v>
      </c>
    </row>
    <row r="727" spans="1:6" x14ac:dyDescent="0.15">
      <c r="A727" s="8" t="s">
        <v>2044</v>
      </c>
      <c r="B727" s="8" t="s">
        <v>175</v>
      </c>
      <c r="C727" s="8" t="str">
        <f t="shared" si="30"/>
        <v>att_muscle:sm</v>
      </c>
      <c r="D727" s="9" t="s">
        <v>17</v>
      </c>
      <c r="E727" s="8" t="s">
        <v>2046</v>
      </c>
      <c r="F727" s="8" t="s">
        <v>2045</v>
      </c>
    </row>
    <row r="728" spans="1:6" x14ac:dyDescent="0.15">
      <c r="A728" s="8" t="s">
        <v>2047</v>
      </c>
      <c r="B728" s="8" t="s">
        <v>175</v>
      </c>
      <c r="C728" s="8" t="str">
        <f t="shared" si="30"/>
        <v>att_muscle:sol</v>
      </c>
      <c r="D728" s="9" t="s">
        <v>17</v>
      </c>
      <c r="E728" s="8" t="s">
        <v>2049</v>
      </c>
      <c r="F728" s="8" t="s">
        <v>2048</v>
      </c>
    </row>
    <row r="729" spans="1:6" x14ac:dyDescent="0.15">
      <c r="A729" s="8" t="s">
        <v>2050</v>
      </c>
      <c r="B729" s="8" t="s">
        <v>175</v>
      </c>
      <c r="C729" s="8" t="str">
        <f t="shared" si="30"/>
        <v>att_muscle:st</v>
      </c>
      <c r="D729" s="9" t="s">
        <v>17</v>
      </c>
      <c r="E729" s="8" t="s">
        <v>2052</v>
      </c>
      <c r="F729" s="8" t="s">
        <v>2051</v>
      </c>
    </row>
    <row r="730" spans="1:6" x14ac:dyDescent="0.15">
      <c r="A730" s="8" t="s">
        <v>2053</v>
      </c>
      <c r="B730" s="8" t="s">
        <v>175</v>
      </c>
      <c r="C730" s="8" t="str">
        <f t="shared" si="30"/>
        <v>att_muscle:ta</v>
      </c>
      <c r="D730" s="9" t="s">
        <v>17</v>
      </c>
      <c r="E730" s="8" t="s">
        <v>2055</v>
      </c>
      <c r="F730" s="8" t="s">
        <v>2054</v>
      </c>
    </row>
    <row r="731" spans="1:6" x14ac:dyDescent="0.15">
      <c r="A731" s="8" t="s">
        <v>2056</v>
      </c>
      <c r="B731" s="8" t="s">
        <v>175</v>
      </c>
      <c r="C731" s="8" t="str">
        <f t="shared" si="30"/>
        <v>att_muscle:tbl</v>
      </c>
      <c r="D731" s="9" t="s">
        <v>17</v>
      </c>
      <c r="E731" s="8" t="s">
        <v>2058</v>
      </c>
      <c r="F731" s="8" t="s">
        <v>2057</v>
      </c>
    </row>
    <row r="732" spans="1:6" x14ac:dyDescent="0.15">
      <c r="A732" s="8" t="s">
        <v>2059</v>
      </c>
      <c r="B732" s="8" t="s">
        <v>175</v>
      </c>
      <c r="C732" s="8" t="str">
        <f t="shared" si="30"/>
        <v>att_muscle:tbm</v>
      </c>
      <c r="D732" s="9" t="s">
        <v>17</v>
      </c>
      <c r="E732" s="8" t="s">
        <v>2061</v>
      </c>
      <c r="F732" s="8" t="s">
        <v>2060</v>
      </c>
    </row>
    <row r="733" spans="1:6" x14ac:dyDescent="0.15">
      <c r="A733" s="8" t="s">
        <v>2062</v>
      </c>
      <c r="B733" s="8" t="s">
        <v>175</v>
      </c>
      <c r="C733" s="8" t="str">
        <f t="shared" si="30"/>
        <v>att_muscle:tbo</v>
      </c>
      <c r="D733" s="9" t="s">
        <v>17</v>
      </c>
      <c r="E733" s="8" t="s">
        <v>2064</v>
      </c>
      <c r="F733" s="8" t="s">
        <v>2063</v>
      </c>
    </row>
    <row r="734" spans="1:6" x14ac:dyDescent="0.15">
      <c r="A734" s="8" t="s">
        <v>2065</v>
      </c>
      <c r="B734" s="8" t="s">
        <v>175</v>
      </c>
      <c r="C734" s="8" t="str">
        <f t="shared" si="30"/>
        <v>att_muscle:tp</v>
      </c>
      <c r="D734" s="9" t="s">
        <v>17</v>
      </c>
      <c r="E734" s="8" t="s">
        <v>2067</v>
      </c>
      <c r="F734" s="8" t="s">
        <v>2066</v>
      </c>
    </row>
    <row r="735" spans="1:6" x14ac:dyDescent="0.15">
      <c r="A735" s="8" t="s">
        <v>2068</v>
      </c>
      <c r="B735" s="8" t="s">
        <v>175</v>
      </c>
      <c r="C735" s="8" t="str">
        <f t="shared" si="30"/>
        <v>att_muscle:vi</v>
      </c>
      <c r="D735" s="9" t="s">
        <v>17</v>
      </c>
      <c r="E735" s="8" t="s">
        <v>2070</v>
      </c>
      <c r="F735" s="8" t="s">
        <v>2069</v>
      </c>
    </row>
    <row r="736" spans="1:6" x14ac:dyDescent="0.15">
      <c r="A736" s="8" t="s">
        <v>2071</v>
      </c>
      <c r="B736" s="8" t="s">
        <v>175</v>
      </c>
      <c r="C736" s="8" t="str">
        <f t="shared" si="30"/>
        <v>att_muscle:vl</v>
      </c>
      <c r="D736" s="9" t="s">
        <v>17</v>
      </c>
      <c r="E736" s="8" t="s">
        <v>2073</v>
      </c>
      <c r="F736" s="8" t="s">
        <v>2072</v>
      </c>
    </row>
    <row r="737" spans="1:6" x14ac:dyDescent="0.15">
      <c r="A737" s="8" t="s">
        <v>2074</v>
      </c>
      <c r="B737" s="8" t="s">
        <v>175</v>
      </c>
      <c r="C737" s="8" t="str">
        <f t="shared" si="30"/>
        <v>att_muscle:vm</v>
      </c>
      <c r="D737" s="9" t="s">
        <v>17</v>
      </c>
      <c r="E737" s="8" t="s">
        <v>2076</v>
      </c>
      <c r="F737" s="8" t="s">
        <v>2075</v>
      </c>
    </row>
    <row r="738" spans="1:6" x14ac:dyDescent="0.15">
      <c r="A738" s="8" t="s">
        <v>2803</v>
      </c>
      <c r="B738" s="8" t="s">
        <v>175</v>
      </c>
      <c r="C738" s="8" t="str">
        <f t="shared" si="30"/>
        <v>att_muscle:quad</v>
      </c>
      <c r="D738" s="9" t="s">
        <v>17</v>
      </c>
      <c r="E738" s="8" t="s">
        <v>2805</v>
      </c>
      <c r="F738" s="8" t="s">
        <v>2804</v>
      </c>
    </row>
    <row r="739" spans="1:6" x14ac:dyDescent="0.15">
      <c r="A739" s="8" t="s">
        <v>2077</v>
      </c>
      <c r="B739" s="8" t="s">
        <v>178</v>
      </c>
      <c r="C739" s="8" t="str">
        <f t="shared" si="30"/>
        <v>att_offline_frac_instrument:zirconium</v>
      </c>
      <c r="D739" s="9" t="s">
        <v>17</v>
      </c>
      <c r="E739" s="8" t="s">
        <v>2078</v>
      </c>
      <c r="F739" s="8" t="s">
        <v>2079</v>
      </c>
    </row>
    <row r="740" spans="1:6" x14ac:dyDescent="0.15">
      <c r="A740" s="8" t="s">
        <v>2080</v>
      </c>
      <c r="B740" s="8" t="s">
        <v>179</v>
      </c>
      <c r="C740" s="8" t="str">
        <f t="shared" si="30"/>
        <v>att_offline_fractionation:bgpage</v>
      </c>
      <c r="D740" s="9" t="s">
        <v>17</v>
      </c>
      <c r="E740" s="8" t="s">
        <v>2081</v>
      </c>
      <c r="F740" s="8" t="s">
        <v>2082</v>
      </c>
    </row>
    <row r="741" spans="1:6" x14ac:dyDescent="0.15">
      <c r="A741" s="8" t="s">
        <v>2083</v>
      </c>
      <c r="B741" s="8" t="s">
        <v>179</v>
      </c>
      <c r="C741" s="8" t="str">
        <f t="shared" si="30"/>
        <v>att_offline_fractionation:highph_hplc</v>
      </c>
      <c r="D741" s="9" t="s">
        <v>17</v>
      </c>
      <c r="E741" s="8" t="s">
        <v>2084</v>
      </c>
      <c r="F741" s="8" t="s">
        <v>2085</v>
      </c>
    </row>
    <row r="742" spans="1:6" x14ac:dyDescent="0.15">
      <c r="A742" s="8" t="s">
        <v>2086</v>
      </c>
      <c r="B742" s="8" t="s">
        <v>179</v>
      </c>
      <c r="C742" s="8" t="str">
        <f t="shared" si="30"/>
        <v>att_offline_fractionation:highph_tip</v>
      </c>
      <c r="D742" s="9" t="s">
        <v>17</v>
      </c>
      <c r="E742" s="8" t="s">
        <v>2087</v>
      </c>
      <c r="F742" s="8" t="s">
        <v>2088</v>
      </c>
    </row>
    <row r="743" spans="1:6" x14ac:dyDescent="0.15">
      <c r="A743" s="8" t="s">
        <v>2089</v>
      </c>
      <c r="B743" s="8" t="s">
        <v>179</v>
      </c>
      <c r="C743" s="8" t="str">
        <f t="shared" si="30"/>
        <v>att_offline_fractionation:sax</v>
      </c>
      <c r="D743" s="9" t="s">
        <v>17</v>
      </c>
      <c r="E743" s="8" t="s">
        <v>2090</v>
      </c>
      <c r="F743" s="8" t="s">
        <v>2091</v>
      </c>
    </row>
    <row r="744" spans="1:6" x14ac:dyDescent="0.15">
      <c r="A744" s="8" t="s">
        <v>2092</v>
      </c>
      <c r="B744" s="8" t="s">
        <v>179</v>
      </c>
      <c r="C744" s="8" t="str">
        <f t="shared" si="30"/>
        <v>att_offline_fractionation:scx</v>
      </c>
      <c r="D744" s="9" t="s">
        <v>17</v>
      </c>
      <c r="E744" s="8" t="s">
        <v>2093</v>
      </c>
      <c r="F744" s="8" t="s">
        <v>2094</v>
      </c>
    </row>
    <row r="745" spans="1:6" x14ac:dyDescent="0.15">
      <c r="A745" s="8" t="s">
        <v>2095</v>
      </c>
      <c r="B745" s="8" t="s">
        <v>179</v>
      </c>
      <c r="C745" s="8" t="str">
        <f t="shared" si="30"/>
        <v>att_offline_fractionation:sdspage</v>
      </c>
      <c r="D745" s="9" t="s">
        <v>17</v>
      </c>
      <c r="E745" s="8" t="s">
        <v>2096</v>
      </c>
      <c r="F745" s="8" t="s">
        <v>2097</v>
      </c>
    </row>
    <row r="746" spans="1:6" x14ac:dyDescent="0.15">
      <c r="A746" s="8" t="s">
        <v>2098</v>
      </c>
      <c r="B746" s="8" t="s">
        <v>189</v>
      </c>
      <c r="C746" s="8" t="str">
        <f t="shared" si="30"/>
        <v>att_omics_type:proteomics</v>
      </c>
      <c r="D746" s="9" t="s">
        <v>17</v>
      </c>
      <c r="E746" s="8" t="s">
        <v>2099</v>
      </c>
      <c r="F746" s="8" t="s">
        <v>2100</v>
      </c>
    </row>
    <row r="747" spans="1:6" x14ac:dyDescent="0.15">
      <c r="A747" s="8" t="s">
        <v>2101</v>
      </c>
      <c r="B747" s="8" t="s">
        <v>176</v>
      </c>
      <c r="C747" s="8" t="str">
        <f t="shared" si="30"/>
        <v>att_organ:appendix</v>
      </c>
      <c r="D747" s="8" t="s">
        <v>2101</v>
      </c>
      <c r="E747" s="8" t="s">
        <v>2102</v>
      </c>
      <c r="F747" s="8" t="s">
        <v>2102</v>
      </c>
    </row>
    <row r="748" spans="1:6" x14ac:dyDescent="0.15">
      <c r="A748" s="8" t="s">
        <v>2103</v>
      </c>
      <c r="B748" s="8" t="s">
        <v>176</v>
      </c>
      <c r="C748" s="8" t="str">
        <f t="shared" si="30"/>
        <v>att_organ:arteries</v>
      </c>
      <c r="D748" s="8" t="s">
        <v>2103</v>
      </c>
      <c r="E748" s="8" t="s">
        <v>2104</v>
      </c>
      <c r="F748" s="8" t="s">
        <v>2104</v>
      </c>
    </row>
    <row r="749" spans="1:6" x14ac:dyDescent="0.15">
      <c r="A749" s="8" t="s">
        <v>2105</v>
      </c>
      <c r="B749" s="8" t="s">
        <v>176</v>
      </c>
      <c r="C749" s="8" t="str">
        <f t="shared" si="30"/>
        <v>att_organ:bladder</v>
      </c>
      <c r="D749" s="8" t="s">
        <v>2105</v>
      </c>
      <c r="E749" s="8" t="s">
        <v>2106</v>
      </c>
      <c r="F749" s="8" t="s">
        <v>2106</v>
      </c>
    </row>
    <row r="750" spans="1:6" x14ac:dyDescent="0.15">
      <c r="A750" s="8" t="s">
        <v>2107</v>
      </c>
      <c r="B750" s="8" t="s">
        <v>176</v>
      </c>
      <c r="C750" s="8" t="str">
        <f t="shared" si="30"/>
        <v>att_organ:bone_marrow</v>
      </c>
      <c r="D750" s="8" t="s">
        <v>2107</v>
      </c>
      <c r="E750" s="8" t="s">
        <v>2108</v>
      </c>
      <c r="F750" s="8" t="s">
        <v>2108</v>
      </c>
    </row>
    <row r="751" spans="1:6" x14ac:dyDescent="0.15">
      <c r="A751" s="8" t="s">
        <v>2109</v>
      </c>
      <c r="B751" s="8" t="s">
        <v>176</v>
      </c>
      <c r="C751" s="8" t="str">
        <f t="shared" si="30"/>
        <v>att_organ:brain</v>
      </c>
      <c r="D751" s="8" t="s">
        <v>2109</v>
      </c>
      <c r="E751" s="8" t="s">
        <v>2110</v>
      </c>
      <c r="F751" s="8" t="s">
        <v>2110</v>
      </c>
    </row>
    <row r="752" spans="1:6" x14ac:dyDescent="0.15">
      <c r="A752" s="8" t="s">
        <v>2111</v>
      </c>
      <c r="B752" s="8" t="s">
        <v>176</v>
      </c>
      <c r="C752" s="8" t="str">
        <f t="shared" si="30"/>
        <v>att_organ:bronchi</v>
      </c>
      <c r="D752" s="8" t="s">
        <v>2111</v>
      </c>
      <c r="E752" s="8" t="s">
        <v>2112</v>
      </c>
      <c r="F752" s="8" t="s">
        <v>2112</v>
      </c>
    </row>
    <row r="753" spans="1:6" x14ac:dyDescent="0.15">
      <c r="A753" s="8" t="s">
        <v>2113</v>
      </c>
      <c r="B753" s="8" t="s">
        <v>176</v>
      </c>
      <c r="C753" s="8" t="str">
        <f t="shared" si="30"/>
        <v>att_organ:cecum</v>
      </c>
      <c r="D753" s="8" t="s">
        <v>2113</v>
      </c>
      <c r="E753" s="8" t="s">
        <v>2114</v>
      </c>
      <c r="F753" s="8" t="s">
        <v>2114</v>
      </c>
    </row>
    <row r="754" spans="1:6" x14ac:dyDescent="0.15">
      <c r="A754" s="8" t="s">
        <v>2115</v>
      </c>
      <c r="B754" s="8" t="s">
        <v>176</v>
      </c>
      <c r="C754" s="8" t="str">
        <f t="shared" si="30"/>
        <v>att_organ:cerebellum</v>
      </c>
      <c r="D754" s="8" t="s">
        <v>2115</v>
      </c>
      <c r="E754" s="8" t="s">
        <v>2116</v>
      </c>
      <c r="F754" s="8" t="s">
        <v>2116</v>
      </c>
    </row>
    <row r="755" spans="1:6" x14ac:dyDescent="0.15">
      <c r="A755" s="8" t="s">
        <v>2117</v>
      </c>
      <c r="B755" s="8" t="s">
        <v>176</v>
      </c>
      <c r="C755" s="8" t="str">
        <f t="shared" ref="C755:C786" si="31">B755&amp;":"&amp;A755</f>
        <v>att_organ:cerebrum</v>
      </c>
      <c r="D755" s="8" t="s">
        <v>2117</v>
      </c>
      <c r="E755" s="8" t="s">
        <v>2118</v>
      </c>
      <c r="F755" s="8" t="s">
        <v>2118</v>
      </c>
    </row>
    <row r="756" spans="1:6" x14ac:dyDescent="0.15">
      <c r="A756" s="8" t="s">
        <v>2119</v>
      </c>
      <c r="B756" s="8" t="s">
        <v>176</v>
      </c>
      <c r="C756" s="8" t="str">
        <f t="shared" si="31"/>
        <v>att_organ:ear</v>
      </c>
      <c r="D756" s="8" t="s">
        <v>2119</v>
      </c>
      <c r="E756" s="8" t="s">
        <v>2120</v>
      </c>
      <c r="F756" s="8" t="s">
        <v>2120</v>
      </c>
    </row>
    <row r="757" spans="1:6" x14ac:dyDescent="0.15">
      <c r="A757" s="8" t="s">
        <v>2121</v>
      </c>
      <c r="B757" s="8" t="s">
        <v>176</v>
      </c>
      <c r="C757" s="8" t="str">
        <f t="shared" si="31"/>
        <v>att_organ:esophagus</v>
      </c>
      <c r="D757" s="8" t="s">
        <v>2121</v>
      </c>
      <c r="E757" s="8" t="s">
        <v>2122</v>
      </c>
      <c r="F757" s="8" t="s">
        <v>2122</v>
      </c>
    </row>
    <row r="758" spans="1:6" x14ac:dyDescent="0.15">
      <c r="A758" s="8" t="s">
        <v>2123</v>
      </c>
      <c r="B758" s="8" t="s">
        <v>176</v>
      </c>
      <c r="C758" s="8" t="str">
        <f t="shared" si="31"/>
        <v>att_organ:eye</v>
      </c>
      <c r="D758" s="8" t="s">
        <v>2123</v>
      </c>
      <c r="E758" s="8" t="s">
        <v>2124</v>
      </c>
      <c r="F758" s="8" t="s">
        <v>2124</v>
      </c>
    </row>
    <row r="759" spans="1:6" x14ac:dyDescent="0.15">
      <c r="A759" s="8" t="s">
        <v>2125</v>
      </c>
      <c r="B759" s="8" t="s">
        <v>176</v>
      </c>
      <c r="C759" s="8" t="str">
        <f t="shared" si="31"/>
        <v>att_organ:gallbladder</v>
      </c>
      <c r="D759" s="8" t="s">
        <v>2125</v>
      </c>
      <c r="E759" s="8" t="s">
        <v>2126</v>
      </c>
      <c r="F759" s="8" t="s">
        <v>2126</v>
      </c>
    </row>
    <row r="760" spans="1:6" x14ac:dyDescent="0.15">
      <c r="A760" s="8" t="s">
        <v>2127</v>
      </c>
      <c r="B760" s="8" t="s">
        <v>176</v>
      </c>
      <c r="C760" s="8" t="str">
        <f t="shared" si="31"/>
        <v>att_organ:ganglia</v>
      </c>
      <c r="D760" s="8" t="s">
        <v>2127</v>
      </c>
      <c r="E760" s="8" t="s">
        <v>2128</v>
      </c>
      <c r="F760" s="8" t="s">
        <v>2128</v>
      </c>
    </row>
    <row r="761" spans="1:6" x14ac:dyDescent="0.15">
      <c r="A761" s="8" t="s">
        <v>2129</v>
      </c>
      <c r="B761" s="8" t="s">
        <v>176</v>
      </c>
      <c r="C761" s="8" t="str">
        <f t="shared" si="31"/>
        <v>att_organ:heart</v>
      </c>
      <c r="D761" s="8" t="s">
        <v>2129</v>
      </c>
      <c r="E761" s="8" t="s">
        <v>2130</v>
      </c>
      <c r="F761" s="8" t="s">
        <v>2130</v>
      </c>
    </row>
    <row r="762" spans="1:6" x14ac:dyDescent="0.15">
      <c r="A762" s="8" t="s">
        <v>2131</v>
      </c>
      <c r="B762" s="8" t="s">
        <v>176</v>
      </c>
      <c r="C762" s="8" t="str">
        <f t="shared" si="31"/>
        <v>att_organ:hypothalamus</v>
      </c>
      <c r="D762" s="8" t="s">
        <v>2131</v>
      </c>
      <c r="E762" s="8" t="s">
        <v>2132</v>
      </c>
      <c r="F762" s="8" t="s">
        <v>2132</v>
      </c>
    </row>
    <row r="763" spans="1:6" x14ac:dyDescent="0.15">
      <c r="A763" s="8" t="s">
        <v>2133</v>
      </c>
      <c r="B763" s="8" t="s">
        <v>176</v>
      </c>
      <c r="C763" s="8" t="str">
        <f t="shared" si="31"/>
        <v>att_organ:kidney</v>
      </c>
      <c r="D763" s="8" t="s">
        <v>2133</v>
      </c>
      <c r="E763" s="8" t="s">
        <v>2134</v>
      </c>
      <c r="F763" s="8" t="s">
        <v>2134</v>
      </c>
    </row>
    <row r="764" spans="1:6" x14ac:dyDescent="0.15">
      <c r="A764" s="8" t="s">
        <v>2135</v>
      </c>
      <c r="B764" s="8" t="s">
        <v>176</v>
      </c>
      <c r="C764" s="8" t="str">
        <f t="shared" si="31"/>
        <v>att_organ:large_intestine</v>
      </c>
      <c r="D764" s="8" t="s">
        <v>2136</v>
      </c>
      <c r="E764" s="8" t="s">
        <v>2137</v>
      </c>
      <c r="F764" s="8" t="s">
        <v>2138</v>
      </c>
    </row>
    <row r="765" spans="1:6" x14ac:dyDescent="0.15">
      <c r="A765" s="8" t="s">
        <v>2139</v>
      </c>
      <c r="B765" s="8" t="s">
        <v>176</v>
      </c>
      <c r="C765" s="8" t="str">
        <f t="shared" si="31"/>
        <v>att_organ:liver</v>
      </c>
      <c r="D765" s="8" t="s">
        <v>2139</v>
      </c>
      <c r="E765" s="8" t="s">
        <v>2140</v>
      </c>
      <c r="F765" s="8" t="s">
        <v>2140</v>
      </c>
    </row>
    <row r="766" spans="1:6" x14ac:dyDescent="0.15">
      <c r="A766" s="8" t="s">
        <v>2141</v>
      </c>
      <c r="B766" s="8" t="s">
        <v>176</v>
      </c>
      <c r="C766" s="8" t="str">
        <f t="shared" si="31"/>
        <v>att_organ:lung</v>
      </c>
      <c r="D766" s="8" t="s">
        <v>2141</v>
      </c>
      <c r="E766" s="8" t="s">
        <v>2142</v>
      </c>
      <c r="F766" s="8" t="s">
        <v>2142</v>
      </c>
    </row>
    <row r="767" spans="1:6" x14ac:dyDescent="0.15">
      <c r="A767" s="8" t="s">
        <v>2143</v>
      </c>
      <c r="B767" s="8" t="s">
        <v>176</v>
      </c>
      <c r="C767" s="8" t="str">
        <f t="shared" si="31"/>
        <v>att_organ:lymph_node</v>
      </c>
      <c r="D767" s="8" t="s">
        <v>1201</v>
      </c>
      <c r="E767" s="8" t="s">
        <v>2144</v>
      </c>
      <c r="F767" s="8" t="s">
        <v>2144</v>
      </c>
    </row>
    <row r="768" spans="1:6" x14ac:dyDescent="0.15">
      <c r="A768" s="8" t="s">
        <v>2145</v>
      </c>
      <c r="B768" s="8" t="s">
        <v>176</v>
      </c>
      <c r="C768" s="8" t="str">
        <f t="shared" si="31"/>
        <v>att_organ:medulla</v>
      </c>
      <c r="D768" s="8" t="s">
        <v>2145</v>
      </c>
      <c r="E768" s="8" t="s">
        <v>2146</v>
      </c>
      <c r="F768" s="8" t="s">
        <v>2146</v>
      </c>
    </row>
    <row r="769" spans="1:6" x14ac:dyDescent="0.15">
      <c r="A769" s="8" t="s">
        <v>2147</v>
      </c>
      <c r="B769" s="8" t="s">
        <v>176</v>
      </c>
      <c r="C769" s="8" t="str">
        <f t="shared" si="31"/>
        <v>att_organ:mesentery</v>
      </c>
      <c r="D769" s="8" t="s">
        <v>2147</v>
      </c>
      <c r="E769" s="8" t="s">
        <v>2148</v>
      </c>
      <c r="F769" s="8" t="s">
        <v>2148</v>
      </c>
    </row>
    <row r="770" spans="1:6" x14ac:dyDescent="0.15">
      <c r="A770" s="8" t="s">
        <v>2149</v>
      </c>
      <c r="B770" s="8" t="s">
        <v>176</v>
      </c>
      <c r="C770" s="8" t="str">
        <f t="shared" si="31"/>
        <v>att_organ:midbrain</v>
      </c>
      <c r="D770" s="8" t="s">
        <v>2149</v>
      </c>
      <c r="E770" s="8" t="s">
        <v>2150</v>
      </c>
      <c r="F770" s="8" t="s">
        <v>2150</v>
      </c>
    </row>
    <row r="771" spans="1:6" x14ac:dyDescent="0.15">
      <c r="A771" s="8" t="s">
        <v>2151</v>
      </c>
      <c r="B771" s="8" t="s">
        <v>176</v>
      </c>
      <c r="C771" s="8" t="str">
        <f t="shared" si="31"/>
        <v>att_organ:ovaries</v>
      </c>
      <c r="D771" s="8" t="s">
        <v>2151</v>
      </c>
      <c r="E771" s="8" t="s">
        <v>2152</v>
      </c>
      <c r="F771" s="8" t="s">
        <v>2152</v>
      </c>
    </row>
    <row r="772" spans="1:6" x14ac:dyDescent="0.15">
      <c r="A772" s="8" t="s">
        <v>2153</v>
      </c>
      <c r="B772" s="8" t="s">
        <v>176</v>
      </c>
      <c r="C772" s="8" t="str">
        <f t="shared" si="31"/>
        <v>att_organ:pancreas</v>
      </c>
      <c r="D772" s="8" t="s">
        <v>2153</v>
      </c>
      <c r="E772" s="8" t="s">
        <v>2154</v>
      </c>
      <c r="F772" s="8" t="s">
        <v>2154</v>
      </c>
    </row>
    <row r="773" spans="1:6" x14ac:dyDescent="0.15">
      <c r="A773" s="8" t="s">
        <v>2155</v>
      </c>
      <c r="B773" s="8" t="s">
        <v>176</v>
      </c>
      <c r="C773" s="8" t="str">
        <f t="shared" si="31"/>
        <v>att_organ:pons</v>
      </c>
      <c r="D773" s="8" t="s">
        <v>2155</v>
      </c>
      <c r="E773" s="8" t="s">
        <v>2156</v>
      </c>
      <c r="F773" s="8" t="s">
        <v>2156</v>
      </c>
    </row>
    <row r="774" spans="1:6" x14ac:dyDescent="0.15">
      <c r="A774" s="8" t="s">
        <v>2157</v>
      </c>
      <c r="B774" s="8" t="s">
        <v>176</v>
      </c>
      <c r="C774" s="8" t="str">
        <f t="shared" si="31"/>
        <v>att_organ:prostate</v>
      </c>
      <c r="D774" s="8" t="s">
        <v>2157</v>
      </c>
      <c r="E774" s="8" t="s">
        <v>2158</v>
      </c>
      <c r="F774" s="8" t="s">
        <v>2158</v>
      </c>
    </row>
    <row r="775" spans="1:6" x14ac:dyDescent="0.15">
      <c r="A775" s="8" t="s">
        <v>2159</v>
      </c>
      <c r="B775" s="8" t="s">
        <v>176</v>
      </c>
      <c r="C775" s="8" t="str">
        <f t="shared" si="31"/>
        <v>att_organ:rectum</v>
      </c>
      <c r="D775" s="8" t="s">
        <v>2159</v>
      </c>
      <c r="E775" s="8" t="s">
        <v>2160</v>
      </c>
      <c r="F775" s="8" t="s">
        <v>2160</v>
      </c>
    </row>
    <row r="776" spans="1:6" x14ac:dyDescent="0.15">
      <c r="A776" s="8" t="s">
        <v>2161</v>
      </c>
      <c r="B776" s="8" t="s">
        <v>176</v>
      </c>
      <c r="C776" s="8" t="str">
        <f t="shared" si="31"/>
        <v>att_organ:small_intestine</v>
      </c>
      <c r="D776" s="8" t="s">
        <v>2162</v>
      </c>
      <c r="E776" s="8" t="s">
        <v>2163</v>
      </c>
      <c r="F776" s="8" t="s">
        <v>2164</v>
      </c>
    </row>
    <row r="777" spans="1:6" x14ac:dyDescent="0.15">
      <c r="A777" s="8" t="s">
        <v>2165</v>
      </c>
      <c r="B777" s="8" t="s">
        <v>176</v>
      </c>
      <c r="C777" s="8" t="str">
        <f t="shared" si="31"/>
        <v>att_organ:spinal_cord</v>
      </c>
      <c r="D777" s="8" t="s">
        <v>2165</v>
      </c>
      <c r="E777" s="8" t="s">
        <v>2166</v>
      </c>
      <c r="F777" s="8" t="s">
        <v>2167</v>
      </c>
    </row>
    <row r="778" spans="1:6" x14ac:dyDescent="0.15">
      <c r="A778" s="8" t="s">
        <v>2168</v>
      </c>
      <c r="B778" s="8" t="s">
        <v>176</v>
      </c>
      <c r="C778" s="8" t="str">
        <f t="shared" si="31"/>
        <v>att_organ:spleen</v>
      </c>
      <c r="D778" s="8" t="s">
        <v>2168</v>
      </c>
      <c r="E778" s="8" t="s">
        <v>2169</v>
      </c>
      <c r="F778" s="8" t="s">
        <v>2169</v>
      </c>
    </row>
    <row r="779" spans="1:6" x14ac:dyDescent="0.15">
      <c r="A779" s="8" t="s">
        <v>2170</v>
      </c>
      <c r="B779" s="8" t="s">
        <v>176</v>
      </c>
      <c r="C779" s="8" t="str">
        <f t="shared" si="31"/>
        <v>att_organ:stomach</v>
      </c>
      <c r="D779" s="8" t="s">
        <v>2170</v>
      </c>
      <c r="E779" s="8" t="s">
        <v>2171</v>
      </c>
      <c r="F779" s="8" t="s">
        <v>2171</v>
      </c>
    </row>
    <row r="780" spans="1:6" x14ac:dyDescent="0.15">
      <c r="A780" s="8" t="s">
        <v>2172</v>
      </c>
      <c r="B780" s="8" t="s">
        <v>176</v>
      </c>
      <c r="C780" s="8" t="str">
        <f t="shared" si="31"/>
        <v>att_organ:testicles</v>
      </c>
      <c r="D780" s="8" t="s">
        <v>2172</v>
      </c>
      <c r="E780" s="8" t="s">
        <v>2173</v>
      </c>
      <c r="F780" s="8" t="s">
        <v>2173</v>
      </c>
    </row>
    <row r="781" spans="1:6" x14ac:dyDescent="0.15">
      <c r="A781" s="8" t="s">
        <v>2174</v>
      </c>
      <c r="B781" s="8" t="s">
        <v>176</v>
      </c>
      <c r="C781" s="8" t="str">
        <f t="shared" si="31"/>
        <v>att_organ:thalamus</v>
      </c>
      <c r="D781" s="8" t="s">
        <v>2174</v>
      </c>
      <c r="E781" s="8" t="s">
        <v>2175</v>
      </c>
      <c r="F781" s="8" t="s">
        <v>2175</v>
      </c>
    </row>
    <row r="782" spans="1:6" x14ac:dyDescent="0.15">
      <c r="A782" s="8" t="s">
        <v>2176</v>
      </c>
      <c r="B782" s="8" t="s">
        <v>176</v>
      </c>
      <c r="C782" s="8" t="str">
        <f t="shared" si="31"/>
        <v>att_organ:thymus</v>
      </c>
      <c r="D782" s="8" t="s">
        <v>2176</v>
      </c>
      <c r="E782" s="8" t="s">
        <v>2177</v>
      </c>
      <c r="F782" s="8" t="s">
        <v>2177</v>
      </c>
    </row>
    <row r="783" spans="1:6" x14ac:dyDescent="0.15">
      <c r="A783" s="8" t="s">
        <v>2178</v>
      </c>
      <c r="B783" s="8" t="s">
        <v>176</v>
      </c>
      <c r="C783" s="8" t="str">
        <f t="shared" si="31"/>
        <v>att_organ:tongue</v>
      </c>
      <c r="D783" s="8" t="s">
        <v>2178</v>
      </c>
      <c r="E783" s="8" t="s">
        <v>2179</v>
      </c>
      <c r="F783" s="8" t="s">
        <v>2179</v>
      </c>
    </row>
    <row r="784" spans="1:6" x14ac:dyDescent="0.15">
      <c r="A784" s="8" t="s">
        <v>2180</v>
      </c>
      <c r="B784" s="8" t="s">
        <v>176</v>
      </c>
      <c r="C784" s="8" t="str">
        <f t="shared" si="31"/>
        <v>att_organ:tonsils</v>
      </c>
      <c r="D784" s="8" t="s">
        <v>2180</v>
      </c>
      <c r="E784" s="8" t="s">
        <v>2181</v>
      </c>
      <c r="F784" s="8" t="s">
        <v>2181</v>
      </c>
    </row>
    <row r="785" spans="1:6" x14ac:dyDescent="0.15">
      <c r="A785" s="8" t="s">
        <v>2182</v>
      </c>
      <c r="B785" s="8" t="s">
        <v>176</v>
      </c>
      <c r="C785" s="8" t="str">
        <f t="shared" si="31"/>
        <v>att_organ:uterus</v>
      </c>
      <c r="D785" s="8" t="s">
        <v>2182</v>
      </c>
      <c r="E785" s="8" t="s">
        <v>2183</v>
      </c>
      <c r="F785" s="8" t="s">
        <v>2183</v>
      </c>
    </row>
    <row r="786" spans="1:6" x14ac:dyDescent="0.15">
      <c r="A786" s="8" t="s">
        <v>2184</v>
      </c>
      <c r="B786" s="8" t="s">
        <v>176</v>
      </c>
      <c r="C786" s="8" t="str">
        <f t="shared" si="31"/>
        <v>att_organ:veins</v>
      </c>
      <c r="D786" s="8" t="s">
        <v>2184</v>
      </c>
      <c r="E786" s="8" t="s">
        <v>2185</v>
      </c>
      <c r="F786" s="8" t="s">
        <v>2185</v>
      </c>
    </row>
    <row r="787" spans="1:6" x14ac:dyDescent="0.15">
      <c r="A787" s="8" t="s">
        <v>2907</v>
      </c>
      <c r="B787" s="8" t="s">
        <v>192</v>
      </c>
      <c r="C787" s="8" t="str">
        <f t="shared" ref="C787:C818" si="32">B787&amp;":"&amp;A787</f>
        <v>att_organism:controls</v>
      </c>
      <c r="D787" s="8" t="s">
        <v>2904</v>
      </c>
      <c r="E787" s="8" t="s">
        <v>2905</v>
      </c>
      <c r="F787" s="8" t="s">
        <v>2906</v>
      </c>
    </row>
    <row r="788" spans="1:6" x14ac:dyDescent="0.15">
      <c r="A788" s="8" t="s">
        <v>2206</v>
      </c>
      <c r="B788" s="8" t="s">
        <v>2207</v>
      </c>
      <c r="C788" s="8" t="str">
        <f t="shared" si="32"/>
        <v>att_organsystem:cardiovascular</v>
      </c>
      <c r="D788" s="9" t="s">
        <v>17</v>
      </c>
      <c r="E788" s="8" t="s">
        <v>2208</v>
      </c>
      <c r="F788" s="8" t="s">
        <v>2209</v>
      </c>
    </row>
    <row r="789" spans="1:6" x14ac:dyDescent="0.15">
      <c r="A789" s="8" t="s">
        <v>2210</v>
      </c>
      <c r="B789" s="8" t="s">
        <v>2207</v>
      </c>
      <c r="C789" s="8" t="str">
        <f t="shared" si="32"/>
        <v>att_organsystem:digestive</v>
      </c>
      <c r="D789" s="9" t="s">
        <v>17</v>
      </c>
      <c r="E789" s="8" t="s">
        <v>2211</v>
      </c>
      <c r="F789" s="8" t="s">
        <v>2212</v>
      </c>
    </row>
    <row r="790" spans="1:6" x14ac:dyDescent="0.15">
      <c r="A790" s="8" t="s">
        <v>2213</v>
      </c>
      <c r="B790" s="8" t="s">
        <v>2207</v>
      </c>
      <c r="C790" s="8" t="str">
        <f t="shared" si="32"/>
        <v>att_organsystem:endocrine</v>
      </c>
      <c r="D790" s="9" t="s">
        <v>17</v>
      </c>
      <c r="E790" s="8" t="s">
        <v>2214</v>
      </c>
      <c r="F790" s="8" t="s">
        <v>2215</v>
      </c>
    </row>
    <row r="791" spans="1:6" x14ac:dyDescent="0.15">
      <c r="A791" s="8" t="s">
        <v>2216</v>
      </c>
      <c r="B791" s="8" t="s">
        <v>2207</v>
      </c>
      <c r="C791" s="8" t="str">
        <f t="shared" si="32"/>
        <v>att_organsystem:excretory</v>
      </c>
      <c r="D791" s="9" t="s">
        <v>17</v>
      </c>
      <c r="E791" s="8" t="s">
        <v>2217</v>
      </c>
      <c r="F791" s="8" t="s">
        <v>2218</v>
      </c>
    </row>
    <row r="792" spans="1:6" x14ac:dyDescent="0.15">
      <c r="A792" s="8" t="s">
        <v>2219</v>
      </c>
      <c r="B792" s="8" t="s">
        <v>2207</v>
      </c>
      <c r="C792" s="8" t="str">
        <f t="shared" si="32"/>
        <v>att_organsystem:integumentary</v>
      </c>
      <c r="D792" s="9" t="s">
        <v>17</v>
      </c>
      <c r="E792" s="8" t="s">
        <v>2220</v>
      </c>
      <c r="F792" s="8" t="s">
        <v>2221</v>
      </c>
    </row>
    <row r="793" spans="1:6" x14ac:dyDescent="0.15">
      <c r="A793" s="8" t="s">
        <v>2222</v>
      </c>
      <c r="B793" s="8" t="s">
        <v>2207</v>
      </c>
      <c r="C793" s="8" t="str">
        <f t="shared" si="32"/>
        <v>att_organsystem:lymphatic</v>
      </c>
      <c r="D793" s="9" t="s">
        <v>17</v>
      </c>
      <c r="E793" s="8" t="s">
        <v>2223</v>
      </c>
      <c r="F793" s="8" t="s">
        <v>2224</v>
      </c>
    </row>
    <row r="794" spans="1:6" x14ac:dyDescent="0.15">
      <c r="A794" s="8" t="s">
        <v>2225</v>
      </c>
      <c r="B794" s="8" t="s">
        <v>2207</v>
      </c>
      <c r="C794" s="8" t="str">
        <f t="shared" si="32"/>
        <v>att_organsystem:muscular</v>
      </c>
      <c r="D794" s="9" t="s">
        <v>17</v>
      </c>
      <c r="E794" s="8" t="s">
        <v>2226</v>
      </c>
      <c r="F794" s="8" t="s">
        <v>2227</v>
      </c>
    </row>
    <row r="795" spans="1:6" x14ac:dyDescent="0.15">
      <c r="A795" s="8" t="s">
        <v>2228</v>
      </c>
      <c r="B795" s="8" t="s">
        <v>2207</v>
      </c>
      <c r="C795" s="8" t="str">
        <f t="shared" si="32"/>
        <v>att_organsystem:nervous_system</v>
      </c>
      <c r="D795" s="9" t="s">
        <v>17</v>
      </c>
      <c r="E795" s="8" t="s">
        <v>2229</v>
      </c>
      <c r="F795" s="8" t="s">
        <v>2230</v>
      </c>
    </row>
    <row r="796" spans="1:6" x14ac:dyDescent="0.15">
      <c r="A796" s="8" t="s">
        <v>2231</v>
      </c>
      <c r="B796" s="8" t="s">
        <v>2207</v>
      </c>
      <c r="C796" s="8" t="str">
        <f t="shared" si="32"/>
        <v>att_organsystem:reproductive</v>
      </c>
      <c r="D796" s="9" t="s">
        <v>17</v>
      </c>
      <c r="E796" s="8" t="s">
        <v>2232</v>
      </c>
      <c r="F796" s="8" t="s">
        <v>2233</v>
      </c>
    </row>
    <row r="797" spans="1:6" x14ac:dyDescent="0.15">
      <c r="A797" s="8" t="s">
        <v>2234</v>
      </c>
      <c r="B797" s="8" t="s">
        <v>2207</v>
      </c>
      <c r="C797" s="8" t="str">
        <f t="shared" si="32"/>
        <v>att_organsystem:respiratory</v>
      </c>
      <c r="D797" s="9" t="s">
        <v>17</v>
      </c>
      <c r="E797" s="8" t="s">
        <v>2235</v>
      </c>
      <c r="F797" s="8" t="s">
        <v>2236</v>
      </c>
    </row>
    <row r="798" spans="1:6" x14ac:dyDescent="0.15">
      <c r="A798" s="8" t="s">
        <v>2237</v>
      </c>
      <c r="B798" s="8" t="s">
        <v>2207</v>
      </c>
      <c r="C798" s="8" t="str">
        <f t="shared" si="32"/>
        <v>att_organsystem:skeletal</v>
      </c>
      <c r="D798" s="9" t="s">
        <v>17</v>
      </c>
      <c r="E798" s="8" t="s">
        <v>2238</v>
      </c>
      <c r="F798" s="8" t="s">
        <v>2239</v>
      </c>
    </row>
    <row r="799" spans="1:6" x14ac:dyDescent="0.15">
      <c r="A799" s="8" t="s">
        <v>2240</v>
      </c>
      <c r="B799" s="8" t="s">
        <v>2207</v>
      </c>
      <c r="C799" s="8" t="str">
        <f t="shared" si="32"/>
        <v>att_organsystem:urinary</v>
      </c>
      <c r="D799" s="9" t="s">
        <v>17</v>
      </c>
      <c r="E799" s="8" t="s">
        <v>2241</v>
      </c>
      <c r="F799" s="8" t="s">
        <v>2242</v>
      </c>
    </row>
    <row r="800" spans="1:6" x14ac:dyDescent="0.15">
      <c r="A800" s="8" t="s">
        <v>2243</v>
      </c>
      <c r="B800" s="8" t="s">
        <v>194</v>
      </c>
      <c r="C800" s="8" t="str">
        <f t="shared" si="32"/>
        <v>att_phystraining:intervalcardio</v>
      </c>
      <c r="D800" s="9" t="s">
        <v>17</v>
      </c>
      <c r="E800" s="8" t="s">
        <v>2244</v>
      </c>
      <c r="F800" s="8" t="s">
        <v>2245</v>
      </c>
    </row>
    <row r="801" spans="1:6" x14ac:dyDescent="0.15">
      <c r="A801" s="8" t="s">
        <v>2246</v>
      </c>
      <c r="B801" s="8" t="s">
        <v>194</v>
      </c>
      <c r="C801" s="8" t="str">
        <f t="shared" si="32"/>
        <v>att_phystraining:steadycardio</v>
      </c>
      <c r="D801" s="9" t="s">
        <v>17</v>
      </c>
      <c r="E801" s="8" t="s">
        <v>2823</v>
      </c>
      <c r="F801" s="8" t="s">
        <v>2247</v>
      </c>
    </row>
    <row r="802" spans="1:6" x14ac:dyDescent="0.15">
      <c r="A802" s="8" t="s">
        <v>2248</v>
      </c>
      <c r="B802" s="8" t="s">
        <v>194</v>
      </c>
      <c r="C802" s="8" t="str">
        <f t="shared" si="32"/>
        <v>att_phystraining:strength</v>
      </c>
      <c r="D802" s="9" t="s">
        <v>17</v>
      </c>
      <c r="E802" s="8" t="s">
        <v>2249</v>
      </c>
      <c r="F802" s="8" t="s">
        <v>2250</v>
      </c>
    </row>
    <row r="803" spans="1:6" x14ac:dyDescent="0.15">
      <c r="A803" s="8" t="s">
        <v>2824</v>
      </c>
      <c r="B803" s="8" t="s">
        <v>194</v>
      </c>
      <c r="C803" s="8" t="str">
        <f t="shared" si="32"/>
        <v>att_phystraining:hiit</v>
      </c>
      <c r="D803" s="9" t="s">
        <v>17</v>
      </c>
      <c r="E803" s="8" t="s">
        <v>2825</v>
      </c>
      <c r="F803" s="8" t="s">
        <v>2826</v>
      </c>
    </row>
    <row r="804" spans="1:6" x14ac:dyDescent="0.15">
      <c r="A804" s="8" t="s">
        <v>2251</v>
      </c>
      <c r="B804" s="8" t="s">
        <v>199</v>
      </c>
      <c r="C804" s="8" t="str">
        <f t="shared" si="32"/>
        <v>att_protease:argc</v>
      </c>
      <c r="D804" s="9" t="s">
        <v>17</v>
      </c>
      <c r="E804" s="8" t="s">
        <v>2252</v>
      </c>
      <c r="F804" s="8" t="s">
        <v>2253</v>
      </c>
    </row>
    <row r="805" spans="1:6" x14ac:dyDescent="0.15">
      <c r="A805" s="8" t="s">
        <v>2254</v>
      </c>
      <c r="B805" s="8" t="s">
        <v>199</v>
      </c>
      <c r="C805" s="8" t="str">
        <f t="shared" si="32"/>
        <v>att_protease:aspn</v>
      </c>
      <c r="D805" s="9" t="s">
        <v>17</v>
      </c>
      <c r="E805" s="8" t="s">
        <v>2255</v>
      </c>
      <c r="F805" s="8" t="s">
        <v>2256</v>
      </c>
    </row>
    <row r="806" spans="1:6" x14ac:dyDescent="0.15">
      <c r="A806" s="8" t="s">
        <v>2257</v>
      </c>
      <c r="B806" s="8" t="s">
        <v>199</v>
      </c>
      <c r="C806" s="8" t="str">
        <f t="shared" si="32"/>
        <v>att_protease:chymotrypsin</v>
      </c>
      <c r="D806" s="9" t="s">
        <v>17</v>
      </c>
      <c r="E806" s="8" t="s">
        <v>2258</v>
      </c>
      <c r="F806" s="8" t="s">
        <v>2259</v>
      </c>
    </row>
    <row r="807" spans="1:6" x14ac:dyDescent="0.15">
      <c r="A807" s="8" t="s">
        <v>2260</v>
      </c>
      <c r="B807" s="8" t="s">
        <v>199</v>
      </c>
      <c r="C807" s="8" t="str">
        <f t="shared" si="32"/>
        <v>att_protease:elastase</v>
      </c>
      <c r="D807" s="9" t="s">
        <v>17</v>
      </c>
      <c r="E807" s="8" t="s">
        <v>2261</v>
      </c>
      <c r="F807" s="8" t="s">
        <v>2262</v>
      </c>
    </row>
    <row r="808" spans="1:6" x14ac:dyDescent="0.15">
      <c r="A808" s="8" t="s">
        <v>2263</v>
      </c>
      <c r="B808" s="8" t="s">
        <v>199</v>
      </c>
      <c r="C808" s="8" t="str">
        <f t="shared" si="32"/>
        <v>att_protease:gluc</v>
      </c>
      <c r="D808" s="9" t="s">
        <v>17</v>
      </c>
      <c r="E808" s="8" t="s">
        <v>2264</v>
      </c>
      <c r="F808" s="8" t="s">
        <v>2265</v>
      </c>
    </row>
    <row r="809" spans="1:6" x14ac:dyDescent="0.15">
      <c r="A809" s="8" t="s">
        <v>2266</v>
      </c>
      <c r="B809" s="8" t="s">
        <v>199</v>
      </c>
      <c r="C809" s="8" t="str">
        <f t="shared" si="32"/>
        <v>att_protease:lysc</v>
      </c>
      <c r="D809" s="9" t="s">
        <v>17</v>
      </c>
      <c r="E809" s="8" t="s">
        <v>2267</v>
      </c>
      <c r="F809" s="8" t="s">
        <v>2268</v>
      </c>
    </row>
    <row r="810" spans="1:6" x14ac:dyDescent="0.15">
      <c r="A810" s="8" t="s">
        <v>2269</v>
      </c>
      <c r="B810" s="8" t="s">
        <v>199</v>
      </c>
      <c r="C810" s="8" t="str">
        <f t="shared" si="32"/>
        <v>att_protease:raspn</v>
      </c>
      <c r="D810" s="9" t="s">
        <v>17</v>
      </c>
      <c r="E810" s="8" t="s">
        <v>2270</v>
      </c>
      <c r="F810" s="8" t="s">
        <v>2271</v>
      </c>
    </row>
    <row r="811" spans="1:6" x14ac:dyDescent="0.15">
      <c r="A811" s="8" t="s">
        <v>2272</v>
      </c>
      <c r="B811" s="8" t="s">
        <v>199</v>
      </c>
      <c r="C811" s="8" t="str">
        <f t="shared" si="32"/>
        <v>att_protease:trypsin</v>
      </c>
      <c r="D811" s="9" t="s">
        <v>17</v>
      </c>
      <c r="E811" s="8" t="s">
        <v>2273</v>
      </c>
      <c r="F811" s="8" t="s">
        <v>2274</v>
      </c>
    </row>
    <row r="812" spans="1:6" x14ac:dyDescent="0.15">
      <c r="A812" s="8" t="s">
        <v>2827</v>
      </c>
      <c r="B812" s="8" t="s">
        <v>202</v>
      </c>
      <c r="C812" s="8" t="str">
        <f t="shared" si="32"/>
        <v>att_protein_mutation:apex</v>
      </c>
      <c r="D812" s="9" t="s">
        <v>17</v>
      </c>
      <c r="E812" s="8" t="s">
        <v>2828</v>
      </c>
      <c r="F812" s="8" t="s">
        <v>2829</v>
      </c>
    </row>
    <row r="813" spans="1:6" x14ac:dyDescent="0.15">
      <c r="A813" s="8" t="s">
        <v>2830</v>
      </c>
      <c r="B813" s="8" t="s">
        <v>202</v>
      </c>
      <c r="C813" s="8" t="str">
        <f t="shared" si="32"/>
        <v>att_protein_mutation:bioid</v>
      </c>
      <c r="D813" s="9" t="s">
        <v>17</v>
      </c>
      <c r="E813" s="8" t="s">
        <v>2831</v>
      </c>
      <c r="F813" s="8" t="s">
        <v>2832</v>
      </c>
    </row>
    <row r="814" spans="1:6" x14ac:dyDescent="0.15">
      <c r="A814" s="8" t="s">
        <v>2833</v>
      </c>
      <c r="B814" s="8" t="s">
        <v>202</v>
      </c>
      <c r="C814" s="8" t="str">
        <f t="shared" si="32"/>
        <v>att_protein_mutation:turboid</v>
      </c>
      <c r="D814" s="9" t="s">
        <v>17</v>
      </c>
      <c r="E814" s="8" t="s">
        <v>2834</v>
      </c>
      <c r="F814" s="8" t="s">
        <v>2835</v>
      </c>
    </row>
    <row r="815" spans="1:6" x14ac:dyDescent="0.15">
      <c r="A815" s="8" t="s">
        <v>1264</v>
      </c>
      <c r="B815" s="8" t="s">
        <v>202</v>
      </c>
      <c r="C815" s="8" t="str">
        <f t="shared" si="32"/>
        <v>att_protein_mutation:deletion</v>
      </c>
      <c r="D815" s="9" t="s">
        <v>17</v>
      </c>
      <c r="E815" s="8" t="s">
        <v>2275</v>
      </c>
      <c r="F815" s="8" t="s">
        <v>2276</v>
      </c>
    </row>
    <row r="816" spans="1:6" x14ac:dyDescent="0.15">
      <c r="A816" s="8" t="s">
        <v>2277</v>
      </c>
      <c r="B816" s="8" t="s">
        <v>202</v>
      </c>
      <c r="C816" s="8" t="str">
        <f t="shared" si="32"/>
        <v>att_protein_mutation:flag</v>
      </c>
      <c r="D816" s="9" t="s">
        <v>17</v>
      </c>
      <c r="E816" s="8" t="s">
        <v>2278</v>
      </c>
      <c r="F816" s="8" t="s">
        <v>2279</v>
      </c>
    </row>
    <row r="817" spans="1:1022" x14ac:dyDescent="0.15">
      <c r="A817" s="8" t="s">
        <v>2280</v>
      </c>
      <c r="B817" s="8" t="s">
        <v>202</v>
      </c>
      <c r="C817" s="8" t="str">
        <f t="shared" si="32"/>
        <v>att_protein_mutation:frameshift</v>
      </c>
      <c r="D817" s="9" t="s">
        <v>17</v>
      </c>
      <c r="E817" s="8" t="s">
        <v>2281</v>
      </c>
      <c r="F817" s="8" t="s">
        <v>2282</v>
      </c>
    </row>
    <row r="818" spans="1:1022" x14ac:dyDescent="0.15">
      <c r="A818" s="8" t="s">
        <v>2283</v>
      </c>
      <c r="B818" s="8" t="s">
        <v>202</v>
      </c>
      <c r="C818" s="8" t="str">
        <f t="shared" si="32"/>
        <v>att_protein_mutation:gfp</v>
      </c>
      <c r="D818" s="9" t="s">
        <v>17</v>
      </c>
      <c r="E818" s="8" t="s">
        <v>2284</v>
      </c>
      <c r="F818" s="8" t="s">
        <v>2285</v>
      </c>
    </row>
    <row r="819" spans="1:1022" x14ac:dyDescent="0.15">
      <c r="A819" s="8" t="s">
        <v>2286</v>
      </c>
      <c r="B819" s="8" t="s">
        <v>202</v>
      </c>
      <c r="C819" s="8" t="str">
        <f t="shared" ref="C819:C824" si="33">B819&amp;":"&amp;A819</f>
        <v>att_protein_mutation:ha</v>
      </c>
      <c r="D819" s="9" t="s">
        <v>17</v>
      </c>
      <c r="E819" s="8" t="s">
        <v>2287</v>
      </c>
      <c r="F819" s="8" t="s">
        <v>2288</v>
      </c>
    </row>
    <row r="820" spans="1:1022" x14ac:dyDescent="0.15">
      <c r="A820" s="8" t="s">
        <v>2289</v>
      </c>
      <c r="B820" s="8" t="s">
        <v>202</v>
      </c>
      <c r="C820" s="8" t="str">
        <f t="shared" si="33"/>
        <v>att_protein_mutation:his</v>
      </c>
      <c r="D820" s="9" t="s">
        <v>17</v>
      </c>
      <c r="E820" s="8" t="s">
        <v>2290</v>
      </c>
      <c r="F820" s="8" t="s">
        <v>2291</v>
      </c>
    </row>
    <row r="821" spans="1:1022" x14ac:dyDescent="0.15">
      <c r="A821" s="8" t="s">
        <v>2292</v>
      </c>
      <c r="B821" s="8" t="s">
        <v>202</v>
      </c>
      <c r="C821" s="8" t="str">
        <f t="shared" si="33"/>
        <v>att_protein_mutation:insertion</v>
      </c>
      <c r="D821" s="9" t="s">
        <v>17</v>
      </c>
      <c r="E821" s="8" t="s">
        <v>2293</v>
      </c>
      <c r="F821" s="8" t="s">
        <v>2294</v>
      </c>
    </row>
    <row r="822" spans="1:1022" x14ac:dyDescent="0.15">
      <c r="A822" s="8" t="s">
        <v>2295</v>
      </c>
      <c r="B822" s="8" t="s">
        <v>202</v>
      </c>
      <c r="C822" s="8" t="str">
        <f t="shared" si="33"/>
        <v>att_protein_mutation:myc</v>
      </c>
      <c r="D822" s="9" t="s">
        <v>17</v>
      </c>
      <c r="E822" s="8" t="s">
        <v>2296</v>
      </c>
      <c r="F822" s="8" t="s">
        <v>2297</v>
      </c>
    </row>
    <row r="823" spans="1:1022" x14ac:dyDescent="0.15">
      <c r="A823" s="8" t="s">
        <v>2298</v>
      </c>
      <c r="B823" s="8" t="s">
        <v>202</v>
      </c>
      <c r="C823" s="8" t="str">
        <f t="shared" si="33"/>
        <v>att_protein_mutation:pep86</v>
      </c>
      <c r="D823" s="9" t="s">
        <v>17</v>
      </c>
      <c r="E823" s="8" t="s">
        <v>2799</v>
      </c>
      <c r="F823" s="8" t="s">
        <v>2299</v>
      </c>
    </row>
    <row r="824" spans="1:1022" x14ac:dyDescent="0.15">
      <c r="A824" s="8" t="s">
        <v>2300</v>
      </c>
      <c r="B824" s="8" t="s">
        <v>202</v>
      </c>
      <c r="C824" s="8" t="str">
        <f t="shared" si="33"/>
        <v>att_protein_mutation:substitution</v>
      </c>
      <c r="D824" s="9" t="s">
        <v>17</v>
      </c>
      <c r="E824" s="8" t="s">
        <v>2301</v>
      </c>
      <c r="F824" s="8" t="s">
        <v>2302</v>
      </c>
    </row>
    <row r="825" spans="1:1022" x14ac:dyDescent="0.15">
      <c r="A825" s="8" t="s">
        <v>2303</v>
      </c>
      <c r="B825" s="8" t="s">
        <v>202</v>
      </c>
      <c r="C825" s="8" t="str">
        <f t="shared" ref="C825" si="34">B825&amp;":"&amp;A825</f>
        <v>att_protein_mutation:truncation</v>
      </c>
      <c r="D825" s="9" t="s">
        <v>17</v>
      </c>
      <c r="E825" s="8" t="s">
        <v>2304</v>
      </c>
      <c r="F825" s="8" t="s">
        <v>2305</v>
      </c>
    </row>
    <row r="826" spans="1:1022" x14ac:dyDescent="0.15">
      <c r="A826" s="8" t="s">
        <v>336</v>
      </c>
      <c r="B826" s="8" t="s">
        <v>202</v>
      </c>
      <c r="C826" s="8" t="str">
        <f t="shared" ref="C826:C855" si="35">B826&amp;":"&amp;A826</f>
        <v>att_protein_mutation:none</v>
      </c>
      <c r="D826" s="9" t="s">
        <v>17</v>
      </c>
      <c r="E826" s="8" t="s">
        <v>1862</v>
      </c>
      <c r="F826" s="8" t="s">
        <v>2800</v>
      </c>
    </row>
    <row r="827" spans="1:1022" x14ac:dyDescent="0.15">
      <c r="A827" s="8" t="s">
        <v>2306</v>
      </c>
      <c r="B827" s="8" t="s">
        <v>204</v>
      </c>
      <c r="C827" s="8" t="str">
        <f t="shared" si="35"/>
        <v>att_protein_position:aa</v>
      </c>
      <c r="D827" s="9" t="s">
        <v>17</v>
      </c>
      <c r="E827" s="8" t="s">
        <v>2307</v>
      </c>
      <c r="F827" s="8" t="s">
        <v>2308</v>
      </c>
    </row>
    <row r="828" spans="1:1022" x14ac:dyDescent="0.15">
      <c r="A828" s="8" t="s">
        <v>2309</v>
      </c>
      <c r="B828" s="8" t="s">
        <v>204</v>
      </c>
      <c r="C828" s="8" t="str">
        <f t="shared" si="35"/>
        <v>att_protein_position:cterm</v>
      </c>
      <c r="D828" s="9" t="s">
        <v>17</v>
      </c>
      <c r="E828" s="8" t="s">
        <v>2310</v>
      </c>
      <c r="F828" s="8" t="s">
        <v>2311</v>
      </c>
    </row>
    <row r="829" spans="1:1022" x14ac:dyDescent="0.15">
      <c r="A829" s="8" t="s">
        <v>2312</v>
      </c>
      <c r="B829" s="8" t="s">
        <v>204</v>
      </c>
      <c r="C829" s="8" t="str">
        <f t="shared" si="35"/>
        <v>att_protein_position:nterm</v>
      </c>
      <c r="D829" s="9" t="s">
        <v>17</v>
      </c>
      <c r="E829" s="8" t="s">
        <v>2313</v>
      </c>
      <c r="F829" s="8" t="s">
        <v>2314</v>
      </c>
    </row>
    <row r="830" spans="1:1022" x14ac:dyDescent="0.15">
      <c r="A830" s="8" t="s">
        <v>2315</v>
      </c>
      <c r="B830" s="8" t="s">
        <v>204</v>
      </c>
      <c r="C830" s="8" t="str">
        <f t="shared" si="35"/>
        <v>att_protein_position:region</v>
      </c>
      <c r="D830" s="9" t="s">
        <v>17</v>
      </c>
      <c r="E830" s="8" t="s">
        <v>2316</v>
      </c>
      <c r="F830" s="8" t="s">
        <v>2317</v>
      </c>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c r="CD830"/>
      <c r="CE830"/>
      <c r="CF830"/>
      <c r="CG830"/>
      <c r="CH830"/>
      <c r="CI830"/>
      <c r="CJ830"/>
      <c r="CK830"/>
      <c r="CL830"/>
      <c r="CM830"/>
      <c r="CN830"/>
      <c r="CO830"/>
      <c r="CP830"/>
      <c r="CQ830"/>
      <c r="CR830"/>
      <c r="CS830"/>
      <c r="CT830"/>
      <c r="CU830"/>
      <c r="CV830"/>
      <c r="CW830"/>
      <c r="CX830"/>
      <c r="CY830"/>
      <c r="CZ830"/>
      <c r="DA830"/>
      <c r="DB830"/>
      <c r="DC830"/>
      <c r="DD830"/>
      <c r="DE830"/>
      <c r="DF830"/>
      <c r="DG830"/>
      <c r="DH830"/>
      <c r="DI830"/>
      <c r="DJ830"/>
      <c r="DK830"/>
      <c r="DL830"/>
      <c r="DM830"/>
      <c r="DN830"/>
      <c r="DO830"/>
      <c r="DP830"/>
      <c r="DQ830"/>
      <c r="DR830"/>
      <c r="DS830"/>
      <c r="DT830"/>
      <c r="DU830"/>
      <c r="DV830"/>
      <c r="DW830"/>
      <c r="DX830"/>
      <c r="DY830"/>
      <c r="DZ830"/>
      <c r="EA830"/>
      <c r="EB830"/>
      <c r="EC830"/>
      <c r="ED830"/>
      <c r="EE830"/>
      <c r="EF830"/>
      <c r="EG830"/>
      <c r="EH830"/>
      <c r="EI830"/>
      <c r="EJ830"/>
      <c r="EK830"/>
      <c r="EL830"/>
      <c r="EM830"/>
      <c r="EN830"/>
      <c r="EO830"/>
      <c r="EP830"/>
      <c r="EQ830"/>
      <c r="ER830"/>
      <c r="ES830"/>
      <c r="ET830"/>
      <c r="EU830"/>
      <c r="EV830"/>
      <c r="EW830"/>
      <c r="EX830"/>
      <c r="EY830"/>
      <c r="EZ830"/>
      <c r="FA830"/>
      <c r="FB830"/>
      <c r="FC830"/>
      <c r="FD830"/>
      <c r="FE830"/>
      <c r="FF830"/>
      <c r="FG830"/>
      <c r="FH830"/>
      <c r="FI830"/>
      <c r="FJ830"/>
      <c r="FK830"/>
      <c r="FL830"/>
      <c r="FM830"/>
      <c r="FN830"/>
      <c r="FO830"/>
      <c r="FP830"/>
      <c r="FQ830"/>
      <c r="FR830"/>
      <c r="FS830"/>
      <c r="FT830"/>
      <c r="FU830"/>
      <c r="FV830"/>
      <c r="FW830"/>
      <c r="FX830"/>
      <c r="FY830"/>
      <c r="FZ830"/>
      <c r="GA830"/>
      <c r="GB830"/>
      <c r="GC830"/>
      <c r="GD830"/>
      <c r="GE830"/>
      <c r="GF830"/>
      <c r="GG830"/>
      <c r="GH830"/>
      <c r="GI830"/>
      <c r="GJ830"/>
      <c r="GK830"/>
      <c r="GL830"/>
      <c r="GM830"/>
      <c r="GN830"/>
      <c r="GO830"/>
      <c r="GP830"/>
      <c r="GQ830"/>
      <c r="GR830"/>
      <c r="GS830"/>
      <c r="GT830"/>
      <c r="GU830"/>
      <c r="GV830"/>
      <c r="GW830"/>
      <c r="GX830"/>
      <c r="GY830"/>
      <c r="GZ830"/>
      <c r="HA830"/>
      <c r="HB830"/>
      <c r="HC830"/>
      <c r="HD830"/>
      <c r="HE830"/>
      <c r="HF830"/>
      <c r="HG830"/>
      <c r="HH830"/>
      <c r="HI830"/>
      <c r="HJ830"/>
      <c r="HK830"/>
      <c r="HL830"/>
      <c r="HM830"/>
      <c r="HN830"/>
      <c r="HO830"/>
      <c r="HP830"/>
      <c r="HQ830"/>
      <c r="HR830"/>
      <c r="HS830"/>
      <c r="HT830"/>
      <c r="HU830"/>
      <c r="HV830"/>
      <c r="HW830"/>
      <c r="HX830"/>
      <c r="HY830"/>
      <c r="HZ830"/>
      <c r="IA830"/>
      <c r="IB830"/>
      <c r="IC830"/>
      <c r="ID830"/>
      <c r="IE830"/>
      <c r="IF830"/>
      <c r="IG830"/>
      <c r="IH830"/>
      <c r="II830"/>
      <c r="IJ830"/>
      <c r="IK830"/>
      <c r="IL830"/>
      <c r="IM830"/>
      <c r="IN830"/>
      <c r="IO830"/>
      <c r="IP830"/>
      <c r="IQ830"/>
      <c r="IR830"/>
      <c r="IS830"/>
      <c r="IT830"/>
      <c r="IU830"/>
      <c r="IV830"/>
      <c r="IW830"/>
      <c r="IX830"/>
      <c r="IY830"/>
      <c r="IZ830"/>
      <c r="JA830"/>
      <c r="JB830"/>
      <c r="JC830"/>
      <c r="JD830"/>
      <c r="JE830"/>
      <c r="JF830"/>
      <c r="JG830"/>
      <c r="JH830"/>
      <c r="JI830"/>
      <c r="JJ830"/>
      <c r="JK830"/>
      <c r="JL830"/>
      <c r="JM830"/>
      <c r="JN830"/>
      <c r="JO830"/>
      <c r="JP830"/>
      <c r="JQ830"/>
      <c r="JR830"/>
      <c r="JS830"/>
      <c r="JT830"/>
      <c r="JU830"/>
      <c r="JV830"/>
      <c r="JW830"/>
      <c r="JX830"/>
      <c r="JY830"/>
      <c r="JZ830"/>
      <c r="KA830"/>
      <c r="KB830"/>
      <c r="KC830"/>
      <c r="KD830"/>
      <c r="KE830"/>
      <c r="KF830"/>
      <c r="KG830"/>
      <c r="KH830"/>
      <c r="KI830"/>
      <c r="KJ830"/>
      <c r="KK830"/>
      <c r="KL830"/>
      <c r="KM830"/>
      <c r="KN830"/>
      <c r="KO830"/>
      <c r="KP830"/>
      <c r="KQ830"/>
      <c r="KR830"/>
      <c r="KS830"/>
      <c r="KT830"/>
      <c r="KU830"/>
      <c r="KV830"/>
      <c r="KW830"/>
      <c r="KX830"/>
      <c r="KY830"/>
      <c r="KZ830"/>
      <c r="LA830"/>
      <c r="LB830"/>
      <c r="LC830"/>
      <c r="LD830"/>
      <c r="LE830"/>
      <c r="LF830"/>
      <c r="LG830"/>
      <c r="LH830"/>
      <c r="LI830"/>
      <c r="LJ830"/>
      <c r="LK830"/>
      <c r="LL830"/>
      <c r="LM830"/>
      <c r="LN830"/>
      <c r="LO830"/>
      <c r="LP830"/>
      <c r="LQ830"/>
      <c r="LR830"/>
      <c r="LS830"/>
      <c r="LT830"/>
      <c r="LU830"/>
      <c r="LV830"/>
      <c r="LW830"/>
      <c r="LX830"/>
      <c r="LY830"/>
      <c r="LZ830"/>
      <c r="MA830"/>
      <c r="MB830"/>
      <c r="MC830"/>
      <c r="MD830"/>
      <c r="ME830"/>
      <c r="MF830"/>
      <c r="MG830"/>
      <c r="MH830"/>
      <c r="MI830"/>
      <c r="MJ830"/>
      <c r="MK830"/>
      <c r="ML830"/>
      <c r="MM830"/>
      <c r="MN830"/>
      <c r="MO830"/>
      <c r="MP830"/>
      <c r="MQ830"/>
      <c r="MR830"/>
      <c r="MS830"/>
      <c r="MT830"/>
      <c r="MU830"/>
      <c r="MV830"/>
      <c r="MW830"/>
      <c r="MX830"/>
      <c r="MY830"/>
      <c r="MZ830"/>
      <c r="NA830"/>
      <c r="NB830"/>
      <c r="NC830"/>
      <c r="ND830"/>
      <c r="NE830"/>
      <c r="NF830"/>
      <c r="NG830"/>
      <c r="NH830"/>
      <c r="NI830"/>
      <c r="NJ830"/>
      <c r="NK830"/>
      <c r="NL830"/>
      <c r="NM830"/>
      <c r="NN830"/>
      <c r="NO830"/>
      <c r="NP830"/>
      <c r="NQ830"/>
      <c r="NR830"/>
      <c r="NS830"/>
      <c r="NT830"/>
      <c r="NU830"/>
      <c r="NV830"/>
      <c r="NW830"/>
      <c r="NX830"/>
      <c r="NY830"/>
      <c r="NZ830"/>
      <c r="OA830"/>
      <c r="OB830"/>
      <c r="OC830"/>
      <c r="OD830"/>
      <c r="OE830"/>
      <c r="OF830"/>
      <c r="OG830"/>
      <c r="OH830"/>
      <c r="OI830"/>
      <c r="OJ830"/>
      <c r="OK830"/>
      <c r="OL830"/>
      <c r="OM830"/>
      <c r="ON830"/>
      <c r="OO830"/>
      <c r="OP830"/>
      <c r="OQ830"/>
      <c r="OR830"/>
      <c r="OS830"/>
      <c r="OT830"/>
      <c r="OU830"/>
      <c r="OV830"/>
      <c r="OW830"/>
      <c r="OX830"/>
      <c r="OY830"/>
      <c r="OZ830"/>
      <c r="PA830"/>
      <c r="PB830"/>
      <c r="PC830"/>
      <c r="PD830"/>
      <c r="PE830"/>
      <c r="PF830"/>
      <c r="PG830"/>
      <c r="PH830"/>
      <c r="PI830"/>
      <c r="PJ830"/>
      <c r="PK830"/>
      <c r="PL830"/>
      <c r="PM830"/>
      <c r="PN830"/>
      <c r="PO830"/>
      <c r="PP830"/>
      <c r="PQ830"/>
      <c r="PR830"/>
      <c r="PS830"/>
      <c r="PT830"/>
      <c r="PU830"/>
      <c r="PV830"/>
      <c r="PW830"/>
      <c r="PX830"/>
      <c r="PY830"/>
      <c r="PZ830"/>
      <c r="QA830"/>
      <c r="QB830"/>
      <c r="QC830"/>
      <c r="QD830"/>
      <c r="QE830"/>
      <c r="QF830"/>
      <c r="QG830"/>
      <c r="QH830"/>
      <c r="QI830"/>
      <c r="QJ830"/>
      <c r="QK830"/>
      <c r="QL830"/>
      <c r="QM830"/>
      <c r="QN830"/>
      <c r="QO830"/>
      <c r="QP830"/>
      <c r="QQ830"/>
      <c r="QR830"/>
      <c r="QS830"/>
      <c r="QT830"/>
      <c r="QU830"/>
      <c r="QV830"/>
      <c r="QW830"/>
      <c r="QX830"/>
      <c r="QY830"/>
      <c r="QZ830"/>
      <c r="RA830"/>
      <c r="RB830"/>
      <c r="RC830"/>
      <c r="RD830"/>
      <c r="RE830"/>
      <c r="RF830"/>
      <c r="RG830"/>
      <c r="RH830"/>
      <c r="RI830"/>
      <c r="RJ830"/>
      <c r="RK830"/>
      <c r="RL830"/>
      <c r="RM830"/>
      <c r="RN830"/>
      <c r="RO830"/>
      <c r="RP830"/>
      <c r="RQ830"/>
      <c r="RR830"/>
      <c r="RS830"/>
      <c r="RT830"/>
      <c r="RU830"/>
      <c r="RV830"/>
      <c r="RW830"/>
      <c r="RX830"/>
      <c r="RY830"/>
      <c r="RZ830"/>
      <c r="SA830"/>
      <c r="SB830"/>
      <c r="SC830"/>
      <c r="SD830"/>
      <c r="SE830"/>
      <c r="SF830"/>
      <c r="SG830"/>
      <c r="SH830"/>
      <c r="SI830"/>
      <c r="SJ830"/>
      <c r="SK830"/>
      <c r="SL830"/>
      <c r="SM830"/>
      <c r="SN830"/>
      <c r="SO830"/>
      <c r="SP830"/>
      <c r="SQ830"/>
      <c r="SR830"/>
      <c r="SS830"/>
      <c r="ST830"/>
      <c r="SU830"/>
      <c r="SV830"/>
      <c r="SW830"/>
      <c r="SX830"/>
      <c r="SY830"/>
      <c r="SZ830"/>
      <c r="TA830"/>
      <c r="TB830"/>
      <c r="TC830"/>
      <c r="TD830"/>
      <c r="TE830"/>
      <c r="TF830"/>
      <c r="TG830"/>
      <c r="TH830"/>
      <c r="TI830"/>
      <c r="TJ830"/>
      <c r="TK830"/>
      <c r="TL830"/>
      <c r="TM830"/>
      <c r="TN830"/>
      <c r="TO830"/>
      <c r="TP830"/>
      <c r="TQ830"/>
      <c r="TR830"/>
      <c r="TS830"/>
      <c r="TT830"/>
      <c r="TU830"/>
      <c r="TV830"/>
      <c r="TW830"/>
      <c r="TX830"/>
      <c r="TY830"/>
      <c r="TZ830"/>
      <c r="UA830"/>
      <c r="UB830"/>
      <c r="UC830"/>
      <c r="UD830"/>
      <c r="UE830"/>
      <c r="UF830"/>
      <c r="UG830"/>
      <c r="UH830"/>
      <c r="UI830"/>
      <c r="UJ830"/>
      <c r="UK830"/>
      <c r="UL830"/>
      <c r="UM830"/>
      <c r="UN830"/>
      <c r="UO830"/>
      <c r="UP830"/>
      <c r="UQ830"/>
      <c r="UR830"/>
      <c r="US830"/>
      <c r="UT830"/>
      <c r="UU830"/>
      <c r="UV830"/>
      <c r="UW830"/>
      <c r="UX830"/>
      <c r="UY830"/>
      <c r="UZ830"/>
      <c r="VA830"/>
      <c r="VB830"/>
      <c r="VC830"/>
      <c r="VD830"/>
      <c r="VE830"/>
      <c r="VF830"/>
      <c r="VG830"/>
      <c r="VH830"/>
      <c r="VI830"/>
      <c r="VJ830"/>
      <c r="VK830"/>
      <c r="VL830"/>
      <c r="VM830"/>
      <c r="VN830"/>
      <c r="VO830"/>
      <c r="VP830"/>
      <c r="VQ830"/>
      <c r="VR830"/>
      <c r="VS830"/>
      <c r="VT830"/>
      <c r="VU830"/>
      <c r="VV830"/>
      <c r="VW830"/>
      <c r="VX830"/>
      <c r="VY830"/>
      <c r="VZ830"/>
      <c r="WA830"/>
      <c r="WB830"/>
      <c r="WC830"/>
      <c r="WD830"/>
      <c r="WE830"/>
      <c r="WF830"/>
      <c r="WG830"/>
      <c r="WH830"/>
      <c r="WI830"/>
      <c r="WJ830"/>
      <c r="WK830"/>
      <c r="WL830"/>
      <c r="WM830"/>
      <c r="WN830"/>
      <c r="WO830"/>
      <c r="WP830"/>
      <c r="WQ830"/>
      <c r="WR830"/>
      <c r="WS830"/>
      <c r="WT830"/>
      <c r="WU830"/>
      <c r="WV830"/>
      <c r="WW830"/>
      <c r="WX830"/>
      <c r="WY830"/>
      <c r="WZ830"/>
      <c r="XA830"/>
      <c r="XB830"/>
      <c r="XC830"/>
      <c r="XD830"/>
      <c r="XE830"/>
      <c r="XF830"/>
      <c r="XG830"/>
      <c r="XH830"/>
      <c r="XI830"/>
      <c r="XJ830"/>
      <c r="XK830"/>
      <c r="XL830"/>
      <c r="XM830"/>
      <c r="XN830"/>
      <c r="XO830"/>
      <c r="XP830"/>
      <c r="XQ830"/>
      <c r="XR830"/>
      <c r="XS830"/>
      <c r="XT830"/>
      <c r="XU830"/>
      <c r="XV830"/>
      <c r="XW830"/>
      <c r="XX830"/>
      <c r="XY830"/>
      <c r="XZ830"/>
      <c r="YA830"/>
      <c r="YB830"/>
      <c r="YC830"/>
      <c r="YD830"/>
      <c r="YE830"/>
      <c r="YF830"/>
      <c r="YG830"/>
      <c r="YH830"/>
      <c r="YI830"/>
      <c r="YJ830"/>
      <c r="YK830"/>
      <c r="YL830"/>
      <c r="YM830"/>
      <c r="YN830"/>
      <c r="YO830"/>
      <c r="YP830"/>
      <c r="YQ830"/>
      <c r="YR830"/>
      <c r="YS830"/>
      <c r="YT830"/>
      <c r="YU830"/>
      <c r="YV830"/>
      <c r="YW830"/>
      <c r="YX830"/>
      <c r="YY830"/>
      <c r="YZ830"/>
      <c r="ZA830"/>
      <c r="ZB830"/>
      <c r="ZC830"/>
      <c r="ZD830"/>
      <c r="ZE830"/>
      <c r="ZF830"/>
      <c r="ZG830"/>
      <c r="ZH830"/>
      <c r="ZI830"/>
      <c r="ZJ830"/>
      <c r="ZK830"/>
      <c r="ZL830"/>
      <c r="ZM830"/>
      <c r="ZN830"/>
      <c r="ZO830"/>
      <c r="ZP830"/>
      <c r="ZQ830"/>
      <c r="ZR830"/>
      <c r="ZS830"/>
      <c r="ZT830"/>
      <c r="ZU830"/>
      <c r="ZV830"/>
      <c r="ZW830"/>
      <c r="ZX830"/>
      <c r="ZY830"/>
      <c r="ZZ830"/>
      <c r="AAA830"/>
      <c r="AAB830"/>
      <c r="AAC830"/>
      <c r="AAD830"/>
      <c r="AAE830"/>
      <c r="AAF830"/>
      <c r="AAG830"/>
      <c r="AAH830"/>
      <c r="AAI830"/>
      <c r="AAJ830"/>
      <c r="AAK830"/>
      <c r="AAL830"/>
      <c r="AAM830"/>
      <c r="AAN830"/>
      <c r="AAO830"/>
      <c r="AAP830"/>
      <c r="AAQ830"/>
      <c r="AAR830"/>
      <c r="AAS830"/>
      <c r="AAT830"/>
      <c r="AAU830"/>
      <c r="AAV830"/>
      <c r="AAW830"/>
      <c r="AAX830"/>
      <c r="AAY830"/>
      <c r="AAZ830"/>
      <c r="ABA830"/>
      <c r="ABB830"/>
      <c r="ABC830"/>
      <c r="ABD830"/>
      <c r="ABE830"/>
      <c r="ABF830"/>
      <c r="ABG830"/>
      <c r="ABH830"/>
      <c r="ABI830"/>
      <c r="ABJ830"/>
      <c r="ABK830"/>
      <c r="ABL830"/>
      <c r="ABM830"/>
      <c r="ABN830"/>
      <c r="ABO830"/>
      <c r="ABP830"/>
      <c r="ABQ830"/>
      <c r="ABR830"/>
      <c r="ABS830"/>
      <c r="ABT830"/>
      <c r="ABU830"/>
      <c r="ABV830"/>
      <c r="ABW830"/>
      <c r="ABX830"/>
      <c r="ABY830"/>
      <c r="ABZ830"/>
      <c r="ACA830"/>
      <c r="ACB830"/>
      <c r="ACC830"/>
      <c r="ACD830"/>
      <c r="ACE830"/>
      <c r="ACF830"/>
      <c r="ACG830"/>
      <c r="ACH830"/>
      <c r="ACI830"/>
      <c r="ACJ830"/>
      <c r="ACK830"/>
      <c r="ACL830"/>
      <c r="ACM830"/>
      <c r="ACN830"/>
      <c r="ACO830"/>
      <c r="ACP830"/>
      <c r="ACQ830"/>
      <c r="ACR830"/>
      <c r="ACS830"/>
      <c r="ACT830"/>
      <c r="ACU830"/>
      <c r="ACV830"/>
      <c r="ACW830"/>
      <c r="ACX830"/>
      <c r="ACY830"/>
      <c r="ACZ830"/>
      <c r="ADA830"/>
      <c r="ADB830"/>
      <c r="ADC830"/>
      <c r="ADD830"/>
      <c r="ADE830"/>
      <c r="ADF830"/>
      <c r="ADG830"/>
      <c r="ADH830"/>
      <c r="ADI830"/>
      <c r="ADJ830"/>
      <c r="ADK830"/>
      <c r="ADL830"/>
      <c r="ADM830"/>
      <c r="ADN830"/>
      <c r="ADO830"/>
      <c r="ADP830"/>
      <c r="ADQ830"/>
      <c r="ADR830"/>
      <c r="ADS830"/>
      <c r="ADT830"/>
      <c r="ADU830"/>
      <c r="ADV830"/>
      <c r="ADW830"/>
      <c r="ADX830"/>
      <c r="ADY830"/>
      <c r="ADZ830"/>
      <c r="AEA830"/>
      <c r="AEB830"/>
      <c r="AEC830"/>
      <c r="AED830"/>
      <c r="AEE830"/>
      <c r="AEF830"/>
      <c r="AEG830"/>
      <c r="AEH830"/>
      <c r="AEI830"/>
      <c r="AEJ830"/>
      <c r="AEK830"/>
      <c r="AEL830"/>
      <c r="AEM830"/>
      <c r="AEN830"/>
      <c r="AEO830"/>
      <c r="AEP830"/>
      <c r="AEQ830"/>
      <c r="AER830"/>
      <c r="AES830"/>
      <c r="AET830"/>
      <c r="AEU830"/>
      <c r="AEV830"/>
      <c r="AEW830"/>
      <c r="AEX830"/>
      <c r="AEY830"/>
      <c r="AEZ830"/>
      <c r="AFA830"/>
      <c r="AFB830"/>
      <c r="AFC830"/>
      <c r="AFD830"/>
      <c r="AFE830"/>
      <c r="AFF830"/>
      <c r="AFG830"/>
      <c r="AFH830"/>
      <c r="AFI830"/>
      <c r="AFJ830"/>
      <c r="AFK830"/>
      <c r="AFL830"/>
      <c r="AFM830"/>
      <c r="AFN830"/>
      <c r="AFO830"/>
      <c r="AFP830"/>
      <c r="AFQ830"/>
      <c r="AFR830"/>
      <c r="AFS830"/>
      <c r="AFT830"/>
      <c r="AFU830"/>
      <c r="AFV830"/>
      <c r="AFW830"/>
      <c r="AFX830"/>
      <c r="AFY830"/>
      <c r="AFZ830"/>
      <c r="AGA830"/>
      <c r="AGB830"/>
      <c r="AGC830"/>
      <c r="AGD830"/>
      <c r="AGE830"/>
      <c r="AGF830"/>
      <c r="AGG830"/>
      <c r="AGH830"/>
      <c r="AGI830"/>
      <c r="AGJ830"/>
      <c r="AGK830"/>
      <c r="AGL830"/>
      <c r="AGM830"/>
      <c r="AGN830"/>
      <c r="AGO830"/>
      <c r="AGP830"/>
      <c r="AGQ830"/>
      <c r="AGR830"/>
      <c r="AGS830"/>
      <c r="AGT830"/>
      <c r="AGU830"/>
      <c r="AGV830"/>
      <c r="AGW830"/>
      <c r="AGX830"/>
      <c r="AGY830"/>
      <c r="AGZ830"/>
      <c r="AHA830"/>
      <c r="AHB830"/>
      <c r="AHC830"/>
      <c r="AHD830"/>
      <c r="AHE830"/>
      <c r="AHF830"/>
      <c r="AHG830"/>
      <c r="AHH830"/>
      <c r="AHI830"/>
      <c r="AHJ830"/>
      <c r="AHK830"/>
      <c r="AHL830"/>
      <c r="AHM830"/>
      <c r="AHN830"/>
      <c r="AHO830"/>
      <c r="AHP830"/>
      <c r="AHQ830"/>
      <c r="AHR830"/>
      <c r="AHS830"/>
      <c r="AHT830"/>
      <c r="AHU830"/>
      <c r="AHV830"/>
      <c r="AHW830"/>
      <c r="AHX830"/>
      <c r="AHY830"/>
      <c r="AHZ830"/>
      <c r="AIA830"/>
      <c r="AIB830"/>
      <c r="AIC830"/>
      <c r="AID830"/>
      <c r="AIE830"/>
      <c r="AIF830"/>
      <c r="AIG830"/>
      <c r="AIH830"/>
      <c r="AII830"/>
      <c r="AIJ830"/>
      <c r="AIK830"/>
      <c r="AIL830"/>
      <c r="AIM830"/>
      <c r="AIN830"/>
      <c r="AIO830"/>
      <c r="AIP830"/>
      <c r="AIQ830"/>
      <c r="AIR830"/>
      <c r="AIS830"/>
      <c r="AIT830"/>
      <c r="AIU830"/>
      <c r="AIV830"/>
      <c r="AIW830"/>
      <c r="AIX830"/>
      <c r="AIY830"/>
      <c r="AIZ830"/>
      <c r="AJA830"/>
      <c r="AJB830"/>
      <c r="AJC830"/>
      <c r="AJD830"/>
      <c r="AJE830"/>
      <c r="AJF830"/>
      <c r="AJG830"/>
      <c r="AJH830"/>
      <c r="AJI830"/>
      <c r="AJJ830"/>
      <c r="AJK830"/>
      <c r="AJL830"/>
      <c r="AJM830"/>
      <c r="AJN830"/>
      <c r="AJO830"/>
      <c r="AJP830"/>
      <c r="AJQ830"/>
      <c r="AJR830"/>
      <c r="AJS830"/>
      <c r="AJT830"/>
      <c r="AJU830"/>
      <c r="AJV830"/>
      <c r="AJW830"/>
      <c r="AJX830"/>
      <c r="AJY830"/>
      <c r="AJZ830"/>
      <c r="AKA830"/>
      <c r="AKB830"/>
      <c r="AKC830"/>
      <c r="AKD830"/>
      <c r="AKE830"/>
      <c r="AKF830"/>
      <c r="AKG830"/>
      <c r="AKH830"/>
      <c r="AKI830"/>
      <c r="AKJ830"/>
      <c r="AKK830"/>
      <c r="AKL830"/>
      <c r="AKM830"/>
      <c r="AKN830"/>
      <c r="AKO830"/>
      <c r="AKP830"/>
      <c r="AKQ830"/>
      <c r="AKR830"/>
      <c r="AKS830"/>
      <c r="AKT830"/>
      <c r="AKU830"/>
      <c r="AKV830"/>
      <c r="AKW830"/>
      <c r="AKX830"/>
      <c r="AKY830"/>
      <c r="AKZ830"/>
      <c r="ALA830"/>
      <c r="ALB830"/>
      <c r="ALC830"/>
      <c r="ALD830"/>
      <c r="ALE830"/>
      <c r="ALF830"/>
      <c r="ALG830"/>
      <c r="ALH830"/>
      <c r="ALI830"/>
      <c r="ALJ830"/>
      <c r="ALK830"/>
      <c r="ALL830"/>
      <c r="ALM830"/>
      <c r="ALN830"/>
      <c r="ALO830"/>
      <c r="ALP830"/>
      <c r="ALQ830"/>
      <c r="ALR830"/>
      <c r="ALS830"/>
      <c r="ALT830"/>
      <c r="ALU830"/>
      <c r="ALV830"/>
      <c r="ALW830"/>
      <c r="ALX830"/>
      <c r="ALY830"/>
      <c r="ALZ830"/>
      <c r="AMA830"/>
      <c r="AMB830"/>
      <c r="AMC830"/>
      <c r="AMD830"/>
      <c r="AME830"/>
      <c r="AMF830"/>
      <c r="AMG830"/>
      <c r="AMH830"/>
    </row>
    <row r="831" spans="1:1022" x14ac:dyDescent="0.15">
      <c r="A831" s="8" t="s">
        <v>2957</v>
      </c>
      <c r="B831" s="8" t="s">
        <v>2955</v>
      </c>
      <c r="C831" s="8" t="str">
        <f t="shared" si="35"/>
        <v>att_ptm_enrichment:antibody</v>
      </c>
      <c r="D831" s="9" t="s">
        <v>17</v>
      </c>
      <c r="E831" s="8" t="s">
        <v>2958</v>
      </c>
      <c r="F831" s="8" t="s">
        <v>2959</v>
      </c>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c r="CD831"/>
      <c r="CE831"/>
      <c r="CF831"/>
      <c r="CG831"/>
      <c r="CH831"/>
      <c r="CI831"/>
      <c r="CJ831"/>
      <c r="CK831"/>
      <c r="CL831"/>
      <c r="CM831"/>
      <c r="CN831"/>
      <c r="CO831"/>
      <c r="CP831"/>
      <c r="CQ831"/>
      <c r="CR831"/>
      <c r="CS831"/>
      <c r="CT831"/>
      <c r="CU831"/>
      <c r="CV831"/>
      <c r="CW831"/>
      <c r="CX831"/>
      <c r="CY831"/>
      <c r="CZ831"/>
      <c r="DA831"/>
      <c r="DB831"/>
      <c r="DC831"/>
      <c r="DD831"/>
      <c r="DE831"/>
      <c r="DF831"/>
      <c r="DG831"/>
      <c r="DH831"/>
      <c r="DI831"/>
      <c r="DJ831"/>
      <c r="DK831"/>
      <c r="DL831"/>
      <c r="DM831"/>
      <c r="DN831"/>
      <c r="DO831"/>
      <c r="DP831"/>
      <c r="DQ831"/>
      <c r="DR831"/>
      <c r="DS831"/>
      <c r="DT831"/>
      <c r="DU831"/>
      <c r="DV831"/>
      <c r="DW831"/>
      <c r="DX831"/>
      <c r="DY831"/>
      <c r="DZ831"/>
      <c r="EA831"/>
      <c r="EB831"/>
      <c r="EC831"/>
      <c r="ED831"/>
      <c r="EE831"/>
      <c r="EF831"/>
      <c r="EG831"/>
      <c r="EH831"/>
      <c r="EI831"/>
      <c r="EJ831"/>
      <c r="EK831"/>
      <c r="EL831"/>
      <c r="EM831"/>
      <c r="EN831"/>
      <c r="EO831"/>
      <c r="EP831"/>
      <c r="EQ831"/>
      <c r="ER831"/>
      <c r="ES831"/>
      <c r="ET831"/>
      <c r="EU831"/>
      <c r="EV831"/>
      <c r="EW831"/>
      <c r="EX831"/>
      <c r="EY831"/>
      <c r="EZ831"/>
      <c r="FA831"/>
      <c r="FB831"/>
      <c r="FC831"/>
      <c r="FD831"/>
      <c r="FE831"/>
      <c r="FF831"/>
      <c r="FG831"/>
      <c r="FH831"/>
      <c r="FI831"/>
      <c r="FJ831"/>
      <c r="FK831"/>
      <c r="FL831"/>
      <c r="FM831"/>
      <c r="FN831"/>
      <c r="FO831"/>
      <c r="FP831"/>
      <c r="FQ831"/>
      <c r="FR831"/>
      <c r="FS831"/>
      <c r="FT831"/>
      <c r="FU831"/>
      <c r="FV831"/>
      <c r="FW831"/>
      <c r="FX831"/>
      <c r="FY831"/>
      <c r="FZ831"/>
      <c r="GA831"/>
      <c r="GB831"/>
      <c r="GC831"/>
      <c r="GD831"/>
      <c r="GE831"/>
      <c r="GF831"/>
      <c r="GG831"/>
      <c r="GH831"/>
      <c r="GI831"/>
      <c r="GJ831"/>
      <c r="GK831"/>
      <c r="GL831"/>
      <c r="GM831"/>
      <c r="GN831"/>
      <c r="GO831"/>
      <c r="GP831"/>
      <c r="GQ831"/>
      <c r="GR831"/>
      <c r="GS831"/>
      <c r="GT831"/>
      <c r="GU831"/>
      <c r="GV831"/>
      <c r="GW831"/>
      <c r="GX831"/>
      <c r="GY831"/>
      <c r="GZ831"/>
      <c r="HA831"/>
      <c r="HB831"/>
      <c r="HC831"/>
      <c r="HD831"/>
      <c r="HE831"/>
      <c r="HF831"/>
      <c r="HG831"/>
      <c r="HH831"/>
      <c r="HI831"/>
      <c r="HJ831"/>
      <c r="HK831"/>
      <c r="HL831"/>
      <c r="HM831"/>
      <c r="HN831"/>
      <c r="HO831"/>
      <c r="HP831"/>
      <c r="HQ831"/>
      <c r="HR831"/>
      <c r="HS831"/>
      <c r="HT831"/>
      <c r="HU831"/>
      <c r="HV831"/>
      <c r="HW831"/>
      <c r="HX831"/>
      <c r="HY831"/>
      <c r="HZ831"/>
      <c r="IA831"/>
      <c r="IB831"/>
      <c r="IC831"/>
      <c r="ID831"/>
      <c r="IE831"/>
      <c r="IF831"/>
      <c r="IG831"/>
      <c r="IH831"/>
      <c r="II831"/>
      <c r="IJ831"/>
      <c r="IK831"/>
      <c r="IL831"/>
      <c r="IM831"/>
      <c r="IN831"/>
      <c r="IO831"/>
      <c r="IP831"/>
      <c r="IQ831"/>
      <c r="IR831"/>
      <c r="IS831"/>
      <c r="IT831"/>
      <c r="IU831"/>
      <c r="IV831"/>
      <c r="IW831"/>
      <c r="IX831"/>
      <c r="IY831"/>
      <c r="IZ831"/>
      <c r="JA831"/>
      <c r="JB831"/>
      <c r="JC831"/>
      <c r="JD831"/>
      <c r="JE831"/>
      <c r="JF831"/>
      <c r="JG831"/>
      <c r="JH831"/>
      <c r="JI831"/>
      <c r="JJ831"/>
      <c r="JK831"/>
      <c r="JL831"/>
      <c r="JM831"/>
      <c r="JN831"/>
      <c r="JO831"/>
      <c r="JP831"/>
      <c r="JQ831"/>
      <c r="JR831"/>
      <c r="JS831"/>
      <c r="JT831"/>
      <c r="JU831"/>
      <c r="JV831"/>
      <c r="JW831"/>
      <c r="JX831"/>
      <c r="JY831"/>
      <c r="JZ831"/>
      <c r="KA831"/>
      <c r="KB831"/>
      <c r="KC831"/>
      <c r="KD831"/>
      <c r="KE831"/>
      <c r="KF831"/>
      <c r="KG831"/>
      <c r="KH831"/>
      <c r="KI831"/>
      <c r="KJ831"/>
      <c r="KK831"/>
      <c r="KL831"/>
      <c r="KM831"/>
      <c r="KN831"/>
      <c r="KO831"/>
      <c r="KP831"/>
      <c r="KQ831"/>
      <c r="KR831"/>
      <c r="KS831"/>
      <c r="KT831"/>
      <c r="KU831"/>
      <c r="KV831"/>
      <c r="KW831"/>
      <c r="KX831"/>
      <c r="KY831"/>
      <c r="KZ831"/>
      <c r="LA831"/>
      <c r="LB831"/>
      <c r="LC831"/>
      <c r="LD831"/>
      <c r="LE831"/>
      <c r="LF831"/>
      <c r="LG831"/>
      <c r="LH831"/>
      <c r="LI831"/>
      <c r="LJ831"/>
      <c r="LK831"/>
      <c r="LL831"/>
      <c r="LM831"/>
      <c r="LN831"/>
      <c r="LO831"/>
      <c r="LP831"/>
      <c r="LQ831"/>
      <c r="LR831"/>
      <c r="LS831"/>
      <c r="LT831"/>
      <c r="LU831"/>
      <c r="LV831"/>
      <c r="LW831"/>
      <c r="LX831"/>
      <c r="LY831"/>
      <c r="LZ831"/>
      <c r="MA831"/>
      <c r="MB831"/>
      <c r="MC831"/>
      <c r="MD831"/>
      <c r="ME831"/>
      <c r="MF831"/>
      <c r="MG831"/>
      <c r="MH831"/>
      <c r="MI831"/>
      <c r="MJ831"/>
      <c r="MK831"/>
      <c r="ML831"/>
      <c r="MM831"/>
      <c r="MN831"/>
      <c r="MO831"/>
      <c r="MP831"/>
      <c r="MQ831"/>
      <c r="MR831"/>
      <c r="MS831"/>
      <c r="MT831"/>
      <c r="MU831"/>
      <c r="MV831"/>
      <c r="MW831"/>
      <c r="MX831"/>
      <c r="MY831"/>
      <c r="MZ831"/>
      <c r="NA831"/>
      <c r="NB831"/>
      <c r="NC831"/>
      <c r="ND831"/>
      <c r="NE831"/>
      <c r="NF831"/>
      <c r="NG831"/>
      <c r="NH831"/>
      <c r="NI831"/>
      <c r="NJ831"/>
      <c r="NK831"/>
      <c r="NL831"/>
      <c r="NM831"/>
      <c r="NN831"/>
      <c r="NO831"/>
      <c r="NP831"/>
      <c r="NQ831"/>
      <c r="NR831"/>
      <c r="NS831"/>
      <c r="NT831"/>
      <c r="NU831"/>
      <c r="NV831"/>
      <c r="NW831"/>
      <c r="NX831"/>
      <c r="NY831"/>
      <c r="NZ831"/>
      <c r="OA831"/>
      <c r="OB831"/>
      <c r="OC831"/>
      <c r="OD831"/>
      <c r="OE831"/>
      <c r="OF831"/>
      <c r="OG831"/>
      <c r="OH831"/>
      <c r="OI831"/>
      <c r="OJ831"/>
      <c r="OK831"/>
      <c r="OL831"/>
      <c r="OM831"/>
      <c r="ON831"/>
      <c r="OO831"/>
      <c r="OP831"/>
      <c r="OQ831"/>
      <c r="OR831"/>
      <c r="OS831"/>
      <c r="OT831"/>
      <c r="OU831"/>
      <c r="OV831"/>
      <c r="OW831"/>
      <c r="OX831"/>
      <c r="OY831"/>
      <c r="OZ831"/>
      <c r="PA831"/>
      <c r="PB831"/>
      <c r="PC831"/>
      <c r="PD831"/>
      <c r="PE831"/>
      <c r="PF831"/>
      <c r="PG831"/>
      <c r="PH831"/>
      <c r="PI831"/>
      <c r="PJ831"/>
      <c r="PK831"/>
      <c r="PL831"/>
      <c r="PM831"/>
      <c r="PN831"/>
      <c r="PO831"/>
      <c r="PP831"/>
      <c r="PQ831"/>
      <c r="PR831"/>
      <c r="PS831"/>
      <c r="PT831"/>
      <c r="PU831"/>
      <c r="PV831"/>
      <c r="PW831"/>
      <c r="PX831"/>
      <c r="PY831"/>
      <c r="PZ831"/>
      <c r="QA831"/>
      <c r="QB831"/>
      <c r="QC831"/>
      <c r="QD831"/>
      <c r="QE831"/>
      <c r="QF831"/>
      <c r="QG831"/>
      <c r="QH831"/>
      <c r="QI831"/>
      <c r="QJ831"/>
      <c r="QK831"/>
      <c r="QL831"/>
      <c r="QM831"/>
      <c r="QN831"/>
      <c r="QO831"/>
      <c r="QP831"/>
      <c r="QQ831"/>
      <c r="QR831"/>
      <c r="QS831"/>
      <c r="QT831"/>
      <c r="QU831"/>
      <c r="QV831"/>
      <c r="QW831"/>
      <c r="QX831"/>
      <c r="QY831"/>
      <c r="QZ831"/>
      <c r="RA831"/>
      <c r="RB831"/>
      <c r="RC831"/>
      <c r="RD831"/>
      <c r="RE831"/>
      <c r="RF831"/>
      <c r="RG831"/>
      <c r="RH831"/>
      <c r="RI831"/>
      <c r="RJ831"/>
      <c r="RK831"/>
      <c r="RL831"/>
      <c r="RM831"/>
      <c r="RN831"/>
      <c r="RO831"/>
      <c r="RP831"/>
      <c r="RQ831"/>
      <c r="RR831"/>
      <c r="RS831"/>
      <c r="RT831"/>
      <c r="RU831"/>
      <c r="RV831"/>
      <c r="RW831"/>
      <c r="RX831"/>
      <c r="RY831"/>
      <c r="RZ831"/>
      <c r="SA831"/>
      <c r="SB831"/>
      <c r="SC831"/>
      <c r="SD831"/>
      <c r="SE831"/>
      <c r="SF831"/>
      <c r="SG831"/>
      <c r="SH831"/>
      <c r="SI831"/>
      <c r="SJ831"/>
      <c r="SK831"/>
      <c r="SL831"/>
      <c r="SM831"/>
      <c r="SN831"/>
      <c r="SO831"/>
      <c r="SP831"/>
      <c r="SQ831"/>
      <c r="SR831"/>
      <c r="SS831"/>
      <c r="ST831"/>
      <c r="SU831"/>
      <c r="SV831"/>
      <c r="SW831"/>
      <c r="SX831"/>
      <c r="SY831"/>
      <c r="SZ831"/>
      <c r="TA831"/>
      <c r="TB831"/>
      <c r="TC831"/>
      <c r="TD831"/>
      <c r="TE831"/>
      <c r="TF831"/>
      <c r="TG831"/>
      <c r="TH831"/>
      <c r="TI831"/>
      <c r="TJ831"/>
      <c r="TK831"/>
      <c r="TL831"/>
      <c r="TM831"/>
      <c r="TN831"/>
      <c r="TO831"/>
      <c r="TP831"/>
      <c r="TQ831"/>
      <c r="TR831"/>
      <c r="TS831"/>
      <c r="TT831"/>
      <c r="TU831"/>
      <c r="TV831"/>
      <c r="TW831"/>
      <c r="TX831"/>
      <c r="TY831"/>
      <c r="TZ831"/>
      <c r="UA831"/>
      <c r="UB831"/>
      <c r="UC831"/>
      <c r="UD831"/>
      <c r="UE831"/>
      <c r="UF831"/>
      <c r="UG831"/>
      <c r="UH831"/>
      <c r="UI831"/>
      <c r="UJ831"/>
      <c r="UK831"/>
      <c r="UL831"/>
      <c r="UM831"/>
      <c r="UN831"/>
      <c r="UO831"/>
      <c r="UP831"/>
      <c r="UQ831"/>
      <c r="UR831"/>
      <c r="US831"/>
      <c r="UT831"/>
      <c r="UU831"/>
      <c r="UV831"/>
      <c r="UW831"/>
      <c r="UX831"/>
      <c r="UY831"/>
      <c r="UZ831"/>
      <c r="VA831"/>
      <c r="VB831"/>
      <c r="VC831"/>
      <c r="VD831"/>
      <c r="VE831"/>
      <c r="VF831"/>
      <c r="VG831"/>
      <c r="VH831"/>
      <c r="VI831"/>
      <c r="VJ831"/>
      <c r="VK831"/>
      <c r="VL831"/>
      <c r="VM831"/>
      <c r="VN831"/>
      <c r="VO831"/>
      <c r="VP831"/>
      <c r="VQ831"/>
      <c r="VR831"/>
      <c r="VS831"/>
      <c r="VT831"/>
      <c r="VU831"/>
      <c r="VV831"/>
      <c r="VW831"/>
      <c r="VX831"/>
      <c r="VY831"/>
      <c r="VZ831"/>
      <c r="WA831"/>
      <c r="WB831"/>
      <c r="WC831"/>
      <c r="WD831"/>
      <c r="WE831"/>
      <c r="WF831"/>
      <c r="WG831"/>
      <c r="WH831"/>
      <c r="WI831"/>
      <c r="WJ831"/>
      <c r="WK831"/>
      <c r="WL831"/>
      <c r="WM831"/>
      <c r="WN831"/>
      <c r="WO831"/>
      <c r="WP831"/>
      <c r="WQ831"/>
      <c r="WR831"/>
      <c r="WS831"/>
      <c r="WT831"/>
      <c r="WU831"/>
      <c r="WV831"/>
      <c r="WW831"/>
      <c r="WX831"/>
      <c r="WY831"/>
      <c r="WZ831"/>
      <c r="XA831"/>
      <c r="XB831"/>
      <c r="XC831"/>
      <c r="XD831"/>
      <c r="XE831"/>
      <c r="XF831"/>
      <c r="XG831"/>
      <c r="XH831"/>
      <c r="XI831"/>
      <c r="XJ831"/>
      <c r="XK831"/>
      <c r="XL831"/>
      <c r="XM831"/>
      <c r="XN831"/>
      <c r="XO831"/>
      <c r="XP831"/>
      <c r="XQ831"/>
      <c r="XR831"/>
      <c r="XS831"/>
      <c r="XT831"/>
      <c r="XU831"/>
      <c r="XV831"/>
      <c r="XW831"/>
      <c r="XX831"/>
      <c r="XY831"/>
      <c r="XZ831"/>
      <c r="YA831"/>
      <c r="YB831"/>
      <c r="YC831"/>
      <c r="YD831"/>
      <c r="YE831"/>
      <c r="YF831"/>
      <c r="YG831"/>
      <c r="YH831"/>
      <c r="YI831"/>
      <c r="YJ831"/>
      <c r="YK831"/>
      <c r="YL831"/>
      <c r="YM831"/>
      <c r="YN831"/>
      <c r="YO831"/>
      <c r="YP831"/>
      <c r="YQ831"/>
      <c r="YR831"/>
      <c r="YS831"/>
      <c r="YT831"/>
      <c r="YU831"/>
      <c r="YV831"/>
      <c r="YW831"/>
      <c r="YX831"/>
      <c r="YY831"/>
      <c r="YZ831"/>
      <c r="ZA831"/>
      <c r="ZB831"/>
      <c r="ZC831"/>
      <c r="ZD831"/>
      <c r="ZE831"/>
      <c r="ZF831"/>
      <c r="ZG831"/>
      <c r="ZH831"/>
      <c r="ZI831"/>
      <c r="ZJ831"/>
      <c r="ZK831"/>
      <c r="ZL831"/>
      <c r="ZM831"/>
      <c r="ZN831"/>
      <c r="ZO831"/>
      <c r="ZP831"/>
      <c r="ZQ831"/>
      <c r="ZR831"/>
      <c r="ZS831"/>
      <c r="ZT831"/>
      <c r="ZU831"/>
      <c r="ZV831"/>
      <c r="ZW831"/>
      <c r="ZX831"/>
      <c r="ZY831"/>
      <c r="ZZ831"/>
      <c r="AAA831"/>
      <c r="AAB831"/>
      <c r="AAC831"/>
      <c r="AAD831"/>
      <c r="AAE831"/>
      <c r="AAF831"/>
      <c r="AAG831"/>
      <c r="AAH831"/>
      <c r="AAI831"/>
      <c r="AAJ831"/>
      <c r="AAK831"/>
      <c r="AAL831"/>
      <c r="AAM831"/>
      <c r="AAN831"/>
      <c r="AAO831"/>
      <c r="AAP831"/>
      <c r="AAQ831"/>
      <c r="AAR831"/>
      <c r="AAS831"/>
      <c r="AAT831"/>
      <c r="AAU831"/>
      <c r="AAV831"/>
      <c r="AAW831"/>
      <c r="AAX831"/>
      <c r="AAY831"/>
      <c r="AAZ831"/>
      <c r="ABA831"/>
      <c r="ABB831"/>
      <c r="ABC831"/>
      <c r="ABD831"/>
      <c r="ABE831"/>
      <c r="ABF831"/>
      <c r="ABG831"/>
      <c r="ABH831"/>
      <c r="ABI831"/>
      <c r="ABJ831"/>
      <c r="ABK831"/>
      <c r="ABL831"/>
      <c r="ABM831"/>
      <c r="ABN831"/>
      <c r="ABO831"/>
      <c r="ABP831"/>
      <c r="ABQ831"/>
      <c r="ABR831"/>
      <c r="ABS831"/>
      <c r="ABT831"/>
      <c r="ABU831"/>
      <c r="ABV831"/>
      <c r="ABW831"/>
      <c r="ABX831"/>
      <c r="ABY831"/>
      <c r="ABZ831"/>
      <c r="ACA831"/>
      <c r="ACB831"/>
      <c r="ACC831"/>
      <c r="ACD831"/>
      <c r="ACE831"/>
      <c r="ACF831"/>
      <c r="ACG831"/>
      <c r="ACH831"/>
      <c r="ACI831"/>
      <c r="ACJ831"/>
      <c r="ACK831"/>
      <c r="ACL831"/>
      <c r="ACM831"/>
      <c r="ACN831"/>
      <c r="ACO831"/>
      <c r="ACP831"/>
      <c r="ACQ831"/>
      <c r="ACR831"/>
      <c r="ACS831"/>
      <c r="ACT831"/>
      <c r="ACU831"/>
      <c r="ACV831"/>
      <c r="ACW831"/>
      <c r="ACX831"/>
      <c r="ACY831"/>
      <c r="ACZ831"/>
      <c r="ADA831"/>
      <c r="ADB831"/>
      <c r="ADC831"/>
      <c r="ADD831"/>
      <c r="ADE831"/>
      <c r="ADF831"/>
      <c r="ADG831"/>
      <c r="ADH831"/>
      <c r="ADI831"/>
      <c r="ADJ831"/>
      <c r="ADK831"/>
      <c r="ADL831"/>
      <c r="ADM831"/>
      <c r="ADN831"/>
      <c r="ADO831"/>
      <c r="ADP831"/>
      <c r="ADQ831"/>
      <c r="ADR831"/>
      <c r="ADS831"/>
      <c r="ADT831"/>
      <c r="ADU831"/>
      <c r="ADV831"/>
      <c r="ADW831"/>
      <c r="ADX831"/>
      <c r="ADY831"/>
      <c r="ADZ831"/>
      <c r="AEA831"/>
      <c r="AEB831"/>
      <c r="AEC831"/>
      <c r="AED831"/>
      <c r="AEE831"/>
      <c r="AEF831"/>
      <c r="AEG831"/>
      <c r="AEH831"/>
      <c r="AEI831"/>
      <c r="AEJ831"/>
      <c r="AEK831"/>
      <c r="AEL831"/>
      <c r="AEM831"/>
      <c r="AEN831"/>
      <c r="AEO831"/>
      <c r="AEP831"/>
      <c r="AEQ831"/>
      <c r="AER831"/>
      <c r="AES831"/>
      <c r="AET831"/>
      <c r="AEU831"/>
      <c r="AEV831"/>
      <c r="AEW831"/>
      <c r="AEX831"/>
      <c r="AEY831"/>
      <c r="AEZ831"/>
      <c r="AFA831"/>
      <c r="AFB831"/>
      <c r="AFC831"/>
      <c r="AFD831"/>
      <c r="AFE831"/>
      <c r="AFF831"/>
      <c r="AFG831"/>
      <c r="AFH831"/>
      <c r="AFI831"/>
      <c r="AFJ831"/>
      <c r="AFK831"/>
      <c r="AFL831"/>
      <c r="AFM831"/>
      <c r="AFN831"/>
      <c r="AFO831"/>
      <c r="AFP831"/>
      <c r="AFQ831"/>
      <c r="AFR831"/>
      <c r="AFS831"/>
      <c r="AFT831"/>
      <c r="AFU831"/>
      <c r="AFV831"/>
      <c r="AFW831"/>
      <c r="AFX831"/>
      <c r="AFY831"/>
      <c r="AFZ831"/>
      <c r="AGA831"/>
      <c r="AGB831"/>
      <c r="AGC831"/>
      <c r="AGD831"/>
      <c r="AGE831"/>
      <c r="AGF831"/>
      <c r="AGG831"/>
      <c r="AGH831"/>
      <c r="AGI831"/>
      <c r="AGJ831"/>
      <c r="AGK831"/>
      <c r="AGL831"/>
      <c r="AGM831"/>
      <c r="AGN831"/>
      <c r="AGO831"/>
      <c r="AGP831"/>
      <c r="AGQ831"/>
      <c r="AGR831"/>
      <c r="AGS831"/>
      <c r="AGT831"/>
      <c r="AGU831"/>
      <c r="AGV831"/>
      <c r="AGW831"/>
      <c r="AGX831"/>
      <c r="AGY831"/>
      <c r="AGZ831"/>
      <c r="AHA831"/>
      <c r="AHB831"/>
      <c r="AHC831"/>
      <c r="AHD831"/>
      <c r="AHE831"/>
      <c r="AHF831"/>
      <c r="AHG831"/>
      <c r="AHH831"/>
      <c r="AHI831"/>
      <c r="AHJ831"/>
      <c r="AHK831"/>
      <c r="AHL831"/>
      <c r="AHM831"/>
      <c r="AHN831"/>
      <c r="AHO831"/>
      <c r="AHP831"/>
      <c r="AHQ831"/>
      <c r="AHR831"/>
      <c r="AHS831"/>
      <c r="AHT831"/>
      <c r="AHU831"/>
      <c r="AHV831"/>
      <c r="AHW831"/>
      <c r="AHX831"/>
      <c r="AHY831"/>
      <c r="AHZ831"/>
      <c r="AIA831"/>
      <c r="AIB831"/>
      <c r="AIC831"/>
      <c r="AID831"/>
      <c r="AIE831"/>
      <c r="AIF831"/>
      <c r="AIG831"/>
      <c r="AIH831"/>
      <c r="AII831"/>
      <c r="AIJ831"/>
      <c r="AIK831"/>
      <c r="AIL831"/>
      <c r="AIM831"/>
      <c r="AIN831"/>
      <c r="AIO831"/>
      <c r="AIP831"/>
      <c r="AIQ831"/>
      <c r="AIR831"/>
      <c r="AIS831"/>
      <c r="AIT831"/>
      <c r="AIU831"/>
      <c r="AIV831"/>
      <c r="AIW831"/>
      <c r="AIX831"/>
      <c r="AIY831"/>
      <c r="AIZ831"/>
      <c r="AJA831"/>
      <c r="AJB831"/>
      <c r="AJC831"/>
      <c r="AJD831"/>
      <c r="AJE831"/>
      <c r="AJF831"/>
      <c r="AJG831"/>
      <c r="AJH831"/>
      <c r="AJI831"/>
      <c r="AJJ831"/>
      <c r="AJK831"/>
      <c r="AJL831"/>
      <c r="AJM831"/>
      <c r="AJN831"/>
      <c r="AJO831"/>
      <c r="AJP831"/>
      <c r="AJQ831"/>
      <c r="AJR831"/>
      <c r="AJS831"/>
      <c r="AJT831"/>
      <c r="AJU831"/>
      <c r="AJV831"/>
      <c r="AJW831"/>
      <c r="AJX831"/>
      <c r="AJY831"/>
      <c r="AJZ831"/>
      <c r="AKA831"/>
      <c r="AKB831"/>
      <c r="AKC831"/>
      <c r="AKD831"/>
      <c r="AKE831"/>
      <c r="AKF831"/>
      <c r="AKG831"/>
      <c r="AKH831"/>
      <c r="AKI831"/>
      <c r="AKJ831"/>
      <c r="AKK831"/>
      <c r="AKL831"/>
      <c r="AKM831"/>
      <c r="AKN831"/>
      <c r="AKO831"/>
      <c r="AKP831"/>
      <c r="AKQ831"/>
      <c r="AKR831"/>
      <c r="AKS831"/>
      <c r="AKT831"/>
      <c r="AKU831"/>
      <c r="AKV831"/>
      <c r="AKW831"/>
      <c r="AKX831"/>
      <c r="AKY831"/>
      <c r="AKZ831"/>
      <c r="ALA831"/>
      <c r="ALB831"/>
      <c r="ALC831"/>
      <c r="ALD831"/>
      <c r="ALE831"/>
      <c r="ALF831"/>
      <c r="ALG831"/>
      <c r="ALH831"/>
      <c r="ALI831"/>
      <c r="ALJ831"/>
      <c r="ALK831"/>
      <c r="ALL831"/>
      <c r="ALM831"/>
      <c r="ALN831"/>
      <c r="ALO831"/>
      <c r="ALP831"/>
      <c r="ALQ831"/>
      <c r="ALR831"/>
      <c r="ALS831"/>
      <c r="ALT831"/>
      <c r="ALU831"/>
      <c r="ALV831"/>
      <c r="ALW831"/>
      <c r="ALX831"/>
      <c r="ALY831"/>
      <c r="ALZ831"/>
      <c r="AMA831"/>
      <c r="AMB831"/>
      <c r="AMC831"/>
      <c r="AMD831"/>
      <c r="AME831"/>
      <c r="AMF831"/>
      <c r="AMG831"/>
      <c r="AMH831"/>
    </row>
    <row r="832" spans="1:1022" x14ac:dyDescent="0.15">
      <c r="A832" s="8" t="s">
        <v>2960</v>
      </c>
      <c r="B832" s="8" t="s">
        <v>2955</v>
      </c>
      <c r="C832" s="8" t="str">
        <f t="shared" si="35"/>
        <v>att_ptm_enrichment:metal</v>
      </c>
      <c r="D832" s="9" t="s">
        <v>17</v>
      </c>
      <c r="E832" s="8" t="s">
        <v>2961</v>
      </c>
      <c r="F832" s="8" t="s">
        <v>2962</v>
      </c>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c r="CD832"/>
      <c r="CE832"/>
      <c r="CF832"/>
      <c r="CG832"/>
      <c r="CH832"/>
      <c r="CI832"/>
      <c r="CJ832"/>
      <c r="CK832"/>
      <c r="CL832"/>
      <c r="CM832"/>
      <c r="CN832"/>
      <c r="CO832"/>
      <c r="CP832"/>
      <c r="CQ832"/>
      <c r="CR832"/>
      <c r="CS832"/>
      <c r="CT832"/>
      <c r="CU832"/>
      <c r="CV832"/>
      <c r="CW832"/>
      <c r="CX832"/>
      <c r="CY832"/>
      <c r="CZ832"/>
      <c r="DA832"/>
      <c r="DB832"/>
      <c r="DC832"/>
      <c r="DD832"/>
      <c r="DE832"/>
      <c r="DF832"/>
      <c r="DG832"/>
      <c r="DH832"/>
      <c r="DI832"/>
      <c r="DJ832"/>
      <c r="DK832"/>
      <c r="DL832"/>
      <c r="DM832"/>
      <c r="DN832"/>
      <c r="DO832"/>
      <c r="DP832"/>
      <c r="DQ832"/>
      <c r="DR832"/>
      <c r="DS832"/>
      <c r="DT832"/>
      <c r="DU832"/>
      <c r="DV832"/>
      <c r="DW832"/>
      <c r="DX832"/>
      <c r="DY832"/>
      <c r="DZ832"/>
      <c r="EA832"/>
      <c r="EB832"/>
      <c r="EC832"/>
      <c r="ED832"/>
      <c r="EE832"/>
      <c r="EF832"/>
      <c r="EG832"/>
      <c r="EH832"/>
      <c r="EI832"/>
      <c r="EJ832"/>
      <c r="EK832"/>
      <c r="EL832"/>
      <c r="EM832"/>
      <c r="EN832"/>
      <c r="EO832"/>
      <c r="EP832"/>
      <c r="EQ832"/>
      <c r="ER832"/>
      <c r="ES832"/>
      <c r="ET832"/>
      <c r="EU832"/>
      <c r="EV832"/>
      <c r="EW832"/>
      <c r="EX832"/>
      <c r="EY832"/>
      <c r="EZ832"/>
      <c r="FA832"/>
      <c r="FB832"/>
      <c r="FC832"/>
      <c r="FD832"/>
      <c r="FE832"/>
      <c r="FF832"/>
      <c r="FG832"/>
      <c r="FH832"/>
      <c r="FI832"/>
      <c r="FJ832"/>
      <c r="FK832"/>
      <c r="FL832"/>
      <c r="FM832"/>
      <c r="FN832"/>
      <c r="FO832"/>
      <c r="FP832"/>
      <c r="FQ832"/>
      <c r="FR832"/>
      <c r="FS832"/>
      <c r="FT832"/>
      <c r="FU832"/>
      <c r="FV832"/>
      <c r="FW832"/>
      <c r="FX832"/>
      <c r="FY832"/>
      <c r="FZ832"/>
      <c r="GA832"/>
      <c r="GB832"/>
      <c r="GC832"/>
      <c r="GD832"/>
      <c r="GE832"/>
      <c r="GF832"/>
      <c r="GG832"/>
      <c r="GH832"/>
      <c r="GI832"/>
      <c r="GJ832"/>
      <c r="GK832"/>
      <c r="GL832"/>
      <c r="GM832"/>
      <c r="GN832"/>
      <c r="GO832"/>
      <c r="GP832"/>
      <c r="GQ832"/>
      <c r="GR832"/>
      <c r="GS832"/>
      <c r="GT832"/>
      <c r="GU832"/>
      <c r="GV832"/>
      <c r="GW832"/>
      <c r="GX832"/>
      <c r="GY832"/>
      <c r="GZ832"/>
      <c r="HA832"/>
      <c r="HB832"/>
      <c r="HC832"/>
      <c r="HD832"/>
      <c r="HE832"/>
      <c r="HF832"/>
      <c r="HG832"/>
      <c r="HH832"/>
      <c r="HI832"/>
      <c r="HJ832"/>
      <c r="HK832"/>
      <c r="HL832"/>
      <c r="HM832"/>
      <c r="HN832"/>
      <c r="HO832"/>
      <c r="HP832"/>
      <c r="HQ832"/>
      <c r="HR832"/>
      <c r="HS832"/>
      <c r="HT832"/>
      <c r="HU832"/>
      <c r="HV832"/>
      <c r="HW832"/>
      <c r="HX832"/>
      <c r="HY832"/>
      <c r="HZ832"/>
      <c r="IA832"/>
      <c r="IB832"/>
      <c r="IC832"/>
      <c r="ID832"/>
      <c r="IE832"/>
      <c r="IF832"/>
      <c r="IG832"/>
      <c r="IH832"/>
      <c r="II832"/>
      <c r="IJ832"/>
      <c r="IK832"/>
      <c r="IL832"/>
      <c r="IM832"/>
      <c r="IN832"/>
      <c r="IO832"/>
      <c r="IP832"/>
      <c r="IQ832"/>
      <c r="IR832"/>
      <c r="IS832"/>
      <c r="IT832"/>
      <c r="IU832"/>
      <c r="IV832"/>
      <c r="IW832"/>
      <c r="IX832"/>
      <c r="IY832"/>
      <c r="IZ832"/>
      <c r="JA832"/>
      <c r="JB832"/>
      <c r="JC832"/>
      <c r="JD832"/>
      <c r="JE832"/>
      <c r="JF832"/>
      <c r="JG832"/>
      <c r="JH832"/>
      <c r="JI832"/>
      <c r="JJ832"/>
      <c r="JK832"/>
      <c r="JL832"/>
      <c r="JM832"/>
      <c r="JN832"/>
      <c r="JO832"/>
      <c r="JP832"/>
      <c r="JQ832"/>
      <c r="JR832"/>
      <c r="JS832"/>
      <c r="JT832"/>
      <c r="JU832"/>
      <c r="JV832"/>
      <c r="JW832"/>
      <c r="JX832"/>
      <c r="JY832"/>
      <c r="JZ832"/>
      <c r="KA832"/>
      <c r="KB832"/>
      <c r="KC832"/>
      <c r="KD832"/>
      <c r="KE832"/>
      <c r="KF832"/>
      <c r="KG832"/>
      <c r="KH832"/>
      <c r="KI832"/>
      <c r="KJ832"/>
      <c r="KK832"/>
      <c r="KL832"/>
      <c r="KM832"/>
      <c r="KN832"/>
      <c r="KO832"/>
      <c r="KP832"/>
      <c r="KQ832"/>
      <c r="KR832"/>
      <c r="KS832"/>
      <c r="KT832"/>
      <c r="KU832"/>
      <c r="KV832"/>
      <c r="KW832"/>
      <c r="KX832"/>
      <c r="KY832"/>
      <c r="KZ832"/>
      <c r="LA832"/>
      <c r="LB832"/>
      <c r="LC832"/>
      <c r="LD832"/>
      <c r="LE832"/>
      <c r="LF832"/>
      <c r="LG832"/>
      <c r="LH832"/>
      <c r="LI832"/>
      <c r="LJ832"/>
      <c r="LK832"/>
      <c r="LL832"/>
      <c r="LM832"/>
      <c r="LN832"/>
      <c r="LO832"/>
      <c r="LP832"/>
      <c r="LQ832"/>
      <c r="LR832"/>
      <c r="LS832"/>
      <c r="LT832"/>
      <c r="LU832"/>
      <c r="LV832"/>
      <c r="LW832"/>
      <c r="LX832"/>
      <c r="LY832"/>
      <c r="LZ832"/>
      <c r="MA832"/>
      <c r="MB832"/>
      <c r="MC832"/>
      <c r="MD832"/>
      <c r="ME832"/>
      <c r="MF832"/>
      <c r="MG832"/>
      <c r="MH832"/>
      <c r="MI832"/>
      <c r="MJ832"/>
      <c r="MK832"/>
      <c r="ML832"/>
      <c r="MM832"/>
      <c r="MN832"/>
      <c r="MO832"/>
      <c r="MP832"/>
      <c r="MQ832"/>
      <c r="MR832"/>
      <c r="MS832"/>
      <c r="MT832"/>
      <c r="MU832"/>
      <c r="MV832"/>
      <c r="MW832"/>
      <c r="MX832"/>
      <c r="MY832"/>
      <c r="MZ832"/>
      <c r="NA832"/>
      <c r="NB832"/>
      <c r="NC832"/>
      <c r="ND832"/>
      <c r="NE832"/>
      <c r="NF832"/>
      <c r="NG832"/>
      <c r="NH832"/>
      <c r="NI832"/>
      <c r="NJ832"/>
      <c r="NK832"/>
      <c r="NL832"/>
      <c r="NM832"/>
      <c r="NN832"/>
      <c r="NO832"/>
      <c r="NP832"/>
      <c r="NQ832"/>
      <c r="NR832"/>
      <c r="NS832"/>
      <c r="NT832"/>
      <c r="NU832"/>
      <c r="NV832"/>
      <c r="NW832"/>
      <c r="NX832"/>
      <c r="NY832"/>
      <c r="NZ832"/>
      <c r="OA832"/>
      <c r="OB832"/>
      <c r="OC832"/>
      <c r="OD832"/>
      <c r="OE832"/>
      <c r="OF832"/>
      <c r="OG832"/>
      <c r="OH832"/>
      <c r="OI832"/>
      <c r="OJ832"/>
      <c r="OK832"/>
      <c r="OL832"/>
      <c r="OM832"/>
      <c r="ON832"/>
      <c r="OO832"/>
      <c r="OP832"/>
      <c r="OQ832"/>
      <c r="OR832"/>
      <c r="OS832"/>
      <c r="OT832"/>
      <c r="OU832"/>
      <c r="OV832"/>
      <c r="OW832"/>
      <c r="OX832"/>
      <c r="OY832"/>
      <c r="OZ832"/>
      <c r="PA832"/>
      <c r="PB832"/>
      <c r="PC832"/>
      <c r="PD832"/>
      <c r="PE832"/>
      <c r="PF832"/>
      <c r="PG832"/>
      <c r="PH832"/>
      <c r="PI832"/>
      <c r="PJ832"/>
      <c r="PK832"/>
      <c r="PL832"/>
      <c r="PM832"/>
      <c r="PN832"/>
      <c r="PO832"/>
      <c r="PP832"/>
      <c r="PQ832"/>
      <c r="PR832"/>
      <c r="PS832"/>
      <c r="PT832"/>
      <c r="PU832"/>
      <c r="PV832"/>
      <c r="PW832"/>
      <c r="PX832"/>
      <c r="PY832"/>
      <c r="PZ832"/>
      <c r="QA832"/>
      <c r="QB832"/>
      <c r="QC832"/>
      <c r="QD832"/>
      <c r="QE832"/>
      <c r="QF832"/>
      <c r="QG832"/>
      <c r="QH832"/>
      <c r="QI832"/>
      <c r="QJ832"/>
      <c r="QK832"/>
      <c r="QL832"/>
      <c r="QM832"/>
      <c r="QN832"/>
      <c r="QO832"/>
      <c r="QP832"/>
      <c r="QQ832"/>
      <c r="QR832"/>
      <c r="QS832"/>
      <c r="QT832"/>
      <c r="QU832"/>
      <c r="QV832"/>
      <c r="QW832"/>
      <c r="QX832"/>
      <c r="QY832"/>
      <c r="QZ832"/>
      <c r="RA832"/>
      <c r="RB832"/>
      <c r="RC832"/>
      <c r="RD832"/>
      <c r="RE832"/>
      <c r="RF832"/>
      <c r="RG832"/>
      <c r="RH832"/>
      <c r="RI832"/>
      <c r="RJ832"/>
      <c r="RK832"/>
      <c r="RL832"/>
      <c r="RM832"/>
      <c r="RN832"/>
      <c r="RO832"/>
      <c r="RP832"/>
      <c r="RQ832"/>
      <c r="RR832"/>
      <c r="RS832"/>
      <c r="RT832"/>
      <c r="RU832"/>
      <c r="RV832"/>
      <c r="RW832"/>
      <c r="RX832"/>
      <c r="RY832"/>
      <c r="RZ832"/>
      <c r="SA832"/>
      <c r="SB832"/>
      <c r="SC832"/>
      <c r="SD832"/>
      <c r="SE832"/>
      <c r="SF832"/>
      <c r="SG832"/>
      <c r="SH832"/>
      <c r="SI832"/>
      <c r="SJ832"/>
      <c r="SK832"/>
      <c r="SL832"/>
      <c r="SM832"/>
      <c r="SN832"/>
      <c r="SO832"/>
      <c r="SP832"/>
      <c r="SQ832"/>
      <c r="SR832"/>
      <c r="SS832"/>
      <c r="ST832"/>
      <c r="SU832"/>
      <c r="SV832"/>
      <c r="SW832"/>
      <c r="SX832"/>
      <c r="SY832"/>
      <c r="SZ832"/>
      <c r="TA832"/>
      <c r="TB832"/>
      <c r="TC832"/>
      <c r="TD832"/>
      <c r="TE832"/>
      <c r="TF832"/>
      <c r="TG832"/>
      <c r="TH832"/>
      <c r="TI832"/>
      <c r="TJ832"/>
      <c r="TK832"/>
      <c r="TL832"/>
      <c r="TM832"/>
      <c r="TN832"/>
      <c r="TO832"/>
      <c r="TP832"/>
      <c r="TQ832"/>
      <c r="TR832"/>
      <c r="TS832"/>
      <c r="TT832"/>
      <c r="TU832"/>
      <c r="TV832"/>
      <c r="TW832"/>
      <c r="TX832"/>
      <c r="TY832"/>
      <c r="TZ832"/>
      <c r="UA832"/>
      <c r="UB832"/>
      <c r="UC832"/>
      <c r="UD832"/>
      <c r="UE832"/>
      <c r="UF832"/>
      <c r="UG832"/>
      <c r="UH832"/>
      <c r="UI832"/>
      <c r="UJ832"/>
      <c r="UK832"/>
      <c r="UL832"/>
      <c r="UM832"/>
      <c r="UN832"/>
      <c r="UO832"/>
      <c r="UP832"/>
      <c r="UQ832"/>
      <c r="UR832"/>
      <c r="US832"/>
      <c r="UT832"/>
      <c r="UU832"/>
      <c r="UV832"/>
      <c r="UW832"/>
      <c r="UX832"/>
      <c r="UY832"/>
      <c r="UZ832"/>
      <c r="VA832"/>
      <c r="VB832"/>
      <c r="VC832"/>
      <c r="VD832"/>
      <c r="VE832"/>
      <c r="VF832"/>
      <c r="VG832"/>
      <c r="VH832"/>
      <c r="VI832"/>
      <c r="VJ832"/>
      <c r="VK832"/>
      <c r="VL832"/>
      <c r="VM832"/>
      <c r="VN832"/>
      <c r="VO832"/>
      <c r="VP832"/>
      <c r="VQ832"/>
      <c r="VR832"/>
      <c r="VS832"/>
      <c r="VT832"/>
      <c r="VU832"/>
      <c r="VV832"/>
      <c r="VW832"/>
      <c r="VX832"/>
      <c r="VY832"/>
      <c r="VZ832"/>
      <c r="WA832"/>
      <c r="WB832"/>
      <c r="WC832"/>
      <c r="WD832"/>
      <c r="WE832"/>
      <c r="WF832"/>
      <c r="WG832"/>
      <c r="WH832"/>
      <c r="WI832"/>
      <c r="WJ832"/>
      <c r="WK832"/>
      <c r="WL832"/>
      <c r="WM832"/>
      <c r="WN832"/>
      <c r="WO832"/>
      <c r="WP832"/>
      <c r="WQ832"/>
      <c r="WR832"/>
      <c r="WS832"/>
      <c r="WT832"/>
      <c r="WU832"/>
      <c r="WV832"/>
      <c r="WW832"/>
      <c r="WX832"/>
      <c r="WY832"/>
      <c r="WZ832"/>
      <c r="XA832"/>
      <c r="XB832"/>
      <c r="XC832"/>
      <c r="XD832"/>
      <c r="XE832"/>
      <c r="XF832"/>
      <c r="XG832"/>
      <c r="XH832"/>
      <c r="XI832"/>
      <c r="XJ832"/>
      <c r="XK832"/>
      <c r="XL832"/>
      <c r="XM832"/>
      <c r="XN832"/>
      <c r="XO832"/>
      <c r="XP832"/>
      <c r="XQ832"/>
      <c r="XR832"/>
      <c r="XS832"/>
      <c r="XT832"/>
      <c r="XU832"/>
      <c r="XV832"/>
      <c r="XW832"/>
      <c r="XX832"/>
      <c r="XY832"/>
      <c r="XZ832"/>
      <c r="YA832"/>
      <c r="YB832"/>
      <c r="YC832"/>
      <c r="YD832"/>
      <c r="YE832"/>
      <c r="YF832"/>
      <c r="YG832"/>
      <c r="YH832"/>
      <c r="YI832"/>
      <c r="YJ832"/>
      <c r="YK832"/>
      <c r="YL832"/>
      <c r="YM832"/>
      <c r="YN832"/>
      <c r="YO832"/>
      <c r="YP832"/>
      <c r="YQ832"/>
      <c r="YR832"/>
      <c r="YS832"/>
      <c r="YT832"/>
      <c r="YU832"/>
      <c r="YV832"/>
      <c r="YW832"/>
      <c r="YX832"/>
      <c r="YY832"/>
      <c r="YZ832"/>
      <c r="ZA832"/>
      <c r="ZB832"/>
      <c r="ZC832"/>
      <c r="ZD832"/>
      <c r="ZE832"/>
      <c r="ZF832"/>
      <c r="ZG832"/>
      <c r="ZH832"/>
      <c r="ZI832"/>
      <c r="ZJ832"/>
      <c r="ZK832"/>
      <c r="ZL832"/>
      <c r="ZM832"/>
      <c r="ZN832"/>
      <c r="ZO832"/>
      <c r="ZP832"/>
      <c r="ZQ832"/>
      <c r="ZR832"/>
      <c r="ZS832"/>
      <c r="ZT832"/>
      <c r="ZU832"/>
      <c r="ZV832"/>
      <c r="ZW832"/>
      <c r="ZX832"/>
      <c r="ZY832"/>
      <c r="ZZ832"/>
      <c r="AAA832"/>
      <c r="AAB832"/>
      <c r="AAC832"/>
      <c r="AAD832"/>
      <c r="AAE832"/>
      <c r="AAF832"/>
      <c r="AAG832"/>
      <c r="AAH832"/>
      <c r="AAI832"/>
      <c r="AAJ832"/>
      <c r="AAK832"/>
      <c r="AAL832"/>
      <c r="AAM832"/>
      <c r="AAN832"/>
      <c r="AAO832"/>
      <c r="AAP832"/>
      <c r="AAQ832"/>
      <c r="AAR832"/>
      <c r="AAS832"/>
      <c r="AAT832"/>
      <c r="AAU832"/>
      <c r="AAV832"/>
      <c r="AAW832"/>
      <c r="AAX832"/>
      <c r="AAY832"/>
      <c r="AAZ832"/>
      <c r="ABA832"/>
      <c r="ABB832"/>
      <c r="ABC832"/>
      <c r="ABD832"/>
      <c r="ABE832"/>
      <c r="ABF832"/>
      <c r="ABG832"/>
      <c r="ABH832"/>
      <c r="ABI832"/>
      <c r="ABJ832"/>
      <c r="ABK832"/>
      <c r="ABL832"/>
      <c r="ABM832"/>
      <c r="ABN832"/>
      <c r="ABO832"/>
      <c r="ABP832"/>
      <c r="ABQ832"/>
      <c r="ABR832"/>
      <c r="ABS832"/>
      <c r="ABT832"/>
      <c r="ABU832"/>
      <c r="ABV832"/>
      <c r="ABW832"/>
      <c r="ABX832"/>
      <c r="ABY832"/>
      <c r="ABZ832"/>
      <c r="ACA832"/>
      <c r="ACB832"/>
      <c r="ACC832"/>
      <c r="ACD832"/>
      <c r="ACE832"/>
      <c r="ACF832"/>
      <c r="ACG832"/>
      <c r="ACH832"/>
      <c r="ACI832"/>
      <c r="ACJ832"/>
      <c r="ACK832"/>
      <c r="ACL832"/>
      <c r="ACM832"/>
      <c r="ACN832"/>
      <c r="ACO832"/>
      <c r="ACP832"/>
      <c r="ACQ832"/>
      <c r="ACR832"/>
      <c r="ACS832"/>
      <c r="ACT832"/>
      <c r="ACU832"/>
      <c r="ACV832"/>
      <c r="ACW832"/>
      <c r="ACX832"/>
      <c r="ACY832"/>
      <c r="ACZ832"/>
      <c r="ADA832"/>
      <c r="ADB832"/>
      <c r="ADC832"/>
      <c r="ADD832"/>
      <c r="ADE832"/>
      <c r="ADF832"/>
      <c r="ADG832"/>
      <c r="ADH832"/>
      <c r="ADI832"/>
      <c r="ADJ832"/>
      <c r="ADK832"/>
      <c r="ADL832"/>
      <c r="ADM832"/>
      <c r="ADN832"/>
      <c r="ADO832"/>
      <c r="ADP832"/>
      <c r="ADQ832"/>
      <c r="ADR832"/>
      <c r="ADS832"/>
      <c r="ADT832"/>
      <c r="ADU832"/>
      <c r="ADV832"/>
      <c r="ADW832"/>
      <c r="ADX832"/>
      <c r="ADY832"/>
      <c r="ADZ832"/>
      <c r="AEA832"/>
      <c r="AEB832"/>
      <c r="AEC832"/>
      <c r="AED832"/>
      <c r="AEE832"/>
      <c r="AEF832"/>
      <c r="AEG832"/>
      <c r="AEH832"/>
      <c r="AEI832"/>
      <c r="AEJ832"/>
      <c r="AEK832"/>
      <c r="AEL832"/>
      <c r="AEM832"/>
      <c r="AEN832"/>
      <c r="AEO832"/>
      <c r="AEP832"/>
      <c r="AEQ832"/>
      <c r="AER832"/>
      <c r="AES832"/>
      <c r="AET832"/>
      <c r="AEU832"/>
      <c r="AEV832"/>
      <c r="AEW832"/>
      <c r="AEX832"/>
      <c r="AEY832"/>
      <c r="AEZ832"/>
      <c r="AFA832"/>
      <c r="AFB832"/>
      <c r="AFC832"/>
      <c r="AFD832"/>
      <c r="AFE832"/>
      <c r="AFF832"/>
      <c r="AFG832"/>
      <c r="AFH832"/>
      <c r="AFI832"/>
      <c r="AFJ832"/>
      <c r="AFK832"/>
      <c r="AFL832"/>
      <c r="AFM832"/>
      <c r="AFN832"/>
      <c r="AFO832"/>
      <c r="AFP832"/>
      <c r="AFQ832"/>
      <c r="AFR832"/>
      <c r="AFS832"/>
      <c r="AFT832"/>
      <c r="AFU832"/>
      <c r="AFV832"/>
      <c r="AFW832"/>
      <c r="AFX832"/>
      <c r="AFY832"/>
      <c r="AFZ832"/>
      <c r="AGA832"/>
      <c r="AGB832"/>
      <c r="AGC832"/>
      <c r="AGD832"/>
      <c r="AGE832"/>
      <c r="AGF832"/>
      <c r="AGG832"/>
      <c r="AGH832"/>
      <c r="AGI832"/>
      <c r="AGJ832"/>
      <c r="AGK832"/>
      <c r="AGL832"/>
      <c r="AGM832"/>
      <c r="AGN832"/>
      <c r="AGO832"/>
      <c r="AGP832"/>
      <c r="AGQ832"/>
      <c r="AGR832"/>
      <c r="AGS832"/>
      <c r="AGT832"/>
      <c r="AGU832"/>
      <c r="AGV832"/>
      <c r="AGW832"/>
      <c r="AGX832"/>
      <c r="AGY832"/>
      <c r="AGZ832"/>
      <c r="AHA832"/>
      <c r="AHB832"/>
      <c r="AHC832"/>
      <c r="AHD832"/>
      <c r="AHE832"/>
      <c r="AHF832"/>
      <c r="AHG832"/>
      <c r="AHH832"/>
      <c r="AHI832"/>
      <c r="AHJ832"/>
      <c r="AHK832"/>
      <c r="AHL832"/>
      <c r="AHM832"/>
      <c r="AHN832"/>
      <c r="AHO832"/>
      <c r="AHP832"/>
      <c r="AHQ832"/>
      <c r="AHR832"/>
      <c r="AHS832"/>
      <c r="AHT832"/>
      <c r="AHU832"/>
      <c r="AHV832"/>
      <c r="AHW832"/>
      <c r="AHX832"/>
      <c r="AHY832"/>
      <c r="AHZ832"/>
      <c r="AIA832"/>
      <c r="AIB832"/>
      <c r="AIC832"/>
      <c r="AID832"/>
      <c r="AIE832"/>
      <c r="AIF832"/>
      <c r="AIG832"/>
      <c r="AIH832"/>
      <c r="AII832"/>
      <c r="AIJ832"/>
      <c r="AIK832"/>
      <c r="AIL832"/>
      <c r="AIM832"/>
      <c r="AIN832"/>
      <c r="AIO832"/>
      <c r="AIP832"/>
      <c r="AIQ832"/>
      <c r="AIR832"/>
      <c r="AIS832"/>
      <c r="AIT832"/>
      <c r="AIU832"/>
      <c r="AIV832"/>
      <c r="AIW832"/>
      <c r="AIX832"/>
      <c r="AIY832"/>
      <c r="AIZ832"/>
      <c r="AJA832"/>
      <c r="AJB832"/>
      <c r="AJC832"/>
      <c r="AJD832"/>
      <c r="AJE832"/>
      <c r="AJF832"/>
      <c r="AJG832"/>
      <c r="AJH832"/>
      <c r="AJI832"/>
      <c r="AJJ832"/>
      <c r="AJK832"/>
      <c r="AJL832"/>
      <c r="AJM832"/>
      <c r="AJN832"/>
      <c r="AJO832"/>
      <c r="AJP832"/>
      <c r="AJQ832"/>
      <c r="AJR832"/>
      <c r="AJS832"/>
      <c r="AJT832"/>
      <c r="AJU832"/>
      <c r="AJV832"/>
      <c r="AJW832"/>
      <c r="AJX832"/>
      <c r="AJY832"/>
      <c r="AJZ832"/>
      <c r="AKA832"/>
      <c r="AKB832"/>
      <c r="AKC832"/>
      <c r="AKD832"/>
      <c r="AKE832"/>
      <c r="AKF832"/>
      <c r="AKG832"/>
      <c r="AKH832"/>
      <c r="AKI832"/>
      <c r="AKJ832"/>
      <c r="AKK832"/>
      <c r="AKL832"/>
      <c r="AKM832"/>
      <c r="AKN832"/>
      <c r="AKO832"/>
      <c r="AKP832"/>
      <c r="AKQ832"/>
      <c r="AKR832"/>
      <c r="AKS832"/>
      <c r="AKT832"/>
      <c r="AKU832"/>
      <c r="AKV832"/>
      <c r="AKW832"/>
      <c r="AKX832"/>
      <c r="AKY832"/>
      <c r="AKZ832"/>
      <c r="ALA832"/>
      <c r="ALB832"/>
      <c r="ALC832"/>
      <c r="ALD832"/>
      <c r="ALE832"/>
      <c r="ALF832"/>
      <c r="ALG832"/>
      <c r="ALH832"/>
      <c r="ALI832"/>
      <c r="ALJ832"/>
      <c r="ALK832"/>
      <c r="ALL832"/>
      <c r="ALM832"/>
      <c r="ALN832"/>
      <c r="ALO832"/>
      <c r="ALP832"/>
      <c r="ALQ832"/>
      <c r="ALR832"/>
      <c r="ALS832"/>
      <c r="ALT832"/>
      <c r="ALU832"/>
      <c r="ALV832"/>
      <c r="ALW832"/>
      <c r="ALX832"/>
      <c r="ALY832"/>
      <c r="ALZ832"/>
      <c r="AMA832"/>
      <c r="AMB832"/>
      <c r="AMC832"/>
      <c r="AMD832"/>
      <c r="AME832"/>
      <c r="AMF832"/>
      <c r="AMG832"/>
      <c r="AMH832"/>
    </row>
    <row r="833" spans="1:6" x14ac:dyDescent="0.15">
      <c r="A833" s="8" t="s">
        <v>2965</v>
      </c>
      <c r="B833" s="8" t="s">
        <v>2955</v>
      </c>
      <c r="C833" s="8" t="str">
        <f t="shared" si="35"/>
        <v>att_ptm_enrichment:ionchromatography</v>
      </c>
      <c r="D833" s="9" t="s">
        <v>17</v>
      </c>
      <c r="E833" s="8" t="s">
        <v>2963</v>
      </c>
      <c r="F833" s="8" t="s">
        <v>2964</v>
      </c>
    </row>
    <row r="834" spans="1:6" x14ac:dyDescent="0.15">
      <c r="A834" s="8" t="s">
        <v>2318</v>
      </c>
      <c r="B834" s="8" t="s">
        <v>206</v>
      </c>
      <c r="C834" s="8" t="str">
        <f t="shared" si="35"/>
        <v>att_quant_algorithm:directlfq</v>
      </c>
      <c r="D834" s="9" t="s">
        <v>17</v>
      </c>
      <c r="E834" s="8" t="s">
        <v>2319</v>
      </c>
      <c r="F834" s="9" t="s">
        <v>17</v>
      </c>
    </row>
    <row r="835" spans="1:6" x14ac:dyDescent="0.15">
      <c r="A835" s="8" t="s">
        <v>2320</v>
      </c>
      <c r="B835" s="8" t="s">
        <v>206</v>
      </c>
      <c r="C835" s="8" t="str">
        <f t="shared" si="35"/>
        <v>att_quant_algorithm:maxlfq</v>
      </c>
      <c r="D835" s="9" t="s">
        <v>17</v>
      </c>
      <c r="E835" s="8" t="s">
        <v>2321</v>
      </c>
      <c r="F835" s="9" t="s">
        <v>17</v>
      </c>
    </row>
    <row r="836" spans="1:6" x14ac:dyDescent="0.15">
      <c r="A836" s="8" t="s">
        <v>2322</v>
      </c>
      <c r="B836" s="8" t="s">
        <v>206</v>
      </c>
      <c r="C836" s="8" t="str">
        <f t="shared" si="35"/>
        <v>att_quant_algorithm:speccount</v>
      </c>
      <c r="D836" s="9" t="s">
        <v>17</v>
      </c>
      <c r="E836" s="8" t="s">
        <v>2323</v>
      </c>
      <c r="F836" s="9" t="s">
        <v>17</v>
      </c>
    </row>
    <row r="837" spans="1:6" x14ac:dyDescent="0.15">
      <c r="A837" s="8" t="s">
        <v>2324</v>
      </c>
      <c r="B837" s="8" t="s">
        <v>207</v>
      </c>
      <c r="C837" s="8" t="str">
        <f t="shared" si="35"/>
        <v>att_quantification:isobaric</v>
      </c>
      <c r="D837" s="9" t="s">
        <v>17</v>
      </c>
      <c r="E837" s="8" t="s">
        <v>2324</v>
      </c>
      <c r="F837" s="8" t="s">
        <v>2325</v>
      </c>
    </row>
    <row r="838" spans="1:6" x14ac:dyDescent="0.15">
      <c r="A838" s="8" t="s">
        <v>2326</v>
      </c>
      <c r="B838" s="8" t="s">
        <v>207</v>
      </c>
      <c r="C838" s="8" t="str">
        <f t="shared" si="35"/>
        <v>att_quantification:istopic</v>
      </c>
      <c r="D838" s="9" t="s">
        <v>17</v>
      </c>
      <c r="E838" s="8" t="s">
        <v>2326</v>
      </c>
      <c r="F838" s="8" t="s">
        <v>2327</v>
      </c>
    </row>
    <row r="839" spans="1:6" x14ac:dyDescent="0.15">
      <c r="A839" s="8" t="s">
        <v>2328</v>
      </c>
      <c r="B839" s="8" t="s">
        <v>207</v>
      </c>
      <c r="C839" s="8" t="str">
        <f t="shared" si="35"/>
        <v>att_quantification:label_free</v>
      </c>
      <c r="D839" s="9" t="s">
        <v>17</v>
      </c>
      <c r="E839" s="8" t="s">
        <v>2329</v>
      </c>
      <c r="F839" s="8" t="s">
        <v>2330</v>
      </c>
    </row>
    <row r="840" spans="1:6" x14ac:dyDescent="0.15">
      <c r="A840" s="8" t="s">
        <v>2331</v>
      </c>
      <c r="B840" s="8" t="s">
        <v>207</v>
      </c>
      <c r="C840" s="8" t="str">
        <f t="shared" si="35"/>
        <v>att_quantification:silac</v>
      </c>
      <c r="D840" s="9" t="s">
        <v>17</v>
      </c>
      <c r="E840" s="8" t="s">
        <v>2331</v>
      </c>
      <c r="F840" s="8" t="s">
        <v>2332</v>
      </c>
    </row>
    <row r="841" spans="1:6" x14ac:dyDescent="0.15">
      <c r="A841" s="8" t="s">
        <v>2333</v>
      </c>
      <c r="B841" s="8" t="s">
        <v>210</v>
      </c>
      <c r="C841" s="8" t="str">
        <f t="shared" si="35"/>
        <v>att_reduction:dtt</v>
      </c>
      <c r="D841" s="9" t="s">
        <v>17</v>
      </c>
      <c r="E841" s="8" t="s">
        <v>2334</v>
      </c>
      <c r="F841" s="8" t="s">
        <v>2335</v>
      </c>
    </row>
    <row r="842" spans="1:6" x14ac:dyDescent="0.15">
      <c r="A842" s="8" t="s">
        <v>336</v>
      </c>
      <c r="B842" s="8" t="s">
        <v>210</v>
      </c>
      <c r="C842" s="8" t="str">
        <f t="shared" si="35"/>
        <v>att_reduction:none</v>
      </c>
      <c r="D842" s="9" t="s">
        <v>17</v>
      </c>
      <c r="E842" s="8" t="s">
        <v>337</v>
      </c>
      <c r="F842" s="8" t="s">
        <v>2336</v>
      </c>
    </row>
    <row r="843" spans="1:6" x14ac:dyDescent="0.15">
      <c r="A843" s="8" t="s">
        <v>2337</v>
      </c>
      <c r="B843" s="8" t="s">
        <v>210</v>
      </c>
      <c r="C843" s="8" t="str">
        <f t="shared" si="35"/>
        <v>att_reduction:tcep</v>
      </c>
      <c r="D843" s="9" t="s">
        <v>17</v>
      </c>
      <c r="E843" s="8" t="s">
        <v>2338</v>
      </c>
      <c r="F843" s="8" t="s">
        <v>2339</v>
      </c>
    </row>
    <row r="844" spans="1:6" x14ac:dyDescent="0.15">
      <c r="A844" s="8" t="s">
        <v>1406</v>
      </c>
      <c r="B844" s="8" t="s">
        <v>2340</v>
      </c>
      <c r="C844" s="8" t="str">
        <f t="shared" si="35"/>
        <v>att_signalling:apoptosis</v>
      </c>
      <c r="D844" s="9" t="s">
        <v>17</v>
      </c>
      <c r="E844" s="8" t="s">
        <v>1407</v>
      </c>
      <c r="F844" s="8" t="s">
        <v>2341</v>
      </c>
    </row>
    <row r="845" spans="1:6" x14ac:dyDescent="0.15">
      <c r="A845" s="8" t="s">
        <v>2342</v>
      </c>
      <c r="B845" s="8" t="s">
        <v>2340</v>
      </c>
      <c r="C845" s="8" t="str">
        <f t="shared" si="35"/>
        <v>att_signalling:autocrine</v>
      </c>
      <c r="D845" s="9" t="s">
        <v>17</v>
      </c>
      <c r="E845" s="8" t="s">
        <v>2343</v>
      </c>
      <c r="F845" s="8" t="s">
        <v>2344</v>
      </c>
    </row>
    <row r="846" spans="1:6" x14ac:dyDescent="0.15">
      <c r="A846" s="8" t="s">
        <v>2345</v>
      </c>
      <c r="B846" s="8" t="s">
        <v>2340</v>
      </c>
      <c r="C846" s="8" t="str">
        <f t="shared" si="35"/>
        <v>att_signalling:complement</v>
      </c>
      <c r="D846" s="9" t="s">
        <v>17</v>
      </c>
      <c r="E846" s="8" t="s">
        <v>2346</v>
      </c>
      <c r="F846" s="8" t="s">
        <v>2347</v>
      </c>
    </row>
    <row r="847" spans="1:6" x14ac:dyDescent="0.15">
      <c r="A847" s="8" t="s">
        <v>2348</v>
      </c>
      <c r="B847" s="8" t="s">
        <v>2340</v>
      </c>
      <c r="C847" s="8" t="str">
        <f t="shared" si="35"/>
        <v>att_signalling:cytokines</v>
      </c>
      <c r="D847" s="9" t="s">
        <v>17</v>
      </c>
      <c r="E847" s="8" t="s">
        <v>2349</v>
      </c>
      <c r="F847" s="8" t="s">
        <v>2350</v>
      </c>
    </row>
    <row r="848" spans="1:6" x14ac:dyDescent="0.15">
      <c r="A848" s="8" t="s">
        <v>2351</v>
      </c>
      <c r="B848" s="8" t="s">
        <v>2340</v>
      </c>
      <c r="C848" s="8" t="str">
        <f t="shared" si="35"/>
        <v>att_signalling:inflammation</v>
      </c>
      <c r="D848" s="9" t="s">
        <v>17</v>
      </c>
      <c r="E848" s="8" t="s">
        <v>2352</v>
      </c>
      <c r="F848" s="8" t="s">
        <v>2353</v>
      </c>
    </row>
    <row r="849" spans="1:6" x14ac:dyDescent="0.15">
      <c r="A849" s="8" t="s">
        <v>2354</v>
      </c>
      <c r="B849" s="8" t="s">
        <v>2340</v>
      </c>
      <c r="C849" s="8" t="str">
        <f t="shared" si="35"/>
        <v>att_signalling:insulin</v>
      </c>
      <c r="D849" s="9" t="s">
        <v>17</v>
      </c>
      <c r="E849" s="8" t="s">
        <v>2355</v>
      </c>
      <c r="F849" s="8" t="s">
        <v>2356</v>
      </c>
    </row>
    <row r="850" spans="1:6" x14ac:dyDescent="0.15">
      <c r="A850" s="8" t="s">
        <v>2357</v>
      </c>
      <c r="B850" s="8" t="s">
        <v>2340</v>
      </c>
      <c r="C850" s="8" t="str">
        <f t="shared" si="35"/>
        <v>att_signalling:juxtacrine</v>
      </c>
      <c r="D850" s="9" t="s">
        <v>17</v>
      </c>
      <c r="E850" s="8" t="s">
        <v>2358</v>
      </c>
      <c r="F850" s="8" t="s">
        <v>2359</v>
      </c>
    </row>
    <row r="851" spans="1:6" x14ac:dyDescent="0.15">
      <c r="A851" s="8" t="s">
        <v>2360</v>
      </c>
      <c r="B851" s="8" t="s">
        <v>2340</v>
      </c>
      <c r="C851" s="8" t="str">
        <f t="shared" si="35"/>
        <v>att_signalling:necrosis</v>
      </c>
      <c r="D851" s="9" t="s">
        <v>17</v>
      </c>
      <c r="E851" s="8" t="s">
        <v>2361</v>
      </c>
      <c r="F851" s="8" t="s">
        <v>2362</v>
      </c>
    </row>
    <row r="852" spans="1:6" x14ac:dyDescent="0.15">
      <c r="A852" s="8" t="s">
        <v>2363</v>
      </c>
      <c r="B852" s="8" t="s">
        <v>2340</v>
      </c>
      <c r="C852" s="8" t="str">
        <f t="shared" si="35"/>
        <v>att_signalling:paracrine</v>
      </c>
      <c r="D852" s="9" t="s">
        <v>17</v>
      </c>
      <c r="E852" s="8" t="s">
        <v>2364</v>
      </c>
      <c r="F852" s="8" t="s">
        <v>2365</v>
      </c>
    </row>
    <row r="853" spans="1:6" x14ac:dyDescent="0.15">
      <c r="A853" s="8" t="s">
        <v>1754</v>
      </c>
      <c r="B853" s="8" t="s">
        <v>2340</v>
      </c>
      <c r="C853" s="8" t="str">
        <f t="shared" si="35"/>
        <v>att_signalling:signaling</v>
      </c>
      <c r="D853" s="9" t="s">
        <v>17</v>
      </c>
      <c r="E853" s="8" t="s">
        <v>1755</v>
      </c>
      <c r="F853" s="8" t="s">
        <v>2366</v>
      </c>
    </row>
    <row r="854" spans="1:6" x14ac:dyDescent="0.15">
      <c r="A854" s="8" t="s">
        <v>2367</v>
      </c>
      <c r="B854" s="8" t="s">
        <v>31</v>
      </c>
      <c r="C854" s="8" t="str">
        <f t="shared" si="35"/>
        <v>att_software:diann</v>
      </c>
      <c r="D854" s="9" t="s">
        <v>17</v>
      </c>
      <c r="E854" s="8" t="s">
        <v>2368</v>
      </c>
      <c r="F854" s="8" t="s">
        <v>2369</v>
      </c>
    </row>
    <row r="855" spans="1:6" x14ac:dyDescent="0.15">
      <c r="A855" s="8" t="s">
        <v>2370</v>
      </c>
      <c r="B855" s="8" t="s">
        <v>31</v>
      </c>
      <c r="C855" s="8" t="str">
        <f t="shared" si="35"/>
        <v>att_software:maxquant</v>
      </c>
      <c r="D855" s="9" t="s">
        <v>17</v>
      </c>
      <c r="E855" s="8" t="s">
        <v>2371</v>
      </c>
      <c r="F855" s="8" t="s">
        <v>2372</v>
      </c>
    </row>
    <row r="856" spans="1:6" x14ac:dyDescent="0.15">
      <c r="A856" s="8" t="s">
        <v>2373</v>
      </c>
      <c r="B856" s="8" t="s">
        <v>31</v>
      </c>
      <c r="C856" s="8" t="str">
        <f t="shared" ref="C856:C927" si="36">B856&amp;":"&amp;A856</f>
        <v>att_software:metamorpheus</v>
      </c>
      <c r="D856" s="9" t="s">
        <v>17</v>
      </c>
      <c r="E856" s="8" t="s">
        <v>2374</v>
      </c>
      <c r="F856" s="8" t="s">
        <v>2375</v>
      </c>
    </row>
    <row r="857" spans="1:6" x14ac:dyDescent="0.15">
      <c r="A857" s="8" t="s">
        <v>2376</v>
      </c>
      <c r="B857" s="8" t="s">
        <v>31</v>
      </c>
      <c r="C857" s="8" t="str">
        <f t="shared" si="36"/>
        <v>att_software:minora</v>
      </c>
      <c r="D857" s="9" t="s">
        <v>17</v>
      </c>
      <c r="E857" s="8" t="s">
        <v>2377</v>
      </c>
      <c r="F857" s="8" t="s">
        <v>2378</v>
      </c>
    </row>
    <row r="858" spans="1:6" x14ac:dyDescent="0.15">
      <c r="A858" s="8" t="s">
        <v>2379</v>
      </c>
      <c r="B858" s="8" t="s">
        <v>31</v>
      </c>
      <c r="C858" s="8" t="str">
        <f t="shared" si="36"/>
        <v>att_software:msfragger</v>
      </c>
      <c r="D858" s="9" t="s">
        <v>17</v>
      </c>
      <c r="E858" s="8" t="s">
        <v>2380</v>
      </c>
      <c r="F858" s="8" t="s">
        <v>2381</v>
      </c>
    </row>
    <row r="859" spans="1:6" x14ac:dyDescent="0.15">
      <c r="A859" s="8" t="s">
        <v>2382</v>
      </c>
      <c r="B859" s="8" t="s">
        <v>31</v>
      </c>
      <c r="C859" s="8" t="str">
        <f t="shared" si="36"/>
        <v>att_software:msgf</v>
      </c>
      <c r="D859" s="9" t="s">
        <v>17</v>
      </c>
      <c r="E859" s="8" t="s">
        <v>2383</v>
      </c>
      <c r="F859" s="8" t="s">
        <v>2384</v>
      </c>
    </row>
    <row r="860" spans="1:6" x14ac:dyDescent="0.15">
      <c r="A860" s="8" t="s">
        <v>2385</v>
      </c>
      <c r="B860" s="8" t="s">
        <v>31</v>
      </c>
      <c r="C860" s="8" t="str">
        <f t="shared" si="36"/>
        <v>att_software:spectronaut</v>
      </c>
      <c r="D860" s="9" t="s">
        <v>17</v>
      </c>
      <c r="E860" s="8" t="s">
        <v>2386</v>
      </c>
      <c r="F860" s="8" t="s">
        <v>2387</v>
      </c>
    </row>
    <row r="861" spans="1:6" x14ac:dyDescent="0.15">
      <c r="A861" s="8" t="s">
        <v>2909</v>
      </c>
      <c r="B861" s="8" t="s">
        <v>2908</v>
      </c>
      <c r="C861" s="8" t="str">
        <f t="shared" si="36"/>
        <v>att_subcellular_compartment:wc</v>
      </c>
      <c r="D861" s="9" t="s">
        <v>17</v>
      </c>
      <c r="E861" s="8" t="s">
        <v>2910</v>
      </c>
      <c r="F861" s="8" t="s">
        <v>2911</v>
      </c>
    </row>
    <row r="862" spans="1:6" x14ac:dyDescent="0.15">
      <c r="A862" s="8" t="s">
        <v>2913</v>
      </c>
      <c r="B862" s="8" t="s">
        <v>2908</v>
      </c>
      <c r="C862" s="8" t="str">
        <f t="shared" si="36"/>
        <v>att_subcellular_compartment:membrane</v>
      </c>
      <c r="D862" s="9" t="s">
        <v>17</v>
      </c>
      <c r="E862" s="8" t="s">
        <v>2914</v>
      </c>
      <c r="F862" s="8" t="s">
        <v>2915</v>
      </c>
    </row>
    <row r="863" spans="1:6" x14ac:dyDescent="0.15">
      <c r="A863" s="8" t="s">
        <v>2912</v>
      </c>
      <c r="B863" s="8" t="s">
        <v>2908</v>
      </c>
      <c r="C863" s="8" t="str">
        <f t="shared" ref="C863" si="37">B863&amp;":"&amp;A863</f>
        <v>att_subcellular_compartment:mitochondria</v>
      </c>
      <c r="D863" s="9" t="s">
        <v>17</v>
      </c>
      <c r="E863" s="8" t="s">
        <v>2929</v>
      </c>
      <c r="F863" s="8" t="s">
        <v>2928</v>
      </c>
    </row>
    <row r="864" spans="1:6" x14ac:dyDescent="0.15">
      <c r="A864" s="8" t="s">
        <v>2942</v>
      </c>
      <c r="B864" s="8" t="s">
        <v>2908</v>
      </c>
      <c r="C864" s="8" t="str">
        <f t="shared" ref="C864" si="38">B864&amp;":"&amp;A864</f>
        <v>att_subcellular_compartment:mitochondriapk</v>
      </c>
      <c r="D864" s="9" t="s">
        <v>17</v>
      </c>
      <c r="E864" s="8" t="s">
        <v>2940</v>
      </c>
      <c r="F864" s="8" t="s">
        <v>2941</v>
      </c>
    </row>
    <row r="865" spans="1:6" x14ac:dyDescent="0.15">
      <c r="A865" s="8" t="s">
        <v>2916</v>
      </c>
      <c r="B865" s="8" t="s">
        <v>2908</v>
      </c>
      <c r="C865" s="8" t="str">
        <f t="shared" si="36"/>
        <v>att_subcellular_compartment:golgi</v>
      </c>
      <c r="D865" s="9" t="s">
        <v>17</v>
      </c>
      <c r="E865" s="8" t="s">
        <v>2917</v>
      </c>
      <c r="F865" s="8" t="s">
        <v>2918</v>
      </c>
    </row>
    <row r="866" spans="1:6" x14ac:dyDescent="0.15">
      <c r="A866" s="8" t="s">
        <v>2919</v>
      </c>
      <c r="B866" s="8" t="s">
        <v>2908</v>
      </c>
      <c r="C866" s="8" t="str">
        <f t="shared" ref="C866:C868" si="39">B866&amp;":"&amp;A866</f>
        <v>att_subcellular_compartment:plasmamembrane</v>
      </c>
      <c r="D866" s="9" t="s">
        <v>17</v>
      </c>
      <c r="E866" s="8" t="s">
        <v>2927</v>
      </c>
      <c r="F866" s="8" t="s">
        <v>2920</v>
      </c>
    </row>
    <row r="867" spans="1:6" x14ac:dyDescent="0.15">
      <c r="A867" s="8" t="s">
        <v>2921</v>
      </c>
      <c r="B867" s="8" t="s">
        <v>2908</v>
      </c>
      <c r="C867" s="8" t="str">
        <f t="shared" si="39"/>
        <v>att_subcellular_compartment:nucleus</v>
      </c>
      <c r="D867" s="9" t="s">
        <v>17</v>
      </c>
      <c r="E867" s="8" t="s">
        <v>2922</v>
      </c>
      <c r="F867" s="8" t="s">
        <v>2923</v>
      </c>
    </row>
    <row r="868" spans="1:6" x14ac:dyDescent="0.15">
      <c r="A868" s="8" t="s">
        <v>2924</v>
      </c>
      <c r="B868" s="8" t="s">
        <v>2908</v>
      </c>
      <c r="C868" s="8" t="str">
        <f t="shared" si="39"/>
        <v>att_subcellular_compartment:cytosol</v>
      </c>
      <c r="D868" s="9" t="s">
        <v>17</v>
      </c>
      <c r="E868" s="8" t="s">
        <v>2925</v>
      </c>
      <c r="F868" s="8" t="s">
        <v>2926</v>
      </c>
    </row>
    <row r="869" spans="1:6" x14ac:dyDescent="0.15">
      <c r="A869" s="8" t="s">
        <v>2388</v>
      </c>
      <c r="B869" s="8" t="s">
        <v>232</v>
      </c>
      <c r="C869" s="8" t="str">
        <f t="shared" si="36"/>
        <v>att_tissue:adipose</v>
      </c>
      <c r="D869" s="8" t="s">
        <v>2388</v>
      </c>
      <c r="E869" s="8" t="s">
        <v>2389</v>
      </c>
      <c r="F869" s="8" t="s">
        <v>2390</v>
      </c>
    </row>
    <row r="870" spans="1:6" x14ac:dyDescent="0.15">
      <c r="A870" s="8" t="s">
        <v>2391</v>
      </c>
      <c r="B870" s="8" t="s">
        <v>232</v>
      </c>
      <c r="C870" s="8" t="str">
        <f t="shared" si="36"/>
        <v>att_tissue:areolar</v>
      </c>
      <c r="D870" s="8" t="s">
        <v>2391</v>
      </c>
      <c r="E870" s="8" t="s">
        <v>2392</v>
      </c>
      <c r="F870" s="8" t="s">
        <v>2393</v>
      </c>
    </row>
    <row r="871" spans="1:6" x14ac:dyDescent="0.15">
      <c r="A871" s="8" t="s">
        <v>2394</v>
      </c>
      <c r="B871" s="8" t="s">
        <v>232</v>
      </c>
      <c r="C871" s="8" t="str">
        <f t="shared" si="36"/>
        <v>att_tissue:blood</v>
      </c>
      <c r="D871" s="8" t="s">
        <v>2394</v>
      </c>
      <c r="E871" s="8" t="s">
        <v>2395</v>
      </c>
      <c r="F871" s="8" t="s">
        <v>2395</v>
      </c>
    </row>
    <row r="872" spans="1:6" x14ac:dyDescent="0.15">
      <c r="A872" s="8" t="s">
        <v>2396</v>
      </c>
      <c r="B872" s="8" t="s">
        <v>232</v>
      </c>
      <c r="C872" s="8" t="str">
        <f t="shared" si="36"/>
        <v>att_tissue:connective</v>
      </c>
      <c r="D872" s="8" t="s">
        <v>2396</v>
      </c>
      <c r="E872" s="8" t="s">
        <v>2397</v>
      </c>
      <c r="F872" s="8" t="s">
        <v>2398</v>
      </c>
    </row>
    <row r="873" spans="1:6" x14ac:dyDescent="0.15">
      <c r="A873" s="8" t="s">
        <v>2399</v>
      </c>
      <c r="B873" s="8" t="s">
        <v>232</v>
      </c>
      <c r="C873" s="8" t="str">
        <f t="shared" si="36"/>
        <v>att_tissue:dermis</v>
      </c>
      <c r="D873" s="8" t="s">
        <v>2399</v>
      </c>
      <c r="E873" s="8" t="s">
        <v>2400</v>
      </c>
      <c r="F873" s="8" t="s">
        <v>2400</v>
      </c>
    </row>
    <row r="874" spans="1:6" x14ac:dyDescent="0.15">
      <c r="A874" s="8" t="s">
        <v>2401</v>
      </c>
      <c r="B874" s="8" t="s">
        <v>232</v>
      </c>
      <c r="C874" s="8" t="str">
        <f t="shared" si="36"/>
        <v>att_tissue:epidermis</v>
      </c>
      <c r="D874" s="8" t="s">
        <v>2401</v>
      </c>
      <c r="E874" s="8" t="s">
        <v>2402</v>
      </c>
      <c r="F874" s="8" t="s">
        <v>2402</v>
      </c>
    </row>
    <row r="875" spans="1:6" x14ac:dyDescent="0.15">
      <c r="A875" s="8" t="s">
        <v>2403</v>
      </c>
      <c r="B875" s="8" t="s">
        <v>232</v>
      </c>
      <c r="C875" s="8" t="str">
        <f t="shared" si="36"/>
        <v>att_tissue:epithelial</v>
      </c>
      <c r="D875" s="8" t="s">
        <v>2403</v>
      </c>
      <c r="E875" s="8" t="s">
        <v>2404</v>
      </c>
      <c r="F875" s="8" t="s">
        <v>2405</v>
      </c>
    </row>
    <row r="876" spans="1:6" x14ac:dyDescent="0.15">
      <c r="A876" s="8" t="s">
        <v>2406</v>
      </c>
      <c r="B876" s="8" t="s">
        <v>232</v>
      </c>
      <c r="C876" s="8" t="str">
        <f t="shared" si="36"/>
        <v>att_tissue:hypodermis</v>
      </c>
      <c r="D876" s="8" t="s">
        <v>2406</v>
      </c>
      <c r="E876" s="8" t="s">
        <v>2407</v>
      </c>
      <c r="F876" s="8" t="s">
        <v>2407</v>
      </c>
    </row>
    <row r="877" spans="1:6" x14ac:dyDescent="0.15">
      <c r="A877" s="8" t="s">
        <v>2408</v>
      </c>
      <c r="B877" s="8" t="s">
        <v>232</v>
      </c>
      <c r="C877" s="8" t="str">
        <f t="shared" si="36"/>
        <v>att_tissue:muscle</v>
      </c>
      <c r="D877" s="8" t="s">
        <v>2408</v>
      </c>
      <c r="E877" s="8" t="s">
        <v>2806</v>
      </c>
      <c r="F877" s="8" t="s">
        <v>2409</v>
      </c>
    </row>
    <row r="878" spans="1:6" x14ac:dyDescent="0.15">
      <c r="A878" s="8" t="s">
        <v>2410</v>
      </c>
      <c r="B878" s="8" t="s">
        <v>232</v>
      </c>
      <c r="C878" s="8" t="str">
        <f t="shared" si="36"/>
        <v>att_tissue:nervous</v>
      </c>
      <c r="D878" s="8" t="s">
        <v>2410</v>
      </c>
      <c r="E878" s="8" t="s">
        <v>2229</v>
      </c>
      <c r="F878" s="8" t="s">
        <v>2411</v>
      </c>
    </row>
    <row r="879" spans="1:6" x14ac:dyDescent="0.15">
      <c r="A879" s="8" t="s">
        <v>2412</v>
      </c>
      <c r="B879" s="8" t="s">
        <v>232</v>
      </c>
      <c r="C879" s="8" t="str">
        <f t="shared" si="36"/>
        <v>att_tissue:reticular</v>
      </c>
      <c r="D879" s="8" t="s">
        <v>2412</v>
      </c>
      <c r="E879" s="8" t="s">
        <v>2413</v>
      </c>
      <c r="F879" s="8" t="s">
        <v>2414</v>
      </c>
    </row>
    <row r="880" spans="1:6" x14ac:dyDescent="0.15">
      <c r="A880" s="8" t="s">
        <v>2415</v>
      </c>
      <c r="B880" s="8" t="s">
        <v>232</v>
      </c>
      <c r="C880" s="8" t="str">
        <f t="shared" si="36"/>
        <v>att_tissue:stromal</v>
      </c>
      <c r="D880" s="8" t="s">
        <v>2415</v>
      </c>
      <c r="E880" s="8" t="s">
        <v>2416</v>
      </c>
      <c r="F880" s="8" t="s">
        <v>2417</v>
      </c>
    </row>
    <row r="881" spans="1:6" x14ac:dyDescent="0.15">
      <c r="A881" s="8" t="s">
        <v>2418</v>
      </c>
      <c r="B881" s="8" t="s">
        <v>234</v>
      </c>
      <c r="C881" s="8" t="str">
        <f t="shared" si="36"/>
        <v>att_tmt_channel:tmt10_126</v>
      </c>
      <c r="D881" s="9" t="s">
        <v>17</v>
      </c>
      <c r="E881" s="8">
        <v>126</v>
      </c>
      <c r="F881" s="9" t="s">
        <v>17</v>
      </c>
    </row>
    <row r="882" spans="1:6" x14ac:dyDescent="0.15">
      <c r="A882" s="8" t="s">
        <v>2419</v>
      </c>
      <c r="B882" s="8" t="s">
        <v>234</v>
      </c>
      <c r="C882" s="8" t="str">
        <f t="shared" si="36"/>
        <v>att_tmt_channel:tmt10_127C</v>
      </c>
      <c r="D882" s="9" t="s">
        <v>17</v>
      </c>
      <c r="E882" s="8" t="s">
        <v>2420</v>
      </c>
      <c r="F882" s="9" t="s">
        <v>17</v>
      </c>
    </row>
    <row r="883" spans="1:6" x14ac:dyDescent="0.15">
      <c r="A883" s="8" t="s">
        <v>2421</v>
      </c>
      <c r="B883" s="8" t="s">
        <v>234</v>
      </c>
      <c r="C883" s="8" t="str">
        <f t="shared" si="36"/>
        <v>att_tmt_channel:tmt10_127N</v>
      </c>
      <c r="D883" s="9" t="s">
        <v>17</v>
      </c>
      <c r="E883" s="8" t="s">
        <v>2422</v>
      </c>
      <c r="F883" s="9" t="s">
        <v>17</v>
      </c>
    </row>
    <row r="884" spans="1:6" x14ac:dyDescent="0.15">
      <c r="A884" s="8" t="s">
        <v>2423</v>
      </c>
      <c r="B884" s="8" t="s">
        <v>234</v>
      </c>
      <c r="C884" s="8" t="str">
        <f t="shared" si="36"/>
        <v>att_tmt_channel:tmt10_128C</v>
      </c>
      <c r="D884" s="9" t="s">
        <v>17</v>
      </c>
      <c r="E884" s="8" t="s">
        <v>2424</v>
      </c>
      <c r="F884" s="9" t="s">
        <v>17</v>
      </c>
    </row>
    <row r="885" spans="1:6" x14ac:dyDescent="0.15">
      <c r="A885" s="8" t="s">
        <v>2425</v>
      </c>
      <c r="B885" s="8" t="s">
        <v>234</v>
      </c>
      <c r="C885" s="8" t="str">
        <f t="shared" si="36"/>
        <v>att_tmt_channel:tmt10_128N</v>
      </c>
      <c r="D885" s="9" t="s">
        <v>17</v>
      </c>
      <c r="E885" s="8" t="s">
        <v>2426</v>
      </c>
      <c r="F885" s="9" t="s">
        <v>17</v>
      </c>
    </row>
    <row r="886" spans="1:6" x14ac:dyDescent="0.15">
      <c r="A886" s="8" t="s">
        <v>2427</v>
      </c>
      <c r="B886" s="8" t="s">
        <v>234</v>
      </c>
      <c r="C886" s="8" t="str">
        <f t="shared" si="36"/>
        <v>att_tmt_channel:tmt10_129C</v>
      </c>
      <c r="D886" s="9" t="s">
        <v>17</v>
      </c>
      <c r="E886" s="8" t="s">
        <v>2428</v>
      </c>
      <c r="F886" s="9" t="s">
        <v>17</v>
      </c>
    </row>
    <row r="887" spans="1:6" x14ac:dyDescent="0.15">
      <c r="A887" s="8" t="s">
        <v>2429</v>
      </c>
      <c r="B887" s="8" t="s">
        <v>234</v>
      </c>
      <c r="C887" s="8" t="str">
        <f t="shared" si="36"/>
        <v>att_tmt_channel:tmt10_129N</v>
      </c>
      <c r="D887" s="9" t="s">
        <v>17</v>
      </c>
      <c r="E887" s="8" t="s">
        <v>2430</v>
      </c>
      <c r="F887" s="9" t="s">
        <v>17</v>
      </c>
    </row>
    <row r="888" spans="1:6" x14ac:dyDescent="0.15">
      <c r="A888" s="8" t="s">
        <v>2431</v>
      </c>
      <c r="B888" s="8" t="s">
        <v>234</v>
      </c>
      <c r="C888" s="8" t="str">
        <f t="shared" si="36"/>
        <v>att_tmt_channel:tmt10_130C</v>
      </c>
      <c r="D888" s="9" t="s">
        <v>17</v>
      </c>
      <c r="E888" s="8" t="s">
        <v>2432</v>
      </c>
      <c r="F888" s="9" t="s">
        <v>17</v>
      </c>
    </row>
    <row r="889" spans="1:6" x14ac:dyDescent="0.15">
      <c r="A889" s="8" t="s">
        <v>2433</v>
      </c>
      <c r="B889" s="8" t="s">
        <v>234</v>
      </c>
      <c r="C889" s="8" t="str">
        <f t="shared" si="36"/>
        <v>att_tmt_channel:tmt10_130N</v>
      </c>
      <c r="D889" s="9" t="s">
        <v>17</v>
      </c>
      <c r="E889" s="8" t="s">
        <v>2434</v>
      </c>
      <c r="F889" s="9" t="s">
        <v>17</v>
      </c>
    </row>
    <row r="890" spans="1:6" x14ac:dyDescent="0.15">
      <c r="A890" s="8" t="s">
        <v>2435</v>
      </c>
      <c r="B890" s="8" t="s">
        <v>234</v>
      </c>
      <c r="C890" s="8" t="str">
        <f t="shared" si="36"/>
        <v>att_tmt_channel:tmt10_131</v>
      </c>
      <c r="D890" s="9" t="s">
        <v>17</v>
      </c>
      <c r="E890" s="8">
        <v>131</v>
      </c>
      <c r="F890" s="9" t="s">
        <v>17</v>
      </c>
    </row>
    <row r="891" spans="1:6" x14ac:dyDescent="0.15">
      <c r="A891" s="8" t="s">
        <v>2436</v>
      </c>
      <c r="B891" s="8" t="s">
        <v>234</v>
      </c>
      <c r="C891" s="8" t="str">
        <f t="shared" si="36"/>
        <v>att_tmt_channel:tmt11_126</v>
      </c>
      <c r="D891" s="9" t="s">
        <v>17</v>
      </c>
      <c r="E891" s="8">
        <v>126</v>
      </c>
      <c r="F891" s="9" t="s">
        <v>17</v>
      </c>
    </row>
    <row r="892" spans="1:6" x14ac:dyDescent="0.15">
      <c r="A892" s="8" t="s">
        <v>2437</v>
      </c>
      <c r="B892" s="8" t="s">
        <v>234</v>
      </c>
      <c r="C892" s="8" t="str">
        <f t="shared" si="36"/>
        <v>att_tmt_channel:tmt11_127C</v>
      </c>
      <c r="D892" s="9" t="s">
        <v>17</v>
      </c>
      <c r="E892" s="8" t="s">
        <v>2420</v>
      </c>
      <c r="F892" s="9" t="s">
        <v>17</v>
      </c>
    </row>
    <row r="893" spans="1:6" x14ac:dyDescent="0.15">
      <c r="A893" s="8" t="s">
        <v>2438</v>
      </c>
      <c r="B893" s="8" t="s">
        <v>234</v>
      </c>
      <c r="C893" s="8" t="str">
        <f t="shared" si="36"/>
        <v>att_tmt_channel:tmt11_127N</v>
      </c>
      <c r="D893" s="9" t="s">
        <v>17</v>
      </c>
      <c r="E893" s="8" t="s">
        <v>2422</v>
      </c>
      <c r="F893" s="9" t="s">
        <v>17</v>
      </c>
    </row>
    <row r="894" spans="1:6" x14ac:dyDescent="0.15">
      <c r="A894" s="8" t="s">
        <v>2439</v>
      </c>
      <c r="B894" s="8" t="s">
        <v>234</v>
      </c>
      <c r="C894" s="8" t="str">
        <f t="shared" si="36"/>
        <v>att_tmt_channel:tmt11_128C</v>
      </c>
      <c r="D894" s="9" t="s">
        <v>17</v>
      </c>
      <c r="E894" s="8" t="s">
        <v>2424</v>
      </c>
      <c r="F894" s="9" t="s">
        <v>17</v>
      </c>
    </row>
    <row r="895" spans="1:6" x14ac:dyDescent="0.15">
      <c r="A895" s="8" t="s">
        <v>2440</v>
      </c>
      <c r="B895" s="8" t="s">
        <v>234</v>
      </c>
      <c r="C895" s="8" t="str">
        <f t="shared" si="36"/>
        <v>att_tmt_channel:tmt11_128N</v>
      </c>
      <c r="D895" s="9" t="s">
        <v>17</v>
      </c>
      <c r="E895" s="8" t="s">
        <v>2426</v>
      </c>
      <c r="F895" s="9" t="s">
        <v>17</v>
      </c>
    </row>
    <row r="896" spans="1:6" x14ac:dyDescent="0.15">
      <c r="A896" s="8" t="s">
        <v>2441</v>
      </c>
      <c r="B896" s="8" t="s">
        <v>234</v>
      </c>
      <c r="C896" s="8" t="str">
        <f t="shared" si="36"/>
        <v>att_tmt_channel:tmt11_129C</v>
      </c>
      <c r="D896" s="9" t="s">
        <v>17</v>
      </c>
      <c r="E896" s="8" t="s">
        <v>2428</v>
      </c>
      <c r="F896" s="9" t="s">
        <v>17</v>
      </c>
    </row>
    <row r="897" spans="1:6" x14ac:dyDescent="0.15">
      <c r="A897" s="8" t="s">
        <v>2442</v>
      </c>
      <c r="B897" s="8" t="s">
        <v>234</v>
      </c>
      <c r="C897" s="8" t="str">
        <f t="shared" si="36"/>
        <v>att_tmt_channel:tmt11_129N</v>
      </c>
      <c r="D897" s="9" t="s">
        <v>17</v>
      </c>
      <c r="E897" s="8" t="s">
        <v>2430</v>
      </c>
      <c r="F897" s="9" t="s">
        <v>17</v>
      </c>
    </row>
    <row r="898" spans="1:6" x14ac:dyDescent="0.15">
      <c r="A898" s="8" t="s">
        <v>2443</v>
      </c>
      <c r="B898" s="8" t="s">
        <v>234</v>
      </c>
      <c r="C898" s="8" t="str">
        <f t="shared" si="36"/>
        <v>att_tmt_channel:tmt11_130C</v>
      </c>
      <c r="D898" s="9" t="s">
        <v>17</v>
      </c>
      <c r="E898" s="8" t="s">
        <v>2432</v>
      </c>
      <c r="F898" s="9" t="s">
        <v>17</v>
      </c>
    </row>
    <row r="899" spans="1:6" x14ac:dyDescent="0.15">
      <c r="A899" s="8" t="s">
        <v>2444</v>
      </c>
      <c r="B899" s="8" t="s">
        <v>234</v>
      </c>
      <c r="C899" s="8" t="str">
        <f t="shared" si="36"/>
        <v>att_tmt_channel:tmt11_130N</v>
      </c>
      <c r="D899" s="9" t="s">
        <v>17</v>
      </c>
      <c r="E899" s="8" t="s">
        <v>2434</v>
      </c>
      <c r="F899" s="9" t="s">
        <v>17</v>
      </c>
    </row>
    <row r="900" spans="1:6" x14ac:dyDescent="0.15">
      <c r="A900" s="8" t="s">
        <v>2445</v>
      </c>
      <c r="B900" s="8" t="s">
        <v>234</v>
      </c>
      <c r="C900" s="8" t="str">
        <f t="shared" si="36"/>
        <v>att_tmt_channel:tmt11_131C</v>
      </c>
      <c r="D900" s="9" t="s">
        <v>17</v>
      </c>
      <c r="E900" s="8" t="s">
        <v>2446</v>
      </c>
      <c r="F900" s="9" t="s">
        <v>17</v>
      </c>
    </row>
    <row r="901" spans="1:6" x14ac:dyDescent="0.15">
      <c r="A901" s="8" t="s">
        <v>2447</v>
      </c>
      <c r="B901" s="8" t="s">
        <v>234</v>
      </c>
      <c r="C901" s="8" t="str">
        <f t="shared" si="36"/>
        <v>att_tmt_channel:tmt11_131N</v>
      </c>
      <c r="D901" s="9" t="s">
        <v>17</v>
      </c>
      <c r="E901" s="8" t="s">
        <v>2448</v>
      </c>
      <c r="F901" s="9" t="s">
        <v>17</v>
      </c>
    </row>
    <row r="902" spans="1:6" x14ac:dyDescent="0.15">
      <c r="A902" s="8" t="s">
        <v>2449</v>
      </c>
      <c r="B902" s="8" t="s">
        <v>234</v>
      </c>
      <c r="C902" s="8" t="str">
        <f t="shared" si="36"/>
        <v>att_tmt_channel:tmt18_126</v>
      </c>
      <c r="D902" s="9" t="s">
        <v>17</v>
      </c>
      <c r="E902" s="8">
        <v>126</v>
      </c>
      <c r="F902" s="9" t="s">
        <v>17</v>
      </c>
    </row>
    <row r="903" spans="1:6" x14ac:dyDescent="0.15">
      <c r="A903" s="8" t="s">
        <v>2450</v>
      </c>
      <c r="B903" s="8" t="s">
        <v>234</v>
      </c>
      <c r="C903" s="8" t="str">
        <f t="shared" si="36"/>
        <v>att_tmt_channel:tmt18_127C</v>
      </c>
      <c r="D903" s="9" t="s">
        <v>17</v>
      </c>
      <c r="E903" s="8" t="s">
        <v>2420</v>
      </c>
      <c r="F903" s="9" t="s">
        <v>17</v>
      </c>
    </row>
    <row r="904" spans="1:6" x14ac:dyDescent="0.15">
      <c r="A904" s="8" t="s">
        <v>2451</v>
      </c>
      <c r="B904" s="8" t="s">
        <v>234</v>
      </c>
      <c r="C904" s="8" t="str">
        <f t="shared" si="36"/>
        <v>att_tmt_channel:tmt18_127N</v>
      </c>
      <c r="D904" s="9" t="s">
        <v>17</v>
      </c>
      <c r="E904" s="8" t="s">
        <v>2422</v>
      </c>
      <c r="F904" s="9" t="s">
        <v>17</v>
      </c>
    </row>
    <row r="905" spans="1:6" x14ac:dyDescent="0.15">
      <c r="A905" s="8" t="s">
        <v>2452</v>
      </c>
      <c r="B905" s="8" t="s">
        <v>234</v>
      </c>
      <c r="C905" s="8" t="str">
        <f t="shared" si="36"/>
        <v>att_tmt_channel:tmt18_128C</v>
      </c>
      <c r="D905" s="9" t="s">
        <v>17</v>
      </c>
      <c r="E905" s="8" t="s">
        <v>2424</v>
      </c>
      <c r="F905" s="9" t="s">
        <v>17</v>
      </c>
    </row>
    <row r="906" spans="1:6" x14ac:dyDescent="0.15">
      <c r="A906" s="8" t="s">
        <v>2453</v>
      </c>
      <c r="B906" s="8" t="s">
        <v>234</v>
      </c>
      <c r="C906" s="8" t="str">
        <f t="shared" si="36"/>
        <v>att_tmt_channel:tmt18_128N</v>
      </c>
      <c r="D906" s="9" t="s">
        <v>17</v>
      </c>
      <c r="E906" s="8" t="s">
        <v>2426</v>
      </c>
      <c r="F906" s="9" t="s">
        <v>17</v>
      </c>
    </row>
    <row r="907" spans="1:6" x14ac:dyDescent="0.15">
      <c r="A907" s="8" t="s">
        <v>2454</v>
      </c>
      <c r="B907" s="8" t="s">
        <v>234</v>
      </c>
      <c r="C907" s="8" t="str">
        <f t="shared" si="36"/>
        <v>att_tmt_channel:tmt18_129C</v>
      </c>
      <c r="D907" s="9" t="s">
        <v>17</v>
      </c>
      <c r="E907" s="8" t="s">
        <v>2428</v>
      </c>
      <c r="F907" s="9" t="s">
        <v>17</v>
      </c>
    </row>
    <row r="908" spans="1:6" x14ac:dyDescent="0.15">
      <c r="A908" s="8" t="s">
        <v>2455</v>
      </c>
      <c r="B908" s="8" t="s">
        <v>234</v>
      </c>
      <c r="C908" s="8" t="str">
        <f t="shared" si="36"/>
        <v>att_tmt_channel:tmt18_129N</v>
      </c>
      <c r="D908" s="9" t="s">
        <v>17</v>
      </c>
      <c r="E908" s="8" t="s">
        <v>2430</v>
      </c>
      <c r="F908" s="9" t="s">
        <v>17</v>
      </c>
    </row>
    <row r="909" spans="1:6" x14ac:dyDescent="0.15">
      <c r="A909" s="8" t="s">
        <v>2456</v>
      </c>
      <c r="B909" s="8" t="s">
        <v>234</v>
      </c>
      <c r="C909" s="8" t="str">
        <f t="shared" si="36"/>
        <v>att_tmt_channel:tmt18_130C</v>
      </c>
      <c r="D909" s="9" t="s">
        <v>17</v>
      </c>
      <c r="E909" s="8" t="s">
        <v>2432</v>
      </c>
      <c r="F909" s="9" t="s">
        <v>17</v>
      </c>
    </row>
    <row r="910" spans="1:6" x14ac:dyDescent="0.15">
      <c r="A910" s="8" t="s">
        <v>2457</v>
      </c>
      <c r="B910" s="8" t="s">
        <v>234</v>
      </c>
      <c r="C910" s="8" t="str">
        <f t="shared" si="36"/>
        <v>att_tmt_channel:tmt18_130N</v>
      </c>
      <c r="D910" s="9" t="s">
        <v>17</v>
      </c>
      <c r="E910" s="8" t="s">
        <v>2434</v>
      </c>
      <c r="F910" s="9" t="s">
        <v>17</v>
      </c>
    </row>
    <row r="911" spans="1:6" x14ac:dyDescent="0.15">
      <c r="A911" s="8" t="s">
        <v>2458</v>
      </c>
      <c r="B911" s="8" t="s">
        <v>234</v>
      </c>
      <c r="C911" s="8" t="str">
        <f t="shared" si="36"/>
        <v>att_tmt_channel:tmt18_131C</v>
      </c>
      <c r="D911" s="9" t="s">
        <v>17</v>
      </c>
      <c r="E911" s="8" t="s">
        <v>2446</v>
      </c>
      <c r="F911" s="9" t="s">
        <v>17</v>
      </c>
    </row>
    <row r="912" spans="1:6" x14ac:dyDescent="0.15">
      <c r="A912" s="8" t="s">
        <v>2459</v>
      </c>
      <c r="B912" s="8" t="s">
        <v>234</v>
      </c>
      <c r="C912" s="8" t="str">
        <f t="shared" si="36"/>
        <v>att_tmt_channel:tmt18_131N</v>
      </c>
      <c r="D912" s="9" t="s">
        <v>17</v>
      </c>
      <c r="E912" s="8" t="s">
        <v>2448</v>
      </c>
      <c r="F912" s="9" t="s">
        <v>17</v>
      </c>
    </row>
    <row r="913" spans="1:6" x14ac:dyDescent="0.15">
      <c r="A913" s="8" t="s">
        <v>2460</v>
      </c>
      <c r="B913" s="8" t="s">
        <v>234</v>
      </c>
      <c r="C913" s="8" t="str">
        <f t="shared" si="36"/>
        <v>att_tmt_channel:tmt18_132C</v>
      </c>
      <c r="D913" s="9" t="s">
        <v>17</v>
      </c>
      <c r="E913" s="8" t="s">
        <v>2461</v>
      </c>
      <c r="F913" s="9" t="s">
        <v>17</v>
      </c>
    </row>
    <row r="914" spans="1:6" x14ac:dyDescent="0.15">
      <c r="A914" s="8" t="s">
        <v>2462</v>
      </c>
      <c r="B914" s="8" t="s">
        <v>234</v>
      </c>
      <c r="C914" s="8" t="str">
        <f t="shared" si="36"/>
        <v>att_tmt_channel:tmt18_132N</v>
      </c>
      <c r="D914" s="9" t="s">
        <v>17</v>
      </c>
      <c r="E914" s="8" t="s">
        <v>2463</v>
      </c>
      <c r="F914" s="9" t="s">
        <v>17</v>
      </c>
    </row>
    <row r="915" spans="1:6" x14ac:dyDescent="0.15">
      <c r="A915" s="8" t="s">
        <v>2464</v>
      </c>
      <c r="B915" s="8" t="s">
        <v>234</v>
      </c>
      <c r="C915" s="8" t="str">
        <f t="shared" si="36"/>
        <v>att_tmt_channel:tmt18_133C</v>
      </c>
      <c r="D915" s="9" t="s">
        <v>17</v>
      </c>
      <c r="E915" s="8" t="s">
        <v>2465</v>
      </c>
      <c r="F915" s="9" t="s">
        <v>17</v>
      </c>
    </row>
    <row r="916" spans="1:6" x14ac:dyDescent="0.15">
      <c r="A916" s="8" t="s">
        <v>2466</v>
      </c>
      <c r="B916" s="8" t="s">
        <v>234</v>
      </c>
      <c r="C916" s="8" t="str">
        <f t="shared" si="36"/>
        <v>att_tmt_channel:tmt18_133N</v>
      </c>
      <c r="D916" s="9" t="s">
        <v>17</v>
      </c>
      <c r="E916" s="8" t="s">
        <v>2467</v>
      </c>
      <c r="F916" s="9" t="s">
        <v>17</v>
      </c>
    </row>
    <row r="917" spans="1:6" x14ac:dyDescent="0.15">
      <c r="A917" s="8" t="s">
        <v>2468</v>
      </c>
      <c r="B917" s="8" t="s">
        <v>234</v>
      </c>
      <c r="C917" s="8" t="str">
        <f t="shared" si="36"/>
        <v>att_tmt_channel:tmt18_134C</v>
      </c>
      <c r="D917" s="9" t="s">
        <v>17</v>
      </c>
      <c r="E917" s="8" t="s">
        <v>2469</v>
      </c>
      <c r="F917" s="9" t="s">
        <v>17</v>
      </c>
    </row>
    <row r="918" spans="1:6" x14ac:dyDescent="0.15">
      <c r="A918" s="8" t="s">
        <v>2470</v>
      </c>
      <c r="B918" s="8" t="s">
        <v>234</v>
      </c>
      <c r="C918" s="8" t="str">
        <f t="shared" si="36"/>
        <v>att_tmt_channel:tmt18_134N</v>
      </c>
      <c r="D918" s="9" t="s">
        <v>17</v>
      </c>
      <c r="E918" s="8" t="s">
        <v>2471</v>
      </c>
      <c r="F918" s="9" t="s">
        <v>17</v>
      </c>
    </row>
    <row r="919" spans="1:6" x14ac:dyDescent="0.15">
      <c r="A919" s="8" t="s">
        <v>2472</v>
      </c>
      <c r="B919" s="8" t="s">
        <v>234</v>
      </c>
      <c r="C919" s="8" t="str">
        <f t="shared" si="36"/>
        <v>att_tmt_channel:tmt18_135N</v>
      </c>
      <c r="D919" s="9" t="s">
        <v>17</v>
      </c>
      <c r="E919" s="8" t="s">
        <v>2473</v>
      </c>
      <c r="F919" s="9" t="s">
        <v>17</v>
      </c>
    </row>
    <row r="920" spans="1:6" x14ac:dyDescent="0.15">
      <c r="A920" s="8" t="s">
        <v>2474</v>
      </c>
      <c r="B920" s="8" t="s">
        <v>234</v>
      </c>
      <c r="C920" s="8" t="str">
        <f t="shared" si="36"/>
        <v>att_tmt_channel:tmt6_126</v>
      </c>
      <c r="D920" s="9" t="s">
        <v>17</v>
      </c>
      <c r="E920" s="8">
        <v>126</v>
      </c>
      <c r="F920" s="9" t="s">
        <v>17</v>
      </c>
    </row>
    <row r="921" spans="1:6" x14ac:dyDescent="0.15">
      <c r="A921" s="8" t="s">
        <v>2475</v>
      </c>
      <c r="B921" s="8" t="s">
        <v>234</v>
      </c>
      <c r="C921" s="8" t="str">
        <f t="shared" si="36"/>
        <v>att_tmt_channel:tmt6_127</v>
      </c>
      <c r="D921" s="9" t="s">
        <v>17</v>
      </c>
      <c r="E921" s="8">
        <v>127</v>
      </c>
      <c r="F921" s="9" t="s">
        <v>17</v>
      </c>
    </row>
    <row r="922" spans="1:6" x14ac:dyDescent="0.15">
      <c r="A922" s="8" t="s">
        <v>2476</v>
      </c>
      <c r="B922" s="8" t="s">
        <v>234</v>
      </c>
      <c r="C922" s="8" t="str">
        <f t="shared" si="36"/>
        <v>att_tmt_channel:tmt6_128</v>
      </c>
      <c r="D922" s="9" t="s">
        <v>17</v>
      </c>
      <c r="E922" s="8">
        <v>128</v>
      </c>
      <c r="F922" s="9" t="s">
        <v>17</v>
      </c>
    </row>
    <row r="923" spans="1:6" x14ac:dyDescent="0.15">
      <c r="A923" s="8" t="s">
        <v>2477</v>
      </c>
      <c r="B923" s="8" t="s">
        <v>234</v>
      </c>
      <c r="C923" s="8" t="str">
        <f t="shared" si="36"/>
        <v>att_tmt_channel:tmt6_129</v>
      </c>
      <c r="D923" s="9" t="s">
        <v>17</v>
      </c>
      <c r="E923" s="8">
        <v>129</v>
      </c>
      <c r="F923" s="9" t="s">
        <v>17</v>
      </c>
    </row>
    <row r="924" spans="1:6" x14ac:dyDescent="0.15">
      <c r="A924" s="8" t="s">
        <v>2478</v>
      </c>
      <c r="B924" s="8" t="s">
        <v>234</v>
      </c>
      <c r="C924" s="8" t="str">
        <f t="shared" si="36"/>
        <v>att_tmt_channel:tmt6_130</v>
      </c>
      <c r="D924" s="9" t="s">
        <v>17</v>
      </c>
      <c r="E924" s="8">
        <v>130</v>
      </c>
      <c r="F924" s="9" t="s">
        <v>17</v>
      </c>
    </row>
    <row r="925" spans="1:6" x14ac:dyDescent="0.15">
      <c r="A925" s="8" t="s">
        <v>2479</v>
      </c>
      <c r="B925" s="8" t="s">
        <v>234</v>
      </c>
      <c r="C925" s="8" t="str">
        <f t="shared" si="36"/>
        <v>att_tmt_channel:tmt6_131</v>
      </c>
      <c r="D925" s="9" t="s">
        <v>17</v>
      </c>
      <c r="E925" s="8">
        <v>131</v>
      </c>
      <c r="F925" s="9" t="s">
        <v>17</v>
      </c>
    </row>
    <row r="926" spans="1:6" x14ac:dyDescent="0.15">
      <c r="A926" s="8" t="s">
        <v>2480</v>
      </c>
      <c r="B926" s="8" t="s">
        <v>242</v>
      </c>
      <c r="C926" s="8" t="str">
        <f t="shared" si="36"/>
        <v>att_user_institute:biochem</v>
      </c>
      <c r="D926" s="9" t="s">
        <v>17</v>
      </c>
      <c r="E926" s="8" t="s">
        <v>2481</v>
      </c>
      <c r="F926" s="8" t="s">
        <v>2482</v>
      </c>
    </row>
    <row r="927" spans="1:6" x14ac:dyDescent="0.15">
      <c r="A927" s="8" t="s">
        <v>2483</v>
      </c>
      <c r="B927" s="8" t="s">
        <v>242</v>
      </c>
      <c r="C927" s="8" t="str">
        <f t="shared" si="36"/>
        <v>att_user_institute:cecad</v>
      </c>
      <c r="D927" s="9" t="s">
        <v>17</v>
      </c>
      <c r="E927" s="8" t="s">
        <v>2484</v>
      </c>
      <c r="F927" s="8" t="s">
        <v>2485</v>
      </c>
    </row>
    <row r="928" spans="1:6" x14ac:dyDescent="0.15">
      <c r="A928" s="8" t="s">
        <v>2486</v>
      </c>
      <c r="B928" s="8" t="s">
        <v>242</v>
      </c>
      <c r="C928" s="8" t="str">
        <f t="shared" ref="C928:C937" si="40">B928&amp;":"&amp;A928</f>
        <v>att_user_institute:mpiage</v>
      </c>
      <c r="D928" s="9" t="s">
        <v>17</v>
      </c>
      <c r="E928" s="8" t="s">
        <v>2487</v>
      </c>
      <c r="F928" s="8" t="s">
        <v>2488</v>
      </c>
    </row>
    <row r="929" spans="1:6" x14ac:dyDescent="0.15">
      <c r="A929" s="8" t="s">
        <v>2489</v>
      </c>
      <c r="B929" s="8" t="s">
        <v>242</v>
      </c>
      <c r="C929" s="8" t="str">
        <f t="shared" si="40"/>
        <v>att_user_institute:mpimetab</v>
      </c>
      <c r="D929" s="9" t="s">
        <v>17</v>
      </c>
      <c r="E929" s="8" t="s">
        <v>2490</v>
      </c>
      <c r="F929" s="8" t="s">
        <v>2491</v>
      </c>
    </row>
    <row r="930" spans="1:6" x14ac:dyDescent="0.15">
      <c r="A930" s="8" t="s">
        <v>3053</v>
      </c>
      <c r="B930" s="8" t="s">
        <v>242</v>
      </c>
      <c r="C930" s="8" t="str">
        <f t="shared" si="40"/>
        <v>att_user_institute:unibonn</v>
      </c>
      <c r="D930" s="9" t="s">
        <v>17</v>
      </c>
      <c r="E930" s="8" t="s">
        <v>3054</v>
      </c>
      <c r="F930" s="8" t="s">
        <v>3054</v>
      </c>
    </row>
    <row r="931" spans="1:6" x14ac:dyDescent="0.15">
      <c r="A931" s="8" t="s">
        <v>2492</v>
      </c>
      <c r="B931" s="8" t="s">
        <v>246</v>
      </c>
      <c r="C931" s="8" t="str">
        <f t="shared" si="40"/>
        <v>att_user_research_group:mitoprotea</v>
      </c>
      <c r="D931" s="8" t="s">
        <v>17</v>
      </c>
      <c r="E931" s="8" t="s">
        <v>2493</v>
      </c>
      <c r="F931" s="8" t="s">
        <v>2494</v>
      </c>
    </row>
    <row r="932" spans="1:6" x14ac:dyDescent="0.15">
      <c r="A932" s="8" t="s">
        <v>2495</v>
      </c>
      <c r="B932" s="8" t="s">
        <v>246</v>
      </c>
      <c r="C932" s="8" t="str">
        <f t="shared" si="40"/>
        <v>att_user_research_group:molageing</v>
      </c>
      <c r="D932" s="8" t="s">
        <v>17</v>
      </c>
      <c r="E932" s="8" t="s">
        <v>2496</v>
      </c>
      <c r="F932" s="8" t="s">
        <v>2497</v>
      </c>
    </row>
    <row r="933" spans="1:6" x14ac:dyDescent="0.15">
      <c r="A933" s="8" t="s">
        <v>3159</v>
      </c>
      <c r="B933" s="8" t="s">
        <v>246</v>
      </c>
      <c r="C933" s="8" t="str">
        <f t="shared" si="40"/>
        <v>att_user_research_group:protfa</v>
      </c>
      <c r="D933" s="8" t="s">
        <v>17</v>
      </c>
      <c r="E933" s="8" t="s">
        <v>3158</v>
      </c>
      <c r="F933" s="8" t="s">
        <v>3157</v>
      </c>
    </row>
    <row r="934" spans="1:6" x14ac:dyDescent="0.15">
      <c r="A934" s="8" t="s">
        <v>2859</v>
      </c>
      <c r="B934" s="8" t="s">
        <v>246</v>
      </c>
      <c r="C934" s="8" t="str">
        <f t="shared" si="40"/>
        <v>att_user_research_group:frezza</v>
      </c>
      <c r="D934" s="8" t="s">
        <v>17</v>
      </c>
      <c r="E934" s="8" t="s">
        <v>2860</v>
      </c>
      <c r="F934" s="8" t="s">
        <v>2861</v>
      </c>
    </row>
    <row r="935" spans="1:6" x14ac:dyDescent="0.15">
      <c r="A935" s="8" t="s">
        <v>2862</v>
      </c>
      <c r="B935" s="8" t="s">
        <v>246</v>
      </c>
      <c r="C935" s="8" t="str">
        <f t="shared" si="40"/>
        <v>att_user_research_group:krueger</v>
      </c>
      <c r="D935" s="8" t="s">
        <v>17</v>
      </c>
      <c r="E935" s="8" t="s">
        <v>2863</v>
      </c>
      <c r="F935" s="8" t="s">
        <v>2864</v>
      </c>
    </row>
    <row r="936" spans="1:6" x14ac:dyDescent="0.15">
      <c r="A936" s="8" t="s">
        <v>2865</v>
      </c>
      <c r="B936" s="8" t="s">
        <v>246</v>
      </c>
      <c r="C936" s="8" t="str">
        <f t="shared" si="40"/>
        <v>att_user_research_group:rugarli</v>
      </c>
      <c r="D936" s="8" t="s">
        <v>17</v>
      </c>
      <c r="E936" s="8" t="s">
        <v>2866</v>
      </c>
      <c r="F936" s="8" t="s">
        <v>2864</v>
      </c>
    </row>
    <row r="937" spans="1:6" x14ac:dyDescent="0.15">
      <c r="A937" s="8" t="s">
        <v>2867</v>
      </c>
      <c r="B937" s="8" t="s">
        <v>246</v>
      </c>
      <c r="C937" s="8" t="str">
        <f t="shared" si="40"/>
        <v>att_user_research_group:trifunovic</v>
      </c>
      <c r="D937" s="8" t="s">
        <v>17</v>
      </c>
      <c r="E937" s="8" t="s">
        <v>2868</v>
      </c>
      <c r="F937" s="8" t="s">
        <v>2869</v>
      </c>
    </row>
    <row r="938" spans="1:6" x14ac:dyDescent="0.15">
      <c r="A938" s="8" t="s">
        <v>3027</v>
      </c>
      <c r="B938" s="8" t="s">
        <v>246</v>
      </c>
      <c r="C938" s="8" t="str">
        <f t="shared" ref="C938:C947" si="41">B938&amp;":"&amp;A938</f>
        <v>att_user_research_group:bergmani</v>
      </c>
      <c r="D938" s="8" t="s">
        <v>17</v>
      </c>
      <c r="E938" s="8" t="s">
        <v>3035</v>
      </c>
      <c r="F938" s="8" t="s">
        <v>3045</v>
      </c>
    </row>
    <row r="939" spans="1:6" x14ac:dyDescent="0.15">
      <c r="A939" s="8" t="s">
        <v>3028</v>
      </c>
      <c r="B939" s="8" t="s">
        <v>246</v>
      </c>
      <c r="C939" s="8" t="str">
        <f t="shared" si="41"/>
        <v>att_user_research_group:motori</v>
      </c>
      <c r="D939" s="8" t="s">
        <v>17</v>
      </c>
      <c r="E939" s="8" t="s">
        <v>3036</v>
      </c>
      <c r="F939" s="8" t="s">
        <v>3046</v>
      </c>
    </row>
    <row r="940" spans="1:6" x14ac:dyDescent="0.15">
      <c r="A940" s="8" t="s">
        <v>3029</v>
      </c>
      <c r="B940" s="8" t="s">
        <v>246</v>
      </c>
      <c r="C940" s="8" t="str">
        <f t="shared" si="41"/>
        <v>att_user_research_group:becker</v>
      </c>
      <c r="D940" s="8" t="s">
        <v>17</v>
      </c>
      <c r="E940" s="8" t="s">
        <v>3037</v>
      </c>
      <c r="F940" s="8" t="s">
        <v>3052</v>
      </c>
    </row>
    <row r="941" spans="1:6" x14ac:dyDescent="0.15">
      <c r="A941" s="8" t="s">
        <v>3030</v>
      </c>
      <c r="B941" s="8" t="s">
        <v>246</v>
      </c>
      <c r="C941" s="8" t="str">
        <f t="shared" si="41"/>
        <v>att_user_research_group:bruening</v>
      </c>
      <c r="D941" s="8" t="s">
        <v>17</v>
      </c>
      <c r="E941" s="8" t="s">
        <v>3050</v>
      </c>
      <c r="F941" s="8" t="s">
        <v>3049</v>
      </c>
    </row>
    <row r="942" spans="1:6" x14ac:dyDescent="0.15">
      <c r="A942" s="8" t="s">
        <v>3039</v>
      </c>
      <c r="B942" s="8" t="s">
        <v>246</v>
      </c>
      <c r="C942" s="8" t="str">
        <f t="shared" si="41"/>
        <v>att_user_research_group:escobar</v>
      </c>
      <c r="D942" s="8" t="s">
        <v>17</v>
      </c>
      <c r="E942" s="8" t="s">
        <v>3038</v>
      </c>
      <c r="F942" s="8" t="s">
        <v>3047</v>
      </c>
    </row>
    <row r="943" spans="1:6" x14ac:dyDescent="0.15">
      <c r="A943" s="8" t="s">
        <v>2896</v>
      </c>
      <c r="B943" s="8" t="s">
        <v>246</v>
      </c>
      <c r="C943" s="8" t="str">
        <f t="shared" si="41"/>
        <v>att_user_research_group:garcia</v>
      </c>
      <c r="D943" s="8" t="s">
        <v>17</v>
      </c>
      <c r="E943" s="8" t="s">
        <v>2897</v>
      </c>
      <c r="F943" s="8" t="s">
        <v>3048</v>
      </c>
    </row>
    <row r="944" spans="1:6" x14ac:dyDescent="0.15">
      <c r="A944" s="8" t="s">
        <v>3031</v>
      </c>
      <c r="B944" s="8" t="s">
        <v>246</v>
      </c>
      <c r="C944" s="8" t="str">
        <f t="shared" si="41"/>
        <v>att_user_research_group:piano</v>
      </c>
      <c r="D944" s="8" t="s">
        <v>17</v>
      </c>
      <c r="E944" s="8" t="s">
        <v>3040</v>
      </c>
      <c r="F944" s="8" t="s">
        <v>3055</v>
      </c>
    </row>
    <row r="945" spans="1:6" x14ac:dyDescent="0.15">
      <c r="A945" s="8" t="s">
        <v>3032</v>
      </c>
      <c r="B945" s="8" t="s">
        <v>246</v>
      </c>
      <c r="C945" s="8" t="str">
        <f t="shared" si="41"/>
        <v>att_user_research_group:schwarz</v>
      </c>
      <c r="D945" s="8" t="s">
        <v>17</v>
      </c>
      <c r="E945" s="8" t="s">
        <v>3041</v>
      </c>
      <c r="F945" s="8" t="s">
        <v>3051</v>
      </c>
    </row>
    <row r="946" spans="1:6" x14ac:dyDescent="0.15">
      <c r="A946" s="8" t="s">
        <v>3033</v>
      </c>
      <c r="B946" s="8" t="s">
        <v>246</v>
      </c>
      <c r="C946" s="8" t="str">
        <f t="shared" si="41"/>
        <v>att_user_research_group:corrado</v>
      </c>
      <c r="D946" s="8" t="s">
        <v>17</v>
      </c>
      <c r="E946" s="8" t="s">
        <v>3042</v>
      </c>
      <c r="F946" s="8" t="s">
        <v>3056</v>
      </c>
    </row>
    <row r="947" spans="1:6" x14ac:dyDescent="0.15">
      <c r="A947" s="8" t="s">
        <v>3034</v>
      </c>
      <c r="B947" s="8" t="s">
        <v>246</v>
      </c>
      <c r="C947" s="8" t="str">
        <f t="shared" si="41"/>
        <v>att_user_research_group:eming</v>
      </c>
      <c r="D947" s="8" t="s">
        <v>17</v>
      </c>
      <c r="E947" s="8" t="s">
        <v>3043</v>
      </c>
      <c r="F947" s="8" t="s">
        <v>3044</v>
      </c>
    </row>
    <row r="948" spans="1:6" x14ac:dyDescent="0.15">
      <c r="A948" s="8" t="s">
        <v>2893</v>
      </c>
      <c r="B948" s="8" t="s">
        <v>246</v>
      </c>
      <c r="C948" s="8" t="str">
        <f t="shared" ref="C948:C987" si="42">B948&amp;":"&amp;A948</f>
        <v>att_user_research_group:hoppe</v>
      </c>
      <c r="D948" s="8" t="s">
        <v>17</v>
      </c>
      <c r="E948" s="8" t="s">
        <v>2894</v>
      </c>
      <c r="F948" s="8" t="s">
        <v>2895</v>
      </c>
    </row>
    <row r="949" spans="1:6" x14ac:dyDescent="0.15">
      <c r="A949" s="8" t="s">
        <v>2896</v>
      </c>
      <c r="B949" s="8" t="s">
        <v>246</v>
      </c>
      <c r="C949" s="8" t="str">
        <f t="shared" si="42"/>
        <v>att_user_research_group:garcia</v>
      </c>
      <c r="D949" s="8" t="s">
        <v>17</v>
      </c>
      <c r="E949" s="8" t="s">
        <v>2897</v>
      </c>
      <c r="F949" s="8" t="s">
        <v>2895</v>
      </c>
    </row>
    <row r="950" spans="1:6" x14ac:dyDescent="0.15">
      <c r="A950" s="8" t="s">
        <v>2898</v>
      </c>
      <c r="B950" s="8" t="s">
        <v>246</v>
      </c>
      <c r="C950" s="8" t="str">
        <f t="shared" si="42"/>
        <v>att_user_research_group:khaskar</v>
      </c>
      <c r="D950" s="8" t="s">
        <v>17</v>
      </c>
      <c r="E950" s="8" t="s">
        <v>2899</v>
      </c>
      <c r="F950" s="8" t="s">
        <v>2900</v>
      </c>
    </row>
    <row r="951" spans="1:6" x14ac:dyDescent="0.15">
      <c r="A951" s="8" t="s">
        <v>3023</v>
      </c>
      <c r="B951" s="8" t="s">
        <v>246</v>
      </c>
      <c r="C951" s="8" t="str">
        <f t="shared" si="42"/>
        <v>att_user_research_group:riemer</v>
      </c>
      <c r="D951" s="8" t="s">
        <v>17</v>
      </c>
      <c r="E951" s="8" t="s">
        <v>3024</v>
      </c>
      <c r="F951" s="8" t="s">
        <v>3025</v>
      </c>
    </row>
    <row r="952" spans="1:6" x14ac:dyDescent="0.15">
      <c r="A952" s="8" t="s">
        <v>2811</v>
      </c>
      <c r="B952" s="22" t="s">
        <v>2807</v>
      </c>
      <c r="C952" s="8" t="str">
        <f t="shared" si="42"/>
        <v>att_diet:wd</v>
      </c>
      <c r="D952" s="8" t="s">
        <v>17</v>
      </c>
      <c r="E952" s="8" t="s">
        <v>2810</v>
      </c>
      <c r="F952" s="8" t="s">
        <v>2809</v>
      </c>
    </row>
    <row r="953" spans="1:6" x14ac:dyDescent="0.15">
      <c r="A953" s="8" t="s">
        <v>2812</v>
      </c>
      <c r="B953" s="22" t="s">
        <v>2807</v>
      </c>
      <c r="C953" s="8" t="str">
        <f t="shared" si="42"/>
        <v>att_diet:sd</v>
      </c>
      <c r="D953" s="8" t="s">
        <v>17</v>
      </c>
      <c r="E953" s="8" t="s">
        <v>2813</v>
      </c>
    </row>
    <row r="954" spans="1:6" x14ac:dyDescent="0.15">
      <c r="A954" s="8" t="s">
        <v>2814</v>
      </c>
      <c r="B954" s="22" t="s">
        <v>2807</v>
      </c>
      <c r="C954" s="8" t="str">
        <f t="shared" si="42"/>
        <v>att_diet:veg</v>
      </c>
      <c r="D954" s="8" t="s">
        <v>17</v>
      </c>
      <c r="E954" s="8" t="s">
        <v>2815</v>
      </c>
      <c r="F954" s="8" t="s">
        <v>2816</v>
      </c>
    </row>
    <row r="955" spans="1:6" x14ac:dyDescent="0.15">
      <c r="A955" s="8" t="s">
        <v>2819</v>
      </c>
      <c r="B955" s="22" t="s">
        <v>2807</v>
      </c>
      <c r="C955" s="8" t="str">
        <f t="shared" si="42"/>
        <v>att_diet:hg</v>
      </c>
      <c r="D955" s="8" t="s">
        <v>17</v>
      </c>
      <c r="E955" s="8" t="s">
        <v>2817</v>
      </c>
      <c r="F955" s="8" t="s">
        <v>2818</v>
      </c>
    </row>
    <row r="956" spans="1:6" x14ac:dyDescent="0.15">
      <c r="A956" s="8" t="s">
        <v>2822</v>
      </c>
      <c r="B956" s="8" t="s">
        <v>2807</v>
      </c>
      <c r="C956" s="8" t="str">
        <f t="shared" si="42"/>
        <v>att_diet:hfd</v>
      </c>
      <c r="D956" s="8" t="s">
        <v>17</v>
      </c>
      <c r="E956" s="8" t="s">
        <v>2820</v>
      </c>
      <c r="F956" s="8" t="s">
        <v>2821</v>
      </c>
    </row>
    <row r="957" spans="1:6" x14ac:dyDescent="0.15">
      <c r="A957" s="8" t="s">
        <v>2552</v>
      </c>
      <c r="B957" s="8" t="s">
        <v>69</v>
      </c>
      <c r="C957" s="8" t="str">
        <f t="shared" si="42"/>
        <v>att_compound:lps</v>
      </c>
      <c r="D957" s="8" t="s">
        <v>17</v>
      </c>
      <c r="E957" s="8" t="s">
        <v>2553</v>
      </c>
      <c r="F957" s="8" t="s">
        <v>2554</v>
      </c>
    </row>
    <row r="958" spans="1:6" x14ac:dyDescent="0.15">
      <c r="A958" s="8" t="s">
        <v>2563</v>
      </c>
      <c r="B958" s="8" t="s">
        <v>69</v>
      </c>
      <c r="C958" s="8" t="str">
        <f t="shared" si="42"/>
        <v>att_compound:r848</v>
      </c>
      <c r="D958" s="8" t="s">
        <v>17</v>
      </c>
      <c r="E958" s="8" t="s">
        <v>2564</v>
      </c>
      <c r="F958" s="8" t="s">
        <v>2969</v>
      </c>
    </row>
    <row r="959" spans="1:6" x14ac:dyDescent="0.15">
      <c r="A959" s="8" t="s">
        <v>3235</v>
      </c>
      <c r="B959" s="8" t="s">
        <v>69</v>
      </c>
      <c r="C959" s="8" t="str">
        <f t="shared" ref="C959" si="43">B959&amp;":"&amp;A959</f>
        <v>att_compound:mitoblock10</v>
      </c>
      <c r="D959" s="8" t="s">
        <v>17</v>
      </c>
      <c r="E959" s="8" t="s">
        <v>3233</v>
      </c>
      <c r="F959" s="8" t="s">
        <v>3234</v>
      </c>
    </row>
    <row r="960" spans="1:6" x14ac:dyDescent="0.15">
      <c r="A960" s="8" t="s">
        <v>2970</v>
      </c>
      <c r="B960" s="8" t="s">
        <v>40</v>
      </c>
      <c r="C960" s="8" t="str">
        <f t="shared" si="42"/>
        <v>att_cell:mdc</v>
      </c>
      <c r="D960" s="8" t="s">
        <v>17</v>
      </c>
      <c r="E960" s="8" t="s">
        <v>2991</v>
      </c>
      <c r="F960" s="8" t="s">
        <v>2990</v>
      </c>
    </row>
    <row r="961" spans="1:6" x14ac:dyDescent="0.15">
      <c r="A961" s="8" t="s">
        <v>2971</v>
      </c>
      <c r="B961" s="8" t="s">
        <v>40</v>
      </c>
      <c r="C961" s="8" t="str">
        <f t="shared" si="42"/>
        <v>att_cell:mtregs</v>
      </c>
      <c r="D961" s="8" t="s">
        <v>17</v>
      </c>
      <c r="E961" s="8" t="s">
        <v>2989</v>
      </c>
      <c r="F961" s="8" t="s">
        <v>2988</v>
      </c>
    </row>
    <row r="962" spans="1:6" x14ac:dyDescent="0.15">
      <c r="A962" s="8" t="s">
        <v>2972</v>
      </c>
      <c r="B962" s="8" t="s">
        <v>40</v>
      </c>
      <c r="C962" s="8" t="str">
        <f t="shared" si="42"/>
        <v>att_cell:pdc</v>
      </c>
      <c r="D962" s="8" t="s">
        <v>17</v>
      </c>
      <c r="E962" s="8" t="s">
        <v>2992</v>
      </c>
      <c r="F962" s="8" t="s">
        <v>2987</v>
      </c>
    </row>
    <row r="963" spans="1:6" x14ac:dyDescent="0.15">
      <c r="A963" s="8" t="s">
        <v>2973</v>
      </c>
      <c r="B963" s="8" t="s">
        <v>40</v>
      </c>
      <c r="C963" s="8" t="str">
        <f t="shared" si="42"/>
        <v>att_cell:attregs</v>
      </c>
      <c r="D963" s="8" t="s">
        <v>17</v>
      </c>
      <c r="E963" s="8" t="s">
        <v>2986</v>
      </c>
      <c r="F963" s="8" t="s">
        <v>2993</v>
      </c>
    </row>
    <row r="964" spans="1:6" x14ac:dyDescent="0.15">
      <c r="A964" s="8" t="s">
        <v>2974</v>
      </c>
      <c r="B964" s="8" t="s">
        <v>40</v>
      </c>
      <c r="C964" s="8" t="str">
        <f t="shared" si="42"/>
        <v>att_cell:infdc</v>
      </c>
      <c r="D964" s="8" t="s">
        <v>17</v>
      </c>
      <c r="E964" s="8" t="s">
        <v>2985</v>
      </c>
      <c r="F964" s="8" t="s">
        <v>2984</v>
      </c>
    </row>
    <row r="965" spans="1:6" x14ac:dyDescent="0.15">
      <c r="A965" s="8" t="s">
        <v>2975</v>
      </c>
      <c r="B965" s="8" t="s">
        <v>40</v>
      </c>
      <c r="C965" s="8" t="str">
        <f t="shared" si="42"/>
        <v>att_cell:itgres</v>
      </c>
      <c r="D965" s="8" t="s">
        <v>17</v>
      </c>
      <c r="E965" s="8" t="s">
        <v>2983</v>
      </c>
      <c r="F965" s="8" t="s">
        <v>2982</v>
      </c>
    </row>
    <row r="966" spans="1:6" x14ac:dyDescent="0.15">
      <c r="A966" s="8" t="s">
        <v>2976</v>
      </c>
      <c r="B966" s="8" t="s">
        <v>40</v>
      </c>
      <c r="C966" s="8" t="str">
        <f t="shared" si="42"/>
        <v>att_cell:dendritic</v>
      </c>
      <c r="D966" s="8" t="s">
        <v>17</v>
      </c>
      <c r="E966" s="8" t="s">
        <v>2981</v>
      </c>
      <c r="F966" s="8" t="s">
        <v>2980</v>
      </c>
    </row>
    <row r="967" spans="1:6" x14ac:dyDescent="0.15">
      <c r="A967" s="8" t="s">
        <v>2977</v>
      </c>
      <c r="B967" s="8" t="s">
        <v>40</v>
      </c>
      <c r="C967" s="8" t="str">
        <f t="shared" si="42"/>
        <v>att_cell:ememcell</v>
      </c>
      <c r="D967" s="8" t="s">
        <v>17</v>
      </c>
      <c r="E967" s="8" t="s">
        <v>2979</v>
      </c>
      <c r="F967" s="8" t="s">
        <v>2978</v>
      </c>
    </row>
    <row r="968" spans="1:6" x14ac:dyDescent="0.15">
      <c r="A968" s="8" t="s">
        <v>2994</v>
      </c>
      <c r="B968" s="8" t="s">
        <v>2908</v>
      </c>
      <c r="C968" s="8" t="str">
        <f t="shared" si="42"/>
        <v>att_subcellular_compartment:supernatant</v>
      </c>
      <c r="D968" s="8" t="s">
        <v>17</v>
      </c>
      <c r="E968" s="8" t="s">
        <v>2995</v>
      </c>
      <c r="F968" s="8" t="s">
        <v>2996</v>
      </c>
    </row>
    <row r="969" spans="1:6" x14ac:dyDescent="0.15">
      <c r="A969" s="8" t="s">
        <v>2998</v>
      </c>
      <c r="B969" s="8" t="s">
        <v>2997</v>
      </c>
      <c r="C969" s="8" t="str">
        <f t="shared" si="42"/>
        <v>att_heart:leftatrium</v>
      </c>
      <c r="D969" s="8" t="s">
        <v>17</v>
      </c>
      <c r="E969" s="8" t="s">
        <v>2999</v>
      </c>
      <c r="F969" s="8" t="s">
        <v>3000</v>
      </c>
    </row>
    <row r="970" spans="1:6" x14ac:dyDescent="0.15">
      <c r="A970" s="8" t="s">
        <v>3001</v>
      </c>
      <c r="B970" s="8" t="s">
        <v>2997</v>
      </c>
      <c r="C970" s="8" t="str">
        <f t="shared" si="42"/>
        <v>att_heart:rightatrium</v>
      </c>
      <c r="D970" s="8" t="s">
        <v>17</v>
      </c>
      <c r="E970" s="8" t="s">
        <v>3002</v>
      </c>
      <c r="F970" s="8" t="s">
        <v>3003</v>
      </c>
    </row>
    <row r="971" spans="1:6" x14ac:dyDescent="0.15">
      <c r="A971" s="8" t="s">
        <v>3021</v>
      </c>
      <c r="B971" s="8" t="s">
        <v>2997</v>
      </c>
      <c r="C971" s="8" t="str">
        <f t="shared" si="42"/>
        <v>att_heart:leftventri</v>
      </c>
      <c r="D971" s="8" t="s">
        <v>17</v>
      </c>
      <c r="E971" s="8" t="s">
        <v>3019</v>
      </c>
      <c r="F971" s="8" t="s">
        <v>3004</v>
      </c>
    </row>
    <row r="972" spans="1:6" x14ac:dyDescent="0.15">
      <c r="A972" s="8" t="s">
        <v>3022</v>
      </c>
      <c r="B972" s="8" t="s">
        <v>2997</v>
      </c>
      <c r="C972" s="8" t="str">
        <f t="shared" si="42"/>
        <v>att_heart:rightventri</v>
      </c>
      <c r="D972" s="8" t="s">
        <v>17</v>
      </c>
      <c r="E972" s="8" t="s">
        <v>3020</v>
      </c>
      <c r="F972" s="8" t="s">
        <v>3004</v>
      </c>
    </row>
    <row r="973" spans="1:6" x14ac:dyDescent="0.15">
      <c r="A973" s="8" t="s">
        <v>3095</v>
      </c>
      <c r="B973" s="8" t="s">
        <v>3093</v>
      </c>
      <c r="C973" s="8" t="str">
        <f t="shared" si="42"/>
        <v>att_muscle_fiber_type:type1</v>
      </c>
      <c r="D973" s="8" t="s">
        <v>17</v>
      </c>
      <c r="E973" s="8" t="s">
        <v>3113</v>
      </c>
      <c r="F973" s="8" t="s">
        <v>3118</v>
      </c>
    </row>
    <row r="974" spans="1:6" x14ac:dyDescent="0.15">
      <c r="A974" s="8" t="s">
        <v>3096</v>
      </c>
      <c r="B974" s="8" t="s">
        <v>3093</v>
      </c>
      <c r="C974" s="8" t="str">
        <f t="shared" si="42"/>
        <v>att_muscle_fiber_type:type2a</v>
      </c>
      <c r="D974" s="8" t="s">
        <v>17</v>
      </c>
      <c r="E974" s="8" t="s">
        <v>3114</v>
      </c>
      <c r="F974" s="8" t="s">
        <v>3119</v>
      </c>
    </row>
    <row r="975" spans="1:6" x14ac:dyDescent="0.15">
      <c r="A975" s="8" t="s">
        <v>3097</v>
      </c>
      <c r="B975" s="8" t="s">
        <v>3093</v>
      </c>
      <c r="C975" s="8" t="str">
        <f t="shared" si="42"/>
        <v>att_muscle_fiber_type:type2b</v>
      </c>
      <c r="D975" s="8" t="s">
        <v>17</v>
      </c>
      <c r="E975" s="8" t="s">
        <v>3115</v>
      </c>
      <c r="F975" s="8" t="s">
        <v>3120</v>
      </c>
    </row>
    <row r="976" spans="1:6" x14ac:dyDescent="0.15">
      <c r="A976" s="8" t="s">
        <v>3098</v>
      </c>
      <c r="B976" s="8" t="s">
        <v>3093</v>
      </c>
      <c r="C976" s="8" t="str">
        <f t="shared" si="42"/>
        <v>att_muscle_fiber_type:type2x</v>
      </c>
      <c r="D976" s="8" t="s">
        <v>17</v>
      </c>
      <c r="E976" s="8" t="s">
        <v>3116</v>
      </c>
      <c r="F976" s="8" t="s">
        <v>3121</v>
      </c>
    </row>
    <row r="977" spans="1:6" x14ac:dyDescent="0.15">
      <c r="A977" s="8" t="s">
        <v>3099</v>
      </c>
      <c r="B977" s="8" t="s">
        <v>3093</v>
      </c>
      <c r="C977" s="8" t="str">
        <f t="shared" si="42"/>
        <v>att_muscle_fiber_type:type2d</v>
      </c>
      <c r="D977" s="8" t="s">
        <v>17</v>
      </c>
      <c r="E977" s="8" t="s">
        <v>3117</v>
      </c>
      <c r="F977" s="8" t="s">
        <v>3100</v>
      </c>
    </row>
    <row r="978" spans="1:6" x14ac:dyDescent="0.15">
      <c r="A978" s="8" t="s">
        <v>3101</v>
      </c>
      <c r="B978" s="8" t="s">
        <v>3093</v>
      </c>
      <c r="C978" s="8" t="str">
        <f t="shared" si="42"/>
        <v>att_muscle_fiber_type:mixedt12a</v>
      </c>
      <c r="D978" s="8" t="s">
        <v>17</v>
      </c>
      <c r="E978" s="8" t="s">
        <v>3102</v>
      </c>
      <c r="F978" s="8" t="s">
        <v>3123</v>
      </c>
    </row>
    <row r="979" spans="1:6" x14ac:dyDescent="0.15">
      <c r="A979" s="8" t="s">
        <v>3103</v>
      </c>
      <c r="B979" s="8" t="s">
        <v>3093</v>
      </c>
      <c r="C979" s="8" t="str">
        <f t="shared" si="42"/>
        <v>att_muscle_fiber_type:mixedt12x</v>
      </c>
      <c r="D979" s="8" t="s">
        <v>17</v>
      </c>
      <c r="E979" s="8" t="s">
        <v>3104</v>
      </c>
      <c r="F979" s="8" t="s">
        <v>3122</v>
      </c>
    </row>
    <row r="980" spans="1:6" x14ac:dyDescent="0.15">
      <c r="A980" s="8" t="s">
        <v>3105</v>
      </c>
      <c r="B980" s="8" t="s">
        <v>3093</v>
      </c>
      <c r="C980" s="8" t="str">
        <f t="shared" si="42"/>
        <v>att_muscle_fiber_type:mixedt1tb</v>
      </c>
      <c r="D980" s="8" t="s">
        <v>17</v>
      </c>
      <c r="E980" s="8" t="s">
        <v>3106</v>
      </c>
      <c r="F980" s="8" t="s">
        <v>3124</v>
      </c>
    </row>
    <row r="981" spans="1:6" x14ac:dyDescent="0.15">
      <c r="A981" s="8" t="s">
        <v>3107</v>
      </c>
      <c r="B981" s="8" t="s">
        <v>3093</v>
      </c>
      <c r="C981" s="8" t="str">
        <f t="shared" si="42"/>
        <v>att_muscle_fiber_type:mixed2a2b</v>
      </c>
      <c r="D981" s="8" t="s">
        <v>17</v>
      </c>
      <c r="E981" s="8" t="s">
        <v>3108</v>
      </c>
      <c r="F981" s="8" t="s">
        <v>3125</v>
      </c>
    </row>
    <row r="982" spans="1:6" x14ac:dyDescent="0.15">
      <c r="A982" s="8" t="s">
        <v>3109</v>
      </c>
      <c r="B982" s="8" t="s">
        <v>3093</v>
      </c>
      <c r="C982" s="8" t="str">
        <f t="shared" si="42"/>
        <v>att_muscle_fiber_type:mixed2a2x</v>
      </c>
      <c r="D982" s="8" t="s">
        <v>17</v>
      </c>
      <c r="E982" s="8" t="s">
        <v>3110</v>
      </c>
      <c r="F982" s="8" t="s">
        <v>3126</v>
      </c>
    </row>
    <row r="983" spans="1:6" x14ac:dyDescent="0.15">
      <c r="A983" s="8" t="s">
        <v>3111</v>
      </c>
      <c r="B983" s="8" t="s">
        <v>3093</v>
      </c>
      <c r="C983" s="8" t="str">
        <f t="shared" si="42"/>
        <v>att_muscle_fiber_type:mixed2b2x</v>
      </c>
      <c r="D983" s="8" t="s">
        <v>17</v>
      </c>
      <c r="E983" s="8" t="s">
        <v>3112</v>
      </c>
      <c r="F983" s="8" t="s">
        <v>3127</v>
      </c>
    </row>
    <row r="984" spans="1:6" x14ac:dyDescent="0.15">
      <c r="A984" s="8" t="s">
        <v>3167</v>
      </c>
      <c r="B984" s="8" t="s">
        <v>3173</v>
      </c>
      <c r="C984" s="8" t="str">
        <f t="shared" si="42"/>
        <v>att_solubilization_frac:pellet</v>
      </c>
      <c r="D984" s="8" t="s">
        <v>17</v>
      </c>
      <c r="E984" s="8" t="s">
        <v>3168</v>
      </c>
      <c r="F984" s="8" t="s">
        <v>3174</v>
      </c>
    </row>
    <row r="985" spans="1:6" x14ac:dyDescent="0.15">
      <c r="A985" s="8" t="s">
        <v>1243</v>
      </c>
      <c r="B985" s="8" t="s">
        <v>3173</v>
      </c>
      <c r="C985" s="8" t="str">
        <f t="shared" si="42"/>
        <v>att_solubilization_frac:total</v>
      </c>
      <c r="D985" s="8" t="s">
        <v>17</v>
      </c>
      <c r="E985" s="8" t="s">
        <v>1244</v>
      </c>
      <c r="F985" s="8" t="s">
        <v>3175</v>
      </c>
    </row>
    <row r="986" spans="1:6" x14ac:dyDescent="0.15">
      <c r="A986" s="8" t="s">
        <v>2994</v>
      </c>
      <c r="B986" s="8" t="s">
        <v>3173</v>
      </c>
      <c r="C986" s="8" t="str">
        <f t="shared" si="42"/>
        <v>att_solubilization_frac:supernatant</v>
      </c>
      <c r="D986" s="8" t="s">
        <v>17</v>
      </c>
      <c r="E986" s="8" t="s">
        <v>2995</v>
      </c>
      <c r="F986" s="8" t="s">
        <v>3176</v>
      </c>
    </row>
    <row r="987" spans="1:6" x14ac:dyDescent="0.15">
      <c r="A987" s="8">
        <v>275</v>
      </c>
      <c r="B987" s="8" t="s">
        <v>37</v>
      </c>
      <c r="C987" s="8" t="str">
        <f t="shared" si="42"/>
        <v>att_cap_temp:275</v>
      </c>
      <c r="D987" s="8" t="s">
        <v>17</v>
      </c>
      <c r="E987" s="8">
        <v>275</v>
      </c>
      <c r="F987" s="8" t="s">
        <v>17</v>
      </c>
    </row>
    <row r="988" spans="1:6" x14ac:dyDescent="0.15">
      <c r="A988" s="8">
        <v>320</v>
      </c>
      <c r="B988" s="8" t="s">
        <v>37</v>
      </c>
      <c r="C988" s="8" t="str">
        <f t="shared" ref="C988:C991" si="44">B988&amp;":"&amp;A988</f>
        <v>att_cap_temp:320</v>
      </c>
      <c r="D988" s="8" t="s">
        <v>17</v>
      </c>
      <c r="E988" s="8">
        <v>320</v>
      </c>
      <c r="F988" s="8" t="s">
        <v>17</v>
      </c>
    </row>
    <row r="989" spans="1:6" x14ac:dyDescent="0.15">
      <c r="A989" s="8">
        <v>-45</v>
      </c>
      <c r="B989" s="8" t="s">
        <v>114</v>
      </c>
      <c r="C989" s="8" t="str">
        <f t="shared" si="44"/>
        <v>att_faims_cv:-45</v>
      </c>
      <c r="D989" s="8" t="s">
        <v>17</v>
      </c>
      <c r="E989" s="8">
        <v>-45</v>
      </c>
      <c r="F989" s="8" t="s">
        <v>17</v>
      </c>
    </row>
    <row r="990" spans="1:6" x14ac:dyDescent="0.15">
      <c r="A990" s="8" t="s">
        <v>3224</v>
      </c>
      <c r="B990" t="s">
        <v>3223</v>
      </c>
      <c r="C990" s="8" t="str">
        <f t="shared" si="44"/>
        <v>att_enrich_frac:input</v>
      </c>
      <c r="D990" s="8" t="s">
        <v>17</v>
      </c>
      <c r="E990" s="8" t="s">
        <v>3225</v>
      </c>
      <c r="F990" t="s">
        <v>3226</v>
      </c>
    </row>
    <row r="991" spans="1:6" x14ac:dyDescent="0.15">
      <c r="A991" s="8" t="s">
        <v>3230</v>
      </c>
      <c r="B991" t="s">
        <v>3223</v>
      </c>
      <c r="C991" s="8" t="str">
        <f t="shared" si="44"/>
        <v>att_enrich_frac:elution</v>
      </c>
      <c r="D991" s="8" t="s">
        <v>17</v>
      </c>
      <c r="E991" s="8" t="s">
        <v>3227</v>
      </c>
      <c r="F991" s="8" t="s">
        <v>3232</v>
      </c>
    </row>
    <row r="992" spans="1:6" x14ac:dyDescent="0.15">
      <c r="A992" s="8" t="s">
        <v>3229</v>
      </c>
      <c r="B992" t="s">
        <v>3223</v>
      </c>
      <c r="C992" s="8" t="str">
        <f t="shared" ref="C992:C994" si="45">B992&amp;":"&amp;A992</f>
        <v>att_enrich_frac:wash</v>
      </c>
      <c r="D992" s="8" t="s">
        <v>17</v>
      </c>
      <c r="E992" s="8" t="s">
        <v>3228</v>
      </c>
      <c r="F992" s="8" t="s">
        <v>3231</v>
      </c>
    </row>
    <row r="993" spans="1:6" ht="16" x14ac:dyDescent="0.2">
      <c r="A993" s="8" t="s">
        <v>3237</v>
      </c>
      <c r="B993" s="25" t="s">
        <v>3239</v>
      </c>
      <c r="C993" s="8" t="str">
        <f t="shared" si="45"/>
        <v>att_cellculture_media:fbs</v>
      </c>
      <c r="D993" s="8" t="s">
        <v>17</v>
      </c>
      <c r="E993" s="8" t="s">
        <v>3240</v>
      </c>
      <c r="F993" s="27" t="s">
        <v>3243</v>
      </c>
    </row>
    <row r="994" spans="1:6" ht="16" x14ac:dyDescent="0.2">
      <c r="A994" s="8" t="s">
        <v>3238</v>
      </c>
      <c r="B994" s="25" t="s">
        <v>3239</v>
      </c>
      <c r="C994" s="8" t="str">
        <f t="shared" si="45"/>
        <v>att_cellculture_media:nofbs</v>
      </c>
      <c r="D994" s="8" t="s">
        <v>17</v>
      </c>
      <c r="E994" s="8" t="s">
        <v>3241</v>
      </c>
      <c r="F994" s="8" t="s">
        <v>3242</v>
      </c>
    </row>
    <row r="995" spans="1:6" ht="16" x14ac:dyDescent="0.2">
      <c r="B995" s="25"/>
    </row>
    <row r="996" spans="1:6" ht="16" x14ac:dyDescent="0.2">
      <c r="B996" s="25"/>
    </row>
    <row r="997" spans="1:6" ht="16" x14ac:dyDescent="0.2">
      <c r="B997" s="25"/>
    </row>
    <row r="998" spans="1:6" ht="16" x14ac:dyDescent="0.2">
      <c r="B998" s="25"/>
    </row>
    <row r="999" spans="1:6" ht="16" x14ac:dyDescent="0.2">
      <c r="B999" s="25"/>
    </row>
    <row r="1000" spans="1:6" ht="16" x14ac:dyDescent="0.2">
      <c r="B1000" s="24"/>
    </row>
    <row r="1001" spans="1:6" ht="16" x14ac:dyDescent="0.2">
      <c r="B1001" s="24"/>
    </row>
    <row r="1002" spans="1:6" ht="16" x14ac:dyDescent="0.2">
      <c r="B1002" s="25"/>
    </row>
    <row r="1003" spans="1:6" ht="16" x14ac:dyDescent="0.2">
      <c r="B1003" s="25"/>
    </row>
    <row r="1004" spans="1:6" ht="16" x14ac:dyDescent="0.2">
      <c r="B1004" s="25"/>
    </row>
    <row r="1005" spans="1:6" ht="16" x14ac:dyDescent="0.2">
      <c r="B1005" s="25"/>
    </row>
    <row r="1006" spans="1:6" ht="16" x14ac:dyDescent="0.2">
      <c r="B1006" s="25"/>
    </row>
    <row r="1007" spans="1:6" ht="16" x14ac:dyDescent="0.2">
      <c r="B1007" s="25"/>
    </row>
    <row r="1008" spans="1:6" ht="16" x14ac:dyDescent="0.2">
      <c r="B1008" s="25"/>
    </row>
    <row r="1009" spans="2:2" ht="16" x14ac:dyDescent="0.2">
      <c r="B1009" s="25"/>
    </row>
    <row r="1010" spans="2:2" ht="16" x14ac:dyDescent="0.2">
      <c r="B1010" s="24"/>
    </row>
    <row r="1011" spans="2:2" ht="16" x14ac:dyDescent="0.2">
      <c r="B1011" s="24"/>
    </row>
    <row r="1012" spans="2:2" ht="16" x14ac:dyDescent="0.2">
      <c r="B1012" s="25"/>
    </row>
    <row r="1013" spans="2:2" ht="16" x14ac:dyDescent="0.2">
      <c r="B1013" s="25"/>
    </row>
    <row r="1014" spans="2:2" ht="16" x14ac:dyDescent="0.2">
      <c r="B1014" s="25"/>
    </row>
    <row r="1015" spans="2:2" ht="16" x14ac:dyDescent="0.2">
      <c r="B1015" s="25"/>
    </row>
    <row r="1016" spans="2:2" ht="16" x14ac:dyDescent="0.2">
      <c r="B1016" s="25"/>
    </row>
    <row r="1017" spans="2:2" ht="16" x14ac:dyDescent="0.2">
      <c r="B1017" s="25"/>
    </row>
    <row r="1018" spans="2:2" ht="16" x14ac:dyDescent="0.2">
      <c r="B1018" s="25"/>
    </row>
    <row r="1019" spans="2:2" ht="16" x14ac:dyDescent="0.2">
      <c r="B1019" s="25"/>
    </row>
    <row r="1020" spans="2:2" ht="16" x14ac:dyDescent="0.2">
      <c r="B1020" s="24"/>
    </row>
    <row r="1021" spans="2:2" ht="16" x14ac:dyDescent="0.2">
      <c r="B1021" s="24"/>
    </row>
    <row r="1022" spans="2:2" ht="16" x14ac:dyDescent="0.2">
      <c r="B1022" s="25"/>
    </row>
    <row r="1023" spans="2:2" ht="16" x14ac:dyDescent="0.2">
      <c r="B1023" s="25"/>
    </row>
    <row r="1024" spans="2:2" ht="16" x14ac:dyDescent="0.2">
      <c r="B1024" s="25"/>
    </row>
    <row r="1025" spans="2:2" ht="16" x14ac:dyDescent="0.2">
      <c r="B1025" s="25"/>
    </row>
    <row r="1026" spans="2:2" ht="16" x14ac:dyDescent="0.2">
      <c r="B1026" s="25"/>
    </row>
    <row r="1027" spans="2:2" ht="16" x14ac:dyDescent="0.2">
      <c r="B1027" s="25"/>
    </row>
    <row r="1028" spans="2:2" ht="16" x14ac:dyDescent="0.2">
      <c r="B1028" s="25"/>
    </row>
    <row r="1029" spans="2:2" ht="16" x14ac:dyDescent="0.2">
      <c r="B1029" s="25"/>
    </row>
    <row r="1030" spans="2:2" ht="16" x14ac:dyDescent="0.2">
      <c r="B1030" s="24"/>
    </row>
    <row r="1031" spans="2:2" ht="16" x14ac:dyDescent="0.2">
      <c r="B1031" s="24"/>
    </row>
    <row r="1032" spans="2:2" ht="16" x14ac:dyDescent="0.2">
      <c r="B1032" s="25"/>
    </row>
    <row r="1033" spans="2:2" ht="16" x14ac:dyDescent="0.2">
      <c r="B1033" s="25"/>
    </row>
    <row r="1034" spans="2:2" ht="16" x14ac:dyDescent="0.2">
      <c r="B1034" s="25"/>
    </row>
    <row r="1035" spans="2:2" ht="16" x14ac:dyDescent="0.2">
      <c r="B1035" s="25"/>
    </row>
    <row r="1036" spans="2:2" ht="16" x14ac:dyDescent="0.2">
      <c r="B1036" s="25"/>
    </row>
    <row r="1037" spans="2:2" ht="16" x14ac:dyDescent="0.2">
      <c r="B1037" s="25"/>
    </row>
    <row r="1038" spans="2:2" ht="16" x14ac:dyDescent="0.2">
      <c r="B1038" s="25"/>
    </row>
    <row r="1039" spans="2:2" ht="16" x14ac:dyDescent="0.2">
      <c r="B1039" s="25"/>
    </row>
    <row r="1040" spans="2:2" ht="16" x14ac:dyDescent="0.2">
      <c r="B1040" s="24"/>
    </row>
    <row r="1041" spans="2:2" ht="16" x14ac:dyDescent="0.2">
      <c r="B1041" s="24"/>
    </row>
    <row r="1042" spans="2:2" ht="16" x14ac:dyDescent="0.2">
      <c r="B1042" s="25"/>
    </row>
    <row r="1043" spans="2:2" ht="16" x14ac:dyDescent="0.2">
      <c r="B1043" s="25"/>
    </row>
    <row r="1044" spans="2:2" ht="16" x14ac:dyDescent="0.2">
      <c r="B1044" s="25"/>
    </row>
    <row r="1045" spans="2:2" ht="16" x14ac:dyDescent="0.2">
      <c r="B1045" s="25"/>
    </row>
    <row r="1046" spans="2:2" ht="16" x14ac:dyDescent="0.2">
      <c r="B1046" s="25"/>
    </row>
    <row r="1047" spans="2:2" ht="16" x14ac:dyDescent="0.2">
      <c r="B1047" s="25"/>
    </row>
    <row r="1048" spans="2:2" ht="16" x14ac:dyDescent="0.2">
      <c r="B1048" s="25"/>
    </row>
    <row r="1049" spans="2:2" ht="16" x14ac:dyDescent="0.2">
      <c r="B1049" s="25"/>
    </row>
    <row r="1050" spans="2:2" ht="16" x14ac:dyDescent="0.2">
      <c r="B1050" s="24"/>
    </row>
    <row r="1051" spans="2:2" ht="16" x14ac:dyDescent="0.2">
      <c r="B1051" s="24"/>
    </row>
    <row r="1052" spans="2:2" ht="16" x14ac:dyDescent="0.2">
      <c r="B1052" s="25"/>
    </row>
    <row r="1053" spans="2:2" ht="16" x14ac:dyDescent="0.2">
      <c r="B1053" s="25"/>
    </row>
    <row r="1054" spans="2:2" ht="16" x14ac:dyDescent="0.2">
      <c r="B1054" s="25"/>
    </row>
    <row r="1055" spans="2:2" ht="16" x14ac:dyDescent="0.2">
      <c r="B1055" s="25"/>
    </row>
    <row r="1056" spans="2:2" ht="16" x14ac:dyDescent="0.2">
      <c r="B1056" s="25"/>
    </row>
    <row r="1057" spans="2:2" ht="16" x14ac:dyDescent="0.2">
      <c r="B1057" s="25"/>
    </row>
    <row r="1058" spans="2:2" ht="16" x14ac:dyDescent="0.2">
      <c r="B1058" s="25"/>
    </row>
    <row r="1059" spans="2:2" ht="16" x14ac:dyDescent="0.2">
      <c r="B1059" s="25"/>
    </row>
    <row r="1060" spans="2:2" ht="16" x14ac:dyDescent="0.2">
      <c r="B1060" s="24"/>
    </row>
    <row r="1061" spans="2:2" ht="16" x14ac:dyDescent="0.2">
      <c r="B1061" s="24"/>
    </row>
    <row r="1062" spans="2:2" ht="16" x14ac:dyDescent="0.2">
      <c r="B1062" s="25"/>
    </row>
    <row r="1063" spans="2:2" ht="16" x14ac:dyDescent="0.2">
      <c r="B1063" s="25"/>
    </row>
    <row r="1064" spans="2:2" ht="16" x14ac:dyDescent="0.2">
      <c r="B1064" s="25"/>
    </row>
    <row r="1065" spans="2:2" ht="16" x14ac:dyDescent="0.2">
      <c r="B1065" s="25"/>
    </row>
    <row r="1066" spans="2:2" ht="16" x14ac:dyDescent="0.2">
      <c r="B1066" s="25"/>
    </row>
    <row r="1067" spans="2:2" ht="16" x14ac:dyDescent="0.2">
      <c r="B1067" s="25"/>
    </row>
    <row r="1068" spans="2:2" ht="16" x14ac:dyDescent="0.2">
      <c r="B1068" s="25"/>
    </row>
    <row r="1069" spans="2:2" ht="16" x14ac:dyDescent="0.2">
      <c r="B1069" s="25"/>
    </row>
    <row r="1070" spans="2:2" ht="16" x14ac:dyDescent="0.2">
      <c r="B1070" s="24"/>
    </row>
    <row r="1071" spans="2:2" ht="16" x14ac:dyDescent="0.2">
      <c r="B1071" s="24"/>
    </row>
    <row r="1072" spans="2:2" ht="16" x14ac:dyDescent="0.2">
      <c r="B1072" s="25"/>
    </row>
    <row r="1073" spans="2:2" ht="16" x14ac:dyDescent="0.2">
      <c r="B1073" s="25"/>
    </row>
    <row r="1074" spans="2:2" ht="16" x14ac:dyDescent="0.2">
      <c r="B1074" s="25"/>
    </row>
    <row r="1075" spans="2:2" ht="16" x14ac:dyDescent="0.2">
      <c r="B1075" s="25"/>
    </row>
    <row r="1076" spans="2:2" ht="16" x14ac:dyDescent="0.2">
      <c r="B1076" s="25"/>
    </row>
    <row r="1077" spans="2:2" ht="16" x14ac:dyDescent="0.2">
      <c r="B1077" s="25"/>
    </row>
    <row r="1078" spans="2:2" ht="16" x14ac:dyDescent="0.2">
      <c r="B1078" s="25"/>
    </row>
    <row r="1079" spans="2:2" ht="16" x14ac:dyDescent="0.2">
      <c r="B1079" s="25"/>
    </row>
    <row r="1080" spans="2:2" ht="16" x14ac:dyDescent="0.2">
      <c r="B1080" s="24"/>
    </row>
    <row r="1081" spans="2:2" ht="16" x14ac:dyDescent="0.2">
      <c r="B1081" s="24"/>
    </row>
    <row r="1082" spans="2:2" ht="16" x14ac:dyDescent="0.2">
      <c r="B1082" s="25"/>
    </row>
    <row r="1083" spans="2:2" ht="16" x14ac:dyDescent="0.2">
      <c r="B1083" s="25"/>
    </row>
    <row r="1084" spans="2:2" ht="16" x14ac:dyDescent="0.2">
      <c r="B1084" s="25"/>
    </row>
    <row r="1085" spans="2:2" ht="16" x14ac:dyDescent="0.2">
      <c r="B1085" s="25"/>
    </row>
    <row r="1086" spans="2:2" ht="16" x14ac:dyDescent="0.2">
      <c r="B1086" s="25"/>
    </row>
    <row r="1087" spans="2:2" ht="16" x14ac:dyDescent="0.2">
      <c r="B1087" s="25"/>
    </row>
    <row r="1088" spans="2:2" ht="16" x14ac:dyDescent="0.2">
      <c r="B1088" s="25"/>
    </row>
    <row r="1089" spans="2:2" ht="16" x14ac:dyDescent="0.2">
      <c r="B1089" s="25"/>
    </row>
    <row r="1090" spans="2:2" ht="16" x14ac:dyDescent="0.2">
      <c r="B1090" s="24"/>
    </row>
  </sheetData>
  <conditionalFormatting sqref="F9:F195 F197:F337 E247 F339:F347">
    <cfRule type="cellIs" dxfId="3" priority="2" operator="equal">
      <formula>INDIRECT(ADDRESS(ROW()-1,COLUMN()))</formula>
    </cfRule>
  </conditionalFormatting>
  <conditionalFormatting sqref="F378">
    <cfRule type="cellIs" dxfId="2" priority="3" operator="equal">
      <formula>INDIRECT(ADDRESS(ROW()-1,COLUMN()))</formula>
    </cfRule>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4B9C-C859-AA4A-82A0-0191B0A5431A}">
  <dimension ref="A2:AMH6"/>
  <sheetViews>
    <sheetView workbookViewId="0">
      <selection activeCell="C18" sqref="C18"/>
    </sheetView>
  </sheetViews>
  <sheetFormatPr baseColWidth="10" defaultRowHeight="13" x14ac:dyDescent="0.15"/>
  <sheetData>
    <row r="2" spans="1:1022" x14ac:dyDescent="0.15">
      <c r="A2" s="8" t="s">
        <v>2186</v>
      </c>
      <c r="B2" s="8" t="s">
        <v>192</v>
      </c>
      <c r="C2" s="8" t="str">
        <f>B2&amp;":"&amp;A2</f>
        <v>att_organism:UP000000589</v>
      </c>
      <c r="D2" s="8" t="s">
        <v>2187</v>
      </c>
      <c r="E2" s="8" t="s">
        <v>2188</v>
      </c>
      <c r="F2" s="8" t="s">
        <v>2189</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row>
    <row r="3" spans="1:1022" x14ac:dyDescent="0.15">
      <c r="A3" s="8" t="s">
        <v>2190</v>
      </c>
      <c r="B3" s="8" t="s">
        <v>192</v>
      </c>
      <c r="C3" s="8" t="str">
        <f>B3&amp;":"&amp;A3</f>
        <v>att_organism:UP000001940</v>
      </c>
      <c r="D3" s="8" t="s">
        <v>2191</v>
      </c>
      <c r="E3" s="8" t="s">
        <v>2192</v>
      </c>
      <c r="F3" s="8" t="s">
        <v>2193</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row>
    <row r="4" spans="1:1022" x14ac:dyDescent="0.15">
      <c r="A4" s="8" t="s">
        <v>2194</v>
      </c>
      <c r="B4" s="8" t="s">
        <v>192</v>
      </c>
      <c r="C4" s="8" t="str">
        <f>B4&amp;":"&amp;A4</f>
        <v>att_organism:UP000002311</v>
      </c>
      <c r="D4" s="8" t="s">
        <v>2195</v>
      </c>
      <c r="E4" s="8" t="s">
        <v>2196</v>
      </c>
      <c r="F4" s="8" t="s">
        <v>2197</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c r="WP4" s="8"/>
      <c r="WQ4" s="8"/>
      <c r="WR4" s="8"/>
      <c r="WS4" s="8"/>
      <c r="WT4" s="8"/>
      <c r="WU4" s="8"/>
      <c r="WV4" s="8"/>
      <c r="WW4" s="8"/>
      <c r="WX4" s="8"/>
      <c r="WY4" s="8"/>
      <c r="WZ4" s="8"/>
      <c r="XA4" s="8"/>
      <c r="XB4" s="8"/>
      <c r="XC4" s="8"/>
      <c r="XD4" s="8"/>
      <c r="XE4" s="8"/>
      <c r="XF4" s="8"/>
      <c r="XG4" s="8"/>
      <c r="XH4" s="8"/>
      <c r="XI4" s="8"/>
      <c r="XJ4" s="8"/>
      <c r="XK4" s="8"/>
      <c r="XL4" s="8"/>
      <c r="XM4" s="8"/>
      <c r="XN4" s="8"/>
      <c r="XO4" s="8"/>
      <c r="XP4" s="8"/>
      <c r="XQ4" s="8"/>
      <c r="XR4" s="8"/>
      <c r="XS4" s="8"/>
      <c r="XT4" s="8"/>
      <c r="XU4" s="8"/>
      <c r="XV4" s="8"/>
      <c r="XW4" s="8"/>
      <c r="XX4" s="8"/>
      <c r="XY4" s="8"/>
      <c r="XZ4" s="8"/>
      <c r="YA4" s="8"/>
      <c r="YB4" s="8"/>
      <c r="YC4" s="8"/>
      <c r="YD4" s="8"/>
      <c r="YE4" s="8"/>
      <c r="YF4" s="8"/>
      <c r="YG4" s="8"/>
      <c r="YH4" s="8"/>
      <c r="YI4" s="8"/>
      <c r="YJ4" s="8"/>
      <c r="YK4" s="8"/>
      <c r="YL4" s="8"/>
      <c r="YM4" s="8"/>
      <c r="YN4" s="8"/>
      <c r="YO4" s="8"/>
      <c r="YP4" s="8"/>
      <c r="YQ4" s="8"/>
      <c r="YR4" s="8"/>
      <c r="YS4" s="8"/>
      <c r="YT4" s="8"/>
      <c r="YU4" s="8"/>
      <c r="YV4" s="8"/>
      <c r="YW4" s="8"/>
      <c r="YX4" s="8"/>
      <c r="YY4" s="8"/>
      <c r="YZ4" s="8"/>
      <c r="ZA4" s="8"/>
      <c r="ZB4" s="8"/>
      <c r="ZC4" s="8"/>
      <c r="ZD4" s="8"/>
      <c r="ZE4" s="8"/>
      <c r="ZF4" s="8"/>
      <c r="ZG4" s="8"/>
      <c r="ZH4" s="8"/>
      <c r="ZI4" s="8"/>
      <c r="ZJ4" s="8"/>
      <c r="ZK4" s="8"/>
      <c r="ZL4" s="8"/>
      <c r="ZM4" s="8"/>
      <c r="ZN4" s="8"/>
      <c r="ZO4" s="8"/>
      <c r="ZP4" s="8"/>
      <c r="ZQ4" s="8"/>
      <c r="ZR4" s="8"/>
      <c r="ZS4" s="8"/>
      <c r="ZT4" s="8"/>
      <c r="ZU4" s="8"/>
      <c r="ZV4" s="8"/>
      <c r="ZW4" s="8"/>
      <c r="ZX4" s="8"/>
      <c r="ZY4" s="8"/>
      <c r="ZZ4" s="8"/>
      <c r="AAA4" s="8"/>
      <c r="AAB4" s="8"/>
      <c r="AAC4" s="8"/>
      <c r="AAD4" s="8"/>
      <c r="AAE4" s="8"/>
      <c r="AAF4" s="8"/>
      <c r="AAG4" s="8"/>
      <c r="AAH4" s="8"/>
      <c r="AAI4" s="8"/>
      <c r="AAJ4" s="8"/>
      <c r="AAK4" s="8"/>
      <c r="AAL4" s="8"/>
      <c r="AAM4" s="8"/>
      <c r="AAN4" s="8"/>
      <c r="AAO4" s="8"/>
      <c r="AAP4" s="8"/>
      <c r="AAQ4" s="8"/>
      <c r="AAR4" s="8"/>
      <c r="AAS4" s="8"/>
      <c r="AAT4" s="8"/>
      <c r="AAU4" s="8"/>
      <c r="AAV4" s="8"/>
      <c r="AAW4" s="8"/>
      <c r="AAX4" s="8"/>
      <c r="AAY4" s="8"/>
      <c r="AAZ4" s="8"/>
      <c r="ABA4" s="8"/>
      <c r="ABB4" s="8"/>
      <c r="ABC4" s="8"/>
      <c r="ABD4" s="8"/>
      <c r="ABE4" s="8"/>
      <c r="ABF4" s="8"/>
      <c r="ABG4" s="8"/>
      <c r="ABH4" s="8"/>
      <c r="ABI4" s="8"/>
      <c r="ABJ4" s="8"/>
      <c r="ABK4" s="8"/>
      <c r="ABL4" s="8"/>
      <c r="ABM4" s="8"/>
      <c r="ABN4" s="8"/>
      <c r="ABO4" s="8"/>
      <c r="ABP4" s="8"/>
      <c r="ABQ4" s="8"/>
      <c r="ABR4" s="8"/>
      <c r="ABS4" s="8"/>
      <c r="ABT4" s="8"/>
      <c r="ABU4" s="8"/>
      <c r="ABV4" s="8"/>
      <c r="ABW4" s="8"/>
      <c r="ABX4" s="8"/>
      <c r="ABY4" s="8"/>
      <c r="ABZ4" s="8"/>
      <c r="ACA4" s="8"/>
      <c r="ACB4" s="8"/>
      <c r="ACC4" s="8"/>
      <c r="ACD4" s="8"/>
      <c r="ACE4" s="8"/>
      <c r="ACF4" s="8"/>
      <c r="ACG4" s="8"/>
      <c r="ACH4" s="8"/>
      <c r="ACI4" s="8"/>
      <c r="ACJ4" s="8"/>
      <c r="ACK4" s="8"/>
      <c r="ACL4" s="8"/>
      <c r="ACM4" s="8"/>
      <c r="ACN4" s="8"/>
      <c r="ACO4" s="8"/>
      <c r="ACP4" s="8"/>
      <c r="ACQ4" s="8"/>
      <c r="ACR4" s="8"/>
      <c r="ACS4" s="8"/>
      <c r="ACT4" s="8"/>
      <c r="ACU4" s="8"/>
      <c r="ACV4" s="8"/>
      <c r="ACW4" s="8"/>
      <c r="ACX4" s="8"/>
      <c r="ACY4" s="8"/>
      <c r="ACZ4" s="8"/>
      <c r="ADA4" s="8"/>
      <c r="ADB4" s="8"/>
      <c r="ADC4" s="8"/>
      <c r="ADD4" s="8"/>
      <c r="ADE4" s="8"/>
      <c r="ADF4" s="8"/>
      <c r="ADG4" s="8"/>
      <c r="ADH4" s="8"/>
      <c r="ADI4" s="8"/>
      <c r="ADJ4" s="8"/>
      <c r="ADK4" s="8"/>
      <c r="ADL4" s="8"/>
      <c r="ADM4" s="8"/>
      <c r="ADN4" s="8"/>
      <c r="ADO4" s="8"/>
      <c r="ADP4" s="8"/>
      <c r="ADQ4" s="8"/>
      <c r="ADR4" s="8"/>
      <c r="ADS4" s="8"/>
      <c r="ADT4" s="8"/>
      <c r="ADU4" s="8"/>
      <c r="ADV4" s="8"/>
      <c r="ADW4" s="8"/>
      <c r="ADX4" s="8"/>
      <c r="ADY4" s="8"/>
      <c r="ADZ4" s="8"/>
      <c r="AEA4" s="8"/>
      <c r="AEB4" s="8"/>
      <c r="AEC4" s="8"/>
      <c r="AED4" s="8"/>
      <c r="AEE4" s="8"/>
      <c r="AEF4" s="8"/>
      <c r="AEG4" s="8"/>
      <c r="AEH4" s="8"/>
      <c r="AEI4" s="8"/>
      <c r="AEJ4" s="8"/>
      <c r="AEK4" s="8"/>
      <c r="AEL4" s="8"/>
      <c r="AEM4" s="8"/>
      <c r="AEN4" s="8"/>
      <c r="AEO4" s="8"/>
      <c r="AEP4" s="8"/>
      <c r="AEQ4" s="8"/>
      <c r="AER4" s="8"/>
      <c r="AES4" s="8"/>
      <c r="AET4" s="8"/>
      <c r="AEU4" s="8"/>
      <c r="AEV4" s="8"/>
      <c r="AEW4" s="8"/>
      <c r="AEX4" s="8"/>
      <c r="AEY4" s="8"/>
      <c r="AEZ4" s="8"/>
      <c r="AFA4" s="8"/>
      <c r="AFB4" s="8"/>
      <c r="AFC4" s="8"/>
      <c r="AFD4" s="8"/>
      <c r="AFE4" s="8"/>
      <c r="AFF4" s="8"/>
      <c r="AFG4" s="8"/>
      <c r="AFH4" s="8"/>
      <c r="AFI4" s="8"/>
      <c r="AFJ4" s="8"/>
      <c r="AFK4" s="8"/>
      <c r="AFL4" s="8"/>
      <c r="AFM4" s="8"/>
      <c r="AFN4" s="8"/>
      <c r="AFO4" s="8"/>
      <c r="AFP4" s="8"/>
      <c r="AFQ4" s="8"/>
      <c r="AFR4" s="8"/>
      <c r="AFS4" s="8"/>
      <c r="AFT4" s="8"/>
      <c r="AFU4" s="8"/>
      <c r="AFV4" s="8"/>
      <c r="AFW4" s="8"/>
      <c r="AFX4" s="8"/>
      <c r="AFY4" s="8"/>
      <c r="AFZ4" s="8"/>
      <c r="AGA4" s="8"/>
      <c r="AGB4" s="8"/>
      <c r="AGC4" s="8"/>
      <c r="AGD4" s="8"/>
      <c r="AGE4" s="8"/>
      <c r="AGF4" s="8"/>
      <c r="AGG4" s="8"/>
      <c r="AGH4" s="8"/>
      <c r="AGI4" s="8"/>
      <c r="AGJ4" s="8"/>
      <c r="AGK4" s="8"/>
      <c r="AGL4" s="8"/>
      <c r="AGM4" s="8"/>
      <c r="AGN4" s="8"/>
      <c r="AGO4" s="8"/>
      <c r="AGP4" s="8"/>
      <c r="AGQ4" s="8"/>
      <c r="AGR4" s="8"/>
      <c r="AGS4" s="8"/>
      <c r="AGT4" s="8"/>
      <c r="AGU4" s="8"/>
      <c r="AGV4" s="8"/>
      <c r="AGW4" s="8"/>
      <c r="AGX4" s="8"/>
      <c r="AGY4" s="8"/>
      <c r="AGZ4" s="8"/>
      <c r="AHA4" s="8"/>
      <c r="AHB4" s="8"/>
      <c r="AHC4" s="8"/>
      <c r="AHD4" s="8"/>
      <c r="AHE4" s="8"/>
      <c r="AHF4" s="8"/>
      <c r="AHG4" s="8"/>
      <c r="AHH4" s="8"/>
      <c r="AHI4" s="8"/>
      <c r="AHJ4" s="8"/>
      <c r="AHK4" s="8"/>
      <c r="AHL4" s="8"/>
      <c r="AHM4" s="8"/>
      <c r="AHN4" s="8"/>
      <c r="AHO4" s="8"/>
      <c r="AHP4" s="8"/>
      <c r="AHQ4" s="8"/>
      <c r="AHR4" s="8"/>
      <c r="AHS4" s="8"/>
      <c r="AHT4" s="8"/>
      <c r="AHU4" s="8"/>
      <c r="AHV4" s="8"/>
      <c r="AHW4" s="8"/>
      <c r="AHX4" s="8"/>
      <c r="AHY4" s="8"/>
      <c r="AHZ4" s="8"/>
      <c r="AIA4" s="8"/>
      <c r="AIB4" s="8"/>
      <c r="AIC4" s="8"/>
      <c r="AID4" s="8"/>
      <c r="AIE4" s="8"/>
      <c r="AIF4" s="8"/>
      <c r="AIG4" s="8"/>
      <c r="AIH4" s="8"/>
      <c r="AII4" s="8"/>
      <c r="AIJ4" s="8"/>
      <c r="AIK4" s="8"/>
      <c r="AIL4" s="8"/>
      <c r="AIM4" s="8"/>
      <c r="AIN4" s="8"/>
      <c r="AIO4" s="8"/>
      <c r="AIP4" s="8"/>
      <c r="AIQ4" s="8"/>
      <c r="AIR4" s="8"/>
      <c r="AIS4" s="8"/>
      <c r="AIT4" s="8"/>
      <c r="AIU4" s="8"/>
      <c r="AIV4" s="8"/>
      <c r="AIW4" s="8"/>
      <c r="AIX4" s="8"/>
      <c r="AIY4" s="8"/>
      <c r="AIZ4" s="8"/>
      <c r="AJA4" s="8"/>
      <c r="AJB4" s="8"/>
      <c r="AJC4" s="8"/>
      <c r="AJD4" s="8"/>
      <c r="AJE4" s="8"/>
      <c r="AJF4" s="8"/>
      <c r="AJG4" s="8"/>
      <c r="AJH4" s="8"/>
      <c r="AJI4" s="8"/>
      <c r="AJJ4" s="8"/>
      <c r="AJK4" s="8"/>
      <c r="AJL4" s="8"/>
      <c r="AJM4" s="8"/>
      <c r="AJN4" s="8"/>
      <c r="AJO4" s="8"/>
      <c r="AJP4" s="8"/>
      <c r="AJQ4" s="8"/>
      <c r="AJR4" s="8"/>
      <c r="AJS4" s="8"/>
      <c r="AJT4" s="8"/>
      <c r="AJU4" s="8"/>
      <c r="AJV4" s="8"/>
      <c r="AJW4" s="8"/>
      <c r="AJX4" s="8"/>
      <c r="AJY4" s="8"/>
      <c r="AJZ4" s="8"/>
      <c r="AKA4" s="8"/>
      <c r="AKB4" s="8"/>
      <c r="AKC4" s="8"/>
      <c r="AKD4" s="8"/>
      <c r="AKE4" s="8"/>
      <c r="AKF4" s="8"/>
      <c r="AKG4" s="8"/>
      <c r="AKH4" s="8"/>
      <c r="AKI4" s="8"/>
      <c r="AKJ4" s="8"/>
      <c r="AKK4" s="8"/>
      <c r="AKL4" s="8"/>
      <c r="AKM4" s="8"/>
      <c r="AKN4" s="8"/>
      <c r="AKO4" s="8"/>
      <c r="AKP4" s="8"/>
      <c r="AKQ4" s="8"/>
      <c r="AKR4" s="8"/>
      <c r="AKS4" s="8"/>
      <c r="AKT4" s="8"/>
      <c r="AKU4" s="8"/>
      <c r="AKV4" s="8"/>
      <c r="AKW4" s="8"/>
      <c r="AKX4" s="8"/>
      <c r="AKY4" s="8"/>
      <c r="AKZ4" s="8"/>
      <c r="ALA4" s="8"/>
      <c r="ALB4" s="8"/>
      <c r="ALC4" s="8"/>
      <c r="ALD4" s="8"/>
      <c r="ALE4" s="8"/>
      <c r="ALF4" s="8"/>
      <c r="ALG4" s="8"/>
      <c r="ALH4" s="8"/>
      <c r="ALI4" s="8"/>
      <c r="ALJ4" s="8"/>
      <c r="ALK4" s="8"/>
      <c r="ALL4" s="8"/>
      <c r="ALM4" s="8"/>
      <c r="ALN4" s="8"/>
      <c r="ALO4" s="8"/>
      <c r="ALP4" s="8"/>
      <c r="ALQ4" s="8"/>
      <c r="ALR4" s="8"/>
      <c r="ALS4" s="8"/>
      <c r="ALT4" s="8"/>
      <c r="ALU4" s="8"/>
      <c r="ALV4" s="8"/>
      <c r="ALW4" s="8"/>
      <c r="ALX4" s="8"/>
      <c r="ALY4" s="8"/>
      <c r="ALZ4" s="8"/>
      <c r="AMA4" s="8"/>
      <c r="AMB4" s="8"/>
      <c r="AMC4" s="8"/>
      <c r="AMD4" s="8"/>
      <c r="AME4" s="8"/>
      <c r="AMF4" s="8"/>
      <c r="AMG4" s="8"/>
      <c r="AMH4" s="8"/>
    </row>
    <row r="5" spans="1:1022" x14ac:dyDescent="0.15">
      <c r="A5" s="8" t="s">
        <v>2198</v>
      </c>
      <c r="B5" s="8" t="s">
        <v>192</v>
      </c>
      <c r="C5" s="8" t="str">
        <f>B5&amp;":"&amp;A5</f>
        <v>att_organism:UP000002494</v>
      </c>
      <c r="D5" s="8" t="s">
        <v>2199</v>
      </c>
      <c r="E5" s="8" t="s">
        <v>2200</v>
      </c>
      <c r="F5" s="8" t="s">
        <v>2201</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row>
    <row r="6" spans="1:1022" x14ac:dyDescent="0.15">
      <c r="A6" s="8" t="s">
        <v>2202</v>
      </c>
      <c r="B6" s="8" t="s">
        <v>192</v>
      </c>
      <c r="C6" s="8" t="str">
        <f>B6&amp;":"&amp;A6</f>
        <v>att_organism:UP000005640</v>
      </c>
      <c r="D6" s="8" t="s">
        <v>2203</v>
      </c>
      <c r="E6" s="8" t="s">
        <v>2204</v>
      </c>
      <c r="F6" s="8" t="s">
        <v>2205</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45B7-985B-284A-BEE4-821C1E6602B3}">
  <dimension ref="A1:AMH8"/>
  <sheetViews>
    <sheetView topLeftCell="W1" workbookViewId="0">
      <selection activeCell="F38" sqref="F38"/>
    </sheetView>
  </sheetViews>
  <sheetFormatPr baseColWidth="10" defaultRowHeight="13" x14ac:dyDescent="0.15"/>
  <sheetData>
    <row r="1" spans="1:1022" x14ac:dyDescent="0.15">
      <c r="A1" s="8" t="s">
        <v>2870</v>
      </c>
      <c r="B1" s="8" t="s">
        <v>246</v>
      </c>
      <c r="C1" s="8" t="str">
        <f t="shared" ref="C1:C8" si="0">B1&amp;":"&amp;A1</f>
        <v>att_user_research_group:niessen</v>
      </c>
      <c r="D1" s="8" t="s">
        <v>17</v>
      </c>
      <c r="E1" s="8" t="s">
        <v>2871</v>
      </c>
      <c r="F1" s="8" t="s">
        <v>2484</v>
      </c>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row>
    <row r="2" spans="1:1022" x14ac:dyDescent="0.15">
      <c r="A2" s="8" t="s">
        <v>2872</v>
      </c>
      <c r="B2" s="8" t="s">
        <v>246</v>
      </c>
      <c r="C2" s="8" t="str">
        <f t="shared" si="0"/>
        <v>att_user_research_group:gloeckner</v>
      </c>
      <c r="D2" s="8" t="s">
        <v>17</v>
      </c>
      <c r="E2" s="8" t="s">
        <v>2873</v>
      </c>
      <c r="F2" s="8" t="s">
        <v>2874</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row>
    <row r="3" spans="1:1022" x14ac:dyDescent="0.15">
      <c r="A3" s="8" t="s">
        <v>2875</v>
      </c>
      <c r="B3" s="8" t="s">
        <v>246</v>
      </c>
      <c r="C3" s="8" t="str">
        <f t="shared" si="0"/>
        <v>att_user_research_group:bazzi</v>
      </c>
      <c r="D3" s="8" t="s">
        <v>17</v>
      </c>
      <c r="E3" s="8" t="s">
        <v>2876</v>
      </c>
      <c r="F3" s="8" t="s">
        <v>2877</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row>
    <row r="4" spans="1:1022" x14ac:dyDescent="0.15">
      <c r="A4" s="8" t="s">
        <v>2878</v>
      </c>
      <c r="B4" s="8" t="s">
        <v>246</v>
      </c>
      <c r="C4" s="8" t="str">
        <f t="shared" si="0"/>
        <v>att_user_research_group:hallek</v>
      </c>
      <c r="D4" s="8" t="s">
        <v>17</v>
      </c>
      <c r="E4" s="8" t="s">
        <v>2879</v>
      </c>
      <c r="F4" s="8" t="s">
        <v>2880</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c r="WP4" s="8"/>
      <c r="WQ4" s="8"/>
      <c r="WR4" s="8"/>
      <c r="WS4" s="8"/>
      <c r="WT4" s="8"/>
      <c r="WU4" s="8"/>
      <c r="WV4" s="8"/>
      <c r="WW4" s="8"/>
      <c r="WX4" s="8"/>
      <c r="WY4" s="8"/>
      <c r="WZ4" s="8"/>
      <c r="XA4" s="8"/>
      <c r="XB4" s="8"/>
      <c r="XC4" s="8"/>
      <c r="XD4" s="8"/>
      <c r="XE4" s="8"/>
      <c r="XF4" s="8"/>
      <c r="XG4" s="8"/>
      <c r="XH4" s="8"/>
      <c r="XI4" s="8"/>
      <c r="XJ4" s="8"/>
      <c r="XK4" s="8"/>
      <c r="XL4" s="8"/>
      <c r="XM4" s="8"/>
      <c r="XN4" s="8"/>
      <c r="XO4" s="8"/>
      <c r="XP4" s="8"/>
      <c r="XQ4" s="8"/>
      <c r="XR4" s="8"/>
      <c r="XS4" s="8"/>
      <c r="XT4" s="8"/>
      <c r="XU4" s="8"/>
      <c r="XV4" s="8"/>
      <c r="XW4" s="8"/>
      <c r="XX4" s="8"/>
      <c r="XY4" s="8"/>
      <c r="XZ4" s="8"/>
      <c r="YA4" s="8"/>
      <c r="YB4" s="8"/>
      <c r="YC4" s="8"/>
      <c r="YD4" s="8"/>
      <c r="YE4" s="8"/>
      <c r="YF4" s="8"/>
      <c r="YG4" s="8"/>
      <c r="YH4" s="8"/>
      <c r="YI4" s="8"/>
      <c r="YJ4" s="8"/>
      <c r="YK4" s="8"/>
      <c r="YL4" s="8"/>
      <c r="YM4" s="8"/>
      <c r="YN4" s="8"/>
      <c r="YO4" s="8"/>
      <c r="YP4" s="8"/>
      <c r="YQ4" s="8"/>
      <c r="YR4" s="8"/>
      <c r="YS4" s="8"/>
      <c r="YT4" s="8"/>
      <c r="YU4" s="8"/>
      <c r="YV4" s="8"/>
      <c r="YW4" s="8"/>
      <c r="YX4" s="8"/>
      <c r="YY4" s="8"/>
      <c r="YZ4" s="8"/>
      <c r="ZA4" s="8"/>
      <c r="ZB4" s="8"/>
      <c r="ZC4" s="8"/>
      <c r="ZD4" s="8"/>
      <c r="ZE4" s="8"/>
      <c r="ZF4" s="8"/>
      <c r="ZG4" s="8"/>
      <c r="ZH4" s="8"/>
      <c r="ZI4" s="8"/>
      <c r="ZJ4" s="8"/>
      <c r="ZK4" s="8"/>
      <c r="ZL4" s="8"/>
      <c r="ZM4" s="8"/>
      <c r="ZN4" s="8"/>
      <c r="ZO4" s="8"/>
      <c r="ZP4" s="8"/>
      <c r="ZQ4" s="8"/>
      <c r="ZR4" s="8"/>
      <c r="ZS4" s="8"/>
      <c r="ZT4" s="8"/>
      <c r="ZU4" s="8"/>
      <c r="ZV4" s="8"/>
      <c r="ZW4" s="8"/>
      <c r="ZX4" s="8"/>
      <c r="ZY4" s="8"/>
      <c r="ZZ4" s="8"/>
      <c r="AAA4" s="8"/>
      <c r="AAB4" s="8"/>
      <c r="AAC4" s="8"/>
      <c r="AAD4" s="8"/>
      <c r="AAE4" s="8"/>
      <c r="AAF4" s="8"/>
      <c r="AAG4" s="8"/>
      <c r="AAH4" s="8"/>
      <c r="AAI4" s="8"/>
      <c r="AAJ4" s="8"/>
      <c r="AAK4" s="8"/>
      <c r="AAL4" s="8"/>
      <c r="AAM4" s="8"/>
      <c r="AAN4" s="8"/>
      <c r="AAO4" s="8"/>
      <c r="AAP4" s="8"/>
      <c r="AAQ4" s="8"/>
      <c r="AAR4" s="8"/>
      <c r="AAS4" s="8"/>
      <c r="AAT4" s="8"/>
      <c r="AAU4" s="8"/>
      <c r="AAV4" s="8"/>
      <c r="AAW4" s="8"/>
      <c r="AAX4" s="8"/>
      <c r="AAY4" s="8"/>
      <c r="AAZ4" s="8"/>
      <c r="ABA4" s="8"/>
      <c r="ABB4" s="8"/>
      <c r="ABC4" s="8"/>
      <c r="ABD4" s="8"/>
      <c r="ABE4" s="8"/>
      <c r="ABF4" s="8"/>
      <c r="ABG4" s="8"/>
      <c r="ABH4" s="8"/>
      <c r="ABI4" s="8"/>
      <c r="ABJ4" s="8"/>
      <c r="ABK4" s="8"/>
      <c r="ABL4" s="8"/>
      <c r="ABM4" s="8"/>
      <c r="ABN4" s="8"/>
      <c r="ABO4" s="8"/>
      <c r="ABP4" s="8"/>
      <c r="ABQ4" s="8"/>
      <c r="ABR4" s="8"/>
      <c r="ABS4" s="8"/>
      <c r="ABT4" s="8"/>
      <c r="ABU4" s="8"/>
      <c r="ABV4" s="8"/>
      <c r="ABW4" s="8"/>
      <c r="ABX4" s="8"/>
      <c r="ABY4" s="8"/>
      <c r="ABZ4" s="8"/>
      <c r="ACA4" s="8"/>
      <c r="ACB4" s="8"/>
      <c r="ACC4" s="8"/>
      <c r="ACD4" s="8"/>
      <c r="ACE4" s="8"/>
      <c r="ACF4" s="8"/>
      <c r="ACG4" s="8"/>
      <c r="ACH4" s="8"/>
      <c r="ACI4" s="8"/>
      <c r="ACJ4" s="8"/>
      <c r="ACK4" s="8"/>
      <c r="ACL4" s="8"/>
      <c r="ACM4" s="8"/>
      <c r="ACN4" s="8"/>
      <c r="ACO4" s="8"/>
      <c r="ACP4" s="8"/>
      <c r="ACQ4" s="8"/>
      <c r="ACR4" s="8"/>
      <c r="ACS4" s="8"/>
      <c r="ACT4" s="8"/>
      <c r="ACU4" s="8"/>
      <c r="ACV4" s="8"/>
      <c r="ACW4" s="8"/>
      <c r="ACX4" s="8"/>
      <c r="ACY4" s="8"/>
      <c r="ACZ4" s="8"/>
      <c r="ADA4" s="8"/>
      <c r="ADB4" s="8"/>
      <c r="ADC4" s="8"/>
      <c r="ADD4" s="8"/>
      <c r="ADE4" s="8"/>
      <c r="ADF4" s="8"/>
      <c r="ADG4" s="8"/>
      <c r="ADH4" s="8"/>
      <c r="ADI4" s="8"/>
      <c r="ADJ4" s="8"/>
      <c r="ADK4" s="8"/>
      <c r="ADL4" s="8"/>
      <c r="ADM4" s="8"/>
      <c r="ADN4" s="8"/>
      <c r="ADO4" s="8"/>
      <c r="ADP4" s="8"/>
      <c r="ADQ4" s="8"/>
      <c r="ADR4" s="8"/>
      <c r="ADS4" s="8"/>
      <c r="ADT4" s="8"/>
      <c r="ADU4" s="8"/>
      <c r="ADV4" s="8"/>
      <c r="ADW4" s="8"/>
      <c r="ADX4" s="8"/>
      <c r="ADY4" s="8"/>
      <c r="ADZ4" s="8"/>
      <c r="AEA4" s="8"/>
      <c r="AEB4" s="8"/>
      <c r="AEC4" s="8"/>
      <c r="AED4" s="8"/>
      <c r="AEE4" s="8"/>
      <c r="AEF4" s="8"/>
      <c r="AEG4" s="8"/>
      <c r="AEH4" s="8"/>
      <c r="AEI4" s="8"/>
      <c r="AEJ4" s="8"/>
      <c r="AEK4" s="8"/>
      <c r="AEL4" s="8"/>
      <c r="AEM4" s="8"/>
      <c r="AEN4" s="8"/>
      <c r="AEO4" s="8"/>
      <c r="AEP4" s="8"/>
      <c r="AEQ4" s="8"/>
      <c r="AER4" s="8"/>
      <c r="AES4" s="8"/>
      <c r="AET4" s="8"/>
      <c r="AEU4" s="8"/>
      <c r="AEV4" s="8"/>
      <c r="AEW4" s="8"/>
      <c r="AEX4" s="8"/>
      <c r="AEY4" s="8"/>
      <c r="AEZ4" s="8"/>
      <c r="AFA4" s="8"/>
      <c r="AFB4" s="8"/>
      <c r="AFC4" s="8"/>
      <c r="AFD4" s="8"/>
      <c r="AFE4" s="8"/>
      <c r="AFF4" s="8"/>
      <c r="AFG4" s="8"/>
      <c r="AFH4" s="8"/>
      <c r="AFI4" s="8"/>
      <c r="AFJ4" s="8"/>
      <c r="AFK4" s="8"/>
      <c r="AFL4" s="8"/>
      <c r="AFM4" s="8"/>
      <c r="AFN4" s="8"/>
      <c r="AFO4" s="8"/>
      <c r="AFP4" s="8"/>
      <c r="AFQ4" s="8"/>
      <c r="AFR4" s="8"/>
      <c r="AFS4" s="8"/>
      <c r="AFT4" s="8"/>
      <c r="AFU4" s="8"/>
      <c r="AFV4" s="8"/>
      <c r="AFW4" s="8"/>
      <c r="AFX4" s="8"/>
      <c r="AFY4" s="8"/>
      <c r="AFZ4" s="8"/>
      <c r="AGA4" s="8"/>
      <c r="AGB4" s="8"/>
      <c r="AGC4" s="8"/>
      <c r="AGD4" s="8"/>
      <c r="AGE4" s="8"/>
      <c r="AGF4" s="8"/>
      <c r="AGG4" s="8"/>
      <c r="AGH4" s="8"/>
      <c r="AGI4" s="8"/>
      <c r="AGJ4" s="8"/>
      <c r="AGK4" s="8"/>
      <c r="AGL4" s="8"/>
      <c r="AGM4" s="8"/>
      <c r="AGN4" s="8"/>
      <c r="AGO4" s="8"/>
      <c r="AGP4" s="8"/>
      <c r="AGQ4" s="8"/>
      <c r="AGR4" s="8"/>
      <c r="AGS4" s="8"/>
      <c r="AGT4" s="8"/>
      <c r="AGU4" s="8"/>
      <c r="AGV4" s="8"/>
      <c r="AGW4" s="8"/>
      <c r="AGX4" s="8"/>
      <c r="AGY4" s="8"/>
      <c r="AGZ4" s="8"/>
      <c r="AHA4" s="8"/>
      <c r="AHB4" s="8"/>
      <c r="AHC4" s="8"/>
      <c r="AHD4" s="8"/>
      <c r="AHE4" s="8"/>
      <c r="AHF4" s="8"/>
      <c r="AHG4" s="8"/>
      <c r="AHH4" s="8"/>
      <c r="AHI4" s="8"/>
      <c r="AHJ4" s="8"/>
      <c r="AHK4" s="8"/>
      <c r="AHL4" s="8"/>
      <c r="AHM4" s="8"/>
      <c r="AHN4" s="8"/>
      <c r="AHO4" s="8"/>
      <c r="AHP4" s="8"/>
      <c r="AHQ4" s="8"/>
      <c r="AHR4" s="8"/>
      <c r="AHS4" s="8"/>
      <c r="AHT4" s="8"/>
      <c r="AHU4" s="8"/>
      <c r="AHV4" s="8"/>
      <c r="AHW4" s="8"/>
      <c r="AHX4" s="8"/>
      <c r="AHY4" s="8"/>
      <c r="AHZ4" s="8"/>
      <c r="AIA4" s="8"/>
      <c r="AIB4" s="8"/>
      <c r="AIC4" s="8"/>
      <c r="AID4" s="8"/>
      <c r="AIE4" s="8"/>
      <c r="AIF4" s="8"/>
      <c r="AIG4" s="8"/>
      <c r="AIH4" s="8"/>
      <c r="AII4" s="8"/>
      <c r="AIJ4" s="8"/>
      <c r="AIK4" s="8"/>
      <c r="AIL4" s="8"/>
      <c r="AIM4" s="8"/>
      <c r="AIN4" s="8"/>
      <c r="AIO4" s="8"/>
      <c r="AIP4" s="8"/>
      <c r="AIQ4" s="8"/>
      <c r="AIR4" s="8"/>
      <c r="AIS4" s="8"/>
      <c r="AIT4" s="8"/>
      <c r="AIU4" s="8"/>
      <c r="AIV4" s="8"/>
      <c r="AIW4" s="8"/>
      <c r="AIX4" s="8"/>
      <c r="AIY4" s="8"/>
      <c r="AIZ4" s="8"/>
      <c r="AJA4" s="8"/>
      <c r="AJB4" s="8"/>
      <c r="AJC4" s="8"/>
      <c r="AJD4" s="8"/>
      <c r="AJE4" s="8"/>
      <c r="AJF4" s="8"/>
      <c r="AJG4" s="8"/>
      <c r="AJH4" s="8"/>
      <c r="AJI4" s="8"/>
      <c r="AJJ4" s="8"/>
      <c r="AJK4" s="8"/>
      <c r="AJL4" s="8"/>
      <c r="AJM4" s="8"/>
      <c r="AJN4" s="8"/>
      <c r="AJO4" s="8"/>
      <c r="AJP4" s="8"/>
      <c r="AJQ4" s="8"/>
      <c r="AJR4" s="8"/>
      <c r="AJS4" s="8"/>
      <c r="AJT4" s="8"/>
      <c r="AJU4" s="8"/>
      <c r="AJV4" s="8"/>
      <c r="AJW4" s="8"/>
      <c r="AJX4" s="8"/>
      <c r="AJY4" s="8"/>
      <c r="AJZ4" s="8"/>
      <c r="AKA4" s="8"/>
      <c r="AKB4" s="8"/>
      <c r="AKC4" s="8"/>
      <c r="AKD4" s="8"/>
      <c r="AKE4" s="8"/>
      <c r="AKF4" s="8"/>
      <c r="AKG4" s="8"/>
      <c r="AKH4" s="8"/>
      <c r="AKI4" s="8"/>
      <c r="AKJ4" s="8"/>
      <c r="AKK4" s="8"/>
      <c r="AKL4" s="8"/>
      <c r="AKM4" s="8"/>
      <c r="AKN4" s="8"/>
      <c r="AKO4" s="8"/>
      <c r="AKP4" s="8"/>
      <c r="AKQ4" s="8"/>
      <c r="AKR4" s="8"/>
      <c r="AKS4" s="8"/>
      <c r="AKT4" s="8"/>
      <c r="AKU4" s="8"/>
      <c r="AKV4" s="8"/>
      <c r="AKW4" s="8"/>
      <c r="AKX4" s="8"/>
      <c r="AKY4" s="8"/>
      <c r="AKZ4" s="8"/>
      <c r="ALA4" s="8"/>
      <c r="ALB4" s="8"/>
      <c r="ALC4" s="8"/>
      <c r="ALD4" s="8"/>
      <c r="ALE4" s="8"/>
      <c r="ALF4" s="8"/>
      <c r="ALG4" s="8"/>
      <c r="ALH4" s="8"/>
      <c r="ALI4" s="8"/>
      <c r="ALJ4" s="8"/>
      <c r="ALK4" s="8"/>
      <c r="ALL4" s="8"/>
      <c r="ALM4" s="8"/>
      <c r="ALN4" s="8"/>
      <c r="ALO4" s="8"/>
      <c r="ALP4" s="8"/>
      <c r="ALQ4" s="8"/>
      <c r="ALR4" s="8"/>
      <c r="ALS4" s="8"/>
      <c r="ALT4" s="8"/>
      <c r="ALU4" s="8"/>
      <c r="ALV4" s="8"/>
      <c r="ALW4" s="8"/>
      <c r="ALX4" s="8"/>
      <c r="ALY4" s="8"/>
      <c r="ALZ4" s="8"/>
      <c r="AMA4" s="8"/>
      <c r="AMB4" s="8"/>
      <c r="AMC4" s="8"/>
      <c r="AMD4" s="8"/>
      <c r="AME4" s="8"/>
      <c r="AMF4" s="8"/>
      <c r="AMG4" s="8"/>
      <c r="AMH4" s="8"/>
    </row>
    <row r="5" spans="1:1022" x14ac:dyDescent="0.15">
      <c r="A5" s="8" t="s">
        <v>2881</v>
      </c>
      <c r="B5" s="8" t="s">
        <v>246</v>
      </c>
      <c r="C5" s="8" t="str">
        <f t="shared" si="0"/>
        <v>att_user_research_group:benzing</v>
      </c>
      <c r="D5" s="8" t="s">
        <v>17</v>
      </c>
      <c r="E5" s="8" t="s">
        <v>2882</v>
      </c>
      <c r="F5" s="8" t="s">
        <v>2883</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row>
    <row r="6" spans="1:1022" x14ac:dyDescent="0.15">
      <c r="A6" s="8" t="s">
        <v>2884</v>
      </c>
      <c r="B6" s="8" t="s">
        <v>246</v>
      </c>
      <c r="C6" s="8" t="str">
        <f t="shared" si="0"/>
        <v>att_user_research_group:hennies</v>
      </c>
      <c r="D6" s="8" t="s">
        <v>17</v>
      </c>
      <c r="E6" s="8" t="s">
        <v>2885</v>
      </c>
      <c r="F6" s="8" t="s">
        <v>2886</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row>
    <row r="7" spans="1:1022" x14ac:dyDescent="0.15">
      <c r="A7" s="8" t="s">
        <v>2887</v>
      </c>
      <c r="B7" s="8" t="s">
        <v>246</v>
      </c>
      <c r="C7" s="8" t="str">
        <f t="shared" si="0"/>
        <v>att_user_research_group:vonkarstedt</v>
      </c>
      <c r="D7" s="8" t="s">
        <v>17</v>
      </c>
      <c r="E7" s="8" t="s">
        <v>2888</v>
      </c>
      <c r="F7" s="8" t="s">
        <v>2889</v>
      </c>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8"/>
      <c r="SL7" s="8"/>
      <c r="SM7" s="8"/>
      <c r="SN7" s="8"/>
      <c r="SO7" s="8"/>
      <c r="SP7" s="8"/>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8"/>
      <c r="XK7" s="8"/>
      <c r="XL7" s="8"/>
      <c r="XM7" s="8"/>
      <c r="XN7" s="8"/>
      <c r="XO7" s="8"/>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8"/>
      <c r="ACJ7" s="8"/>
      <c r="ACK7" s="8"/>
      <c r="ACL7" s="8"/>
      <c r="ACM7" s="8"/>
      <c r="ACN7" s="8"/>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8"/>
      <c r="AHI7" s="8"/>
      <c r="AHJ7" s="8"/>
      <c r="AHK7" s="8"/>
      <c r="AHL7" s="8"/>
      <c r="AHM7" s="8"/>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8"/>
      <c r="AMH7" s="8"/>
    </row>
    <row r="8" spans="1:1022" x14ac:dyDescent="0.15">
      <c r="A8" s="8" t="s">
        <v>2890</v>
      </c>
      <c r="B8" s="8" t="s">
        <v>246</v>
      </c>
      <c r="C8" s="8" t="str">
        <f t="shared" si="0"/>
        <v>att_user_research_group:laessig</v>
      </c>
      <c r="D8" s="8" t="s">
        <v>17</v>
      </c>
      <c r="E8" s="8" t="s">
        <v>2891</v>
      </c>
      <c r="F8" s="8" t="s">
        <v>2892</v>
      </c>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8"/>
      <c r="JT8" s="8"/>
      <c r="JU8" s="8"/>
      <c r="JV8" s="8"/>
      <c r="JW8" s="8"/>
      <c r="JX8" s="8"/>
      <c r="JY8" s="8"/>
      <c r="JZ8" s="8"/>
      <c r="KA8" s="8"/>
      <c r="KB8" s="8"/>
      <c r="KC8" s="8"/>
      <c r="KD8" s="8"/>
      <c r="KE8" s="8"/>
      <c r="KF8" s="8"/>
      <c r="KG8" s="8"/>
      <c r="KH8" s="8"/>
      <c r="KI8" s="8"/>
      <c r="KJ8" s="8"/>
      <c r="KK8" s="8"/>
      <c r="KL8" s="8"/>
      <c r="KM8" s="8"/>
      <c r="KN8" s="8"/>
      <c r="KO8" s="8"/>
      <c r="KP8" s="8"/>
      <c r="KQ8" s="8"/>
      <c r="KR8" s="8"/>
      <c r="KS8" s="8"/>
      <c r="KT8" s="8"/>
      <c r="KU8" s="8"/>
      <c r="KV8" s="8"/>
      <c r="KW8" s="8"/>
      <c r="KX8" s="8"/>
      <c r="KY8" s="8"/>
      <c r="KZ8" s="8"/>
      <c r="LA8" s="8"/>
      <c r="LB8" s="8"/>
      <c r="LC8" s="8"/>
      <c r="LD8" s="8"/>
      <c r="LE8" s="8"/>
      <c r="LF8" s="8"/>
      <c r="LG8" s="8"/>
      <c r="LH8" s="8"/>
      <c r="LI8" s="8"/>
      <c r="LJ8" s="8"/>
      <c r="LK8" s="8"/>
      <c r="LL8" s="8"/>
      <c r="LM8" s="8"/>
      <c r="LN8" s="8"/>
      <c r="LO8" s="8"/>
      <c r="LP8" s="8"/>
      <c r="LQ8" s="8"/>
      <c r="LR8" s="8"/>
      <c r="LS8" s="8"/>
      <c r="LT8" s="8"/>
      <c r="LU8" s="8"/>
      <c r="LV8" s="8"/>
      <c r="LW8" s="8"/>
      <c r="LX8" s="8"/>
      <c r="LY8" s="8"/>
      <c r="LZ8" s="8"/>
      <c r="MA8" s="8"/>
      <c r="MB8" s="8"/>
      <c r="MC8" s="8"/>
      <c r="MD8" s="8"/>
      <c r="ME8" s="8"/>
      <c r="MF8" s="8"/>
      <c r="MG8" s="8"/>
      <c r="MH8" s="8"/>
      <c r="MI8" s="8"/>
      <c r="MJ8" s="8"/>
      <c r="MK8" s="8"/>
      <c r="ML8" s="8"/>
      <c r="MM8" s="8"/>
      <c r="MN8" s="8"/>
      <c r="MO8" s="8"/>
      <c r="MP8" s="8"/>
      <c r="MQ8" s="8"/>
      <c r="MR8" s="8"/>
      <c r="MS8" s="8"/>
      <c r="MT8" s="8"/>
      <c r="MU8" s="8"/>
      <c r="MV8" s="8"/>
      <c r="MW8" s="8"/>
      <c r="MX8" s="8"/>
      <c r="MY8" s="8"/>
      <c r="MZ8" s="8"/>
      <c r="NA8" s="8"/>
      <c r="NB8" s="8"/>
      <c r="NC8" s="8"/>
      <c r="ND8" s="8"/>
      <c r="NE8" s="8"/>
      <c r="NF8" s="8"/>
      <c r="NG8" s="8"/>
      <c r="NH8" s="8"/>
      <c r="NI8" s="8"/>
      <c r="NJ8" s="8"/>
      <c r="NK8" s="8"/>
      <c r="NL8" s="8"/>
      <c r="NM8" s="8"/>
      <c r="NN8" s="8"/>
      <c r="NO8" s="8"/>
      <c r="NP8" s="8"/>
      <c r="NQ8" s="8"/>
      <c r="NR8" s="8"/>
      <c r="NS8" s="8"/>
      <c r="NT8" s="8"/>
      <c r="NU8" s="8"/>
      <c r="NV8" s="8"/>
      <c r="NW8" s="8"/>
      <c r="NX8" s="8"/>
      <c r="NY8" s="8"/>
      <c r="NZ8" s="8"/>
      <c r="OA8" s="8"/>
      <c r="OB8" s="8"/>
      <c r="OC8" s="8"/>
      <c r="OD8" s="8"/>
      <c r="OE8" s="8"/>
      <c r="OF8" s="8"/>
      <c r="OG8" s="8"/>
      <c r="OH8" s="8"/>
      <c r="OI8" s="8"/>
      <c r="OJ8" s="8"/>
      <c r="OK8" s="8"/>
      <c r="OL8" s="8"/>
      <c r="OM8" s="8"/>
      <c r="ON8" s="8"/>
      <c r="OO8" s="8"/>
      <c r="OP8" s="8"/>
      <c r="OQ8" s="8"/>
      <c r="OR8" s="8"/>
      <c r="OS8" s="8"/>
      <c r="OT8" s="8"/>
      <c r="OU8" s="8"/>
      <c r="OV8" s="8"/>
      <c r="OW8" s="8"/>
      <c r="OX8" s="8"/>
      <c r="OY8" s="8"/>
      <c r="OZ8" s="8"/>
      <c r="PA8" s="8"/>
      <c r="PB8" s="8"/>
      <c r="PC8" s="8"/>
      <c r="PD8" s="8"/>
      <c r="PE8" s="8"/>
      <c r="PF8" s="8"/>
      <c r="PG8" s="8"/>
      <c r="PH8" s="8"/>
      <c r="PI8" s="8"/>
      <c r="PJ8" s="8"/>
      <c r="PK8" s="8"/>
      <c r="PL8" s="8"/>
      <c r="PM8" s="8"/>
      <c r="PN8" s="8"/>
      <c r="PO8" s="8"/>
      <c r="PP8" s="8"/>
      <c r="PQ8" s="8"/>
      <c r="PR8" s="8"/>
      <c r="PS8" s="8"/>
      <c r="PT8" s="8"/>
      <c r="PU8" s="8"/>
      <c r="PV8" s="8"/>
      <c r="PW8" s="8"/>
      <c r="PX8" s="8"/>
      <c r="PY8" s="8"/>
      <c r="PZ8" s="8"/>
      <c r="QA8" s="8"/>
      <c r="QB8" s="8"/>
      <c r="QC8" s="8"/>
      <c r="QD8" s="8"/>
      <c r="QE8" s="8"/>
      <c r="QF8" s="8"/>
      <c r="QG8" s="8"/>
      <c r="QH8" s="8"/>
      <c r="QI8" s="8"/>
      <c r="QJ8" s="8"/>
      <c r="QK8" s="8"/>
      <c r="QL8" s="8"/>
      <c r="QM8" s="8"/>
      <c r="QN8" s="8"/>
      <c r="QO8" s="8"/>
      <c r="QP8" s="8"/>
      <c r="QQ8" s="8"/>
      <c r="QR8" s="8"/>
      <c r="QS8" s="8"/>
      <c r="QT8" s="8"/>
      <c r="QU8" s="8"/>
      <c r="QV8" s="8"/>
      <c r="QW8" s="8"/>
      <c r="QX8" s="8"/>
      <c r="QY8" s="8"/>
      <c r="QZ8" s="8"/>
      <c r="RA8" s="8"/>
      <c r="RB8" s="8"/>
      <c r="RC8" s="8"/>
      <c r="RD8" s="8"/>
      <c r="RE8" s="8"/>
      <c r="RF8" s="8"/>
      <c r="RG8" s="8"/>
      <c r="RH8" s="8"/>
      <c r="RI8" s="8"/>
      <c r="RJ8" s="8"/>
      <c r="RK8" s="8"/>
      <c r="RL8" s="8"/>
      <c r="RM8" s="8"/>
      <c r="RN8" s="8"/>
      <c r="RO8" s="8"/>
      <c r="RP8" s="8"/>
      <c r="RQ8" s="8"/>
      <c r="RR8" s="8"/>
      <c r="RS8" s="8"/>
      <c r="RT8" s="8"/>
      <c r="RU8" s="8"/>
      <c r="RV8" s="8"/>
      <c r="RW8" s="8"/>
      <c r="RX8" s="8"/>
      <c r="RY8" s="8"/>
      <c r="RZ8" s="8"/>
      <c r="SA8" s="8"/>
      <c r="SB8" s="8"/>
      <c r="SC8" s="8"/>
      <c r="SD8" s="8"/>
      <c r="SE8" s="8"/>
      <c r="SF8" s="8"/>
      <c r="SG8" s="8"/>
      <c r="SH8" s="8"/>
      <c r="SI8" s="8"/>
      <c r="SJ8" s="8"/>
      <c r="SK8" s="8"/>
      <c r="SL8" s="8"/>
      <c r="SM8" s="8"/>
      <c r="SN8" s="8"/>
      <c r="SO8" s="8"/>
      <c r="SP8" s="8"/>
      <c r="SQ8" s="8"/>
      <c r="SR8" s="8"/>
      <c r="SS8" s="8"/>
      <c r="ST8" s="8"/>
      <c r="SU8" s="8"/>
      <c r="SV8" s="8"/>
      <c r="SW8" s="8"/>
      <c r="SX8" s="8"/>
      <c r="SY8" s="8"/>
      <c r="SZ8" s="8"/>
      <c r="TA8" s="8"/>
      <c r="TB8" s="8"/>
      <c r="TC8" s="8"/>
      <c r="TD8" s="8"/>
      <c r="TE8" s="8"/>
      <c r="TF8" s="8"/>
      <c r="TG8" s="8"/>
      <c r="TH8" s="8"/>
      <c r="TI8" s="8"/>
      <c r="TJ8" s="8"/>
      <c r="TK8" s="8"/>
      <c r="TL8" s="8"/>
      <c r="TM8" s="8"/>
      <c r="TN8" s="8"/>
      <c r="TO8" s="8"/>
      <c r="TP8" s="8"/>
      <c r="TQ8" s="8"/>
      <c r="TR8" s="8"/>
      <c r="TS8" s="8"/>
      <c r="TT8" s="8"/>
      <c r="TU8" s="8"/>
      <c r="TV8" s="8"/>
      <c r="TW8" s="8"/>
      <c r="TX8" s="8"/>
      <c r="TY8" s="8"/>
      <c r="TZ8" s="8"/>
      <c r="UA8" s="8"/>
      <c r="UB8" s="8"/>
      <c r="UC8" s="8"/>
      <c r="UD8" s="8"/>
      <c r="UE8" s="8"/>
      <c r="UF8" s="8"/>
      <c r="UG8" s="8"/>
      <c r="UH8" s="8"/>
      <c r="UI8" s="8"/>
      <c r="UJ8" s="8"/>
      <c r="UK8" s="8"/>
      <c r="UL8" s="8"/>
      <c r="UM8" s="8"/>
      <c r="UN8" s="8"/>
      <c r="UO8" s="8"/>
      <c r="UP8" s="8"/>
      <c r="UQ8" s="8"/>
      <c r="UR8" s="8"/>
      <c r="US8" s="8"/>
      <c r="UT8" s="8"/>
      <c r="UU8" s="8"/>
      <c r="UV8" s="8"/>
      <c r="UW8" s="8"/>
      <c r="UX8" s="8"/>
      <c r="UY8" s="8"/>
      <c r="UZ8" s="8"/>
      <c r="VA8" s="8"/>
      <c r="VB8" s="8"/>
      <c r="VC8" s="8"/>
      <c r="VD8" s="8"/>
      <c r="VE8" s="8"/>
      <c r="VF8" s="8"/>
      <c r="VG8" s="8"/>
      <c r="VH8" s="8"/>
      <c r="VI8" s="8"/>
      <c r="VJ8" s="8"/>
      <c r="VK8" s="8"/>
      <c r="VL8" s="8"/>
      <c r="VM8" s="8"/>
      <c r="VN8" s="8"/>
      <c r="VO8" s="8"/>
      <c r="VP8" s="8"/>
      <c r="VQ8" s="8"/>
      <c r="VR8" s="8"/>
      <c r="VS8" s="8"/>
      <c r="VT8" s="8"/>
      <c r="VU8" s="8"/>
      <c r="VV8" s="8"/>
      <c r="VW8" s="8"/>
      <c r="VX8" s="8"/>
      <c r="VY8" s="8"/>
      <c r="VZ8" s="8"/>
      <c r="WA8" s="8"/>
      <c r="WB8" s="8"/>
      <c r="WC8" s="8"/>
      <c r="WD8" s="8"/>
      <c r="WE8" s="8"/>
      <c r="WF8" s="8"/>
      <c r="WG8" s="8"/>
      <c r="WH8" s="8"/>
      <c r="WI8" s="8"/>
      <c r="WJ8" s="8"/>
      <c r="WK8" s="8"/>
      <c r="WL8" s="8"/>
      <c r="WM8" s="8"/>
      <c r="WN8" s="8"/>
      <c r="WO8" s="8"/>
      <c r="WP8" s="8"/>
      <c r="WQ8" s="8"/>
      <c r="WR8" s="8"/>
      <c r="WS8" s="8"/>
      <c r="WT8" s="8"/>
      <c r="WU8" s="8"/>
      <c r="WV8" s="8"/>
      <c r="WW8" s="8"/>
      <c r="WX8" s="8"/>
      <c r="WY8" s="8"/>
      <c r="WZ8" s="8"/>
      <c r="XA8" s="8"/>
      <c r="XB8" s="8"/>
      <c r="XC8" s="8"/>
      <c r="XD8" s="8"/>
      <c r="XE8" s="8"/>
      <c r="XF8" s="8"/>
      <c r="XG8" s="8"/>
      <c r="XH8" s="8"/>
      <c r="XI8" s="8"/>
      <c r="XJ8" s="8"/>
      <c r="XK8" s="8"/>
      <c r="XL8" s="8"/>
      <c r="XM8" s="8"/>
      <c r="XN8" s="8"/>
      <c r="XO8" s="8"/>
      <c r="XP8" s="8"/>
      <c r="XQ8" s="8"/>
      <c r="XR8" s="8"/>
      <c r="XS8" s="8"/>
      <c r="XT8" s="8"/>
      <c r="XU8" s="8"/>
      <c r="XV8" s="8"/>
      <c r="XW8" s="8"/>
      <c r="XX8" s="8"/>
      <c r="XY8" s="8"/>
      <c r="XZ8" s="8"/>
      <c r="YA8" s="8"/>
      <c r="YB8" s="8"/>
      <c r="YC8" s="8"/>
      <c r="YD8" s="8"/>
      <c r="YE8" s="8"/>
      <c r="YF8" s="8"/>
      <c r="YG8" s="8"/>
      <c r="YH8" s="8"/>
      <c r="YI8" s="8"/>
      <c r="YJ8" s="8"/>
      <c r="YK8" s="8"/>
      <c r="YL8" s="8"/>
      <c r="YM8" s="8"/>
      <c r="YN8" s="8"/>
      <c r="YO8" s="8"/>
      <c r="YP8" s="8"/>
      <c r="YQ8" s="8"/>
      <c r="YR8" s="8"/>
      <c r="YS8" s="8"/>
      <c r="YT8" s="8"/>
      <c r="YU8" s="8"/>
      <c r="YV8" s="8"/>
      <c r="YW8" s="8"/>
      <c r="YX8" s="8"/>
      <c r="YY8" s="8"/>
      <c r="YZ8" s="8"/>
      <c r="ZA8" s="8"/>
      <c r="ZB8" s="8"/>
      <c r="ZC8" s="8"/>
      <c r="ZD8" s="8"/>
      <c r="ZE8" s="8"/>
      <c r="ZF8" s="8"/>
      <c r="ZG8" s="8"/>
      <c r="ZH8" s="8"/>
      <c r="ZI8" s="8"/>
      <c r="ZJ8" s="8"/>
      <c r="ZK8" s="8"/>
      <c r="ZL8" s="8"/>
      <c r="ZM8" s="8"/>
      <c r="ZN8" s="8"/>
      <c r="ZO8" s="8"/>
      <c r="ZP8" s="8"/>
      <c r="ZQ8" s="8"/>
      <c r="ZR8" s="8"/>
      <c r="ZS8" s="8"/>
      <c r="ZT8" s="8"/>
      <c r="ZU8" s="8"/>
      <c r="ZV8" s="8"/>
      <c r="ZW8" s="8"/>
      <c r="ZX8" s="8"/>
      <c r="ZY8" s="8"/>
      <c r="ZZ8" s="8"/>
      <c r="AAA8" s="8"/>
      <c r="AAB8" s="8"/>
      <c r="AAC8" s="8"/>
      <c r="AAD8" s="8"/>
      <c r="AAE8" s="8"/>
      <c r="AAF8" s="8"/>
      <c r="AAG8" s="8"/>
      <c r="AAH8" s="8"/>
      <c r="AAI8" s="8"/>
      <c r="AAJ8" s="8"/>
      <c r="AAK8" s="8"/>
      <c r="AAL8" s="8"/>
      <c r="AAM8" s="8"/>
      <c r="AAN8" s="8"/>
      <c r="AAO8" s="8"/>
      <c r="AAP8" s="8"/>
      <c r="AAQ8" s="8"/>
      <c r="AAR8" s="8"/>
      <c r="AAS8" s="8"/>
      <c r="AAT8" s="8"/>
      <c r="AAU8" s="8"/>
      <c r="AAV8" s="8"/>
      <c r="AAW8" s="8"/>
      <c r="AAX8" s="8"/>
      <c r="AAY8" s="8"/>
      <c r="AAZ8" s="8"/>
      <c r="ABA8" s="8"/>
      <c r="ABB8" s="8"/>
      <c r="ABC8" s="8"/>
      <c r="ABD8" s="8"/>
      <c r="ABE8" s="8"/>
      <c r="ABF8" s="8"/>
      <c r="ABG8" s="8"/>
      <c r="ABH8" s="8"/>
      <c r="ABI8" s="8"/>
      <c r="ABJ8" s="8"/>
      <c r="ABK8" s="8"/>
      <c r="ABL8" s="8"/>
      <c r="ABM8" s="8"/>
      <c r="ABN8" s="8"/>
      <c r="ABO8" s="8"/>
      <c r="ABP8" s="8"/>
      <c r="ABQ8" s="8"/>
      <c r="ABR8" s="8"/>
      <c r="ABS8" s="8"/>
      <c r="ABT8" s="8"/>
      <c r="ABU8" s="8"/>
      <c r="ABV8" s="8"/>
      <c r="ABW8" s="8"/>
      <c r="ABX8" s="8"/>
      <c r="ABY8" s="8"/>
      <c r="ABZ8" s="8"/>
      <c r="ACA8" s="8"/>
      <c r="ACB8" s="8"/>
      <c r="ACC8" s="8"/>
      <c r="ACD8" s="8"/>
      <c r="ACE8" s="8"/>
      <c r="ACF8" s="8"/>
      <c r="ACG8" s="8"/>
      <c r="ACH8" s="8"/>
      <c r="ACI8" s="8"/>
      <c r="ACJ8" s="8"/>
      <c r="ACK8" s="8"/>
      <c r="ACL8" s="8"/>
      <c r="ACM8" s="8"/>
      <c r="ACN8" s="8"/>
      <c r="ACO8" s="8"/>
      <c r="ACP8" s="8"/>
      <c r="ACQ8" s="8"/>
      <c r="ACR8" s="8"/>
      <c r="ACS8" s="8"/>
      <c r="ACT8" s="8"/>
      <c r="ACU8" s="8"/>
      <c r="ACV8" s="8"/>
      <c r="ACW8" s="8"/>
      <c r="ACX8" s="8"/>
      <c r="ACY8" s="8"/>
      <c r="ACZ8" s="8"/>
      <c r="ADA8" s="8"/>
      <c r="ADB8" s="8"/>
      <c r="ADC8" s="8"/>
      <c r="ADD8" s="8"/>
      <c r="ADE8" s="8"/>
      <c r="ADF8" s="8"/>
      <c r="ADG8" s="8"/>
      <c r="ADH8" s="8"/>
      <c r="ADI8" s="8"/>
      <c r="ADJ8" s="8"/>
      <c r="ADK8" s="8"/>
      <c r="ADL8" s="8"/>
      <c r="ADM8" s="8"/>
      <c r="ADN8" s="8"/>
      <c r="ADO8" s="8"/>
      <c r="ADP8" s="8"/>
      <c r="ADQ8" s="8"/>
      <c r="ADR8" s="8"/>
      <c r="ADS8" s="8"/>
      <c r="ADT8" s="8"/>
      <c r="ADU8" s="8"/>
      <c r="ADV8" s="8"/>
      <c r="ADW8" s="8"/>
      <c r="ADX8" s="8"/>
      <c r="ADY8" s="8"/>
      <c r="ADZ8" s="8"/>
      <c r="AEA8" s="8"/>
      <c r="AEB8" s="8"/>
      <c r="AEC8" s="8"/>
      <c r="AED8" s="8"/>
      <c r="AEE8" s="8"/>
      <c r="AEF8" s="8"/>
      <c r="AEG8" s="8"/>
      <c r="AEH8" s="8"/>
      <c r="AEI8" s="8"/>
      <c r="AEJ8" s="8"/>
      <c r="AEK8" s="8"/>
      <c r="AEL8" s="8"/>
      <c r="AEM8" s="8"/>
      <c r="AEN8" s="8"/>
      <c r="AEO8" s="8"/>
      <c r="AEP8" s="8"/>
      <c r="AEQ8" s="8"/>
      <c r="AER8" s="8"/>
      <c r="AES8" s="8"/>
      <c r="AET8" s="8"/>
      <c r="AEU8" s="8"/>
      <c r="AEV8" s="8"/>
      <c r="AEW8" s="8"/>
      <c r="AEX8" s="8"/>
      <c r="AEY8" s="8"/>
      <c r="AEZ8" s="8"/>
      <c r="AFA8" s="8"/>
      <c r="AFB8" s="8"/>
      <c r="AFC8" s="8"/>
      <c r="AFD8" s="8"/>
      <c r="AFE8" s="8"/>
      <c r="AFF8" s="8"/>
      <c r="AFG8" s="8"/>
      <c r="AFH8" s="8"/>
      <c r="AFI8" s="8"/>
      <c r="AFJ8" s="8"/>
      <c r="AFK8" s="8"/>
      <c r="AFL8" s="8"/>
      <c r="AFM8" s="8"/>
      <c r="AFN8" s="8"/>
      <c r="AFO8" s="8"/>
      <c r="AFP8" s="8"/>
      <c r="AFQ8" s="8"/>
      <c r="AFR8" s="8"/>
      <c r="AFS8" s="8"/>
      <c r="AFT8" s="8"/>
      <c r="AFU8" s="8"/>
      <c r="AFV8" s="8"/>
      <c r="AFW8" s="8"/>
      <c r="AFX8" s="8"/>
      <c r="AFY8" s="8"/>
      <c r="AFZ8" s="8"/>
      <c r="AGA8" s="8"/>
      <c r="AGB8" s="8"/>
      <c r="AGC8" s="8"/>
      <c r="AGD8" s="8"/>
      <c r="AGE8" s="8"/>
      <c r="AGF8" s="8"/>
      <c r="AGG8" s="8"/>
      <c r="AGH8" s="8"/>
      <c r="AGI8" s="8"/>
      <c r="AGJ8" s="8"/>
      <c r="AGK8" s="8"/>
      <c r="AGL8" s="8"/>
      <c r="AGM8" s="8"/>
      <c r="AGN8" s="8"/>
      <c r="AGO8" s="8"/>
      <c r="AGP8" s="8"/>
      <c r="AGQ8" s="8"/>
      <c r="AGR8" s="8"/>
      <c r="AGS8" s="8"/>
      <c r="AGT8" s="8"/>
      <c r="AGU8" s="8"/>
      <c r="AGV8" s="8"/>
      <c r="AGW8" s="8"/>
      <c r="AGX8" s="8"/>
      <c r="AGY8" s="8"/>
      <c r="AGZ8" s="8"/>
      <c r="AHA8" s="8"/>
      <c r="AHB8" s="8"/>
      <c r="AHC8" s="8"/>
      <c r="AHD8" s="8"/>
      <c r="AHE8" s="8"/>
      <c r="AHF8" s="8"/>
      <c r="AHG8" s="8"/>
      <c r="AHH8" s="8"/>
      <c r="AHI8" s="8"/>
      <c r="AHJ8" s="8"/>
      <c r="AHK8" s="8"/>
      <c r="AHL8" s="8"/>
      <c r="AHM8" s="8"/>
      <c r="AHN8" s="8"/>
      <c r="AHO8" s="8"/>
      <c r="AHP8" s="8"/>
      <c r="AHQ8" s="8"/>
      <c r="AHR8" s="8"/>
      <c r="AHS8" s="8"/>
      <c r="AHT8" s="8"/>
      <c r="AHU8" s="8"/>
      <c r="AHV8" s="8"/>
      <c r="AHW8" s="8"/>
      <c r="AHX8" s="8"/>
      <c r="AHY8" s="8"/>
      <c r="AHZ8" s="8"/>
      <c r="AIA8" s="8"/>
      <c r="AIB8" s="8"/>
      <c r="AIC8" s="8"/>
      <c r="AID8" s="8"/>
      <c r="AIE8" s="8"/>
      <c r="AIF8" s="8"/>
      <c r="AIG8" s="8"/>
      <c r="AIH8" s="8"/>
      <c r="AII8" s="8"/>
      <c r="AIJ8" s="8"/>
      <c r="AIK8" s="8"/>
      <c r="AIL8" s="8"/>
      <c r="AIM8" s="8"/>
      <c r="AIN8" s="8"/>
      <c r="AIO8" s="8"/>
      <c r="AIP8" s="8"/>
      <c r="AIQ8" s="8"/>
      <c r="AIR8" s="8"/>
      <c r="AIS8" s="8"/>
      <c r="AIT8" s="8"/>
      <c r="AIU8" s="8"/>
      <c r="AIV8" s="8"/>
      <c r="AIW8" s="8"/>
      <c r="AIX8" s="8"/>
      <c r="AIY8" s="8"/>
      <c r="AIZ8" s="8"/>
      <c r="AJA8" s="8"/>
      <c r="AJB8" s="8"/>
      <c r="AJC8" s="8"/>
      <c r="AJD8" s="8"/>
      <c r="AJE8" s="8"/>
      <c r="AJF8" s="8"/>
      <c r="AJG8" s="8"/>
      <c r="AJH8" s="8"/>
      <c r="AJI8" s="8"/>
      <c r="AJJ8" s="8"/>
      <c r="AJK8" s="8"/>
      <c r="AJL8" s="8"/>
      <c r="AJM8" s="8"/>
      <c r="AJN8" s="8"/>
      <c r="AJO8" s="8"/>
      <c r="AJP8" s="8"/>
      <c r="AJQ8" s="8"/>
      <c r="AJR8" s="8"/>
      <c r="AJS8" s="8"/>
      <c r="AJT8" s="8"/>
      <c r="AJU8" s="8"/>
      <c r="AJV8" s="8"/>
      <c r="AJW8" s="8"/>
      <c r="AJX8" s="8"/>
      <c r="AJY8" s="8"/>
      <c r="AJZ8" s="8"/>
      <c r="AKA8" s="8"/>
      <c r="AKB8" s="8"/>
      <c r="AKC8" s="8"/>
      <c r="AKD8" s="8"/>
      <c r="AKE8" s="8"/>
      <c r="AKF8" s="8"/>
      <c r="AKG8" s="8"/>
      <c r="AKH8" s="8"/>
      <c r="AKI8" s="8"/>
      <c r="AKJ8" s="8"/>
      <c r="AKK8" s="8"/>
      <c r="AKL8" s="8"/>
      <c r="AKM8" s="8"/>
      <c r="AKN8" s="8"/>
      <c r="AKO8" s="8"/>
      <c r="AKP8" s="8"/>
      <c r="AKQ8" s="8"/>
      <c r="AKR8" s="8"/>
      <c r="AKS8" s="8"/>
      <c r="AKT8" s="8"/>
      <c r="AKU8" s="8"/>
      <c r="AKV8" s="8"/>
      <c r="AKW8" s="8"/>
      <c r="AKX8" s="8"/>
      <c r="AKY8" s="8"/>
      <c r="AKZ8" s="8"/>
      <c r="ALA8" s="8"/>
      <c r="ALB8" s="8"/>
      <c r="ALC8" s="8"/>
      <c r="ALD8" s="8"/>
      <c r="ALE8" s="8"/>
      <c r="ALF8" s="8"/>
      <c r="ALG8" s="8"/>
      <c r="ALH8" s="8"/>
      <c r="ALI8" s="8"/>
      <c r="ALJ8" s="8"/>
      <c r="ALK8" s="8"/>
      <c r="ALL8" s="8"/>
      <c r="ALM8" s="8"/>
      <c r="ALN8" s="8"/>
      <c r="ALO8" s="8"/>
      <c r="ALP8" s="8"/>
      <c r="ALQ8" s="8"/>
      <c r="ALR8" s="8"/>
      <c r="ALS8" s="8"/>
      <c r="ALT8" s="8"/>
      <c r="ALU8" s="8"/>
      <c r="ALV8" s="8"/>
      <c r="ALW8" s="8"/>
      <c r="ALX8" s="8"/>
      <c r="ALY8" s="8"/>
      <c r="ALZ8" s="8"/>
      <c r="AMA8" s="8"/>
      <c r="AMB8" s="8"/>
      <c r="AMC8" s="8"/>
      <c r="AMD8" s="8"/>
      <c r="AME8" s="8"/>
      <c r="AMF8" s="8"/>
      <c r="AMG8" s="8"/>
      <c r="AMH8"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69"/>
  <sheetViews>
    <sheetView zoomScaleNormal="100" workbookViewId="0">
      <selection activeCell="F40" sqref="F40"/>
    </sheetView>
  </sheetViews>
  <sheetFormatPr baseColWidth="10" defaultColWidth="11.5" defaultRowHeight="13" x14ac:dyDescent="0.15"/>
  <cols>
    <col min="1" max="1" width="20.33203125" style="6" customWidth="1"/>
    <col min="2" max="2" width="12" style="6" customWidth="1"/>
    <col min="3" max="4" width="20.33203125" style="6" customWidth="1"/>
    <col min="5" max="5" width="5.1640625" style="6" customWidth="1"/>
    <col min="6" max="6" width="23.83203125" style="6" customWidth="1"/>
    <col min="7" max="7" width="15.6640625" style="6" customWidth="1"/>
    <col min="8" max="8" width="18.83203125" style="6" customWidth="1"/>
    <col min="9" max="9" width="21.5" style="6" customWidth="1"/>
    <col min="10" max="10" width="33" style="6" customWidth="1"/>
    <col min="11" max="11" width="8.5" style="6" customWidth="1"/>
    <col min="12" max="12" width="79" style="6" customWidth="1"/>
    <col min="13" max="13" width="15.1640625" style="6" customWidth="1"/>
    <col min="14" max="15" width="35.1640625" style="6" customWidth="1"/>
    <col min="16" max="1024" width="11.5" style="6"/>
  </cols>
  <sheetData>
    <row r="1" spans="1:15" s="10" customFormat="1" x14ac:dyDescent="0.15">
      <c r="A1" s="10" t="s">
        <v>2498</v>
      </c>
      <c r="B1" s="10" t="s">
        <v>2499</v>
      </c>
      <c r="C1" s="10" t="s">
        <v>2500</v>
      </c>
      <c r="D1" s="10" t="s">
        <v>2501</v>
      </c>
      <c r="E1" s="10" t="s">
        <v>2502</v>
      </c>
      <c r="F1" s="10" t="s">
        <v>2503</v>
      </c>
      <c r="G1" s="10" t="s">
        <v>2504</v>
      </c>
      <c r="H1" s="10" t="s">
        <v>2505</v>
      </c>
      <c r="I1" s="10" t="s">
        <v>2506</v>
      </c>
      <c r="J1" s="10" t="s">
        <v>2507</v>
      </c>
      <c r="K1" s="10" t="s">
        <v>2508</v>
      </c>
      <c r="L1" s="10" t="s">
        <v>2509</v>
      </c>
      <c r="M1" s="10" t="s">
        <v>2510</v>
      </c>
      <c r="N1" s="10" t="s">
        <v>2511</v>
      </c>
      <c r="O1" s="10" t="s">
        <v>2512</v>
      </c>
    </row>
    <row r="2" spans="1:15" x14ac:dyDescent="0.15">
      <c r="A2" s="11" t="s">
        <v>21</v>
      </c>
      <c r="B2" s="11"/>
      <c r="C2" s="6" t="s">
        <v>321</v>
      </c>
      <c r="D2" s="6" t="s">
        <v>322</v>
      </c>
      <c r="E2" s="6" t="s">
        <v>17</v>
      </c>
      <c r="F2" s="6" t="s">
        <v>24</v>
      </c>
      <c r="G2" s="6" t="s">
        <v>2513</v>
      </c>
      <c r="H2" s="6" t="str">
        <f t="shared" ref="H2:H65" si="0">"att_"&amp;G2</f>
        <v>att_acquisition</v>
      </c>
      <c r="I2" s="6" t="s">
        <v>321</v>
      </c>
      <c r="J2" s="6" t="str">
        <f t="shared" ref="J2:J65" si="1">H2&amp;":"&amp;I2</f>
        <v>att_acquisition:dda</v>
      </c>
      <c r="K2" s="11" t="s">
        <v>21</v>
      </c>
      <c r="L2" s="6" t="s">
        <v>323</v>
      </c>
      <c r="M2" s="6" t="s">
        <v>17</v>
      </c>
      <c r="N2" s="6" t="str">
        <f t="shared" ref="N2:N65" si="2">"INSERT INTO attributes (parent_id, tag, name, priority, allow_as_filter, allow_for_dataset, allow_for_measurement, allow_for_users, allow_for_qc) VALUES (NULL, '"&amp;H2&amp;"',  '"&amp;F2&amp;"',  500,  TRUE, TRUE, TRUE, FALSE, FALSE);"</f>
        <v>INSERT INTO attributes (parent_id, tag, name, priority, allow_as_filter, allow_for_dataset, allow_for_measurement, allow_for_users, allow_for_qc) VALUES (NULL, 'att_acquisition',  'Acquisition',  500,  TRUE, TRUE, TRUE, FALSE, FALSE);</v>
      </c>
      <c r="O2" s="6" t="str">
        <f t="shared" ref="O2:O65" si="3">"INSERT INTO attribute_values (attribute_id, tag, name, details) VALUES ((SELECT id FROM attributes WHERE tag = '"&amp;H2&amp;"' LIMIT 1),  '"&amp;J2&amp;"',  '"&amp;D2&amp;"',  '"&amp;L2&amp;"'); "</f>
        <v xml:space="preserve">INSERT INTO attribute_values (attribute_id, tag, name, details) VALUES ((SELECT id FROM attributes WHERE tag = 'att_acquisition' LIMIT 1),  'att_acquisition:dda',  'DDA',  'Data-dependent acquisition '); </v>
      </c>
    </row>
    <row r="3" spans="1:15" x14ac:dyDescent="0.15">
      <c r="A3" s="11" t="s">
        <v>21</v>
      </c>
      <c r="B3" s="11"/>
      <c r="C3" s="6" t="s">
        <v>324</v>
      </c>
      <c r="D3" s="6" t="s">
        <v>325</v>
      </c>
      <c r="E3" s="6" t="s">
        <v>17</v>
      </c>
      <c r="F3" s="6" t="s">
        <v>24</v>
      </c>
      <c r="G3" s="6" t="s">
        <v>2513</v>
      </c>
      <c r="H3" s="6" t="str">
        <f t="shared" si="0"/>
        <v>att_acquisition</v>
      </c>
      <c r="I3" s="6" t="s">
        <v>324</v>
      </c>
      <c r="J3" s="6" t="str">
        <f t="shared" si="1"/>
        <v>att_acquisition:dia</v>
      </c>
      <c r="K3" s="11" t="s">
        <v>21</v>
      </c>
      <c r="L3" s="6" t="s">
        <v>326</v>
      </c>
      <c r="M3" s="6" t="s">
        <v>17</v>
      </c>
      <c r="N3" s="6" t="str">
        <f t="shared" si="2"/>
        <v>INSERT INTO attributes (parent_id, tag, name, priority, allow_as_filter, allow_for_dataset, allow_for_measurement, allow_for_users, allow_for_qc) VALUES (NULL, 'att_acquisition',  'Acquisition',  500,  TRUE, TRUE, TRUE, FALSE, FALSE);</v>
      </c>
      <c r="O3" s="6" t="str">
        <f t="shared" si="3"/>
        <v xml:space="preserve">INSERT INTO attribute_values (attribute_id, tag, name, details) VALUES ((SELECT id FROM attributes WHERE tag = 'att_acquisition' LIMIT 1),  'att_acquisition:dia',  'DIA',  'Data-independent acquisition'); </v>
      </c>
    </row>
    <row r="4" spans="1:15" x14ac:dyDescent="0.15">
      <c r="A4" s="11" t="s">
        <v>21</v>
      </c>
      <c r="B4" s="11"/>
      <c r="C4" s="6" t="s">
        <v>327</v>
      </c>
      <c r="D4" s="6" t="s">
        <v>328</v>
      </c>
      <c r="E4" s="6" t="s">
        <v>17</v>
      </c>
      <c r="F4" s="6" t="s">
        <v>24</v>
      </c>
      <c r="G4" s="6" t="s">
        <v>2513</v>
      </c>
      <c r="H4" s="6" t="str">
        <f t="shared" si="0"/>
        <v>att_acquisition</v>
      </c>
      <c r="I4" s="6" t="s">
        <v>327</v>
      </c>
      <c r="J4" s="6" t="str">
        <f t="shared" si="1"/>
        <v>att_acquisition:srm</v>
      </c>
      <c r="K4" s="11" t="s">
        <v>21</v>
      </c>
      <c r="L4" s="6" t="s">
        <v>329</v>
      </c>
      <c r="M4" s="6" t="s">
        <v>17</v>
      </c>
      <c r="N4" s="6" t="str">
        <f t="shared" si="2"/>
        <v>INSERT INTO attributes (parent_id, tag, name, priority, allow_as_filter, allow_for_dataset, allow_for_measurement, allow_for_users, allow_for_qc) VALUES (NULL, 'att_acquisition',  'Acquisition',  500,  TRUE, TRUE, TRUE, FALSE, FALSE);</v>
      </c>
      <c r="O4" s="6" t="str">
        <f t="shared" si="3"/>
        <v xml:space="preserve">INSERT INTO attribute_values (attribute_id, tag, name, details) VALUES ((SELECT id FROM attributes WHERE tag = 'att_acquisition' LIMIT 1),  'att_acquisition:srm',  'SRM / MRM',  'Selected reaction monitoring / Multiple reaction monitoring'); </v>
      </c>
    </row>
    <row r="5" spans="1:15" x14ac:dyDescent="0.15">
      <c r="A5" s="12" t="b">
        <f>FALSE()</f>
        <v>0</v>
      </c>
      <c r="B5" s="12"/>
      <c r="C5" s="6" t="s">
        <v>2514</v>
      </c>
      <c r="D5" s="6" t="s">
        <v>347</v>
      </c>
      <c r="E5" s="6" t="s">
        <v>17</v>
      </c>
      <c r="F5" s="6" t="s">
        <v>2515</v>
      </c>
      <c r="G5" s="6" t="s">
        <v>2516</v>
      </c>
      <c r="H5" s="6" t="str">
        <f t="shared" si="0"/>
        <v>att_animal_model</v>
      </c>
      <c r="I5" s="6" t="s">
        <v>345</v>
      </c>
      <c r="J5" s="6" t="str">
        <f t="shared" si="1"/>
        <v>att_animal_model:adipoq_cre</v>
      </c>
      <c r="K5" s="11" t="s">
        <v>21</v>
      </c>
      <c r="L5" s="6" t="s">
        <v>348</v>
      </c>
      <c r="M5" s="6" t="s">
        <v>17</v>
      </c>
      <c r="N5" s="6" t="str">
        <f t="shared" si="2"/>
        <v>INSERT INTO attributes (parent_id, tag, name, priority, allow_as_filter, allow_for_dataset, allow_for_measurement, allow_for_users, allow_for_qc) VALUES (NULL, 'att_animal_model',  'Animal Model',  500,  TRUE, TRUE, TRUE, FALSE, FALSE);</v>
      </c>
      <c r="O5" s="6" t="str">
        <f t="shared" si="3"/>
        <v xml:space="preserve">INSERT INTO attribute_values (attribute_id, tag, name, details) VALUES ((SELECT id FROM attributes WHERE tag = 'att_animal_model' LIMIT 1),  'att_animal_model:adipoq_cre',  'Adipoq-Cre',  'white adipose tissue'); </v>
      </c>
    </row>
    <row r="6" spans="1:15" x14ac:dyDescent="0.15">
      <c r="A6" s="12" t="b">
        <f>FALSE()</f>
        <v>0</v>
      </c>
      <c r="B6" s="12"/>
      <c r="C6" s="6" t="s">
        <v>2517</v>
      </c>
      <c r="D6" s="6" t="s">
        <v>350</v>
      </c>
      <c r="E6" s="6" t="s">
        <v>17</v>
      </c>
      <c r="F6" s="6" t="s">
        <v>2515</v>
      </c>
      <c r="G6" s="6" t="s">
        <v>2516</v>
      </c>
      <c r="H6" s="6" t="str">
        <f t="shared" si="0"/>
        <v>att_animal_model</v>
      </c>
      <c r="I6" s="6" t="s">
        <v>349</v>
      </c>
      <c r="J6" s="6" t="str">
        <f t="shared" si="1"/>
        <v>att_animal_model:alb_cre</v>
      </c>
      <c r="K6" s="11" t="s">
        <v>21</v>
      </c>
      <c r="L6" s="6" t="s">
        <v>351</v>
      </c>
      <c r="M6" s="6" t="s">
        <v>17</v>
      </c>
      <c r="N6" s="6" t="str">
        <f t="shared" si="2"/>
        <v>INSERT INTO attributes (parent_id, tag, name, priority, allow_as_filter, allow_for_dataset, allow_for_measurement, allow_for_users, allow_for_qc) VALUES (NULL, 'att_animal_model',  'Animal Model',  500,  TRUE, TRUE, TRUE, FALSE, FALSE);</v>
      </c>
      <c r="O6" s="6" t="str">
        <f t="shared" si="3"/>
        <v xml:space="preserve">INSERT INTO attribute_values (attribute_id, tag, name, details) VALUES ((SELECT id FROM attributes WHERE tag = 'att_animal_model' LIMIT 1),  'att_animal_model:alb_cre',  'Alb-Cre',  'Hepatocytes'); </v>
      </c>
    </row>
    <row r="7" spans="1:15" x14ac:dyDescent="0.15">
      <c r="A7" s="12" t="b">
        <f>FALSE()</f>
        <v>0</v>
      </c>
      <c r="B7" s="12"/>
      <c r="C7" s="6" t="s">
        <v>2518</v>
      </c>
      <c r="D7" s="6" t="s">
        <v>353</v>
      </c>
      <c r="E7" s="6" t="s">
        <v>17</v>
      </c>
      <c r="F7" s="6" t="s">
        <v>2515</v>
      </c>
      <c r="G7" s="6" t="s">
        <v>2516</v>
      </c>
      <c r="H7" s="6" t="str">
        <f t="shared" si="0"/>
        <v>att_animal_model</v>
      </c>
      <c r="I7" s="6" t="s">
        <v>352</v>
      </c>
      <c r="J7" s="6" t="str">
        <f t="shared" si="1"/>
        <v>att_animal_model:asc_ko</v>
      </c>
      <c r="K7" s="11" t="s">
        <v>21</v>
      </c>
      <c r="L7" s="6" t="s">
        <v>353</v>
      </c>
      <c r="M7" s="6" t="s">
        <v>17</v>
      </c>
      <c r="N7" s="6" t="str">
        <f t="shared" si="2"/>
        <v>INSERT INTO attributes (parent_id, tag, name, priority, allow_as_filter, allow_for_dataset, allow_for_measurement, allow_for_users, allow_for_qc) VALUES (NULL, 'att_animal_model',  'Animal Model',  500,  TRUE, TRUE, TRUE, FALSE, FALSE);</v>
      </c>
      <c r="O7" s="6" t="str">
        <f t="shared" si="3"/>
        <v xml:space="preserve">INSERT INTO attribute_values (attribute_id, tag, name, details) VALUES ((SELECT id FROM attributes WHERE tag = 'att_animal_model' LIMIT 1),  'att_animal_model:asc_ko',  'ASC ko',  'ASC ko'); </v>
      </c>
    </row>
    <row r="8" spans="1:15" x14ac:dyDescent="0.15">
      <c r="A8" s="12" t="b">
        <f>FALSE()</f>
        <v>0</v>
      </c>
      <c r="B8" s="12"/>
      <c r="C8" s="6" t="s">
        <v>2519</v>
      </c>
      <c r="D8" s="6" t="s">
        <v>355</v>
      </c>
      <c r="E8" s="6" t="s">
        <v>17</v>
      </c>
      <c r="F8" s="6" t="s">
        <v>2515</v>
      </c>
      <c r="G8" s="6" t="s">
        <v>2516</v>
      </c>
      <c r="H8" s="6" t="str">
        <f t="shared" si="0"/>
        <v>att_animal_model</v>
      </c>
      <c r="I8" s="6" t="s">
        <v>354</v>
      </c>
      <c r="J8" s="6" t="str">
        <f t="shared" si="1"/>
        <v>att_animal_model:baf53b_cre</v>
      </c>
      <c r="K8" s="11" t="s">
        <v>21</v>
      </c>
      <c r="L8" s="6" t="s">
        <v>356</v>
      </c>
      <c r="M8" s="6" t="s">
        <v>17</v>
      </c>
      <c r="N8" s="6" t="str">
        <f t="shared" si="2"/>
        <v>INSERT INTO attributes (parent_id, tag, name, priority, allow_as_filter, allow_for_dataset, allow_for_measurement, allow_for_users, allow_for_qc) VALUES (NULL, 'att_animal_model',  'Animal Model',  500,  TRUE, TRUE, TRUE, FALSE, FALSE);</v>
      </c>
      <c r="O8" s="6" t="str">
        <f t="shared" si="3"/>
        <v xml:space="preserve">INSERT INTO attribute_values (attribute_id, tag, name, details) VALUES ((SELECT id FROM attributes WHERE tag = 'att_animal_model' LIMIT 1),  'att_animal_model:baf53b_cre',  'Baf53b-Cre',  'Neurons'); </v>
      </c>
    </row>
    <row r="9" spans="1:15" x14ac:dyDescent="0.15">
      <c r="A9" s="12" t="b">
        <f>FALSE()</f>
        <v>0</v>
      </c>
      <c r="B9" s="12"/>
      <c r="C9" s="6" t="s">
        <v>2520</v>
      </c>
      <c r="D9" s="6" t="s">
        <v>358</v>
      </c>
      <c r="E9" s="6" t="s">
        <v>17</v>
      </c>
      <c r="F9" s="6" t="s">
        <v>2515</v>
      </c>
      <c r="G9" s="6" t="s">
        <v>2516</v>
      </c>
      <c r="H9" s="6" t="str">
        <f t="shared" si="0"/>
        <v>att_animal_model</v>
      </c>
      <c r="I9" s="6" t="s">
        <v>357</v>
      </c>
      <c r="J9" s="6" t="str">
        <f t="shared" si="1"/>
        <v>att_animal_model:c57_bl6j</v>
      </c>
      <c r="K9" s="11" t="s">
        <v>21</v>
      </c>
      <c r="L9" s="6" t="s">
        <v>358</v>
      </c>
      <c r="M9" s="6" t="s">
        <v>17</v>
      </c>
      <c r="N9" s="6" t="str">
        <f t="shared" si="2"/>
        <v>INSERT INTO attributes (parent_id, tag, name, priority, allow_as_filter, allow_for_dataset, allow_for_measurement, allow_for_users, allow_for_qc) VALUES (NULL, 'att_animal_model',  'Animal Model',  500,  TRUE, TRUE, TRUE, FALSE, FALSE);</v>
      </c>
      <c r="O9" s="6" t="str">
        <f t="shared" si="3"/>
        <v xml:space="preserve">INSERT INTO attribute_values (attribute_id, tag, name, details) VALUES ((SELECT id FROM attributes WHERE tag = 'att_animal_model' LIMIT 1),  'att_animal_model:c57_bl6j',  'C57/Bl6J',  'C57/Bl6J'); </v>
      </c>
    </row>
    <row r="10" spans="1:15" x14ac:dyDescent="0.15">
      <c r="A10" s="12" t="b">
        <f>FALSE()</f>
        <v>0</v>
      </c>
      <c r="B10" s="12"/>
      <c r="C10" s="6" t="s">
        <v>2521</v>
      </c>
      <c r="D10" s="6" t="s">
        <v>360</v>
      </c>
      <c r="E10" s="6" t="s">
        <v>17</v>
      </c>
      <c r="F10" s="6" t="s">
        <v>2515</v>
      </c>
      <c r="G10" s="6" t="s">
        <v>2516</v>
      </c>
      <c r="H10" s="6" t="str">
        <f t="shared" si="0"/>
        <v>att_animal_model</v>
      </c>
      <c r="I10" s="6" t="s">
        <v>359</v>
      </c>
      <c r="J10" s="6" t="str">
        <f t="shared" si="1"/>
        <v>att_animal_model:clec4f_cre</v>
      </c>
      <c r="K10" s="11" t="s">
        <v>21</v>
      </c>
      <c r="L10" s="6" t="s">
        <v>361</v>
      </c>
      <c r="M10" s="6" t="s">
        <v>17</v>
      </c>
      <c r="N10" s="6" t="str">
        <f t="shared" si="2"/>
        <v>INSERT INTO attributes (parent_id, tag, name, priority, allow_as_filter, allow_for_dataset, allow_for_measurement, allow_for_users, allow_for_qc) VALUES (NULL, 'att_animal_model',  'Animal Model',  500,  TRUE, TRUE, TRUE, FALSE, FALSE);</v>
      </c>
      <c r="O10" s="6" t="str">
        <f t="shared" si="3"/>
        <v xml:space="preserve">INSERT INTO attribute_values (attribute_id, tag, name, details) VALUES ((SELECT id FROM attributes WHERE tag = 'att_animal_model' LIMIT 1),  'att_animal_model:clec4f_cre',  'Clec4f-Cre',  'Kupffer cells'); </v>
      </c>
    </row>
    <row r="11" spans="1:15" x14ac:dyDescent="0.15">
      <c r="A11" s="12" t="b">
        <f>FALSE()</f>
        <v>0</v>
      </c>
      <c r="B11" s="12"/>
      <c r="C11" s="6" t="s">
        <v>2522</v>
      </c>
      <c r="D11" s="6" t="s">
        <v>363</v>
      </c>
      <c r="E11" s="6" t="s">
        <v>17</v>
      </c>
      <c r="F11" s="6" t="s">
        <v>2515</v>
      </c>
      <c r="G11" s="6" t="s">
        <v>2516</v>
      </c>
      <c r="H11" s="6" t="str">
        <f t="shared" si="0"/>
        <v>att_animal_model</v>
      </c>
      <c r="I11" s="6" t="s">
        <v>362</v>
      </c>
      <c r="J11" s="6" t="str">
        <f t="shared" si="1"/>
        <v>att_animal_model:cx3cr1_cre</v>
      </c>
      <c r="K11" s="11" t="s">
        <v>21</v>
      </c>
      <c r="L11" s="6" t="s">
        <v>364</v>
      </c>
      <c r="M11" s="6" t="s">
        <v>17</v>
      </c>
      <c r="N11" s="6" t="str">
        <f t="shared" si="2"/>
        <v>INSERT INTO attributes (parent_id, tag, name, priority, allow_as_filter, allow_for_dataset, allow_for_measurement, allow_for_users, allow_for_qc) VALUES (NULL, 'att_animal_model',  'Animal Model',  500,  TRUE, TRUE, TRUE, FALSE, FALSE);</v>
      </c>
      <c r="O11" s="6" t="str">
        <f t="shared" si="3"/>
        <v xml:space="preserve">INSERT INTO attribute_values (attribute_id, tag, name, details) VALUES ((SELECT id FROM attributes WHERE tag = 'att_animal_model' LIMIT 1),  'att_animal_model:cx3cr1_cre',  'Cx3cr1-Cre',  '(Yalk sac) Macrophages'); </v>
      </c>
    </row>
    <row r="12" spans="1:15" x14ac:dyDescent="0.15">
      <c r="A12" s="12" t="b">
        <f>FALSE()</f>
        <v>0</v>
      </c>
      <c r="B12" s="12"/>
      <c r="C12" s="6" t="s">
        <v>365</v>
      </c>
      <c r="D12" s="6" t="s">
        <v>366</v>
      </c>
      <c r="E12" s="6" t="s">
        <v>17</v>
      </c>
      <c r="F12" s="6" t="s">
        <v>2515</v>
      </c>
      <c r="G12" s="6" t="s">
        <v>2516</v>
      </c>
      <c r="H12" s="6" t="str">
        <f t="shared" si="0"/>
        <v>att_animal_model</v>
      </c>
      <c r="I12" s="6" t="s">
        <v>365</v>
      </c>
      <c r="J12" s="6" t="str">
        <f t="shared" si="1"/>
        <v>att_animal_model:cxcr4creert2</v>
      </c>
      <c r="K12" s="11" t="s">
        <v>21</v>
      </c>
      <c r="L12" s="6" t="s">
        <v>366</v>
      </c>
      <c r="M12" s="6" t="s">
        <v>17</v>
      </c>
      <c r="N12" s="6" t="str">
        <f t="shared" si="2"/>
        <v>INSERT INTO attributes (parent_id, tag, name, priority, allow_as_filter, allow_for_dataset, allow_for_measurement, allow_for_users, allow_for_qc) VALUES (NULL, 'att_animal_model',  'Animal Model',  500,  TRUE, TRUE, TRUE, FALSE, FALSE);</v>
      </c>
      <c r="O12" s="6" t="str">
        <f t="shared" si="3"/>
        <v xml:space="preserve">INSERT INTO attribute_values (attribute_id, tag, name, details) VALUES ((SELECT id FROM attributes WHERE tag = 'att_animal_model' LIMIT 1),  'att_animal_model:cxcr4creert2',  'Cxcr4CreERT2',  'Cxcr4CreERT2'); </v>
      </c>
    </row>
    <row r="13" spans="1:15" x14ac:dyDescent="0.15">
      <c r="A13" s="12" t="b">
        <f>FALSE()</f>
        <v>0</v>
      </c>
      <c r="B13" s="12"/>
      <c r="C13" s="6" t="s">
        <v>2523</v>
      </c>
      <c r="D13" s="6" t="s">
        <v>368</v>
      </c>
      <c r="E13" s="6" t="s">
        <v>17</v>
      </c>
      <c r="F13" s="6" t="s">
        <v>2515</v>
      </c>
      <c r="G13" s="6" t="s">
        <v>2516</v>
      </c>
      <c r="H13" s="6" t="str">
        <f t="shared" si="0"/>
        <v>att_animal_model</v>
      </c>
      <c r="I13" s="6" t="s">
        <v>367</v>
      </c>
      <c r="J13" s="6" t="str">
        <f t="shared" si="1"/>
        <v>att_animal_model:glast_cre</v>
      </c>
      <c r="K13" s="11" t="s">
        <v>21</v>
      </c>
      <c r="L13" s="6" t="s">
        <v>369</v>
      </c>
      <c r="M13" s="6" t="s">
        <v>17</v>
      </c>
      <c r="N13" s="6" t="str">
        <f t="shared" si="2"/>
        <v>INSERT INTO attributes (parent_id, tag, name, priority, allow_as_filter, allow_for_dataset, allow_for_measurement, allow_for_users, allow_for_qc) VALUES (NULL, 'att_animal_model',  'Animal Model',  500,  TRUE, TRUE, TRUE, FALSE, FALSE);</v>
      </c>
      <c r="O13" s="6" t="str">
        <f t="shared" si="3"/>
        <v xml:space="preserve">INSERT INTO attribute_values (attribute_id, tag, name, details) VALUES ((SELECT id FROM attributes WHERE tag = 'att_animal_model' LIMIT 1),  'att_animal_model:glast_cre',  'Glast-Cre',  'Astrocytes'); </v>
      </c>
    </row>
    <row r="14" spans="1:15" x14ac:dyDescent="0.15">
      <c r="A14" s="12" t="b">
        <f>FALSE()</f>
        <v>0</v>
      </c>
      <c r="B14" s="12"/>
      <c r="C14" s="6" t="s">
        <v>2524</v>
      </c>
      <c r="D14" s="6" t="s">
        <v>371</v>
      </c>
      <c r="E14" s="6" t="s">
        <v>17</v>
      </c>
      <c r="F14" s="6" t="s">
        <v>2515</v>
      </c>
      <c r="G14" s="6" t="s">
        <v>2516</v>
      </c>
      <c r="H14" s="6" t="str">
        <f t="shared" si="0"/>
        <v>att_animal_model</v>
      </c>
      <c r="I14" s="6" t="s">
        <v>370</v>
      </c>
      <c r="J14" s="6" t="str">
        <f t="shared" si="1"/>
        <v>att_animal_model:lrat_cre</v>
      </c>
      <c r="K14" s="11" t="s">
        <v>21</v>
      </c>
      <c r="L14" s="6" t="s">
        <v>372</v>
      </c>
      <c r="M14" s="6" t="s">
        <v>17</v>
      </c>
      <c r="N14" s="6" t="str">
        <f t="shared" si="2"/>
        <v>INSERT INTO attributes (parent_id, tag, name, priority, allow_as_filter, allow_for_dataset, allow_for_measurement, allow_for_users, allow_for_qc) VALUES (NULL, 'att_animal_model',  'Animal Model',  500,  TRUE, TRUE, TRUE, FALSE, FALSE);</v>
      </c>
      <c r="O14" s="6" t="str">
        <f t="shared" si="3"/>
        <v xml:space="preserve">INSERT INTO attribute_values (attribute_id, tag, name, details) VALUES ((SELECT id FROM attributes WHERE tag = 'att_animal_model' LIMIT 1),  'att_animal_model:lrat_cre',  'Lrat-Cre',  'Hepatic stellate cells'); </v>
      </c>
    </row>
    <row r="15" spans="1:15" x14ac:dyDescent="0.15">
      <c r="A15" s="12" t="b">
        <f>FALSE()</f>
        <v>0</v>
      </c>
      <c r="B15" s="12"/>
      <c r="C15" s="6" t="s">
        <v>2525</v>
      </c>
      <c r="D15" s="6" t="s">
        <v>374</v>
      </c>
      <c r="E15" s="6" t="s">
        <v>17</v>
      </c>
      <c r="F15" s="6" t="s">
        <v>2515</v>
      </c>
      <c r="G15" s="6" t="s">
        <v>2516</v>
      </c>
      <c r="H15" s="6" t="str">
        <f t="shared" si="0"/>
        <v>att_animal_model</v>
      </c>
      <c r="I15" s="6" t="s">
        <v>373</v>
      </c>
      <c r="J15" s="6" t="str">
        <f t="shared" si="1"/>
        <v>att_animal_model:lysm_cre</v>
      </c>
      <c r="K15" s="11" t="s">
        <v>21</v>
      </c>
      <c r="L15" s="6" t="s">
        <v>375</v>
      </c>
      <c r="M15" s="6" t="s">
        <v>17</v>
      </c>
      <c r="N15" s="6" t="str">
        <f t="shared" si="2"/>
        <v>INSERT INTO attributes (parent_id, tag, name, priority, allow_as_filter, allow_for_dataset, allow_for_measurement, allow_for_users, allow_for_qc) VALUES (NULL, 'att_animal_model',  'Animal Model',  500,  TRUE, TRUE, TRUE, FALSE, FALSE);</v>
      </c>
      <c r="O15" s="6" t="str">
        <f t="shared" si="3"/>
        <v xml:space="preserve">INSERT INTO attribute_values (attribute_id, tag, name, details) VALUES ((SELECT id FROM attributes WHERE tag = 'att_animal_model' LIMIT 1),  'att_animal_model:lysm_cre',  'LysM-Cre',  'Macrophages/Neutrophils'); </v>
      </c>
    </row>
    <row r="16" spans="1:15" x14ac:dyDescent="0.15">
      <c r="A16" s="12" t="b">
        <f>FALSE()</f>
        <v>0</v>
      </c>
      <c r="B16" s="12"/>
      <c r="C16" s="6" t="s">
        <v>2526</v>
      </c>
      <c r="D16" s="6" t="s">
        <v>377</v>
      </c>
      <c r="E16" s="6" t="s">
        <v>17</v>
      </c>
      <c r="F16" s="6" t="s">
        <v>2515</v>
      </c>
      <c r="G16" s="6" t="s">
        <v>2516</v>
      </c>
      <c r="H16" s="6" t="str">
        <f t="shared" si="0"/>
        <v>att_animal_model</v>
      </c>
      <c r="I16" s="6" t="s">
        <v>376</v>
      </c>
      <c r="J16" s="6" t="str">
        <f t="shared" si="1"/>
        <v>att_animal_model:ms4a3_cre</v>
      </c>
      <c r="K16" s="11" t="s">
        <v>21</v>
      </c>
      <c r="L16" s="6" t="s">
        <v>378</v>
      </c>
      <c r="M16" s="6" t="s">
        <v>17</v>
      </c>
      <c r="N16" s="6" t="str">
        <f t="shared" si="2"/>
        <v>INSERT INTO attributes (parent_id, tag, name, priority, allow_as_filter, allow_for_dataset, allow_for_measurement, allow_for_users, allow_for_qc) VALUES (NULL, 'att_animal_model',  'Animal Model',  500,  TRUE, TRUE, TRUE, FALSE, FALSE);</v>
      </c>
      <c r="O16" s="6" t="str">
        <f t="shared" si="3"/>
        <v xml:space="preserve">INSERT INTO attribute_values (attribute_id, tag, name, details) VALUES ((SELECT id FROM attributes WHERE tag = 'att_animal_model' LIMIT 1),  'att_animal_model:ms4a3_cre',  'Ms4a3-Cre',  'Monocytes'); </v>
      </c>
    </row>
    <row r="17" spans="1:15" x14ac:dyDescent="0.15">
      <c r="A17" s="12" t="b">
        <f>FALSE()</f>
        <v>0</v>
      </c>
      <c r="B17" s="12"/>
      <c r="C17" s="6" t="s">
        <v>2527</v>
      </c>
      <c r="D17" s="6" t="s">
        <v>380</v>
      </c>
      <c r="E17" s="6" t="s">
        <v>17</v>
      </c>
      <c r="F17" s="6" t="s">
        <v>2515</v>
      </c>
      <c r="G17" s="6" t="s">
        <v>2516</v>
      </c>
      <c r="H17" s="6" t="str">
        <f t="shared" si="0"/>
        <v>att_animal_model</v>
      </c>
      <c r="I17" s="6" t="s">
        <v>379</v>
      </c>
      <c r="J17" s="6" t="str">
        <f t="shared" si="1"/>
        <v>att_animal_model:mt_nlrp3_cre</v>
      </c>
      <c r="K17" s="11" t="s">
        <v>21</v>
      </c>
      <c r="L17" s="6" t="s">
        <v>381</v>
      </c>
      <c r="M17" s="6" t="s">
        <v>17</v>
      </c>
      <c r="N17" s="6" t="str">
        <f t="shared" si="2"/>
        <v>INSERT INTO attributes (parent_id, tag, name, priority, allow_as_filter, allow_for_dataset, allow_for_measurement, allow_for_users, allow_for_qc) VALUES (NULL, 'att_animal_model',  'Animal Model',  500,  TRUE, TRUE, TRUE, FALSE, FALSE);</v>
      </c>
      <c r="O17" s="6" t="str">
        <f t="shared" si="3"/>
        <v xml:space="preserve">INSERT INTO attribute_values (attribute_id, tag, name, details) VALUES ((SELECT id FROM attributes WHERE tag = 'att_animal_model' LIMIT 1),  'att_animal_model:mt_nlrp3_cre',  'MT-Nlrp3-Cre',  'CAPS R26ERtCreNlrp3A350V '); </v>
      </c>
    </row>
    <row r="18" spans="1:15" x14ac:dyDescent="0.15">
      <c r="A18" s="12" t="b">
        <f>FALSE()</f>
        <v>0</v>
      </c>
      <c r="B18" s="12"/>
      <c r="C18" s="6" t="s">
        <v>2528</v>
      </c>
      <c r="D18" s="6" t="s">
        <v>383</v>
      </c>
      <c r="E18" s="6" t="s">
        <v>17</v>
      </c>
      <c r="F18" s="6" t="s">
        <v>2515</v>
      </c>
      <c r="G18" s="6" t="s">
        <v>2516</v>
      </c>
      <c r="H18" s="6" t="str">
        <f t="shared" si="0"/>
        <v>att_animal_model</v>
      </c>
      <c r="I18" s="6" t="s">
        <v>382</v>
      </c>
      <c r="J18" s="6" t="str">
        <f t="shared" si="1"/>
        <v>att_animal_model:nlrp3_flox</v>
      </c>
      <c r="K18" s="11" t="s">
        <v>21</v>
      </c>
      <c r="L18" s="6" t="s">
        <v>383</v>
      </c>
      <c r="M18" s="6" t="s">
        <v>17</v>
      </c>
      <c r="N18" s="6" t="str">
        <f t="shared" si="2"/>
        <v>INSERT INTO attributes (parent_id, tag, name, priority, allow_as_filter, allow_for_dataset, allow_for_measurement, allow_for_users, allow_for_qc) VALUES (NULL, 'att_animal_model',  'Animal Model',  500,  TRUE, TRUE, TRUE, FALSE, FALSE);</v>
      </c>
      <c r="O18" s="6" t="str">
        <f t="shared" si="3"/>
        <v xml:space="preserve">INSERT INTO attribute_values (attribute_id, tag, name, details) VALUES ((SELECT id FROM attributes WHERE tag = 'att_animal_model' LIMIT 1),  'att_animal_model:nlrp3_flox',  'Nlrp3-flox',  'Nlrp3-flox'); </v>
      </c>
    </row>
    <row r="19" spans="1:15" x14ac:dyDescent="0.15">
      <c r="A19" s="12" t="b">
        <f>FALSE()</f>
        <v>0</v>
      </c>
      <c r="B19" s="12"/>
      <c r="C19" s="6" t="s">
        <v>2529</v>
      </c>
      <c r="D19" s="6" t="s">
        <v>385</v>
      </c>
      <c r="E19" s="6" t="s">
        <v>17</v>
      </c>
      <c r="F19" s="6" t="s">
        <v>2515</v>
      </c>
      <c r="G19" s="6" t="s">
        <v>2516</v>
      </c>
      <c r="H19" s="6" t="str">
        <f t="shared" si="0"/>
        <v>att_animal_model</v>
      </c>
      <c r="I19" s="6" t="s">
        <v>384</v>
      </c>
      <c r="J19" s="6" t="str">
        <f t="shared" si="1"/>
        <v>att_animal_model:nlrp3_ko</v>
      </c>
      <c r="K19" s="11" t="s">
        <v>21</v>
      </c>
      <c r="L19" s="6" t="s">
        <v>385</v>
      </c>
      <c r="M19" s="6" t="s">
        <v>17</v>
      </c>
      <c r="N19" s="6" t="str">
        <f t="shared" si="2"/>
        <v>INSERT INTO attributes (parent_id, tag, name, priority, allow_as_filter, allow_for_dataset, allow_for_measurement, allow_for_users, allow_for_qc) VALUES (NULL, 'att_animal_model',  'Animal Model',  500,  TRUE, TRUE, TRUE, FALSE, FALSE);</v>
      </c>
      <c r="O19" s="6" t="str">
        <f t="shared" si="3"/>
        <v xml:space="preserve">INSERT INTO attribute_values (attribute_id, tag, name, details) VALUES ((SELECT id FROM attributes WHERE tag = 'att_animal_model' LIMIT 1),  'att_animal_model:nlrp3_ko',  'Nlrp3 ko',  'Nlrp3 ko'); </v>
      </c>
    </row>
    <row r="20" spans="1:15" x14ac:dyDescent="0.15">
      <c r="A20" s="12" t="b">
        <f>FALSE()</f>
        <v>0</v>
      </c>
      <c r="B20" s="12"/>
      <c r="C20" s="6" t="s">
        <v>386</v>
      </c>
      <c r="D20" s="6" t="s">
        <v>387</v>
      </c>
      <c r="E20" s="6" t="s">
        <v>17</v>
      </c>
      <c r="F20" s="6" t="s">
        <v>2515</v>
      </c>
      <c r="G20" s="6" t="s">
        <v>2516</v>
      </c>
      <c r="H20" s="6" t="str">
        <f t="shared" si="0"/>
        <v>att_animal_model</v>
      </c>
      <c r="I20" s="6" t="s">
        <v>386</v>
      </c>
      <c r="J20" s="6" t="str">
        <f t="shared" si="1"/>
        <v>att_animal_model:oaf</v>
      </c>
      <c r="K20" s="11" t="s">
        <v>21</v>
      </c>
      <c r="L20" s="6" t="s">
        <v>387</v>
      </c>
      <c r="M20" s="6" t="s">
        <v>17</v>
      </c>
      <c r="N20" s="6" t="str">
        <f t="shared" si="2"/>
        <v>INSERT INTO attributes (parent_id, tag, name, priority, allow_as_filter, allow_for_dataset, allow_for_measurement, allow_for_users, allow_for_qc) VALUES (NULL, 'att_animal_model',  'Animal Model',  500,  TRUE, TRUE, TRUE, FALSE, FALSE);</v>
      </c>
      <c r="O20" s="6" t="str">
        <f t="shared" si="3"/>
        <v xml:space="preserve">INSERT INTO attribute_values (attribute_id, tag, name, details) VALUES ((SELECT id FROM attributes WHERE tag = 'att_animal_model' LIMIT 1),  'att_animal_model:oaf',  'OAF',  'OAF'); </v>
      </c>
    </row>
    <row r="21" spans="1:15" x14ac:dyDescent="0.15">
      <c r="A21" s="12" t="b">
        <f>FALSE()</f>
        <v>0</v>
      </c>
      <c r="B21" s="12"/>
      <c r="C21" s="6" t="s">
        <v>2530</v>
      </c>
      <c r="D21" s="6" t="s">
        <v>389</v>
      </c>
      <c r="E21" s="6" t="s">
        <v>17</v>
      </c>
      <c r="F21" s="6" t="s">
        <v>2515</v>
      </c>
      <c r="G21" s="6" t="s">
        <v>2516</v>
      </c>
      <c r="H21" s="6" t="str">
        <f t="shared" si="0"/>
        <v>att_animal_model</v>
      </c>
      <c r="I21" s="6" t="s">
        <v>388</v>
      </c>
      <c r="J21" s="6" t="str">
        <f t="shared" si="1"/>
        <v>att_animal_model:r26_ert2cre</v>
      </c>
      <c r="K21" s="11" t="s">
        <v>21</v>
      </c>
      <c r="L21" s="6" t="s">
        <v>390</v>
      </c>
      <c r="M21" s="6" t="s">
        <v>17</v>
      </c>
      <c r="N21" s="6" t="str">
        <f t="shared" si="2"/>
        <v>INSERT INTO attributes (parent_id, tag, name, priority, allow_as_filter, allow_for_dataset, allow_for_measurement, allow_for_users, allow_for_qc) VALUES (NULL, 'att_animal_model',  'Animal Model',  500,  TRUE, TRUE, TRUE, FALSE, FALSE);</v>
      </c>
      <c r="O21" s="6" t="str">
        <f t="shared" si="3"/>
        <v xml:space="preserve">INSERT INTO attribute_values (attribute_id, tag, name, details) VALUES ((SELECT id FROM attributes WHERE tag = 'att_animal_model' LIMIT 1),  'att_animal_model:r26_ert2cre',  'R26 ERt2Cre',  'R26 Ert2Cre'); </v>
      </c>
    </row>
    <row r="22" spans="1:15" x14ac:dyDescent="0.15">
      <c r="A22" s="12" t="b">
        <f>FALSE()</f>
        <v>0</v>
      </c>
      <c r="B22" s="12"/>
      <c r="C22" s="6" t="s">
        <v>2531</v>
      </c>
      <c r="D22" s="12" t="s">
        <v>392</v>
      </c>
      <c r="E22" s="6" t="s">
        <v>17</v>
      </c>
      <c r="F22" s="6" t="s">
        <v>2515</v>
      </c>
      <c r="G22" s="6" t="s">
        <v>2516</v>
      </c>
      <c r="H22" s="6" t="str">
        <f t="shared" si="0"/>
        <v>att_animal_model</v>
      </c>
      <c r="I22" s="6" t="s">
        <v>391</v>
      </c>
      <c r="J22" s="6" t="str">
        <f t="shared" si="1"/>
        <v>att_animal_model:r26_metrs_flox</v>
      </c>
      <c r="K22" s="11" t="s">
        <v>21</v>
      </c>
      <c r="L22" s="6" t="s">
        <v>393</v>
      </c>
      <c r="M22" s="6" t="s">
        <v>17</v>
      </c>
      <c r="N22" s="6" t="str">
        <f t="shared" si="2"/>
        <v>INSERT INTO attributes (parent_id, tag, name, priority, allow_as_filter, allow_for_dataset, allow_for_measurement, allow_for_users, allow_for_qc) VALUES (NULL, 'att_animal_model',  'Animal Model',  500,  TRUE, TRUE, TRUE, FALSE, FALSE);</v>
      </c>
      <c r="O22" s="6" t="str">
        <f t="shared" si="3"/>
        <v xml:space="preserve">INSERT INTO attribute_values (attribute_id, tag, name, details) VALUES ((SELECT id FROM attributes WHERE tag = 'att_animal_model' LIMIT 1),  'att_animal_model:r26_metrs_flox',  'R26 MetRS*-flox',  'Cell-type specific labelling'); </v>
      </c>
    </row>
    <row r="23" spans="1:15" x14ac:dyDescent="0.15">
      <c r="A23" s="12" t="b">
        <f>FALSE()</f>
        <v>0</v>
      </c>
      <c r="B23" s="12"/>
      <c r="C23" s="6" t="s">
        <v>2532</v>
      </c>
      <c r="D23" s="6" t="s">
        <v>395</v>
      </c>
      <c r="E23" s="6" t="s">
        <v>17</v>
      </c>
      <c r="F23" s="6" t="s">
        <v>2515</v>
      </c>
      <c r="G23" s="6" t="s">
        <v>2516</v>
      </c>
      <c r="H23" s="6" t="str">
        <f t="shared" si="0"/>
        <v>att_animal_model</v>
      </c>
      <c r="I23" s="6" t="s">
        <v>394</v>
      </c>
      <c r="J23" s="6" t="str">
        <f t="shared" si="1"/>
        <v>att_animal_model:r26_nlrp3_flox</v>
      </c>
      <c r="K23" s="11" t="s">
        <v>21</v>
      </c>
      <c r="L23" s="6" t="s">
        <v>395</v>
      </c>
      <c r="M23" s="6" t="s">
        <v>17</v>
      </c>
      <c r="N23" s="6" t="str">
        <f t="shared" si="2"/>
        <v>INSERT INTO attributes (parent_id, tag, name, priority, allow_as_filter, allow_for_dataset, allow_for_measurement, allow_for_users, allow_for_qc) VALUES (NULL, 'att_animal_model',  'Animal Model',  500,  TRUE, TRUE, TRUE, FALSE, FALSE);</v>
      </c>
      <c r="O23" s="6" t="str">
        <f t="shared" si="3"/>
        <v xml:space="preserve">INSERT INTO attribute_values (attribute_id, tag, name, details) VALUES ((SELECT id FROM attributes WHERE tag = 'att_animal_model' LIMIT 1),  'att_animal_model:r26_nlrp3_flox',  'R26 Nlrp3-flox',  'R26 Nlrp3-flox'); </v>
      </c>
    </row>
    <row r="24" spans="1:15" x14ac:dyDescent="0.15">
      <c r="A24" s="12" t="b">
        <f>FALSE()</f>
        <v>0</v>
      </c>
      <c r="B24" s="12"/>
      <c r="C24" s="6" t="s">
        <v>2533</v>
      </c>
      <c r="D24" s="6" t="s">
        <v>397</v>
      </c>
      <c r="E24" s="6" t="s">
        <v>17</v>
      </c>
      <c r="F24" s="6" t="s">
        <v>2515</v>
      </c>
      <c r="G24" s="6" t="s">
        <v>2516</v>
      </c>
      <c r="H24" s="6" t="str">
        <f t="shared" si="0"/>
        <v>att_animal_model</v>
      </c>
      <c r="I24" s="6" t="s">
        <v>396</v>
      </c>
      <c r="J24" s="6" t="str">
        <f t="shared" si="1"/>
        <v>att_animal_model:ribotag_lox</v>
      </c>
      <c r="K24" s="11" t="s">
        <v>21</v>
      </c>
      <c r="L24" s="6" t="s">
        <v>390</v>
      </c>
      <c r="M24" s="6" t="s">
        <v>17</v>
      </c>
      <c r="N24" s="6" t="str">
        <f t="shared" si="2"/>
        <v>INSERT INTO attributes (parent_id, tag, name, priority, allow_as_filter, allow_for_dataset, allow_for_measurement, allow_for_users, allow_for_qc) VALUES (NULL, 'att_animal_model',  'Animal Model',  500,  TRUE, TRUE, TRUE, FALSE, FALSE);</v>
      </c>
      <c r="O24" s="6" t="str">
        <f t="shared" si="3"/>
        <v xml:space="preserve">INSERT INTO attribute_values (attribute_id, tag, name, details) VALUES ((SELECT id FROM attributes WHERE tag = 'att_animal_model' LIMIT 1),  'att_animal_model:ribotag_lox',  'Ribotag-lox',  'R26 Ert2Cre'); </v>
      </c>
    </row>
    <row r="25" spans="1:15" x14ac:dyDescent="0.15">
      <c r="A25" s="12" t="b">
        <f>FALSE()</f>
        <v>0</v>
      </c>
      <c r="B25" s="12"/>
      <c r="C25" s="6" t="s">
        <v>2534</v>
      </c>
      <c r="D25" s="6" t="s">
        <v>399</v>
      </c>
      <c r="E25" s="6" t="s">
        <v>17</v>
      </c>
      <c r="F25" s="6" t="s">
        <v>2515</v>
      </c>
      <c r="G25" s="6" t="s">
        <v>2516</v>
      </c>
      <c r="H25" s="6" t="str">
        <f t="shared" si="0"/>
        <v>att_animal_model</v>
      </c>
      <c r="I25" s="6" t="s">
        <v>398</v>
      </c>
      <c r="J25" s="6" t="str">
        <f t="shared" si="1"/>
        <v>att_animal_model:sox10_cre</v>
      </c>
      <c r="K25" s="11" t="s">
        <v>21</v>
      </c>
      <c r="L25" s="6" t="s">
        <v>400</v>
      </c>
      <c r="M25" s="6" t="s">
        <v>17</v>
      </c>
      <c r="N25" s="6" t="str">
        <f t="shared" si="2"/>
        <v>INSERT INTO attributes (parent_id, tag, name, priority, allow_as_filter, allow_for_dataset, allow_for_measurement, allow_for_users, allow_for_qc) VALUES (NULL, 'att_animal_model',  'Animal Model',  500,  TRUE, TRUE, TRUE, FALSE, FALSE);</v>
      </c>
      <c r="O25" s="6" t="str">
        <f t="shared" si="3"/>
        <v xml:space="preserve">INSERT INTO attribute_values (attribute_id, tag, name, details) VALUES ((SELECT id FROM attributes WHERE tag = 'att_animal_model' LIMIT 1),  'att_animal_model:sox10_cre',  'Sox10-Cre',  'Neural crest ?'); </v>
      </c>
    </row>
    <row r="26" spans="1:15" x14ac:dyDescent="0.15">
      <c r="A26" s="12" t="b">
        <f>FALSE()</f>
        <v>0</v>
      </c>
      <c r="B26" s="12"/>
      <c r="C26" s="6" t="s">
        <v>2535</v>
      </c>
      <c r="D26" s="6" t="s">
        <v>402</v>
      </c>
      <c r="E26" s="6" t="s">
        <v>17</v>
      </c>
      <c r="F26" s="6" t="s">
        <v>2515</v>
      </c>
      <c r="G26" s="6" t="s">
        <v>2516</v>
      </c>
      <c r="H26" s="6" t="str">
        <f t="shared" si="0"/>
        <v>att_animal_model</v>
      </c>
      <c r="I26" s="6" t="s">
        <v>401</v>
      </c>
      <c r="J26" s="6" t="str">
        <f t="shared" si="1"/>
        <v>att_animal_model:ucp1_cre</v>
      </c>
      <c r="K26" s="11" t="s">
        <v>21</v>
      </c>
      <c r="L26" s="6" t="s">
        <v>403</v>
      </c>
      <c r="M26" s="6" t="s">
        <v>17</v>
      </c>
      <c r="N26" s="6" t="str">
        <f t="shared" si="2"/>
        <v>INSERT INTO attributes (parent_id, tag, name, priority, allow_as_filter, allow_for_dataset, allow_for_measurement, allow_for_users, allow_for_qc) VALUES (NULL, 'att_animal_model',  'Animal Model',  500,  TRUE, TRUE, TRUE, FALSE, FALSE);</v>
      </c>
      <c r="O26" s="6" t="str">
        <f t="shared" si="3"/>
        <v xml:space="preserve">INSERT INTO attribute_values (attribute_id, tag, name, details) VALUES ((SELECT id FROM attributes WHERE tag = 'att_animal_model' LIMIT 1),  'att_animal_model:ucp1_cre',  'UCP1-Cre',  'brown adipose tissue'); </v>
      </c>
    </row>
    <row r="27" spans="1:15" x14ac:dyDescent="0.15">
      <c r="A27" s="12" t="b">
        <f>FALSE()</f>
        <v>0</v>
      </c>
      <c r="B27" s="12"/>
      <c r="C27" s="6" t="s">
        <v>2536</v>
      </c>
      <c r="D27" s="6" t="s">
        <v>405</v>
      </c>
      <c r="E27" s="6" t="s">
        <v>17</v>
      </c>
      <c r="F27" s="6" t="s">
        <v>2515</v>
      </c>
      <c r="G27" s="6" t="s">
        <v>2516</v>
      </c>
      <c r="H27" s="6" t="str">
        <f t="shared" si="0"/>
        <v>att_animal_model</v>
      </c>
      <c r="I27" s="6" t="s">
        <v>404</v>
      </c>
      <c r="J27" s="6" t="str">
        <f t="shared" si="1"/>
        <v>att_animal_model:vil_cre</v>
      </c>
      <c r="K27" s="11" t="s">
        <v>21</v>
      </c>
      <c r="L27" s="6" t="s">
        <v>406</v>
      </c>
      <c r="M27" s="6" t="s">
        <v>17</v>
      </c>
      <c r="N27" s="6" t="str">
        <f t="shared" si="2"/>
        <v>INSERT INTO attributes (parent_id, tag, name, priority, allow_as_filter, allow_for_dataset, allow_for_measurement, allow_for_users, allow_for_qc) VALUES (NULL, 'att_animal_model',  'Animal Model',  500,  TRUE, TRUE, TRUE, FALSE, FALSE);</v>
      </c>
      <c r="O27" s="6" t="str">
        <f t="shared" si="3"/>
        <v xml:space="preserve">INSERT INTO attribute_values (attribute_id, tag, name, details) VALUES ((SELECT id FROM attributes WHERE tag = 'att_animal_model' LIMIT 1),  'att_animal_model:vil_cre',  'Vil-Cre',  'Intestinal epithelium'); </v>
      </c>
    </row>
    <row r="28" spans="1:15" x14ac:dyDescent="0.15">
      <c r="A28" s="12" t="b">
        <f>FALSE()</f>
        <v>0</v>
      </c>
      <c r="B28" s="12"/>
      <c r="C28" s="6">
        <v>7860</v>
      </c>
      <c r="D28" s="6" t="s">
        <v>495</v>
      </c>
      <c r="E28" s="6" t="s">
        <v>17</v>
      </c>
      <c r="F28" s="6" t="s">
        <v>2537</v>
      </c>
      <c r="G28" s="6" t="s">
        <v>2538</v>
      </c>
      <c r="H28" s="6" t="str">
        <f t="shared" si="0"/>
        <v>att_celllines</v>
      </c>
      <c r="I28" s="6" t="s">
        <v>494</v>
      </c>
      <c r="J28" s="6" t="str">
        <f t="shared" si="1"/>
        <v>att_celllines:786_0</v>
      </c>
      <c r="K28" s="11" t="s">
        <v>21</v>
      </c>
      <c r="L28" s="6" t="s">
        <v>496</v>
      </c>
      <c r="M28" s="6" t="s">
        <v>2539</v>
      </c>
      <c r="N28" s="6" t="str">
        <f t="shared" si="2"/>
        <v>INSERT INTO attributes (parent_id, tag, name, priority, allow_as_filter, allow_for_dataset, allow_for_measurement, allow_for_users, allow_for_qc) VALUES (NULL, 'att_celllines',  'Celllines',  500,  TRUE, TRUE, TRUE, FALSE, FALSE);</v>
      </c>
      <c r="O28" s="6" t="str">
        <f t="shared" si="3"/>
        <v xml:space="preserve">INSERT INTO attribute_values (attribute_id, tag, name, details) VALUES ((SELECT id FROM attributes WHERE tag = 'att_celllines' LIMIT 1),  'att_celllines:786_0',  '786-0',  'Human NCI-60 cell line; Renal Cancer'); </v>
      </c>
    </row>
    <row r="29" spans="1:15" x14ac:dyDescent="0.15">
      <c r="A29" s="12" t="b">
        <f>FALSE()</f>
        <v>0</v>
      </c>
      <c r="B29" s="12"/>
      <c r="C29" s="6" t="s">
        <v>497</v>
      </c>
      <c r="D29" s="6" t="s">
        <v>498</v>
      </c>
      <c r="E29" s="6" t="s">
        <v>17</v>
      </c>
      <c r="F29" s="6" t="s">
        <v>2537</v>
      </c>
      <c r="G29" s="6" t="s">
        <v>2538</v>
      </c>
      <c r="H29" s="6" t="str">
        <f t="shared" si="0"/>
        <v>att_celllines</v>
      </c>
      <c r="I29" s="6" t="s">
        <v>497</v>
      </c>
      <c r="J29" s="6" t="str">
        <f t="shared" si="1"/>
        <v>att_celllines:a498</v>
      </c>
      <c r="K29" s="11" t="s">
        <v>21</v>
      </c>
      <c r="L29" s="6" t="s">
        <v>496</v>
      </c>
      <c r="M29" s="6" t="s">
        <v>2539</v>
      </c>
      <c r="N29" s="6" t="str">
        <f t="shared" si="2"/>
        <v>INSERT INTO attributes (parent_id, tag, name, priority, allow_as_filter, allow_for_dataset, allow_for_measurement, allow_for_users, allow_for_qc) VALUES (NULL, 'att_celllines',  'Celllines',  500,  TRUE, TRUE, TRUE, FALSE, FALSE);</v>
      </c>
      <c r="O29" s="6" t="str">
        <f t="shared" si="3"/>
        <v xml:space="preserve">INSERT INTO attribute_values (attribute_id, tag, name, details) VALUES ((SELECT id FROM attributes WHERE tag = 'att_celllines' LIMIT 1),  'att_celllines:a498',  'A498',  'Human NCI-60 cell line; Renal Cancer'); </v>
      </c>
    </row>
    <row r="30" spans="1:15" x14ac:dyDescent="0.15">
      <c r="A30" s="12" t="b">
        <f>FALSE()</f>
        <v>0</v>
      </c>
      <c r="B30" s="12"/>
      <c r="C30" s="6" t="s">
        <v>499</v>
      </c>
      <c r="D30" s="6" t="s">
        <v>500</v>
      </c>
      <c r="E30" s="6" t="s">
        <v>17</v>
      </c>
      <c r="F30" s="6" t="s">
        <v>2537</v>
      </c>
      <c r="G30" s="6" t="s">
        <v>2538</v>
      </c>
      <c r="H30" s="6" t="str">
        <f t="shared" si="0"/>
        <v>att_celllines</v>
      </c>
      <c r="I30" s="6" t="s">
        <v>499</v>
      </c>
      <c r="J30" s="6" t="str">
        <f t="shared" si="1"/>
        <v>att_celllines:a549</v>
      </c>
      <c r="K30" s="11" t="s">
        <v>21</v>
      </c>
      <c r="L30" s="6" t="s">
        <v>501</v>
      </c>
      <c r="M30" s="6" t="s">
        <v>2539</v>
      </c>
      <c r="N30" s="6" t="str">
        <f t="shared" si="2"/>
        <v>INSERT INTO attributes (parent_id, tag, name, priority, allow_as_filter, allow_for_dataset, allow_for_measurement, allow_for_users, allow_for_qc) VALUES (NULL, 'att_celllines',  'Celllines',  500,  TRUE, TRUE, TRUE, FALSE, FALSE);</v>
      </c>
      <c r="O30" s="6" t="str">
        <f t="shared" si="3"/>
        <v xml:space="preserve">INSERT INTO attribute_values (attribute_id, tag, name, details) VALUES ((SELECT id FROM attributes WHERE tag = 'att_celllines' LIMIT 1),  'att_celllines:a549',  'A549',  'Human NCI-60 cell line; Non-Small Cell Lung cancer'); </v>
      </c>
    </row>
    <row r="31" spans="1:15" x14ac:dyDescent="0.15">
      <c r="A31" s="12" t="b">
        <f>FALSE()</f>
        <v>0</v>
      </c>
      <c r="B31" s="12"/>
      <c r="C31" s="6" t="s">
        <v>502</v>
      </c>
      <c r="D31" s="6" t="s">
        <v>503</v>
      </c>
      <c r="E31" s="6" t="s">
        <v>17</v>
      </c>
      <c r="F31" s="6" t="s">
        <v>2537</v>
      </c>
      <c r="G31" s="6" t="s">
        <v>2538</v>
      </c>
      <c r="H31" s="6" t="str">
        <f t="shared" si="0"/>
        <v>att_celllines</v>
      </c>
      <c r="I31" s="6" t="s">
        <v>502</v>
      </c>
      <c r="J31" s="6" t="str">
        <f t="shared" si="1"/>
        <v>att_celllines:achn</v>
      </c>
      <c r="K31" s="11" t="s">
        <v>21</v>
      </c>
      <c r="L31" s="6" t="s">
        <v>496</v>
      </c>
      <c r="M31" s="6" t="s">
        <v>2539</v>
      </c>
      <c r="N31" s="6" t="str">
        <f t="shared" si="2"/>
        <v>INSERT INTO attributes (parent_id, tag, name, priority, allow_as_filter, allow_for_dataset, allow_for_measurement, allow_for_users, allow_for_qc) VALUES (NULL, 'att_celllines',  'Celllines',  500,  TRUE, TRUE, TRUE, FALSE, FALSE);</v>
      </c>
      <c r="O31" s="6" t="str">
        <f t="shared" si="3"/>
        <v xml:space="preserve">INSERT INTO attribute_values (attribute_id, tag, name, details) VALUES ((SELECT id FROM attributes WHERE tag = 'att_celllines' LIMIT 1),  'att_celllines:achn',  'ACHN',  'Human NCI-60 cell line; Renal Cancer'); </v>
      </c>
    </row>
    <row r="32" spans="1:15" x14ac:dyDescent="0.15">
      <c r="A32" s="12" t="b">
        <f>FALSE()</f>
        <v>0</v>
      </c>
      <c r="B32" s="12"/>
      <c r="C32" s="6" t="s">
        <v>504</v>
      </c>
      <c r="D32" s="6" t="s">
        <v>505</v>
      </c>
      <c r="E32" s="6" t="s">
        <v>17</v>
      </c>
      <c r="F32" s="6" t="s">
        <v>2537</v>
      </c>
      <c r="G32" s="6" t="s">
        <v>2538</v>
      </c>
      <c r="H32" s="6" t="str">
        <f t="shared" si="0"/>
        <v>att_celllines</v>
      </c>
      <c r="I32" s="6" t="s">
        <v>504</v>
      </c>
      <c r="J32" s="6" t="str">
        <f t="shared" si="1"/>
        <v>att_celllines:bmdc</v>
      </c>
      <c r="K32" s="11" t="s">
        <v>21</v>
      </c>
      <c r="L32" s="6" t="s">
        <v>505</v>
      </c>
      <c r="M32" s="6" t="s">
        <v>17</v>
      </c>
      <c r="N32" s="6" t="str">
        <f t="shared" si="2"/>
        <v>INSERT INTO attributes (parent_id, tag, name, priority, allow_as_filter, allow_for_dataset, allow_for_measurement, allow_for_users, allow_for_qc) VALUES (NULL, 'att_celllines',  'Celllines',  500,  TRUE, TRUE, TRUE, FALSE, FALSE);</v>
      </c>
      <c r="O32" s="6" t="str">
        <f t="shared" si="3"/>
        <v xml:space="preserve">INSERT INTO attribute_values (attribute_id, tag, name, details) VALUES ((SELECT id FROM attributes WHERE tag = 'att_celllines' LIMIT 1),  'att_celllines:bmdc',  'BMDC',  'BMDC'); </v>
      </c>
    </row>
    <row r="33" spans="1:15" x14ac:dyDescent="0.15">
      <c r="A33" s="12" t="b">
        <f>FALSE()</f>
        <v>0</v>
      </c>
      <c r="B33" s="12"/>
      <c r="C33" s="6" t="s">
        <v>506</v>
      </c>
      <c r="D33" s="6" t="s">
        <v>507</v>
      </c>
      <c r="E33" s="6" t="s">
        <v>17</v>
      </c>
      <c r="F33" s="6" t="s">
        <v>2537</v>
      </c>
      <c r="G33" s="6" t="s">
        <v>2538</v>
      </c>
      <c r="H33" s="6" t="str">
        <f t="shared" si="0"/>
        <v>att_celllines</v>
      </c>
      <c r="I33" s="6" t="s">
        <v>506</v>
      </c>
      <c r="J33" s="6" t="str">
        <f t="shared" si="1"/>
        <v>att_celllines:bmm</v>
      </c>
      <c r="K33" s="11" t="s">
        <v>21</v>
      </c>
      <c r="L33" s="6" t="s">
        <v>508</v>
      </c>
      <c r="M33" s="6" t="s">
        <v>17</v>
      </c>
      <c r="N33" s="6" t="str">
        <f t="shared" si="2"/>
        <v>INSERT INTO attributes (parent_id, tag, name, priority, allow_as_filter, allow_for_dataset, allow_for_measurement, allow_for_users, allow_for_qc) VALUES (NULL, 'att_celllines',  'Celllines',  500,  TRUE, TRUE, TRUE, FALSE, FALSE);</v>
      </c>
      <c r="O33" s="6" t="str">
        <f t="shared" si="3"/>
        <v xml:space="preserve">INSERT INTO attribute_values (attribute_id, tag, name, details) VALUES ((SELECT id FROM attributes WHERE tag = 'att_celllines' LIMIT 1),  'att_celllines:bmm',  'BMM',  'Bone-marrow-derived macrophages'); </v>
      </c>
    </row>
    <row r="34" spans="1:15" x14ac:dyDescent="0.15">
      <c r="A34" s="12" t="b">
        <f>FALSE()</f>
        <v>0</v>
      </c>
      <c r="B34" s="12"/>
      <c r="C34" s="6" t="s">
        <v>509</v>
      </c>
      <c r="D34" s="6" t="s">
        <v>510</v>
      </c>
      <c r="E34" s="6" t="s">
        <v>17</v>
      </c>
      <c r="F34" s="6" t="s">
        <v>2537</v>
      </c>
      <c r="G34" s="6" t="s">
        <v>2538</v>
      </c>
      <c r="H34" s="6" t="str">
        <f t="shared" si="0"/>
        <v>att_celllines</v>
      </c>
      <c r="I34" s="6" t="s">
        <v>509</v>
      </c>
      <c r="J34" s="6" t="str">
        <f t="shared" si="1"/>
        <v>att_celllines:bt549</v>
      </c>
      <c r="K34" s="11" t="s">
        <v>21</v>
      </c>
      <c r="L34" s="6" t="s">
        <v>511</v>
      </c>
      <c r="M34" s="6" t="s">
        <v>2539</v>
      </c>
      <c r="N34" s="6" t="str">
        <f t="shared" si="2"/>
        <v>INSERT INTO attributes (parent_id, tag, name, priority, allow_as_filter, allow_for_dataset, allow_for_measurement, allow_for_users, allow_for_qc) VALUES (NULL, 'att_celllines',  'Celllines',  500,  TRUE, TRUE, TRUE, FALSE, FALSE);</v>
      </c>
      <c r="O34" s="6" t="str">
        <f t="shared" si="3"/>
        <v xml:space="preserve">INSERT INTO attribute_values (attribute_id, tag, name, details) VALUES ((SELECT id FROM attributes WHERE tag = 'att_celllines' LIMIT 1),  'att_celllines:bt549',  'BT-549',  'Human NCI-60 cell line; Breast Cancer'); </v>
      </c>
    </row>
    <row r="35" spans="1:15" x14ac:dyDescent="0.15">
      <c r="A35" s="12" t="b">
        <f>FALSE()</f>
        <v>0</v>
      </c>
      <c r="B35" s="12"/>
      <c r="C35" s="6" t="s">
        <v>512</v>
      </c>
      <c r="D35" s="6" t="s">
        <v>513</v>
      </c>
      <c r="E35" s="6" t="s">
        <v>17</v>
      </c>
      <c r="F35" s="6" t="s">
        <v>2537</v>
      </c>
      <c r="G35" s="6" t="s">
        <v>2538</v>
      </c>
      <c r="H35" s="6" t="str">
        <f t="shared" si="0"/>
        <v>att_celllines</v>
      </c>
      <c r="I35" s="6" t="s">
        <v>512</v>
      </c>
      <c r="J35" s="6" t="str">
        <f t="shared" si="1"/>
        <v>att_celllines:caki1</v>
      </c>
      <c r="K35" s="11" t="s">
        <v>21</v>
      </c>
      <c r="L35" s="6" t="s">
        <v>496</v>
      </c>
      <c r="M35" s="6" t="s">
        <v>2539</v>
      </c>
      <c r="N35" s="6" t="str">
        <f t="shared" si="2"/>
        <v>INSERT INTO attributes (parent_id, tag, name, priority, allow_as_filter, allow_for_dataset, allow_for_measurement, allow_for_users, allow_for_qc) VALUES (NULL, 'att_celllines',  'Celllines',  500,  TRUE, TRUE, TRUE, FALSE, FALSE);</v>
      </c>
      <c r="O35" s="6" t="str">
        <f t="shared" si="3"/>
        <v xml:space="preserve">INSERT INTO attribute_values (attribute_id, tag, name, details) VALUES ((SELECT id FROM attributes WHERE tag = 'att_celllines' LIMIT 1),  'att_celllines:caki1',  'CAKI-1',  'Human NCI-60 cell line; Renal Cancer'); </v>
      </c>
    </row>
    <row r="36" spans="1:15" x14ac:dyDescent="0.15">
      <c r="A36" s="12" t="b">
        <f>FALSE()</f>
        <v>0</v>
      </c>
      <c r="B36" s="12"/>
      <c r="C36" s="6" t="s">
        <v>514</v>
      </c>
      <c r="D36" s="6" t="s">
        <v>515</v>
      </c>
      <c r="E36" s="6" t="s">
        <v>17</v>
      </c>
      <c r="F36" s="6" t="s">
        <v>2537</v>
      </c>
      <c r="G36" s="6" t="s">
        <v>2538</v>
      </c>
      <c r="H36" s="6" t="str">
        <f t="shared" si="0"/>
        <v>att_celllines</v>
      </c>
      <c r="I36" s="6" t="s">
        <v>514</v>
      </c>
      <c r="J36" s="6" t="str">
        <f t="shared" si="1"/>
        <v>att_celllines:cho</v>
      </c>
      <c r="K36" s="11" t="s">
        <v>21</v>
      </c>
      <c r="L36" s="6" t="s">
        <v>516</v>
      </c>
      <c r="M36" s="6" t="s">
        <v>2540</v>
      </c>
      <c r="N36" s="6" t="str">
        <f t="shared" si="2"/>
        <v>INSERT INTO attributes (parent_id, tag, name, priority, allow_as_filter, allow_for_dataset, allow_for_measurement, allow_for_users, allow_for_qc) VALUES (NULL, 'att_celllines',  'Celllines',  500,  TRUE, TRUE, TRUE, FALSE, FALSE);</v>
      </c>
      <c r="O36" s="6" t="str">
        <f t="shared" si="3"/>
        <v xml:space="preserve">INSERT INTO attribute_values (attribute_id, tag, name, details) VALUES ((SELECT id FROM attributes WHERE tag = 'att_celllines' LIMIT 1),  'att_celllines:cho',  'CHO',  'Chinese hamster ovary'); </v>
      </c>
    </row>
    <row r="37" spans="1:15" x14ac:dyDescent="0.15">
      <c r="A37" s="12" t="b">
        <f>FALSE()</f>
        <v>0</v>
      </c>
      <c r="B37" s="12"/>
      <c r="C37" s="6" t="s">
        <v>517</v>
      </c>
      <c r="D37" s="6" t="s">
        <v>518</v>
      </c>
      <c r="E37" s="6" t="s">
        <v>17</v>
      </c>
      <c r="F37" s="6" t="s">
        <v>2537</v>
      </c>
      <c r="G37" s="6" t="s">
        <v>2538</v>
      </c>
      <c r="H37" s="6" t="str">
        <f t="shared" si="0"/>
        <v>att_celllines</v>
      </c>
      <c r="I37" s="6" t="s">
        <v>517</v>
      </c>
      <c r="J37" s="6" t="str">
        <f t="shared" si="1"/>
        <v>att_celllines:colo205</v>
      </c>
      <c r="K37" s="11" t="s">
        <v>21</v>
      </c>
      <c r="L37" s="6" t="s">
        <v>519</v>
      </c>
      <c r="M37" s="6" t="s">
        <v>2539</v>
      </c>
      <c r="N37" s="6" t="str">
        <f t="shared" si="2"/>
        <v>INSERT INTO attributes (parent_id, tag, name, priority, allow_as_filter, allow_for_dataset, allow_for_measurement, allow_for_users, allow_for_qc) VALUES (NULL, 'att_celllines',  'Celllines',  500,  TRUE, TRUE, TRUE, FALSE, FALSE);</v>
      </c>
      <c r="O37" s="6" t="str">
        <f t="shared" si="3"/>
        <v xml:space="preserve">INSERT INTO attribute_values (attribute_id, tag, name, details) VALUES ((SELECT id FROM attributes WHERE tag = 'att_celllines' LIMIT 1),  'att_celllines:colo205',  'COLO205',  'Human NCI-60 cell line; Colon cancer'); </v>
      </c>
    </row>
    <row r="38" spans="1:15" x14ac:dyDescent="0.15">
      <c r="A38" s="12" t="b">
        <f>FALSE()</f>
        <v>0</v>
      </c>
      <c r="B38" s="12"/>
      <c r="C38" s="6" t="s">
        <v>520</v>
      </c>
      <c r="D38" s="6" t="s">
        <v>521</v>
      </c>
      <c r="E38" s="6" t="s">
        <v>17</v>
      </c>
      <c r="F38" s="6" t="s">
        <v>2537</v>
      </c>
      <c r="G38" s="6" t="s">
        <v>2538</v>
      </c>
      <c r="H38" s="6" t="str">
        <f t="shared" si="0"/>
        <v>att_celllines</v>
      </c>
      <c r="I38" s="6" t="s">
        <v>520</v>
      </c>
      <c r="J38" s="6" t="str">
        <f t="shared" si="1"/>
        <v>att_celllines:crfcem</v>
      </c>
      <c r="K38" s="11" t="s">
        <v>21</v>
      </c>
      <c r="L38" s="6" t="s">
        <v>522</v>
      </c>
      <c r="M38" s="6" t="s">
        <v>2539</v>
      </c>
      <c r="N38" s="6" t="str">
        <f t="shared" si="2"/>
        <v>INSERT INTO attributes (parent_id, tag, name, priority, allow_as_filter, allow_for_dataset, allow_for_measurement, allow_for_users, allow_for_qc) VALUES (NULL, 'att_celllines',  'Celllines',  500,  TRUE, TRUE, TRUE, FALSE, FALSE);</v>
      </c>
      <c r="O38" s="6" t="str">
        <f t="shared" si="3"/>
        <v xml:space="preserve">INSERT INTO attribute_values (attribute_id, tag, name, details) VALUES ((SELECT id FROM attributes WHERE tag = 'att_celllines' LIMIT 1),  'att_celllines:crfcem',  'CRF-CEM',  'Human NCI-60 cell line; Leukemia'); </v>
      </c>
    </row>
    <row r="39" spans="1:15" x14ac:dyDescent="0.15">
      <c r="A39" s="12" t="b">
        <f>FALSE()</f>
        <v>0</v>
      </c>
      <c r="B39" s="12"/>
      <c r="C39" s="6" t="s">
        <v>523</v>
      </c>
      <c r="D39" s="6" t="s">
        <v>524</v>
      </c>
      <c r="E39" s="6" t="s">
        <v>17</v>
      </c>
      <c r="F39" s="6" t="s">
        <v>2537</v>
      </c>
      <c r="G39" s="6" t="s">
        <v>2538</v>
      </c>
      <c r="H39" s="6" t="str">
        <f t="shared" si="0"/>
        <v>att_celllines</v>
      </c>
      <c r="I39" s="6" t="s">
        <v>523</v>
      </c>
      <c r="J39" s="6" t="str">
        <f t="shared" si="1"/>
        <v>att_celllines:du145</v>
      </c>
      <c r="K39" s="11" t="s">
        <v>21</v>
      </c>
      <c r="L39" s="6" t="s">
        <v>525</v>
      </c>
      <c r="M39" s="6" t="s">
        <v>2539</v>
      </c>
      <c r="N39" s="6" t="str">
        <f t="shared" si="2"/>
        <v>INSERT INTO attributes (parent_id, tag, name, priority, allow_as_filter, allow_for_dataset, allow_for_measurement, allow_for_users, allow_for_qc) VALUES (NULL, 'att_celllines',  'Celllines',  500,  TRUE, TRUE, TRUE, FALSE, FALSE);</v>
      </c>
      <c r="O39" s="6" t="str">
        <f t="shared" si="3"/>
        <v xml:space="preserve">INSERT INTO attribute_values (attribute_id, tag, name, details) VALUES ((SELECT id FROM attributes WHERE tag = 'att_celllines' LIMIT 1),  'att_celllines:du145',  'DU-145',  'Human NCI-60 cell line; Prostate Cancer'); </v>
      </c>
    </row>
    <row r="40" spans="1:15" x14ac:dyDescent="0.15">
      <c r="A40" s="12" t="b">
        <f>FALSE()</f>
        <v>0</v>
      </c>
      <c r="B40" s="12"/>
      <c r="C40" s="6" t="s">
        <v>526</v>
      </c>
      <c r="D40" s="6" t="s">
        <v>527</v>
      </c>
      <c r="E40" s="6" t="s">
        <v>17</v>
      </c>
      <c r="F40" s="6" t="s">
        <v>2537</v>
      </c>
      <c r="G40" s="6" t="s">
        <v>2538</v>
      </c>
      <c r="H40" s="6" t="str">
        <f t="shared" si="0"/>
        <v>att_celllines</v>
      </c>
      <c r="I40" s="6" t="s">
        <v>526</v>
      </c>
      <c r="J40" s="6" t="str">
        <f t="shared" si="1"/>
        <v>att_celllines:ekvx</v>
      </c>
      <c r="K40" s="11" t="s">
        <v>21</v>
      </c>
      <c r="L40" s="6" t="s">
        <v>501</v>
      </c>
      <c r="M40" s="6" t="s">
        <v>2539</v>
      </c>
      <c r="N40" s="6" t="str">
        <f t="shared" si="2"/>
        <v>INSERT INTO attributes (parent_id, tag, name, priority, allow_as_filter, allow_for_dataset, allow_for_measurement, allow_for_users, allow_for_qc) VALUES (NULL, 'att_celllines',  'Celllines',  500,  TRUE, TRUE, TRUE, FALSE, FALSE);</v>
      </c>
      <c r="O40" s="6" t="str">
        <f t="shared" si="3"/>
        <v xml:space="preserve">INSERT INTO attribute_values (attribute_id, tag, name, details) VALUES ((SELECT id FROM attributes WHERE tag = 'att_celllines' LIMIT 1),  'att_celllines:ekvx',  'EKVX',  'Human NCI-60 cell line; Non-Small Cell Lung cancer'); </v>
      </c>
    </row>
    <row r="41" spans="1:15" x14ac:dyDescent="0.15">
      <c r="A41" s="12" t="b">
        <f>FALSE()</f>
        <v>0</v>
      </c>
      <c r="B41" s="12"/>
      <c r="C41" s="6" t="s">
        <v>528</v>
      </c>
      <c r="D41" s="6" t="s">
        <v>529</v>
      </c>
      <c r="E41" s="6" t="s">
        <v>17</v>
      </c>
      <c r="F41" s="6" t="s">
        <v>2537</v>
      </c>
      <c r="G41" s="6" t="s">
        <v>2538</v>
      </c>
      <c r="H41" s="6" t="str">
        <f t="shared" si="0"/>
        <v>att_celllines</v>
      </c>
      <c r="I41" s="6" t="s">
        <v>528</v>
      </c>
      <c r="J41" s="6" t="str">
        <f t="shared" si="1"/>
        <v>att_celllines:hcc2998</v>
      </c>
      <c r="K41" s="11" t="s">
        <v>21</v>
      </c>
      <c r="L41" s="6" t="s">
        <v>519</v>
      </c>
      <c r="M41" s="6" t="s">
        <v>2539</v>
      </c>
      <c r="N41" s="6" t="str">
        <f t="shared" si="2"/>
        <v>INSERT INTO attributes (parent_id, tag, name, priority, allow_as_filter, allow_for_dataset, allow_for_measurement, allow_for_users, allow_for_qc) VALUES (NULL, 'att_celllines',  'Celllines',  500,  TRUE, TRUE, TRUE, FALSE, FALSE);</v>
      </c>
      <c r="O41" s="6" t="str">
        <f t="shared" si="3"/>
        <v xml:space="preserve">INSERT INTO attribute_values (attribute_id, tag, name, details) VALUES ((SELECT id FROM attributes WHERE tag = 'att_celllines' LIMIT 1),  'att_celllines:hcc2998',  'HCC-2998',  'Human NCI-60 cell line; Colon cancer'); </v>
      </c>
    </row>
    <row r="42" spans="1:15" x14ac:dyDescent="0.15">
      <c r="A42" s="12" t="b">
        <f>FALSE()</f>
        <v>0</v>
      </c>
      <c r="B42" s="12"/>
      <c r="C42" s="6" t="s">
        <v>530</v>
      </c>
      <c r="D42" s="6" t="s">
        <v>531</v>
      </c>
      <c r="E42" s="6" t="s">
        <v>17</v>
      </c>
      <c r="F42" s="6" t="s">
        <v>2537</v>
      </c>
      <c r="G42" s="6" t="s">
        <v>2538</v>
      </c>
      <c r="H42" s="6" t="str">
        <f t="shared" si="0"/>
        <v>att_celllines</v>
      </c>
      <c r="I42" s="6" t="s">
        <v>530</v>
      </c>
      <c r="J42" s="6" t="str">
        <f t="shared" si="1"/>
        <v>att_celllines:hct116</v>
      </c>
      <c r="K42" s="11" t="s">
        <v>21</v>
      </c>
      <c r="L42" s="6" t="s">
        <v>519</v>
      </c>
      <c r="M42" s="6" t="s">
        <v>2539</v>
      </c>
      <c r="N42" s="6" t="str">
        <f t="shared" si="2"/>
        <v>INSERT INTO attributes (parent_id, tag, name, priority, allow_as_filter, allow_for_dataset, allow_for_measurement, allow_for_users, allow_for_qc) VALUES (NULL, 'att_celllines',  'Celllines',  500,  TRUE, TRUE, TRUE, FALSE, FALSE);</v>
      </c>
      <c r="O42" s="6" t="str">
        <f t="shared" si="3"/>
        <v xml:space="preserve">INSERT INTO attribute_values (attribute_id, tag, name, details) VALUES ((SELECT id FROM attributes WHERE tag = 'att_celllines' LIMIT 1),  'att_celllines:hct116',  'HCT-116',  'Human NCI-60 cell line; Colon cancer'); </v>
      </c>
    </row>
    <row r="43" spans="1:15" x14ac:dyDescent="0.15">
      <c r="A43" s="12" t="b">
        <f>FALSE()</f>
        <v>0</v>
      </c>
      <c r="B43" s="12"/>
      <c r="C43" s="6" t="s">
        <v>532</v>
      </c>
      <c r="D43" s="6" t="s">
        <v>533</v>
      </c>
      <c r="E43" s="6" t="s">
        <v>17</v>
      </c>
      <c r="F43" s="6" t="s">
        <v>2537</v>
      </c>
      <c r="G43" s="6" t="s">
        <v>2538</v>
      </c>
      <c r="H43" s="6" t="str">
        <f t="shared" si="0"/>
        <v>att_celllines</v>
      </c>
      <c r="I43" s="6" t="s">
        <v>532</v>
      </c>
      <c r="J43" s="6" t="str">
        <f t="shared" si="1"/>
        <v>att_celllines:hct15</v>
      </c>
      <c r="K43" s="11" t="s">
        <v>21</v>
      </c>
      <c r="L43" s="6" t="s">
        <v>519</v>
      </c>
      <c r="M43" s="6" t="s">
        <v>2539</v>
      </c>
      <c r="N43" s="6" t="str">
        <f t="shared" si="2"/>
        <v>INSERT INTO attributes (parent_id, tag, name, priority, allow_as_filter, allow_for_dataset, allow_for_measurement, allow_for_users, allow_for_qc) VALUES (NULL, 'att_celllines',  'Celllines',  500,  TRUE, TRUE, TRUE, FALSE, FALSE);</v>
      </c>
      <c r="O43" s="6" t="str">
        <f t="shared" si="3"/>
        <v xml:space="preserve">INSERT INTO attribute_values (attribute_id, tag, name, details) VALUES ((SELECT id FROM attributes WHERE tag = 'att_celllines' LIMIT 1),  'att_celllines:hct15',  'HCT-15',  'Human NCI-60 cell line; Colon cancer'); </v>
      </c>
    </row>
    <row r="44" spans="1:15" x14ac:dyDescent="0.15">
      <c r="A44" s="12" t="b">
        <f>FALSE()</f>
        <v>0</v>
      </c>
      <c r="B44" s="12"/>
      <c r="C44" s="6" t="s">
        <v>534</v>
      </c>
      <c r="D44" s="6" t="s">
        <v>535</v>
      </c>
      <c r="E44" s="6" t="s">
        <v>17</v>
      </c>
      <c r="F44" s="6" t="s">
        <v>2537</v>
      </c>
      <c r="G44" s="6" t="s">
        <v>2538</v>
      </c>
      <c r="H44" s="6" t="str">
        <f t="shared" si="0"/>
        <v>att_celllines</v>
      </c>
      <c r="I44" s="6" t="s">
        <v>534</v>
      </c>
      <c r="J44" s="6" t="str">
        <f t="shared" si="1"/>
        <v>att_celllines:hek293</v>
      </c>
      <c r="K44" s="11" t="s">
        <v>21</v>
      </c>
      <c r="L44" s="6" t="s">
        <v>536</v>
      </c>
      <c r="M44" s="6" t="s">
        <v>2540</v>
      </c>
      <c r="N44" s="6" t="str">
        <f t="shared" si="2"/>
        <v>INSERT INTO attributes (parent_id, tag, name, priority, allow_as_filter, allow_for_dataset, allow_for_measurement, allow_for_users, allow_for_qc) VALUES (NULL, 'att_celllines',  'Celllines',  500,  TRUE, TRUE, TRUE, FALSE, FALSE);</v>
      </c>
      <c r="O44" s="6" t="str">
        <f t="shared" si="3"/>
        <v xml:space="preserve">INSERT INTO attribute_values (attribute_id, tag, name, details) VALUES ((SELECT id FROM attributes WHERE tag = 'att_celllines' LIMIT 1),  'att_celllines:hek293',  'HEK293',  'Human Embryonic Kidney cancer cells; epithelial'); </v>
      </c>
    </row>
    <row r="45" spans="1:15" x14ac:dyDescent="0.15">
      <c r="A45" s="12" t="b">
        <f>FALSE()</f>
        <v>0</v>
      </c>
      <c r="B45" s="12"/>
      <c r="C45" s="6" t="s">
        <v>537</v>
      </c>
      <c r="D45" s="6" t="s">
        <v>538</v>
      </c>
      <c r="E45" s="6" t="s">
        <v>17</v>
      </c>
      <c r="F45" s="6" t="s">
        <v>2537</v>
      </c>
      <c r="G45" s="6" t="s">
        <v>2538</v>
      </c>
      <c r="H45" s="6" t="str">
        <f t="shared" si="0"/>
        <v>att_celllines</v>
      </c>
      <c r="I45" s="6" t="s">
        <v>537</v>
      </c>
      <c r="J45" s="6" t="str">
        <f t="shared" si="1"/>
        <v>att_celllines:hek293t</v>
      </c>
      <c r="K45" s="11" t="s">
        <v>21</v>
      </c>
      <c r="L45" s="6" t="s">
        <v>539</v>
      </c>
      <c r="M45" s="6" t="s">
        <v>2540</v>
      </c>
      <c r="N45" s="6" t="str">
        <f t="shared" si="2"/>
        <v>INSERT INTO attributes (parent_id, tag, name, priority, allow_as_filter, allow_for_dataset, allow_for_measurement, allow_for_users, allow_for_qc) VALUES (NULL, 'att_celllines',  'Celllines',  500,  TRUE, TRUE, TRUE, FALSE, FALSE);</v>
      </c>
      <c r="O45" s="6" t="str">
        <f t="shared" si="3"/>
        <v xml:space="preserve">INSERT INTO attribute_values (attribute_id, tag, name, details) VALUES ((SELECT id FROM attributes WHERE tag = 'att_celllines' LIMIT 1),  'att_celllines:hek293t',  'HEK293T',  'Human Embryonic Kidney cancer cells; epithelial; derivates from HEK293'); </v>
      </c>
    </row>
    <row r="46" spans="1:15" x14ac:dyDescent="0.15">
      <c r="A46" s="12" t="b">
        <f>FALSE()</f>
        <v>0</v>
      </c>
      <c r="B46" s="12"/>
      <c r="C46" s="6" t="s">
        <v>540</v>
      </c>
      <c r="D46" s="6" t="s">
        <v>541</v>
      </c>
      <c r="E46" s="6" t="s">
        <v>17</v>
      </c>
      <c r="F46" s="6" t="s">
        <v>2537</v>
      </c>
      <c r="G46" s="6" t="s">
        <v>2538</v>
      </c>
      <c r="H46" s="6" t="str">
        <f t="shared" si="0"/>
        <v>att_celllines</v>
      </c>
      <c r="I46" s="6" t="s">
        <v>540</v>
      </c>
      <c r="J46" s="6" t="str">
        <f t="shared" si="1"/>
        <v>att_celllines:hela</v>
      </c>
      <c r="K46" s="11" t="s">
        <v>21</v>
      </c>
      <c r="L46" s="6" t="s">
        <v>542</v>
      </c>
      <c r="M46" s="6" t="s">
        <v>2540</v>
      </c>
      <c r="N46" s="6" t="str">
        <f t="shared" si="2"/>
        <v>INSERT INTO attributes (parent_id, tag, name, priority, allow_as_filter, allow_for_dataset, allow_for_measurement, allow_for_users, allow_for_qc) VALUES (NULL, 'att_celllines',  'Celllines',  500,  TRUE, TRUE, TRUE, FALSE, FALSE);</v>
      </c>
      <c r="O46" s="6" t="str">
        <f t="shared" si="3"/>
        <v xml:space="preserve">INSERT INTO attribute_values (attribute_id, tag, name, details) VALUES ((SELECT id FROM attributes WHERE tag = 'att_celllines' LIMIT 1),  'att_celllines:hela',  'HeLa',  'Human epithelial cell; cervical cancer; Henrietta Lacks'); </v>
      </c>
    </row>
    <row r="47" spans="1:15" x14ac:dyDescent="0.15">
      <c r="A47" s="12" t="b">
        <f>FALSE()</f>
        <v>0</v>
      </c>
      <c r="B47" s="12"/>
      <c r="C47" s="6" t="s">
        <v>543</v>
      </c>
      <c r="D47" s="6" t="s">
        <v>544</v>
      </c>
      <c r="E47" s="6" t="s">
        <v>17</v>
      </c>
      <c r="F47" s="6" t="s">
        <v>2537</v>
      </c>
      <c r="G47" s="6" t="s">
        <v>2538</v>
      </c>
      <c r="H47" s="6" t="str">
        <f t="shared" si="0"/>
        <v>att_celllines</v>
      </c>
      <c r="I47" s="6" t="s">
        <v>543</v>
      </c>
      <c r="J47" s="6" t="str">
        <f t="shared" si="1"/>
        <v>att_celllines:hl60</v>
      </c>
      <c r="K47" s="11" t="s">
        <v>21</v>
      </c>
      <c r="L47" s="6" t="s">
        <v>522</v>
      </c>
      <c r="M47" s="6" t="s">
        <v>2539</v>
      </c>
      <c r="N47" s="6" t="str">
        <f t="shared" si="2"/>
        <v>INSERT INTO attributes (parent_id, tag, name, priority, allow_as_filter, allow_for_dataset, allow_for_measurement, allow_for_users, allow_for_qc) VALUES (NULL, 'att_celllines',  'Celllines',  500,  TRUE, TRUE, TRUE, FALSE, FALSE);</v>
      </c>
      <c r="O47" s="6" t="str">
        <f t="shared" si="3"/>
        <v xml:space="preserve">INSERT INTO attribute_values (attribute_id, tag, name, details) VALUES ((SELECT id FROM attributes WHERE tag = 'att_celllines' LIMIT 1),  'att_celllines:hl60',  'HL-60',  'Human NCI-60 cell line; Leukemia'); </v>
      </c>
    </row>
    <row r="48" spans="1:15" x14ac:dyDescent="0.15">
      <c r="A48" s="12" t="b">
        <f>FALSE()</f>
        <v>0</v>
      </c>
      <c r="B48" s="12"/>
      <c r="C48" s="6" t="s">
        <v>545</v>
      </c>
      <c r="D48" s="6" t="s">
        <v>546</v>
      </c>
      <c r="E48" s="6" t="s">
        <v>17</v>
      </c>
      <c r="F48" s="6" t="s">
        <v>2537</v>
      </c>
      <c r="G48" s="6" t="s">
        <v>2538</v>
      </c>
      <c r="H48" s="6" t="str">
        <f t="shared" si="0"/>
        <v>att_celllines</v>
      </c>
      <c r="I48" s="6" t="s">
        <v>545</v>
      </c>
      <c r="J48" s="6" t="str">
        <f t="shared" si="1"/>
        <v>att_celllines:hop62</v>
      </c>
      <c r="K48" s="11" t="s">
        <v>21</v>
      </c>
      <c r="L48" s="6" t="s">
        <v>501</v>
      </c>
      <c r="M48" s="6" t="s">
        <v>2539</v>
      </c>
      <c r="N48" s="6" t="str">
        <f t="shared" si="2"/>
        <v>INSERT INTO attributes (parent_id, tag, name, priority, allow_as_filter, allow_for_dataset, allow_for_measurement, allow_for_users, allow_for_qc) VALUES (NULL, 'att_celllines',  'Celllines',  500,  TRUE, TRUE, TRUE, FALSE, FALSE);</v>
      </c>
      <c r="O48" s="6" t="str">
        <f t="shared" si="3"/>
        <v xml:space="preserve">INSERT INTO attribute_values (attribute_id, tag, name, details) VALUES ((SELECT id FROM attributes WHERE tag = 'att_celllines' LIMIT 1),  'att_celllines:hop62',  'HOP-62',  'Human NCI-60 cell line; Non-Small Cell Lung cancer'); </v>
      </c>
    </row>
    <row r="49" spans="1:15" x14ac:dyDescent="0.15">
      <c r="A49" s="12" t="b">
        <f>FALSE()</f>
        <v>0</v>
      </c>
      <c r="B49" s="12"/>
      <c r="C49" s="6" t="s">
        <v>547</v>
      </c>
      <c r="D49" s="6" t="s">
        <v>548</v>
      </c>
      <c r="E49" s="6" t="s">
        <v>17</v>
      </c>
      <c r="F49" s="6" t="s">
        <v>2537</v>
      </c>
      <c r="G49" s="6" t="s">
        <v>2538</v>
      </c>
      <c r="H49" s="6" t="str">
        <f t="shared" si="0"/>
        <v>att_celllines</v>
      </c>
      <c r="I49" s="6" t="s">
        <v>547</v>
      </c>
      <c r="J49" s="6" t="str">
        <f t="shared" si="1"/>
        <v>att_celllines:hop92</v>
      </c>
      <c r="K49" s="11" t="s">
        <v>21</v>
      </c>
      <c r="L49" s="6" t="s">
        <v>501</v>
      </c>
      <c r="M49" s="6" t="s">
        <v>2539</v>
      </c>
      <c r="N49" s="6" t="str">
        <f t="shared" si="2"/>
        <v>INSERT INTO attributes (parent_id, tag, name, priority, allow_as_filter, allow_for_dataset, allow_for_measurement, allow_for_users, allow_for_qc) VALUES (NULL, 'att_celllines',  'Celllines',  500,  TRUE, TRUE, TRUE, FALSE, FALSE);</v>
      </c>
      <c r="O49" s="6" t="str">
        <f t="shared" si="3"/>
        <v xml:space="preserve">INSERT INTO attribute_values (attribute_id, tag, name, details) VALUES ((SELECT id FROM attributes WHERE tag = 'att_celllines' LIMIT 1),  'att_celllines:hop92',  'HOP-92',  'Human NCI-60 cell line; Non-Small Cell Lung cancer'); </v>
      </c>
    </row>
    <row r="50" spans="1:15" x14ac:dyDescent="0.15">
      <c r="A50" s="12" t="b">
        <f>FALSE()</f>
        <v>0</v>
      </c>
      <c r="B50" s="12"/>
      <c r="C50" s="6" t="s">
        <v>549</v>
      </c>
      <c r="D50" s="6" t="s">
        <v>550</v>
      </c>
      <c r="E50" s="6" t="s">
        <v>17</v>
      </c>
      <c r="F50" s="6" t="s">
        <v>2537</v>
      </c>
      <c r="G50" s="6" t="s">
        <v>2538</v>
      </c>
      <c r="H50" s="6" t="str">
        <f t="shared" si="0"/>
        <v>att_celllines</v>
      </c>
      <c r="I50" s="6" t="s">
        <v>549</v>
      </c>
      <c r="J50" s="6" t="str">
        <f t="shared" si="1"/>
        <v>att_celllines:hs578t</v>
      </c>
      <c r="K50" s="11" t="s">
        <v>21</v>
      </c>
      <c r="L50" s="6" t="s">
        <v>511</v>
      </c>
      <c r="M50" s="6" t="s">
        <v>2539</v>
      </c>
      <c r="N50" s="6" t="str">
        <f t="shared" si="2"/>
        <v>INSERT INTO attributes (parent_id, tag, name, priority, allow_as_filter, allow_for_dataset, allow_for_measurement, allow_for_users, allow_for_qc) VALUES (NULL, 'att_celllines',  'Celllines',  500,  TRUE, TRUE, TRUE, FALSE, FALSE);</v>
      </c>
      <c r="O50" s="6" t="str">
        <f t="shared" si="3"/>
        <v xml:space="preserve">INSERT INTO attribute_values (attribute_id, tag, name, details) VALUES ((SELECT id FROM attributes WHERE tag = 'att_celllines' LIMIT 1),  'att_celllines:hs578t',  'HS 578T',  'Human NCI-60 cell line; Breast Cancer'); </v>
      </c>
    </row>
    <row r="51" spans="1:15" x14ac:dyDescent="0.15">
      <c r="A51" s="12" t="b">
        <f>FALSE()</f>
        <v>0</v>
      </c>
      <c r="B51" s="12"/>
      <c r="C51" s="6" t="s">
        <v>551</v>
      </c>
      <c r="D51" s="6" t="s">
        <v>552</v>
      </c>
      <c r="E51" s="6" t="s">
        <v>17</v>
      </c>
      <c r="F51" s="6" t="s">
        <v>2537</v>
      </c>
      <c r="G51" s="6" t="s">
        <v>2538</v>
      </c>
      <c r="H51" s="6" t="str">
        <f t="shared" si="0"/>
        <v>att_celllines</v>
      </c>
      <c r="I51" s="6" t="s">
        <v>551</v>
      </c>
      <c r="J51" s="6" t="str">
        <f t="shared" si="1"/>
        <v>att_celllines:ht29</v>
      </c>
      <c r="K51" s="11" t="s">
        <v>21</v>
      </c>
      <c r="L51" s="6" t="s">
        <v>519</v>
      </c>
      <c r="M51" s="6" t="s">
        <v>2539</v>
      </c>
      <c r="N51" s="6" t="str">
        <f t="shared" si="2"/>
        <v>INSERT INTO attributes (parent_id, tag, name, priority, allow_as_filter, allow_for_dataset, allow_for_measurement, allow_for_users, allow_for_qc) VALUES (NULL, 'att_celllines',  'Celllines',  500,  TRUE, TRUE, TRUE, FALSE, FALSE);</v>
      </c>
      <c r="O51" s="6" t="str">
        <f t="shared" si="3"/>
        <v xml:space="preserve">INSERT INTO attribute_values (attribute_id, tag, name, details) VALUES ((SELECT id FROM attributes WHERE tag = 'att_celllines' LIMIT 1),  'att_celllines:ht29',  'HT29',  'Human NCI-60 cell line; Colon cancer'); </v>
      </c>
    </row>
    <row r="52" spans="1:15" x14ac:dyDescent="0.15">
      <c r="A52" s="12" t="b">
        <f>FALSE()</f>
        <v>0</v>
      </c>
      <c r="B52" s="12"/>
      <c r="C52" s="6" t="s">
        <v>553</v>
      </c>
      <c r="D52" s="6" t="s">
        <v>554</v>
      </c>
      <c r="E52" s="6" t="s">
        <v>17</v>
      </c>
      <c r="F52" s="6" t="s">
        <v>2537</v>
      </c>
      <c r="G52" s="6" t="s">
        <v>2538</v>
      </c>
      <c r="H52" s="6" t="str">
        <f t="shared" si="0"/>
        <v>att_celllines</v>
      </c>
      <c r="I52" s="6" t="s">
        <v>553</v>
      </c>
      <c r="J52" s="6" t="str">
        <f t="shared" si="1"/>
        <v>att_celllines:igrov1</v>
      </c>
      <c r="K52" s="11" t="s">
        <v>21</v>
      </c>
      <c r="L52" s="6" t="s">
        <v>555</v>
      </c>
      <c r="M52" s="6" t="s">
        <v>2539</v>
      </c>
      <c r="N52" s="6" t="str">
        <f t="shared" si="2"/>
        <v>INSERT INTO attributes (parent_id, tag, name, priority, allow_as_filter, allow_for_dataset, allow_for_measurement, allow_for_users, allow_for_qc) VALUES (NULL, 'att_celllines',  'Celllines',  500,  TRUE, TRUE, TRUE, FALSE, FALSE);</v>
      </c>
      <c r="O52" s="6" t="str">
        <f t="shared" si="3"/>
        <v xml:space="preserve">INSERT INTO attribute_values (attribute_id, tag, name, details) VALUES ((SELECT id FROM attributes WHERE tag = 'att_celllines' LIMIT 1),  'att_celllines:igrov1',  'IGR-OV1',  'Human NCI-60 cell line; Ovarian Cancer'); </v>
      </c>
    </row>
    <row r="53" spans="1:15" x14ac:dyDescent="0.15">
      <c r="A53" s="12" t="b">
        <f>FALSE()</f>
        <v>0</v>
      </c>
      <c r="B53" s="12"/>
      <c r="C53" s="6" t="s">
        <v>559</v>
      </c>
      <c r="D53" s="6" t="s">
        <v>560</v>
      </c>
      <c r="E53" s="6" t="s">
        <v>17</v>
      </c>
      <c r="F53" s="6" t="s">
        <v>2537</v>
      </c>
      <c r="G53" s="6" t="s">
        <v>2538</v>
      </c>
      <c r="H53" s="6" t="str">
        <f t="shared" si="0"/>
        <v>att_celllines</v>
      </c>
      <c r="I53" s="6" t="s">
        <v>559</v>
      </c>
      <c r="J53" s="6" t="str">
        <f t="shared" si="1"/>
        <v>att_celllines:jeko1</v>
      </c>
      <c r="K53" s="11" t="s">
        <v>21</v>
      </c>
      <c r="L53" s="6" t="s">
        <v>561</v>
      </c>
      <c r="M53" s="6" t="s">
        <v>17</v>
      </c>
      <c r="N53" s="6" t="str">
        <f t="shared" si="2"/>
        <v>INSERT INTO attributes (parent_id, tag, name, priority, allow_as_filter, allow_for_dataset, allow_for_measurement, allow_for_users, allow_for_qc) VALUES (NULL, 'att_celllines',  'Celllines',  500,  TRUE, TRUE, TRUE, FALSE, FALSE);</v>
      </c>
      <c r="O53" s="6" t="str">
        <f t="shared" si="3"/>
        <v xml:space="preserve">INSERT INTO attribute_values (attribute_id, tag, name, details) VALUES ((SELECT id FROM attributes WHERE tag = 'att_celllines' LIMIT 1),  'att_celllines:jeko1',  'JeKo-1',  'Human Mantle cell lymphoma'); </v>
      </c>
    </row>
    <row r="54" spans="1:15" x14ac:dyDescent="0.15">
      <c r="A54" s="12" t="b">
        <f>FALSE()</f>
        <v>0</v>
      </c>
      <c r="B54" s="12"/>
      <c r="C54" s="6" t="s">
        <v>562</v>
      </c>
      <c r="D54" s="6" t="s">
        <v>563</v>
      </c>
      <c r="E54" s="6" t="s">
        <v>17</v>
      </c>
      <c r="F54" s="6" t="s">
        <v>2537</v>
      </c>
      <c r="G54" s="6" t="s">
        <v>2538</v>
      </c>
      <c r="H54" s="6" t="str">
        <f t="shared" si="0"/>
        <v>att_celllines</v>
      </c>
      <c r="I54" s="6" t="s">
        <v>562</v>
      </c>
      <c r="J54" s="6" t="str">
        <f t="shared" si="1"/>
        <v>att_celllines:jurkat</v>
      </c>
      <c r="K54" s="11" t="s">
        <v>21</v>
      </c>
      <c r="L54" s="6" t="s">
        <v>564</v>
      </c>
      <c r="M54" s="6" t="s">
        <v>17</v>
      </c>
      <c r="N54" s="6" t="str">
        <f t="shared" si="2"/>
        <v>INSERT INTO attributes (parent_id, tag, name, priority, allow_as_filter, allow_for_dataset, allow_for_measurement, allow_for_users, allow_for_qc) VALUES (NULL, 'att_celllines',  'Celllines',  500,  TRUE, TRUE, TRUE, FALSE, FALSE);</v>
      </c>
      <c r="O54" s="6" t="str">
        <f t="shared" si="3"/>
        <v xml:space="preserve">INSERT INTO attribute_values (attribute_id, tag, name, details) VALUES ((SELECT id FROM attributes WHERE tag = 'att_celllines' LIMIT 1),  'att_celllines:jurkat',  'JURKAT',  'Acute T cell leukemia; human T lymphocytes'); </v>
      </c>
    </row>
    <row r="55" spans="1:15" x14ac:dyDescent="0.15">
      <c r="A55" s="12" t="b">
        <f>FALSE()</f>
        <v>0</v>
      </c>
      <c r="B55" s="12"/>
      <c r="C55" s="6" t="s">
        <v>565</v>
      </c>
      <c r="D55" s="6" t="s">
        <v>566</v>
      </c>
      <c r="E55" s="6" t="s">
        <v>17</v>
      </c>
      <c r="F55" s="6" t="s">
        <v>2537</v>
      </c>
      <c r="G55" s="6" t="s">
        <v>2538</v>
      </c>
      <c r="H55" s="6" t="str">
        <f t="shared" si="0"/>
        <v>att_celllines</v>
      </c>
      <c r="I55" s="6" t="s">
        <v>565</v>
      </c>
      <c r="J55" s="6" t="str">
        <f t="shared" si="1"/>
        <v>att_celllines:jvm13</v>
      </c>
      <c r="K55" s="11" t="s">
        <v>21</v>
      </c>
      <c r="L55" s="6" t="s">
        <v>561</v>
      </c>
      <c r="M55" s="6" t="s">
        <v>17</v>
      </c>
      <c r="N55" s="6" t="str">
        <f t="shared" si="2"/>
        <v>INSERT INTO attributes (parent_id, tag, name, priority, allow_as_filter, allow_for_dataset, allow_for_measurement, allow_for_users, allow_for_qc) VALUES (NULL, 'att_celllines',  'Celllines',  500,  TRUE, TRUE, TRUE, FALSE, FALSE);</v>
      </c>
      <c r="O55" s="6" t="str">
        <f t="shared" si="3"/>
        <v xml:space="preserve">INSERT INTO attribute_values (attribute_id, tag, name, details) VALUES ((SELECT id FROM attributes WHERE tag = 'att_celllines' LIMIT 1),  'att_celllines:jvm13',  'JVM-13',  'Human Mantle cell lymphoma'); </v>
      </c>
    </row>
    <row r="56" spans="1:15" x14ac:dyDescent="0.15">
      <c r="A56" s="12" t="b">
        <f>FALSE()</f>
        <v>0</v>
      </c>
      <c r="B56" s="12"/>
      <c r="C56" s="6" t="s">
        <v>567</v>
      </c>
      <c r="D56" s="6" t="s">
        <v>568</v>
      </c>
      <c r="E56" s="6" t="s">
        <v>17</v>
      </c>
      <c r="F56" s="6" t="s">
        <v>2537</v>
      </c>
      <c r="G56" s="6" t="s">
        <v>2538</v>
      </c>
      <c r="H56" s="6" t="str">
        <f t="shared" si="0"/>
        <v>att_celllines</v>
      </c>
      <c r="I56" s="6" t="s">
        <v>567</v>
      </c>
      <c r="J56" s="6" t="str">
        <f t="shared" si="1"/>
        <v>att_celllines:jvm2</v>
      </c>
      <c r="K56" s="11" t="s">
        <v>21</v>
      </c>
      <c r="L56" s="6" t="s">
        <v>561</v>
      </c>
      <c r="M56" s="6" t="s">
        <v>17</v>
      </c>
      <c r="N56" s="6" t="str">
        <f t="shared" si="2"/>
        <v>INSERT INTO attributes (parent_id, tag, name, priority, allow_as_filter, allow_for_dataset, allow_for_measurement, allow_for_users, allow_for_qc) VALUES (NULL, 'att_celllines',  'Celllines',  500,  TRUE, TRUE, TRUE, FALSE, FALSE);</v>
      </c>
      <c r="O56" s="6" t="str">
        <f t="shared" si="3"/>
        <v xml:space="preserve">INSERT INTO attribute_values (attribute_id, tag, name, details) VALUES ((SELECT id FROM attributes WHERE tag = 'att_celllines' LIMIT 1),  'att_celllines:jvm2',  'JVM-2',  'Human Mantle cell lymphoma'); </v>
      </c>
    </row>
    <row r="57" spans="1:15" x14ac:dyDescent="0.15">
      <c r="A57" s="12" t="b">
        <f>FALSE()</f>
        <v>0</v>
      </c>
      <c r="B57" s="12"/>
      <c r="C57" s="6" t="s">
        <v>569</v>
      </c>
      <c r="D57" s="6" t="s">
        <v>570</v>
      </c>
      <c r="E57" s="6" t="s">
        <v>17</v>
      </c>
      <c r="F57" s="6" t="s">
        <v>2537</v>
      </c>
      <c r="G57" s="6" t="s">
        <v>2538</v>
      </c>
      <c r="H57" s="6" t="str">
        <f t="shared" si="0"/>
        <v>att_celllines</v>
      </c>
      <c r="I57" s="6" t="s">
        <v>569</v>
      </c>
      <c r="J57" s="6" t="str">
        <f t="shared" si="1"/>
        <v>att_celllines:k562</v>
      </c>
      <c r="K57" s="11" t="s">
        <v>21</v>
      </c>
      <c r="L57" s="6" t="s">
        <v>522</v>
      </c>
      <c r="M57" s="6" t="s">
        <v>2539</v>
      </c>
      <c r="N57" s="6" t="str">
        <f t="shared" si="2"/>
        <v>INSERT INTO attributes (parent_id, tag, name, priority, allow_as_filter, allow_for_dataset, allow_for_measurement, allow_for_users, allow_for_qc) VALUES (NULL, 'att_celllines',  'Celllines',  500,  TRUE, TRUE, TRUE, FALSE, FALSE);</v>
      </c>
      <c r="O57" s="6" t="str">
        <f t="shared" si="3"/>
        <v xml:space="preserve">INSERT INTO attribute_values (attribute_id, tag, name, details) VALUES ((SELECT id FROM attributes WHERE tag = 'att_celllines' LIMIT 1),  'att_celllines:k562',  'K-562',  'Human NCI-60 cell line; Leukemia'); </v>
      </c>
    </row>
    <row r="58" spans="1:15" x14ac:dyDescent="0.15">
      <c r="A58" s="12" t="b">
        <f>FALSE()</f>
        <v>0</v>
      </c>
      <c r="B58" s="12"/>
      <c r="C58" s="6" t="s">
        <v>571</v>
      </c>
      <c r="D58" s="6" t="s">
        <v>572</v>
      </c>
      <c r="E58" s="6" t="s">
        <v>17</v>
      </c>
      <c r="F58" s="6" t="s">
        <v>2537</v>
      </c>
      <c r="G58" s="6" t="s">
        <v>2538</v>
      </c>
      <c r="H58" s="6" t="str">
        <f t="shared" si="0"/>
        <v>att_celllines</v>
      </c>
      <c r="I58" s="6" t="s">
        <v>571</v>
      </c>
      <c r="J58" s="6" t="str">
        <f t="shared" si="1"/>
        <v>att_celllines:km12</v>
      </c>
      <c r="K58" s="11" t="s">
        <v>21</v>
      </c>
      <c r="L58" s="6" t="s">
        <v>519</v>
      </c>
      <c r="M58" s="6" t="s">
        <v>2539</v>
      </c>
      <c r="N58" s="6" t="str">
        <f t="shared" si="2"/>
        <v>INSERT INTO attributes (parent_id, tag, name, priority, allow_as_filter, allow_for_dataset, allow_for_measurement, allow_for_users, allow_for_qc) VALUES (NULL, 'att_celllines',  'Celllines',  500,  TRUE, TRUE, TRUE, FALSE, FALSE);</v>
      </c>
      <c r="O58" s="6" t="str">
        <f t="shared" si="3"/>
        <v xml:space="preserve">INSERT INTO attribute_values (attribute_id, tag, name, details) VALUES ((SELECT id FROM attributes WHERE tag = 'att_celllines' LIMIT 1),  'att_celllines:km12',  'KM12',  'Human NCI-60 cell line; Colon cancer'); </v>
      </c>
    </row>
    <row r="59" spans="1:15" x14ac:dyDescent="0.15">
      <c r="A59" s="12" t="b">
        <f>FALSE()</f>
        <v>0</v>
      </c>
      <c r="B59" s="12"/>
      <c r="C59" s="6" t="s">
        <v>573</v>
      </c>
      <c r="D59" s="6" t="s">
        <v>574</v>
      </c>
      <c r="E59" s="6" t="s">
        <v>17</v>
      </c>
      <c r="F59" s="6" t="s">
        <v>2537</v>
      </c>
      <c r="G59" s="6" t="s">
        <v>2538</v>
      </c>
      <c r="H59" s="6" t="str">
        <f t="shared" si="0"/>
        <v>att_celllines</v>
      </c>
      <c r="I59" s="6" t="s">
        <v>573</v>
      </c>
      <c r="J59" s="6" t="str">
        <f t="shared" si="1"/>
        <v>att_celllines:lox_imvi</v>
      </c>
      <c r="K59" s="11" t="s">
        <v>21</v>
      </c>
      <c r="L59" s="6" t="s">
        <v>575</v>
      </c>
      <c r="M59" s="6" t="s">
        <v>2539</v>
      </c>
      <c r="N59" s="6" t="str">
        <f t="shared" si="2"/>
        <v>INSERT INTO attributes (parent_id, tag, name, priority, allow_as_filter, allow_for_dataset, allow_for_measurement, allow_for_users, allow_for_qc) VALUES (NULL, 'att_celllines',  'Celllines',  500,  TRUE, TRUE, TRUE, FALSE, FALSE);</v>
      </c>
      <c r="O59" s="6" t="str">
        <f t="shared" si="3"/>
        <v xml:space="preserve">INSERT INTO attribute_values (attribute_id, tag, name, details) VALUES ((SELECT id FROM attributes WHERE tag = 'att_celllines' LIMIT 1),  'att_celllines:lox_imvi',  'LOX IMVI',  'Human NCI-60 cell line; Melanoma'); </v>
      </c>
    </row>
    <row r="60" spans="1:15" x14ac:dyDescent="0.15">
      <c r="A60" s="12" t="b">
        <f>FALSE()</f>
        <v>0</v>
      </c>
      <c r="B60" s="12"/>
      <c r="C60" s="6" t="s">
        <v>576</v>
      </c>
      <c r="D60" s="6" t="s">
        <v>577</v>
      </c>
      <c r="E60" s="6" t="s">
        <v>17</v>
      </c>
      <c r="F60" s="6" t="s">
        <v>2537</v>
      </c>
      <c r="G60" s="6" t="s">
        <v>2538</v>
      </c>
      <c r="H60" s="6" t="str">
        <f t="shared" si="0"/>
        <v>att_celllines</v>
      </c>
      <c r="I60" s="6" t="s">
        <v>576</v>
      </c>
      <c r="J60" s="6" t="str">
        <f t="shared" si="1"/>
        <v>att_celllines:m14</v>
      </c>
      <c r="K60" s="11" t="s">
        <v>21</v>
      </c>
      <c r="L60" s="6" t="s">
        <v>575</v>
      </c>
      <c r="M60" s="6" t="s">
        <v>2539</v>
      </c>
      <c r="N60" s="6" t="str">
        <f t="shared" si="2"/>
        <v>INSERT INTO attributes (parent_id, tag, name, priority, allow_as_filter, allow_for_dataset, allow_for_measurement, allow_for_users, allow_for_qc) VALUES (NULL, 'att_celllines',  'Celllines',  500,  TRUE, TRUE, TRUE, FALSE, FALSE);</v>
      </c>
      <c r="O60" s="6" t="str">
        <f t="shared" si="3"/>
        <v xml:space="preserve">INSERT INTO attribute_values (attribute_id, tag, name, details) VALUES ((SELECT id FROM attributes WHERE tag = 'att_celllines' LIMIT 1),  'att_celllines:m14',  'M14',  'Human NCI-60 cell line; Melanoma'); </v>
      </c>
    </row>
    <row r="61" spans="1:15" x14ac:dyDescent="0.15">
      <c r="A61" s="12" t="b">
        <f>FALSE()</f>
        <v>0</v>
      </c>
      <c r="B61" s="12"/>
      <c r="C61" s="6" t="s">
        <v>578</v>
      </c>
      <c r="D61" s="6" t="s">
        <v>579</v>
      </c>
      <c r="E61" s="6" t="s">
        <v>17</v>
      </c>
      <c r="F61" s="6" t="s">
        <v>2537</v>
      </c>
      <c r="G61" s="6" t="s">
        <v>2538</v>
      </c>
      <c r="H61" s="6" t="str">
        <f t="shared" si="0"/>
        <v>att_celllines</v>
      </c>
      <c r="I61" s="6" t="s">
        <v>578</v>
      </c>
      <c r="J61" s="6" t="str">
        <f t="shared" si="1"/>
        <v>att_celllines:malme3m</v>
      </c>
      <c r="K61" s="11" t="s">
        <v>21</v>
      </c>
      <c r="L61" s="6" t="s">
        <v>575</v>
      </c>
      <c r="M61" s="6" t="s">
        <v>2539</v>
      </c>
      <c r="N61" s="6" t="str">
        <f t="shared" si="2"/>
        <v>INSERT INTO attributes (parent_id, tag, name, priority, allow_as_filter, allow_for_dataset, allow_for_measurement, allow_for_users, allow_for_qc) VALUES (NULL, 'att_celllines',  'Celllines',  500,  TRUE, TRUE, TRUE, FALSE, FALSE);</v>
      </c>
      <c r="O61" s="6" t="str">
        <f t="shared" si="3"/>
        <v xml:space="preserve">INSERT INTO attribute_values (attribute_id, tag, name, details) VALUES ((SELECT id FROM attributes WHERE tag = 'att_celllines' LIMIT 1),  'att_celllines:malme3m',  'MALME-3M',  'Human NCI-60 cell line; Melanoma'); </v>
      </c>
    </row>
    <row r="62" spans="1:15" x14ac:dyDescent="0.15">
      <c r="A62" s="12" t="b">
        <f>FALSE()</f>
        <v>0</v>
      </c>
      <c r="B62" s="12"/>
      <c r="C62" s="6" t="s">
        <v>580</v>
      </c>
      <c r="D62" s="6" t="s">
        <v>581</v>
      </c>
      <c r="E62" s="6" t="s">
        <v>17</v>
      </c>
      <c r="F62" s="6" t="s">
        <v>2537</v>
      </c>
      <c r="G62" s="6" t="s">
        <v>2538</v>
      </c>
      <c r="H62" s="6" t="str">
        <f t="shared" si="0"/>
        <v>att_celllines</v>
      </c>
      <c r="I62" s="6" t="s">
        <v>580</v>
      </c>
      <c r="J62" s="6" t="str">
        <f t="shared" si="1"/>
        <v>att_celllines:maver1</v>
      </c>
      <c r="K62" s="11" t="s">
        <v>21</v>
      </c>
      <c r="L62" s="6" t="s">
        <v>561</v>
      </c>
      <c r="M62" s="6" t="s">
        <v>17</v>
      </c>
      <c r="N62" s="6" t="str">
        <f t="shared" si="2"/>
        <v>INSERT INTO attributes (parent_id, tag, name, priority, allow_as_filter, allow_for_dataset, allow_for_measurement, allow_for_users, allow_for_qc) VALUES (NULL, 'att_celllines',  'Celllines',  500,  TRUE, TRUE, TRUE, FALSE, FALSE);</v>
      </c>
      <c r="O62" s="6" t="str">
        <f t="shared" si="3"/>
        <v xml:space="preserve">INSERT INTO attribute_values (attribute_id, tag, name, details) VALUES ((SELECT id FROM attributes WHERE tag = 'att_celllines' LIMIT 1),  'att_celllines:maver1',  'MAVER-1',  'Human Mantle cell lymphoma'); </v>
      </c>
    </row>
    <row r="63" spans="1:15" x14ac:dyDescent="0.15">
      <c r="A63" s="12" t="b">
        <f>FALSE()</f>
        <v>0</v>
      </c>
      <c r="B63" s="12"/>
      <c r="C63" s="6" t="s">
        <v>582</v>
      </c>
      <c r="D63" s="6" t="s">
        <v>583</v>
      </c>
      <c r="E63" s="6" t="s">
        <v>17</v>
      </c>
      <c r="F63" s="6" t="s">
        <v>2537</v>
      </c>
      <c r="G63" s="6" t="s">
        <v>2538</v>
      </c>
      <c r="H63" s="6" t="str">
        <f t="shared" si="0"/>
        <v>att_celllines</v>
      </c>
      <c r="I63" s="6" t="s">
        <v>582</v>
      </c>
      <c r="J63" s="6" t="str">
        <f t="shared" si="1"/>
        <v>att_celllines:mcf7</v>
      </c>
      <c r="K63" s="11" t="s">
        <v>21</v>
      </c>
      <c r="L63" s="6" t="s">
        <v>511</v>
      </c>
      <c r="M63" s="6" t="s">
        <v>2539</v>
      </c>
      <c r="N63" s="6" t="str">
        <f t="shared" si="2"/>
        <v>INSERT INTO attributes (parent_id, tag, name, priority, allow_as_filter, allow_for_dataset, allow_for_measurement, allow_for_users, allow_for_qc) VALUES (NULL, 'att_celllines',  'Celllines',  500,  TRUE, TRUE, TRUE, FALSE, FALSE);</v>
      </c>
      <c r="O63" s="6" t="str">
        <f t="shared" si="3"/>
        <v xml:space="preserve">INSERT INTO attribute_values (attribute_id, tag, name, details) VALUES ((SELECT id FROM attributes WHERE tag = 'att_celllines' LIMIT 1),  'att_celllines:mcf7',  'MCF7',  'Human NCI-60 cell line; Breast Cancer'); </v>
      </c>
    </row>
    <row r="64" spans="1:15" x14ac:dyDescent="0.15">
      <c r="A64" s="12" t="b">
        <f>FALSE()</f>
        <v>0</v>
      </c>
      <c r="B64" s="12"/>
      <c r="C64" s="6" t="s">
        <v>584</v>
      </c>
      <c r="D64" s="6" t="s">
        <v>585</v>
      </c>
      <c r="E64" s="6" t="s">
        <v>17</v>
      </c>
      <c r="F64" s="6" t="s">
        <v>2537</v>
      </c>
      <c r="G64" s="6" t="s">
        <v>2538</v>
      </c>
      <c r="H64" s="6" t="str">
        <f t="shared" si="0"/>
        <v>att_celllines</v>
      </c>
      <c r="I64" s="6" t="s">
        <v>584</v>
      </c>
      <c r="J64" s="6" t="str">
        <f t="shared" si="1"/>
        <v>att_celllines:mdamb231</v>
      </c>
      <c r="K64" s="11" t="s">
        <v>21</v>
      </c>
      <c r="L64" s="6" t="s">
        <v>511</v>
      </c>
      <c r="M64" s="6" t="s">
        <v>2539</v>
      </c>
      <c r="N64" s="6" t="str">
        <f t="shared" si="2"/>
        <v>INSERT INTO attributes (parent_id, tag, name, priority, allow_as_filter, allow_for_dataset, allow_for_measurement, allow_for_users, allow_for_qc) VALUES (NULL, 'att_celllines',  'Celllines',  500,  TRUE, TRUE, TRUE, FALSE, FALSE);</v>
      </c>
      <c r="O64" s="6" t="str">
        <f t="shared" si="3"/>
        <v xml:space="preserve">INSERT INTO attribute_values (attribute_id, tag, name, details) VALUES ((SELECT id FROM attributes WHERE tag = 'att_celllines' LIMIT 1),  'att_celllines:mdamb231',  'MDA-MB-231',  'Human NCI-60 cell line; Breast Cancer'); </v>
      </c>
    </row>
    <row r="65" spans="1:15" x14ac:dyDescent="0.15">
      <c r="A65" s="12" t="b">
        <f>FALSE()</f>
        <v>0</v>
      </c>
      <c r="B65" s="12"/>
      <c r="C65" s="6" t="s">
        <v>586</v>
      </c>
      <c r="D65" s="6" t="s">
        <v>587</v>
      </c>
      <c r="E65" s="6" t="s">
        <v>17</v>
      </c>
      <c r="F65" s="6" t="s">
        <v>2537</v>
      </c>
      <c r="G65" s="6" t="s">
        <v>2538</v>
      </c>
      <c r="H65" s="6" t="str">
        <f t="shared" si="0"/>
        <v>att_celllines</v>
      </c>
      <c r="I65" s="6" t="s">
        <v>586</v>
      </c>
      <c r="J65" s="6" t="str">
        <f t="shared" si="1"/>
        <v>att_celllines:mdamb435</v>
      </c>
      <c r="K65" s="11" t="s">
        <v>21</v>
      </c>
      <c r="L65" s="6" t="s">
        <v>575</v>
      </c>
      <c r="M65" s="6" t="s">
        <v>2539</v>
      </c>
      <c r="N65" s="6" t="str">
        <f t="shared" si="2"/>
        <v>INSERT INTO attributes (parent_id, tag, name, priority, allow_as_filter, allow_for_dataset, allow_for_measurement, allow_for_users, allow_for_qc) VALUES (NULL, 'att_celllines',  'Celllines',  500,  TRUE, TRUE, TRUE, FALSE, FALSE);</v>
      </c>
      <c r="O65" s="6" t="str">
        <f t="shared" si="3"/>
        <v xml:space="preserve">INSERT INTO attribute_values (attribute_id, tag, name, details) VALUES ((SELECT id FROM attributes WHERE tag = 'att_celllines' LIMIT 1),  'att_celllines:mdamb435',  'MDA-MB-435',  'Human NCI-60 cell line; Melanoma'); </v>
      </c>
    </row>
    <row r="66" spans="1:15" x14ac:dyDescent="0.15">
      <c r="A66" s="12" t="b">
        <f>FALSE()</f>
        <v>0</v>
      </c>
      <c r="B66" s="12"/>
      <c r="C66" s="6" t="s">
        <v>588</v>
      </c>
      <c r="D66" s="6" t="s">
        <v>589</v>
      </c>
      <c r="E66" s="6" t="s">
        <v>17</v>
      </c>
      <c r="F66" s="6" t="s">
        <v>2537</v>
      </c>
      <c r="G66" s="6" t="s">
        <v>2538</v>
      </c>
      <c r="H66" s="6" t="str">
        <f t="shared" ref="H66:H129" si="4">"att_"&amp;G66</f>
        <v>att_celllines</v>
      </c>
      <c r="I66" s="6" t="s">
        <v>588</v>
      </c>
      <c r="J66" s="6" t="str">
        <f t="shared" ref="J66:J129" si="5">H66&amp;":"&amp;I66</f>
        <v>att_celllines:mdamb468</v>
      </c>
      <c r="K66" s="11" t="s">
        <v>21</v>
      </c>
      <c r="L66" s="6" t="s">
        <v>511</v>
      </c>
      <c r="M66" s="6" t="s">
        <v>2539</v>
      </c>
      <c r="N66" s="6" t="str">
        <f t="shared" ref="N66:N129" si="6">"INSERT INTO attributes (parent_id, tag, name, priority, allow_as_filter, allow_for_dataset, allow_for_measurement, allow_for_users, allow_for_qc) VALUES (NULL, '"&amp;H66&amp;"',  '"&amp;F66&amp;"',  500,  TRUE, TRUE, TRUE, FALSE, FALSE);"</f>
        <v>INSERT INTO attributes (parent_id, tag, name, priority, allow_as_filter, allow_for_dataset, allow_for_measurement, allow_for_users, allow_for_qc) VALUES (NULL, 'att_celllines',  'Celllines',  500,  TRUE, TRUE, TRUE, FALSE, FALSE);</v>
      </c>
      <c r="O66" s="6" t="str">
        <f t="shared" ref="O66:O129" si="7">"INSERT INTO attribute_values (attribute_id, tag, name, details) VALUES ((SELECT id FROM attributes WHERE tag = '"&amp;H66&amp;"' LIMIT 1),  '"&amp;J66&amp;"',  '"&amp;D66&amp;"',  '"&amp;L66&amp;"'); "</f>
        <v xml:space="preserve">INSERT INTO attribute_values (attribute_id, tag, name, details) VALUES ((SELECT id FROM attributes WHERE tag = 'att_celllines' LIMIT 1),  'att_celllines:mdamb468',  'MDA-MB-468',  'Human NCI-60 cell line; Breast Cancer'); </v>
      </c>
    </row>
    <row r="67" spans="1:15" x14ac:dyDescent="0.15">
      <c r="A67" s="12" t="b">
        <f>FALSE()</f>
        <v>0</v>
      </c>
      <c r="B67" s="12"/>
      <c r="C67" s="6" t="s">
        <v>593</v>
      </c>
      <c r="D67" s="6" t="s">
        <v>594</v>
      </c>
      <c r="E67" s="6" t="s">
        <v>17</v>
      </c>
      <c r="F67" s="6" t="s">
        <v>2537</v>
      </c>
      <c r="G67" s="6" t="s">
        <v>2538</v>
      </c>
      <c r="H67" s="6" t="str">
        <f t="shared" si="4"/>
        <v>att_celllines</v>
      </c>
      <c r="I67" s="6" t="s">
        <v>593</v>
      </c>
      <c r="J67" s="6" t="str">
        <f t="shared" si="5"/>
        <v>att_celllines:mino</v>
      </c>
      <c r="K67" s="11" t="s">
        <v>21</v>
      </c>
      <c r="L67" s="6" t="s">
        <v>561</v>
      </c>
      <c r="M67" s="6" t="s">
        <v>17</v>
      </c>
      <c r="N67" s="6" t="str">
        <f t="shared" si="6"/>
        <v>INSERT INTO attributes (parent_id, tag, name, priority, allow_as_filter, allow_for_dataset, allow_for_measurement, allow_for_users, allow_for_qc) VALUES (NULL, 'att_celllines',  'Celllines',  500,  TRUE, TRUE, TRUE, FALSE, FALSE);</v>
      </c>
      <c r="O67" s="6" t="str">
        <f t="shared" si="7"/>
        <v xml:space="preserve">INSERT INTO attribute_values (attribute_id, tag, name, details) VALUES ((SELECT id FROM attributes WHERE tag = 'att_celllines' LIMIT 1),  'att_celllines:mino',  'Mino',  'Human Mantle cell lymphoma'); </v>
      </c>
    </row>
    <row r="68" spans="1:15" x14ac:dyDescent="0.15">
      <c r="A68" s="12" t="b">
        <f>FALSE()</f>
        <v>0</v>
      </c>
      <c r="B68" s="12"/>
      <c r="C68" s="6" t="s">
        <v>595</v>
      </c>
      <c r="D68" s="6" t="s">
        <v>596</v>
      </c>
      <c r="E68" s="6" t="s">
        <v>17</v>
      </c>
      <c r="F68" s="6" t="s">
        <v>2537</v>
      </c>
      <c r="G68" s="6" t="s">
        <v>2538</v>
      </c>
      <c r="H68" s="6" t="str">
        <f t="shared" si="4"/>
        <v>att_celllines</v>
      </c>
      <c r="I68" s="6" t="s">
        <v>595</v>
      </c>
      <c r="J68" s="6" t="str">
        <f t="shared" si="5"/>
        <v>att_celllines:molt4</v>
      </c>
      <c r="K68" s="11" t="s">
        <v>21</v>
      </c>
      <c r="L68" s="6" t="s">
        <v>522</v>
      </c>
      <c r="M68" s="6" t="s">
        <v>2539</v>
      </c>
      <c r="N68" s="6" t="str">
        <f t="shared" si="6"/>
        <v>INSERT INTO attributes (parent_id, tag, name, priority, allow_as_filter, allow_for_dataset, allow_for_measurement, allow_for_users, allow_for_qc) VALUES (NULL, 'att_celllines',  'Celllines',  500,  TRUE, TRUE, TRUE, FALSE, FALSE);</v>
      </c>
      <c r="O68" s="6" t="str">
        <f t="shared" si="7"/>
        <v xml:space="preserve">INSERT INTO attribute_values (attribute_id, tag, name, details) VALUES ((SELECT id FROM attributes WHERE tag = 'att_celllines' LIMIT 1),  'att_celllines:molt4',  'MOLT-4',  'Human NCI-60 cell line; Leukemia'); </v>
      </c>
    </row>
    <row r="69" spans="1:15" x14ac:dyDescent="0.15">
      <c r="A69" s="12" t="b">
        <f>FALSE()</f>
        <v>0</v>
      </c>
      <c r="B69" s="12"/>
      <c r="C69" s="6" t="s">
        <v>597</v>
      </c>
      <c r="D69" s="6" t="s">
        <v>598</v>
      </c>
      <c r="E69" s="6" t="s">
        <v>17</v>
      </c>
      <c r="F69" s="6" t="s">
        <v>2537</v>
      </c>
      <c r="G69" s="6" t="s">
        <v>2538</v>
      </c>
      <c r="H69" s="6" t="str">
        <f t="shared" si="4"/>
        <v>att_celllines</v>
      </c>
      <c r="I69" s="6" t="s">
        <v>597</v>
      </c>
      <c r="J69" s="6" t="str">
        <f t="shared" si="5"/>
        <v>att_celllines:nceb1</v>
      </c>
      <c r="K69" s="11" t="s">
        <v>21</v>
      </c>
      <c r="L69" s="6" t="s">
        <v>561</v>
      </c>
      <c r="M69" s="6" t="s">
        <v>17</v>
      </c>
      <c r="N69" s="6" t="str">
        <f t="shared" si="6"/>
        <v>INSERT INTO attributes (parent_id, tag, name, priority, allow_as_filter, allow_for_dataset, allow_for_measurement, allow_for_users, allow_for_qc) VALUES (NULL, 'att_celllines',  'Celllines',  500,  TRUE, TRUE, TRUE, FALSE, FALSE);</v>
      </c>
      <c r="O69" s="6" t="str">
        <f t="shared" si="7"/>
        <v xml:space="preserve">INSERT INTO attribute_values (attribute_id, tag, name, details) VALUES ((SELECT id FROM attributes WHERE tag = 'att_celllines' LIMIT 1),  'att_celllines:nceb1',  'NCEB-1',  'Human Mantle cell lymphoma'); </v>
      </c>
    </row>
    <row r="70" spans="1:15" x14ac:dyDescent="0.15">
      <c r="A70" s="12" t="b">
        <f>FALSE()</f>
        <v>0</v>
      </c>
      <c r="B70" s="12"/>
      <c r="C70" s="6" t="s">
        <v>600</v>
      </c>
      <c r="D70" s="6" t="s">
        <v>601</v>
      </c>
      <c r="E70" s="6" t="s">
        <v>17</v>
      </c>
      <c r="F70" s="6" t="s">
        <v>2537</v>
      </c>
      <c r="G70" s="6" t="s">
        <v>2538</v>
      </c>
      <c r="H70" s="6" t="str">
        <f t="shared" si="4"/>
        <v>att_celllines</v>
      </c>
      <c r="I70" s="6" t="s">
        <v>599</v>
      </c>
      <c r="J70" s="6" t="str">
        <f t="shared" si="5"/>
        <v>att_celllines:nci_adrres</v>
      </c>
      <c r="K70" s="11" t="s">
        <v>21</v>
      </c>
      <c r="L70" s="6" t="s">
        <v>555</v>
      </c>
      <c r="M70" s="6" t="s">
        <v>2539</v>
      </c>
      <c r="N70" s="6" t="str">
        <f t="shared" si="6"/>
        <v>INSERT INTO attributes (parent_id, tag, name, priority, allow_as_filter, allow_for_dataset, allow_for_measurement, allow_for_users, allow_for_qc) VALUES (NULL, 'att_celllines',  'Celllines',  500,  TRUE, TRUE, TRUE, FALSE, FALSE);</v>
      </c>
      <c r="O70" s="6" t="str">
        <f t="shared" si="7"/>
        <v xml:space="preserve">INSERT INTO attribute_values (attribute_id, tag, name, details) VALUES ((SELECT id FROM attributes WHERE tag = 'att_celllines' LIMIT 1),  'att_celllines:nci_adrres',  'NCI ADR-RES',  'Human NCI-60 cell line; Ovarian Cancer'); </v>
      </c>
    </row>
    <row r="71" spans="1:15" x14ac:dyDescent="0.15">
      <c r="A71" s="12" t="b">
        <f>FALSE()</f>
        <v>0</v>
      </c>
      <c r="B71" s="12"/>
      <c r="C71" s="6" t="s">
        <v>603</v>
      </c>
      <c r="D71" s="6" t="s">
        <v>604</v>
      </c>
      <c r="E71" s="6" t="s">
        <v>17</v>
      </c>
      <c r="F71" s="6" t="s">
        <v>2537</v>
      </c>
      <c r="G71" s="6" t="s">
        <v>2538</v>
      </c>
      <c r="H71" s="6" t="str">
        <f t="shared" si="4"/>
        <v>att_celllines</v>
      </c>
      <c r="I71" s="6" t="s">
        <v>602</v>
      </c>
      <c r="J71" s="6" t="str">
        <f t="shared" si="5"/>
        <v>att_celllines:nci_h226</v>
      </c>
      <c r="K71" s="11" t="s">
        <v>21</v>
      </c>
      <c r="L71" s="6" t="s">
        <v>501</v>
      </c>
      <c r="M71" s="6" t="s">
        <v>2539</v>
      </c>
      <c r="N71" s="6" t="str">
        <f t="shared" si="6"/>
        <v>INSERT INTO attributes (parent_id, tag, name, priority, allow_as_filter, allow_for_dataset, allow_for_measurement, allow_for_users, allow_for_qc) VALUES (NULL, 'att_celllines',  'Celllines',  500,  TRUE, TRUE, TRUE, FALSE, FALSE);</v>
      </c>
      <c r="O71" s="6" t="str">
        <f t="shared" si="7"/>
        <v xml:space="preserve">INSERT INTO attribute_values (attribute_id, tag, name, details) VALUES ((SELECT id FROM attributes WHERE tag = 'att_celllines' LIMIT 1),  'att_celllines:nci_h226',  'NCI-H226',  'Human NCI-60 cell line; Non-Small Cell Lung cancer'); </v>
      </c>
    </row>
    <row r="72" spans="1:15" x14ac:dyDescent="0.15">
      <c r="A72" s="12" t="b">
        <f>FALSE()</f>
        <v>0</v>
      </c>
      <c r="B72" s="12"/>
      <c r="C72" s="6" t="s">
        <v>606</v>
      </c>
      <c r="D72" s="6" t="s">
        <v>607</v>
      </c>
      <c r="E72" s="6" t="s">
        <v>17</v>
      </c>
      <c r="F72" s="6" t="s">
        <v>2537</v>
      </c>
      <c r="G72" s="6" t="s">
        <v>2538</v>
      </c>
      <c r="H72" s="6" t="str">
        <f t="shared" si="4"/>
        <v>att_celllines</v>
      </c>
      <c r="I72" s="6" t="s">
        <v>605</v>
      </c>
      <c r="J72" s="6" t="str">
        <f t="shared" si="5"/>
        <v>att_celllines:nci_h23</v>
      </c>
      <c r="K72" s="11" t="s">
        <v>21</v>
      </c>
      <c r="L72" s="6" t="s">
        <v>501</v>
      </c>
      <c r="M72" s="6" t="s">
        <v>2539</v>
      </c>
      <c r="N72" s="6" t="str">
        <f t="shared" si="6"/>
        <v>INSERT INTO attributes (parent_id, tag, name, priority, allow_as_filter, allow_for_dataset, allow_for_measurement, allow_for_users, allow_for_qc) VALUES (NULL, 'att_celllines',  'Celllines',  500,  TRUE, TRUE, TRUE, FALSE, FALSE);</v>
      </c>
      <c r="O72" s="6" t="str">
        <f t="shared" si="7"/>
        <v xml:space="preserve">INSERT INTO attribute_values (attribute_id, tag, name, details) VALUES ((SELECT id FROM attributes WHERE tag = 'att_celllines' LIMIT 1),  'att_celllines:nci_h23',  'NCI-H23',  'Human NCI-60 cell line; Non-Small Cell Lung cancer'); </v>
      </c>
    </row>
    <row r="73" spans="1:15" x14ac:dyDescent="0.15">
      <c r="A73" s="12" t="b">
        <f>FALSE()</f>
        <v>0</v>
      </c>
      <c r="B73" s="12"/>
      <c r="C73" s="6" t="s">
        <v>609</v>
      </c>
      <c r="D73" s="6" t="s">
        <v>610</v>
      </c>
      <c r="E73" s="6" t="s">
        <v>17</v>
      </c>
      <c r="F73" s="6" t="s">
        <v>2537</v>
      </c>
      <c r="G73" s="6" t="s">
        <v>2538</v>
      </c>
      <c r="H73" s="6" t="str">
        <f t="shared" si="4"/>
        <v>att_celllines</v>
      </c>
      <c r="I73" s="6" t="s">
        <v>608</v>
      </c>
      <c r="J73" s="6" t="str">
        <f t="shared" si="5"/>
        <v>att_celllines:nci_h322m</v>
      </c>
      <c r="K73" s="11" t="s">
        <v>21</v>
      </c>
      <c r="L73" s="6" t="s">
        <v>501</v>
      </c>
      <c r="M73" s="6" t="s">
        <v>2539</v>
      </c>
      <c r="N73" s="6" t="str">
        <f t="shared" si="6"/>
        <v>INSERT INTO attributes (parent_id, tag, name, priority, allow_as_filter, allow_for_dataset, allow_for_measurement, allow_for_users, allow_for_qc) VALUES (NULL, 'att_celllines',  'Celllines',  500,  TRUE, TRUE, TRUE, FALSE, FALSE);</v>
      </c>
      <c r="O73" s="6" t="str">
        <f t="shared" si="7"/>
        <v xml:space="preserve">INSERT INTO attribute_values (attribute_id, tag, name, details) VALUES ((SELECT id FROM attributes WHERE tag = 'att_celllines' LIMIT 1),  'att_celllines:nci_h322m',  'NCI-H322M',  'Human NCI-60 cell line; Non-Small Cell Lung cancer'); </v>
      </c>
    </row>
    <row r="74" spans="1:15" x14ac:dyDescent="0.15">
      <c r="A74" s="12" t="b">
        <f>FALSE()</f>
        <v>0</v>
      </c>
      <c r="B74" s="12"/>
      <c r="C74" s="6" t="s">
        <v>612</v>
      </c>
      <c r="D74" s="6" t="s">
        <v>613</v>
      </c>
      <c r="E74" s="6" t="s">
        <v>17</v>
      </c>
      <c r="F74" s="6" t="s">
        <v>2537</v>
      </c>
      <c r="G74" s="6" t="s">
        <v>2538</v>
      </c>
      <c r="H74" s="6" t="str">
        <f t="shared" si="4"/>
        <v>att_celllines</v>
      </c>
      <c r="I74" s="6" t="s">
        <v>611</v>
      </c>
      <c r="J74" s="6" t="str">
        <f t="shared" si="5"/>
        <v>att_celllines:nci_h460</v>
      </c>
      <c r="K74" s="11" t="s">
        <v>21</v>
      </c>
      <c r="L74" s="6" t="s">
        <v>501</v>
      </c>
      <c r="M74" s="6" t="s">
        <v>2539</v>
      </c>
      <c r="N74" s="6" t="str">
        <f t="shared" si="6"/>
        <v>INSERT INTO attributes (parent_id, tag, name, priority, allow_as_filter, allow_for_dataset, allow_for_measurement, allow_for_users, allow_for_qc) VALUES (NULL, 'att_celllines',  'Celllines',  500,  TRUE, TRUE, TRUE, FALSE, FALSE);</v>
      </c>
      <c r="O74" s="6" t="str">
        <f t="shared" si="7"/>
        <v xml:space="preserve">INSERT INTO attribute_values (attribute_id, tag, name, details) VALUES ((SELECT id FROM attributes WHERE tag = 'att_celllines' LIMIT 1),  'att_celllines:nci_h460',  'NCI-H460',  'Human NCI-60 cell line; Non-Small Cell Lung cancer'); </v>
      </c>
    </row>
    <row r="75" spans="1:15" x14ac:dyDescent="0.15">
      <c r="A75" s="12" t="b">
        <f>FALSE()</f>
        <v>0</v>
      </c>
      <c r="B75" s="12"/>
      <c r="C75" s="6" t="s">
        <v>615</v>
      </c>
      <c r="D75" s="6" t="s">
        <v>616</v>
      </c>
      <c r="E75" s="6" t="s">
        <v>17</v>
      </c>
      <c r="F75" s="6" t="s">
        <v>2537</v>
      </c>
      <c r="G75" s="6" t="s">
        <v>2538</v>
      </c>
      <c r="H75" s="6" t="str">
        <f t="shared" si="4"/>
        <v>att_celllines</v>
      </c>
      <c r="I75" s="6" t="s">
        <v>614</v>
      </c>
      <c r="J75" s="6" t="str">
        <f t="shared" si="5"/>
        <v>att_celllines:nci_h522</v>
      </c>
      <c r="K75" s="11" t="s">
        <v>21</v>
      </c>
      <c r="L75" s="6" t="s">
        <v>501</v>
      </c>
      <c r="M75" s="6" t="s">
        <v>2539</v>
      </c>
      <c r="N75" s="6" t="str">
        <f t="shared" si="6"/>
        <v>INSERT INTO attributes (parent_id, tag, name, priority, allow_as_filter, allow_for_dataset, allow_for_measurement, allow_for_users, allow_for_qc) VALUES (NULL, 'att_celllines',  'Celllines',  500,  TRUE, TRUE, TRUE, FALSE, FALSE);</v>
      </c>
      <c r="O75" s="6" t="str">
        <f t="shared" si="7"/>
        <v xml:space="preserve">INSERT INTO attribute_values (attribute_id, tag, name, details) VALUES ((SELECT id FROM attributes WHERE tag = 'att_celllines' LIMIT 1),  'att_celllines:nci_h522',  'NCI-H522',  'Human NCI-60 cell line; Non-Small Cell Lung cancer'); </v>
      </c>
    </row>
    <row r="76" spans="1:15" x14ac:dyDescent="0.15">
      <c r="A76" s="12" t="b">
        <f>FALSE()</f>
        <v>0</v>
      </c>
      <c r="B76" s="12"/>
      <c r="C76" s="6" t="s">
        <v>617</v>
      </c>
      <c r="D76" s="6" t="s">
        <v>618</v>
      </c>
      <c r="E76" s="6" t="s">
        <v>17</v>
      </c>
      <c r="F76" s="6" t="s">
        <v>2537</v>
      </c>
      <c r="G76" s="6" t="s">
        <v>2538</v>
      </c>
      <c r="H76" s="6" t="str">
        <f t="shared" si="4"/>
        <v>att_celllines</v>
      </c>
      <c r="I76" s="6" t="s">
        <v>617</v>
      </c>
      <c r="J76" s="6" t="str">
        <f t="shared" si="5"/>
        <v>att_celllines:ovcar3</v>
      </c>
      <c r="K76" s="11" t="s">
        <v>21</v>
      </c>
      <c r="L76" s="6" t="s">
        <v>555</v>
      </c>
      <c r="M76" s="6" t="s">
        <v>2539</v>
      </c>
      <c r="N76" s="6" t="str">
        <f t="shared" si="6"/>
        <v>INSERT INTO attributes (parent_id, tag, name, priority, allow_as_filter, allow_for_dataset, allow_for_measurement, allow_for_users, allow_for_qc) VALUES (NULL, 'att_celllines',  'Celllines',  500,  TRUE, TRUE, TRUE, FALSE, FALSE);</v>
      </c>
      <c r="O76" s="6" t="str">
        <f t="shared" si="7"/>
        <v xml:space="preserve">INSERT INTO attribute_values (attribute_id, tag, name, details) VALUES ((SELECT id FROM attributes WHERE tag = 'att_celllines' LIMIT 1),  'att_celllines:ovcar3',  'OVCAR-3',  'Human NCI-60 cell line; Ovarian Cancer'); </v>
      </c>
    </row>
    <row r="77" spans="1:15" x14ac:dyDescent="0.15">
      <c r="A77" s="12" t="b">
        <f>FALSE()</f>
        <v>0</v>
      </c>
      <c r="B77" s="12"/>
      <c r="C77" s="6" t="s">
        <v>619</v>
      </c>
      <c r="D77" s="6" t="s">
        <v>620</v>
      </c>
      <c r="E77" s="6" t="s">
        <v>17</v>
      </c>
      <c r="F77" s="6" t="s">
        <v>2537</v>
      </c>
      <c r="G77" s="6" t="s">
        <v>2538</v>
      </c>
      <c r="H77" s="6" t="str">
        <f t="shared" si="4"/>
        <v>att_celllines</v>
      </c>
      <c r="I77" s="6" t="s">
        <v>619</v>
      </c>
      <c r="J77" s="6" t="str">
        <f t="shared" si="5"/>
        <v>att_celllines:ovcar4</v>
      </c>
      <c r="K77" s="11" t="s">
        <v>21</v>
      </c>
      <c r="L77" s="6" t="s">
        <v>555</v>
      </c>
      <c r="M77" s="6" t="s">
        <v>2539</v>
      </c>
      <c r="N77" s="6" t="str">
        <f t="shared" si="6"/>
        <v>INSERT INTO attributes (parent_id, tag, name, priority, allow_as_filter, allow_for_dataset, allow_for_measurement, allow_for_users, allow_for_qc) VALUES (NULL, 'att_celllines',  'Celllines',  500,  TRUE, TRUE, TRUE, FALSE, FALSE);</v>
      </c>
      <c r="O77" s="6" t="str">
        <f t="shared" si="7"/>
        <v xml:space="preserve">INSERT INTO attribute_values (attribute_id, tag, name, details) VALUES ((SELECT id FROM attributes WHERE tag = 'att_celllines' LIMIT 1),  'att_celllines:ovcar4',  'OVCAR-4',  'Human NCI-60 cell line; Ovarian Cancer'); </v>
      </c>
    </row>
    <row r="78" spans="1:15" x14ac:dyDescent="0.15">
      <c r="A78" s="12" t="b">
        <f>FALSE()</f>
        <v>0</v>
      </c>
      <c r="B78" s="12"/>
      <c r="C78" s="6" t="s">
        <v>621</v>
      </c>
      <c r="D78" s="6" t="s">
        <v>622</v>
      </c>
      <c r="E78" s="6" t="s">
        <v>17</v>
      </c>
      <c r="F78" s="6" t="s">
        <v>2537</v>
      </c>
      <c r="G78" s="6" t="s">
        <v>2538</v>
      </c>
      <c r="H78" s="6" t="str">
        <f t="shared" si="4"/>
        <v>att_celllines</v>
      </c>
      <c r="I78" s="6" t="s">
        <v>621</v>
      </c>
      <c r="J78" s="6" t="str">
        <f t="shared" si="5"/>
        <v>att_celllines:ovcar5</v>
      </c>
      <c r="K78" s="11" t="s">
        <v>21</v>
      </c>
      <c r="L78" s="6" t="s">
        <v>555</v>
      </c>
      <c r="M78" s="6" t="s">
        <v>2539</v>
      </c>
      <c r="N78" s="6" t="str">
        <f t="shared" si="6"/>
        <v>INSERT INTO attributes (parent_id, tag, name, priority, allow_as_filter, allow_for_dataset, allow_for_measurement, allow_for_users, allow_for_qc) VALUES (NULL, 'att_celllines',  'Celllines',  500,  TRUE, TRUE, TRUE, FALSE, FALSE);</v>
      </c>
      <c r="O78" s="6" t="str">
        <f t="shared" si="7"/>
        <v xml:space="preserve">INSERT INTO attribute_values (attribute_id, tag, name, details) VALUES ((SELECT id FROM attributes WHERE tag = 'att_celllines' LIMIT 1),  'att_celllines:ovcar5',  'OVCAR-5',  'Human NCI-60 cell line; Ovarian Cancer'); </v>
      </c>
    </row>
    <row r="79" spans="1:15" x14ac:dyDescent="0.15">
      <c r="A79" s="12" t="b">
        <f>FALSE()</f>
        <v>0</v>
      </c>
      <c r="B79" s="12"/>
      <c r="C79" s="6" t="s">
        <v>623</v>
      </c>
      <c r="D79" s="6" t="s">
        <v>624</v>
      </c>
      <c r="E79" s="6" t="s">
        <v>17</v>
      </c>
      <c r="F79" s="6" t="s">
        <v>2537</v>
      </c>
      <c r="G79" s="6" t="s">
        <v>2538</v>
      </c>
      <c r="H79" s="6" t="str">
        <f t="shared" si="4"/>
        <v>att_celllines</v>
      </c>
      <c r="I79" s="6" t="s">
        <v>623</v>
      </c>
      <c r="J79" s="6" t="str">
        <f t="shared" si="5"/>
        <v>att_celllines:ovcar8</v>
      </c>
      <c r="K79" s="11" t="s">
        <v>21</v>
      </c>
      <c r="L79" s="6" t="s">
        <v>555</v>
      </c>
      <c r="M79" s="6" t="s">
        <v>2539</v>
      </c>
      <c r="N79" s="6" t="str">
        <f t="shared" si="6"/>
        <v>INSERT INTO attributes (parent_id, tag, name, priority, allow_as_filter, allow_for_dataset, allow_for_measurement, allow_for_users, allow_for_qc) VALUES (NULL, 'att_celllines',  'Celllines',  500,  TRUE, TRUE, TRUE, FALSE, FALSE);</v>
      </c>
      <c r="O79" s="6" t="str">
        <f t="shared" si="7"/>
        <v xml:space="preserve">INSERT INTO attribute_values (attribute_id, tag, name, details) VALUES ((SELECT id FROM attributes WHERE tag = 'att_celllines' LIMIT 1),  'att_celllines:ovcar8',  'OVCAR-8',  'Human NCI-60 cell line; Ovarian Cancer'); </v>
      </c>
    </row>
    <row r="80" spans="1:15" x14ac:dyDescent="0.15">
      <c r="A80" s="12" t="b">
        <f>FALSE()</f>
        <v>0</v>
      </c>
      <c r="B80" s="12"/>
      <c r="C80" s="6" t="s">
        <v>625</v>
      </c>
      <c r="D80" s="6" t="s">
        <v>626</v>
      </c>
      <c r="E80" s="6" t="s">
        <v>17</v>
      </c>
      <c r="F80" s="6" t="s">
        <v>2537</v>
      </c>
      <c r="G80" s="6" t="s">
        <v>2538</v>
      </c>
      <c r="H80" s="6" t="str">
        <f t="shared" si="4"/>
        <v>att_celllines</v>
      </c>
      <c r="I80" s="6" t="s">
        <v>625</v>
      </c>
      <c r="J80" s="6" t="str">
        <f t="shared" si="5"/>
        <v>att_celllines:p388</v>
      </c>
      <c r="K80" s="11" t="s">
        <v>21</v>
      </c>
      <c r="L80" s="6" t="s">
        <v>627</v>
      </c>
      <c r="M80" s="6" t="s">
        <v>17</v>
      </c>
      <c r="N80" s="6" t="str">
        <f t="shared" si="6"/>
        <v>INSERT INTO attributes (parent_id, tag, name, priority, allow_as_filter, allow_for_dataset, allow_for_measurement, allow_for_users, allow_for_qc) VALUES (NULL, 'att_celllines',  'Celllines',  500,  TRUE, TRUE, TRUE, FALSE, FALSE);</v>
      </c>
      <c r="O80" s="6" t="str">
        <f t="shared" si="7"/>
        <v xml:space="preserve">INSERT INTO attribute_values (attribute_id, tag, name, details) VALUES ((SELECT id FROM attributes WHERE tag = 'att_celllines' LIMIT 1),  'att_celllines:p388',  'P388',  'Leukemia'); </v>
      </c>
    </row>
    <row r="81" spans="1:15" x14ac:dyDescent="0.15">
      <c r="A81" s="12" t="b">
        <f>FALSE()</f>
        <v>0</v>
      </c>
      <c r="B81" s="12"/>
      <c r="C81" s="6" t="s">
        <v>628</v>
      </c>
      <c r="D81" s="6" t="s">
        <v>629</v>
      </c>
      <c r="E81" s="6" t="s">
        <v>17</v>
      </c>
      <c r="F81" s="6" t="s">
        <v>2537</v>
      </c>
      <c r="G81" s="6" t="s">
        <v>2538</v>
      </c>
      <c r="H81" s="6" t="str">
        <f t="shared" si="4"/>
        <v>att_celllines</v>
      </c>
      <c r="I81" s="6" t="s">
        <v>628</v>
      </c>
      <c r="J81" s="6" t="str">
        <f t="shared" si="5"/>
        <v>att_celllines:pc3</v>
      </c>
      <c r="K81" s="11" t="s">
        <v>21</v>
      </c>
      <c r="L81" s="6" t="s">
        <v>525</v>
      </c>
      <c r="M81" s="6" t="s">
        <v>2539</v>
      </c>
      <c r="N81" s="6" t="str">
        <f t="shared" si="6"/>
        <v>INSERT INTO attributes (parent_id, tag, name, priority, allow_as_filter, allow_for_dataset, allow_for_measurement, allow_for_users, allow_for_qc) VALUES (NULL, 'att_celllines',  'Celllines',  500,  TRUE, TRUE, TRUE, FALSE, FALSE);</v>
      </c>
      <c r="O81" s="6" t="str">
        <f t="shared" si="7"/>
        <v xml:space="preserve">INSERT INTO attribute_values (attribute_id, tag, name, details) VALUES ((SELECT id FROM attributes WHERE tag = 'att_celllines' LIMIT 1),  'att_celllines:pc3',  'PC-3',  'Human NCI-60 cell line; Prostate Cancer'); </v>
      </c>
    </row>
    <row r="82" spans="1:15" x14ac:dyDescent="0.15">
      <c r="A82" s="12" t="b">
        <f>FALSE()</f>
        <v>0</v>
      </c>
      <c r="B82" s="12"/>
      <c r="C82" s="6" t="s">
        <v>630</v>
      </c>
      <c r="D82" s="6" t="s">
        <v>631</v>
      </c>
      <c r="E82" s="6" t="s">
        <v>17</v>
      </c>
      <c r="F82" s="6" t="s">
        <v>2537</v>
      </c>
      <c r="G82" s="6" t="s">
        <v>2538</v>
      </c>
      <c r="H82" s="6" t="str">
        <f t="shared" si="4"/>
        <v>att_celllines</v>
      </c>
      <c r="I82" s="6" t="s">
        <v>630</v>
      </c>
      <c r="J82" s="6" t="str">
        <f t="shared" si="5"/>
        <v>att_celllines:rec1</v>
      </c>
      <c r="K82" s="11" t="s">
        <v>21</v>
      </c>
      <c r="L82" s="6" t="s">
        <v>561</v>
      </c>
      <c r="M82" s="6" t="s">
        <v>17</v>
      </c>
      <c r="N82" s="6" t="str">
        <f t="shared" si="6"/>
        <v>INSERT INTO attributes (parent_id, tag, name, priority, allow_as_filter, allow_for_dataset, allow_for_measurement, allow_for_users, allow_for_qc) VALUES (NULL, 'att_celllines',  'Celllines',  500,  TRUE, TRUE, TRUE, FALSE, FALSE);</v>
      </c>
      <c r="O82" s="6" t="str">
        <f t="shared" si="7"/>
        <v xml:space="preserve">INSERT INTO attribute_values (attribute_id, tag, name, details) VALUES ((SELECT id FROM attributes WHERE tag = 'att_celllines' LIMIT 1),  'att_celllines:rec1',  'REC-1',  'Human Mantle cell lymphoma'); </v>
      </c>
    </row>
    <row r="83" spans="1:15" x14ac:dyDescent="0.15">
      <c r="A83" s="12" t="b">
        <f>FALSE()</f>
        <v>0</v>
      </c>
      <c r="B83" s="12"/>
      <c r="C83" s="6" t="s">
        <v>632</v>
      </c>
      <c r="D83" s="6" t="s">
        <v>633</v>
      </c>
      <c r="E83" s="6" t="s">
        <v>17</v>
      </c>
      <c r="F83" s="6" t="s">
        <v>2537</v>
      </c>
      <c r="G83" s="6" t="s">
        <v>2538</v>
      </c>
      <c r="H83" s="6" t="str">
        <f t="shared" si="4"/>
        <v>att_celllines</v>
      </c>
      <c r="I83" s="6" t="s">
        <v>632</v>
      </c>
      <c r="J83" s="6" t="str">
        <f t="shared" si="5"/>
        <v>att_celllines:rpmi8226</v>
      </c>
      <c r="K83" s="11" t="s">
        <v>21</v>
      </c>
      <c r="L83" s="6" t="s">
        <v>522</v>
      </c>
      <c r="M83" s="6" t="s">
        <v>2539</v>
      </c>
      <c r="N83" s="6" t="str">
        <f t="shared" si="6"/>
        <v>INSERT INTO attributes (parent_id, tag, name, priority, allow_as_filter, allow_for_dataset, allow_for_measurement, allow_for_users, allow_for_qc) VALUES (NULL, 'att_celllines',  'Celllines',  500,  TRUE, TRUE, TRUE, FALSE, FALSE);</v>
      </c>
      <c r="O83" s="6" t="str">
        <f t="shared" si="7"/>
        <v xml:space="preserve">INSERT INTO attribute_values (attribute_id, tag, name, details) VALUES ((SELECT id FROM attributes WHERE tag = 'att_celllines' LIMIT 1),  'att_celllines:rpmi8226',  'RPMI-8226',  'Human NCI-60 cell line; Leukemia'); </v>
      </c>
    </row>
    <row r="84" spans="1:15" x14ac:dyDescent="0.15">
      <c r="A84" s="12" t="b">
        <f>FALSE()</f>
        <v>0</v>
      </c>
      <c r="B84" s="12"/>
      <c r="C84" s="6" t="s">
        <v>634</v>
      </c>
      <c r="D84" s="6" t="s">
        <v>635</v>
      </c>
      <c r="E84" s="6" t="s">
        <v>17</v>
      </c>
      <c r="F84" s="6" t="s">
        <v>2537</v>
      </c>
      <c r="G84" s="6" t="s">
        <v>2538</v>
      </c>
      <c r="H84" s="6" t="str">
        <f t="shared" si="4"/>
        <v>att_celllines</v>
      </c>
      <c r="I84" s="6" t="s">
        <v>634</v>
      </c>
      <c r="J84" s="6" t="str">
        <f t="shared" si="5"/>
        <v>att_celllines:rxf393</v>
      </c>
      <c r="K84" s="11" t="s">
        <v>21</v>
      </c>
      <c r="L84" s="6" t="s">
        <v>496</v>
      </c>
      <c r="M84" s="6" t="s">
        <v>2539</v>
      </c>
      <c r="N84" s="6" t="str">
        <f t="shared" si="6"/>
        <v>INSERT INTO attributes (parent_id, tag, name, priority, allow_as_filter, allow_for_dataset, allow_for_measurement, allow_for_users, allow_for_qc) VALUES (NULL, 'att_celllines',  'Celllines',  500,  TRUE, TRUE, TRUE, FALSE, FALSE);</v>
      </c>
      <c r="O84" s="6" t="str">
        <f t="shared" si="7"/>
        <v xml:space="preserve">INSERT INTO attribute_values (attribute_id, tag, name, details) VALUES ((SELECT id FROM attributes WHERE tag = 'att_celllines' LIMIT 1),  'att_celllines:rxf393',  'RXF 393',  'Human NCI-60 cell line; Renal Cancer'); </v>
      </c>
    </row>
    <row r="85" spans="1:15" x14ac:dyDescent="0.15">
      <c r="A85" s="12" t="b">
        <f>FALSE()</f>
        <v>0</v>
      </c>
      <c r="B85" s="12"/>
      <c r="C85" s="6" t="s">
        <v>636</v>
      </c>
      <c r="D85" s="6" t="s">
        <v>637</v>
      </c>
      <c r="E85" s="6" t="s">
        <v>17</v>
      </c>
      <c r="F85" s="6" t="s">
        <v>2537</v>
      </c>
      <c r="G85" s="6" t="s">
        <v>2538</v>
      </c>
      <c r="H85" s="6" t="str">
        <f t="shared" si="4"/>
        <v>att_celllines</v>
      </c>
      <c r="I85" s="6" t="s">
        <v>636</v>
      </c>
      <c r="J85" s="6" t="str">
        <f t="shared" si="5"/>
        <v>att_celllines:sf268</v>
      </c>
      <c r="K85" s="11" t="s">
        <v>21</v>
      </c>
      <c r="L85" s="6" t="s">
        <v>638</v>
      </c>
      <c r="M85" s="6" t="s">
        <v>2539</v>
      </c>
      <c r="N85" s="6" t="str">
        <f t="shared" si="6"/>
        <v>INSERT INTO attributes (parent_id, tag, name, priority, allow_as_filter, allow_for_dataset, allow_for_measurement, allow_for_users, allow_for_qc) VALUES (NULL, 'att_celllines',  'Celllines',  500,  TRUE, TRUE, TRUE, FALSE, FALSE);</v>
      </c>
      <c r="O85" s="6" t="str">
        <f t="shared" si="7"/>
        <v xml:space="preserve">INSERT INTO attribute_values (attribute_id, tag, name, details) VALUES ((SELECT id FROM attributes WHERE tag = 'att_celllines' LIMIT 1),  'att_celllines:sf268',  'SF-268',  'Human NCI-60 cell line; central nervous system (CNS) tumor '); </v>
      </c>
    </row>
    <row r="86" spans="1:15" x14ac:dyDescent="0.15">
      <c r="A86" s="12" t="b">
        <f>FALSE()</f>
        <v>0</v>
      </c>
      <c r="B86" s="12"/>
      <c r="C86" s="6" t="s">
        <v>639</v>
      </c>
      <c r="D86" s="6" t="s">
        <v>640</v>
      </c>
      <c r="E86" s="6" t="s">
        <v>17</v>
      </c>
      <c r="F86" s="6" t="s">
        <v>2537</v>
      </c>
      <c r="G86" s="6" t="s">
        <v>2538</v>
      </c>
      <c r="H86" s="6" t="str">
        <f t="shared" si="4"/>
        <v>att_celllines</v>
      </c>
      <c r="I86" s="6" t="s">
        <v>639</v>
      </c>
      <c r="J86" s="6" t="str">
        <f t="shared" si="5"/>
        <v>att_celllines:sf295</v>
      </c>
      <c r="K86" s="11" t="s">
        <v>21</v>
      </c>
      <c r="L86" s="6" t="s">
        <v>638</v>
      </c>
      <c r="M86" s="6" t="s">
        <v>2539</v>
      </c>
      <c r="N86" s="6" t="str">
        <f t="shared" si="6"/>
        <v>INSERT INTO attributes (parent_id, tag, name, priority, allow_as_filter, allow_for_dataset, allow_for_measurement, allow_for_users, allow_for_qc) VALUES (NULL, 'att_celllines',  'Celllines',  500,  TRUE, TRUE, TRUE, FALSE, FALSE);</v>
      </c>
      <c r="O86" s="6" t="str">
        <f t="shared" si="7"/>
        <v xml:space="preserve">INSERT INTO attribute_values (attribute_id, tag, name, details) VALUES ((SELECT id FROM attributes WHERE tag = 'att_celllines' LIMIT 1),  'att_celllines:sf295',  'SF-295',  'Human NCI-60 cell line; central nervous system (CNS) tumor '); </v>
      </c>
    </row>
    <row r="87" spans="1:15" x14ac:dyDescent="0.15">
      <c r="A87" s="12" t="b">
        <f>FALSE()</f>
        <v>0</v>
      </c>
      <c r="B87" s="12"/>
      <c r="C87" s="6" t="s">
        <v>641</v>
      </c>
      <c r="D87" s="6" t="s">
        <v>642</v>
      </c>
      <c r="E87" s="6" t="s">
        <v>17</v>
      </c>
      <c r="F87" s="6" t="s">
        <v>2537</v>
      </c>
      <c r="G87" s="6" t="s">
        <v>2538</v>
      </c>
      <c r="H87" s="6" t="str">
        <f t="shared" si="4"/>
        <v>att_celllines</v>
      </c>
      <c r="I87" s="6" t="s">
        <v>641</v>
      </c>
      <c r="J87" s="6" t="str">
        <f t="shared" si="5"/>
        <v>att_celllines:sf539</v>
      </c>
      <c r="K87" s="11" t="s">
        <v>21</v>
      </c>
      <c r="L87" s="6" t="s">
        <v>638</v>
      </c>
      <c r="M87" s="6" t="s">
        <v>2539</v>
      </c>
      <c r="N87" s="6" t="str">
        <f t="shared" si="6"/>
        <v>INSERT INTO attributes (parent_id, tag, name, priority, allow_as_filter, allow_for_dataset, allow_for_measurement, allow_for_users, allow_for_qc) VALUES (NULL, 'att_celllines',  'Celllines',  500,  TRUE, TRUE, TRUE, FALSE, FALSE);</v>
      </c>
      <c r="O87" s="6" t="str">
        <f t="shared" si="7"/>
        <v xml:space="preserve">INSERT INTO attribute_values (attribute_id, tag, name, details) VALUES ((SELECT id FROM attributes WHERE tag = 'att_celllines' LIMIT 1),  'att_celllines:sf539',  'SF-539',  'Human NCI-60 cell line; central nervous system (CNS) tumor '); </v>
      </c>
    </row>
    <row r="88" spans="1:15" x14ac:dyDescent="0.15">
      <c r="A88" s="12" t="b">
        <f>FALSE()</f>
        <v>0</v>
      </c>
      <c r="B88" s="12"/>
      <c r="C88" s="6" t="s">
        <v>643</v>
      </c>
      <c r="D88" s="6" t="s">
        <v>644</v>
      </c>
      <c r="E88" s="6" t="s">
        <v>17</v>
      </c>
      <c r="F88" s="6" t="s">
        <v>2537</v>
      </c>
      <c r="G88" s="6" t="s">
        <v>2538</v>
      </c>
      <c r="H88" s="6" t="str">
        <f t="shared" si="4"/>
        <v>att_celllines</v>
      </c>
      <c r="I88" s="6" t="s">
        <v>643</v>
      </c>
      <c r="J88" s="6" t="str">
        <f t="shared" si="5"/>
        <v>att_celllines:skmel2</v>
      </c>
      <c r="K88" s="11" t="s">
        <v>21</v>
      </c>
      <c r="L88" s="6" t="s">
        <v>575</v>
      </c>
      <c r="M88" s="6" t="s">
        <v>2539</v>
      </c>
      <c r="N88" s="6" t="str">
        <f t="shared" si="6"/>
        <v>INSERT INTO attributes (parent_id, tag, name, priority, allow_as_filter, allow_for_dataset, allow_for_measurement, allow_for_users, allow_for_qc) VALUES (NULL, 'att_celllines',  'Celllines',  500,  TRUE, TRUE, TRUE, FALSE, FALSE);</v>
      </c>
      <c r="O88" s="6" t="str">
        <f t="shared" si="7"/>
        <v xml:space="preserve">INSERT INTO attribute_values (attribute_id, tag, name, details) VALUES ((SELECT id FROM attributes WHERE tag = 'att_celllines' LIMIT 1),  'att_celllines:skmel2',  'SK-MEL-2',  'Human NCI-60 cell line; Melanoma'); </v>
      </c>
    </row>
    <row r="89" spans="1:15" x14ac:dyDescent="0.15">
      <c r="A89" s="12" t="b">
        <f>FALSE()</f>
        <v>0</v>
      </c>
      <c r="B89" s="12"/>
      <c r="C89" s="6" t="s">
        <v>645</v>
      </c>
      <c r="D89" s="6" t="s">
        <v>646</v>
      </c>
      <c r="E89" s="6" t="s">
        <v>17</v>
      </c>
      <c r="F89" s="6" t="s">
        <v>2537</v>
      </c>
      <c r="G89" s="6" t="s">
        <v>2538</v>
      </c>
      <c r="H89" s="6" t="str">
        <f t="shared" si="4"/>
        <v>att_celllines</v>
      </c>
      <c r="I89" s="6" t="s">
        <v>645</v>
      </c>
      <c r="J89" s="6" t="str">
        <f t="shared" si="5"/>
        <v>att_celllines:skmel28</v>
      </c>
      <c r="K89" s="11" t="s">
        <v>21</v>
      </c>
      <c r="L89" s="6" t="s">
        <v>575</v>
      </c>
      <c r="M89" s="6" t="s">
        <v>2539</v>
      </c>
      <c r="N89" s="6" t="str">
        <f t="shared" si="6"/>
        <v>INSERT INTO attributes (parent_id, tag, name, priority, allow_as_filter, allow_for_dataset, allow_for_measurement, allow_for_users, allow_for_qc) VALUES (NULL, 'att_celllines',  'Celllines',  500,  TRUE, TRUE, TRUE, FALSE, FALSE);</v>
      </c>
      <c r="O89" s="6" t="str">
        <f t="shared" si="7"/>
        <v xml:space="preserve">INSERT INTO attribute_values (attribute_id, tag, name, details) VALUES ((SELECT id FROM attributes WHERE tag = 'att_celllines' LIMIT 1),  'att_celllines:skmel28',  'SK-MEL-28',  'Human NCI-60 cell line; Melanoma'); </v>
      </c>
    </row>
    <row r="90" spans="1:15" x14ac:dyDescent="0.15">
      <c r="A90" s="12" t="b">
        <f>FALSE()</f>
        <v>0</v>
      </c>
      <c r="B90" s="12"/>
      <c r="C90" s="6" t="s">
        <v>647</v>
      </c>
      <c r="D90" s="6" t="s">
        <v>648</v>
      </c>
      <c r="E90" s="6" t="s">
        <v>17</v>
      </c>
      <c r="F90" s="6" t="s">
        <v>2537</v>
      </c>
      <c r="G90" s="6" t="s">
        <v>2538</v>
      </c>
      <c r="H90" s="6" t="str">
        <f t="shared" si="4"/>
        <v>att_celllines</v>
      </c>
      <c r="I90" s="6" t="s">
        <v>647</v>
      </c>
      <c r="J90" s="6" t="str">
        <f t="shared" si="5"/>
        <v>att_celllines:skmel5</v>
      </c>
      <c r="K90" s="11" t="s">
        <v>21</v>
      </c>
      <c r="L90" s="6" t="s">
        <v>575</v>
      </c>
      <c r="M90" s="6" t="s">
        <v>2539</v>
      </c>
      <c r="N90" s="6" t="str">
        <f t="shared" si="6"/>
        <v>INSERT INTO attributes (parent_id, tag, name, priority, allow_as_filter, allow_for_dataset, allow_for_measurement, allow_for_users, allow_for_qc) VALUES (NULL, 'att_celllines',  'Celllines',  500,  TRUE, TRUE, TRUE, FALSE, FALSE);</v>
      </c>
      <c r="O90" s="6" t="str">
        <f t="shared" si="7"/>
        <v xml:space="preserve">INSERT INTO attribute_values (attribute_id, tag, name, details) VALUES ((SELECT id FROM attributes WHERE tag = 'att_celllines' LIMIT 1),  'att_celllines:skmel5',  'SK-MEL-5',  'Human NCI-60 cell line; Melanoma'); </v>
      </c>
    </row>
    <row r="91" spans="1:15" x14ac:dyDescent="0.15">
      <c r="A91" s="12" t="b">
        <f>FALSE()</f>
        <v>0</v>
      </c>
      <c r="B91" s="12"/>
      <c r="C91" s="6" t="s">
        <v>649</v>
      </c>
      <c r="D91" s="6" t="s">
        <v>650</v>
      </c>
      <c r="E91" s="6" t="s">
        <v>17</v>
      </c>
      <c r="F91" s="6" t="s">
        <v>2537</v>
      </c>
      <c r="G91" s="6" t="s">
        <v>2538</v>
      </c>
      <c r="H91" s="6" t="str">
        <f t="shared" si="4"/>
        <v>att_celllines</v>
      </c>
      <c r="I91" s="6" t="s">
        <v>649</v>
      </c>
      <c r="J91" s="6" t="str">
        <f t="shared" si="5"/>
        <v>att_celllines:skov3</v>
      </c>
      <c r="K91" s="11" t="s">
        <v>21</v>
      </c>
      <c r="L91" s="6" t="s">
        <v>555</v>
      </c>
      <c r="M91" s="6" t="s">
        <v>2539</v>
      </c>
      <c r="N91" s="6" t="str">
        <f t="shared" si="6"/>
        <v>INSERT INTO attributes (parent_id, tag, name, priority, allow_as_filter, allow_for_dataset, allow_for_measurement, allow_for_users, allow_for_qc) VALUES (NULL, 'att_celllines',  'Celllines',  500,  TRUE, TRUE, TRUE, FALSE, FALSE);</v>
      </c>
      <c r="O91" s="6" t="str">
        <f t="shared" si="7"/>
        <v xml:space="preserve">INSERT INTO attribute_values (attribute_id, tag, name, details) VALUES ((SELECT id FROM attributes WHERE tag = 'att_celllines' LIMIT 1),  'att_celllines:skov3',  'SK-OV-3',  'Human NCI-60 cell line; Ovarian Cancer'); </v>
      </c>
    </row>
    <row r="92" spans="1:15" x14ac:dyDescent="0.15">
      <c r="A92" s="12" t="b">
        <f>FALSE()</f>
        <v>0</v>
      </c>
      <c r="B92" s="12"/>
      <c r="C92" s="6" t="s">
        <v>651</v>
      </c>
      <c r="D92" s="6" t="s">
        <v>652</v>
      </c>
      <c r="E92" s="6" t="s">
        <v>17</v>
      </c>
      <c r="F92" s="6" t="s">
        <v>2537</v>
      </c>
      <c r="G92" s="6" t="s">
        <v>2538</v>
      </c>
      <c r="H92" s="6" t="str">
        <f t="shared" si="4"/>
        <v>att_celllines</v>
      </c>
      <c r="I92" s="6" t="s">
        <v>651</v>
      </c>
      <c r="J92" s="6" t="str">
        <f t="shared" si="5"/>
        <v>att_celllines:sn12c</v>
      </c>
      <c r="K92" s="11" t="s">
        <v>21</v>
      </c>
      <c r="L92" s="6" t="s">
        <v>496</v>
      </c>
      <c r="M92" s="6" t="s">
        <v>2539</v>
      </c>
      <c r="N92" s="6" t="str">
        <f t="shared" si="6"/>
        <v>INSERT INTO attributes (parent_id, tag, name, priority, allow_as_filter, allow_for_dataset, allow_for_measurement, allow_for_users, allow_for_qc) VALUES (NULL, 'att_celllines',  'Celllines',  500,  TRUE, TRUE, TRUE, FALSE, FALSE);</v>
      </c>
      <c r="O92" s="6" t="str">
        <f t="shared" si="7"/>
        <v xml:space="preserve">INSERT INTO attribute_values (attribute_id, tag, name, details) VALUES ((SELECT id FROM attributes WHERE tag = 'att_celllines' LIMIT 1),  'att_celllines:sn12c',  'SN12C',  'Human NCI-60 cell line; Renal Cancer'); </v>
      </c>
    </row>
    <row r="93" spans="1:15" x14ac:dyDescent="0.15">
      <c r="A93" s="12" t="b">
        <f>FALSE()</f>
        <v>0</v>
      </c>
      <c r="B93" s="12"/>
      <c r="C93" s="6" t="s">
        <v>653</v>
      </c>
      <c r="D93" s="6" t="s">
        <v>654</v>
      </c>
      <c r="E93" s="6" t="s">
        <v>17</v>
      </c>
      <c r="F93" s="6" t="s">
        <v>2537</v>
      </c>
      <c r="G93" s="6" t="s">
        <v>2538</v>
      </c>
      <c r="H93" s="6" t="str">
        <f t="shared" si="4"/>
        <v>att_celllines</v>
      </c>
      <c r="I93" s="6" t="s">
        <v>653</v>
      </c>
      <c r="J93" s="6" t="str">
        <f t="shared" si="5"/>
        <v>att_celllines:snb19</v>
      </c>
      <c r="K93" s="11" t="s">
        <v>21</v>
      </c>
      <c r="L93" s="6" t="s">
        <v>638</v>
      </c>
      <c r="M93" s="6" t="s">
        <v>2539</v>
      </c>
      <c r="N93" s="6" t="str">
        <f t="shared" si="6"/>
        <v>INSERT INTO attributes (parent_id, tag, name, priority, allow_as_filter, allow_for_dataset, allow_for_measurement, allow_for_users, allow_for_qc) VALUES (NULL, 'att_celllines',  'Celllines',  500,  TRUE, TRUE, TRUE, FALSE, FALSE);</v>
      </c>
      <c r="O93" s="6" t="str">
        <f t="shared" si="7"/>
        <v xml:space="preserve">INSERT INTO attribute_values (attribute_id, tag, name, details) VALUES ((SELECT id FROM attributes WHERE tag = 'att_celllines' LIMIT 1),  'att_celllines:snb19',  'SNB-19',  'Human NCI-60 cell line; central nervous system (CNS) tumor '); </v>
      </c>
    </row>
    <row r="94" spans="1:15" x14ac:dyDescent="0.15">
      <c r="A94" s="12" t="b">
        <f>FALSE()</f>
        <v>0</v>
      </c>
      <c r="B94" s="12"/>
      <c r="C94" s="6" t="s">
        <v>655</v>
      </c>
      <c r="D94" s="6" t="s">
        <v>656</v>
      </c>
      <c r="E94" s="6" t="s">
        <v>17</v>
      </c>
      <c r="F94" s="6" t="s">
        <v>2537</v>
      </c>
      <c r="G94" s="6" t="s">
        <v>2538</v>
      </c>
      <c r="H94" s="6" t="str">
        <f t="shared" si="4"/>
        <v>att_celllines</v>
      </c>
      <c r="I94" s="6" t="s">
        <v>655</v>
      </c>
      <c r="J94" s="6" t="str">
        <f t="shared" si="5"/>
        <v>att_celllines:snb75</v>
      </c>
      <c r="K94" s="11" t="s">
        <v>21</v>
      </c>
      <c r="L94" s="6" t="s">
        <v>638</v>
      </c>
      <c r="M94" s="6" t="s">
        <v>2539</v>
      </c>
      <c r="N94" s="6" t="str">
        <f t="shared" si="6"/>
        <v>INSERT INTO attributes (parent_id, tag, name, priority, allow_as_filter, allow_for_dataset, allow_for_measurement, allow_for_users, allow_for_qc) VALUES (NULL, 'att_celllines',  'Celllines',  500,  TRUE, TRUE, TRUE, FALSE, FALSE);</v>
      </c>
      <c r="O94" s="6" t="str">
        <f t="shared" si="7"/>
        <v xml:space="preserve">INSERT INTO attribute_values (attribute_id, tag, name, details) VALUES ((SELECT id FROM attributes WHERE tag = 'att_celllines' LIMIT 1),  'att_celllines:snb75',  'SNB-75',  'Human NCI-60 cell line; central nervous system (CNS) tumor '); </v>
      </c>
    </row>
    <row r="95" spans="1:15" x14ac:dyDescent="0.15">
      <c r="A95" s="12" t="b">
        <f>FALSE()</f>
        <v>0</v>
      </c>
      <c r="B95" s="12"/>
      <c r="C95" s="6" t="s">
        <v>657</v>
      </c>
      <c r="D95" s="6" t="s">
        <v>658</v>
      </c>
      <c r="E95" s="6" t="s">
        <v>17</v>
      </c>
      <c r="F95" s="6" t="s">
        <v>2537</v>
      </c>
      <c r="G95" s="6" t="s">
        <v>2538</v>
      </c>
      <c r="H95" s="6" t="str">
        <f t="shared" si="4"/>
        <v>att_celllines</v>
      </c>
      <c r="I95" s="6" t="s">
        <v>657</v>
      </c>
      <c r="J95" s="6" t="str">
        <f t="shared" si="5"/>
        <v>att_celllines:sr</v>
      </c>
      <c r="K95" s="11" t="s">
        <v>21</v>
      </c>
      <c r="L95" s="6" t="s">
        <v>522</v>
      </c>
      <c r="M95" s="6" t="s">
        <v>2539</v>
      </c>
      <c r="N95" s="6" t="str">
        <f t="shared" si="6"/>
        <v>INSERT INTO attributes (parent_id, tag, name, priority, allow_as_filter, allow_for_dataset, allow_for_measurement, allow_for_users, allow_for_qc) VALUES (NULL, 'att_celllines',  'Celllines',  500,  TRUE, TRUE, TRUE, FALSE, FALSE);</v>
      </c>
      <c r="O95" s="6" t="str">
        <f t="shared" si="7"/>
        <v xml:space="preserve">INSERT INTO attribute_values (attribute_id, tag, name, details) VALUES ((SELECT id FROM attributes WHERE tag = 'att_celllines' LIMIT 1),  'att_celllines:sr',  'SR',  'Human NCI-60 cell line; Leukemia'); </v>
      </c>
    </row>
    <row r="96" spans="1:15" x14ac:dyDescent="0.15">
      <c r="A96" s="12" t="b">
        <f>FALSE()</f>
        <v>0</v>
      </c>
      <c r="B96" s="12"/>
      <c r="C96" s="6" t="s">
        <v>659</v>
      </c>
      <c r="D96" s="6" t="s">
        <v>660</v>
      </c>
      <c r="E96" s="6" t="s">
        <v>17</v>
      </c>
      <c r="F96" s="6" t="s">
        <v>2537</v>
      </c>
      <c r="G96" s="6" t="s">
        <v>2538</v>
      </c>
      <c r="H96" s="6" t="str">
        <f t="shared" si="4"/>
        <v>att_celllines</v>
      </c>
      <c r="I96" s="6" t="s">
        <v>659</v>
      </c>
      <c r="J96" s="6" t="str">
        <f t="shared" si="5"/>
        <v>att_celllines:sw620</v>
      </c>
      <c r="K96" s="11" t="s">
        <v>21</v>
      </c>
      <c r="L96" s="6" t="s">
        <v>519</v>
      </c>
      <c r="M96" s="6" t="s">
        <v>2539</v>
      </c>
      <c r="N96" s="6" t="str">
        <f t="shared" si="6"/>
        <v>INSERT INTO attributes (parent_id, tag, name, priority, allow_as_filter, allow_for_dataset, allow_for_measurement, allow_for_users, allow_for_qc) VALUES (NULL, 'att_celllines',  'Celllines',  500,  TRUE, TRUE, TRUE, FALSE, FALSE);</v>
      </c>
      <c r="O96" s="6" t="str">
        <f t="shared" si="7"/>
        <v xml:space="preserve">INSERT INTO attribute_values (attribute_id, tag, name, details) VALUES ((SELECT id FROM attributes WHERE tag = 'att_celllines' LIMIT 1),  'att_celllines:sw620',  'SW-620',  'Human NCI-60 cell line; Colon cancer'); </v>
      </c>
    </row>
    <row r="97" spans="1:15" x14ac:dyDescent="0.15">
      <c r="A97" s="12" t="b">
        <f>FALSE()</f>
        <v>0</v>
      </c>
      <c r="B97" s="12"/>
      <c r="C97" s="6" t="s">
        <v>661</v>
      </c>
      <c r="D97" s="6" t="s">
        <v>662</v>
      </c>
      <c r="E97" s="6" t="s">
        <v>17</v>
      </c>
      <c r="F97" s="6" t="s">
        <v>2537</v>
      </c>
      <c r="G97" s="6" t="s">
        <v>2538</v>
      </c>
      <c r="H97" s="6" t="str">
        <f t="shared" si="4"/>
        <v>att_celllines</v>
      </c>
      <c r="I97" s="6" t="s">
        <v>661</v>
      </c>
      <c r="J97" s="6" t="str">
        <f t="shared" si="5"/>
        <v>att_celllines:t47d</v>
      </c>
      <c r="K97" s="11" t="s">
        <v>21</v>
      </c>
      <c r="L97" s="6" t="s">
        <v>511</v>
      </c>
      <c r="M97" s="6" t="s">
        <v>2539</v>
      </c>
      <c r="N97" s="6" t="str">
        <f t="shared" si="6"/>
        <v>INSERT INTO attributes (parent_id, tag, name, priority, allow_as_filter, allow_for_dataset, allow_for_measurement, allow_for_users, allow_for_qc) VALUES (NULL, 'att_celllines',  'Celllines',  500,  TRUE, TRUE, TRUE, FALSE, FALSE);</v>
      </c>
      <c r="O97" s="6" t="str">
        <f t="shared" si="7"/>
        <v xml:space="preserve">INSERT INTO attribute_values (attribute_id, tag, name, details) VALUES ((SELECT id FROM attributes WHERE tag = 'att_celllines' LIMIT 1),  'att_celllines:t47d',  'T-47D',  'Human NCI-60 cell line; Breast Cancer'); </v>
      </c>
    </row>
    <row r="98" spans="1:15" x14ac:dyDescent="0.15">
      <c r="A98" s="12" t="b">
        <f>FALSE()</f>
        <v>0</v>
      </c>
      <c r="B98" s="12"/>
      <c r="C98" s="6" t="s">
        <v>663</v>
      </c>
      <c r="D98" s="6" t="s">
        <v>664</v>
      </c>
      <c r="E98" s="6" t="s">
        <v>17</v>
      </c>
      <c r="F98" s="6" t="s">
        <v>2537</v>
      </c>
      <c r="G98" s="6" t="s">
        <v>2538</v>
      </c>
      <c r="H98" s="6" t="str">
        <f t="shared" si="4"/>
        <v>att_celllines</v>
      </c>
      <c r="I98" s="6" t="s">
        <v>663</v>
      </c>
      <c r="J98" s="6" t="str">
        <f t="shared" si="5"/>
        <v>att_celllines:thp1</v>
      </c>
      <c r="K98" s="11" t="s">
        <v>21</v>
      </c>
      <c r="L98" s="6" t="s">
        <v>665</v>
      </c>
      <c r="M98" s="6" t="s">
        <v>17</v>
      </c>
      <c r="N98" s="6" t="str">
        <f t="shared" si="6"/>
        <v>INSERT INTO attributes (parent_id, tag, name, priority, allow_as_filter, allow_for_dataset, allow_for_measurement, allow_for_users, allow_for_qc) VALUES (NULL, 'att_celllines',  'Celllines',  500,  TRUE, TRUE, TRUE, FALSE, FALSE);</v>
      </c>
      <c r="O98" s="6" t="str">
        <f t="shared" si="7"/>
        <v xml:space="preserve">INSERT INTO attribute_values (attribute_id, tag, name, details) VALUES ((SELECT id FROM attributes WHERE tag = 'att_celllines' LIMIT 1),  'att_celllines:thp1',  'THP1',  'Human acute monocytic leukemia cell line'); </v>
      </c>
    </row>
    <row r="99" spans="1:15" x14ac:dyDescent="0.15">
      <c r="A99" s="12" t="b">
        <f>FALSE()</f>
        <v>0</v>
      </c>
      <c r="B99" s="12"/>
      <c r="C99" s="6" t="s">
        <v>666</v>
      </c>
      <c r="D99" s="6" t="s">
        <v>667</v>
      </c>
      <c r="E99" s="6" t="s">
        <v>17</v>
      </c>
      <c r="F99" s="6" t="s">
        <v>2537</v>
      </c>
      <c r="G99" s="6" t="s">
        <v>2538</v>
      </c>
      <c r="H99" s="6" t="str">
        <f t="shared" si="4"/>
        <v>att_celllines</v>
      </c>
      <c r="I99" s="6" t="s">
        <v>666</v>
      </c>
      <c r="J99" s="6" t="str">
        <f t="shared" si="5"/>
        <v>att_celllines:tk10</v>
      </c>
      <c r="K99" s="11" t="s">
        <v>21</v>
      </c>
      <c r="L99" s="6" t="s">
        <v>496</v>
      </c>
      <c r="M99" s="6" t="s">
        <v>2539</v>
      </c>
      <c r="N99" s="6" t="str">
        <f t="shared" si="6"/>
        <v>INSERT INTO attributes (parent_id, tag, name, priority, allow_as_filter, allow_for_dataset, allow_for_measurement, allow_for_users, allow_for_qc) VALUES (NULL, 'att_celllines',  'Celllines',  500,  TRUE, TRUE, TRUE, FALSE, FALSE);</v>
      </c>
      <c r="O99" s="6" t="str">
        <f t="shared" si="7"/>
        <v xml:space="preserve">INSERT INTO attribute_values (attribute_id, tag, name, details) VALUES ((SELECT id FROM attributes WHERE tag = 'att_celllines' LIMIT 1),  'att_celllines:tk10',  'TK-10',  'Human NCI-60 cell line; Renal Cancer'); </v>
      </c>
    </row>
    <row r="100" spans="1:15" x14ac:dyDescent="0.15">
      <c r="A100" s="12" t="b">
        <f>FALSE()</f>
        <v>0</v>
      </c>
      <c r="B100" s="12"/>
      <c r="C100" s="6" t="s">
        <v>668</v>
      </c>
      <c r="D100" s="6" t="s">
        <v>669</v>
      </c>
      <c r="E100" s="6" t="s">
        <v>17</v>
      </c>
      <c r="F100" s="6" t="s">
        <v>2537</v>
      </c>
      <c r="G100" s="6" t="s">
        <v>2538</v>
      </c>
      <c r="H100" s="6" t="str">
        <f t="shared" si="4"/>
        <v>att_celllines</v>
      </c>
      <c r="I100" s="6" t="s">
        <v>668</v>
      </c>
      <c r="J100" s="6" t="str">
        <f t="shared" si="5"/>
        <v>att_celllines:u251</v>
      </c>
      <c r="K100" s="11" t="s">
        <v>21</v>
      </c>
      <c r="L100" s="6" t="s">
        <v>638</v>
      </c>
      <c r="M100" s="6" t="s">
        <v>2539</v>
      </c>
      <c r="N100" s="6" t="str">
        <f t="shared" si="6"/>
        <v>INSERT INTO attributes (parent_id, tag, name, priority, allow_as_filter, allow_for_dataset, allow_for_measurement, allow_for_users, allow_for_qc) VALUES (NULL, 'att_celllines',  'Celllines',  500,  TRUE, TRUE, TRUE, FALSE, FALSE);</v>
      </c>
      <c r="O100" s="6" t="str">
        <f t="shared" si="7"/>
        <v xml:space="preserve">INSERT INTO attribute_values (attribute_id, tag, name, details) VALUES ((SELECT id FROM attributes WHERE tag = 'att_celllines' LIMIT 1),  'att_celllines:u251',  'U251',  'Human NCI-60 cell line; central nervous system (CNS) tumor '); </v>
      </c>
    </row>
    <row r="101" spans="1:15" x14ac:dyDescent="0.15">
      <c r="A101" s="12" t="b">
        <f>FALSE()</f>
        <v>0</v>
      </c>
      <c r="B101" s="12"/>
      <c r="C101" s="6" t="s">
        <v>670</v>
      </c>
      <c r="D101" s="6" t="s">
        <v>671</v>
      </c>
      <c r="E101" s="6" t="s">
        <v>17</v>
      </c>
      <c r="F101" s="6" t="s">
        <v>2537</v>
      </c>
      <c r="G101" s="6" t="s">
        <v>2538</v>
      </c>
      <c r="H101" s="6" t="str">
        <f t="shared" si="4"/>
        <v>att_celllines</v>
      </c>
      <c r="I101" s="6" t="s">
        <v>670</v>
      </c>
      <c r="J101" s="6" t="str">
        <f t="shared" si="5"/>
        <v>att_celllines:u937</v>
      </c>
      <c r="K101" s="11" t="s">
        <v>21</v>
      </c>
      <c r="L101" s="6" t="s">
        <v>672</v>
      </c>
      <c r="M101" s="6" t="s">
        <v>17</v>
      </c>
      <c r="N101" s="6" t="str">
        <f t="shared" si="6"/>
        <v>INSERT INTO attributes (parent_id, tag, name, priority, allow_as_filter, allow_for_dataset, allow_for_measurement, allow_for_users, allow_for_qc) VALUES (NULL, 'att_celllines',  'Celllines',  500,  TRUE, TRUE, TRUE, FALSE, FALSE);</v>
      </c>
      <c r="O101" s="6" t="str">
        <f t="shared" si="7"/>
        <v xml:space="preserve">INSERT INTO attribute_values (attribute_id, tag, name, details) VALUES ((SELECT id FROM attributes WHERE tag = 'att_celllines' LIMIT 1),  'att_celllines:u937',  'U937',  'Pro-monocytic model cell line isolated from histiocytic lymphoma'); </v>
      </c>
    </row>
    <row r="102" spans="1:15" x14ac:dyDescent="0.15">
      <c r="A102" s="12" t="b">
        <f>FALSE()</f>
        <v>0</v>
      </c>
      <c r="B102" s="12"/>
      <c r="C102" s="6" t="s">
        <v>673</v>
      </c>
      <c r="D102" s="6" t="s">
        <v>674</v>
      </c>
      <c r="E102" s="6" t="s">
        <v>17</v>
      </c>
      <c r="F102" s="6" t="s">
        <v>2537</v>
      </c>
      <c r="G102" s="6" t="s">
        <v>2538</v>
      </c>
      <c r="H102" s="6" t="str">
        <f t="shared" si="4"/>
        <v>att_celllines</v>
      </c>
      <c r="I102" s="6" t="s">
        <v>673</v>
      </c>
      <c r="J102" s="6" t="str">
        <f t="shared" si="5"/>
        <v>att_celllines:uacc257</v>
      </c>
      <c r="K102" s="11" t="s">
        <v>21</v>
      </c>
      <c r="L102" s="6" t="s">
        <v>575</v>
      </c>
      <c r="M102" s="6" t="s">
        <v>2539</v>
      </c>
      <c r="N102" s="6" t="str">
        <f t="shared" si="6"/>
        <v>INSERT INTO attributes (parent_id, tag, name, priority, allow_as_filter, allow_for_dataset, allow_for_measurement, allow_for_users, allow_for_qc) VALUES (NULL, 'att_celllines',  'Celllines',  500,  TRUE, TRUE, TRUE, FALSE, FALSE);</v>
      </c>
      <c r="O102" s="6" t="str">
        <f t="shared" si="7"/>
        <v xml:space="preserve">INSERT INTO attribute_values (attribute_id, tag, name, details) VALUES ((SELECT id FROM attributes WHERE tag = 'att_celllines' LIMIT 1),  'att_celllines:uacc257',  'UACC-257',  'Human NCI-60 cell line; Melanoma'); </v>
      </c>
    </row>
    <row r="103" spans="1:15" x14ac:dyDescent="0.15">
      <c r="A103" s="12" t="b">
        <f>FALSE()</f>
        <v>0</v>
      </c>
      <c r="B103" s="12"/>
      <c r="C103" s="6" t="s">
        <v>675</v>
      </c>
      <c r="D103" s="6" t="s">
        <v>676</v>
      </c>
      <c r="E103" s="6" t="s">
        <v>17</v>
      </c>
      <c r="F103" s="6" t="s">
        <v>2537</v>
      </c>
      <c r="G103" s="6" t="s">
        <v>2538</v>
      </c>
      <c r="H103" s="6" t="str">
        <f t="shared" si="4"/>
        <v>att_celllines</v>
      </c>
      <c r="I103" s="6" t="s">
        <v>675</v>
      </c>
      <c r="J103" s="6" t="str">
        <f t="shared" si="5"/>
        <v>att_celllines:uacc62</v>
      </c>
      <c r="K103" s="11" t="s">
        <v>21</v>
      </c>
      <c r="L103" s="6" t="s">
        <v>575</v>
      </c>
      <c r="M103" s="6" t="s">
        <v>2539</v>
      </c>
      <c r="N103" s="6" t="str">
        <f t="shared" si="6"/>
        <v>INSERT INTO attributes (parent_id, tag, name, priority, allow_as_filter, allow_for_dataset, allow_for_measurement, allow_for_users, allow_for_qc) VALUES (NULL, 'att_celllines',  'Celllines',  500,  TRUE, TRUE, TRUE, FALSE, FALSE);</v>
      </c>
      <c r="O103" s="6" t="str">
        <f t="shared" si="7"/>
        <v xml:space="preserve">INSERT INTO attribute_values (attribute_id, tag, name, details) VALUES ((SELECT id FROM attributes WHERE tag = 'att_celllines' LIMIT 1),  'att_celllines:uacc62',  'UACC-62',  'Human NCI-60 cell line; Melanoma'); </v>
      </c>
    </row>
    <row r="104" spans="1:15" x14ac:dyDescent="0.15">
      <c r="A104" s="12" t="b">
        <f>FALSE()</f>
        <v>0</v>
      </c>
      <c r="B104" s="12"/>
      <c r="C104" s="6" t="s">
        <v>677</v>
      </c>
      <c r="D104" s="6" t="s">
        <v>678</v>
      </c>
      <c r="E104" s="6" t="s">
        <v>17</v>
      </c>
      <c r="F104" s="6" t="s">
        <v>2537</v>
      </c>
      <c r="G104" s="6" t="s">
        <v>2538</v>
      </c>
      <c r="H104" s="6" t="str">
        <f t="shared" si="4"/>
        <v>att_celllines</v>
      </c>
      <c r="I104" s="6" t="s">
        <v>677</v>
      </c>
      <c r="J104" s="6" t="str">
        <f t="shared" si="5"/>
        <v>att_celllines:uo31</v>
      </c>
      <c r="K104" s="11" t="s">
        <v>21</v>
      </c>
      <c r="L104" s="6" t="s">
        <v>496</v>
      </c>
      <c r="M104" s="6" t="s">
        <v>2539</v>
      </c>
      <c r="N104" s="6" t="str">
        <f t="shared" si="6"/>
        <v>INSERT INTO attributes (parent_id, tag, name, priority, allow_as_filter, allow_for_dataset, allow_for_measurement, allow_for_users, allow_for_qc) VALUES (NULL, 'att_celllines',  'Celllines',  500,  TRUE, TRUE, TRUE, FALSE, FALSE);</v>
      </c>
      <c r="O104" s="6" t="str">
        <f t="shared" si="7"/>
        <v xml:space="preserve">INSERT INTO attribute_values (attribute_id, tag, name, details) VALUES ((SELECT id FROM attributes WHERE tag = 'att_celllines' LIMIT 1),  'att_celllines:uo31',  'UO-31',  'Human NCI-60 cell line; Renal Cancer'); </v>
      </c>
    </row>
    <row r="105" spans="1:15" x14ac:dyDescent="0.15">
      <c r="A105" s="12" t="b">
        <f>FALSE()</f>
        <v>0</v>
      </c>
      <c r="B105" s="12"/>
      <c r="C105" s="6" t="s">
        <v>679</v>
      </c>
      <c r="D105" s="6" t="s">
        <v>680</v>
      </c>
      <c r="E105" s="6" t="s">
        <v>17</v>
      </c>
      <c r="F105" s="6" t="s">
        <v>2537</v>
      </c>
      <c r="G105" s="6" t="s">
        <v>2538</v>
      </c>
      <c r="H105" s="6" t="str">
        <f t="shared" si="4"/>
        <v>att_celllines</v>
      </c>
      <c r="I105" s="6" t="s">
        <v>679</v>
      </c>
      <c r="J105" s="6" t="str">
        <f t="shared" si="5"/>
        <v>att_celllines:z138</v>
      </c>
      <c r="K105" s="11" t="s">
        <v>21</v>
      </c>
      <c r="L105" s="6" t="s">
        <v>561</v>
      </c>
      <c r="M105" s="6" t="s">
        <v>17</v>
      </c>
      <c r="N105" s="6" t="str">
        <f t="shared" si="6"/>
        <v>INSERT INTO attributes (parent_id, tag, name, priority, allow_as_filter, allow_for_dataset, allow_for_measurement, allow_for_users, allow_for_qc) VALUES (NULL, 'att_celllines',  'Celllines',  500,  TRUE, TRUE, TRUE, FALSE, FALSE);</v>
      </c>
      <c r="O105" s="6" t="str">
        <f t="shared" si="7"/>
        <v xml:space="preserve">INSERT INTO attribute_values (attribute_id, tag, name, details) VALUES ((SELECT id FROM attributes WHERE tag = 'att_celllines' LIMIT 1),  'att_celllines:z138',  'Z-138',  'Human Mantle cell lymphoma'); </v>
      </c>
    </row>
    <row r="106" spans="1:15" x14ac:dyDescent="0.15">
      <c r="A106" s="12" t="b">
        <f>FALSE()</f>
        <v>0</v>
      </c>
      <c r="B106" s="12"/>
      <c r="C106" s="6" t="s">
        <v>408</v>
      </c>
      <c r="D106" s="6" t="s">
        <v>409</v>
      </c>
      <c r="E106" s="6" t="s">
        <v>17</v>
      </c>
      <c r="F106" s="6" t="s">
        <v>2541</v>
      </c>
      <c r="G106" s="6" t="s">
        <v>2542</v>
      </c>
      <c r="H106" s="6" t="str">
        <f t="shared" si="4"/>
        <v>att_cells</v>
      </c>
      <c r="I106" s="6" t="s">
        <v>407</v>
      </c>
      <c r="J106" s="6" t="str">
        <f t="shared" si="5"/>
        <v>att_cells:adipose_macrophages</v>
      </c>
      <c r="K106" s="11" t="s">
        <v>21</v>
      </c>
      <c r="L106" s="6" t="s">
        <v>410</v>
      </c>
      <c r="M106" s="6" t="s">
        <v>17</v>
      </c>
      <c r="N106" s="6" t="str">
        <f t="shared" si="6"/>
        <v>INSERT INTO attributes (parent_id, tag, name, priority, allow_as_filter, allow_for_dataset, allow_for_measurement, allow_for_users, allow_for_qc) VALUES (NULL, 'att_cells',  'Cells',  500,  TRUE, TRUE, TRUE, FALSE, FALSE);</v>
      </c>
      <c r="O106" s="6" t="str">
        <f t="shared" si="7"/>
        <v xml:space="preserve">INSERT INTO attribute_values (attribute_id, tag, name, details) VALUES ((SELECT id FROM attributes WHERE tag = 'att_cells' LIMIT 1),  'att_cells:adipose_macrophages',  'Adipose Macrophages',  'Adipose tissue macrophages'); </v>
      </c>
    </row>
    <row r="107" spans="1:15" x14ac:dyDescent="0.15">
      <c r="A107" s="12" t="b">
        <f>FALSE()</f>
        <v>0</v>
      </c>
      <c r="B107" s="12"/>
      <c r="C107" s="6" t="s">
        <v>411</v>
      </c>
      <c r="D107" s="6" t="s">
        <v>369</v>
      </c>
      <c r="E107" s="6" t="s">
        <v>17</v>
      </c>
      <c r="F107" s="6" t="s">
        <v>2541</v>
      </c>
      <c r="G107" s="6" t="s">
        <v>2542</v>
      </c>
      <c r="H107" s="6" t="str">
        <f t="shared" si="4"/>
        <v>att_cells</v>
      </c>
      <c r="I107" s="6" t="s">
        <v>411</v>
      </c>
      <c r="J107" s="6" t="str">
        <f t="shared" si="5"/>
        <v>att_cells:astrocytes</v>
      </c>
      <c r="K107" s="11" t="s">
        <v>21</v>
      </c>
      <c r="L107" s="6" t="s">
        <v>369</v>
      </c>
      <c r="M107" s="6" t="s">
        <v>17</v>
      </c>
      <c r="N107" s="6" t="str">
        <f t="shared" si="6"/>
        <v>INSERT INTO attributes (parent_id, tag, name, priority, allow_as_filter, allow_for_dataset, allow_for_measurement, allow_for_users, allow_for_qc) VALUES (NULL, 'att_cells',  'Cells',  500,  TRUE, TRUE, TRUE, FALSE, FALSE);</v>
      </c>
      <c r="O107" s="6" t="str">
        <f t="shared" si="7"/>
        <v xml:space="preserve">INSERT INTO attribute_values (attribute_id, tag, name, details) VALUES ((SELECT id FROM attributes WHERE tag = 'att_cells' LIMIT 1),  'att_cells:astrocytes',  'Astrocytes',  'Astrocytes'); </v>
      </c>
    </row>
    <row r="108" spans="1:15" x14ac:dyDescent="0.15">
      <c r="A108" s="12" t="b">
        <f>FALSE()</f>
        <v>0</v>
      </c>
      <c r="B108" s="12"/>
      <c r="C108" s="6" t="s">
        <v>412</v>
      </c>
      <c r="D108" s="6" t="s">
        <v>413</v>
      </c>
      <c r="E108" s="6" t="s">
        <v>17</v>
      </c>
      <c r="F108" s="6" t="s">
        <v>2541</v>
      </c>
      <c r="G108" s="6" t="s">
        <v>2542</v>
      </c>
      <c r="H108" s="6" t="str">
        <f t="shared" si="4"/>
        <v>att_cells</v>
      </c>
      <c r="I108" s="6" t="s">
        <v>412</v>
      </c>
      <c r="J108" s="6" t="str">
        <f t="shared" si="5"/>
        <v>att_cells:basophils</v>
      </c>
      <c r="K108" s="11" t="s">
        <v>21</v>
      </c>
      <c r="L108" s="6" t="s">
        <v>414</v>
      </c>
      <c r="M108" s="6" t="s">
        <v>17</v>
      </c>
      <c r="N108" s="6" t="str">
        <f t="shared" si="6"/>
        <v>INSERT INTO attributes (parent_id, tag, name, priority, allow_as_filter, allow_for_dataset, allow_for_measurement, allow_for_users, allow_for_qc) VALUES (NULL, 'att_cells',  'Cells',  500,  TRUE, TRUE, TRUE, FALSE, FALSE);</v>
      </c>
      <c r="O108" s="6" t="str">
        <f t="shared" si="7"/>
        <v xml:space="preserve">INSERT INTO attribute_values (attribute_id, tag, name, details) VALUES ((SELECT id FROM attributes WHERE tag = 'att_cells' LIMIT 1),  'att_cells:basophils',  'Basophils',  '&lt; 1% of leukocytes'); </v>
      </c>
    </row>
    <row r="109" spans="1:15" x14ac:dyDescent="0.15">
      <c r="A109" s="12" t="b">
        <f>FALSE()</f>
        <v>0</v>
      </c>
      <c r="B109" s="12"/>
      <c r="C109" s="6" t="s">
        <v>415</v>
      </c>
      <c r="D109" s="6" t="s">
        <v>416</v>
      </c>
      <c r="E109" s="6" t="s">
        <v>17</v>
      </c>
      <c r="F109" s="6" t="s">
        <v>2541</v>
      </c>
      <c r="G109" s="6" t="s">
        <v>2542</v>
      </c>
      <c r="H109" s="6" t="str">
        <f t="shared" si="4"/>
        <v>att_cells</v>
      </c>
      <c r="I109" s="6" t="s">
        <v>415</v>
      </c>
      <c r="J109" s="6" t="str">
        <f t="shared" si="5"/>
        <v>att_cells:bcells</v>
      </c>
      <c r="K109" s="11" t="s">
        <v>21</v>
      </c>
      <c r="L109" s="6" t="s">
        <v>416</v>
      </c>
      <c r="M109" s="6" t="s">
        <v>17</v>
      </c>
      <c r="N109" s="6" t="str">
        <f t="shared" si="6"/>
        <v>INSERT INTO attributes (parent_id, tag, name, priority, allow_as_filter, allow_for_dataset, allow_for_measurement, allow_for_users, allow_for_qc) VALUES (NULL, 'att_cells',  'Cells',  500,  TRUE, TRUE, TRUE, FALSE, FALSE);</v>
      </c>
      <c r="O109" s="6" t="str">
        <f t="shared" si="7"/>
        <v xml:space="preserve">INSERT INTO attribute_values (attribute_id, tag, name, details) VALUES ((SELECT id FROM attributes WHERE tag = 'att_cells' LIMIT 1),  'att_cells:bcells',  'B cells',  'B cells'); </v>
      </c>
    </row>
    <row r="110" spans="1:15" x14ac:dyDescent="0.15">
      <c r="A110" s="12" t="b">
        <f>FALSE()</f>
        <v>0</v>
      </c>
      <c r="B110" s="12"/>
      <c r="C110" s="6" t="s">
        <v>417</v>
      </c>
      <c r="D110" s="6" t="s">
        <v>418</v>
      </c>
      <c r="E110" s="6" t="s">
        <v>17</v>
      </c>
      <c r="F110" s="6" t="s">
        <v>2541</v>
      </c>
      <c r="G110" s="6" t="s">
        <v>2542</v>
      </c>
      <c r="H110" s="6" t="str">
        <f t="shared" si="4"/>
        <v>att_cells</v>
      </c>
      <c r="I110" s="6" t="s">
        <v>417</v>
      </c>
      <c r="J110" s="6" t="str">
        <f t="shared" si="5"/>
        <v>att_cells:cytotoxict</v>
      </c>
      <c r="K110" s="11" t="s">
        <v>21</v>
      </c>
      <c r="L110" s="6" t="s">
        <v>419</v>
      </c>
      <c r="M110" s="6" t="s">
        <v>17</v>
      </c>
      <c r="N110" s="6" t="str">
        <f t="shared" si="6"/>
        <v>INSERT INTO attributes (parent_id, tag, name, priority, allow_as_filter, allow_for_dataset, allow_for_measurement, allow_for_users, allow_for_qc) VALUES (NULL, 'att_cells',  'Cells',  500,  TRUE, TRUE, TRUE, FALSE, FALSE);</v>
      </c>
      <c r="O110" s="6" t="str">
        <f t="shared" si="7"/>
        <v xml:space="preserve">INSERT INTO attribute_values (attribute_id, tag, name, details) VALUES ((SELECT id FROM attributes WHERE tag = 'att_cells' LIMIT 1),  'att_cells:cytotoxict',  'Cytotoxic T cells',  'CD8+ cytotoxic T cells'); </v>
      </c>
    </row>
    <row r="111" spans="1:15" x14ac:dyDescent="0.15">
      <c r="A111" s="12" t="b">
        <f>FALSE()</f>
        <v>0</v>
      </c>
      <c r="B111" s="12"/>
      <c r="C111" s="6" t="s">
        <v>420</v>
      </c>
      <c r="D111" s="6" t="s">
        <v>421</v>
      </c>
      <c r="E111" s="6" t="s">
        <v>17</v>
      </c>
      <c r="F111" s="6" t="s">
        <v>2541</v>
      </c>
      <c r="G111" s="6" t="s">
        <v>2542</v>
      </c>
      <c r="H111" s="6" t="str">
        <f t="shared" si="4"/>
        <v>att_cells</v>
      </c>
      <c r="I111" s="6" t="s">
        <v>420</v>
      </c>
      <c r="J111" s="6" t="str">
        <f t="shared" si="5"/>
        <v>att_cells:endothelial</v>
      </c>
      <c r="K111" s="11" t="s">
        <v>21</v>
      </c>
      <c r="L111" s="6" t="s">
        <v>422</v>
      </c>
      <c r="M111" s="6" t="s">
        <v>17</v>
      </c>
      <c r="N111" s="6" t="str">
        <f t="shared" si="6"/>
        <v>INSERT INTO attributes (parent_id, tag, name, priority, allow_as_filter, allow_for_dataset, allow_for_measurement, allow_for_users, allow_for_qc) VALUES (NULL, 'att_cells',  'Cells',  500,  TRUE, TRUE, TRUE, FALSE, FALSE);</v>
      </c>
      <c r="O111" s="6" t="str">
        <f t="shared" si="7"/>
        <v xml:space="preserve">INSERT INTO attribute_values (attribute_id, tag, name, details) VALUES ((SELECT id FROM attributes WHERE tag = 'att_cells' LIMIT 1),  'att_cells:endothelial',  'Endothelial',  'Interior surface cells of blood vessels and lymphatic vessels'); </v>
      </c>
    </row>
    <row r="112" spans="1:15" x14ac:dyDescent="0.15">
      <c r="A112" s="12" t="b">
        <f>FALSE()</f>
        <v>0</v>
      </c>
      <c r="B112" s="12"/>
      <c r="C112" s="6" t="s">
        <v>423</v>
      </c>
      <c r="D112" s="6" t="s">
        <v>424</v>
      </c>
      <c r="E112" s="6" t="s">
        <v>17</v>
      </c>
      <c r="F112" s="6" t="s">
        <v>2541</v>
      </c>
      <c r="G112" s="6" t="s">
        <v>2542</v>
      </c>
      <c r="H112" s="6" t="str">
        <f t="shared" si="4"/>
        <v>att_cells</v>
      </c>
      <c r="I112" s="6" t="s">
        <v>423</v>
      </c>
      <c r="J112" s="6" t="str">
        <f t="shared" si="5"/>
        <v>att_cells:eosinophils</v>
      </c>
      <c r="K112" s="11" t="s">
        <v>21</v>
      </c>
      <c r="L112" s="6" t="s">
        <v>425</v>
      </c>
      <c r="M112" s="6" t="s">
        <v>17</v>
      </c>
      <c r="N112" s="6" t="str">
        <f t="shared" si="6"/>
        <v>INSERT INTO attributes (parent_id, tag, name, priority, allow_as_filter, allow_for_dataset, allow_for_measurement, allow_for_users, allow_for_qc) VALUES (NULL, 'att_cells',  'Cells',  500,  TRUE, TRUE, TRUE, FALSE, FALSE);</v>
      </c>
      <c r="O112" s="6" t="str">
        <f t="shared" si="7"/>
        <v xml:space="preserve">INSERT INTO attribute_values (attribute_id, tag, name, details) VALUES ((SELECT id FROM attributes WHERE tag = 'att_cells' LIMIT 1),  'att_cells:eosinophils',  'Eosinophils',  '2% of leukocytes'); </v>
      </c>
    </row>
    <row r="113" spans="1:15" x14ac:dyDescent="0.15">
      <c r="A113" s="12" t="b">
        <f>FALSE()</f>
        <v>0</v>
      </c>
      <c r="B113" s="12"/>
      <c r="C113" s="6" t="s">
        <v>426</v>
      </c>
      <c r="D113" s="6" t="s">
        <v>427</v>
      </c>
      <c r="E113" s="6" t="s">
        <v>17</v>
      </c>
      <c r="F113" s="6" t="s">
        <v>2541</v>
      </c>
      <c r="G113" s="6" t="s">
        <v>2542</v>
      </c>
      <c r="H113" s="6" t="str">
        <f t="shared" si="4"/>
        <v>att_cells</v>
      </c>
      <c r="I113" s="6" t="s">
        <v>426</v>
      </c>
      <c r="J113" s="6" t="str">
        <f t="shared" si="5"/>
        <v>att_cells:epithelioid</v>
      </c>
      <c r="K113" s="11" t="s">
        <v>21</v>
      </c>
      <c r="L113" s="6" t="s">
        <v>428</v>
      </c>
      <c r="M113" s="6" t="s">
        <v>17</v>
      </c>
      <c r="N113" s="6" t="str">
        <f t="shared" si="6"/>
        <v>INSERT INTO attributes (parent_id, tag, name, priority, allow_as_filter, allow_for_dataset, allow_for_measurement, allow_for_users, allow_for_qc) VALUES (NULL, 'att_cells',  'Cells',  500,  TRUE, TRUE, TRUE, FALSE, FALSE);</v>
      </c>
      <c r="O113" s="6" t="str">
        <f t="shared" si="7"/>
        <v xml:space="preserve">INSERT INTO attribute_values (attribute_id, tag, name, details) VALUES ((SELECT id FROM attributes WHERE tag = 'att_cells' LIMIT 1),  'att_cells:epithelioid',  'Epithelioid',  'Granulomas'); </v>
      </c>
    </row>
    <row r="114" spans="1:15" x14ac:dyDescent="0.15">
      <c r="A114" s="12" t="b">
        <f>FALSE()</f>
        <v>0</v>
      </c>
      <c r="B114" s="12"/>
      <c r="C114" s="6" t="s">
        <v>429</v>
      </c>
      <c r="D114" s="6" t="s">
        <v>430</v>
      </c>
      <c r="E114" s="6" t="s">
        <v>17</v>
      </c>
      <c r="F114" s="6" t="s">
        <v>2541</v>
      </c>
      <c r="G114" s="6" t="s">
        <v>2542</v>
      </c>
      <c r="H114" s="6" t="str">
        <f t="shared" si="4"/>
        <v>att_cells</v>
      </c>
      <c r="I114" s="6" t="s">
        <v>429</v>
      </c>
      <c r="J114" s="6" t="str">
        <f t="shared" si="5"/>
        <v>att_cells:erythrocytes</v>
      </c>
      <c r="K114" s="11" t="s">
        <v>21</v>
      </c>
      <c r="L114" s="6" t="s">
        <v>431</v>
      </c>
      <c r="M114" s="6" t="s">
        <v>17</v>
      </c>
      <c r="N114" s="6" t="str">
        <f t="shared" si="6"/>
        <v>INSERT INTO attributes (parent_id, tag, name, priority, allow_as_filter, allow_for_dataset, allow_for_measurement, allow_for_users, allow_for_qc) VALUES (NULL, 'att_cells',  'Cells',  500,  TRUE, TRUE, TRUE, FALSE, FALSE);</v>
      </c>
      <c r="O114" s="6" t="str">
        <f t="shared" si="7"/>
        <v xml:space="preserve">INSERT INTO attribute_values (attribute_id, tag, name, details) VALUES ((SELECT id FROM attributes WHERE tag = 'att_cells' LIMIT 1),  'att_cells:erythrocytes',  'Erythrocytes',  'Red blood cells'); </v>
      </c>
    </row>
    <row r="115" spans="1:15" x14ac:dyDescent="0.15">
      <c r="A115" s="12" t="b">
        <f>FALSE()</f>
        <v>0</v>
      </c>
      <c r="B115" s="12"/>
      <c r="C115" s="6" t="s">
        <v>432</v>
      </c>
      <c r="D115" s="6" t="s">
        <v>433</v>
      </c>
      <c r="E115" s="6" t="s">
        <v>17</v>
      </c>
      <c r="F115" s="6" t="s">
        <v>2541</v>
      </c>
      <c r="G115" s="6" t="s">
        <v>2542</v>
      </c>
      <c r="H115" s="6" t="str">
        <f t="shared" si="4"/>
        <v>att_cells</v>
      </c>
      <c r="I115" s="6" t="s">
        <v>432</v>
      </c>
      <c r="J115" s="6" t="str">
        <f t="shared" si="5"/>
        <v>att_cells:gammadeltat</v>
      </c>
      <c r="K115" s="11" t="s">
        <v>21</v>
      </c>
      <c r="L115" s="6" t="s">
        <v>434</v>
      </c>
      <c r="M115" s="6" t="s">
        <v>17</v>
      </c>
      <c r="N115" s="6" t="str">
        <f t="shared" si="6"/>
        <v>INSERT INTO attributes (parent_id, tag, name, priority, allow_as_filter, allow_for_dataset, allow_for_measurement, allow_for_users, allow_for_qc) VALUES (NULL, 'att_cells',  'Cells',  500,  TRUE, TRUE, TRUE, FALSE, FALSE);</v>
      </c>
      <c r="O115" s="6" t="str">
        <f t="shared" si="7"/>
        <v xml:space="preserve">INSERT INTO attribute_values (attribute_id, tag, name, details) VALUES ((SELECT id FROM attributes WHERE tag = 'att_cells' LIMIT 1),  'att_cells:gammadeltat',  'Gamma Delta T cells',  'Gamma delta T cells'); </v>
      </c>
    </row>
    <row r="116" spans="1:15" x14ac:dyDescent="0.15">
      <c r="A116" s="12" t="b">
        <f>FALSE()</f>
        <v>0</v>
      </c>
      <c r="B116" s="12"/>
      <c r="C116" s="6" t="s">
        <v>435</v>
      </c>
      <c r="D116" s="6" t="s">
        <v>436</v>
      </c>
      <c r="E116" s="6" t="s">
        <v>17</v>
      </c>
      <c r="F116" s="6" t="s">
        <v>2541</v>
      </c>
      <c r="G116" s="6" t="s">
        <v>2542</v>
      </c>
      <c r="H116" s="6" t="str">
        <f t="shared" si="4"/>
        <v>att_cells</v>
      </c>
      <c r="I116" s="6" t="s">
        <v>435</v>
      </c>
      <c r="J116" s="6" t="str">
        <f t="shared" si="5"/>
        <v>att_cells:hofbauer</v>
      </c>
      <c r="K116" s="11" t="s">
        <v>21</v>
      </c>
      <c r="L116" s="6" t="s">
        <v>437</v>
      </c>
      <c r="M116" s="6" t="s">
        <v>17</v>
      </c>
      <c r="N116" s="6" t="str">
        <f t="shared" si="6"/>
        <v>INSERT INTO attributes (parent_id, tag, name, priority, allow_as_filter, allow_for_dataset, allow_for_measurement, allow_for_users, allow_for_qc) VALUES (NULL, 'att_cells',  'Cells',  500,  TRUE, TRUE, TRUE, FALSE, FALSE);</v>
      </c>
      <c r="O116" s="6" t="str">
        <f t="shared" si="7"/>
        <v xml:space="preserve">INSERT INTO attribute_values (attribute_id, tag, name, details) VALUES ((SELECT id FROM attributes WHERE tag = 'att_cells' LIMIT 1),  'att_cells:hofbauer',  'Hofbauer',  'Hofbauer cells; Placenta'); </v>
      </c>
    </row>
    <row r="117" spans="1:15" x14ac:dyDescent="0.15">
      <c r="A117" s="12" t="b">
        <f>FALSE()</f>
        <v>0</v>
      </c>
      <c r="B117" s="12"/>
      <c r="C117" s="6" t="s">
        <v>438</v>
      </c>
      <c r="D117" s="6" t="s">
        <v>439</v>
      </c>
      <c r="E117" s="6" t="s">
        <v>17</v>
      </c>
      <c r="F117" s="6" t="s">
        <v>2541</v>
      </c>
      <c r="G117" s="6" t="s">
        <v>2542</v>
      </c>
      <c r="H117" s="6" t="str">
        <f t="shared" si="4"/>
        <v>att_cells</v>
      </c>
      <c r="I117" s="6" t="s">
        <v>438</v>
      </c>
      <c r="J117" s="6" t="str">
        <f t="shared" si="5"/>
        <v>att_cells:keratinocytes</v>
      </c>
      <c r="K117" s="11" t="s">
        <v>21</v>
      </c>
      <c r="L117" s="6" t="s">
        <v>440</v>
      </c>
      <c r="M117" s="6" t="s">
        <v>17</v>
      </c>
      <c r="N117" s="6" t="str">
        <f t="shared" si="6"/>
        <v>INSERT INTO attributes (parent_id, tag, name, priority, allow_as_filter, allow_for_dataset, allow_for_measurement, allow_for_users, allow_for_qc) VALUES (NULL, 'att_cells',  'Cells',  500,  TRUE, TRUE, TRUE, FALSE, FALSE);</v>
      </c>
      <c r="O117" s="6" t="str">
        <f t="shared" si="7"/>
        <v xml:space="preserve">INSERT INTO attribute_values (attribute_id, tag, name, details) VALUES ((SELECT id FROM attributes WHERE tag = 'att_cells' LIMIT 1),  'att_cells:keratinocytes',  'Keratinocytes',  'Most prominent cell within the epidermis.'); </v>
      </c>
    </row>
    <row r="118" spans="1:15" x14ac:dyDescent="0.15">
      <c r="A118" s="12" t="b">
        <f>FALSE()</f>
        <v>0</v>
      </c>
      <c r="B118" s="12"/>
      <c r="C118" s="6" t="s">
        <v>441</v>
      </c>
      <c r="D118" s="6" t="s">
        <v>442</v>
      </c>
      <c r="E118" s="6" t="s">
        <v>17</v>
      </c>
      <c r="F118" s="6" t="s">
        <v>2541</v>
      </c>
      <c r="G118" s="6" t="s">
        <v>2542</v>
      </c>
      <c r="H118" s="6" t="str">
        <f t="shared" si="4"/>
        <v>att_cells</v>
      </c>
      <c r="I118" s="6" t="s">
        <v>441</v>
      </c>
      <c r="J118" s="6" t="str">
        <f t="shared" si="5"/>
        <v>att_cells:kupffer</v>
      </c>
      <c r="K118" s="11" t="s">
        <v>21</v>
      </c>
      <c r="L118" s="6" t="s">
        <v>443</v>
      </c>
      <c r="M118" s="6" t="s">
        <v>17</v>
      </c>
      <c r="N118" s="6" t="str">
        <f t="shared" si="6"/>
        <v>INSERT INTO attributes (parent_id, tag, name, priority, allow_as_filter, allow_for_dataset, allow_for_measurement, allow_for_users, allow_for_qc) VALUES (NULL, 'att_cells',  'Cells',  500,  TRUE, TRUE, TRUE, FALSE, FALSE);</v>
      </c>
      <c r="O118" s="6" t="str">
        <f t="shared" si="7"/>
        <v xml:space="preserve">INSERT INTO attribute_values (attribute_id, tag, name, details) VALUES ((SELECT id FROM attributes WHERE tag = 'att_cells' LIMIT 1),  'att_cells:kupffer',  'Kupffer',  'Kupffer cells; Liver'); </v>
      </c>
    </row>
    <row r="119" spans="1:15" x14ac:dyDescent="0.15">
      <c r="A119" s="12" t="b">
        <f>FALSE()</f>
        <v>0</v>
      </c>
      <c r="B119" s="12"/>
      <c r="C119" s="6" t="s">
        <v>444</v>
      </c>
      <c r="D119" s="6" t="s">
        <v>445</v>
      </c>
      <c r="E119" s="6" t="s">
        <v>17</v>
      </c>
      <c r="F119" s="6" t="s">
        <v>2541</v>
      </c>
      <c r="G119" s="6" t="s">
        <v>2542</v>
      </c>
      <c r="H119" s="6" t="str">
        <f t="shared" si="4"/>
        <v>att_cells</v>
      </c>
      <c r="I119" s="6" t="s">
        <v>444</v>
      </c>
      <c r="J119" s="6" t="str">
        <f t="shared" si="5"/>
        <v>att_cells:langerhans</v>
      </c>
      <c r="K119" s="11" t="s">
        <v>21</v>
      </c>
      <c r="L119" s="6" t="s">
        <v>446</v>
      </c>
      <c r="M119" s="6" t="s">
        <v>17</v>
      </c>
      <c r="N119" s="6" t="str">
        <f t="shared" si="6"/>
        <v>INSERT INTO attributes (parent_id, tag, name, priority, allow_as_filter, allow_for_dataset, allow_for_measurement, allow_for_users, allow_for_qc) VALUES (NULL, 'att_cells',  'Cells',  500,  TRUE, TRUE, TRUE, FALSE, FALSE);</v>
      </c>
      <c r="O119" s="6" t="str">
        <f t="shared" si="7"/>
        <v xml:space="preserve">INSERT INTO attribute_values (attribute_id, tag, name, details) VALUES ((SELECT id FROM attributes WHERE tag = 'att_cells' LIMIT 1),  'att_cells:langerhans',  'Langerhans',  'Langerhans cells; Skin'); </v>
      </c>
    </row>
    <row r="120" spans="1:15" x14ac:dyDescent="0.15">
      <c r="A120" s="12" t="b">
        <f>FALSE()</f>
        <v>0</v>
      </c>
      <c r="B120" s="12"/>
      <c r="C120" s="6" t="s">
        <v>447</v>
      </c>
      <c r="D120" s="6" t="s">
        <v>448</v>
      </c>
      <c r="E120" s="6" t="s">
        <v>17</v>
      </c>
      <c r="F120" s="6" t="s">
        <v>2541</v>
      </c>
      <c r="G120" s="6" t="s">
        <v>2542</v>
      </c>
      <c r="H120" s="6" t="str">
        <f t="shared" si="4"/>
        <v>att_cells</v>
      </c>
      <c r="I120" s="6" t="s">
        <v>447</v>
      </c>
      <c r="J120" s="6" t="str">
        <f t="shared" si="5"/>
        <v>att_cells:leukocytes</v>
      </c>
      <c r="K120" s="11" t="s">
        <v>21</v>
      </c>
      <c r="L120" s="6" t="s">
        <v>449</v>
      </c>
      <c r="M120" s="6" t="s">
        <v>17</v>
      </c>
      <c r="N120" s="6" t="str">
        <f t="shared" si="6"/>
        <v>INSERT INTO attributes (parent_id, tag, name, priority, allow_as_filter, allow_for_dataset, allow_for_measurement, allow_for_users, allow_for_qc) VALUES (NULL, 'att_cells',  'Cells',  500,  TRUE, TRUE, TRUE, FALSE, FALSE);</v>
      </c>
      <c r="O120" s="6" t="str">
        <f t="shared" si="7"/>
        <v xml:space="preserve">INSERT INTO attribute_values (attribute_id, tag, name, details) VALUES ((SELECT id FROM attributes WHERE tag = 'att_cells' LIMIT 1),  'att_cells:leukocytes',  'Leukocytes',  'White blood cells'); </v>
      </c>
    </row>
    <row r="121" spans="1:15" x14ac:dyDescent="0.15">
      <c r="A121" s="12" t="b">
        <f>FALSE()</f>
        <v>0</v>
      </c>
      <c r="B121" s="12"/>
      <c r="C121" s="6" t="s">
        <v>450</v>
      </c>
      <c r="D121" s="6" t="s">
        <v>451</v>
      </c>
      <c r="E121" s="6" t="s">
        <v>17</v>
      </c>
      <c r="F121" s="6" t="s">
        <v>2541</v>
      </c>
      <c r="G121" s="6" t="s">
        <v>2542</v>
      </c>
      <c r="H121" s="6" t="str">
        <f t="shared" si="4"/>
        <v>att_cells</v>
      </c>
      <c r="I121" s="6" t="s">
        <v>450</v>
      </c>
      <c r="J121" s="6" t="str">
        <f t="shared" si="5"/>
        <v>att_cells:lymphocytes</v>
      </c>
      <c r="K121" s="11" t="s">
        <v>21</v>
      </c>
      <c r="L121" s="6" t="s">
        <v>452</v>
      </c>
      <c r="M121" s="6" t="s">
        <v>17</v>
      </c>
      <c r="N121" s="6" t="str">
        <f t="shared" si="6"/>
        <v>INSERT INTO attributes (parent_id, tag, name, priority, allow_as_filter, allow_for_dataset, allow_for_measurement, allow_for_users, allow_for_qc) VALUES (NULL, 'att_cells',  'Cells',  500,  TRUE, TRUE, TRUE, FALSE, FALSE);</v>
      </c>
      <c r="O121" s="6" t="str">
        <f t="shared" si="7"/>
        <v xml:space="preserve">INSERT INTO attribute_values (attribute_id, tag, name, details) VALUES ((SELECT id FROM attributes WHERE tag = 'att_cells' LIMIT 1),  'att_cells:lymphocytes',  'Lymphocytes',  '30% of leukocytes; includes B cells and T cells'); </v>
      </c>
    </row>
    <row r="122" spans="1:15" x14ac:dyDescent="0.15">
      <c r="A122" s="12" t="b">
        <f>FALSE()</f>
        <v>0</v>
      </c>
      <c r="B122" s="12"/>
      <c r="C122" s="6" t="s">
        <v>453</v>
      </c>
      <c r="D122" s="6" t="s">
        <v>454</v>
      </c>
      <c r="E122" s="6" t="s">
        <v>17</v>
      </c>
      <c r="F122" s="6" t="s">
        <v>2541</v>
      </c>
      <c r="G122" s="6" t="s">
        <v>2542</v>
      </c>
      <c r="H122" s="6" t="str">
        <f t="shared" si="4"/>
        <v>att_cells</v>
      </c>
      <c r="I122" s="6" t="s">
        <v>453</v>
      </c>
      <c r="J122" s="6" t="str">
        <f t="shared" si="5"/>
        <v>att_cells:macrophage</v>
      </c>
      <c r="K122" s="11" t="s">
        <v>21</v>
      </c>
      <c r="L122" s="6" t="s">
        <v>454</v>
      </c>
      <c r="M122" s="6" t="s">
        <v>17</v>
      </c>
      <c r="N122" s="6" t="str">
        <f t="shared" si="6"/>
        <v>INSERT INTO attributes (parent_id, tag, name, priority, allow_as_filter, allow_for_dataset, allow_for_measurement, allow_for_users, allow_for_qc) VALUES (NULL, 'att_cells',  'Cells',  500,  TRUE, TRUE, TRUE, FALSE, FALSE);</v>
      </c>
      <c r="O122" s="6" t="str">
        <f t="shared" si="7"/>
        <v xml:space="preserve">INSERT INTO attribute_values (attribute_id, tag, name, details) VALUES ((SELECT id FROM attributes WHERE tag = 'att_cells' LIMIT 1),  'att_cells:macrophage',  'Macrophage',  'Macrophage'); </v>
      </c>
    </row>
    <row r="123" spans="1:15" x14ac:dyDescent="0.15">
      <c r="A123" s="12" t="b">
        <f>FALSE()</f>
        <v>0</v>
      </c>
      <c r="B123" s="12"/>
      <c r="C123" s="6" t="s">
        <v>455</v>
      </c>
      <c r="D123" s="6" t="s">
        <v>456</v>
      </c>
      <c r="E123" s="6" t="s">
        <v>17</v>
      </c>
      <c r="F123" s="6" t="s">
        <v>2541</v>
      </c>
      <c r="G123" s="6" t="s">
        <v>2542</v>
      </c>
      <c r="H123" s="6" t="str">
        <f t="shared" si="4"/>
        <v>att_cells</v>
      </c>
      <c r="I123" s="6" t="s">
        <v>455</v>
      </c>
      <c r="J123" s="6" t="str">
        <f t="shared" si="5"/>
        <v>att_cells:microglia</v>
      </c>
      <c r="K123" s="11" t="s">
        <v>21</v>
      </c>
      <c r="L123" s="6" t="s">
        <v>457</v>
      </c>
      <c r="M123" s="6" t="s">
        <v>17</v>
      </c>
      <c r="N123" s="6" t="str">
        <f t="shared" si="6"/>
        <v>INSERT INTO attributes (parent_id, tag, name, priority, allow_as_filter, allow_for_dataset, allow_for_measurement, allow_for_users, allow_for_qc) VALUES (NULL, 'att_cells',  'Cells',  500,  TRUE, TRUE, TRUE, FALSE, FALSE);</v>
      </c>
      <c r="O123" s="6" t="str">
        <f t="shared" si="7"/>
        <v xml:space="preserve">INSERT INTO attribute_values (attribute_id, tag, name, details) VALUES ((SELECT id FROM attributes WHERE tag = 'att_cells' LIMIT 1),  'att_cells:microglia',  'Microglia',  'Microglia; Central nervous system'); </v>
      </c>
    </row>
    <row r="124" spans="1:15" x14ac:dyDescent="0.15">
      <c r="A124" s="12" t="b">
        <f>FALSE()</f>
        <v>0</v>
      </c>
      <c r="B124" s="12"/>
      <c r="C124" s="6" t="s">
        <v>458</v>
      </c>
      <c r="D124" s="6" t="s">
        <v>459</v>
      </c>
      <c r="E124" s="6" t="s">
        <v>17</v>
      </c>
      <c r="F124" s="6" t="s">
        <v>2541</v>
      </c>
      <c r="G124" s="6" t="s">
        <v>2542</v>
      </c>
      <c r="H124" s="6" t="str">
        <f t="shared" si="4"/>
        <v>att_cells</v>
      </c>
      <c r="I124" s="6" t="s">
        <v>458</v>
      </c>
      <c r="J124" s="6" t="str">
        <f t="shared" si="5"/>
        <v>att_cells:monoblast</v>
      </c>
      <c r="K124" s="11" t="s">
        <v>21</v>
      </c>
      <c r="L124" s="6" t="s">
        <v>459</v>
      </c>
      <c r="M124" s="6" t="s">
        <v>17</v>
      </c>
      <c r="N124" s="6" t="str">
        <f t="shared" si="6"/>
        <v>INSERT INTO attributes (parent_id, tag, name, priority, allow_as_filter, allow_for_dataset, allow_for_measurement, allow_for_users, allow_for_qc) VALUES (NULL, 'att_cells',  'Cells',  500,  TRUE, TRUE, TRUE, FALSE, FALSE);</v>
      </c>
      <c r="O124" s="6" t="str">
        <f t="shared" si="7"/>
        <v xml:space="preserve">INSERT INTO attribute_values (attribute_id, tag, name, details) VALUES ((SELECT id FROM attributes WHERE tag = 'att_cells' LIMIT 1),  'att_cells:monoblast',  'Monoblast',  'Monoblast'); </v>
      </c>
    </row>
    <row r="125" spans="1:15" x14ac:dyDescent="0.15">
      <c r="A125" s="12" t="b">
        <f>FALSE()</f>
        <v>0</v>
      </c>
      <c r="B125" s="12"/>
      <c r="C125" s="6" t="s">
        <v>460</v>
      </c>
      <c r="D125" s="6" t="s">
        <v>378</v>
      </c>
      <c r="E125" s="6" t="s">
        <v>17</v>
      </c>
      <c r="F125" s="6" t="s">
        <v>2541</v>
      </c>
      <c r="G125" s="6" t="s">
        <v>2542</v>
      </c>
      <c r="H125" s="6" t="str">
        <f t="shared" si="4"/>
        <v>att_cells</v>
      </c>
      <c r="I125" s="6" t="s">
        <v>460</v>
      </c>
      <c r="J125" s="6" t="str">
        <f t="shared" si="5"/>
        <v>att_cells:monocytes</v>
      </c>
      <c r="K125" s="11" t="s">
        <v>21</v>
      </c>
      <c r="L125" s="6" t="s">
        <v>461</v>
      </c>
      <c r="M125" s="6" t="s">
        <v>17</v>
      </c>
      <c r="N125" s="6" t="str">
        <f t="shared" si="6"/>
        <v>INSERT INTO attributes (parent_id, tag, name, priority, allow_as_filter, allow_for_dataset, allow_for_measurement, allow_for_users, allow_for_qc) VALUES (NULL, 'att_cells',  'Cells',  500,  TRUE, TRUE, TRUE, FALSE, FALSE);</v>
      </c>
      <c r="O125" s="6" t="str">
        <f t="shared" si="7"/>
        <v xml:space="preserve">INSERT INTO attribute_values (attribute_id, tag, name, details) VALUES ((SELECT id FROM attributes WHERE tag = 'att_cells' LIMIT 1),  'att_cells:monocytes',  'Monocytes',  '5% of leukocytes'); </v>
      </c>
    </row>
    <row r="126" spans="1:15" x14ac:dyDescent="0.15">
      <c r="A126" s="12" t="b">
        <f>FALSE()</f>
        <v>0</v>
      </c>
      <c r="B126" s="12"/>
      <c r="C126" s="6" t="s">
        <v>462</v>
      </c>
      <c r="D126" s="6" t="s">
        <v>463</v>
      </c>
      <c r="E126" s="6" t="s">
        <v>17</v>
      </c>
      <c r="F126" s="6" t="s">
        <v>2541</v>
      </c>
      <c r="G126" s="6" t="s">
        <v>2542</v>
      </c>
      <c r="H126" s="6" t="str">
        <f t="shared" si="4"/>
        <v>att_cells</v>
      </c>
      <c r="I126" s="6" t="s">
        <v>462</v>
      </c>
      <c r="J126" s="6" t="str">
        <f t="shared" si="5"/>
        <v>att_cells:neutrophils</v>
      </c>
      <c r="K126" s="11" t="s">
        <v>21</v>
      </c>
      <c r="L126" s="6" t="s">
        <v>464</v>
      </c>
      <c r="M126" s="6" t="s">
        <v>17</v>
      </c>
      <c r="N126" s="6" t="str">
        <f t="shared" si="6"/>
        <v>INSERT INTO attributes (parent_id, tag, name, priority, allow_as_filter, allow_for_dataset, allow_for_measurement, allow_for_users, allow_for_qc) VALUES (NULL, 'att_cells',  'Cells',  500,  TRUE, TRUE, TRUE, FALSE, FALSE);</v>
      </c>
      <c r="O126" s="6" t="str">
        <f t="shared" si="7"/>
        <v xml:space="preserve">INSERT INTO attribute_values (attribute_id, tag, name, details) VALUES ((SELECT id FROM attributes WHERE tag = 'att_cells' LIMIT 1),  'att_cells:neutrophils',  'Neutrophils',  '62% of leukocytes'); </v>
      </c>
    </row>
    <row r="127" spans="1:15" x14ac:dyDescent="0.15">
      <c r="A127" s="12" t="b">
        <f>FALSE()</f>
        <v>0</v>
      </c>
      <c r="B127" s="12"/>
      <c r="C127" s="6" t="s">
        <v>465</v>
      </c>
      <c r="D127" s="6" t="s">
        <v>466</v>
      </c>
      <c r="E127" s="6" t="s">
        <v>17</v>
      </c>
      <c r="F127" s="6" t="s">
        <v>2541</v>
      </c>
      <c r="G127" s="6" t="s">
        <v>2542</v>
      </c>
      <c r="H127" s="6" t="str">
        <f t="shared" si="4"/>
        <v>att_cells</v>
      </c>
      <c r="I127" s="6" t="s">
        <v>465</v>
      </c>
      <c r="J127" s="6" t="str">
        <f t="shared" si="5"/>
        <v>att_cells:nk</v>
      </c>
      <c r="K127" s="11" t="s">
        <v>21</v>
      </c>
      <c r="L127" s="6" t="s">
        <v>467</v>
      </c>
      <c r="M127" s="6" t="s">
        <v>17</v>
      </c>
      <c r="N127" s="6" t="str">
        <f t="shared" si="6"/>
        <v>INSERT INTO attributes (parent_id, tag, name, priority, allow_as_filter, allow_for_dataset, allow_for_measurement, allow_for_users, allow_for_qc) VALUES (NULL, 'att_cells',  'Cells',  500,  TRUE, TRUE, TRUE, FALSE, FALSE);</v>
      </c>
      <c r="O127" s="6" t="str">
        <f t="shared" si="7"/>
        <v xml:space="preserve">INSERT INTO attribute_values (attribute_id, tag, name, details) VALUES ((SELECT id FROM attributes WHERE tag = 'att_cells' LIMIT 1),  'att_cells:nk',  'Natural Killer cells (NK)',  'Natural killer cells'); </v>
      </c>
    </row>
    <row r="128" spans="1:15" x14ac:dyDescent="0.15">
      <c r="A128" s="12" t="b">
        <f>FALSE()</f>
        <v>0</v>
      </c>
      <c r="B128" s="12"/>
      <c r="C128" s="6" t="s">
        <v>468</v>
      </c>
      <c r="D128" s="6" t="s">
        <v>469</v>
      </c>
      <c r="E128" s="6" t="s">
        <v>17</v>
      </c>
      <c r="F128" s="6" t="s">
        <v>2541</v>
      </c>
      <c r="G128" s="6" t="s">
        <v>2542</v>
      </c>
      <c r="H128" s="6" t="str">
        <f t="shared" si="4"/>
        <v>att_cells</v>
      </c>
      <c r="I128" s="6" t="s">
        <v>468</v>
      </c>
      <c r="J128" s="6" t="str">
        <f t="shared" si="5"/>
        <v>att_cells:osteoblast</v>
      </c>
      <c r="K128" s="11" t="s">
        <v>21</v>
      </c>
      <c r="L128" s="6" t="s">
        <v>470</v>
      </c>
      <c r="M128" s="6" t="s">
        <v>17</v>
      </c>
      <c r="N128" s="6" t="str">
        <f t="shared" si="6"/>
        <v>INSERT INTO attributes (parent_id, tag, name, priority, allow_as_filter, allow_for_dataset, allow_for_measurement, allow_for_users, allow_for_qc) VALUES (NULL, 'att_cells',  'Cells',  500,  TRUE, TRUE, TRUE, FALSE, FALSE);</v>
      </c>
      <c r="O128" s="6" t="str">
        <f t="shared" si="7"/>
        <v xml:space="preserve">INSERT INTO attribute_values (attribute_id, tag, name, details) VALUES ((SELECT id FROM attributes WHERE tag = 'att_cells' LIMIT 1),  'att_cells:osteoblast',  'Osteoblast',  'forms bone matrix'); </v>
      </c>
    </row>
    <row r="129" spans="1:15" x14ac:dyDescent="0.15">
      <c r="A129" s="12" t="b">
        <f>FALSE()</f>
        <v>0</v>
      </c>
      <c r="B129" s="12"/>
      <c r="C129" s="6" t="s">
        <v>471</v>
      </c>
      <c r="D129" s="6" t="s">
        <v>472</v>
      </c>
      <c r="E129" s="6" t="s">
        <v>17</v>
      </c>
      <c r="F129" s="6" t="s">
        <v>2541</v>
      </c>
      <c r="G129" s="6" t="s">
        <v>2542</v>
      </c>
      <c r="H129" s="6" t="str">
        <f t="shared" si="4"/>
        <v>att_cells</v>
      </c>
      <c r="I129" s="6" t="s">
        <v>471</v>
      </c>
      <c r="J129" s="6" t="str">
        <f t="shared" si="5"/>
        <v>att_cells:osteoclast</v>
      </c>
      <c r="K129" s="11" t="s">
        <v>21</v>
      </c>
      <c r="L129" s="6" t="s">
        <v>473</v>
      </c>
      <c r="M129" s="6" t="s">
        <v>17</v>
      </c>
      <c r="N129" s="6" t="str">
        <f t="shared" si="6"/>
        <v>INSERT INTO attributes (parent_id, tag, name, priority, allow_as_filter, allow_for_dataset, allow_for_measurement, allow_for_users, allow_for_qc) VALUES (NULL, 'att_cells',  'Cells',  500,  TRUE, TRUE, TRUE, FALSE, FALSE);</v>
      </c>
      <c r="O129" s="6" t="str">
        <f t="shared" si="7"/>
        <v xml:space="preserve">INSERT INTO attribute_values (attribute_id, tag, name, details) VALUES ((SELECT id FROM attributes WHERE tag = 'att_cells' LIMIT 1),  'att_cells:osteoclast',  'Osteoclast',  'resorbs bone'); </v>
      </c>
    </row>
    <row r="130" spans="1:15" x14ac:dyDescent="0.15">
      <c r="A130" s="12" t="b">
        <f>FALSE()</f>
        <v>0</v>
      </c>
      <c r="B130" s="12"/>
      <c r="C130" s="6" t="s">
        <v>474</v>
      </c>
      <c r="D130" s="6" t="s">
        <v>475</v>
      </c>
      <c r="E130" s="6" t="s">
        <v>17</v>
      </c>
      <c r="F130" s="6" t="s">
        <v>2541</v>
      </c>
      <c r="G130" s="6" t="s">
        <v>2542</v>
      </c>
      <c r="H130" s="6" t="str">
        <f t="shared" ref="H130:H193" si="8">"att_"&amp;G130</f>
        <v>att_cells</v>
      </c>
      <c r="I130" s="6" t="s">
        <v>474</v>
      </c>
      <c r="J130" s="6" t="str">
        <f t="shared" ref="J130:J193" si="9">H130&amp;":"&amp;I130</f>
        <v>att_cells:osteocytes</v>
      </c>
      <c r="K130" s="11" t="s">
        <v>21</v>
      </c>
      <c r="L130" s="6" t="s">
        <v>476</v>
      </c>
      <c r="M130" s="6" t="s">
        <v>17</v>
      </c>
      <c r="N130" s="6" t="str">
        <f t="shared" ref="N130:N193" si="10">"INSERT INTO attributes (parent_id, tag, name, priority, allow_as_filter, allow_for_dataset, allow_for_measurement, allow_for_users, allow_for_qc) VALUES (NULL, '"&amp;H130&amp;"',  '"&amp;F130&amp;"',  500,  TRUE, TRUE, TRUE, FALSE, FALSE);"</f>
        <v>INSERT INTO attributes (parent_id, tag, name, priority, allow_as_filter, allow_for_dataset, allow_for_measurement, allow_for_users, allow_for_qc) VALUES (NULL, 'att_cells',  'Cells',  500,  TRUE, TRUE, TRUE, FALSE, FALSE);</v>
      </c>
      <c r="O130" s="6" t="str">
        <f t="shared" ref="O130:O193" si="11">"INSERT INTO attribute_values (attribute_id, tag, name, details) VALUES ((SELECT id FROM attributes WHERE tag = '"&amp;H130&amp;"' LIMIT 1),  '"&amp;J130&amp;"',  '"&amp;D130&amp;"',  '"&amp;L130&amp;"'); "</f>
        <v xml:space="preserve">INSERT INTO attribute_values (attribute_id, tag, name, details) VALUES ((SELECT id FROM attributes WHERE tag = 'att_cells' LIMIT 1),  'att_cells:osteocytes',  'Osteocytes',  'maintains bone tissue'); </v>
      </c>
    </row>
    <row r="131" spans="1:15" x14ac:dyDescent="0.15">
      <c r="A131" s="12" t="b">
        <f>FALSE()</f>
        <v>0</v>
      </c>
      <c r="B131" s="12"/>
      <c r="C131" s="6" t="s">
        <v>477</v>
      </c>
      <c r="D131" s="6" t="s">
        <v>478</v>
      </c>
      <c r="E131" s="6" t="s">
        <v>17</v>
      </c>
      <c r="F131" s="6" t="s">
        <v>2541</v>
      </c>
      <c r="G131" s="6" t="s">
        <v>2542</v>
      </c>
      <c r="H131" s="6" t="str">
        <f t="shared" si="8"/>
        <v>att_cells</v>
      </c>
      <c r="I131" s="6" t="s">
        <v>477</v>
      </c>
      <c r="J131" s="6" t="str">
        <f t="shared" si="9"/>
        <v>att_cells:osteogenic</v>
      </c>
      <c r="K131" s="11" t="s">
        <v>21</v>
      </c>
      <c r="L131" s="6" t="s">
        <v>479</v>
      </c>
      <c r="M131" s="6" t="s">
        <v>17</v>
      </c>
      <c r="N131" s="6" t="str">
        <f t="shared" si="10"/>
        <v>INSERT INTO attributes (parent_id, tag, name, priority, allow_as_filter, allow_for_dataset, allow_for_measurement, allow_for_users, allow_for_qc) VALUES (NULL, 'att_cells',  'Cells',  500,  TRUE, TRUE, TRUE, FALSE, FALSE);</v>
      </c>
      <c r="O131" s="6" t="str">
        <f t="shared" si="11"/>
        <v xml:space="preserve">INSERT INTO attribute_values (attribute_id, tag, name, details) VALUES ((SELECT id FROM attributes WHERE tag = 'att_cells' LIMIT 1),  'att_cells:osteogenic',  'Osteogenic',  'Stem cell'); </v>
      </c>
    </row>
    <row r="132" spans="1:15" x14ac:dyDescent="0.15">
      <c r="A132" s="12" t="b">
        <f>FALSE()</f>
        <v>0</v>
      </c>
      <c r="B132" s="12"/>
      <c r="C132" s="6" t="s">
        <v>480</v>
      </c>
      <c r="D132" s="6" t="s">
        <v>481</v>
      </c>
      <c r="E132" s="6" t="s">
        <v>17</v>
      </c>
      <c r="F132" s="6" t="s">
        <v>2541</v>
      </c>
      <c r="G132" s="6" t="s">
        <v>2542</v>
      </c>
      <c r="H132" s="6" t="str">
        <f t="shared" si="8"/>
        <v>att_cells</v>
      </c>
      <c r="I132" s="6" t="s">
        <v>480</v>
      </c>
      <c r="J132" s="6" t="str">
        <f t="shared" si="9"/>
        <v>att_cells:regt</v>
      </c>
      <c r="K132" s="11" t="s">
        <v>21</v>
      </c>
      <c r="L132" s="6" t="s">
        <v>482</v>
      </c>
      <c r="M132" s="6" t="s">
        <v>17</v>
      </c>
      <c r="N132" s="6" t="str">
        <f t="shared" si="10"/>
        <v>INSERT INTO attributes (parent_id, tag, name, priority, allow_as_filter, allow_for_dataset, allow_for_measurement, allow_for_users, allow_for_qc) VALUES (NULL, 'att_cells',  'Cells',  500,  TRUE, TRUE, TRUE, FALSE, FALSE);</v>
      </c>
      <c r="O132" s="6" t="str">
        <f t="shared" si="11"/>
        <v xml:space="preserve">INSERT INTO attribute_values (attribute_id, tag, name, details) VALUES ((SELECT id FROM attributes WHERE tag = 'att_cells' LIMIT 1),  'att_cells:regt',  'Regulatory T cells (RegT)',  'Regulatory T Cell'); </v>
      </c>
    </row>
    <row r="133" spans="1:15" x14ac:dyDescent="0.15">
      <c r="A133" s="12" t="b">
        <f>FALSE()</f>
        <v>0</v>
      </c>
      <c r="B133" s="12"/>
      <c r="C133" s="6" t="s">
        <v>483</v>
      </c>
      <c r="D133" s="6" t="s">
        <v>484</v>
      </c>
      <c r="E133" s="6" t="s">
        <v>17</v>
      </c>
      <c r="F133" s="6" t="s">
        <v>2541</v>
      </c>
      <c r="G133" s="6" t="s">
        <v>2542</v>
      </c>
      <c r="H133" s="6" t="str">
        <f t="shared" si="8"/>
        <v>att_cells</v>
      </c>
      <c r="I133" s="6" t="s">
        <v>483</v>
      </c>
      <c r="J133" s="6" t="str">
        <f t="shared" si="9"/>
        <v>att_cells:stemcells</v>
      </c>
      <c r="K133" s="11" t="s">
        <v>21</v>
      </c>
      <c r="L133" s="6" t="s">
        <v>485</v>
      </c>
      <c r="M133" s="6" t="s">
        <v>17</v>
      </c>
      <c r="N133" s="6" t="str">
        <f t="shared" si="10"/>
        <v>INSERT INTO attributes (parent_id, tag, name, priority, allow_as_filter, allow_for_dataset, allow_for_measurement, allow_for_users, allow_for_qc) VALUES (NULL, 'att_cells',  'Cells',  500,  TRUE, TRUE, TRUE, FALSE, FALSE);</v>
      </c>
      <c r="O133" s="6" t="str">
        <f t="shared" si="11"/>
        <v xml:space="preserve">INSERT INTO attribute_values (attribute_id, tag, name, details) VALUES ((SELECT id FROM attributes WHERE tag = 'att_cells' LIMIT 1),  'att_cells:stemcells',  'Stem Cells',  'Stem or Blast cells'); </v>
      </c>
    </row>
    <row r="134" spans="1:15" x14ac:dyDescent="0.15">
      <c r="A134" s="12" t="b">
        <f>FALSE()</f>
        <v>0</v>
      </c>
      <c r="B134" s="12"/>
      <c r="C134" s="6" t="s">
        <v>486</v>
      </c>
      <c r="D134" s="6" t="s">
        <v>487</v>
      </c>
      <c r="E134" s="6" t="s">
        <v>17</v>
      </c>
      <c r="F134" s="6" t="s">
        <v>2541</v>
      </c>
      <c r="G134" s="6" t="s">
        <v>2542</v>
      </c>
      <c r="H134" s="6" t="str">
        <f t="shared" si="8"/>
        <v>att_cells</v>
      </c>
      <c r="I134" s="6" t="s">
        <v>486</v>
      </c>
      <c r="J134" s="6" t="str">
        <f t="shared" si="9"/>
        <v>att_cells:tcells</v>
      </c>
      <c r="K134" s="11" t="s">
        <v>21</v>
      </c>
      <c r="L134" s="6" t="s">
        <v>487</v>
      </c>
      <c r="M134" s="6" t="s">
        <v>17</v>
      </c>
      <c r="N134" s="6" t="str">
        <f t="shared" si="10"/>
        <v>INSERT INTO attributes (parent_id, tag, name, priority, allow_as_filter, allow_for_dataset, allow_for_measurement, allow_for_users, allow_for_qc) VALUES (NULL, 'att_cells',  'Cells',  500,  TRUE, TRUE, TRUE, FALSE, FALSE);</v>
      </c>
      <c r="O134" s="6" t="str">
        <f t="shared" si="11"/>
        <v xml:space="preserve">INSERT INTO attribute_values (attribute_id, tag, name, details) VALUES ((SELECT id FROM attributes WHERE tag = 'att_cells' LIMIT 1),  'att_cells:tcells',  'T cells',  'T cells'); </v>
      </c>
    </row>
    <row r="135" spans="1:15" x14ac:dyDescent="0.15">
      <c r="A135" s="12" t="b">
        <f>FALSE()</f>
        <v>0</v>
      </c>
      <c r="B135" s="12"/>
      <c r="C135" s="6" t="s">
        <v>488</v>
      </c>
      <c r="D135" s="6" t="s">
        <v>489</v>
      </c>
      <c r="E135" s="6" t="s">
        <v>17</v>
      </c>
      <c r="F135" s="6" t="s">
        <v>2541</v>
      </c>
      <c r="G135" s="6" t="s">
        <v>2542</v>
      </c>
      <c r="H135" s="6" t="str">
        <f t="shared" si="8"/>
        <v>att_cells</v>
      </c>
      <c r="I135" s="6" t="s">
        <v>488</v>
      </c>
      <c r="J135" s="6" t="str">
        <f t="shared" si="9"/>
        <v>att_cells:thelper</v>
      </c>
      <c r="K135" s="11" t="s">
        <v>21</v>
      </c>
      <c r="L135" s="6" t="s">
        <v>490</v>
      </c>
      <c r="M135" s="6" t="s">
        <v>17</v>
      </c>
      <c r="N135" s="6" t="str">
        <f t="shared" si="10"/>
        <v>INSERT INTO attributes (parent_id, tag, name, priority, allow_as_filter, allow_for_dataset, allow_for_measurement, allow_for_users, allow_for_qc) VALUES (NULL, 'att_cells',  'Cells',  500,  TRUE, TRUE, TRUE, FALSE, FALSE);</v>
      </c>
      <c r="O135" s="6" t="str">
        <f t="shared" si="11"/>
        <v xml:space="preserve">INSERT INTO attribute_values (attribute_id, tag, name, details) VALUES ((SELECT id FROM attributes WHERE tag = 'att_cells' LIMIT 1),  'att_cells:thelper',  'T Helper cells (Th)',  'CD4+ T helper cells'); </v>
      </c>
    </row>
    <row r="136" spans="1:15" x14ac:dyDescent="0.15">
      <c r="A136" s="12" t="b">
        <f>FALSE()</f>
        <v>0</v>
      </c>
      <c r="B136" s="12"/>
      <c r="C136" s="6" t="s">
        <v>491</v>
      </c>
      <c r="D136" s="6" t="s">
        <v>492</v>
      </c>
      <c r="E136" s="6" t="s">
        <v>17</v>
      </c>
      <c r="F136" s="6" t="s">
        <v>2541</v>
      </c>
      <c r="G136" s="6" t="s">
        <v>2542</v>
      </c>
      <c r="H136" s="6" t="str">
        <f t="shared" si="8"/>
        <v>att_cells</v>
      </c>
      <c r="I136" s="6" t="s">
        <v>491</v>
      </c>
      <c r="J136" s="6" t="str">
        <f t="shared" si="9"/>
        <v>att_cells:thrombocytes</v>
      </c>
      <c r="K136" s="11" t="s">
        <v>21</v>
      </c>
      <c r="L136" s="6" t="s">
        <v>493</v>
      </c>
      <c r="M136" s="6" t="s">
        <v>17</v>
      </c>
      <c r="N136" s="6" t="str">
        <f t="shared" si="10"/>
        <v>INSERT INTO attributes (parent_id, tag, name, priority, allow_as_filter, allow_for_dataset, allow_for_measurement, allow_for_users, allow_for_qc) VALUES (NULL, 'att_cells',  'Cells',  500,  TRUE, TRUE, TRUE, FALSE, FALSE);</v>
      </c>
      <c r="O136" s="6" t="str">
        <f t="shared" si="11"/>
        <v xml:space="preserve">INSERT INTO attribute_values (attribute_id, tag, name, details) VALUES ((SELECT id FROM attributes WHERE tag = 'att_cells' LIMIT 1),  'att_cells:thrombocytes',  'Thrombocytes',  'Platelets'); </v>
      </c>
    </row>
    <row r="137" spans="1:15" x14ac:dyDescent="0.15">
      <c r="A137" s="12" t="b">
        <f>FALSE()</f>
        <v>0</v>
      </c>
      <c r="B137" s="12"/>
      <c r="C137" s="6" t="s">
        <v>724</v>
      </c>
      <c r="D137" s="6" t="s">
        <v>725</v>
      </c>
      <c r="E137" s="6" t="s">
        <v>17</v>
      </c>
      <c r="F137" s="6" t="s">
        <v>2543</v>
      </c>
      <c r="G137" s="6" t="s">
        <v>2544</v>
      </c>
      <c r="H137" s="6" t="str">
        <f t="shared" si="8"/>
        <v>att_compound</v>
      </c>
      <c r="I137" s="6" t="s">
        <v>724</v>
      </c>
      <c r="J137" s="6" t="str">
        <f t="shared" si="9"/>
        <v>att_compound:anisomycin</v>
      </c>
      <c r="K137" s="11" t="s">
        <v>21</v>
      </c>
      <c r="L137" s="6" t="s">
        <v>725</v>
      </c>
      <c r="M137" s="6" t="s">
        <v>17</v>
      </c>
      <c r="N137" s="6" t="str">
        <f t="shared" si="10"/>
        <v>INSERT INTO attributes (parent_id, tag, name, priority, allow_as_filter, allow_for_dataset, allow_for_measurement, allow_for_users, allow_for_qc) VALUES (NULL, 'att_compound',  'Compound',  500,  TRUE, TRUE, TRUE, FALSE, FALSE);</v>
      </c>
      <c r="O137" s="6" t="str">
        <f t="shared" si="11"/>
        <v xml:space="preserve">INSERT INTO attribute_values (attribute_id, tag, name, details) VALUES ((SELECT id FROM attributes WHERE tag = 'att_compound' LIMIT 1),  'att_compound:anisomycin',  'Anisomycin',  'Anisomycin'); </v>
      </c>
    </row>
    <row r="138" spans="1:15" x14ac:dyDescent="0.15">
      <c r="A138" s="12" t="b">
        <f>FALSE()</f>
        <v>0</v>
      </c>
      <c r="B138" s="12"/>
      <c r="C138" s="6" t="s">
        <v>729</v>
      </c>
      <c r="D138" s="6" t="s">
        <v>730</v>
      </c>
      <c r="E138" s="6" t="s">
        <v>17</v>
      </c>
      <c r="F138" s="6" t="s">
        <v>2543</v>
      </c>
      <c r="G138" s="6" t="s">
        <v>2544</v>
      </c>
      <c r="H138" s="6" t="str">
        <f t="shared" si="8"/>
        <v>att_compound</v>
      </c>
      <c r="I138" s="6" t="s">
        <v>729</v>
      </c>
      <c r="J138" s="6" t="str">
        <f t="shared" si="9"/>
        <v>att_compound:atp</v>
      </c>
      <c r="K138" s="11" t="s">
        <v>21</v>
      </c>
      <c r="L138" s="6" t="s">
        <v>731</v>
      </c>
      <c r="M138" s="6" t="s">
        <v>17</v>
      </c>
      <c r="N138" s="6" t="str">
        <f t="shared" si="10"/>
        <v>INSERT INTO attributes (parent_id, tag, name, priority, allow_as_filter, allow_for_dataset, allow_for_measurement, allow_for_users, allow_for_qc) VALUES (NULL, 'att_compound',  'Compound',  500,  TRUE, TRUE, TRUE, FALSE, FALSE);</v>
      </c>
      <c r="O138" s="6" t="str">
        <f t="shared" si="11"/>
        <v xml:space="preserve">INSERT INTO attribute_values (attribute_id, tag, name, details) VALUES ((SELECT id FROM attributes WHERE tag = 'att_compound' LIMIT 1),  'att_compound:atp',  'ATP',  'Adenosine triphosphate'); </v>
      </c>
    </row>
    <row r="139" spans="1:15" x14ac:dyDescent="0.15">
      <c r="A139" s="12" t="b">
        <f>FALSE()</f>
        <v>0</v>
      </c>
      <c r="B139" s="12"/>
      <c r="C139" s="6" t="s">
        <v>732</v>
      </c>
      <c r="D139" s="6" t="s">
        <v>732</v>
      </c>
      <c r="E139" s="6" t="s">
        <v>17</v>
      </c>
      <c r="F139" s="6" t="s">
        <v>2543</v>
      </c>
      <c r="G139" s="6" t="s">
        <v>2544</v>
      </c>
      <c r="H139" s="6" t="str">
        <f t="shared" si="8"/>
        <v>att_compound</v>
      </c>
      <c r="I139" s="6" t="s">
        <v>732</v>
      </c>
      <c r="J139" s="6" t="str">
        <f t="shared" si="9"/>
        <v>att_compound:berzosertib</v>
      </c>
      <c r="K139" s="11" t="s">
        <v>21</v>
      </c>
      <c r="L139" s="6" t="s">
        <v>733</v>
      </c>
      <c r="M139" s="6" t="s">
        <v>17</v>
      </c>
      <c r="N139" s="6" t="str">
        <f t="shared" si="10"/>
        <v>INSERT INTO attributes (parent_id, tag, name, priority, allow_as_filter, allow_for_dataset, allow_for_measurement, allow_for_users, allow_for_qc) VALUES (NULL, 'att_compound',  'Compound',  500,  TRUE, TRUE, TRUE, FALSE, FALSE);</v>
      </c>
      <c r="O139" s="6" t="str">
        <f t="shared" si="11"/>
        <v xml:space="preserve">INSERT INTO attribute_values (attribute_id, tag, name, details) VALUES ((SELECT id FROM attributes WHERE tag = 'att_compound' LIMIT 1),  'att_compound:berzosertib',  'berzosertib',  'Berzosertib'); </v>
      </c>
    </row>
    <row r="140" spans="1:15" x14ac:dyDescent="0.15">
      <c r="A140" s="12" t="b">
        <f>FALSE()</f>
        <v>0</v>
      </c>
      <c r="B140" s="12"/>
      <c r="C140" s="6" t="s">
        <v>734</v>
      </c>
      <c r="D140" s="6" t="s">
        <v>734</v>
      </c>
      <c r="E140" s="6" t="s">
        <v>17</v>
      </c>
      <c r="F140" s="6" t="s">
        <v>2543</v>
      </c>
      <c r="G140" s="6" t="s">
        <v>2544</v>
      </c>
      <c r="H140" s="6" t="str">
        <f t="shared" si="8"/>
        <v>att_compound</v>
      </c>
      <c r="I140" s="6" t="s">
        <v>734</v>
      </c>
      <c r="J140" s="6" t="str">
        <f t="shared" si="9"/>
        <v>att_compound:bortezomib</v>
      </c>
      <c r="K140" s="11" t="s">
        <v>21</v>
      </c>
      <c r="L140" s="6" t="s">
        <v>735</v>
      </c>
      <c r="M140" s="6" t="s">
        <v>17</v>
      </c>
      <c r="N140" s="6" t="str">
        <f t="shared" si="10"/>
        <v>INSERT INTO attributes (parent_id, tag, name, priority, allow_as_filter, allow_for_dataset, allow_for_measurement, allow_for_users, allow_for_qc) VALUES (NULL, 'att_compound',  'Compound',  500,  TRUE, TRUE, TRUE, FALSE, FALSE);</v>
      </c>
      <c r="O140" s="6" t="str">
        <f t="shared" si="11"/>
        <v xml:space="preserve">INSERT INTO attribute_values (attribute_id, tag, name, details) VALUES ((SELECT id FROM attributes WHERE tag = 'att_compound' LIMIT 1),  'att_compound:bortezomib',  'bortezomib',  'Bortezomib'); </v>
      </c>
    </row>
    <row r="141" spans="1:15" s="14" customFormat="1" x14ac:dyDescent="0.15">
      <c r="A141" s="13" t="b">
        <f>FALSE()</f>
        <v>0</v>
      </c>
      <c r="B141" s="13"/>
      <c r="C141" s="14" t="s">
        <v>2545</v>
      </c>
      <c r="D141" s="14" t="s">
        <v>2546</v>
      </c>
      <c r="E141" s="14" t="s">
        <v>17</v>
      </c>
      <c r="F141" s="14" t="s">
        <v>2543</v>
      </c>
      <c r="G141" s="14" t="s">
        <v>2544</v>
      </c>
      <c r="H141" s="14" t="str">
        <f t="shared" si="8"/>
        <v>att_compound</v>
      </c>
      <c r="I141" s="14" t="s">
        <v>2545</v>
      </c>
      <c r="J141" s="14" t="str">
        <f t="shared" si="9"/>
        <v>att_compound:cgas</v>
      </c>
      <c r="K141" s="15" t="s">
        <v>21</v>
      </c>
      <c r="L141" s="14" t="s">
        <v>2546</v>
      </c>
      <c r="M141" s="14" t="s">
        <v>17</v>
      </c>
      <c r="N141" s="14" t="str">
        <f t="shared" si="10"/>
        <v>INSERT INTO attributes (parent_id, tag, name, priority, allow_as_filter, allow_for_dataset, allow_for_measurement, allow_for_users, allow_for_qc) VALUES (NULL, 'att_compound',  'Compound',  500,  TRUE, TRUE, TRUE, FALSE, FALSE);</v>
      </c>
      <c r="O141" s="14" t="str">
        <f t="shared" si="11"/>
        <v xml:space="preserve">INSERT INTO attribute_values (attribute_id, tag, name, details) VALUES ((SELECT id FROM attributes WHERE tag = 'att_compound' LIMIT 1),  'att_compound:cgas',  'cGAS',  'cGAS'); </v>
      </c>
    </row>
    <row r="142" spans="1:15" x14ac:dyDescent="0.15">
      <c r="A142" s="12" t="b">
        <f>FALSE()</f>
        <v>0</v>
      </c>
      <c r="B142" s="12"/>
      <c r="C142" s="6" t="s">
        <v>739</v>
      </c>
      <c r="D142" s="6" t="s">
        <v>739</v>
      </c>
      <c r="E142" s="6" t="s">
        <v>17</v>
      </c>
      <c r="F142" s="6" t="s">
        <v>2543</v>
      </c>
      <c r="G142" s="6" t="s">
        <v>2544</v>
      </c>
      <c r="H142" s="6" t="str">
        <f t="shared" si="8"/>
        <v>att_compound</v>
      </c>
      <c r="I142" s="6" t="s">
        <v>739</v>
      </c>
      <c r="J142" s="6" t="str">
        <f t="shared" si="9"/>
        <v>att_compound:cycloheximide</v>
      </c>
      <c r="K142" s="11" t="s">
        <v>21</v>
      </c>
      <c r="L142" s="6" t="s">
        <v>740</v>
      </c>
      <c r="M142" s="6" t="s">
        <v>17</v>
      </c>
      <c r="N142" s="6" t="str">
        <f t="shared" si="10"/>
        <v>INSERT INTO attributes (parent_id, tag, name, priority, allow_as_filter, allow_for_dataset, allow_for_measurement, allow_for_users, allow_for_qc) VALUES (NULL, 'att_compound',  'Compound',  500,  TRUE, TRUE, TRUE, FALSE, FALSE);</v>
      </c>
      <c r="O142" s="6" t="str">
        <f t="shared" si="11"/>
        <v xml:space="preserve">INSERT INTO attribute_values (attribute_id, tag, name, details) VALUES ((SELECT id FROM attributes WHERE tag = 'att_compound' LIMIT 1),  'att_compound:cycloheximide',  'cycloheximide',  'Cycloheximide'); </v>
      </c>
    </row>
    <row r="143" spans="1:15" x14ac:dyDescent="0.15">
      <c r="A143" s="12" t="b">
        <f>FALSE()</f>
        <v>0</v>
      </c>
      <c r="B143" s="12"/>
      <c r="C143" s="6" t="s">
        <v>2547</v>
      </c>
      <c r="D143" s="6" t="s">
        <v>2548</v>
      </c>
      <c r="E143" s="6" t="s">
        <v>17</v>
      </c>
      <c r="F143" s="6" t="s">
        <v>2543</v>
      </c>
      <c r="G143" s="6" t="s">
        <v>2544</v>
      </c>
      <c r="H143" s="6" t="str">
        <f t="shared" si="8"/>
        <v>att_compound</v>
      </c>
      <c r="I143" s="6" t="s">
        <v>2547</v>
      </c>
      <c r="J143" s="6" t="str">
        <f t="shared" si="9"/>
        <v>att_compound:diabzi</v>
      </c>
      <c r="K143" s="11" t="s">
        <v>21</v>
      </c>
      <c r="L143" s="6" t="s">
        <v>2548</v>
      </c>
      <c r="M143" s="6" t="s">
        <v>17</v>
      </c>
      <c r="N143" s="6" t="str">
        <f t="shared" si="10"/>
        <v>INSERT INTO attributes (parent_id, tag, name, priority, allow_as_filter, allow_for_dataset, allow_for_measurement, allow_for_users, allow_for_qc) VALUES (NULL, 'att_compound',  'Compound',  500,  TRUE, TRUE, TRUE, FALSE, FALSE);</v>
      </c>
      <c r="O143" s="6" t="str">
        <f t="shared" si="11"/>
        <v xml:space="preserve">INSERT INTO attribute_values (attribute_id, tag, name, details) VALUES ((SELECT id FROM attributes WHERE tag = 'att_compound' LIMIT 1),  'att_compound:diabzi',  'diABZI',  'diABZI'); </v>
      </c>
    </row>
    <row r="144" spans="1:15" x14ac:dyDescent="0.15">
      <c r="A144" s="12" t="b">
        <f>FALSE()</f>
        <v>0</v>
      </c>
      <c r="B144" s="12"/>
      <c r="C144" s="6" t="s">
        <v>741</v>
      </c>
      <c r="D144" s="6" t="s">
        <v>742</v>
      </c>
      <c r="E144" s="6" t="s">
        <v>17</v>
      </c>
      <c r="F144" s="6" t="s">
        <v>2543</v>
      </c>
      <c r="G144" s="6" t="s">
        <v>2544</v>
      </c>
      <c r="H144" s="6" t="str">
        <f t="shared" si="8"/>
        <v>att_compound</v>
      </c>
      <c r="I144" s="6" t="s">
        <v>741</v>
      </c>
      <c r="J144" s="6" t="str">
        <f t="shared" si="9"/>
        <v>att_compound:dmso</v>
      </c>
      <c r="K144" s="11" t="s">
        <v>21</v>
      </c>
      <c r="L144" s="6" t="s">
        <v>2549</v>
      </c>
      <c r="M144" s="6" t="s">
        <v>17</v>
      </c>
      <c r="N144" s="6" t="str">
        <f t="shared" si="10"/>
        <v>INSERT INTO attributes (parent_id, tag, name, priority, allow_as_filter, allow_for_dataset, allow_for_measurement, allow_for_users, allow_for_qc) VALUES (NULL, 'att_compound',  'Compound',  500,  TRUE, TRUE, TRUE, FALSE, FALSE);</v>
      </c>
      <c r="O144" s="6" t="str">
        <f t="shared" si="11"/>
        <v xml:space="preserve">INSERT INTO attribute_values (attribute_id, tag, name, details) VALUES ((SELECT id FROM attributes WHERE tag = 'att_compound' LIMIT 1),  'att_compound:dmso',  'DMSO',  'Dimethyl Sulfoxide'); </v>
      </c>
    </row>
    <row r="145" spans="1:15" x14ac:dyDescent="0.15">
      <c r="A145" s="12" t="b">
        <f>FALSE()</f>
        <v>0</v>
      </c>
      <c r="B145" s="12"/>
      <c r="C145" s="6" t="s">
        <v>744</v>
      </c>
      <c r="D145" s="6" t="s">
        <v>744</v>
      </c>
      <c r="E145" s="6" t="s">
        <v>17</v>
      </c>
      <c r="F145" s="6" t="s">
        <v>2543</v>
      </c>
      <c r="G145" s="6" t="s">
        <v>2544</v>
      </c>
      <c r="H145" s="6" t="str">
        <f t="shared" si="8"/>
        <v>att_compound</v>
      </c>
      <c r="I145" s="6" t="s">
        <v>744</v>
      </c>
      <c r="J145" s="6" t="str">
        <f t="shared" si="9"/>
        <v>att_compound:doxorubicin</v>
      </c>
      <c r="K145" s="11" t="s">
        <v>21</v>
      </c>
      <c r="L145" s="6" t="s">
        <v>745</v>
      </c>
      <c r="M145" s="6" t="s">
        <v>17</v>
      </c>
      <c r="N145" s="6" t="str">
        <f t="shared" si="10"/>
        <v>INSERT INTO attributes (parent_id, tag, name, priority, allow_as_filter, allow_for_dataset, allow_for_measurement, allow_for_users, allow_for_qc) VALUES (NULL, 'att_compound',  'Compound',  500,  TRUE, TRUE, TRUE, FALSE, FALSE);</v>
      </c>
      <c r="O145" s="6" t="str">
        <f t="shared" si="11"/>
        <v xml:space="preserve">INSERT INTO attribute_values (attribute_id, tag, name, details) VALUES ((SELECT id FROM attributes WHERE tag = 'att_compound' LIMIT 1),  'att_compound:doxorubicin',  'doxorubicin',  'Doxorubicin'); </v>
      </c>
    </row>
    <row r="146" spans="1:15" x14ac:dyDescent="0.15">
      <c r="A146" s="12" t="b">
        <f>FALSE()</f>
        <v>0</v>
      </c>
      <c r="B146" s="12"/>
      <c r="C146" s="6" t="s">
        <v>747</v>
      </c>
      <c r="D146" s="6" t="s">
        <v>747</v>
      </c>
      <c r="E146" s="6" t="s">
        <v>17</v>
      </c>
      <c r="F146" s="6" t="s">
        <v>2543</v>
      </c>
      <c r="G146" s="6" t="s">
        <v>2544</v>
      </c>
      <c r="H146" s="6" t="str">
        <f t="shared" si="8"/>
        <v>att_compound</v>
      </c>
      <c r="I146" s="6" t="s">
        <v>747</v>
      </c>
      <c r="J146" s="6" t="str">
        <f t="shared" si="9"/>
        <v>att_compound:doxycycline</v>
      </c>
      <c r="K146" s="11" t="s">
        <v>21</v>
      </c>
      <c r="L146" s="6" t="s">
        <v>748</v>
      </c>
      <c r="M146" s="6" t="s">
        <v>17</v>
      </c>
      <c r="N146" s="6" t="str">
        <f t="shared" si="10"/>
        <v>INSERT INTO attributes (parent_id, tag, name, priority, allow_as_filter, allow_for_dataset, allow_for_measurement, allow_for_users, allow_for_qc) VALUES (NULL, 'att_compound',  'Compound',  500,  TRUE, TRUE, TRUE, FALSE, FALSE);</v>
      </c>
      <c r="O146" s="6" t="str">
        <f t="shared" si="11"/>
        <v xml:space="preserve">INSERT INTO attribute_values (attribute_id, tag, name, details) VALUES ((SELECT id FROM attributes WHERE tag = 'att_compound' LIMIT 1),  'att_compound:doxycycline',  'doxycycline',  'Doxycycline'); </v>
      </c>
    </row>
    <row r="147" spans="1:15" x14ac:dyDescent="0.15">
      <c r="A147" s="12" t="b">
        <f>FALSE()</f>
        <v>0</v>
      </c>
      <c r="B147" s="12"/>
      <c r="C147" s="6" t="s">
        <v>750</v>
      </c>
      <c r="D147" s="6" t="s">
        <v>750</v>
      </c>
      <c r="E147" s="6" t="s">
        <v>17</v>
      </c>
      <c r="F147" s="6" t="s">
        <v>2543</v>
      </c>
      <c r="G147" s="6" t="s">
        <v>2544</v>
      </c>
      <c r="H147" s="6" t="str">
        <f t="shared" si="8"/>
        <v>att_compound</v>
      </c>
      <c r="I147" s="6" t="s">
        <v>750</v>
      </c>
      <c r="J147" s="6" t="str">
        <f t="shared" si="9"/>
        <v>att_compound:etoposide</v>
      </c>
      <c r="K147" s="11" t="s">
        <v>21</v>
      </c>
      <c r="L147" s="6" t="s">
        <v>750</v>
      </c>
      <c r="M147" s="6" t="s">
        <v>17</v>
      </c>
      <c r="N147" s="6" t="str">
        <f t="shared" si="10"/>
        <v>INSERT INTO attributes (parent_id, tag, name, priority, allow_as_filter, allow_for_dataset, allow_for_measurement, allow_for_users, allow_for_qc) VALUES (NULL, 'att_compound',  'Compound',  500,  TRUE, TRUE, TRUE, FALSE, FALSE);</v>
      </c>
      <c r="O147" s="6" t="str">
        <f t="shared" si="11"/>
        <v xml:space="preserve">INSERT INTO attribute_values (attribute_id, tag, name, details) VALUES ((SELECT id FROM attributes WHERE tag = 'att_compound' LIMIT 1),  'att_compound:etoposide',  'etoposide',  'etoposide'); </v>
      </c>
    </row>
    <row r="148" spans="1:15" x14ac:dyDescent="0.15">
      <c r="A148" s="12" t="b">
        <f>FALSE()</f>
        <v>0</v>
      </c>
      <c r="B148" s="12"/>
      <c r="C148" s="6" t="s">
        <v>2550</v>
      </c>
      <c r="D148" s="6" t="s">
        <v>2550</v>
      </c>
      <c r="E148" s="6" t="s">
        <v>17</v>
      </c>
      <c r="F148" s="6" t="s">
        <v>2543</v>
      </c>
      <c r="G148" s="6" t="s">
        <v>2544</v>
      </c>
      <c r="H148" s="6" t="str">
        <f t="shared" si="8"/>
        <v>att_compound</v>
      </c>
      <c r="I148" s="6" t="s">
        <v>2550</v>
      </c>
      <c r="J148" s="6" t="str">
        <f t="shared" si="9"/>
        <v>att_compound:lactimidomycin</v>
      </c>
      <c r="K148" s="11" t="s">
        <v>21</v>
      </c>
      <c r="L148" s="6" t="s">
        <v>2551</v>
      </c>
      <c r="M148" s="6" t="s">
        <v>17</v>
      </c>
      <c r="N148" s="6" t="str">
        <f t="shared" si="10"/>
        <v>INSERT INTO attributes (parent_id, tag, name, priority, allow_as_filter, allow_for_dataset, allow_for_measurement, allow_for_users, allow_for_qc) VALUES (NULL, 'att_compound',  'Compound',  500,  TRUE, TRUE, TRUE, FALSE, FALSE);</v>
      </c>
      <c r="O148" s="6" t="str">
        <f t="shared" si="11"/>
        <v xml:space="preserve">INSERT INTO attribute_values (attribute_id, tag, name, details) VALUES ((SELECT id FROM attributes WHERE tag = 'att_compound' LIMIT 1),  'att_compound:lactimidomycin',  'lactimidomycin',  'Lactimidomycin'); </v>
      </c>
    </row>
    <row r="149" spans="1:15" x14ac:dyDescent="0.15">
      <c r="A149" s="12" t="b">
        <f>FALSE()</f>
        <v>0</v>
      </c>
      <c r="B149" s="12"/>
      <c r="C149" s="6" t="s">
        <v>2552</v>
      </c>
      <c r="D149" s="6" t="s">
        <v>2553</v>
      </c>
      <c r="E149" s="6" t="s">
        <v>17</v>
      </c>
      <c r="F149" s="6" t="s">
        <v>2543</v>
      </c>
      <c r="G149" s="6" t="s">
        <v>2544</v>
      </c>
      <c r="H149" s="6" t="str">
        <f t="shared" si="8"/>
        <v>att_compound</v>
      </c>
      <c r="I149" s="6" t="s">
        <v>2552</v>
      </c>
      <c r="J149" s="6" t="str">
        <f t="shared" si="9"/>
        <v>att_compound:lps</v>
      </c>
      <c r="K149" s="11" t="s">
        <v>21</v>
      </c>
      <c r="L149" s="6" t="s">
        <v>2554</v>
      </c>
      <c r="M149" s="6" t="s">
        <v>17</v>
      </c>
      <c r="N149" s="6" t="str">
        <f t="shared" si="10"/>
        <v>INSERT INTO attributes (parent_id, tag, name, priority, allow_as_filter, allow_for_dataset, allow_for_measurement, allow_for_users, allow_for_qc) VALUES (NULL, 'att_compound',  'Compound',  500,  TRUE, TRUE, TRUE, FALSE, FALSE);</v>
      </c>
      <c r="O149" s="6" t="str">
        <f t="shared" si="11"/>
        <v xml:space="preserve">INSERT INTO attribute_values (attribute_id, tag, name, details) VALUES ((SELECT id FROM attributes WHERE tag = 'att_compound' LIMIT 1),  'att_compound:lps',  'LPS',  'Lipopolysaccharide'); </v>
      </c>
    </row>
    <row r="150" spans="1:15" x14ac:dyDescent="0.15">
      <c r="A150" s="12" t="b">
        <f>FALSE()</f>
        <v>0</v>
      </c>
      <c r="B150" s="12"/>
      <c r="C150" s="6" t="s">
        <v>2555</v>
      </c>
      <c r="D150" s="6" t="s">
        <v>2556</v>
      </c>
      <c r="E150" s="6" t="s">
        <v>17</v>
      </c>
      <c r="F150" s="6" t="s">
        <v>2543</v>
      </c>
      <c r="G150" s="6" t="s">
        <v>2544</v>
      </c>
      <c r="H150" s="6" t="str">
        <f t="shared" si="8"/>
        <v>att_compound</v>
      </c>
      <c r="I150" s="6" t="s">
        <v>2555</v>
      </c>
      <c r="J150" s="6" t="str">
        <f t="shared" si="9"/>
        <v>att_compound:niap</v>
      </c>
      <c r="K150" s="11" t="s">
        <v>21</v>
      </c>
      <c r="L150" s="6" t="s">
        <v>2556</v>
      </c>
      <c r="M150" s="6" t="s">
        <v>17</v>
      </c>
      <c r="N150" s="6" t="str">
        <f t="shared" si="10"/>
        <v>INSERT INTO attributes (parent_id, tag, name, priority, allow_as_filter, allow_for_dataset, allow_for_measurement, allow_for_users, allow_for_qc) VALUES (NULL, 'att_compound',  'Compound',  500,  TRUE, TRUE, TRUE, FALSE, FALSE);</v>
      </c>
      <c r="O150" s="6" t="str">
        <f t="shared" si="11"/>
        <v xml:space="preserve">INSERT INTO attribute_values (attribute_id, tag, name, details) VALUES ((SELECT id FROM attributes WHERE tag = 'att_compound' LIMIT 1),  'att_compound:niap',  'nIAP',  'nIAP'); </v>
      </c>
    </row>
    <row r="151" spans="1:15" x14ac:dyDescent="0.15">
      <c r="A151" s="12" t="b">
        <f>FALSE()</f>
        <v>0</v>
      </c>
      <c r="B151" s="12"/>
      <c r="C151" s="6" t="s">
        <v>2557</v>
      </c>
      <c r="D151" s="6" t="s">
        <v>2558</v>
      </c>
      <c r="E151" s="6" t="s">
        <v>17</v>
      </c>
      <c r="F151" s="6" t="s">
        <v>2543</v>
      </c>
      <c r="G151" s="6" t="s">
        <v>2544</v>
      </c>
      <c r="H151" s="6" t="str">
        <f t="shared" si="8"/>
        <v>att_compound</v>
      </c>
      <c r="I151" s="6" t="s">
        <v>2557</v>
      </c>
      <c r="J151" s="6" t="str">
        <f t="shared" si="9"/>
        <v>att_compound:pam</v>
      </c>
      <c r="K151" s="11" t="s">
        <v>21</v>
      </c>
      <c r="L151" s="6" t="s">
        <v>2559</v>
      </c>
      <c r="M151" s="6" t="s">
        <v>17</v>
      </c>
      <c r="N151" s="6" t="str">
        <f t="shared" si="10"/>
        <v>INSERT INTO attributes (parent_id, tag, name, priority, allow_as_filter, allow_for_dataset, allow_for_measurement, allow_for_users, allow_for_qc) VALUES (NULL, 'att_compound',  'Compound',  500,  TRUE, TRUE, TRUE, FALSE, FALSE);</v>
      </c>
      <c r="O151" s="6" t="str">
        <f t="shared" si="11"/>
        <v xml:space="preserve">INSERT INTO attribute_values (attribute_id, tag, name, details) VALUES ((SELECT id FROM attributes WHERE tag = 'att_compound' LIMIT 1),  'att_compound:pam',  'PAM',  'Polyacrylamide'); </v>
      </c>
    </row>
    <row r="152" spans="1:15" x14ac:dyDescent="0.15">
      <c r="A152" s="12" t="b">
        <f>FALSE()</f>
        <v>0</v>
      </c>
      <c r="B152" s="12"/>
      <c r="C152" s="6" t="s">
        <v>2560</v>
      </c>
      <c r="D152" s="6" t="s">
        <v>2561</v>
      </c>
      <c r="E152" s="6" t="s">
        <v>17</v>
      </c>
      <c r="F152" s="6" t="s">
        <v>2543</v>
      </c>
      <c r="G152" s="6" t="s">
        <v>2544</v>
      </c>
      <c r="H152" s="6" t="str">
        <f t="shared" si="8"/>
        <v>att_compound</v>
      </c>
      <c r="I152" s="6" t="s">
        <v>2560</v>
      </c>
      <c r="J152" s="6" t="str">
        <f t="shared" si="9"/>
        <v>att_compound:r837</v>
      </c>
      <c r="K152" s="11" t="s">
        <v>21</v>
      </c>
      <c r="L152" s="6" t="s">
        <v>2562</v>
      </c>
      <c r="M152" s="6" t="s">
        <v>17</v>
      </c>
      <c r="N152" s="6" t="str">
        <f t="shared" si="10"/>
        <v>INSERT INTO attributes (parent_id, tag, name, priority, allow_as_filter, allow_for_dataset, allow_for_measurement, allow_for_users, allow_for_qc) VALUES (NULL, 'att_compound',  'Compound',  500,  TRUE, TRUE, TRUE, FALSE, FALSE);</v>
      </c>
      <c r="O152" s="6" t="str">
        <f t="shared" si="11"/>
        <v xml:space="preserve">INSERT INTO attribute_values (attribute_id, tag, name, details) VALUES ((SELECT id FROM attributes WHERE tag = 'att_compound' LIMIT 1),  'att_compound:r837',  'R837',  'Imiquimod; stimulates the innate immune system by activating toll-like receptor 7 (TLR7)'); </v>
      </c>
    </row>
    <row r="153" spans="1:15" x14ac:dyDescent="0.15">
      <c r="A153" s="12" t="b">
        <f>FALSE()</f>
        <v>0</v>
      </c>
      <c r="B153" s="12"/>
      <c r="C153" s="6" t="s">
        <v>2563</v>
      </c>
      <c r="D153" s="6" t="s">
        <v>2564</v>
      </c>
      <c r="E153" s="6" t="s">
        <v>17</v>
      </c>
      <c r="F153" s="6" t="s">
        <v>2543</v>
      </c>
      <c r="G153" s="6" t="s">
        <v>2544</v>
      </c>
      <c r="H153" s="6" t="str">
        <f t="shared" si="8"/>
        <v>att_compound</v>
      </c>
      <c r="I153" s="6" t="s">
        <v>2563</v>
      </c>
      <c r="J153" s="6" t="str">
        <f t="shared" si="9"/>
        <v>att_compound:r848</v>
      </c>
      <c r="K153" s="11" t="s">
        <v>21</v>
      </c>
      <c r="L153" s="6" t="s">
        <v>2565</v>
      </c>
      <c r="M153" s="6" t="s">
        <v>17</v>
      </c>
      <c r="N153" s="6" t="str">
        <f t="shared" si="10"/>
        <v>INSERT INTO attributes (parent_id, tag, name, priority, allow_as_filter, allow_for_dataset, allow_for_measurement, allow_for_users, allow_for_qc) VALUES (NULL, 'att_compound',  'Compound',  500,  TRUE, TRUE, TRUE, FALSE, FALSE);</v>
      </c>
      <c r="O153" s="6" t="str">
        <f t="shared" si="11"/>
        <v xml:space="preserve">INSERT INTO attribute_values (attribute_id, tag, name, details) VALUES ((SELECT id FROM attributes WHERE tag = 'att_compound' LIMIT 1),  'att_compound:r848',  'R848',  'Resiquimod; Imidazoquinolinamine and Toll-like receptor (TLR) agonist'); </v>
      </c>
    </row>
    <row r="154" spans="1:15" x14ac:dyDescent="0.15">
      <c r="A154" s="12" t="b">
        <f>FALSE()</f>
        <v>0</v>
      </c>
      <c r="B154" s="12"/>
      <c r="C154" s="6" t="s">
        <v>771</v>
      </c>
      <c r="D154" s="6" t="s">
        <v>771</v>
      </c>
      <c r="E154" s="6" t="s">
        <v>17</v>
      </c>
      <c r="F154" s="6" t="s">
        <v>2543</v>
      </c>
      <c r="G154" s="6" t="s">
        <v>2544</v>
      </c>
      <c r="H154" s="6" t="str">
        <f t="shared" si="8"/>
        <v>att_compound</v>
      </c>
      <c r="I154" s="6" t="s">
        <v>771</v>
      </c>
      <c r="J154" s="6" t="str">
        <f t="shared" si="9"/>
        <v>att_compound:tamoxifen</v>
      </c>
      <c r="K154" s="11" t="s">
        <v>21</v>
      </c>
      <c r="L154" s="6" t="s">
        <v>772</v>
      </c>
      <c r="M154" s="6" t="s">
        <v>17</v>
      </c>
      <c r="N154" s="6" t="str">
        <f t="shared" si="10"/>
        <v>INSERT INTO attributes (parent_id, tag, name, priority, allow_as_filter, allow_for_dataset, allow_for_measurement, allow_for_users, allow_for_qc) VALUES (NULL, 'att_compound',  'Compound',  500,  TRUE, TRUE, TRUE, FALSE, FALSE);</v>
      </c>
      <c r="O154" s="6" t="str">
        <f t="shared" si="11"/>
        <v xml:space="preserve">INSERT INTO attribute_values (attribute_id, tag, name, details) VALUES ((SELECT id FROM attributes WHERE tag = 'att_compound' LIMIT 1),  'att_compound:tamoxifen',  'tamoxifen',  'Tamoxifen'); </v>
      </c>
    </row>
    <row r="155" spans="1:15" x14ac:dyDescent="0.15">
      <c r="A155" s="12" t="b">
        <f>FALSE()</f>
        <v>0</v>
      </c>
      <c r="B155" s="12"/>
      <c r="C155" s="6" t="s">
        <v>776</v>
      </c>
      <c r="D155" s="6" t="s">
        <v>776</v>
      </c>
      <c r="E155" s="6" t="s">
        <v>17</v>
      </c>
      <c r="F155" s="6" t="s">
        <v>2543</v>
      </c>
      <c r="G155" s="6" t="s">
        <v>2544</v>
      </c>
      <c r="H155" s="6" t="str">
        <f t="shared" si="8"/>
        <v>att_compound</v>
      </c>
      <c r="I155" s="6" t="s">
        <v>776</v>
      </c>
      <c r="J155" s="6" t="str">
        <f t="shared" si="9"/>
        <v>att_compound:trametinib</v>
      </c>
      <c r="K155" s="11" t="s">
        <v>21</v>
      </c>
      <c r="L155" s="6" t="s">
        <v>777</v>
      </c>
      <c r="M155" s="6" t="s">
        <v>17</v>
      </c>
      <c r="N155" s="6" t="str">
        <f t="shared" si="10"/>
        <v>INSERT INTO attributes (parent_id, tag, name, priority, allow_as_filter, allow_for_dataset, allow_for_measurement, allow_for_users, allow_for_qc) VALUES (NULL, 'att_compound',  'Compound',  500,  TRUE, TRUE, TRUE, FALSE, FALSE);</v>
      </c>
      <c r="O155" s="6" t="str">
        <f t="shared" si="11"/>
        <v xml:space="preserve">INSERT INTO attribute_values (attribute_id, tag, name, details) VALUES ((SELECT id FROM attributes WHERE tag = 'att_compound' LIMIT 1),  'att_compound:trametinib',  'trametinib',  'Trametinib'); </v>
      </c>
    </row>
    <row r="156" spans="1:15" x14ac:dyDescent="0.15">
      <c r="A156" s="12" t="b">
        <f>FALSE()</f>
        <v>0</v>
      </c>
      <c r="B156" s="12"/>
      <c r="C156" s="6" t="s">
        <v>778</v>
      </c>
      <c r="D156" s="6" t="s">
        <v>779</v>
      </c>
      <c r="E156" s="6" t="s">
        <v>17</v>
      </c>
      <c r="F156" s="6" t="s">
        <v>2543</v>
      </c>
      <c r="G156" s="6" t="s">
        <v>2544</v>
      </c>
      <c r="H156" s="6" t="str">
        <f t="shared" si="8"/>
        <v>att_compound</v>
      </c>
      <c r="I156" s="6" t="s">
        <v>778</v>
      </c>
      <c r="J156" s="6" t="str">
        <f t="shared" si="9"/>
        <v>att_compound:unstimulated</v>
      </c>
      <c r="K156" s="11" t="s">
        <v>21</v>
      </c>
      <c r="L156" s="6" t="s">
        <v>780</v>
      </c>
      <c r="M156" s="6" t="s">
        <v>17</v>
      </c>
      <c r="N156" s="6" t="str">
        <f t="shared" si="10"/>
        <v>INSERT INTO attributes (parent_id, tag, name, priority, allow_as_filter, allow_for_dataset, allow_for_measurement, allow_for_users, allow_for_qc) VALUES (NULL, 'att_compound',  'Compound',  500,  TRUE, TRUE, TRUE, FALSE, FALSE);</v>
      </c>
      <c r="O156" s="6" t="str">
        <f t="shared" si="11"/>
        <v xml:space="preserve">INSERT INTO attribute_values (attribute_id, tag, name, details) VALUES ((SELECT id FROM attributes WHERE tag = 'att_compound' LIMIT 1),  'att_compound:unstimulated',  'Unstimulated',  'Unstimulated; nothing added; Control'); </v>
      </c>
    </row>
    <row r="157" spans="1:15" x14ac:dyDescent="0.15">
      <c r="A157" s="12" t="b">
        <f>FALSE()</f>
        <v>0</v>
      </c>
      <c r="B157" s="12"/>
      <c r="C157" s="6" t="s">
        <v>781</v>
      </c>
      <c r="D157" s="6" t="s">
        <v>781</v>
      </c>
      <c r="E157" s="6" t="s">
        <v>17</v>
      </c>
      <c r="F157" s="6" t="s">
        <v>2566</v>
      </c>
      <c r="G157" s="6" t="s">
        <v>2567</v>
      </c>
      <c r="H157" s="6" t="str">
        <f t="shared" si="8"/>
        <v>att_context</v>
      </c>
      <c r="I157" s="6" t="s">
        <v>781</v>
      </c>
      <c r="J157" s="6" t="str">
        <f t="shared" si="9"/>
        <v>att_context:microenvironment</v>
      </c>
      <c r="K157" s="11" t="s">
        <v>21</v>
      </c>
      <c r="L157" s="6" t="s">
        <v>781</v>
      </c>
      <c r="M157" s="6" t="s">
        <v>17</v>
      </c>
      <c r="N157" s="6" t="str">
        <f t="shared" si="10"/>
        <v>INSERT INTO attributes (parent_id, tag, name, priority, allow_as_filter, allow_for_dataset, allow_for_measurement, allow_for_users, allow_for_qc) VALUES (NULL, 'att_context',  'Context',  500,  TRUE, TRUE, TRUE, FALSE, FALSE);</v>
      </c>
      <c r="O157" s="6" t="str">
        <f t="shared" si="11"/>
        <v xml:space="preserve">INSERT INTO attribute_values (attribute_id, tag, name, details) VALUES ((SELECT id FROM attributes WHERE tag = 'att_context' LIMIT 1),  'att_context:microenvironment',  'microenvironment',  'microenvironment'); </v>
      </c>
    </row>
    <row r="158" spans="1:15" x14ac:dyDescent="0.15">
      <c r="A158" s="11" t="s">
        <v>21</v>
      </c>
      <c r="B158" s="11"/>
      <c r="C158" s="6" t="s">
        <v>992</v>
      </c>
      <c r="D158" s="6" t="s">
        <v>991</v>
      </c>
      <c r="E158" s="6" t="s">
        <v>17</v>
      </c>
      <c r="F158" s="6" t="s">
        <v>2568</v>
      </c>
      <c r="G158" s="6" t="s">
        <v>2569</v>
      </c>
      <c r="H158" s="6" t="str">
        <f t="shared" si="8"/>
        <v>att_dataset</v>
      </c>
      <c r="I158" s="6" t="s">
        <v>992</v>
      </c>
      <c r="J158" s="6" t="str">
        <f t="shared" si="9"/>
        <v>att_dataset:database search</v>
      </c>
      <c r="K158" s="11" t="s">
        <v>21</v>
      </c>
      <c r="L158" s="6" t="s">
        <v>992</v>
      </c>
      <c r="M158" s="6" t="s">
        <v>17</v>
      </c>
      <c r="N158" s="6" t="str">
        <f t="shared" si="10"/>
        <v>INSERT INTO attributes (parent_id, tag, name, priority, allow_as_filter, allow_for_dataset, allow_for_measurement, allow_for_users, allow_for_qc) VALUES (NULL, 'att_dataset',  'Spectral Interpretation',  500,  TRUE, TRUE, TRUE, FALSE, FALSE);</v>
      </c>
      <c r="O158" s="6" t="str">
        <f t="shared" si="11"/>
        <v xml:space="preserve">INSERT INTO attribute_values (attribute_id, tag, name, details) VALUES ((SELECT id FROM attributes WHERE tag = 'att_dataset' LIMIT 1),  'att_dataset:database search',  'Database search',  'database search'); </v>
      </c>
    </row>
    <row r="159" spans="1:15" x14ac:dyDescent="0.15">
      <c r="A159" s="11" t="s">
        <v>21</v>
      </c>
      <c r="B159" s="11"/>
      <c r="C159" s="6" t="s">
        <v>994</v>
      </c>
      <c r="D159" s="6" t="s">
        <v>994</v>
      </c>
      <c r="E159" s="6" t="s">
        <v>17</v>
      </c>
      <c r="F159" s="6" t="s">
        <v>2568</v>
      </c>
      <c r="G159" s="6" t="s">
        <v>2569</v>
      </c>
      <c r="H159" s="6" t="str">
        <f t="shared" si="8"/>
        <v>att_dataset</v>
      </c>
      <c r="I159" s="6" t="s">
        <v>994</v>
      </c>
      <c r="J159" s="6" t="str">
        <f t="shared" si="9"/>
        <v>att_dataset:de novo</v>
      </c>
      <c r="K159" s="11" t="s">
        <v>21</v>
      </c>
      <c r="L159" s="6" t="s">
        <v>994</v>
      </c>
      <c r="M159" s="6" t="s">
        <v>17</v>
      </c>
      <c r="N159" s="6" t="str">
        <f t="shared" si="10"/>
        <v>INSERT INTO attributes (parent_id, tag, name, priority, allow_as_filter, allow_for_dataset, allow_for_measurement, allow_for_users, allow_for_qc) VALUES (NULL, 'att_dataset',  'Spectral Interpretation',  500,  TRUE, TRUE, TRUE, FALSE, FALSE);</v>
      </c>
      <c r="O159" s="6" t="str">
        <f t="shared" si="11"/>
        <v xml:space="preserve">INSERT INTO attribute_values (attribute_id, tag, name, details) VALUES ((SELECT id FROM attributes WHERE tag = 'att_dataset' LIMIT 1),  'att_dataset:de novo',  'de novo',  'de novo'); </v>
      </c>
    </row>
    <row r="160" spans="1:15" x14ac:dyDescent="0.15">
      <c r="A160" s="12" t="b">
        <f>FALSE()</f>
        <v>0</v>
      </c>
      <c r="B160" s="12"/>
      <c r="C160" s="6" t="s">
        <v>1064</v>
      </c>
      <c r="D160" s="6" t="s">
        <v>1065</v>
      </c>
      <c r="E160" s="6" t="s">
        <v>17</v>
      </c>
      <c r="F160" s="6" t="s">
        <v>108</v>
      </c>
      <c r="G160" s="6" t="s">
        <v>2570</v>
      </c>
      <c r="H160" s="6" t="str">
        <f t="shared" si="8"/>
        <v>att_disease</v>
      </c>
      <c r="I160" s="6" t="s">
        <v>1064</v>
      </c>
      <c r="J160" s="6" t="str">
        <f t="shared" si="9"/>
        <v>att_disease:als</v>
      </c>
      <c r="K160" s="11" t="s">
        <v>21</v>
      </c>
      <c r="L160" s="6" t="s">
        <v>1066</v>
      </c>
      <c r="M160" s="6" t="s">
        <v>17</v>
      </c>
      <c r="N160" s="6" t="str">
        <f t="shared" si="10"/>
        <v>INSERT INTO attributes (parent_id, tag, name, priority, allow_as_filter, allow_for_dataset, allow_for_measurement, allow_for_users, allow_for_qc) VALUES (NULL, 'att_disease',  'Disease',  500,  TRUE, TRUE, TRUE, FALSE, FALSE);</v>
      </c>
      <c r="O160" s="6" t="str">
        <f t="shared" si="11"/>
        <v xml:space="preserve">INSERT INTO attribute_values (attribute_id, tag, name, details) VALUES ((SELECT id FROM attributes WHERE tag = 'att_disease' LIMIT 1),  'att_disease:als',  'ALS',  'Amyotrophic lateral sclerosis'); </v>
      </c>
    </row>
    <row r="161" spans="1:15" x14ac:dyDescent="0.15">
      <c r="A161" s="12" t="b">
        <f>FALSE()</f>
        <v>0</v>
      </c>
      <c r="B161" s="12"/>
      <c r="C161" s="6" t="s">
        <v>1067</v>
      </c>
      <c r="D161" s="6" t="s">
        <v>1068</v>
      </c>
      <c r="E161" s="6" t="s">
        <v>17</v>
      </c>
      <c r="F161" s="6" t="s">
        <v>108</v>
      </c>
      <c r="G161" s="6" t="s">
        <v>2570</v>
      </c>
      <c r="H161" s="6" t="str">
        <f t="shared" si="8"/>
        <v>att_disease</v>
      </c>
      <c r="I161" s="6" t="s">
        <v>1067</v>
      </c>
      <c r="J161" s="6" t="str">
        <f t="shared" si="9"/>
        <v>att_disease:alzheimer</v>
      </c>
      <c r="K161" s="11" t="s">
        <v>21</v>
      </c>
      <c r="L161" s="6" t="s">
        <v>1069</v>
      </c>
      <c r="M161" s="6" t="s">
        <v>17</v>
      </c>
      <c r="N161" s="6" t="str">
        <f t="shared" si="10"/>
        <v>INSERT INTO attributes (parent_id, tag, name, priority, allow_as_filter, allow_for_dataset, allow_for_measurement, allow_for_users, allow_for_qc) VALUES (NULL, 'att_disease',  'Disease',  500,  TRUE, TRUE, TRUE, FALSE, FALSE);</v>
      </c>
      <c r="O161" s="6" t="str">
        <f t="shared" si="11"/>
        <v xml:space="preserve">INSERT INTO attribute_values (attribute_id, tag, name, details) VALUES ((SELECT id FROM attributes WHERE tag = 'att_disease' LIMIT 1),  'att_disease:alzheimer',  'Alzheimer',  'Alzheimer's disease'); </v>
      </c>
    </row>
    <row r="162" spans="1:15" x14ac:dyDescent="0.15">
      <c r="A162" s="12" t="b">
        <f>FALSE()</f>
        <v>0</v>
      </c>
      <c r="B162" s="12"/>
      <c r="C162" s="6" t="s">
        <v>1070</v>
      </c>
      <c r="D162" s="6" t="s">
        <v>1071</v>
      </c>
      <c r="E162" s="6" t="s">
        <v>17</v>
      </c>
      <c r="F162" s="6" t="s">
        <v>108</v>
      </c>
      <c r="G162" s="6" t="s">
        <v>2570</v>
      </c>
      <c r="H162" s="6" t="str">
        <f t="shared" si="8"/>
        <v>att_disease</v>
      </c>
      <c r="I162" s="6" t="s">
        <v>1070</v>
      </c>
      <c r="J162" s="6" t="str">
        <f t="shared" si="9"/>
        <v>att_disease:autoimmune</v>
      </c>
      <c r="K162" s="11" t="s">
        <v>21</v>
      </c>
      <c r="L162" s="6" t="s">
        <v>1072</v>
      </c>
      <c r="M162" s="6" t="s">
        <v>17</v>
      </c>
      <c r="N162" s="6" t="str">
        <f t="shared" si="10"/>
        <v>INSERT INTO attributes (parent_id, tag, name, priority, allow_as_filter, allow_for_dataset, allow_for_measurement, allow_for_users, allow_for_qc) VALUES (NULL, 'att_disease',  'Disease',  500,  TRUE, TRUE, TRUE, FALSE, FALSE);</v>
      </c>
      <c r="O162" s="6" t="str">
        <f t="shared" si="11"/>
        <v xml:space="preserve">INSERT INTO attribute_values (attribute_id, tag, name, details) VALUES ((SELECT id FROM attributes WHERE tag = 'att_disease' LIMIT 1),  'att_disease:autoimmune',  'Autoimmune',  'Autoimmune disease'); </v>
      </c>
    </row>
    <row r="163" spans="1:15" x14ac:dyDescent="0.15">
      <c r="A163" s="12" t="b">
        <f>FALSE()</f>
        <v>0</v>
      </c>
      <c r="B163" s="12"/>
      <c r="C163" s="6" t="s">
        <v>1073</v>
      </c>
      <c r="D163" s="6" t="s">
        <v>1074</v>
      </c>
      <c r="E163" s="6" t="s">
        <v>17</v>
      </c>
      <c r="F163" s="6" t="s">
        <v>108</v>
      </c>
      <c r="G163" s="6" t="s">
        <v>2570</v>
      </c>
      <c r="H163" s="6" t="str">
        <f t="shared" si="8"/>
        <v>att_disease</v>
      </c>
      <c r="I163" s="6" t="s">
        <v>1073</v>
      </c>
      <c r="J163" s="6" t="str">
        <f t="shared" si="9"/>
        <v>att_disease:cancer</v>
      </c>
      <c r="K163" s="11" t="s">
        <v>21</v>
      </c>
      <c r="L163" s="6" t="s">
        <v>1075</v>
      </c>
      <c r="M163" s="6" t="s">
        <v>17</v>
      </c>
      <c r="N163" s="6" t="str">
        <f t="shared" si="10"/>
        <v>INSERT INTO attributes (parent_id, tag, name, priority, allow_as_filter, allow_for_dataset, allow_for_measurement, allow_for_users, allow_for_qc) VALUES (NULL, 'att_disease',  'Disease',  500,  TRUE, TRUE, TRUE, FALSE, FALSE);</v>
      </c>
      <c r="O163" s="6" t="str">
        <f t="shared" si="11"/>
        <v xml:space="preserve">INSERT INTO attribute_values (attribute_id, tag, name, details) VALUES ((SELECT id FROM attributes WHERE tag = 'att_disease' LIMIT 1),  'att_disease:cancer',  'Cancer',  'Diseases of abnormal cells grow'); </v>
      </c>
    </row>
    <row r="164" spans="1:15" x14ac:dyDescent="0.15">
      <c r="A164" s="12" t="b">
        <f>FALSE()</f>
        <v>0</v>
      </c>
      <c r="B164" s="12"/>
      <c r="C164" s="6" t="s">
        <v>1077</v>
      </c>
      <c r="D164" s="6" t="s">
        <v>1078</v>
      </c>
      <c r="E164" s="6" t="s">
        <v>17</v>
      </c>
      <c r="F164" s="6" t="s">
        <v>108</v>
      </c>
      <c r="G164" s="6" t="s">
        <v>2570</v>
      </c>
      <c r="H164" s="6" t="str">
        <f t="shared" si="8"/>
        <v>att_disease</v>
      </c>
      <c r="I164" s="6" t="s">
        <v>1076</v>
      </c>
      <c r="J164" s="6" t="str">
        <f t="shared" si="9"/>
        <v>att_disease:cardiovascular_diseases</v>
      </c>
      <c r="K164" s="11" t="s">
        <v>21</v>
      </c>
      <c r="L164" s="6" t="s">
        <v>1079</v>
      </c>
      <c r="M164" s="6" t="s">
        <v>17</v>
      </c>
      <c r="N164" s="6" t="str">
        <f t="shared" si="10"/>
        <v>INSERT INTO attributes (parent_id, tag, name, priority, allow_as_filter, allow_for_dataset, allow_for_measurement, allow_for_users, allow_for_qc) VALUES (NULL, 'att_disease',  'Disease',  500,  TRUE, TRUE, TRUE, FALSE, FALSE);</v>
      </c>
      <c r="O164" s="6" t="str">
        <f t="shared" si="11"/>
        <v xml:space="preserve">INSERT INTO attribute_values (attribute_id, tag, name, details) VALUES ((SELECT id FROM attributes WHERE tag = 'att_disease' LIMIT 1),  'att_disease:cardiovascular_diseases',  'Cardiovascular_Diseases',  'Cardiovascular and circulatory diseases'); </v>
      </c>
    </row>
    <row r="165" spans="1:15" x14ac:dyDescent="0.15">
      <c r="A165" s="12" t="b">
        <f>FALSE()</f>
        <v>0</v>
      </c>
      <c r="B165" s="12"/>
      <c r="C165" s="6" t="s">
        <v>1080</v>
      </c>
      <c r="D165" s="6" t="s">
        <v>1082</v>
      </c>
      <c r="E165" s="6" t="s">
        <v>17</v>
      </c>
      <c r="F165" s="6" t="s">
        <v>108</v>
      </c>
      <c r="G165" s="6" t="s">
        <v>2570</v>
      </c>
      <c r="H165" s="6" t="str">
        <f t="shared" si="8"/>
        <v>att_disease</v>
      </c>
      <c r="I165" s="6" t="s">
        <v>1080</v>
      </c>
      <c r="J165" s="6" t="str">
        <f t="shared" si="9"/>
        <v>att_disease:chronic_inflammation</v>
      </c>
      <c r="K165" s="11" t="s">
        <v>21</v>
      </c>
      <c r="L165" s="6" t="s">
        <v>1083</v>
      </c>
      <c r="M165" s="6" t="s">
        <v>17</v>
      </c>
      <c r="N165" s="6" t="str">
        <f t="shared" si="10"/>
        <v>INSERT INTO attributes (parent_id, tag, name, priority, allow_as_filter, allow_for_dataset, allow_for_measurement, allow_for_users, allow_for_qc) VALUES (NULL, 'att_disease',  'Disease',  500,  TRUE, TRUE, TRUE, FALSE, FALSE);</v>
      </c>
      <c r="O165" s="6" t="str">
        <f t="shared" si="11"/>
        <v xml:space="preserve">INSERT INTO attribute_values (attribute_id, tag, name, details) VALUES ((SELECT id FROM attributes WHERE tag = 'att_disease' LIMIT 1),  'att_disease:chronic_inflammation',  'Chronic_Inflammation',  'Slow, long-term inflammation lasting for prolonged periods'); </v>
      </c>
    </row>
    <row r="166" spans="1:15" x14ac:dyDescent="0.15">
      <c r="A166" s="12" t="b">
        <f>FALSE()</f>
        <v>0</v>
      </c>
      <c r="B166" s="12"/>
      <c r="C166" s="6" t="s">
        <v>1084</v>
      </c>
      <c r="D166" s="6" t="s">
        <v>1085</v>
      </c>
      <c r="E166" s="6" t="s">
        <v>17</v>
      </c>
      <c r="F166" s="6" t="s">
        <v>108</v>
      </c>
      <c r="G166" s="6" t="s">
        <v>2570</v>
      </c>
      <c r="H166" s="6" t="str">
        <f t="shared" si="8"/>
        <v>att_disease</v>
      </c>
      <c r="I166" s="6" t="s">
        <v>1084</v>
      </c>
      <c r="J166" s="6" t="str">
        <f t="shared" si="9"/>
        <v>att_disease:coeliac</v>
      </c>
      <c r="K166" s="11" t="s">
        <v>21</v>
      </c>
      <c r="L166" s="6" t="s">
        <v>1086</v>
      </c>
      <c r="M166" s="6" t="s">
        <v>17</v>
      </c>
      <c r="N166" s="6" t="str">
        <f t="shared" si="10"/>
        <v>INSERT INTO attributes (parent_id, tag, name, priority, allow_as_filter, allow_for_dataset, allow_for_measurement, allow_for_users, allow_for_qc) VALUES (NULL, 'att_disease',  'Disease',  500,  TRUE, TRUE, TRUE, FALSE, FALSE);</v>
      </c>
      <c r="O166" s="6" t="str">
        <f t="shared" si="11"/>
        <v xml:space="preserve">INSERT INTO attribute_values (attribute_id, tag, name, details) VALUES ((SELECT id FROM attributes WHERE tag = 'att_disease' LIMIT 1),  'att_disease:coeliac',  'Coeliac',  'Coeliac disease'); </v>
      </c>
    </row>
    <row r="167" spans="1:15" x14ac:dyDescent="0.15">
      <c r="A167" s="12" t="b">
        <f>FALSE()</f>
        <v>0</v>
      </c>
      <c r="B167" s="12"/>
      <c r="C167" s="6" t="s">
        <v>1087</v>
      </c>
      <c r="D167" s="6" t="s">
        <v>1088</v>
      </c>
      <c r="E167" s="6" t="s">
        <v>17</v>
      </c>
      <c r="F167" s="6" t="s">
        <v>108</v>
      </c>
      <c r="G167" s="6" t="s">
        <v>2570</v>
      </c>
      <c r="H167" s="6" t="str">
        <f t="shared" si="8"/>
        <v>att_disease</v>
      </c>
      <c r="I167" s="6" t="s">
        <v>1087</v>
      </c>
      <c r="J167" s="6" t="str">
        <f t="shared" si="9"/>
        <v>att_disease:covid19</v>
      </c>
      <c r="K167" s="11" t="s">
        <v>21</v>
      </c>
      <c r="L167" s="6" t="s">
        <v>1089</v>
      </c>
      <c r="M167" s="6" t="s">
        <v>17</v>
      </c>
      <c r="N167" s="6" t="str">
        <f t="shared" si="10"/>
        <v>INSERT INTO attributes (parent_id, tag, name, priority, allow_as_filter, allow_for_dataset, allow_for_measurement, allow_for_users, allow_for_qc) VALUES (NULL, 'att_disease',  'Disease',  500,  TRUE, TRUE, TRUE, FALSE, FALSE);</v>
      </c>
      <c r="O167" s="6" t="str">
        <f t="shared" si="11"/>
        <v xml:space="preserve">INSERT INTO attribute_values (attribute_id, tag, name, details) VALUES ((SELECT id FROM attributes WHERE tag = 'att_disease' LIMIT 1),  'att_disease:covid19',  'COVID19',  'coronavirus disease'); </v>
      </c>
    </row>
    <row r="168" spans="1:15" x14ac:dyDescent="0.15">
      <c r="A168" s="12" t="b">
        <f>FALSE()</f>
        <v>0</v>
      </c>
      <c r="B168" s="12"/>
      <c r="C168" s="6" t="s">
        <v>1090</v>
      </c>
      <c r="D168" s="6" t="s">
        <v>1091</v>
      </c>
      <c r="E168" s="6" t="s">
        <v>17</v>
      </c>
      <c r="F168" s="6" t="s">
        <v>108</v>
      </c>
      <c r="G168" s="6" t="s">
        <v>2570</v>
      </c>
      <c r="H168" s="6" t="str">
        <f t="shared" si="8"/>
        <v>att_disease</v>
      </c>
      <c r="I168" s="6" t="s">
        <v>1090</v>
      </c>
      <c r="J168" s="6" t="str">
        <f t="shared" si="9"/>
        <v>att_disease:dementia</v>
      </c>
      <c r="K168" s="11" t="s">
        <v>21</v>
      </c>
      <c r="L168" s="6" t="s">
        <v>1091</v>
      </c>
      <c r="M168" s="6" t="s">
        <v>17</v>
      </c>
      <c r="N168" s="6" t="str">
        <f t="shared" si="10"/>
        <v>INSERT INTO attributes (parent_id, tag, name, priority, allow_as_filter, allow_for_dataset, allow_for_measurement, allow_for_users, allow_for_qc) VALUES (NULL, 'att_disease',  'Disease',  500,  TRUE, TRUE, TRUE, FALSE, FALSE);</v>
      </c>
      <c r="O168" s="6" t="str">
        <f t="shared" si="11"/>
        <v xml:space="preserve">INSERT INTO attribute_values (attribute_id, tag, name, details) VALUES ((SELECT id FROM attributes WHERE tag = 'att_disease' LIMIT 1),  'att_disease:dementia',  'Dementia',  'Dementia'); </v>
      </c>
    </row>
    <row r="169" spans="1:15" x14ac:dyDescent="0.15">
      <c r="A169" s="12" t="b">
        <f>FALSE()</f>
        <v>0</v>
      </c>
      <c r="B169" s="12"/>
      <c r="C169" s="6" t="s">
        <v>1092</v>
      </c>
      <c r="D169" s="6" t="s">
        <v>1093</v>
      </c>
      <c r="E169" s="6" t="s">
        <v>17</v>
      </c>
      <c r="F169" s="6" t="s">
        <v>108</v>
      </c>
      <c r="G169" s="6" t="s">
        <v>2570</v>
      </c>
      <c r="H169" s="6" t="str">
        <f t="shared" si="8"/>
        <v>att_disease</v>
      </c>
      <c r="I169" s="6" t="s">
        <v>1092</v>
      </c>
      <c r="J169" s="6" t="str">
        <f t="shared" si="9"/>
        <v>att_disease:demyelinating</v>
      </c>
      <c r="K169" s="11" t="s">
        <v>21</v>
      </c>
      <c r="L169" s="6" t="s">
        <v>1094</v>
      </c>
      <c r="M169" s="6" t="s">
        <v>17</v>
      </c>
      <c r="N169" s="6" t="str">
        <f t="shared" si="10"/>
        <v>INSERT INTO attributes (parent_id, tag, name, priority, allow_as_filter, allow_for_dataset, allow_for_measurement, allow_for_users, allow_for_qc) VALUES (NULL, 'att_disease',  'Disease',  500,  TRUE, TRUE, TRUE, FALSE, FALSE);</v>
      </c>
      <c r="O169" s="6" t="str">
        <f t="shared" si="11"/>
        <v xml:space="preserve">INSERT INTO attribute_values (attribute_id, tag, name, details) VALUES ((SELECT id FROM attributes WHERE tag = 'att_disease' LIMIT 1),  'att_disease:demyelinating',  'Demyelinating',  'Demyelinating disease'); </v>
      </c>
    </row>
    <row r="170" spans="1:15" x14ac:dyDescent="0.15">
      <c r="A170" s="12" t="b">
        <f>FALSE()</f>
        <v>0</v>
      </c>
      <c r="B170" s="12"/>
      <c r="C170" s="6" t="s">
        <v>1095</v>
      </c>
      <c r="D170" s="6" t="s">
        <v>1096</v>
      </c>
      <c r="E170" s="6" t="s">
        <v>17</v>
      </c>
      <c r="F170" s="6" t="s">
        <v>108</v>
      </c>
      <c r="G170" s="6" t="s">
        <v>2570</v>
      </c>
      <c r="H170" s="6" t="str">
        <f t="shared" si="8"/>
        <v>att_disease</v>
      </c>
      <c r="I170" s="6" t="s">
        <v>1095</v>
      </c>
      <c r="J170" s="6" t="str">
        <f t="shared" si="9"/>
        <v>att_disease:diabetes</v>
      </c>
      <c r="K170" s="11" t="s">
        <v>21</v>
      </c>
      <c r="L170" s="6" t="s">
        <v>1096</v>
      </c>
      <c r="M170" s="6" t="s">
        <v>17</v>
      </c>
      <c r="N170" s="6" t="str">
        <f t="shared" si="10"/>
        <v>INSERT INTO attributes (parent_id, tag, name, priority, allow_as_filter, allow_for_dataset, allow_for_measurement, allow_for_users, allow_for_qc) VALUES (NULL, 'att_disease',  'Disease',  500,  TRUE, TRUE, TRUE, FALSE, FALSE);</v>
      </c>
      <c r="O170" s="6" t="str">
        <f t="shared" si="11"/>
        <v xml:space="preserve">INSERT INTO attribute_values (attribute_id, tag, name, details) VALUES ((SELECT id FROM attributes WHERE tag = 'att_disease' LIMIT 1),  'att_disease:diabetes',  'Diabetes',  'Diabetes'); </v>
      </c>
    </row>
    <row r="171" spans="1:15" x14ac:dyDescent="0.15">
      <c r="A171" s="12" t="b">
        <f>FALSE()</f>
        <v>0</v>
      </c>
      <c r="B171" s="12"/>
      <c r="C171" s="6" t="s">
        <v>1097</v>
      </c>
      <c r="D171" s="6" t="s">
        <v>1098</v>
      </c>
      <c r="E171" s="6" t="s">
        <v>17</v>
      </c>
      <c r="F171" s="6" t="s">
        <v>108</v>
      </c>
      <c r="G171" s="6" t="s">
        <v>2570</v>
      </c>
      <c r="H171" s="6" t="str">
        <f t="shared" si="8"/>
        <v>att_disease</v>
      </c>
      <c r="I171" s="6" t="s">
        <v>1097</v>
      </c>
      <c r="J171" s="6" t="str">
        <f t="shared" si="9"/>
        <v>att_disease:glioblastoma</v>
      </c>
      <c r="K171" s="11" t="s">
        <v>21</v>
      </c>
      <c r="L171" s="6" t="s">
        <v>1099</v>
      </c>
      <c r="M171" s="6" t="s">
        <v>17</v>
      </c>
      <c r="N171" s="6" t="str">
        <f t="shared" si="10"/>
        <v>INSERT INTO attributes (parent_id, tag, name, priority, allow_as_filter, allow_for_dataset, allow_for_measurement, allow_for_users, allow_for_qc) VALUES (NULL, 'att_disease',  'Disease',  500,  TRUE, TRUE, TRUE, FALSE, FALSE);</v>
      </c>
      <c r="O171" s="6" t="str">
        <f t="shared" si="11"/>
        <v xml:space="preserve">INSERT INTO attribute_values (attribute_id, tag, name, details) VALUES ((SELECT id FROM attributes WHERE tag = 'att_disease' LIMIT 1),  'att_disease:glioblastoma',  'Glioblastoma',  'Grade IV Astrocytoma'); </v>
      </c>
    </row>
    <row r="172" spans="1:15" x14ac:dyDescent="0.15">
      <c r="A172" s="12" t="b">
        <f>FALSE()</f>
        <v>0</v>
      </c>
      <c r="B172" s="12"/>
      <c r="C172" s="6" t="s">
        <v>1100</v>
      </c>
      <c r="D172" s="6" t="s">
        <v>1101</v>
      </c>
      <c r="E172" s="6" t="s">
        <v>17</v>
      </c>
      <c r="F172" s="6" t="s">
        <v>108</v>
      </c>
      <c r="G172" s="6" t="s">
        <v>2570</v>
      </c>
      <c r="H172" s="6" t="str">
        <f t="shared" si="8"/>
        <v>att_disease</v>
      </c>
      <c r="I172" s="6" t="s">
        <v>1100</v>
      </c>
      <c r="J172" s="6" t="str">
        <f t="shared" si="9"/>
        <v>att_disease:hiv</v>
      </c>
      <c r="K172" s="11" t="s">
        <v>21</v>
      </c>
      <c r="L172" s="6" t="s">
        <v>1102</v>
      </c>
      <c r="M172" s="6" t="s">
        <v>17</v>
      </c>
      <c r="N172" s="6" t="str">
        <f t="shared" si="10"/>
        <v>INSERT INTO attributes (parent_id, tag, name, priority, allow_as_filter, allow_for_dataset, allow_for_measurement, allow_for_users, allow_for_qc) VALUES (NULL, 'att_disease',  'Disease',  500,  TRUE, TRUE, TRUE, FALSE, FALSE);</v>
      </c>
      <c r="O172" s="6" t="str">
        <f t="shared" si="11"/>
        <v xml:space="preserve">INSERT INTO attribute_values (attribute_id, tag, name, details) VALUES ((SELECT id FROM attributes WHERE tag = 'att_disease' LIMIT 1),  'att_disease:hiv',  'HIV',  'HIV disease'); </v>
      </c>
    </row>
    <row r="173" spans="1:15" x14ac:dyDescent="0.15">
      <c r="A173" s="12" t="b">
        <f>FALSE()</f>
        <v>0</v>
      </c>
      <c r="B173" s="12"/>
      <c r="C173" s="6" t="s">
        <v>1103</v>
      </c>
      <c r="D173" s="6" t="s">
        <v>1104</v>
      </c>
      <c r="E173" s="6" t="s">
        <v>17</v>
      </c>
      <c r="F173" s="6" t="s">
        <v>108</v>
      </c>
      <c r="G173" s="6" t="s">
        <v>2570</v>
      </c>
      <c r="H173" s="6" t="str">
        <f t="shared" si="8"/>
        <v>att_disease</v>
      </c>
      <c r="I173" s="6" t="s">
        <v>1103</v>
      </c>
      <c r="J173" s="6" t="str">
        <f t="shared" si="9"/>
        <v>att_disease:huntington</v>
      </c>
      <c r="K173" s="11" t="s">
        <v>21</v>
      </c>
      <c r="L173" s="6" t="s">
        <v>1105</v>
      </c>
      <c r="M173" s="6" t="s">
        <v>17</v>
      </c>
      <c r="N173" s="6" t="str">
        <f t="shared" si="10"/>
        <v>INSERT INTO attributes (parent_id, tag, name, priority, allow_as_filter, allow_for_dataset, allow_for_measurement, allow_for_users, allow_for_qc) VALUES (NULL, 'att_disease',  'Disease',  500,  TRUE, TRUE, TRUE, FALSE, FALSE);</v>
      </c>
      <c r="O173" s="6" t="str">
        <f t="shared" si="11"/>
        <v xml:space="preserve">INSERT INTO attribute_values (attribute_id, tag, name, details) VALUES ((SELECT id FROM attributes WHERE tag = 'att_disease' LIMIT 1),  'att_disease:huntington',  'Huntington',  'Huntington's disease'); </v>
      </c>
    </row>
    <row r="174" spans="1:15" x14ac:dyDescent="0.15">
      <c r="A174" s="12" t="b">
        <f>FALSE()</f>
        <v>0</v>
      </c>
      <c r="B174" s="12"/>
      <c r="C174" s="6" t="s">
        <v>1106</v>
      </c>
      <c r="D174" s="6" t="s">
        <v>1107</v>
      </c>
      <c r="E174" s="6" t="s">
        <v>17</v>
      </c>
      <c r="F174" s="6" t="s">
        <v>108</v>
      </c>
      <c r="G174" s="6" t="s">
        <v>2570</v>
      </c>
      <c r="H174" s="6" t="str">
        <f t="shared" si="8"/>
        <v>att_disease</v>
      </c>
      <c r="I174" s="6" t="s">
        <v>1106</v>
      </c>
      <c r="J174" s="6" t="str">
        <f t="shared" si="9"/>
        <v>att_disease:ibd</v>
      </c>
      <c r="K174" s="11" t="s">
        <v>21</v>
      </c>
      <c r="L174" s="6" t="s">
        <v>1108</v>
      </c>
      <c r="M174" s="6" t="s">
        <v>17</v>
      </c>
      <c r="N174" s="6" t="str">
        <f t="shared" si="10"/>
        <v>INSERT INTO attributes (parent_id, tag, name, priority, allow_as_filter, allow_for_dataset, allow_for_measurement, allow_for_users, allow_for_qc) VALUES (NULL, 'att_disease',  'Disease',  500,  TRUE, TRUE, TRUE, FALSE, FALSE);</v>
      </c>
      <c r="O174" s="6" t="str">
        <f t="shared" si="11"/>
        <v xml:space="preserve">INSERT INTO attribute_values (attribute_id, tag, name, details) VALUES ((SELECT id FROM attributes WHERE tag = 'att_disease' LIMIT 1),  'att_disease:ibd',  'IBD',  'Inflammatory bowel disease'); </v>
      </c>
    </row>
    <row r="175" spans="1:15" x14ac:dyDescent="0.15">
      <c r="A175" s="12" t="b">
        <f>FALSE()</f>
        <v>0</v>
      </c>
      <c r="B175" s="12"/>
      <c r="C175" s="6" t="s">
        <v>1109</v>
      </c>
      <c r="D175" s="6" t="s">
        <v>1110</v>
      </c>
      <c r="E175" s="6" t="s">
        <v>17</v>
      </c>
      <c r="F175" s="6" t="s">
        <v>108</v>
      </c>
      <c r="G175" s="6" t="s">
        <v>2570</v>
      </c>
      <c r="H175" s="6" t="str">
        <f t="shared" si="8"/>
        <v>att_disease</v>
      </c>
      <c r="I175" s="6" t="s">
        <v>1109</v>
      </c>
      <c r="J175" s="6" t="str">
        <f t="shared" si="9"/>
        <v>att_disease:infection</v>
      </c>
      <c r="K175" s="11" t="s">
        <v>21</v>
      </c>
      <c r="L175" s="6" t="s">
        <v>1111</v>
      </c>
      <c r="M175" s="6" t="s">
        <v>17</v>
      </c>
      <c r="N175" s="6" t="str">
        <f t="shared" si="10"/>
        <v>INSERT INTO attributes (parent_id, tag, name, priority, allow_as_filter, allow_for_dataset, allow_for_measurement, allow_for_users, allow_for_qc) VALUES (NULL, 'att_disease',  'Disease',  500,  TRUE, TRUE, TRUE, FALSE, FALSE);</v>
      </c>
      <c r="O175" s="6" t="str">
        <f t="shared" si="11"/>
        <v xml:space="preserve">INSERT INTO attribute_values (attribute_id, tag, name, details) VALUES ((SELECT id FROM attributes WHERE tag = 'att_disease' LIMIT 1),  'att_disease:infection',  'Infection',  'Infection occurs when viruses, bacteria, or other microbes enter your body and begin to multiply.'); </v>
      </c>
    </row>
    <row r="176" spans="1:15" x14ac:dyDescent="0.15">
      <c r="A176" s="12" t="b">
        <f>FALSE()</f>
        <v>0</v>
      </c>
      <c r="B176" s="12"/>
      <c r="C176" s="6" t="s">
        <v>1112</v>
      </c>
      <c r="D176" s="6" t="s">
        <v>1113</v>
      </c>
      <c r="E176" s="6" t="s">
        <v>17</v>
      </c>
      <c r="F176" s="6" t="s">
        <v>108</v>
      </c>
      <c r="G176" s="6" t="s">
        <v>2570</v>
      </c>
      <c r="H176" s="6" t="str">
        <f t="shared" si="8"/>
        <v>att_disease</v>
      </c>
      <c r="I176" s="6" t="s">
        <v>1112</v>
      </c>
      <c r="J176" s="6" t="str">
        <f t="shared" si="9"/>
        <v>att_disease:influenza</v>
      </c>
      <c r="K176" s="11" t="s">
        <v>21</v>
      </c>
      <c r="L176" s="6" t="s">
        <v>1114</v>
      </c>
      <c r="M176" s="6" t="s">
        <v>17</v>
      </c>
      <c r="N176" s="6" t="str">
        <f t="shared" si="10"/>
        <v>INSERT INTO attributes (parent_id, tag, name, priority, allow_as_filter, allow_for_dataset, allow_for_measurement, allow_for_users, allow_for_qc) VALUES (NULL, 'att_disease',  'Disease',  500,  TRUE, TRUE, TRUE, FALSE, FALSE);</v>
      </c>
      <c r="O176" s="6" t="str">
        <f t="shared" si="11"/>
        <v xml:space="preserve">INSERT INTO attribute_values (attribute_id, tag, name, details) VALUES ((SELECT id FROM attributes WHERE tag = 'att_disease' LIMIT 1),  'att_disease:influenza',  'Influenza',  'Flue; contagious respiratory illness caused by influenza viruses.'); </v>
      </c>
    </row>
    <row r="177" spans="1:15" x14ac:dyDescent="0.15">
      <c r="A177" s="12" t="b">
        <f>FALSE()</f>
        <v>0</v>
      </c>
      <c r="B177" s="12"/>
      <c r="C177" s="6" t="s">
        <v>1115</v>
      </c>
      <c r="D177" s="6" t="s">
        <v>627</v>
      </c>
      <c r="E177" s="6" t="s">
        <v>17</v>
      </c>
      <c r="F177" s="6" t="s">
        <v>108</v>
      </c>
      <c r="G177" s="6" t="s">
        <v>2570</v>
      </c>
      <c r="H177" s="6" t="str">
        <f t="shared" si="8"/>
        <v>att_disease</v>
      </c>
      <c r="I177" s="6" t="s">
        <v>1115</v>
      </c>
      <c r="J177" s="6" t="str">
        <f t="shared" si="9"/>
        <v>att_disease:leukemia</v>
      </c>
      <c r="K177" s="11" t="s">
        <v>21</v>
      </c>
      <c r="L177" s="6" t="s">
        <v>1116</v>
      </c>
      <c r="M177" s="6" t="s">
        <v>17</v>
      </c>
      <c r="N177" s="6" t="str">
        <f t="shared" si="10"/>
        <v>INSERT INTO attributes (parent_id, tag, name, priority, allow_as_filter, allow_for_dataset, allow_for_measurement, allow_for_users, allow_for_qc) VALUES (NULL, 'att_disease',  'Disease',  500,  TRUE, TRUE, TRUE, FALSE, FALSE);</v>
      </c>
      <c r="O177" s="6" t="str">
        <f t="shared" si="11"/>
        <v xml:space="preserve">INSERT INTO attribute_values (attribute_id, tag, name, details) VALUES ((SELECT id FROM attributes WHERE tag = 'att_disease' LIMIT 1),  'att_disease:leukemia',  'Leukemia',  'Cancer of the body's blood-forming tissues'); </v>
      </c>
    </row>
    <row r="178" spans="1:15" x14ac:dyDescent="0.15">
      <c r="A178" s="12" t="b">
        <f>FALSE()</f>
        <v>0</v>
      </c>
      <c r="B178" s="12"/>
      <c r="C178" s="6" t="s">
        <v>1117</v>
      </c>
      <c r="D178" s="6" t="s">
        <v>1118</v>
      </c>
      <c r="E178" s="6" t="s">
        <v>17</v>
      </c>
      <c r="F178" s="6" t="s">
        <v>108</v>
      </c>
      <c r="G178" s="6" t="s">
        <v>2570</v>
      </c>
      <c r="H178" s="6" t="str">
        <f t="shared" si="8"/>
        <v>att_disease</v>
      </c>
      <c r="I178" s="6" t="s">
        <v>1117</v>
      </c>
      <c r="J178" s="6" t="str">
        <f t="shared" si="9"/>
        <v>att_disease:lymphoma</v>
      </c>
      <c r="K178" s="11" t="s">
        <v>21</v>
      </c>
      <c r="L178" s="6" t="s">
        <v>1119</v>
      </c>
      <c r="M178" s="6" t="s">
        <v>17</v>
      </c>
      <c r="N178" s="6" t="str">
        <f t="shared" si="10"/>
        <v>INSERT INTO attributes (parent_id, tag, name, priority, allow_as_filter, allow_for_dataset, allow_for_measurement, allow_for_users, allow_for_qc) VALUES (NULL, 'att_disease',  'Disease',  500,  TRUE, TRUE, TRUE, FALSE, FALSE);</v>
      </c>
      <c r="O178" s="6" t="str">
        <f t="shared" si="11"/>
        <v xml:space="preserve">INSERT INTO attribute_values (attribute_id, tag, name, details) VALUES ((SELECT id FROM attributes WHERE tag = 'att_disease' LIMIT 1),  'att_disease:lymphoma',  'Lymphoma',  'Cancer that begins in cells of the lymph system'); </v>
      </c>
    </row>
    <row r="179" spans="1:15" x14ac:dyDescent="0.15">
      <c r="A179" s="12" t="b">
        <f>FALSE()</f>
        <v>0</v>
      </c>
      <c r="B179" s="12"/>
      <c r="C179" s="6" t="s">
        <v>1120</v>
      </c>
      <c r="D179" s="6" t="s">
        <v>1121</v>
      </c>
      <c r="E179" s="6" t="s">
        <v>17</v>
      </c>
      <c r="F179" s="6" t="s">
        <v>108</v>
      </c>
      <c r="G179" s="6" t="s">
        <v>2570</v>
      </c>
      <c r="H179" s="6" t="str">
        <f t="shared" si="8"/>
        <v>att_disease</v>
      </c>
      <c r="I179" s="6" t="s">
        <v>1120</v>
      </c>
      <c r="J179" s="6" t="str">
        <f t="shared" si="9"/>
        <v>att_disease:malaria</v>
      </c>
      <c r="K179" s="11" t="s">
        <v>21</v>
      </c>
      <c r="L179" s="6" t="s">
        <v>1122</v>
      </c>
      <c r="M179" s="6" t="s">
        <v>17</v>
      </c>
      <c r="N179" s="6" t="str">
        <f t="shared" si="10"/>
        <v>INSERT INTO attributes (parent_id, tag, name, priority, allow_as_filter, allow_for_dataset, allow_for_measurement, allow_for_users, allow_for_qc) VALUES (NULL, 'att_disease',  'Disease',  500,  TRUE, TRUE, TRUE, FALSE, FALSE);</v>
      </c>
      <c r="O179" s="6" t="str">
        <f t="shared" si="11"/>
        <v xml:space="preserve">INSERT INTO attribute_values (attribute_id, tag, name, details) VALUES ((SELECT id FROM attributes WHERE tag = 'att_disease' LIMIT 1),  'att_disease:malaria',  'Malaria',  'Fatal disease caused by a parasite'); </v>
      </c>
    </row>
    <row r="180" spans="1:15" x14ac:dyDescent="0.15">
      <c r="A180" s="12" t="b">
        <f>FALSE()</f>
        <v>0</v>
      </c>
      <c r="B180" s="12"/>
      <c r="C180" s="6" t="s">
        <v>25</v>
      </c>
      <c r="D180" s="6" t="s">
        <v>1123</v>
      </c>
      <c r="E180" s="6" t="s">
        <v>17</v>
      </c>
      <c r="F180" s="6" t="s">
        <v>108</v>
      </c>
      <c r="G180" s="6" t="s">
        <v>2570</v>
      </c>
      <c r="H180" s="6" t="str">
        <f t="shared" si="8"/>
        <v>att_disease</v>
      </c>
      <c r="I180" s="6" t="s">
        <v>25</v>
      </c>
      <c r="J180" s="6" t="str">
        <f t="shared" si="9"/>
        <v>att_disease:ms</v>
      </c>
      <c r="K180" s="11" t="s">
        <v>21</v>
      </c>
      <c r="L180" s="6" t="s">
        <v>1124</v>
      </c>
      <c r="M180" s="6" t="s">
        <v>17</v>
      </c>
      <c r="N180" s="6" t="str">
        <f t="shared" si="10"/>
        <v>INSERT INTO attributes (parent_id, tag, name, priority, allow_as_filter, allow_for_dataset, allow_for_measurement, allow_for_users, allow_for_qc) VALUES (NULL, 'att_disease',  'Disease',  500,  TRUE, TRUE, TRUE, FALSE, FALSE);</v>
      </c>
      <c r="O180" s="6" t="str">
        <f t="shared" si="11"/>
        <v xml:space="preserve">INSERT INTO attribute_values (attribute_id, tag, name, details) VALUES ((SELECT id FROM attributes WHERE tag = 'att_disease' LIMIT 1),  'att_disease:ms',  'MS',  'Multiple sclerosis'); </v>
      </c>
    </row>
    <row r="181" spans="1:15" x14ac:dyDescent="0.15">
      <c r="A181" s="12" t="b">
        <f>FALSE()</f>
        <v>0</v>
      </c>
      <c r="B181" s="12"/>
      <c r="C181" s="6" t="s">
        <v>1125</v>
      </c>
      <c r="D181" s="6" t="s">
        <v>1126</v>
      </c>
      <c r="E181" s="6" t="s">
        <v>17</v>
      </c>
      <c r="F181" s="6" t="s">
        <v>108</v>
      </c>
      <c r="G181" s="6" t="s">
        <v>2570</v>
      </c>
      <c r="H181" s="6" t="str">
        <f t="shared" si="8"/>
        <v>att_disease</v>
      </c>
      <c r="I181" s="6" t="s">
        <v>1125</v>
      </c>
      <c r="J181" s="6" t="str">
        <f t="shared" si="9"/>
        <v>att_disease:msa</v>
      </c>
      <c r="K181" s="11" t="s">
        <v>21</v>
      </c>
      <c r="L181" s="6" t="s">
        <v>1127</v>
      </c>
      <c r="M181" s="6" t="s">
        <v>17</v>
      </c>
      <c r="N181" s="6" t="str">
        <f t="shared" si="10"/>
        <v>INSERT INTO attributes (parent_id, tag, name, priority, allow_as_filter, allow_for_dataset, allow_for_measurement, allow_for_users, allow_for_qc) VALUES (NULL, 'att_disease',  'Disease',  500,  TRUE, TRUE, TRUE, FALSE, FALSE);</v>
      </c>
      <c r="O181" s="6" t="str">
        <f t="shared" si="11"/>
        <v xml:space="preserve">INSERT INTO attribute_values (attribute_id, tag, name, details) VALUES ((SELECT id FROM attributes WHERE tag = 'att_disease' LIMIT 1),  'att_disease:msa',  'MSA',  'Multiple system atrophy'); </v>
      </c>
    </row>
    <row r="182" spans="1:15" x14ac:dyDescent="0.15">
      <c r="A182" s="12" t="b">
        <f>FALSE()</f>
        <v>0</v>
      </c>
      <c r="B182" s="12"/>
      <c r="C182" s="6" t="s">
        <v>1128</v>
      </c>
      <c r="D182" s="6" t="s">
        <v>1129</v>
      </c>
      <c r="E182" s="6" t="s">
        <v>17</v>
      </c>
      <c r="F182" s="6" t="s">
        <v>108</v>
      </c>
      <c r="G182" s="6" t="s">
        <v>2570</v>
      </c>
      <c r="H182" s="6" t="str">
        <f t="shared" si="8"/>
        <v>att_disease</v>
      </c>
      <c r="I182" s="6" t="s">
        <v>1128</v>
      </c>
      <c r="J182" s="6" t="str">
        <f t="shared" si="9"/>
        <v>att_disease:neurodegenerative</v>
      </c>
      <c r="K182" s="11" t="s">
        <v>21</v>
      </c>
      <c r="L182" s="6" t="s">
        <v>1130</v>
      </c>
      <c r="M182" s="6" t="s">
        <v>17</v>
      </c>
      <c r="N182" s="6" t="str">
        <f t="shared" si="10"/>
        <v>INSERT INTO attributes (parent_id, tag, name, priority, allow_as_filter, allow_for_dataset, allow_for_measurement, allow_for_users, allow_for_qc) VALUES (NULL, 'att_disease',  'Disease',  500,  TRUE, TRUE, TRUE, FALSE, FALSE);</v>
      </c>
      <c r="O182" s="6" t="str">
        <f t="shared" si="11"/>
        <v xml:space="preserve">INSERT INTO attribute_values (attribute_id, tag, name, details) VALUES ((SELECT id FROM attributes WHERE tag = 'att_disease' LIMIT 1),  'att_disease:neurodegenerative',  'Neurodegenerative',  'Neurodegenerative disease'); </v>
      </c>
    </row>
    <row r="183" spans="1:15" x14ac:dyDescent="0.15">
      <c r="A183" s="12" t="b">
        <f>FALSE()</f>
        <v>0</v>
      </c>
      <c r="B183" s="12"/>
      <c r="C183" s="6" t="s">
        <v>1131</v>
      </c>
      <c r="D183" s="6" t="s">
        <v>1132</v>
      </c>
      <c r="E183" s="6" t="s">
        <v>17</v>
      </c>
      <c r="F183" s="6" t="s">
        <v>108</v>
      </c>
      <c r="G183" s="6" t="s">
        <v>2570</v>
      </c>
      <c r="H183" s="6" t="str">
        <f t="shared" si="8"/>
        <v>att_disease</v>
      </c>
      <c r="I183" s="6" t="s">
        <v>1131</v>
      </c>
      <c r="J183" s="6" t="str">
        <f t="shared" si="9"/>
        <v>att_disease:parkinson</v>
      </c>
      <c r="K183" s="11" t="s">
        <v>21</v>
      </c>
      <c r="L183" s="6" t="s">
        <v>1133</v>
      </c>
      <c r="M183" s="6" t="s">
        <v>17</v>
      </c>
      <c r="N183" s="6" t="str">
        <f t="shared" si="10"/>
        <v>INSERT INTO attributes (parent_id, tag, name, priority, allow_as_filter, allow_for_dataset, allow_for_measurement, allow_for_users, allow_for_qc) VALUES (NULL, 'att_disease',  'Disease',  500,  TRUE, TRUE, TRUE, FALSE, FALSE);</v>
      </c>
      <c r="O183" s="6" t="str">
        <f t="shared" si="11"/>
        <v xml:space="preserve">INSERT INTO attribute_values (attribute_id, tag, name, details) VALUES ((SELECT id FROM attributes WHERE tag = 'att_disease' LIMIT 1),  'att_disease:parkinson',  'Parkinson',  'Parkinson's disease'); </v>
      </c>
    </row>
    <row r="184" spans="1:15" x14ac:dyDescent="0.15">
      <c r="A184" s="12" t="b">
        <f>FALSE()</f>
        <v>0</v>
      </c>
      <c r="B184" s="12"/>
      <c r="C184" s="6" t="s">
        <v>1134</v>
      </c>
      <c r="D184" s="6" t="s">
        <v>1135</v>
      </c>
      <c r="E184" s="6" t="s">
        <v>17</v>
      </c>
      <c r="F184" s="6" t="s">
        <v>108</v>
      </c>
      <c r="G184" s="6" t="s">
        <v>2570</v>
      </c>
      <c r="H184" s="6" t="str">
        <f t="shared" si="8"/>
        <v>att_disease</v>
      </c>
      <c r="I184" s="6" t="s">
        <v>1134</v>
      </c>
      <c r="J184" s="6" t="str">
        <f t="shared" si="9"/>
        <v>att_disease:prion</v>
      </c>
      <c r="K184" s="11" t="s">
        <v>21</v>
      </c>
      <c r="L184" s="6" t="s">
        <v>1136</v>
      </c>
      <c r="M184" s="6" t="s">
        <v>17</v>
      </c>
      <c r="N184" s="6" t="str">
        <f t="shared" si="10"/>
        <v>INSERT INTO attributes (parent_id, tag, name, priority, allow_as_filter, allow_for_dataset, allow_for_measurement, allow_for_users, allow_for_qc) VALUES (NULL, 'att_disease',  'Disease',  500,  TRUE, TRUE, TRUE, FALSE, FALSE);</v>
      </c>
      <c r="O184" s="6" t="str">
        <f t="shared" si="11"/>
        <v xml:space="preserve">INSERT INTO attribute_values (attribute_id, tag, name, details) VALUES ((SELECT id FROM attributes WHERE tag = 'att_disease' LIMIT 1),  'att_disease:prion',  'Prion',  'Prion disease'); </v>
      </c>
    </row>
    <row r="185" spans="1:15" x14ac:dyDescent="0.15">
      <c r="A185" s="12" t="b">
        <f>FALSE()</f>
        <v>0</v>
      </c>
      <c r="B185" s="12"/>
      <c r="C185" s="6" t="s">
        <v>1137</v>
      </c>
      <c r="D185" s="6" t="s">
        <v>1138</v>
      </c>
      <c r="E185" s="6" t="s">
        <v>17</v>
      </c>
      <c r="F185" s="6" t="s">
        <v>108</v>
      </c>
      <c r="G185" s="6" t="s">
        <v>2570</v>
      </c>
      <c r="H185" s="6" t="str">
        <f t="shared" si="8"/>
        <v>att_disease</v>
      </c>
      <c r="I185" s="6" t="s">
        <v>1137</v>
      </c>
      <c r="J185" s="6" t="str">
        <f t="shared" si="9"/>
        <v>att_disease:rheumatoid</v>
      </c>
      <c r="K185" s="11" t="s">
        <v>21</v>
      </c>
      <c r="L185" s="6" t="s">
        <v>1139</v>
      </c>
      <c r="M185" s="6" t="s">
        <v>17</v>
      </c>
      <c r="N185" s="6" t="str">
        <f t="shared" si="10"/>
        <v>INSERT INTO attributes (parent_id, tag, name, priority, allow_as_filter, allow_for_dataset, allow_for_measurement, allow_for_users, allow_for_qc) VALUES (NULL, 'att_disease',  'Disease',  500,  TRUE, TRUE, TRUE, FALSE, FALSE);</v>
      </c>
      <c r="O185" s="6" t="str">
        <f t="shared" si="11"/>
        <v xml:space="preserve">INSERT INTO attribute_values (attribute_id, tag, name, details) VALUES ((SELECT id FROM attributes WHERE tag = 'att_disease' LIMIT 1),  'att_disease:rheumatoid',  'Rheumatoid',  'Rheumatoid arthritis'); </v>
      </c>
    </row>
    <row r="186" spans="1:15" x14ac:dyDescent="0.15">
      <c r="A186" s="12" t="b">
        <f>FALSE()</f>
        <v>0</v>
      </c>
      <c r="B186" s="12"/>
      <c r="C186" s="6" t="s">
        <v>1140</v>
      </c>
      <c r="D186" s="6" t="s">
        <v>1141</v>
      </c>
      <c r="E186" s="6" t="s">
        <v>17</v>
      </c>
      <c r="F186" s="6" t="s">
        <v>108</v>
      </c>
      <c r="G186" s="6" t="s">
        <v>2570</v>
      </c>
      <c r="H186" s="6" t="str">
        <f t="shared" si="8"/>
        <v>att_disease</v>
      </c>
      <c r="I186" s="6" t="s">
        <v>1140</v>
      </c>
      <c r="J186" s="6" t="str">
        <f t="shared" si="9"/>
        <v>att_disease:stress</v>
      </c>
      <c r="K186" s="11" t="s">
        <v>21</v>
      </c>
      <c r="L186" s="6" t="s">
        <v>1142</v>
      </c>
      <c r="M186" s="6" t="s">
        <v>17</v>
      </c>
      <c r="N186" s="6" t="str">
        <f t="shared" si="10"/>
        <v>INSERT INTO attributes (parent_id, tag, name, priority, allow_as_filter, allow_for_dataset, allow_for_measurement, allow_for_users, allow_for_qc) VALUES (NULL, 'att_disease',  'Disease',  500,  TRUE, TRUE, TRUE, FALSE, FALSE);</v>
      </c>
      <c r="O186" s="6" t="str">
        <f t="shared" si="11"/>
        <v xml:space="preserve">INSERT INTO attribute_values (attribute_id, tag, name, details) VALUES ((SELECT id FROM attributes WHERE tag = 'att_disease' LIMIT 1),  'att_disease:stress',  'Stress',  'How one reacts when feeling under pressure or threatened'); </v>
      </c>
    </row>
    <row r="187" spans="1:15" x14ac:dyDescent="0.15">
      <c r="A187" s="12" t="b">
        <f>FALSE()</f>
        <v>0</v>
      </c>
      <c r="B187" s="12"/>
      <c r="C187" s="6" t="s">
        <v>1143</v>
      </c>
      <c r="D187" s="6" t="s">
        <v>1144</v>
      </c>
      <c r="E187" s="6" t="s">
        <v>17</v>
      </c>
      <c r="F187" s="6" t="s">
        <v>108</v>
      </c>
      <c r="G187" s="6" t="s">
        <v>2570</v>
      </c>
      <c r="H187" s="6" t="str">
        <f t="shared" si="8"/>
        <v>att_disease</v>
      </c>
      <c r="I187" s="6" t="s">
        <v>1143</v>
      </c>
      <c r="J187" s="6" t="str">
        <f t="shared" si="9"/>
        <v>att_disease:stroke</v>
      </c>
      <c r="K187" s="11" t="s">
        <v>21</v>
      </c>
      <c r="L187" s="6" t="s">
        <v>1145</v>
      </c>
      <c r="M187" s="6" t="s">
        <v>17</v>
      </c>
      <c r="N187" s="6" t="str">
        <f t="shared" si="10"/>
        <v>INSERT INTO attributes (parent_id, tag, name, priority, allow_as_filter, allow_for_dataset, allow_for_measurement, allow_for_users, allow_for_qc) VALUES (NULL, 'att_disease',  'Disease',  500,  TRUE, TRUE, TRUE, FALSE, FALSE);</v>
      </c>
      <c r="O187" s="6" t="str">
        <f t="shared" si="11"/>
        <v xml:space="preserve">INSERT INTO attribute_values (attribute_id, tag, name, details) VALUES ((SELECT id FROM attributes WHERE tag = 'att_disease' LIMIT 1),  'att_disease:stroke',  'Stroke',  'Disease that affects the arteries leading to and within the brain'); </v>
      </c>
    </row>
    <row r="188" spans="1:15" x14ac:dyDescent="0.15">
      <c r="A188" s="12" t="b">
        <f>FALSE()</f>
        <v>0</v>
      </c>
      <c r="B188" s="12"/>
      <c r="C188" s="6" t="s">
        <v>1146</v>
      </c>
      <c r="D188" s="6" t="s">
        <v>1147</v>
      </c>
      <c r="E188" s="6" t="s">
        <v>17</v>
      </c>
      <c r="F188" s="6" t="s">
        <v>108</v>
      </c>
      <c r="G188" s="6" t="s">
        <v>2570</v>
      </c>
      <c r="H188" s="6" t="str">
        <f t="shared" si="8"/>
        <v>att_disease</v>
      </c>
      <c r="I188" s="6" t="s">
        <v>1146</v>
      </c>
      <c r="J188" s="6" t="str">
        <f t="shared" si="9"/>
        <v>att_disease:tuberculosis</v>
      </c>
      <c r="K188" s="11" t="s">
        <v>21</v>
      </c>
      <c r="L188" s="6" t="s">
        <v>1148</v>
      </c>
      <c r="M188" s="6" t="s">
        <v>17</v>
      </c>
      <c r="N188" s="6" t="str">
        <f t="shared" si="10"/>
        <v>INSERT INTO attributes (parent_id, tag, name, priority, allow_as_filter, allow_for_dataset, allow_for_measurement, allow_for_users, allow_for_qc) VALUES (NULL, 'att_disease',  'Disease',  500,  TRUE, TRUE, TRUE, FALSE, FALSE);</v>
      </c>
      <c r="O188" s="6" t="str">
        <f t="shared" si="11"/>
        <v xml:space="preserve">INSERT INTO attribute_values (attribute_id, tag, name, details) VALUES ((SELECT id FROM attributes WHERE tag = 'att_disease' LIMIT 1),  'att_disease:tuberculosis',  'Tuberculosis',  'Caused by a bacterium called Mycobacterium tuberculosis'); </v>
      </c>
    </row>
    <row r="189" spans="1:15" x14ac:dyDescent="0.15">
      <c r="A189" s="11" t="s">
        <v>21</v>
      </c>
      <c r="B189" s="11"/>
      <c r="C189" s="6" t="s">
        <v>1155</v>
      </c>
      <c r="D189" s="6" t="s">
        <v>1156</v>
      </c>
      <c r="E189" s="6" t="s">
        <v>17</v>
      </c>
      <c r="F189" s="6" t="s">
        <v>112</v>
      </c>
      <c r="G189" s="6" t="s">
        <v>2571</v>
      </c>
      <c r="H189" s="6" t="str">
        <f t="shared" si="8"/>
        <v>att_experiment</v>
      </c>
      <c r="I189" s="6" t="s">
        <v>1155</v>
      </c>
      <c r="J189" s="6" t="str">
        <f t="shared" si="9"/>
        <v>att_experiment:acetylome</v>
      </c>
      <c r="K189" s="11" t="s">
        <v>21</v>
      </c>
      <c r="L189" s="6" t="s">
        <v>1156</v>
      </c>
      <c r="M189" s="6" t="s">
        <v>17</v>
      </c>
      <c r="N189" s="6" t="str">
        <f t="shared" si="10"/>
        <v>INSERT INTO attributes (parent_id, tag, name, priority, allow_as_filter, allow_for_dataset, allow_for_measurement, allow_for_users, allow_for_qc) VALUES (NULL, 'att_experiment',  'Experiment Type',  500,  TRUE, TRUE, TRUE, FALSE, FALSE);</v>
      </c>
      <c r="O189" s="6" t="str">
        <f t="shared" si="11"/>
        <v xml:space="preserve">INSERT INTO attribute_values (attribute_id, tag, name, details) VALUES ((SELECT id FROM attributes WHERE tag = 'att_experiment' LIMIT 1),  'att_experiment:acetylome',  'Acetylome',  'Acetylome'); </v>
      </c>
    </row>
    <row r="190" spans="1:15" x14ac:dyDescent="0.15">
      <c r="A190" s="11" t="s">
        <v>21</v>
      </c>
      <c r="B190" s="11"/>
      <c r="C190" s="6" t="s">
        <v>1157</v>
      </c>
      <c r="D190" s="6" t="s">
        <v>1158</v>
      </c>
      <c r="E190" s="6" t="s">
        <v>17</v>
      </c>
      <c r="F190" s="6" t="s">
        <v>112</v>
      </c>
      <c r="G190" s="6" t="s">
        <v>2571</v>
      </c>
      <c r="H190" s="6" t="str">
        <f t="shared" si="8"/>
        <v>att_experiment</v>
      </c>
      <c r="I190" s="6" t="s">
        <v>1157</v>
      </c>
      <c r="J190" s="6" t="str">
        <f t="shared" si="9"/>
        <v>att_experiment:dvp</v>
      </c>
      <c r="K190" s="11" t="s">
        <v>21</v>
      </c>
      <c r="L190" s="6" t="s">
        <v>1159</v>
      </c>
      <c r="M190" s="6" t="s">
        <v>17</v>
      </c>
      <c r="N190" s="6" t="str">
        <f t="shared" si="10"/>
        <v>INSERT INTO attributes (parent_id, tag, name, priority, allow_as_filter, allow_for_dataset, allow_for_measurement, allow_for_users, allow_for_qc) VALUES (NULL, 'att_experiment',  'Experiment Type',  500,  TRUE, TRUE, TRUE, FALSE, FALSE);</v>
      </c>
      <c r="O190" s="6" t="str">
        <f t="shared" si="11"/>
        <v xml:space="preserve">INSERT INTO attribute_values (attribute_id, tag, name, details) VALUES ((SELECT id FROM attributes WHERE tag = 'att_experiment' LIMIT 1),  'att_experiment:dvp',  'DVP',  'Fractionated Samples (DVP)'); </v>
      </c>
    </row>
    <row r="191" spans="1:15" x14ac:dyDescent="0.15">
      <c r="A191" s="11" t="s">
        <v>21</v>
      </c>
      <c r="B191" s="11"/>
      <c r="C191" s="6" t="s">
        <v>1160</v>
      </c>
      <c r="D191" s="6" t="s">
        <v>1162</v>
      </c>
      <c r="E191" s="6" t="s">
        <v>17</v>
      </c>
      <c r="F191" s="6" t="s">
        <v>112</v>
      </c>
      <c r="G191" s="6" t="s">
        <v>2571</v>
      </c>
      <c r="H191" s="6" t="str">
        <f t="shared" si="8"/>
        <v>att_experiment</v>
      </c>
      <c r="I191" s="6" t="s">
        <v>1160</v>
      </c>
      <c r="J191" s="6" t="str">
        <f t="shared" si="9"/>
        <v>att_experiment:expression_proteome</v>
      </c>
      <c r="K191" s="11" t="s">
        <v>21</v>
      </c>
      <c r="L191" s="6" t="s">
        <v>1162</v>
      </c>
      <c r="M191" s="6" t="s">
        <v>17</v>
      </c>
      <c r="N191" s="6" t="str">
        <f t="shared" si="10"/>
        <v>INSERT INTO attributes (parent_id, tag, name, priority, allow_as_filter, allow_for_dataset, allow_for_measurement, allow_for_users, allow_for_qc) VALUES (NULL, 'att_experiment',  'Experiment Type',  500,  TRUE, TRUE, TRUE, FALSE, FALSE);</v>
      </c>
      <c r="O191" s="6" t="str">
        <f t="shared" si="11"/>
        <v xml:space="preserve">INSERT INTO attribute_values (attribute_id, tag, name, details) VALUES ((SELECT id FROM attributes WHERE tag = 'att_experiment' LIMIT 1),  'att_experiment:expression_proteome',  'Expression Proteome',  'Expression Proteome'); </v>
      </c>
    </row>
    <row r="192" spans="1:15" x14ac:dyDescent="0.15">
      <c r="A192" s="11" t="s">
        <v>21</v>
      </c>
      <c r="B192" s="11"/>
      <c r="C192" s="6" t="s">
        <v>1163</v>
      </c>
      <c r="D192" s="6" t="s">
        <v>1164</v>
      </c>
      <c r="E192" s="6" t="s">
        <v>17</v>
      </c>
      <c r="F192" s="6" t="s">
        <v>112</v>
      </c>
      <c r="G192" s="6" t="s">
        <v>2571</v>
      </c>
      <c r="H192" s="6" t="str">
        <f t="shared" si="8"/>
        <v>att_experiment</v>
      </c>
      <c r="I192" s="6" t="s">
        <v>1163</v>
      </c>
      <c r="J192" s="6" t="str">
        <f t="shared" si="9"/>
        <v>att_experiment:interaction</v>
      </c>
      <c r="K192" s="11" t="s">
        <v>21</v>
      </c>
      <c r="L192" s="6" t="s">
        <v>1164</v>
      </c>
      <c r="M192" s="6" t="s">
        <v>17</v>
      </c>
      <c r="N192" s="6" t="str">
        <f t="shared" si="10"/>
        <v>INSERT INTO attributes (parent_id, tag, name, priority, allow_as_filter, allow_for_dataset, allow_for_measurement, allow_for_users, allow_for_qc) VALUES (NULL, 'att_experiment',  'Experiment Type',  500,  TRUE, TRUE, TRUE, FALSE, FALSE);</v>
      </c>
      <c r="O192" s="6" t="str">
        <f t="shared" si="11"/>
        <v xml:space="preserve">INSERT INTO attribute_values (attribute_id, tag, name, details) VALUES ((SELECT id FROM attributes WHERE tag = 'att_experiment' LIMIT 1),  'att_experiment:interaction',  'Interaction Proteome',  'Interaction Proteome'); </v>
      </c>
    </row>
    <row r="193" spans="1:15" x14ac:dyDescent="0.15">
      <c r="A193" s="11" t="s">
        <v>21</v>
      </c>
      <c r="B193" s="11"/>
      <c r="C193" s="6" t="s">
        <v>1165</v>
      </c>
      <c r="D193" s="6" t="s">
        <v>1166</v>
      </c>
      <c r="E193" s="6" t="s">
        <v>17</v>
      </c>
      <c r="F193" s="6" t="s">
        <v>112</v>
      </c>
      <c r="G193" s="6" t="s">
        <v>2571</v>
      </c>
      <c r="H193" s="6" t="str">
        <f t="shared" si="8"/>
        <v>att_experiment</v>
      </c>
      <c r="I193" s="6" t="s">
        <v>1165</v>
      </c>
      <c r="J193" s="6" t="str">
        <f t="shared" si="9"/>
        <v>att_experiment:metrs</v>
      </c>
      <c r="K193" s="11" t="s">
        <v>21</v>
      </c>
      <c r="L193" s="6" t="s">
        <v>1166</v>
      </c>
      <c r="M193" s="6" t="s">
        <v>17</v>
      </c>
      <c r="N193" s="6" t="str">
        <f t="shared" si="10"/>
        <v>INSERT INTO attributes (parent_id, tag, name, priority, allow_as_filter, allow_for_dataset, allow_for_measurement, allow_for_users, allow_for_qc) VALUES (NULL, 'att_experiment',  'Experiment Type',  500,  TRUE, TRUE, TRUE, FALSE, FALSE);</v>
      </c>
      <c r="O193" s="6" t="str">
        <f t="shared" si="11"/>
        <v xml:space="preserve">INSERT INTO attribute_values (attribute_id, tag, name, details) VALUES ((SELECT id FROM attributes WHERE tag = 'att_experiment' LIMIT 1),  'att_experiment:metrs',  'MetRS',  'MetRS'); </v>
      </c>
    </row>
    <row r="194" spans="1:15" x14ac:dyDescent="0.15">
      <c r="A194" s="11" t="s">
        <v>21</v>
      </c>
      <c r="B194" s="11"/>
      <c r="C194" s="6" t="s">
        <v>2572</v>
      </c>
      <c r="D194" s="6" t="s">
        <v>1169</v>
      </c>
      <c r="E194" s="6" t="s">
        <v>17</v>
      </c>
      <c r="F194" s="6" t="s">
        <v>112</v>
      </c>
      <c r="G194" s="6" t="s">
        <v>2571</v>
      </c>
      <c r="H194" s="6" t="str">
        <f t="shared" ref="H194:H221" si="12">"att_"&amp;G194</f>
        <v>att_experiment</v>
      </c>
      <c r="I194" s="6" t="s">
        <v>1167</v>
      </c>
      <c r="J194" s="6" t="str">
        <f t="shared" ref="J194:J221" si="13">H194&amp;":"&amp;I194</f>
        <v>att_experiment:neo_nterm_enrichment</v>
      </c>
      <c r="K194" s="11" t="s">
        <v>21</v>
      </c>
      <c r="L194" s="6" t="s">
        <v>1169</v>
      </c>
      <c r="M194" s="6" t="s">
        <v>17</v>
      </c>
      <c r="N194" s="6" t="str">
        <f t="shared" ref="N194:N221" si="14">"INSERT INTO attributes (parent_id, tag, name, priority, allow_as_filter, allow_for_dataset, allow_for_measurement, allow_for_users, allow_for_qc) VALUES (NULL, '"&amp;H194&amp;"',  '"&amp;F194&amp;"',  500,  TRUE, TRUE, TRUE, FALSE, FALSE);"</f>
        <v>INSERT INTO attributes (parent_id, tag, name, priority, allow_as_filter, allow_for_dataset, allow_for_measurement, allow_for_users, allow_for_qc) VALUES (NULL, 'att_experiment',  'Experiment Type',  500,  TRUE, TRUE, TRUE, FALSE, FALSE);</v>
      </c>
      <c r="O194" s="6" t="str">
        <f t="shared" ref="O194:O221" si="15">"INSERT INTO attribute_values (attribute_id, tag, name, details) VALUES ((SELECT id FROM attributes WHERE tag = '"&amp;H194&amp;"' LIMIT 1),  '"&amp;J194&amp;"',  '"&amp;D194&amp;"',  '"&amp;L194&amp;"'); "</f>
        <v xml:space="preserve">INSERT INTO attribute_values (attribute_id, tag, name, details) VALUES ((SELECT id FROM attributes WHERE tag = 'att_experiment' LIMIT 1),  'att_experiment:neo_nterm_enrichment',  'Neo N-term enrichment',  'Neo N-term enrichment'); </v>
      </c>
    </row>
    <row r="195" spans="1:15" x14ac:dyDescent="0.15">
      <c r="A195" s="11" t="s">
        <v>21</v>
      </c>
      <c r="B195" s="11"/>
      <c r="C195" s="6" t="s">
        <v>2573</v>
      </c>
      <c r="D195" s="6" t="s">
        <v>2574</v>
      </c>
      <c r="E195" s="6" t="s">
        <v>17</v>
      </c>
      <c r="F195" s="6" t="s">
        <v>112</v>
      </c>
      <c r="G195" s="6" t="s">
        <v>2571</v>
      </c>
      <c r="H195" s="6" t="str">
        <f t="shared" si="12"/>
        <v>att_experiment</v>
      </c>
      <c r="I195" s="6" t="s">
        <v>2573</v>
      </c>
      <c r="J195" s="6" t="str">
        <f t="shared" si="13"/>
        <v>att_experiment:other_ptm</v>
      </c>
      <c r="K195" s="11" t="s">
        <v>21</v>
      </c>
      <c r="L195" s="6" t="s">
        <v>2574</v>
      </c>
      <c r="M195" s="6" t="s">
        <v>17</v>
      </c>
      <c r="N195" s="6" t="str">
        <f t="shared" si="14"/>
        <v>INSERT INTO attributes (parent_id, tag, name, priority, allow_as_filter, allow_for_dataset, allow_for_measurement, allow_for_users, allow_for_qc) VALUES (NULL, 'att_experiment',  'Experiment Type',  500,  TRUE, TRUE, TRUE, FALSE, FALSE);</v>
      </c>
      <c r="O195" s="6" t="str">
        <f t="shared" si="15"/>
        <v xml:space="preserve">INSERT INTO attribute_values (attribute_id, tag, name, details) VALUES ((SELECT id FROM attributes WHERE tag = 'att_experiment' LIMIT 1),  'att_experiment:other_ptm',  'other PTMs',  'other PTMs'); </v>
      </c>
    </row>
    <row r="196" spans="1:15" x14ac:dyDescent="0.15">
      <c r="A196" s="11" t="s">
        <v>21</v>
      </c>
      <c r="B196" s="11"/>
      <c r="C196" s="6" t="s">
        <v>1170</v>
      </c>
      <c r="D196" s="6" t="s">
        <v>1171</v>
      </c>
      <c r="E196" s="6" t="s">
        <v>17</v>
      </c>
      <c r="F196" s="6" t="s">
        <v>112</v>
      </c>
      <c r="G196" s="6" t="s">
        <v>2571</v>
      </c>
      <c r="H196" s="6" t="str">
        <f t="shared" si="12"/>
        <v>att_experiment</v>
      </c>
      <c r="I196" s="6" t="s">
        <v>1170</v>
      </c>
      <c r="J196" s="6" t="str">
        <f t="shared" si="13"/>
        <v>att_experiment:oxinome</v>
      </c>
      <c r="K196" s="11" t="s">
        <v>21</v>
      </c>
      <c r="L196" s="6" t="s">
        <v>1171</v>
      </c>
      <c r="M196" s="6" t="s">
        <v>17</v>
      </c>
      <c r="N196" s="6" t="str">
        <f t="shared" si="14"/>
        <v>INSERT INTO attributes (parent_id, tag, name, priority, allow_as_filter, allow_for_dataset, allow_for_measurement, allow_for_users, allow_for_qc) VALUES (NULL, 'att_experiment',  'Experiment Type',  500,  TRUE, TRUE, TRUE, FALSE, FALSE);</v>
      </c>
      <c r="O196" s="6" t="str">
        <f t="shared" si="15"/>
        <v xml:space="preserve">INSERT INTO attribute_values (attribute_id, tag, name, details) VALUES ((SELECT id FROM attributes WHERE tag = 'att_experiment' LIMIT 1),  'att_experiment:oxinome',  'Oxinome',  'Oxinome'); </v>
      </c>
    </row>
    <row r="197" spans="1:15" x14ac:dyDescent="0.15">
      <c r="A197" s="11" t="s">
        <v>21</v>
      </c>
      <c r="B197" s="11"/>
      <c r="C197" s="6" t="s">
        <v>1172</v>
      </c>
      <c r="D197" s="6" t="s">
        <v>1173</v>
      </c>
      <c r="E197" s="6" t="s">
        <v>17</v>
      </c>
      <c r="F197" s="6" t="s">
        <v>112</v>
      </c>
      <c r="G197" s="6" t="s">
        <v>2571</v>
      </c>
      <c r="H197" s="6" t="str">
        <f t="shared" si="12"/>
        <v>att_experiment</v>
      </c>
      <c r="I197" s="6" t="s">
        <v>1172</v>
      </c>
      <c r="J197" s="6" t="str">
        <f t="shared" si="13"/>
        <v>att_experiment:phosphoproteome</v>
      </c>
      <c r="K197" s="11" t="s">
        <v>21</v>
      </c>
      <c r="L197" s="6" t="s">
        <v>1173</v>
      </c>
      <c r="M197" s="6" t="s">
        <v>17</v>
      </c>
      <c r="N197" s="6" t="str">
        <f t="shared" si="14"/>
        <v>INSERT INTO attributes (parent_id, tag, name, priority, allow_as_filter, allow_for_dataset, allow_for_measurement, allow_for_users, allow_for_qc) VALUES (NULL, 'att_experiment',  'Experiment Type',  500,  TRUE, TRUE, TRUE, FALSE, FALSE);</v>
      </c>
      <c r="O197" s="6" t="str">
        <f t="shared" si="15"/>
        <v xml:space="preserve">INSERT INTO attribute_values (attribute_id, tag, name, details) VALUES ((SELECT id FROM attributes WHERE tag = 'att_experiment' LIMIT 1),  'att_experiment:phosphoproteome',  'Phosphoproteome',  'Phosphoproteome'); </v>
      </c>
    </row>
    <row r="198" spans="1:15" x14ac:dyDescent="0.15">
      <c r="A198" s="11" t="s">
        <v>21</v>
      </c>
      <c r="B198" s="11"/>
      <c r="C198" s="6" t="s">
        <v>2575</v>
      </c>
      <c r="D198" s="6" t="s">
        <v>1175</v>
      </c>
      <c r="E198" s="6" t="s">
        <v>17</v>
      </c>
      <c r="F198" s="6" t="s">
        <v>112</v>
      </c>
      <c r="G198" s="6" t="s">
        <v>2571</v>
      </c>
      <c r="H198" s="6" t="str">
        <f t="shared" si="12"/>
        <v>att_experiment</v>
      </c>
      <c r="I198" s="6" t="s">
        <v>1174</v>
      </c>
      <c r="J198" s="6" t="str">
        <f t="shared" si="13"/>
        <v>att_experiment:pulse_silac</v>
      </c>
      <c r="K198" s="11" t="s">
        <v>21</v>
      </c>
      <c r="L198" s="6" t="s">
        <v>1175</v>
      </c>
      <c r="M198" s="6" t="s">
        <v>17</v>
      </c>
      <c r="N198" s="6" t="str">
        <f t="shared" si="14"/>
        <v>INSERT INTO attributes (parent_id, tag, name, priority, allow_as_filter, allow_for_dataset, allow_for_measurement, allow_for_users, allow_for_qc) VALUES (NULL, 'att_experiment',  'Experiment Type',  500,  TRUE, TRUE, TRUE, FALSE, FALSE);</v>
      </c>
      <c r="O198" s="6" t="str">
        <f t="shared" si="15"/>
        <v xml:space="preserve">INSERT INTO attribute_values (attribute_id, tag, name, details) VALUES ((SELECT id FROM attributes WHERE tag = 'att_experiment' LIMIT 1),  'att_experiment:pulse_silac',  'Pulse-SILAC',  'Pulse-SILAC'); </v>
      </c>
    </row>
    <row r="199" spans="1:15" x14ac:dyDescent="0.15">
      <c r="A199" s="11" t="s">
        <v>21</v>
      </c>
      <c r="B199" s="11"/>
      <c r="C199" s="6" t="s">
        <v>1176</v>
      </c>
      <c r="D199" s="6" t="s">
        <v>1177</v>
      </c>
      <c r="E199" s="6" t="s">
        <v>17</v>
      </c>
      <c r="F199" s="6" t="s">
        <v>112</v>
      </c>
      <c r="G199" s="6" t="s">
        <v>2571</v>
      </c>
      <c r="H199" s="6" t="str">
        <f t="shared" si="12"/>
        <v>att_experiment</v>
      </c>
      <c r="I199" s="6" t="s">
        <v>1176</v>
      </c>
      <c r="J199" s="6" t="str">
        <f t="shared" si="13"/>
        <v>att_experiment:secretome</v>
      </c>
      <c r="K199" s="11" t="s">
        <v>21</v>
      </c>
      <c r="L199" s="6" t="s">
        <v>1177</v>
      </c>
      <c r="M199" s="6" t="s">
        <v>17</v>
      </c>
      <c r="N199" s="6" t="str">
        <f t="shared" si="14"/>
        <v>INSERT INTO attributes (parent_id, tag, name, priority, allow_as_filter, allow_for_dataset, allow_for_measurement, allow_for_users, allow_for_qc) VALUES (NULL, 'att_experiment',  'Experiment Type',  500,  TRUE, TRUE, TRUE, FALSE, FALSE);</v>
      </c>
      <c r="O199" s="6" t="str">
        <f t="shared" si="15"/>
        <v xml:space="preserve">INSERT INTO attribute_values (attribute_id, tag, name, details) VALUES ((SELECT id FROM attributes WHERE tag = 'att_experiment' LIMIT 1),  'att_experiment:secretome',  'Secretome',  'Secretome'); </v>
      </c>
    </row>
    <row r="200" spans="1:15" x14ac:dyDescent="0.15">
      <c r="A200" s="11" t="s">
        <v>21</v>
      </c>
      <c r="B200" s="11"/>
      <c r="C200" s="6" t="s">
        <v>1178</v>
      </c>
      <c r="D200" s="6" t="s">
        <v>1179</v>
      </c>
      <c r="E200" s="6" t="s">
        <v>17</v>
      </c>
      <c r="F200" s="6" t="s">
        <v>112</v>
      </c>
      <c r="G200" s="6" t="s">
        <v>2571</v>
      </c>
      <c r="H200" s="6" t="str">
        <f t="shared" si="12"/>
        <v>att_experiment</v>
      </c>
      <c r="I200" s="6" t="s">
        <v>1178</v>
      </c>
      <c r="J200" s="6" t="str">
        <f t="shared" si="13"/>
        <v>att_experiment:spatial</v>
      </c>
      <c r="K200" s="11" t="s">
        <v>21</v>
      </c>
      <c r="L200" s="6" t="s">
        <v>1179</v>
      </c>
      <c r="M200" s="6" t="s">
        <v>17</v>
      </c>
      <c r="N200" s="6" t="str">
        <f t="shared" si="14"/>
        <v>INSERT INTO attributes (parent_id, tag, name, priority, allow_as_filter, allow_for_dataset, allow_for_measurement, allow_for_users, allow_for_qc) VALUES (NULL, 'att_experiment',  'Experiment Type',  500,  TRUE, TRUE, TRUE, FALSE, FALSE);</v>
      </c>
      <c r="O200" s="6" t="str">
        <f t="shared" si="15"/>
        <v xml:space="preserve">INSERT INTO attribute_values (attribute_id, tag, name, details) VALUES ((SELECT id FROM attributes WHERE tag = 'att_experiment' LIMIT 1),  'att_experiment:spatial',  'Spatial Proteome',  'Spatial Proteome'); </v>
      </c>
    </row>
    <row r="201" spans="1:15" x14ac:dyDescent="0.15">
      <c r="A201" s="11" t="s">
        <v>21</v>
      </c>
      <c r="B201" s="11"/>
      <c r="C201" s="6" t="s">
        <v>1180</v>
      </c>
      <c r="D201" s="6" t="s">
        <v>1181</v>
      </c>
      <c r="E201" s="6" t="s">
        <v>17</v>
      </c>
      <c r="F201" s="6" t="s">
        <v>112</v>
      </c>
      <c r="G201" s="6" t="s">
        <v>2571</v>
      </c>
      <c r="H201" s="6" t="str">
        <f t="shared" si="12"/>
        <v>att_experiment</v>
      </c>
      <c r="I201" s="6" t="s">
        <v>1180</v>
      </c>
      <c r="J201" s="6" t="str">
        <f t="shared" si="13"/>
        <v>att_experiment:ubiquitinome</v>
      </c>
      <c r="K201" s="11" t="s">
        <v>21</v>
      </c>
      <c r="L201" s="6" t="s">
        <v>1181</v>
      </c>
      <c r="M201" s="6" t="s">
        <v>17</v>
      </c>
      <c r="N201" s="6" t="str">
        <f t="shared" si="14"/>
        <v>INSERT INTO attributes (parent_id, tag, name, priority, allow_as_filter, allow_for_dataset, allow_for_measurement, allow_for_users, allow_for_qc) VALUES (NULL, 'att_experiment',  'Experiment Type',  500,  TRUE, TRUE, TRUE, FALSE, FALSE);</v>
      </c>
      <c r="O201" s="6" t="str">
        <f t="shared" si="15"/>
        <v xml:space="preserve">INSERT INTO attribute_values (attribute_id, tag, name, details) VALUES ((SELECT id FROM attributes WHERE tag = 'att_experiment' LIMIT 1),  'att_experiment:ubiquitinome',  'Ubiquitinome',  'Ubiquitinome'); </v>
      </c>
    </row>
    <row r="202" spans="1:15" x14ac:dyDescent="0.15">
      <c r="A202" s="12" t="b">
        <f>FALSE()</f>
        <v>0</v>
      </c>
      <c r="C202" s="6" t="s">
        <v>1188</v>
      </c>
      <c r="D202" s="6" t="s">
        <v>1190</v>
      </c>
      <c r="E202" s="6" t="s">
        <v>17</v>
      </c>
      <c r="F202" s="6" t="s">
        <v>2576</v>
      </c>
      <c r="G202" s="6" t="s">
        <v>2577</v>
      </c>
      <c r="H202" s="6" t="str">
        <f t="shared" si="12"/>
        <v>att_fluid</v>
      </c>
      <c r="I202" s="6" t="s">
        <v>1188</v>
      </c>
      <c r="J202" s="6" t="str">
        <f t="shared" si="13"/>
        <v>att_fluid:bal</v>
      </c>
      <c r="K202" s="11" t="s">
        <v>21</v>
      </c>
      <c r="L202" s="6" t="s">
        <v>1191</v>
      </c>
      <c r="M202" s="6" t="s">
        <v>17</v>
      </c>
      <c r="N202" s="6" t="str">
        <f t="shared" si="14"/>
        <v>INSERT INTO attributes (parent_id, tag, name, priority, allow_as_filter, allow_for_dataset, allow_for_measurement, allow_for_users, allow_for_qc) VALUES (NULL, 'att_fluid',  'Fluid',  500,  TRUE, TRUE, TRUE, FALSE, FALSE);</v>
      </c>
      <c r="O202" s="6" t="str">
        <f t="shared" si="15"/>
        <v xml:space="preserve">INSERT INTO attribute_values (attribute_id, tag, name, details) VALUES ((SELECT id FROM attributes WHERE tag = 'att_fluid' LIMIT 1),  'att_fluid:bal',  'Bal',  'Bronchoalveolar lavage (BAL)'); </v>
      </c>
    </row>
    <row r="203" spans="1:15" x14ac:dyDescent="0.15">
      <c r="A203" s="12" t="b">
        <f>FALSE()</f>
        <v>0</v>
      </c>
      <c r="B203" s="12"/>
      <c r="C203" s="6" t="s">
        <v>1192</v>
      </c>
      <c r="D203" s="6" t="s">
        <v>1193</v>
      </c>
      <c r="E203" s="6" t="s">
        <v>17</v>
      </c>
      <c r="F203" s="6" t="s">
        <v>2576</v>
      </c>
      <c r="G203" s="6" t="s">
        <v>2577</v>
      </c>
      <c r="H203" s="6" t="str">
        <f t="shared" si="12"/>
        <v>att_fluid</v>
      </c>
      <c r="I203" s="6" t="s">
        <v>1192</v>
      </c>
      <c r="J203" s="6" t="str">
        <f t="shared" si="13"/>
        <v>att_fluid:cerebrospinal</v>
      </c>
      <c r="K203" s="11" t="s">
        <v>21</v>
      </c>
      <c r="L203" s="6" t="s">
        <v>1194</v>
      </c>
      <c r="M203" s="6" t="s">
        <v>17</v>
      </c>
      <c r="N203" s="6" t="str">
        <f t="shared" si="14"/>
        <v>INSERT INTO attributes (parent_id, tag, name, priority, allow_as_filter, allow_for_dataset, allow_for_measurement, allow_for_users, allow_for_qc) VALUES (NULL, 'att_fluid',  'Fluid',  500,  TRUE, TRUE, TRUE, FALSE, FALSE);</v>
      </c>
      <c r="O203" s="6" t="str">
        <f t="shared" si="15"/>
        <v xml:space="preserve">INSERT INTO attribute_values (attribute_id, tag, name, details) VALUES ((SELECT id FROM attributes WHERE tag = 'att_fluid' LIMIT 1),  'att_fluid:cerebrospinal',  'Cerebrospinal',  'Cerebrospinal fluid (CSF)'); </v>
      </c>
    </row>
    <row r="204" spans="1:15" x14ac:dyDescent="0.15">
      <c r="A204" s="12" t="b">
        <f>FALSE()</f>
        <v>0</v>
      </c>
      <c r="B204" s="12"/>
      <c r="C204" s="6" t="s">
        <v>1195</v>
      </c>
      <c r="D204" s="6" t="s">
        <v>1196</v>
      </c>
      <c r="E204" s="6" t="s">
        <v>17</v>
      </c>
      <c r="F204" s="6" t="s">
        <v>2576</v>
      </c>
      <c r="G204" s="6" t="s">
        <v>2577</v>
      </c>
      <c r="H204" s="6" t="str">
        <f t="shared" si="12"/>
        <v>att_fluid</v>
      </c>
      <c r="I204" s="6" t="s">
        <v>1195</v>
      </c>
      <c r="J204" s="6" t="str">
        <f t="shared" si="13"/>
        <v>att_fluid:feces</v>
      </c>
      <c r="K204" s="11" t="s">
        <v>21</v>
      </c>
      <c r="L204" s="6" t="s">
        <v>1197</v>
      </c>
      <c r="M204" s="6" t="s">
        <v>17</v>
      </c>
      <c r="N204" s="6" t="str">
        <f t="shared" si="14"/>
        <v>INSERT INTO attributes (parent_id, tag, name, priority, allow_as_filter, allow_for_dataset, allow_for_measurement, allow_for_users, allow_for_qc) VALUES (NULL, 'att_fluid',  'Fluid',  500,  TRUE, TRUE, TRUE, FALSE, FALSE);</v>
      </c>
      <c r="O204" s="6" t="str">
        <f t="shared" si="15"/>
        <v xml:space="preserve">INSERT INTO attribute_values (attribute_id, tag, name, details) VALUES ((SELECT id FROM attributes WHERE tag = 'att_fluid' LIMIT 1),  'att_fluid:feces',  'Feces',  'Poop'); </v>
      </c>
    </row>
    <row r="205" spans="1:15" x14ac:dyDescent="0.15">
      <c r="A205" s="12" t="b">
        <f>FALSE()</f>
        <v>0</v>
      </c>
      <c r="B205" s="12"/>
      <c r="C205" s="6" t="s">
        <v>1198</v>
      </c>
      <c r="D205" s="6" t="s">
        <v>1199</v>
      </c>
      <c r="E205" s="6" t="s">
        <v>17</v>
      </c>
      <c r="F205" s="6" t="s">
        <v>2576</v>
      </c>
      <c r="G205" s="6" t="s">
        <v>2577</v>
      </c>
      <c r="H205" s="6" t="str">
        <f t="shared" si="12"/>
        <v>att_fluid</v>
      </c>
      <c r="I205" s="6" t="s">
        <v>1198</v>
      </c>
      <c r="J205" s="6" t="str">
        <f t="shared" si="13"/>
        <v>att_fluid:interstitial</v>
      </c>
      <c r="K205" s="11" t="s">
        <v>21</v>
      </c>
      <c r="L205" s="6" t="s">
        <v>1200</v>
      </c>
      <c r="M205" s="6" t="s">
        <v>17</v>
      </c>
      <c r="N205" s="6" t="str">
        <f t="shared" si="14"/>
        <v>INSERT INTO attributes (parent_id, tag, name, priority, allow_as_filter, allow_for_dataset, allow_for_measurement, allow_for_users, allow_for_qc) VALUES (NULL, 'att_fluid',  'Fluid',  500,  TRUE, TRUE, TRUE, FALSE, FALSE);</v>
      </c>
      <c r="O205" s="6" t="str">
        <f t="shared" si="15"/>
        <v xml:space="preserve">INSERT INTO attribute_values (attribute_id, tag, name, details) VALUES ((SELECT id FROM attributes WHERE tag = 'att_fluid' LIMIT 1),  'att_fluid:interstitial',  'Interstitial',  'Interstitial fluid'); </v>
      </c>
    </row>
    <row r="206" spans="1:15" x14ac:dyDescent="0.15">
      <c r="A206" s="12" t="b">
        <f>FALSE()</f>
        <v>0</v>
      </c>
      <c r="B206" s="12"/>
      <c r="C206" s="6" t="s">
        <v>1201</v>
      </c>
      <c r="D206" s="6" t="s">
        <v>1202</v>
      </c>
      <c r="E206" s="6" t="s">
        <v>17</v>
      </c>
      <c r="F206" s="6" t="s">
        <v>2576</v>
      </c>
      <c r="G206" s="6" t="s">
        <v>2577</v>
      </c>
      <c r="H206" s="6" t="str">
        <f t="shared" si="12"/>
        <v>att_fluid</v>
      </c>
      <c r="I206" s="6" t="s">
        <v>1201</v>
      </c>
      <c r="J206" s="6" t="str">
        <f t="shared" si="13"/>
        <v>att_fluid:lymph</v>
      </c>
      <c r="K206" s="11" t="s">
        <v>21</v>
      </c>
      <c r="L206" s="6" t="s">
        <v>1203</v>
      </c>
      <c r="M206" s="6" t="s">
        <v>17</v>
      </c>
      <c r="N206" s="6" t="str">
        <f t="shared" si="14"/>
        <v>INSERT INTO attributes (parent_id, tag, name, priority, allow_as_filter, allow_for_dataset, allow_for_measurement, allow_for_users, allow_for_qc) VALUES (NULL, 'att_fluid',  'Fluid',  500,  TRUE, TRUE, TRUE, FALSE, FALSE);</v>
      </c>
      <c r="O206" s="6" t="str">
        <f t="shared" si="15"/>
        <v xml:space="preserve">INSERT INTO attribute_values (attribute_id, tag, name, details) VALUES ((SELECT id FROM attributes WHERE tag = 'att_fluid' LIMIT 1),  'att_fluid:lymph',  'Lymph',  'Lymph; fluid that flows through the lymphatic system'); </v>
      </c>
    </row>
    <row r="207" spans="1:15" x14ac:dyDescent="0.15">
      <c r="A207" s="12" t="b">
        <f>FALSE()</f>
        <v>0</v>
      </c>
      <c r="B207" s="12"/>
      <c r="C207" s="6" t="s">
        <v>1204</v>
      </c>
      <c r="D207" s="6" t="s">
        <v>1205</v>
      </c>
      <c r="E207" s="6" t="s">
        <v>17</v>
      </c>
      <c r="F207" s="6" t="s">
        <v>2576</v>
      </c>
      <c r="G207" s="6" t="s">
        <v>2577</v>
      </c>
      <c r="H207" s="6" t="str">
        <f t="shared" si="12"/>
        <v>att_fluid</v>
      </c>
      <c r="I207" s="6" t="s">
        <v>1204</v>
      </c>
      <c r="J207" s="6" t="str">
        <f t="shared" si="13"/>
        <v>att_fluid:peritoneal</v>
      </c>
      <c r="K207" s="11" t="s">
        <v>21</v>
      </c>
      <c r="L207" s="6" t="s">
        <v>1206</v>
      </c>
      <c r="M207" s="6" t="s">
        <v>17</v>
      </c>
      <c r="N207" s="6" t="str">
        <f t="shared" si="14"/>
        <v>INSERT INTO attributes (parent_id, tag, name, priority, allow_as_filter, allow_for_dataset, allow_for_measurement, allow_for_users, allow_for_qc) VALUES (NULL, 'att_fluid',  'Fluid',  500,  TRUE, TRUE, TRUE, FALSE, FALSE);</v>
      </c>
      <c r="O207" s="6" t="str">
        <f t="shared" si="15"/>
        <v xml:space="preserve">INSERT INTO attribute_values (attribute_id, tag, name, details) VALUES ((SELECT id FROM attributes WHERE tag = 'att_fluid' LIMIT 1),  'att_fluid:peritoneal',  'Peritoneal',  'Peritoneal fluid'); </v>
      </c>
    </row>
    <row r="208" spans="1:15" x14ac:dyDescent="0.15">
      <c r="A208" s="12" t="b">
        <f>FALSE()</f>
        <v>0</v>
      </c>
      <c r="B208" s="12"/>
      <c r="C208" s="6" t="s">
        <v>1207</v>
      </c>
      <c r="D208" s="6" t="s">
        <v>1208</v>
      </c>
      <c r="E208" s="6" t="s">
        <v>17</v>
      </c>
      <c r="F208" s="6" t="s">
        <v>2576</v>
      </c>
      <c r="G208" s="6" t="s">
        <v>2577</v>
      </c>
      <c r="H208" s="6" t="str">
        <f t="shared" si="12"/>
        <v>att_fluid</v>
      </c>
      <c r="I208" s="6" t="s">
        <v>1207</v>
      </c>
      <c r="J208" s="6" t="str">
        <f t="shared" si="13"/>
        <v>att_fluid:plasma</v>
      </c>
      <c r="K208" s="11" t="s">
        <v>21</v>
      </c>
      <c r="L208" s="6" t="s">
        <v>1209</v>
      </c>
      <c r="M208" s="6" t="s">
        <v>17</v>
      </c>
      <c r="N208" s="6" t="str">
        <f t="shared" si="14"/>
        <v>INSERT INTO attributes (parent_id, tag, name, priority, allow_as_filter, allow_for_dataset, allow_for_measurement, allow_for_users, allow_for_qc) VALUES (NULL, 'att_fluid',  'Fluid',  500,  TRUE, TRUE, TRUE, FALSE, FALSE);</v>
      </c>
      <c r="O208" s="6" t="str">
        <f t="shared" si="15"/>
        <v xml:space="preserve">INSERT INTO attribute_values (attribute_id, tag, name, details) VALUES ((SELECT id FROM attributes WHERE tag = 'att_fluid' LIMIT 1),  'att_fluid:plasma',  'Plasma',  'Blood Plasma'); </v>
      </c>
    </row>
    <row r="209" spans="1:15" x14ac:dyDescent="0.15">
      <c r="A209" s="12" t="b">
        <f>FALSE()</f>
        <v>0</v>
      </c>
      <c r="B209" s="12"/>
      <c r="C209" s="6" t="s">
        <v>1210</v>
      </c>
      <c r="D209" s="6" t="s">
        <v>1211</v>
      </c>
      <c r="E209" s="6" t="s">
        <v>17</v>
      </c>
      <c r="F209" s="6" t="s">
        <v>2576</v>
      </c>
      <c r="G209" s="6" t="s">
        <v>2577</v>
      </c>
      <c r="H209" s="6" t="str">
        <f t="shared" si="12"/>
        <v>att_fluid</v>
      </c>
      <c r="I209" s="6" t="s">
        <v>1210</v>
      </c>
      <c r="J209" s="6" t="str">
        <f t="shared" si="13"/>
        <v>att_fluid:pleural</v>
      </c>
      <c r="K209" s="11" t="s">
        <v>21</v>
      </c>
      <c r="L209" s="6" t="s">
        <v>1212</v>
      </c>
      <c r="M209" s="6" t="s">
        <v>17</v>
      </c>
      <c r="N209" s="6" t="str">
        <f t="shared" si="14"/>
        <v>INSERT INTO attributes (parent_id, tag, name, priority, allow_as_filter, allow_for_dataset, allow_for_measurement, allow_for_users, allow_for_qc) VALUES (NULL, 'att_fluid',  'Fluid',  500,  TRUE, TRUE, TRUE, FALSE, FALSE);</v>
      </c>
      <c r="O209" s="6" t="str">
        <f t="shared" si="15"/>
        <v xml:space="preserve">INSERT INTO attribute_values (attribute_id, tag, name, details) VALUES ((SELECT id FROM attributes WHERE tag = 'att_fluid' LIMIT 1),  'att_fluid:pleural',  'Pleural',  'Pleural fluid'); </v>
      </c>
    </row>
    <row r="210" spans="1:15" x14ac:dyDescent="0.15">
      <c r="A210" s="12" t="b">
        <f>FALSE()</f>
        <v>0</v>
      </c>
      <c r="B210" s="12"/>
      <c r="C210" s="6" t="s">
        <v>1213</v>
      </c>
      <c r="D210" s="6" t="s">
        <v>1214</v>
      </c>
      <c r="E210" s="6" t="s">
        <v>17</v>
      </c>
      <c r="F210" s="6" t="s">
        <v>2576</v>
      </c>
      <c r="G210" s="6" t="s">
        <v>2577</v>
      </c>
      <c r="H210" s="6" t="str">
        <f t="shared" si="12"/>
        <v>att_fluid</v>
      </c>
      <c r="I210" s="6" t="s">
        <v>1213</v>
      </c>
      <c r="J210" s="6" t="str">
        <f t="shared" si="13"/>
        <v>att_fluid:saliva</v>
      </c>
      <c r="K210" s="11" t="s">
        <v>21</v>
      </c>
      <c r="L210" s="6" t="s">
        <v>1215</v>
      </c>
      <c r="M210" s="6" t="s">
        <v>17</v>
      </c>
      <c r="N210" s="6" t="str">
        <f t="shared" si="14"/>
        <v>INSERT INTO attributes (parent_id, tag, name, priority, allow_as_filter, allow_for_dataset, allow_for_measurement, allow_for_users, allow_for_qc) VALUES (NULL, 'att_fluid',  'Fluid',  500,  TRUE, TRUE, TRUE, FALSE, FALSE);</v>
      </c>
      <c r="O210" s="6" t="str">
        <f t="shared" si="15"/>
        <v xml:space="preserve">INSERT INTO attribute_values (attribute_id, tag, name, details) VALUES ((SELECT id FROM attributes WHERE tag = 'att_fluid' LIMIT 1),  'att_fluid:saliva',  'Saliva',  'Spit'); </v>
      </c>
    </row>
    <row r="211" spans="1:15" x14ac:dyDescent="0.15">
      <c r="A211" s="12" t="b">
        <f>FALSE()</f>
        <v>0</v>
      </c>
      <c r="B211" s="12"/>
      <c r="C211" s="6" t="s">
        <v>1216</v>
      </c>
      <c r="D211" s="6" t="s">
        <v>1217</v>
      </c>
      <c r="E211" s="6" t="s">
        <v>17</v>
      </c>
      <c r="F211" s="6" t="s">
        <v>2576</v>
      </c>
      <c r="G211" s="6" t="s">
        <v>2577</v>
      </c>
      <c r="H211" s="6" t="str">
        <f t="shared" si="12"/>
        <v>att_fluid</v>
      </c>
      <c r="I211" s="6" t="s">
        <v>1216</v>
      </c>
      <c r="J211" s="6" t="str">
        <f t="shared" si="13"/>
        <v>att_fluid:seminal</v>
      </c>
      <c r="K211" s="11" t="s">
        <v>21</v>
      </c>
      <c r="L211" s="6" t="s">
        <v>1218</v>
      </c>
      <c r="M211" s="6" t="s">
        <v>17</v>
      </c>
      <c r="N211" s="6" t="str">
        <f t="shared" si="14"/>
        <v>INSERT INTO attributes (parent_id, tag, name, priority, allow_as_filter, allow_for_dataset, allow_for_measurement, allow_for_users, allow_for_qc) VALUES (NULL, 'att_fluid',  'Fluid',  500,  TRUE, TRUE, TRUE, FALSE, FALSE);</v>
      </c>
      <c r="O211" s="6" t="str">
        <f t="shared" si="15"/>
        <v xml:space="preserve">INSERT INTO attribute_values (attribute_id, tag, name, details) VALUES ((SELECT id FROM attributes WHERE tag = 'att_fluid' LIMIT 1),  'att_fluid:seminal',  'Seminal',  'Semen; Seminal fluid'); </v>
      </c>
    </row>
    <row r="212" spans="1:15" x14ac:dyDescent="0.15">
      <c r="A212" s="12" t="b">
        <f>FALSE()</f>
        <v>0</v>
      </c>
      <c r="B212" s="12"/>
      <c r="C212" s="6" t="s">
        <v>1219</v>
      </c>
      <c r="D212" s="6" t="s">
        <v>1220</v>
      </c>
      <c r="E212" s="6" t="s">
        <v>17</v>
      </c>
      <c r="F212" s="6" t="s">
        <v>2576</v>
      </c>
      <c r="G212" s="6" t="s">
        <v>2577</v>
      </c>
      <c r="H212" s="6" t="str">
        <f t="shared" si="12"/>
        <v>att_fluid</v>
      </c>
      <c r="I212" s="6" t="s">
        <v>1219</v>
      </c>
      <c r="J212" s="6" t="str">
        <f t="shared" si="13"/>
        <v>att_fluid:serum</v>
      </c>
      <c r="K212" s="11" t="s">
        <v>21</v>
      </c>
      <c r="L212" s="6" t="s">
        <v>1221</v>
      </c>
      <c r="M212" s="6" t="s">
        <v>17</v>
      </c>
      <c r="N212" s="6" t="str">
        <f t="shared" si="14"/>
        <v>INSERT INTO attributes (parent_id, tag, name, priority, allow_as_filter, allow_for_dataset, allow_for_measurement, allow_for_users, allow_for_qc) VALUES (NULL, 'att_fluid',  'Fluid',  500,  TRUE, TRUE, TRUE, FALSE, FALSE);</v>
      </c>
      <c r="O212" s="6" t="str">
        <f t="shared" si="15"/>
        <v xml:space="preserve">INSERT INTO attribute_values (attribute_id, tag, name, details) VALUES ((SELECT id FROM attributes WHERE tag = 'att_fluid' LIMIT 1),  'att_fluid:serum',  'Serum',  'Blood Serum'); </v>
      </c>
    </row>
    <row r="213" spans="1:15" x14ac:dyDescent="0.15">
      <c r="A213" s="12" t="b">
        <f>FALSE()</f>
        <v>0</v>
      </c>
      <c r="B213" s="12"/>
      <c r="C213" s="6" t="s">
        <v>1222</v>
      </c>
      <c r="D213" s="6" t="s">
        <v>1223</v>
      </c>
      <c r="E213" s="6" t="s">
        <v>17</v>
      </c>
      <c r="F213" s="6" t="s">
        <v>2576</v>
      </c>
      <c r="G213" s="6" t="s">
        <v>2577</v>
      </c>
      <c r="H213" s="6" t="str">
        <f t="shared" si="12"/>
        <v>att_fluid</v>
      </c>
      <c r="I213" s="6" t="s">
        <v>1222</v>
      </c>
      <c r="J213" s="6" t="str">
        <f t="shared" si="13"/>
        <v>att_fluid:urine</v>
      </c>
      <c r="K213" s="11" t="s">
        <v>21</v>
      </c>
      <c r="L213" s="6" t="s">
        <v>1224</v>
      </c>
      <c r="M213" s="6" t="s">
        <v>17</v>
      </c>
      <c r="N213" s="6" t="str">
        <f t="shared" si="14"/>
        <v>INSERT INTO attributes (parent_id, tag, name, priority, allow_as_filter, allow_for_dataset, allow_for_measurement, allow_for_users, allow_for_qc) VALUES (NULL, 'att_fluid',  'Fluid',  500,  TRUE, TRUE, TRUE, FALSE, FALSE);</v>
      </c>
      <c r="O213" s="6" t="str">
        <f t="shared" si="15"/>
        <v xml:space="preserve">INSERT INTO attribute_values (attribute_id, tag, name, details) VALUES ((SELECT id FROM attributes WHERE tag = 'att_fluid' LIMIT 1),  'att_fluid:urine',  'Urine',  'Pee'); </v>
      </c>
    </row>
    <row r="214" spans="1:15" x14ac:dyDescent="0.15">
      <c r="A214" s="12" t="b">
        <f>FALSE()</f>
        <v>0</v>
      </c>
      <c r="B214" s="12"/>
      <c r="C214" s="6" t="s">
        <v>1225</v>
      </c>
      <c r="D214" s="6" t="s">
        <v>1225</v>
      </c>
      <c r="E214" s="6" t="s">
        <v>17</v>
      </c>
      <c r="F214" s="6" t="s">
        <v>216</v>
      </c>
      <c r="G214" s="6" t="s">
        <v>2578</v>
      </c>
      <c r="H214" s="6" t="str">
        <f t="shared" si="12"/>
        <v>att_fraction</v>
      </c>
      <c r="I214" s="6" t="s">
        <v>1225</v>
      </c>
      <c r="J214" s="6" t="str">
        <f t="shared" si="13"/>
        <v>att_fraction:01k</v>
      </c>
      <c r="K214" s="11" t="s">
        <v>21</v>
      </c>
      <c r="L214" s="6" t="s">
        <v>2579</v>
      </c>
      <c r="M214" s="6" t="s">
        <v>1178</v>
      </c>
      <c r="N214" s="6" t="str">
        <f t="shared" si="14"/>
        <v>INSERT INTO attributes (parent_id, tag, name, priority, allow_as_filter, allow_for_dataset, allow_for_measurement, allow_for_users, allow_for_qc) VALUES (NULL, 'att_fraction',  'Spatial Fraction',  500,  TRUE, TRUE, TRUE, FALSE, FALSE);</v>
      </c>
      <c r="O214" s="6" t="str">
        <f t="shared" si="15"/>
        <v xml:space="preserve">INSERT INTO attribute_values (attribute_id, tag, name, details) VALUES ((SELECT id FROM attributes WHERE tag = 'att_fraction' LIMIT 1),  'att_fraction:01k',  '01k',  '01k Spatial Fraction'); </v>
      </c>
    </row>
    <row r="215" spans="1:15" x14ac:dyDescent="0.15">
      <c r="A215" s="12" t="b">
        <f>FALSE()</f>
        <v>0</v>
      </c>
      <c r="B215" s="12"/>
      <c r="C215" s="6" t="s">
        <v>1228</v>
      </c>
      <c r="D215" s="6" t="s">
        <v>1228</v>
      </c>
      <c r="E215" s="6" t="s">
        <v>17</v>
      </c>
      <c r="F215" s="6" t="s">
        <v>216</v>
      </c>
      <c r="G215" s="6" t="s">
        <v>2578</v>
      </c>
      <c r="H215" s="6" t="str">
        <f t="shared" si="12"/>
        <v>att_fraction</v>
      </c>
      <c r="I215" s="6" t="s">
        <v>1228</v>
      </c>
      <c r="J215" s="6" t="str">
        <f t="shared" si="13"/>
        <v>att_fraction:05k</v>
      </c>
      <c r="K215" s="11" t="s">
        <v>21</v>
      </c>
      <c r="L215" s="6" t="s">
        <v>2580</v>
      </c>
      <c r="M215" s="6" t="s">
        <v>1178</v>
      </c>
      <c r="N215" s="6" t="str">
        <f t="shared" si="14"/>
        <v>INSERT INTO attributes (parent_id, tag, name, priority, allow_as_filter, allow_for_dataset, allow_for_measurement, allow_for_users, allow_for_qc) VALUES (NULL, 'att_fraction',  'Spatial Fraction',  500,  TRUE, TRUE, TRUE, FALSE, FALSE);</v>
      </c>
      <c r="O215" s="6" t="str">
        <f t="shared" si="15"/>
        <v xml:space="preserve">INSERT INTO attribute_values (attribute_id, tag, name, details) VALUES ((SELECT id FROM attributes WHERE tag = 'att_fraction' LIMIT 1),  'att_fraction:05k',  '05k',  '05k Spatial Fraction'); </v>
      </c>
    </row>
    <row r="216" spans="1:15" x14ac:dyDescent="0.15">
      <c r="A216" s="12" t="b">
        <f>FALSE()</f>
        <v>0</v>
      </c>
      <c r="B216" s="12"/>
      <c r="C216" s="6" t="s">
        <v>1230</v>
      </c>
      <c r="D216" s="6" t="s">
        <v>1230</v>
      </c>
      <c r="E216" s="6" t="s">
        <v>17</v>
      </c>
      <c r="F216" s="6" t="s">
        <v>216</v>
      </c>
      <c r="G216" s="6" t="s">
        <v>2578</v>
      </c>
      <c r="H216" s="6" t="str">
        <f t="shared" si="12"/>
        <v>att_fraction</v>
      </c>
      <c r="I216" s="6" t="s">
        <v>1230</v>
      </c>
      <c r="J216" s="6" t="str">
        <f t="shared" si="13"/>
        <v>att_fraction:12k</v>
      </c>
      <c r="K216" s="11" t="s">
        <v>21</v>
      </c>
      <c r="L216" s="6" t="s">
        <v>2581</v>
      </c>
      <c r="M216" s="6" t="s">
        <v>1178</v>
      </c>
      <c r="N216" s="6" t="str">
        <f t="shared" si="14"/>
        <v>INSERT INTO attributes (parent_id, tag, name, priority, allow_as_filter, allow_for_dataset, allow_for_measurement, allow_for_users, allow_for_qc) VALUES (NULL, 'att_fraction',  'Spatial Fraction',  500,  TRUE, TRUE, TRUE, FALSE, FALSE);</v>
      </c>
      <c r="O216" s="6" t="str">
        <f t="shared" si="15"/>
        <v xml:space="preserve">INSERT INTO attribute_values (attribute_id, tag, name, details) VALUES ((SELECT id FROM attributes WHERE tag = 'att_fraction' LIMIT 1),  'att_fraction:12k',  '12k',  '12k Spatial Fraction'); </v>
      </c>
    </row>
    <row r="217" spans="1:15" x14ac:dyDescent="0.15">
      <c r="A217" s="12" t="b">
        <f>FALSE()</f>
        <v>0</v>
      </c>
      <c r="B217" s="12"/>
      <c r="C217" s="6" t="s">
        <v>1232</v>
      </c>
      <c r="D217" s="6" t="s">
        <v>1232</v>
      </c>
      <c r="E217" s="6" t="s">
        <v>17</v>
      </c>
      <c r="F217" s="6" t="s">
        <v>216</v>
      </c>
      <c r="G217" s="6" t="s">
        <v>2578</v>
      </c>
      <c r="H217" s="6" t="str">
        <f t="shared" si="12"/>
        <v>att_fraction</v>
      </c>
      <c r="I217" s="6" t="s">
        <v>1232</v>
      </c>
      <c r="J217" s="6" t="str">
        <f t="shared" si="13"/>
        <v>att_fraction:24k</v>
      </c>
      <c r="K217" s="11" t="s">
        <v>21</v>
      </c>
      <c r="L217" s="6" t="s">
        <v>2582</v>
      </c>
      <c r="M217" s="6" t="s">
        <v>1178</v>
      </c>
      <c r="N217" s="6" t="str">
        <f t="shared" si="14"/>
        <v>INSERT INTO attributes (parent_id, tag, name, priority, allow_as_filter, allow_for_dataset, allow_for_measurement, allow_for_users, allow_for_qc) VALUES (NULL, 'att_fraction',  'Spatial Fraction',  500,  TRUE, TRUE, TRUE, FALSE, FALSE);</v>
      </c>
      <c r="O217" s="6" t="str">
        <f t="shared" si="15"/>
        <v xml:space="preserve">INSERT INTO attribute_values (attribute_id, tag, name, details) VALUES ((SELECT id FROM attributes WHERE tag = 'att_fraction' LIMIT 1),  'att_fraction:24k',  '24k',  '24k Spatial Fraction'); </v>
      </c>
    </row>
    <row r="218" spans="1:15" x14ac:dyDescent="0.15">
      <c r="A218" s="12" t="b">
        <f>FALSE()</f>
        <v>0</v>
      </c>
      <c r="B218" s="12"/>
      <c r="C218" s="6" t="s">
        <v>1234</v>
      </c>
      <c r="D218" s="6" t="s">
        <v>1234</v>
      </c>
      <c r="E218" s="6" t="s">
        <v>17</v>
      </c>
      <c r="F218" s="6" t="s">
        <v>216</v>
      </c>
      <c r="G218" s="6" t="s">
        <v>2578</v>
      </c>
      <c r="H218" s="6" t="str">
        <f t="shared" si="12"/>
        <v>att_fraction</v>
      </c>
      <c r="I218" s="6" t="s">
        <v>1234</v>
      </c>
      <c r="J218" s="6" t="str">
        <f t="shared" si="13"/>
        <v>att_fraction:79k</v>
      </c>
      <c r="K218" s="11" t="s">
        <v>21</v>
      </c>
      <c r="L218" s="6" t="s">
        <v>2583</v>
      </c>
      <c r="M218" s="6" t="s">
        <v>1178</v>
      </c>
      <c r="N218" s="6" t="str">
        <f t="shared" si="14"/>
        <v>INSERT INTO attributes (parent_id, tag, name, priority, allow_as_filter, allow_for_dataset, allow_for_measurement, allow_for_users, allow_for_qc) VALUES (NULL, 'att_fraction',  'Spatial Fraction',  500,  TRUE, TRUE, TRUE, FALSE, FALSE);</v>
      </c>
      <c r="O218" s="6" t="str">
        <f t="shared" si="15"/>
        <v xml:space="preserve">INSERT INTO attribute_values (attribute_id, tag, name, details) VALUES ((SELECT id FROM attributes WHERE tag = 'att_fraction' LIMIT 1),  'att_fraction:79k',  '79k',  '79k Spatial Fraction'); </v>
      </c>
    </row>
    <row r="219" spans="1:15" x14ac:dyDescent="0.15">
      <c r="A219" s="12" t="b">
        <f>FALSE()</f>
        <v>0</v>
      </c>
      <c r="B219" s="12"/>
      <c r="C219" s="6" t="s">
        <v>1240</v>
      </c>
      <c r="D219" s="6" t="s">
        <v>1241</v>
      </c>
      <c r="E219" s="6" t="s">
        <v>17</v>
      </c>
      <c r="F219" s="6" t="s">
        <v>216</v>
      </c>
      <c r="G219" s="6" t="s">
        <v>2578</v>
      </c>
      <c r="H219" s="6" t="str">
        <f t="shared" si="12"/>
        <v>att_fraction</v>
      </c>
      <c r="I219" s="6" t="s">
        <v>1240</v>
      </c>
      <c r="J219" s="6" t="str">
        <f t="shared" si="13"/>
        <v>att_fraction:cytosolic</v>
      </c>
      <c r="K219" s="11" t="s">
        <v>21</v>
      </c>
      <c r="L219" s="6" t="s">
        <v>1242</v>
      </c>
      <c r="M219" s="6" t="s">
        <v>1178</v>
      </c>
      <c r="N219" s="6" t="str">
        <f t="shared" si="14"/>
        <v>INSERT INTO attributes (parent_id, tag, name, priority, allow_as_filter, allow_for_dataset, allow_for_measurement, allow_for_users, allow_for_qc) VALUES (NULL, 'att_fraction',  'Spatial Fraction',  500,  TRUE, TRUE, TRUE, FALSE, FALSE);</v>
      </c>
      <c r="O219" s="6" t="str">
        <f t="shared" si="15"/>
        <v xml:space="preserve">INSERT INTO attribute_values (attribute_id, tag, name, details) VALUES ((SELECT id FROM attributes WHERE tag = 'att_fraction' LIMIT 1),  'att_fraction:cytosolic',  'Cytosolic',  'Cytosolic Spatial Fraction'); </v>
      </c>
    </row>
    <row r="220" spans="1:15" x14ac:dyDescent="0.15">
      <c r="A220" s="12" t="b">
        <f>FALSE()</f>
        <v>0</v>
      </c>
      <c r="B220" s="12"/>
      <c r="C220" s="6" t="s">
        <v>1243</v>
      </c>
      <c r="D220" s="6" t="s">
        <v>1244</v>
      </c>
      <c r="E220" s="6" t="s">
        <v>17</v>
      </c>
      <c r="F220" s="6" t="s">
        <v>216</v>
      </c>
      <c r="G220" s="6" t="s">
        <v>2578</v>
      </c>
      <c r="H220" s="6" t="str">
        <f t="shared" si="12"/>
        <v>att_fraction</v>
      </c>
      <c r="I220" s="6" t="s">
        <v>1243</v>
      </c>
      <c r="J220" s="6" t="str">
        <f t="shared" si="13"/>
        <v>att_fraction:total</v>
      </c>
      <c r="K220" s="11" t="s">
        <v>21</v>
      </c>
      <c r="L220" s="6" t="s">
        <v>1245</v>
      </c>
      <c r="M220" s="6" t="s">
        <v>1178</v>
      </c>
      <c r="N220" s="6" t="str">
        <f t="shared" si="14"/>
        <v>INSERT INTO attributes (parent_id, tag, name, priority, allow_as_filter, allow_for_dataset, allow_for_measurement, allow_for_users, allow_for_qc) VALUES (NULL, 'att_fraction',  'Spatial Fraction',  500,  TRUE, TRUE, TRUE, FALSE, FALSE);</v>
      </c>
      <c r="O220" s="6" t="str">
        <f t="shared" si="15"/>
        <v xml:space="preserve">INSERT INTO attribute_values (attribute_id, tag, name, details) VALUES ((SELECT id FROM attributes WHERE tag = 'att_fraction' LIMIT 1),  'att_fraction:total',  'Total',  'Total Spatial Fraction'); </v>
      </c>
    </row>
    <row r="221" spans="1:15" x14ac:dyDescent="0.15">
      <c r="A221" s="12" t="b">
        <f>FALSE()</f>
        <v>0</v>
      </c>
      <c r="B221" s="12"/>
      <c r="C221" s="6" t="s">
        <v>2584</v>
      </c>
      <c r="D221" s="6" t="s">
        <v>1238</v>
      </c>
      <c r="E221" s="6" t="s">
        <v>17</v>
      </c>
      <c r="F221" s="6" t="s">
        <v>216</v>
      </c>
      <c r="G221" s="6" t="s">
        <v>2578</v>
      </c>
      <c r="H221" s="6" t="str">
        <f t="shared" si="12"/>
        <v>att_fraction</v>
      </c>
      <c r="I221" s="6" t="s">
        <v>1236</v>
      </c>
      <c r="J221" s="6" t="str">
        <f t="shared" si="13"/>
        <v>att_fraction:crude_mito</v>
      </c>
      <c r="K221" s="11" t="s">
        <v>21</v>
      </c>
      <c r="L221" s="6" t="s">
        <v>1239</v>
      </c>
      <c r="M221" s="6" t="s">
        <v>1178</v>
      </c>
      <c r="N221" s="6" t="str">
        <f t="shared" si="14"/>
        <v>INSERT INTO attributes (parent_id, tag, name, priority, allow_as_filter, allow_for_dataset, allow_for_measurement, allow_for_users, allow_for_qc) VALUES (NULL, 'att_fraction',  'Spatial Fraction',  500,  TRUE, TRUE, TRUE, FALSE, FALSE);</v>
      </c>
      <c r="O221" s="6" t="str">
        <f t="shared" si="15"/>
        <v xml:space="preserve">INSERT INTO attribute_values (attribute_id, tag, name, details) VALUES ((SELECT id FROM attributes WHERE tag = 'att_fraction' LIMIT 1),  'att_fraction:crude_mito',  'Crude Mito',  'Crude mitochondrial fraction'); </v>
      </c>
    </row>
    <row r="222" spans="1:15" x14ac:dyDescent="0.15">
      <c r="A222" s="12"/>
      <c r="B222" s="12"/>
      <c r="K222" s="11"/>
    </row>
    <row r="223" spans="1:15" x14ac:dyDescent="0.15">
      <c r="A223" s="12"/>
      <c r="B223" s="12"/>
      <c r="C223" s="6" t="s">
        <v>2585</v>
      </c>
      <c r="D223" s="6" t="s">
        <v>2096</v>
      </c>
      <c r="F223" s="6" t="s">
        <v>185</v>
      </c>
      <c r="G223" s="6" t="s">
        <v>2586</v>
      </c>
      <c r="H223" s="6" t="str">
        <f>"att_"&amp;G223</f>
        <v>att_offline_fractionation</v>
      </c>
      <c r="I223" s="6" t="s">
        <v>2095</v>
      </c>
      <c r="J223" s="6" t="str">
        <f>H223&amp;":"&amp;I223</f>
        <v>att_offline_fractionation:sdspage</v>
      </c>
      <c r="K223" s="11"/>
      <c r="L223" s="6" t="s">
        <v>2097</v>
      </c>
    </row>
    <row r="224" spans="1:15" x14ac:dyDescent="0.15">
      <c r="A224" s="12"/>
      <c r="B224" s="12"/>
      <c r="C224" s="6" t="s">
        <v>2585</v>
      </c>
      <c r="D224" s="6" t="s">
        <v>2084</v>
      </c>
      <c r="F224" s="6" t="s">
        <v>185</v>
      </c>
      <c r="G224" s="6" t="s">
        <v>2586</v>
      </c>
      <c r="H224" s="6" t="str">
        <f>"att_"&amp;G224</f>
        <v>att_offline_fractionation</v>
      </c>
      <c r="I224" s="6" t="s">
        <v>2083</v>
      </c>
      <c r="J224" s="6" t="str">
        <f>H224&amp;":"&amp;I224</f>
        <v>att_offline_fractionation:highph_hplc</v>
      </c>
      <c r="K224" s="11"/>
      <c r="L224" s="6" t="s">
        <v>2085</v>
      </c>
    </row>
    <row r="225" spans="1:15" x14ac:dyDescent="0.15">
      <c r="A225" s="12"/>
      <c r="B225" s="12"/>
      <c r="C225" s="6" t="s">
        <v>2585</v>
      </c>
      <c r="D225" s="6" t="s">
        <v>2087</v>
      </c>
      <c r="F225" s="6" t="s">
        <v>185</v>
      </c>
      <c r="G225" s="6" t="s">
        <v>2586</v>
      </c>
      <c r="H225" s="6" t="str">
        <f>"att_"&amp;G225</f>
        <v>att_offline_fractionation</v>
      </c>
      <c r="I225" s="6" t="s">
        <v>2086</v>
      </c>
      <c r="J225" s="6" t="str">
        <f>H225&amp;":"&amp;I225</f>
        <v>att_offline_fractionation:highph_tip</v>
      </c>
      <c r="K225" s="11"/>
      <c r="L225" s="6" t="s">
        <v>2088</v>
      </c>
    </row>
    <row r="226" spans="1:15" x14ac:dyDescent="0.15">
      <c r="A226" s="12"/>
      <c r="B226" s="12"/>
      <c r="C226" s="6" t="s">
        <v>2585</v>
      </c>
      <c r="D226" s="6" t="s">
        <v>2093</v>
      </c>
      <c r="F226" s="6" t="s">
        <v>185</v>
      </c>
      <c r="G226" s="6" t="s">
        <v>2586</v>
      </c>
      <c r="H226" s="6" t="str">
        <f>"att_"&amp;G226</f>
        <v>att_offline_fractionation</v>
      </c>
      <c r="I226" s="6" t="s">
        <v>2092</v>
      </c>
      <c r="J226" s="6" t="str">
        <f>H226&amp;":"&amp;I226</f>
        <v>att_offline_fractionation:scx</v>
      </c>
      <c r="K226" s="11"/>
      <c r="L226" s="6" t="s">
        <v>2094</v>
      </c>
    </row>
    <row r="227" spans="1:15" x14ac:dyDescent="0.15">
      <c r="A227" s="12"/>
      <c r="B227" s="12"/>
      <c r="C227" s="6" t="s">
        <v>2585</v>
      </c>
      <c r="D227" s="6" t="s">
        <v>2090</v>
      </c>
      <c r="F227" s="6" t="s">
        <v>185</v>
      </c>
      <c r="G227" s="6" t="s">
        <v>2586</v>
      </c>
      <c r="H227" s="6" t="str">
        <f>"att_"&amp;G227</f>
        <v>att_offline_fractionation</v>
      </c>
      <c r="I227" s="6" t="s">
        <v>2089</v>
      </c>
      <c r="J227" s="6" t="str">
        <f>H227&amp;":"&amp;I227</f>
        <v>att_offline_fractionation:sax</v>
      </c>
      <c r="K227" s="11"/>
      <c r="L227" s="6" t="s">
        <v>2091</v>
      </c>
    </row>
    <row r="228" spans="1:15" x14ac:dyDescent="0.15">
      <c r="A228" s="12"/>
      <c r="B228" s="12"/>
      <c r="K228" s="11"/>
    </row>
    <row r="229" spans="1:15" x14ac:dyDescent="0.15">
      <c r="A229" s="12"/>
      <c r="B229" s="12"/>
      <c r="K229" s="11"/>
    </row>
    <row r="230" spans="1:15" x14ac:dyDescent="0.15">
      <c r="A230" s="12" t="b">
        <f>TRUE()</f>
        <v>1</v>
      </c>
      <c r="C230" s="6" t="s">
        <v>1873</v>
      </c>
      <c r="D230" s="6" t="s">
        <v>1874</v>
      </c>
      <c r="E230" s="6" t="s">
        <v>17</v>
      </c>
      <c r="F230" s="6" t="s">
        <v>2587</v>
      </c>
      <c r="G230" s="6" t="s">
        <v>2588</v>
      </c>
      <c r="H230" s="6" t="str">
        <f t="shared" ref="H230:H248" si="16">"att_"&amp;G230</f>
        <v>att_instrument</v>
      </c>
      <c r="I230" s="6" t="s">
        <v>1873</v>
      </c>
      <c r="J230" s="6" t="str">
        <f t="shared" ref="J230:J248" si="17">H230&amp;":"&amp;I230</f>
        <v>att_instrument:e1</v>
      </c>
      <c r="K230" s="11" t="s">
        <v>21</v>
      </c>
      <c r="L230" s="6" t="s">
        <v>1875</v>
      </c>
      <c r="M230" s="6" t="s">
        <v>17</v>
      </c>
      <c r="N230" s="6" t="str">
        <f t="shared" ref="N230:N248" si="18">"INSERT INTO attributes (parent_id, tag, name, priority, allow_as_filter, allow_for_dataset, allow_for_measurement, allow_for_users, allow_for_qc) VALUES (NULL, '"&amp;H230&amp;"',  '"&amp;F230&amp;"',  500,  TRUE, TRUE, TRUE, FALSE, FALSE);"</f>
        <v>INSERT INTO attributes (parent_id, tag, name, priority, allow_as_filter, allow_for_dataset, allow_for_measurement, allow_for_users, allow_for_qc) VALUES (NULL, 'att_instrument',  'MS Instrument',  500,  TRUE, TRUE, TRUE, FALSE, FALSE);</v>
      </c>
      <c r="O230" s="6" t="str">
        <f t="shared" ref="O230:O248" si="19">"INSERT INTO attribute_values (attribute_id, tag, name, details) VALUES ((SELECT id FROM attributes WHERE tag = '"&amp;H230&amp;"' LIMIT 1),  '"&amp;J230&amp;"',  '"&amp;D230&amp;"',  '"&amp;L230&amp;"'); "</f>
        <v xml:space="preserve">INSERT INTO attribute_values (attribute_id, tag, name, details) VALUES ((SELECT id FROM attributes WHERE tag = 'att_instrument' LIMIT 1),  'att_instrument:e1',  'Doris (E1)',  'Doris'); </v>
      </c>
    </row>
    <row r="231" spans="1:15" x14ac:dyDescent="0.15">
      <c r="A231" s="12" t="b">
        <f>TRUE()</f>
        <v>1</v>
      </c>
      <c r="C231" s="6" t="s">
        <v>1876</v>
      </c>
      <c r="D231" s="6" t="s">
        <v>1877</v>
      </c>
      <c r="E231" s="6" t="s">
        <v>17</v>
      </c>
      <c r="F231" s="6" t="s">
        <v>2587</v>
      </c>
      <c r="G231" s="6" t="s">
        <v>2588</v>
      </c>
      <c r="H231" s="6" t="str">
        <f t="shared" si="16"/>
        <v>att_instrument</v>
      </c>
      <c r="I231" s="6" t="s">
        <v>1876</v>
      </c>
      <c r="J231" s="6" t="str">
        <f t="shared" si="17"/>
        <v>att_instrument:e2</v>
      </c>
      <c r="K231" s="11" t="s">
        <v>21</v>
      </c>
      <c r="L231" s="6" t="s">
        <v>1878</v>
      </c>
      <c r="M231" s="6" t="s">
        <v>17</v>
      </c>
      <c r="N231" s="6" t="str">
        <f t="shared" si="18"/>
        <v>INSERT INTO attributes (parent_id, tag, name, priority, allow_as_filter, allow_for_dataset, allow_for_measurement, allow_for_users, allow_for_qc) VALUES (NULL, 'att_instrument',  'MS Instrument',  500,  TRUE, TRUE, TRUE, FALSE, FALSE);</v>
      </c>
      <c r="O231" s="6" t="str">
        <f t="shared" si="19"/>
        <v xml:space="preserve">INSERT INTO attribute_values (attribute_id, tag, name, details) VALUES ((SELECT id FROM attributes WHERE tag = 'att_instrument' LIMIT 1),  'att_instrument:e2',  'Boris (E2)',  'Boris'); </v>
      </c>
    </row>
    <row r="232" spans="1:15" x14ac:dyDescent="0.15">
      <c r="A232" s="12" t="b">
        <f>TRUE()</f>
        <v>1</v>
      </c>
      <c r="C232" s="6" t="s">
        <v>1881</v>
      </c>
      <c r="D232" s="6" t="s">
        <v>1882</v>
      </c>
      <c r="E232" s="6" t="s">
        <v>17</v>
      </c>
      <c r="F232" s="6" t="s">
        <v>2587</v>
      </c>
      <c r="G232" s="6" t="s">
        <v>2588</v>
      </c>
      <c r="H232" s="6" t="str">
        <f t="shared" si="16"/>
        <v>att_instrument</v>
      </c>
      <c r="I232" s="6" t="s">
        <v>1881</v>
      </c>
      <c r="J232" s="6" t="str">
        <f t="shared" si="17"/>
        <v>att_instrument:ignarius</v>
      </c>
      <c r="K232" s="11" t="s">
        <v>21</v>
      </c>
      <c r="L232" s="6" t="s">
        <v>1883</v>
      </c>
      <c r="M232" s="6" t="s">
        <v>17</v>
      </c>
      <c r="N232" s="6" t="str">
        <f t="shared" si="18"/>
        <v>INSERT INTO attributes (parent_id, tag, name, priority, allow_as_filter, allow_for_dataset, allow_for_measurement, allow_for_users, allow_for_qc) VALUES (NULL, 'att_instrument',  'MS Instrument',  500,  TRUE, TRUE, TRUE, FALSE, FALSE);</v>
      </c>
      <c r="O232" s="6" t="str">
        <f t="shared" si="19"/>
        <v xml:space="preserve">INSERT INTO attribute_values (attribute_id, tag, name, details) VALUES ((SELECT id FROM attributes WHERE tag = 'att_instrument' LIMIT 1),  'att_instrument:ignarius',  'not known (yet)',  'unkown instrument / not known yet'); </v>
      </c>
    </row>
    <row r="233" spans="1:15" x14ac:dyDescent="0.15">
      <c r="A233" s="12" t="b">
        <f>TRUE()</f>
        <v>1</v>
      </c>
      <c r="C233" s="6" t="s">
        <v>2589</v>
      </c>
      <c r="D233" s="6" t="s">
        <v>1885</v>
      </c>
      <c r="E233" s="6" t="s">
        <v>17</v>
      </c>
      <c r="F233" s="6" t="s">
        <v>2587</v>
      </c>
      <c r="G233" s="6" t="s">
        <v>2588</v>
      </c>
      <c r="H233" s="6" t="str">
        <f t="shared" si="16"/>
        <v>att_instrument</v>
      </c>
      <c r="I233" s="6" t="s">
        <v>2590</v>
      </c>
      <c r="J233" s="6" t="str">
        <f t="shared" si="17"/>
        <v>att_instrument:t</v>
      </c>
      <c r="K233" s="11" t="s">
        <v>21</v>
      </c>
      <c r="L233" s="6" t="s">
        <v>1886</v>
      </c>
      <c r="M233" s="6" t="s">
        <v>17</v>
      </c>
      <c r="N233" s="6" t="str">
        <f t="shared" si="18"/>
        <v>INSERT INTO attributes (parent_id, tag, name, priority, allow_as_filter, allow_for_dataset, allow_for_measurement, allow_for_users, allow_for_qc) VALUES (NULL, 'att_instrument',  'MS Instrument',  500,  TRUE, TRUE, TRUE, FALSE, FALSE);</v>
      </c>
      <c r="O233" s="6" t="str">
        <f t="shared" si="19"/>
        <v xml:space="preserve">INSERT INTO attribute_values (attribute_id, tag, name, details) VALUES ((SELECT id FROM attributes WHERE tag = 'att_instrument' LIMIT 1),  'att_instrument:t',  'TimsTOF (KrisTof)',  'TimsTOF'); </v>
      </c>
    </row>
    <row r="234" spans="1:15" s="14" customFormat="1" x14ac:dyDescent="0.15">
      <c r="A234" s="13" t="b">
        <f>FALSE()</f>
        <v>0</v>
      </c>
      <c r="B234" s="13"/>
      <c r="C234" s="14" t="s">
        <v>2591</v>
      </c>
      <c r="D234" s="14" t="s">
        <v>2592</v>
      </c>
      <c r="E234" s="14" t="s">
        <v>17</v>
      </c>
      <c r="F234" s="14" t="s">
        <v>2593</v>
      </c>
      <c r="G234" s="14" t="s">
        <v>2594</v>
      </c>
      <c r="H234" s="14" t="str">
        <f t="shared" si="16"/>
        <v>att_knockout</v>
      </c>
      <c r="I234" s="14" t="s">
        <v>2591</v>
      </c>
      <c r="J234" s="14" t="str">
        <f t="shared" si="17"/>
        <v>att_knockout:casp1_dko</v>
      </c>
      <c r="K234" s="15" t="s">
        <v>21</v>
      </c>
      <c r="L234" s="14" t="s">
        <v>2595</v>
      </c>
      <c r="M234" s="14" t="s">
        <v>17</v>
      </c>
      <c r="N234" s="14" t="str">
        <f t="shared" si="18"/>
        <v>INSERT INTO attributes (parent_id, tag, name, priority, allow_as_filter, allow_for_dataset, allow_for_measurement, allow_for_users, allow_for_qc) VALUES (NULL, 'att_knockout',  'Gene Knockout',  500,  TRUE, TRUE, TRUE, FALSE, FALSE);</v>
      </c>
      <c r="O234" s="14" t="str">
        <f t="shared" si="19"/>
        <v xml:space="preserve">INSERT INTO attribute_values (attribute_id, tag, name, details) VALUES ((SELECT id FROM attributes WHERE tag = 'att_knockout' LIMIT 1),  'att_knockout:casp1_dko',  'Casp1 dKO',  'Casp1 −/−'); </v>
      </c>
    </row>
    <row r="235" spans="1:15" s="14" customFormat="1" x14ac:dyDescent="0.15">
      <c r="A235" s="13" t="b">
        <f>FALSE()</f>
        <v>0</v>
      </c>
      <c r="B235" s="13"/>
      <c r="C235" s="14" t="s">
        <v>2596</v>
      </c>
      <c r="D235" s="14" t="s">
        <v>2597</v>
      </c>
      <c r="E235" s="14" t="s">
        <v>17</v>
      </c>
      <c r="F235" s="14" t="s">
        <v>2593</v>
      </c>
      <c r="G235" s="14" t="s">
        <v>2594</v>
      </c>
      <c r="H235" s="14" t="str">
        <f t="shared" si="16"/>
        <v>att_knockout</v>
      </c>
      <c r="I235" s="14" t="s">
        <v>2596</v>
      </c>
      <c r="J235" s="14" t="str">
        <f t="shared" si="17"/>
        <v>att_knockout:casp11_dko</v>
      </c>
      <c r="K235" s="15" t="s">
        <v>21</v>
      </c>
      <c r="L235" s="14" t="s">
        <v>2598</v>
      </c>
      <c r="M235" s="14" t="s">
        <v>17</v>
      </c>
      <c r="N235" s="14" t="str">
        <f t="shared" si="18"/>
        <v>INSERT INTO attributes (parent_id, tag, name, priority, allow_as_filter, allow_for_dataset, allow_for_measurement, allow_for_users, allow_for_qc) VALUES (NULL, 'att_knockout',  'Gene Knockout',  500,  TRUE, TRUE, TRUE, FALSE, FALSE);</v>
      </c>
      <c r="O235" s="14" t="str">
        <f t="shared" si="19"/>
        <v xml:space="preserve">INSERT INTO attribute_values (attribute_id, tag, name, details) VALUES ((SELECT id FROM attributes WHERE tag = 'att_knockout' LIMIT 1),  'att_knockout:casp11_dko',  'Casp11 dKO',  'Casp11 −/−'); </v>
      </c>
    </row>
    <row r="236" spans="1:15" s="14" customFormat="1" x14ac:dyDescent="0.15">
      <c r="A236" s="13" t="b">
        <f>FALSE()</f>
        <v>0</v>
      </c>
      <c r="B236" s="13"/>
      <c r="C236" s="14" t="s">
        <v>2599</v>
      </c>
      <c r="D236" s="14" t="s">
        <v>2600</v>
      </c>
      <c r="E236" s="14" t="s">
        <v>17</v>
      </c>
      <c r="F236" s="14" t="s">
        <v>2593</v>
      </c>
      <c r="G236" s="14" t="s">
        <v>2594</v>
      </c>
      <c r="H236" s="14" t="str">
        <f t="shared" si="16"/>
        <v>att_knockout</v>
      </c>
      <c r="I236" s="14" t="s">
        <v>2599</v>
      </c>
      <c r="J236" s="14" t="str">
        <f t="shared" si="17"/>
        <v>att_knockout:gsdmd_dko</v>
      </c>
      <c r="K236" s="15" t="s">
        <v>21</v>
      </c>
      <c r="L236" s="14" t="s">
        <v>2601</v>
      </c>
      <c r="M236" s="14" t="s">
        <v>17</v>
      </c>
      <c r="N236" s="14" t="str">
        <f t="shared" si="18"/>
        <v>INSERT INTO attributes (parent_id, tag, name, priority, allow_as_filter, allow_for_dataset, allow_for_measurement, allow_for_users, allow_for_qc) VALUES (NULL, 'att_knockout',  'Gene Knockout',  500,  TRUE, TRUE, TRUE, FALSE, FALSE);</v>
      </c>
      <c r="O236" s="14" t="str">
        <f t="shared" si="19"/>
        <v xml:space="preserve">INSERT INTO attribute_values (attribute_id, tag, name, details) VALUES ((SELECT id FROM attributes WHERE tag = 'att_knockout' LIMIT 1),  'att_knockout:gsdmd_dko',  'Gsdmd dKO',  'Gsdmd −/−'); </v>
      </c>
    </row>
    <row r="237" spans="1:15" s="14" customFormat="1" x14ac:dyDescent="0.15">
      <c r="A237" s="13" t="b">
        <f>FALSE()</f>
        <v>0</v>
      </c>
      <c r="B237" s="13"/>
      <c r="C237" s="14" t="s">
        <v>2602</v>
      </c>
      <c r="D237" s="14" t="s">
        <v>2603</v>
      </c>
      <c r="E237" s="14" t="s">
        <v>17</v>
      </c>
      <c r="F237" s="14" t="s">
        <v>2593</v>
      </c>
      <c r="G237" s="14" t="s">
        <v>2594</v>
      </c>
      <c r="H237" s="14" t="str">
        <f t="shared" si="16"/>
        <v>att_knockout</v>
      </c>
      <c r="I237" s="14" t="s">
        <v>2604</v>
      </c>
      <c r="J237" s="14" t="str">
        <f t="shared" si="17"/>
        <v>att_knockout:il18r_dko</v>
      </c>
      <c r="K237" s="15" t="s">
        <v>21</v>
      </c>
      <c r="L237" s="14" t="s">
        <v>2605</v>
      </c>
      <c r="M237" s="14" t="s">
        <v>17</v>
      </c>
      <c r="N237" s="14" t="str">
        <f t="shared" si="18"/>
        <v>INSERT INTO attributes (parent_id, tag, name, priority, allow_as_filter, allow_for_dataset, allow_for_measurement, allow_for_users, allow_for_qc) VALUES (NULL, 'att_knockout',  'Gene Knockout',  500,  TRUE, TRUE, TRUE, FALSE, FALSE);</v>
      </c>
      <c r="O237" s="14" t="str">
        <f t="shared" si="19"/>
        <v xml:space="preserve">INSERT INTO attribute_values (attribute_id, tag, name, details) VALUES ((SELECT id FROM attributes WHERE tag = 'att_knockout' LIMIT 1),  'att_knockout:il18r_dko',  'Il18r dKO',  'Il18r −/−'); </v>
      </c>
    </row>
    <row r="238" spans="1:15" s="14" customFormat="1" x14ac:dyDescent="0.15">
      <c r="A238" s="13" t="b">
        <f>FALSE()</f>
        <v>0</v>
      </c>
      <c r="B238" s="13"/>
      <c r="C238" s="14" t="s">
        <v>2606</v>
      </c>
      <c r="D238" s="14" t="s">
        <v>2607</v>
      </c>
      <c r="E238" s="14" t="s">
        <v>17</v>
      </c>
      <c r="F238" s="14" t="s">
        <v>2593</v>
      </c>
      <c r="G238" s="14" t="s">
        <v>2594</v>
      </c>
      <c r="H238" s="14" t="str">
        <f t="shared" si="16"/>
        <v>att_knockout</v>
      </c>
      <c r="I238" s="14" t="s">
        <v>2608</v>
      </c>
      <c r="J238" s="14" t="str">
        <f t="shared" si="17"/>
        <v>att_knockout:il1r_dko</v>
      </c>
      <c r="K238" s="15" t="s">
        <v>21</v>
      </c>
      <c r="L238" s="14" t="s">
        <v>2609</v>
      </c>
      <c r="M238" s="14" t="s">
        <v>17</v>
      </c>
      <c r="N238" s="14" t="str">
        <f t="shared" si="18"/>
        <v>INSERT INTO attributes (parent_id, tag, name, priority, allow_as_filter, allow_for_dataset, allow_for_measurement, allow_for_users, allow_for_qc) VALUES (NULL, 'att_knockout',  'Gene Knockout',  500,  TRUE, TRUE, TRUE, FALSE, FALSE);</v>
      </c>
      <c r="O238" s="14" t="str">
        <f t="shared" si="19"/>
        <v xml:space="preserve">INSERT INTO attribute_values (attribute_id, tag, name, details) VALUES ((SELECT id FROM attributes WHERE tag = 'att_knockout' LIMIT 1),  'att_knockout:il1r_dko',  'Il1r dKO',  'Il1r −/−'); </v>
      </c>
    </row>
    <row r="239" spans="1:15" s="14" customFormat="1" x14ac:dyDescent="0.15">
      <c r="A239" s="13" t="b">
        <f>FALSE()</f>
        <v>0</v>
      </c>
      <c r="B239" s="13"/>
      <c r="C239" s="14" t="s">
        <v>2610</v>
      </c>
      <c r="D239" s="14" t="s">
        <v>2611</v>
      </c>
      <c r="E239" s="14" t="s">
        <v>17</v>
      </c>
      <c r="F239" s="14" t="s">
        <v>2593</v>
      </c>
      <c r="G239" s="14" t="s">
        <v>2594</v>
      </c>
      <c r="H239" s="14" t="str">
        <f t="shared" si="16"/>
        <v>att_knockout</v>
      </c>
      <c r="I239" s="14" t="s">
        <v>2610</v>
      </c>
      <c r="J239" s="14" t="str">
        <f t="shared" si="17"/>
        <v>att_knockout:tlr4_dko</v>
      </c>
      <c r="K239" s="15" t="s">
        <v>21</v>
      </c>
      <c r="L239" s="14" t="s">
        <v>2612</v>
      </c>
      <c r="M239" s="14" t="s">
        <v>17</v>
      </c>
      <c r="N239" s="14" t="str">
        <f t="shared" si="18"/>
        <v>INSERT INTO attributes (parent_id, tag, name, priority, allow_as_filter, allow_for_dataset, allow_for_measurement, allow_for_users, allow_for_qc) VALUES (NULL, 'att_knockout',  'Gene Knockout',  500,  TRUE, TRUE, TRUE, FALSE, FALSE);</v>
      </c>
      <c r="O239" s="14" t="str">
        <f t="shared" si="19"/>
        <v xml:space="preserve">INSERT INTO attribute_values (attribute_id, tag, name, details) VALUES ((SELECT id FROM attributes WHERE tag = 'att_knockout' LIMIT 1),  'att_knockout:tlr4_dko',  'Tlr4 dKO',  'Tlr4 −/−'); </v>
      </c>
    </row>
    <row r="240" spans="1:15" x14ac:dyDescent="0.15">
      <c r="A240" s="11" t="s">
        <v>21</v>
      </c>
      <c r="B240" s="11"/>
      <c r="C240" s="6" t="s">
        <v>1325</v>
      </c>
      <c r="D240" s="6" t="s">
        <v>1326</v>
      </c>
      <c r="E240" s="6" t="s">
        <v>17</v>
      </c>
      <c r="F240" s="6" t="s">
        <v>145</v>
      </c>
      <c r="G240" s="6" t="s">
        <v>2613</v>
      </c>
      <c r="H240" s="6" t="str">
        <f t="shared" si="16"/>
        <v>att_lc_system</v>
      </c>
      <c r="I240" s="6" t="s">
        <v>1325</v>
      </c>
      <c r="J240" s="6" t="str">
        <f t="shared" si="17"/>
        <v>att_lc_system:easylc1</v>
      </c>
      <c r="K240" s="11" t="s">
        <v>21</v>
      </c>
      <c r="L240" s="6" t="s">
        <v>1326</v>
      </c>
      <c r="M240" s="6" t="s">
        <v>17</v>
      </c>
      <c r="N240" s="6" t="str">
        <f t="shared" si="18"/>
        <v>INSERT INTO attributes (parent_id, tag, name, priority, allow_as_filter, allow_for_dataset, allow_for_measurement, allow_for_users, allow_for_qc) VALUES (NULL, 'att_lc_system',  'LC System',  500,  TRUE, TRUE, TRUE, FALSE, FALSE);</v>
      </c>
      <c r="O240" s="6" t="str">
        <f t="shared" si="19"/>
        <v xml:space="preserve">INSERT INTO attribute_values (attribute_id, tag, name, details) VALUES ((SELECT id FROM attributes WHERE tag = 'att_lc_system' LIMIT 1),  'att_lc_system:easylc1',  'Easy LC1',  'Easy LC1'); </v>
      </c>
    </row>
    <row r="241" spans="1:15" x14ac:dyDescent="0.15">
      <c r="A241" s="11" t="s">
        <v>21</v>
      </c>
      <c r="B241" s="11"/>
      <c r="C241" s="6" t="s">
        <v>1327</v>
      </c>
      <c r="D241" s="6" t="s">
        <v>1328</v>
      </c>
      <c r="E241" s="6" t="s">
        <v>17</v>
      </c>
      <c r="F241" s="6" t="s">
        <v>145</v>
      </c>
      <c r="G241" s="6" t="s">
        <v>2613</v>
      </c>
      <c r="H241" s="6" t="str">
        <f t="shared" si="16"/>
        <v>att_lc_system</v>
      </c>
      <c r="I241" s="6" t="s">
        <v>1327</v>
      </c>
      <c r="J241" s="6" t="str">
        <f t="shared" si="17"/>
        <v>att_lc_system:easylc2</v>
      </c>
      <c r="K241" s="11" t="s">
        <v>21</v>
      </c>
      <c r="L241" s="6" t="s">
        <v>1328</v>
      </c>
      <c r="M241" s="6" t="s">
        <v>17</v>
      </c>
      <c r="N241" s="6" t="str">
        <f t="shared" si="18"/>
        <v>INSERT INTO attributes (parent_id, tag, name, priority, allow_as_filter, allow_for_dataset, allow_for_measurement, allow_for_users, allow_for_qc) VALUES (NULL, 'att_lc_system',  'LC System',  500,  TRUE, TRUE, TRUE, FALSE, FALSE);</v>
      </c>
      <c r="O241" s="6" t="str">
        <f t="shared" si="19"/>
        <v xml:space="preserve">INSERT INTO attribute_values (attribute_id, tag, name, details) VALUES ((SELECT id FROM attributes WHERE tag = 'att_lc_system' LIMIT 1),  'att_lc_system:easylc2',  'Easy LC2',  'Easy LC2'); </v>
      </c>
    </row>
    <row r="242" spans="1:15" x14ac:dyDescent="0.15">
      <c r="A242" s="11" t="s">
        <v>21</v>
      </c>
      <c r="B242" s="11"/>
      <c r="C242" s="6" t="s">
        <v>1329</v>
      </c>
      <c r="D242" s="6" t="s">
        <v>1330</v>
      </c>
      <c r="E242" s="6" t="s">
        <v>17</v>
      </c>
      <c r="F242" s="6" t="s">
        <v>145</v>
      </c>
      <c r="G242" s="6" t="s">
        <v>2613</v>
      </c>
      <c r="H242" s="6" t="str">
        <f t="shared" si="16"/>
        <v>att_lc_system</v>
      </c>
      <c r="I242" s="6" t="s">
        <v>1329</v>
      </c>
      <c r="J242" s="6" t="str">
        <f t="shared" si="17"/>
        <v>att_lc_system:evosep1</v>
      </c>
      <c r="K242" s="11" t="s">
        <v>21</v>
      </c>
      <c r="L242" s="6" t="s">
        <v>1331</v>
      </c>
      <c r="M242" s="6" t="s">
        <v>17</v>
      </c>
      <c r="N242" s="6" t="str">
        <f t="shared" si="18"/>
        <v>INSERT INTO attributes (parent_id, tag, name, priority, allow_as_filter, allow_for_dataset, allow_for_measurement, allow_for_users, allow_for_qc) VALUES (NULL, 'att_lc_system',  'LC System',  500,  TRUE, TRUE, TRUE, FALSE, FALSE);</v>
      </c>
      <c r="O242" s="6" t="str">
        <f t="shared" si="19"/>
        <v xml:space="preserve">INSERT INTO attribute_values (attribute_id, tag, name, details) VALUES ((SELECT id FROM attributes WHERE tag = 'att_lc_system' LIMIT 1),  'att_lc_system:evosep1',  'Evosep1',  'Evosep 1'); </v>
      </c>
    </row>
    <row r="243" spans="1:15" x14ac:dyDescent="0.15">
      <c r="A243" s="11" t="s">
        <v>21</v>
      </c>
      <c r="B243" s="11"/>
      <c r="C243" s="6" t="s">
        <v>1332</v>
      </c>
      <c r="D243" s="6" t="s">
        <v>1333</v>
      </c>
      <c r="E243" s="6" t="s">
        <v>17</v>
      </c>
      <c r="F243" s="6" t="s">
        <v>145</v>
      </c>
      <c r="G243" s="6" t="s">
        <v>2613</v>
      </c>
      <c r="H243" s="6" t="str">
        <f t="shared" si="16"/>
        <v>att_lc_system</v>
      </c>
      <c r="I243" s="6" t="s">
        <v>1332</v>
      </c>
      <c r="J243" s="6" t="str">
        <f t="shared" si="17"/>
        <v>att_lc_system:vanquishneo1</v>
      </c>
      <c r="K243" s="11" t="s">
        <v>21</v>
      </c>
      <c r="L243" s="6" t="s">
        <v>1333</v>
      </c>
      <c r="M243" s="6" t="s">
        <v>17</v>
      </c>
      <c r="N243" s="6" t="str">
        <f t="shared" si="18"/>
        <v>INSERT INTO attributes (parent_id, tag, name, priority, allow_as_filter, allow_for_dataset, allow_for_measurement, allow_for_users, allow_for_qc) VALUES (NULL, 'att_lc_system',  'LC System',  500,  TRUE, TRUE, TRUE, FALSE, FALSE);</v>
      </c>
      <c r="O243" s="6" t="str">
        <f t="shared" si="19"/>
        <v xml:space="preserve">INSERT INTO attribute_values (attribute_id, tag, name, details) VALUES ((SELECT id FROM attributes WHERE tag = 'att_lc_system' LIMIT 1),  'att_lc_system:vanquishneo1',  'Vanquish Neo1',  'Vanquish Neo1'); </v>
      </c>
    </row>
    <row r="244" spans="1:15" x14ac:dyDescent="0.15">
      <c r="A244" s="12" t="b">
        <f>FALSE()</f>
        <v>0</v>
      </c>
      <c r="B244" s="12"/>
      <c r="C244" s="6" t="s">
        <v>1827</v>
      </c>
      <c r="D244" s="6" t="s">
        <v>1829</v>
      </c>
      <c r="E244" s="6" t="s">
        <v>17</v>
      </c>
      <c r="F244" s="6" t="s">
        <v>2614</v>
      </c>
      <c r="G244" s="6" t="s">
        <v>2615</v>
      </c>
      <c r="H244" s="6" t="str">
        <f t="shared" si="16"/>
        <v>att_mockup</v>
      </c>
      <c r="I244" s="6" t="s">
        <v>1827</v>
      </c>
      <c r="J244" s="6" t="str">
        <f t="shared" si="17"/>
        <v>att_mockup:arbitrary</v>
      </c>
      <c r="K244" s="11" t="s">
        <v>21</v>
      </c>
      <c r="L244" s="6" t="s">
        <v>1830</v>
      </c>
      <c r="M244" s="6" t="s">
        <v>17</v>
      </c>
      <c r="N244" s="6" t="str">
        <f t="shared" si="18"/>
        <v>INSERT INTO attributes (parent_id, tag, name, priority, allow_as_filter, allow_for_dataset, allow_for_measurement, allow_for_users, allow_for_qc) VALUES (NULL, 'att_mockup',  'Mockup',  500,  TRUE, TRUE, TRUE, FALSE, FALSE);</v>
      </c>
      <c r="O244" s="6" t="str">
        <f t="shared" si="19"/>
        <v xml:space="preserve">INSERT INTO attribute_values (attribute_id, tag, name, details) VALUES ((SELECT id FROM attributes WHERE tag = 'att_mockup' LIMIT 1),  'att_mockup:arbitrary',  'Arbitrary',  'Mock categorie that can be used'); </v>
      </c>
    </row>
    <row r="245" spans="1:15" x14ac:dyDescent="0.15">
      <c r="A245" s="12" t="b">
        <f>FALSE()</f>
        <v>0</v>
      </c>
      <c r="B245" s="12"/>
      <c r="C245" s="6" t="s">
        <v>1831</v>
      </c>
      <c r="D245" s="6" t="s">
        <v>1832</v>
      </c>
      <c r="E245" s="6" t="s">
        <v>17</v>
      </c>
      <c r="F245" s="6" t="s">
        <v>2614</v>
      </c>
      <c r="G245" s="6" t="s">
        <v>2615</v>
      </c>
      <c r="H245" s="6" t="str">
        <f t="shared" si="16"/>
        <v>att_mockup</v>
      </c>
      <c r="I245" s="6" t="s">
        <v>1831</v>
      </c>
      <c r="J245" s="6" t="str">
        <f t="shared" si="17"/>
        <v>att_mockup:random</v>
      </c>
      <c r="K245" s="11" t="s">
        <v>21</v>
      </c>
      <c r="L245" s="6" t="s">
        <v>1830</v>
      </c>
      <c r="M245" s="6" t="s">
        <v>17</v>
      </c>
      <c r="N245" s="6" t="str">
        <f t="shared" si="18"/>
        <v>INSERT INTO attributes (parent_id, tag, name, priority, allow_as_filter, allow_for_dataset, allow_for_measurement, allow_for_users, allow_for_qc) VALUES (NULL, 'att_mockup',  'Mockup',  500,  TRUE, TRUE, TRUE, FALSE, FALSE);</v>
      </c>
      <c r="O245" s="6" t="str">
        <f t="shared" si="19"/>
        <v xml:space="preserve">INSERT INTO attribute_values (attribute_id, tag, name, details) VALUES ((SELECT id FROM attributes WHERE tag = 'att_mockup' LIMIT 1),  'att_mockup:random',  'Random',  'Mock categorie that can be used'); </v>
      </c>
    </row>
    <row r="246" spans="1:15" x14ac:dyDescent="0.15">
      <c r="A246" s="12" t="b">
        <f>FALSE()</f>
        <v>0</v>
      </c>
      <c r="B246" s="12"/>
      <c r="C246" s="6" t="s">
        <v>2616</v>
      </c>
      <c r="D246" s="6" t="s">
        <v>1834</v>
      </c>
      <c r="E246" s="6" t="s">
        <v>17</v>
      </c>
      <c r="F246" s="6" t="s">
        <v>157</v>
      </c>
      <c r="G246" s="6" t="s">
        <v>2617</v>
      </c>
      <c r="H246" s="6" t="str">
        <f t="shared" si="16"/>
        <v>att_model</v>
      </c>
      <c r="I246" s="6" t="s">
        <v>1833</v>
      </c>
      <c r="J246" s="6" t="str">
        <f t="shared" si="17"/>
        <v>att_model:in_vitro</v>
      </c>
      <c r="K246" s="11" t="s">
        <v>21</v>
      </c>
      <c r="L246" s="6" t="s">
        <v>1835</v>
      </c>
      <c r="M246" s="6" t="s">
        <v>17</v>
      </c>
      <c r="N246" s="6" t="str">
        <f t="shared" si="18"/>
        <v>INSERT INTO attributes (parent_id, tag, name, priority, allow_as_filter, allow_for_dataset, allow_for_measurement, allow_for_users, allow_for_qc) VALUES (NULL, 'att_model',  'Model',  500,  TRUE, TRUE, TRUE, FALSE, FALSE);</v>
      </c>
      <c r="O246" s="6" t="str">
        <f t="shared" si="19"/>
        <v xml:space="preserve">INSERT INTO attribute_values (attribute_id, tag, name, details) VALUES ((SELECT id FROM attributes WHERE tag = 'att_model' LIMIT 1),  'att_model:in_vitro',  'In vitro',  'in the glass'); </v>
      </c>
    </row>
    <row r="247" spans="1:15" x14ac:dyDescent="0.15">
      <c r="A247" s="12" t="b">
        <f>FALSE()</f>
        <v>0</v>
      </c>
      <c r="B247" s="12"/>
      <c r="C247" s="6" t="s">
        <v>2618</v>
      </c>
      <c r="D247" s="6" t="s">
        <v>1837</v>
      </c>
      <c r="E247" s="6" t="s">
        <v>17</v>
      </c>
      <c r="F247" s="6" t="s">
        <v>157</v>
      </c>
      <c r="G247" s="6" t="s">
        <v>2617</v>
      </c>
      <c r="H247" s="6" t="str">
        <f t="shared" si="16"/>
        <v>att_model</v>
      </c>
      <c r="I247" s="6" t="s">
        <v>1836</v>
      </c>
      <c r="J247" s="6" t="str">
        <f t="shared" si="17"/>
        <v>att_model:in_vivo</v>
      </c>
      <c r="K247" s="11" t="s">
        <v>21</v>
      </c>
      <c r="L247" s="6" t="s">
        <v>1838</v>
      </c>
      <c r="M247" s="6" t="s">
        <v>17</v>
      </c>
      <c r="N247" s="6" t="str">
        <f t="shared" si="18"/>
        <v>INSERT INTO attributes (parent_id, tag, name, priority, allow_as_filter, allow_for_dataset, allow_for_measurement, allow_for_users, allow_for_qc) VALUES (NULL, 'att_model',  'Model',  500,  TRUE, TRUE, TRUE, FALSE, FALSE);</v>
      </c>
      <c r="O247" s="6" t="str">
        <f t="shared" si="19"/>
        <v xml:space="preserve">INSERT INTO attribute_values (attribute_id, tag, name, details) VALUES ((SELECT id FROM attributes WHERE tag = 'att_model' LIMIT 1),  'att_model:in_vivo',  'In vivo',  'within the living'); </v>
      </c>
    </row>
    <row r="248" spans="1:15" x14ac:dyDescent="0.15">
      <c r="A248" s="12" t="b">
        <f>FALSE()</f>
        <v>0</v>
      </c>
      <c r="B248" s="12"/>
      <c r="C248" s="6" t="s">
        <v>1839</v>
      </c>
      <c r="D248" s="6" t="s">
        <v>1839</v>
      </c>
      <c r="E248" s="6" t="s">
        <v>17</v>
      </c>
      <c r="F248" s="6" t="s">
        <v>157</v>
      </c>
      <c r="G248" s="6" t="s">
        <v>2617</v>
      </c>
      <c r="H248" s="6" t="str">
        <f t="shared" si="16"/>
        <v>att_model</v>
      </c>
      <c r="I248" s="6" t="s">
        <v>1839</v>
      </c>
      <c r="J248" s="6" t="str">
        <f t="shared" si="17"/>
        <v>att_model:xenografts</v>
      </c>
      <c r="K248" s="11" t="s">
        <v>21</v>
      </c>
      <c r="L248" s="6" t="s">
        <v>1840</v>
      </c>
      <c r="M248" s="6" t="s">
        <v>17</v>
      </c>
      <c r="N248" s="6" t="str">
        <f t="shared" si="18"/>
        <v>INSERT INTO attributes (parent_id, tag, name, priority, allow_as_filter, allow_for_dataset, allow_for_measurement, allow_for_users, allow_for_qc) VALUES (NULL, 'att_model',  'Model',  500,  TRUE, TRUE, TRUE, FALSE, FALSE);</v>
      </c>
      <c r="O248" s="6" t="str">
        <f t="shared" si="19"/>
        <v xml:space="preserve">INSERT INTO attribute_values (attribute_id, tag, name, details) VALUES ((SELECT id FROM attributes WHERE tag = 'att_model' LIMIT 1),  'att_model:xenografts',  'xenografts',  'Tissue or cells implanted into a model animal'); </v>
      </c>
    </row>
    <row r="249" spans="1:15" x14ac:dyDescent="0.15">
      <c r="A249" s="12"/>
      <c r="B249" s="12"/>
      <c r="K249" s="11"/>
    </row>
    <row r="250" spans="1:15" x14ac:dyDescent="0.15">
      <c r="A250" s="12"/>
      <c r="B250" s="12"/>
      <c r="C250" s="6" t="s">
        <v>2619</v>
      </c>
      <c r="D250" s="6" t="s">
        <v>703</v>
      </c>
      <c r="F250" s="6" t="s">
        <v>68</v>
      </c>
      <c r="G250" s="6" t="s">
        <v>2620</v>
      </c>
      <c r="H250" s="6" t="str">
        <f t="shared" ref="H250:H255" si="20">"att_"&amp;G250</f>
        <v>att_column_type</v>
      </c>
      <c r="I250" s="6" t="s">
        <v>702</v>
      </c>
      <c r="J250" s="6" t="str">
        <f t="shared" ref="J250:J255" si="21">H250&amp;":"&amp;I250</f>
        <v>att_column_type:aurora</v>
      </c>
      <c r="K250" s="11"/>
      <c r="L250" s="6" t="s">
        <v>704</v>
      </c>
      <c r="N250" s="6" t="str">
        <f>"INSERT INTO attributes (parent_id, tag, name, priority, allow_as_filter, allow_for_dataset, allow_for_measurement, allow_for_users, allow_for_qc) VALUES (NULL, '"&amp;H250&amp;"',  '"&amp;F250&amp;"',  500,  TRUE, TRUE, TRUE, FALSE, FALSE);"</f>
        <v>INSERT INTO attributes (parent_id, tag, name, priority, allow_as_filter, allow_for_dataset, allow_for_measurement, allow_for_users, allow_for_qc) VALUES (NULL, 'att_column_type',  'Column Type',  500,  TRUE, TRUE, TRUE, FALSE, FALSE);</v>
      </c>
    </row>
    <row r="251" spans="1:15" x14ac:dyDescent="0.15">
      <c r="A251" s="12"/>
      <c r="B251" s="12"/>
      <c r="C251" s="6" t="s">
        <v>2621</v>
      </c>
      <c r="D251" s="6" t="s">
        <v>709</v>
      </c>
      <c r="F251" s="6" t="s">
        <v>68</v>
      </c>
      <c r="G251" s="6" t="s">
        <v>2620</v>
      </c>
      <c r="H251" s="6" t="str">
        <f t="shared" si="20"/>
        <v>att_column_type</v>
      </c>
      <c r="I251" s="6" t="s">
        <v>708</v>
      </c>
      <c r="J251" s="6" t="str">
        <f t="shared" si="21"/>
        <v>att_column_type:inhouse</v>
      </c>
      <c r="K251" s="11"/>
      <c r="L251" s="6" t="s">
        <v>710</v>
      </c>
      <c r="N251" s="6" t="str">
        <f>"INSERT INTO attributes (parent_id, tag, name, priority, allow_as_filter, allow_for_dataset, allow_for_measurement, allow_for_users, allow_for_qc) VALUES (NULL, '"&amp;H251&amp;"',  '"&amp;F251&amp;"',  500,  TRUE, TRUE, TRUE, FALSE, FALSE);"</f>
        <v>INSERT INTO attributes (parent_id, tag, name, priority, allow_as_filter, allow_for_dataset, allow_for_measurement, allow_for_users, allow_for_qc) VALUES (NULL, 'att_column_type',  'Column Type',  500,  TRUE, TRUE, TRUE, FALSE, FALSE);</v>
      </c>
    </row>
    <row r="252" spans="1:15" x14ac:dyDescent="0.15">
      <c r="B252" s="12"/>
      <c r="C252" s="6" t="s">
        <v>2622</v>
      </c>
      <c r="D252" s="6" t="s">
        <v>706</v>
      </c>
      <c r="F252" s="6" t="s">
        <v>68</v>
      </c>
      <c r="G252" s="6" t="s">
        <v>2620</v>
      </c>
      <c r="H252" s="6" t="str">
        <f t="shared" si="20"/>
        <v>att_column_type</v>
      </c>
      <c r="I252" s="6" t="s">
        <v>705</v>
      </c>
      <c r="J252" s="6" t="str">
        <f t="shared" si="21"/>
        <v>att_column_type:easyspray</v>
      </c>
      <c r="K252" s="11"/>
      <c r="L252" s="6" t="s">
        <v>707</v>
      </c>
    </row>
    <row r="253" spans="1:15" x14ac:dyDescent="0.15">
      <c r="A253" s="12"/>
      <c r="B253" s="12"/>
      <c r="C253" s="6" t="s">
        <v>2623</v>
      </c>
      <c r="D253" s="6" t="s">
        <v>718</v>
      </c>
      <c r="F253" s="6" t="s">
        <v>68</v>
      </c>
      <c r="G253" s="6" t="s">
        <v>2620</v>
      </c>
      <c r="H253" s="6" t="str">
        <f t="shared" si="20"/>
        <v>att_column_type</v>
      </c>
      <c r="I253" s="6" t="s">
        <v>717</v>
      </c>
      <c r="J253" s="6" t="str">
        <f t="shared" si="21"/>
        <v>att_column_type:upac_neo</v>
      </c>
      <c r="K253" s="11"/>
      <c r="L253" s="6" t="s">
        <v>719</v>
      </c>
    </row>
    <row r="254" spans="1:15" x14ac:dyDescent="0.15">
      <c r="A254" s="12"/>
      <c r="B254" s="12"/>
      <c r="C254" s="6" t="s">
        <v>2624</v>
      </c>
      <c r="D254" s="16" t="s">
        <v>712</v>
      </c>
      <c r="F254" s="6" t="s">
        <v>68</v>
      </c>
      <c r="G254" s="6" t="s">
        <v>2620</v>
      </c>
      <c r="H254" s="6" t="str">
        <f t="shared" si="20"/>
        <v>att_column_type</v>
      </c>
      <c r="I254" s="6" t="s">
        <v>711</v>
      </c>
      <c r="J254" s="6" t="str">
        <f t="shared" si="21"/>
        <v>att_column_type:upac_doubleviper</v>
      </c>
      <c r="K254" s="11"/>
      <c r="L254" s="6" t="s">
        <v>713</v>
      </c>
    </row>
    <row r="255" spans="1:15" x14ac:dyDescent="0.15">
      <c r="A255" s="12"/>
      <c r="B255" s="12"/>
      <c r="C255" s="6" t="s">
        <v>2623</v>
      </c>
      <c r="D255" s="16" t="s">
        <v>715</v>
      </c>
      <c r="F255" s="6" t="s">
        <v>68</v>
      </c>
      <c r="G255" s="6" t="s">
        <v>2620</v>
      </c>
      <c r="H255" s="6" t="str">
        <f t="shared" si="20"/>
        <v>att_column_type</v>
      </c>
      <c r="I255" s="6" t="s">
        <v>714</v>
      </c>
      <c r="J255" s="6" t="str">
        <f t="shared" si="21"/>
        <v>att_column_type:upac_low_loadneo</v>
      </c>
      <c r="K255" s="11"/>
      <c r="L255" s="6" t="s">
        <v>716</v>
      </c>
    </row>
    <row r="256" spans="1:15" x14ac:dyDescent="0.15">
      <c r="A256" s="12"/>
      <c r="B256" s="12"/>
      <c r="D256" s="16"/>
      <c r="K256" s="11"/>
    </row>
    <row r="257" spans="1:15" x14ac:dyDescent="0.15">
      <c r="A257" s="11" t="s">
        <v>21</v>
      </c>
      <c r="B257" s="11"/>
      <c r="C257" s="6" t="s">
        <v>2625</v>
      </c>
      <c r="D257" s="6" t="s">
        <v>2626</v>
      </c>
      <c r="E257" s="6" t="s">
        <v>17</v>
      </c>
      <c r="F257" s="6" t="s">
        <v>2627</v>
      </c>
      <c r="G257" s="6" t="s">
        <v>2628</v>
      </c>
      <c r="H257" s="6" t="str">
        <f t="shared" ref="H257:H262" si="22">"att_"&amp;G257</f>
        <v>att_mslc_column_configuration</v>
      </c>
      <c r="I257" s="6" t="s">
        <v>683</v>
      </c>
      <c r="J257" s="6" t="str">
        <f t="shared" ref="J257:J262" si="23">H257&amp;":"&amp;I257</f>
        <v>att_mslc_column_configuration:15cm</v>
      </c>
      <c r="K257" s="11" t="s">
        <v>21</v>
      </c>
      <c r="L257" s="6" t="s">
        <v>2629</v>
      </c>
      <c r="M257" s="6" t="s">
        <v>17</v>
      </c>
      <c r="N257" s="6" t="str">
        <f t="shared" ref="N257:N262" si="24">"INSERT INTO attributes (parent_id, tag, name, priority, allow_as_filter, allow_for_dataset, allow_for_measurement, allow_for_users, allow_for_qc) VALUES (NULL, '"&amp;H257&amp;"',  '"&amp;F257&amp;"',  500,  TRUE, TRUE, TRUE, FALSE, FALSE);"</f>
        <v>INSERT INTO attributes (parent_id, tag, name, priority, allow_as_filter, allow_for_dataset, allow_for_measurement, allow_for_users, allow_for_qc) VALUES (NULL, 'att_mslc_column_configuration',  'LC Column Configuration',  500,  TRUE, TRUE, TRUE, FALSE, FALSE);</v>
      </c>
      <c r="O257" s="6" t="str">
        <f t="shared" ref="O257:O262" si="25">"INSERT INTO attribute_values (attribute_id, tag, name, details) VALUES ((SELECT id FROM attributes WHERE tag = '"&amp;H257&amp;"' LIMIT 1),  '"&amp;J257&amp;"',  '"&amp;D257&amp;"',  '"&amp;L257&amp;"'); "</f>
        <v xml:space="preserve">INSERT INTO attribute_values (attribute_id, tag, name, details) VALUES ((SELECT id FROM attributes WHERE tag = 'att_mslc_column_configuration' LIMIT 1),  'att_mslc_column_configuration:15cm',  'Auroa 15 cm',  'Auroa 15 cm MS Column'); </v>
      </c>
    </row>
    <row r="258" spans="1:15" x14ac:dyDescent="0.15">
      <c r="A258" s="11" t="s">
        <v>21</v>
      </c>
      <c r="B258" s="11"/>
      <c r="C258" s="6" t="s">
        <v>2630</v>
      </c>
      <c r="D258" s="6" t="s">
        <v>2631</v>
      </c>
      <c r="E258" s="6" t="s">
        <v>17</v>
      </c>
      <c r="F258" s="6" t="s">
        <v>2627</v>
      </c>
      <c r="G258" s="6" t="s">
        <v>2628</v>
      </c>
      <c r="H258" s="6" t="str">
        <f t="shared" si="22"/>
        <v>att_mslc_column_configuration</v>
      </c>
      <c r="I258" s="6" t="s">
        <v>2632</v>
      </c>
      <c r="J258" s="6" t="str">
        <f t="shared" si="23"/>
        <v>att_mslc_column_configuration:25cm</v>
      </c>
      <c r="K258" s="11" t="s">
        <v>21</v>
      </c>
      <c r="L258" s="6" t="s">
        <v>2633</v>
      </c>
      <c r="M258" s="6" t="s">
        <v>17</v>
      </c>
      <c r="N258" s="6" t="str">
        <f t="shared" si="24"/>
        <v>INSERT INTO attributes (parent_id, tag, name, priority, allow_as_filter, allow_for_dataset, allow_for_measurement, allow_for_users, allow_for_qc) VALUES (NULL, 'att_mslc_column_configuration',  'LC Column Configuration',  500,  TRUE, TRUE, TRUE, FALSE, FALSE);</v>
      </c>
      <c r="O258" s="6" t="str">
        <f t="shared" si="25"/>
        <v xml:space="preserve">INSERT INTO attribute_values (attribute_id, tag, name, details) VALUES ((SELECT id FROM attributes WHERE tag = 'att_mslc_column_configuration' LIMIT 1),  'att_mslc_column_configuration:25cm',  'Auroa 25 cm',  'Auroa 25 cm MS Column'); </v>
      </c>
    </row>
    <row r="259" spans="1:15" x14ac:dyDescent="0.15">
      <c r="A259" s="11" t="s">
        <v>21</v>
      </c>
      <c r="B259" s="11"/>
      <c r="C259" s="6" t="s">
        <v>2634</v>
      </c>
      <c r="D259" s="6" t="s">
        <v>2635</v>
      </c>
      <c r="E259" s="6" t="s">
        <v>17</v>
      </c>
      <c r="F259" s="6" t="s">
        <v>2627</v>
      </c>
      <c r="G259" s="6" t="s">
        <v>2628</v>
      </c>
      <c r="H259" s="6" t="str">
        <f t="shared" si="22"/>
        <v>att_mslc_column_configuration</v>
      </c>
      <c r="I259" s="6" t="s">
        <v>685</v>
      </c>
      <c r="J259" s="6" t="str">
        <f t="shared" si="23"/>
        <v>att_mslc_column_configuration:30cm</v>
      </c>
      <c r="K259" s="11" t="s">
        <v>21</v>
      </c>
      <c r="L259" s="6" t="s">
        <v>2636</v>
      </c>
      <c r="M259" s="6" t="s">
        <v>17</v>
      </c>
      <c r="N259" s="6" t="str">
        <f t="shared" si="24"/>
        <v>INSERT INTO attributes (parent_id, tag, name, priority, allow_as_filter, allow_for_dataset, allow_for_measurement, allow_for_users, allow_for_qc) VALUES (NULL, 'att_mslc_column_configuration',  'LC Column Configuration',  500,  TRUE, TRUE, TRUE, FALSE, FALSE);</v>
      </c>
      <c r="O259" s="6" t="str">
        <f t="shared" si="25"/>
        <v xml:space="preserve">INSERT INTO attribute_values (attribute_id, tag, name, details) VALUES ((SELECT id FROM attributes WHERE tag = 'att_mslc_column_configuration' LIMIT 1),  'att_mslc_column_configuration:30cm',  'Auroa 30 cm',  'Auroa 30 cm MS Column'); </v>
      </c>
    </row>
    <row r="260" spans="1:15" x14ac:dyDescent="0.15">
      <c r="A260" s="11" t="s">
        <v>21</v>
      </c>
      <c r="B260" s="11"/>
      <c r="C260" s="6" t="s">
        <v>2637</v>
      </c>
      <c r="D260" s="6" t="s">
        <v>2638</v>
      </c>
      <c r="E260" s="6" t="s">
        <v>17</v>
      </c>
      <c r="F260" s="6" t="s">
        <v>2627</v>
      </c>
      <c r="G260" s="6" t="s">
        <v>2628</v>
      </c>
      <c r="H260" s="6" t="str">
        <f t="shared" si="22"/>
        <v>att_mslc_column_configuration</v>
      </c>
      <c r="I260" s="6" t="s">
        <v>687</v>
      </c>
      <c r="J260" s="6" t="str">
        <f t="shared" si="23"/>
        <v>att_mslc_column_configuration:50cm</v>
      </c>
      <c r="K260" s="11" t="s">
        <v>21</v>
      </c>
      <c r="L260" s="6" t="s">
        <v>2639</v>
      </c>
      <c r="M260" s="6" t="s">
        <v>17</v>
      </c>
      <c r="N260" s="6" t="str">
        <f t="shared" si="24"/>
        <v>INSERT INTO attributes (parent_id, tag, name, priority, allow_as_filter, allow_for_dataset, allow_for_measurement, allow_for_users, allow_for_qc) VALUES (NULL, 'att_mslc_column_configuration',  'LC Column Configuration',  500,  TRUE, TRUE, TRUE, FALSE, FALSE);</v>
      </c>
      <c r="O260" s="6" t="str">
        <f t="shared" si="25"/>
        <v xml:space="preserve">INSERT INTO attribute_values (attribute_id, tag, name, details) VALUES ((SELECT id FROM attributes WHERE tag = 'att_mslc_column_configuration' LIMIT 1),  'att_mslc_column_configuration:50cm',  'Auroa 50 cm',  'Auroa 50 cm MS Column'); </v>
      </c>
    </row>
    <row r="261" spans="1:15" x14ac:dyDescent="0.15">
      <c r="A261" s="11" t="s">
        <v>21</v>
      </c>
      <c r="B261" s="12"/>
      <c r="C261" s="6" t="s">
        <v>2640</v>
      </c>
      <c r="D261" s="6" t="s">
        <v>2641</v>
      </c>
      <c r="E261" s="6" t="s">
        <v>17</v>
      </c>
      <c r="F261" s="6" t="s">
        <v>2627</v>
      </c>
      <c r="G261" s="6" t="s">
        <v>2628</v>
      </c>
      <c r="H261" s="6" t="str">
        <f t="shared" si="22"/>
        <v>att_mslc_column_configuration</v>
      </c>
      <c r="I261" s="6" t="s">
        <v>2640</v>
      </c>
      <c r="J261" s="6" t="str">
        <f t="shared" si="23"/>
        <v>att_mslc_column_configuration:column_inhouse</v>
      </c>
      <c r="K261" s="11" t="s">
        <v>21</v>
      </c>
      <c r="L261" s="6" t="s">
        <v>2642</v>
      </c>
      <c r="M261" s="6" t="s">
        <v>17</v>
      </c>
      <c r="N261" s="6" t="str">
        <f t="shared" si="24"/>
        <v>INSERT INTO attributes (parent_id, tag, name, priority, allow_as_filter, allow_for_dataset, allow_for_measurement, allow_for_users, allow_for_qc) VALUES (NULL, 'att_mslc_column_configuration',  'LC Column Configuration',  500,  TRUE, TRUE, TRUE, FALSE, FALSE);</v>
      </c>
      <c r="O261" s="6" t="str">
        <f t="shared" si="25"/>
        <v xml:space="preserve">INSERT INTO attribute_values (attribute_id, tag, name, details) VALUES ((SELECT id FROM attributes WHERE tag = 'att_mslc_column_configuration' LIMIT 1),  'att_mslc_column_configuration:column_inhouse',  'In-house',  'In-House Column'); </v>
      </c>
    </row>
    <row r="262" spans="1:15" x14ac:dyDescent="0.15">
      <c r="A262" s="11" t="s">
        <v>21</v>
      </c>
      <c r="B262" s="12"/>
      <c r="C262" s="6" t="s">
        <v>2643</v>
      </c>
      <c r="D262" s="6" t="s">
        <v>2644</v>
      </c>
      <c r="E262" s="6" t="s">
        <v>17</v>
      </c>
      <c r="F262" s="6" t="s">
        <v>2627</v>
      </c>
      <c r="G262" s="6" t="s">
        <v>2628</v>
      </c>
      <c r="H262" s="6" t="str">
        <f t="shared" si="22"/>
        <v>att_mslc_column_configuration</v>
      </c>
      <c r="I262" s="6" t="s">
        <v>2643</v>
      </c>
      <c r="J262" s="6" t="str">
        <f t="shared" si="23"/>
        <v>att_mslc_column_configuration:trap</v>
      </c>
      <c r="K262" s="11" t="s">
        <v>21</v>
      </c>
      <c r="L262" s="6" t="s">
        <v>2645</v>
      </c>
      <c r="M262" s="6" t="s">
        <v>17</v>
      </c>
      <c r="N262" s="6" t="str">
        <f t="shared" si="24"/>
        <v>INSERT INTO attributes (parent_id, tag, name, priority, allow_as_filter, allow_for_dataset, allow_for_measurement, allow_for_users, allow_for_qc) VALUES (NULL, 'att_mslc_column_configuration',  'LC Column Configuration',  500,  TRUE, TRUE, TRUE, FALSE, FALSE);</v>
      </c>
      <c r="O262" s="6" t="str">
        <f t="shared" si="25"/>
        <v xml:space="preserve">INSERT INTO attribute_values (attribute_id, tag, name, details) VALUES ((SELECT id FROM attributes WHERE tag = 'att_mslc_column_configuration' LIMIT 1),  'att_mslc_column_configuration:trap',  'Trap',  'MS-Setting: Trap'); </v>
      </c>
    </row>
    <row r="263" spans="1:15" x14ac:dyDescent="0.15">
      <c r="A263" s="11"/>
      <c r="B263" s="12"/>
      <c r="K263" s="11"/>
    </row>
    <row r="264" spans="1:15" s="14" customFormat="1" x14ac:dyDescent="0.15">
      <c r="A264" s="15" t="s">
        <v>19</v>
      </c>
      <c r="B264" s="13"/>
      <c r="C264" s="14" t="s">
        <v>1859</v>
      </c>
      <c r="D264" s="14" t="s">
        <v>1860</v>
      </c>
      <c r="E264" s="14" t="s">
        <v>17</v>
      </c>
      <c r="G264" s="14" t="s">
        <v>2646</v>
      </c>
      <c r="H264" s="14" t="str">
        <f>"att_"&amp;G264</f>
        <v>att_ms_interface</v>
      </c>
      <c r="I264" s="14" t="s">
        <v>1859</v>
      </c>
      <c r="J264" s="14" t="str">
        <f>H264&amp;":"&amp;I264</f>
        <v>att_ms_interface:faims</v>
      </c>
      <c r="K264" s="15" t="s">
        <v>21</v>
      </c>
      <c r="L264" s="14" t="s">
        <v>1861</v>
      </c>
      <c r="M264" s="14" t="s">
        <v>17</v>
      </c>
      <c r="N264" s="14" t="str">
        <f>"INSERT INTO attributes (parent_id, tag, name, priority, allow_as_filter, allow_for_dataset, allow_for_measurement, allow_for_users, allow_for_qc) VALUES (NULL, '"&amp;H264&amp;"',  '"&amp;F264&amp;"',  500,  TRUE, TRUE, TRUE, FALSE, FALSE);"</f>
        <v>INSERT INTO attributes (parent_id, tag, name, priority, allow_as_filter, allow_for_dataset, allow_for_measurement, allow_for_users, allow_for_qc) VALUES (NULL, 'att_ms_interface',  '',  500,  TRUE, TRUE, TRUE, FALSE, FALSE);</v>
      </c>
      <c r="O264" s="14" t="str">
        <f>"INSERT INTO attribute_values (attribute_id, tag, name, details) VALUES ((SELECT id FROM attributes WHERE tag = '"&amp;H264&amp;"' LIMIT 1),  '"&amp;J264&amp;"',  '"&amp;D264&amp;"',  '"&amp;L264&amp;"'); "</f>
        <v xml:space="preserve">INSERT INTO attribute_values (attribute_id, tag, name, details) VALUES ((SELECT id FROM attributes WHERE tag = 'att_ms_interface' LIMIT 1),  'att_ms_interface:faims',  'Faims',  'FAIMS module attached to the mass spectrometer. Please specify the CV value'); </v>
      </c>
    </row>
    <row r="265" spans="1:15" s="14" customFormat="1" x14ac:dyDescent="0.15">
      <c r="A265" s="15"/>
      <c r="B265" s="13"/>
      <c r="C265" s="14" t="s">
        <v>2647</v>
      </c>
      <c r="D265" s="14" t="s">
        <v>1871</v>
      </c>
      <c r="F265" s="14" t="s">
        <v>161</v>
      </c>
      <c r="G265" s="14" t="s">
        <v>2648</v>
      </c>
      <c r="H265" s="14" t="str">
        <f>"att_"&amp;G265</f>
        <v>att_ms_ionsource</v>
      </c>
      <c r="I265" s="14" t="s">
        <v>1870</v>
      </c>
      <c r="J265" s="14" t="str">
        <f>H265&amp;":"&amp;I265</f>
        <v>att_ms_ionsource:ion_max</v>
      </c>
      <c r="K265" s="15"/>
      <c r="L265" s="14" t="s">
        <v>1872</v>
      </c>
    </row>
    <row r="266" spans="1:15" x14ac:dyDescent="0.15">
      <c r="A266" s="11"/>
      <c r="B266" s="12"/>
      <c r="C266" s="14" t="s">
        <v>2647</v>
      </c>
      <c r="D266" s="6" t="s">
        <v>1865</v>
      </c>
      <c r="F266" s="6" t="s">
        <v>161</v>
      </c>
      <c r="G266" s="14" t="s">
        <v>2648</v>
      </c>
      <c r="H266" s="14" t="str">
        <f>"att_"&amp;G266</f>
        <v>att_ms_ionsource</v>
      </c>
      <c r="I266" s="14" t="s">
        <v>1864</v>
      </c>
      <c r="J266" s="14" t="str">
        <f>H266&amp;":"&amp;I266</f>
        <v>att_ms_ionsource:easy_spray</v>
      </c>
      <c r="K266" s="11"/>
      <c r="L266" s="6" t="s">
        <v>1866</v>
      </c>
    </row>
    <row r="267" spans="1:15" x14ac:dyDescent="0.15">
      <c r="A267" s="11"/>
      <c r="B267" s="12"/>
      <c r="C267" s="14" t="s">
        <v>2647</v>
      </c>
      <c r="D267" s="6" t="s">
        <v>1868</v>
      </c>
      <c r="F267" s="6" t="s">
        <v>161</v>
      </c>
      <c r="G267" s="14" t="s">
        <v>2648</v>
      </c>
      <c r="H267" s="14" t="str">
        <f>"att_"&amp;G267</f>
        <v>att_ms_ionsource</v>
      </c>
      <c r="I267" s="14" t="s">
        <v>1867</v>
      </c>
      <c r="J267" s="14" t="str">
        <f>H267&amp;":"&amp;I267</f>
        <v>att_ms_ionsource:flex</v>
      </c>
      <c r="K267" s="11"/>
      <c r="L267" s="6" t="s">
        <v>1869</v>
      </c>
    </row>
    <row r="268" spans="1:15" x14ac:dyDescent="0.15">
      <c r="A268" s="11"/>
      <c r="B268" s="12"/>
      <c r="I268" s="14"/>
      <c r="J268" s="14"/>
      <c r="K268" s="11"/>
    </row>
    <row r="269" spans="1:15" x14ac:dyDescent="0.15">
      <c r="A269" s="12" t="b">
        <f>FALSE()</f>
        <v>0</v>
      </c>
      <c r="B269" s="12"/>
      <c r="C269" s="6" t="s">
        <v>2101</v>
      </c>
      <c r="D269" s="6" t="s">
        <v>2102</v>
      </c>
      <c r="E269" s="6" t="s">
        <v>17</v>
      </c>
      <c r="F269" s="6" t="s">
        <v>191</v>
      </c>
      <c r="G269" s="6" t="s">
        <v>2649</v>
      </c>
      <c r="H269" s="6" t="str">
        <f t="shared" ref="H269:H300" si="26">"att_"&amp;G269</f>
        <v>att_organ</v>
      </c>
      <c r="I269" s="6" t="s">
        <v>2101</v>
      </c>
      <c r="J269" s="6" t="str">
        <f t="shared" ref="J269:J300" si="27">H269&amp;":"&amp;I269</f>
        <v>att_organ:appendix</v>
      </c>
      <c r="K269" s="11" t="s">
        <v>21</v>
      </c>
      <c r="L269" s="6" t="s">
        <v>2102</v>
      </c>
      <c r="M269" s="6" t="s">
        <v>17</v>
      </c>
      <c r="N269" s="6" t="str">
        <f t="shared" ref="N269:N300" si="28">"INSERT INTO attributes (parent_id, tag, name, priority, allow_as_filter, allow_for_dataset, allow_for_measurement, allow_for_users, allow_for_qc) VALUES (NULL, '"&amp;H269&amp;"',  '"&amp;F269&amp;"',  500,  TRUE, TRUE, TRUE, FALSE, FALSE);"</f>
        <v>INSERT INTO attributes (parent_id, tag, name, priority, allow_as_filter, allow_for_dataset, allow_for_measurement, allow_for_users, allow_for_qc) VALUES (NULL, 'att_organ',  'Organ',  500,  TRUE, TRUE, TRUE, FALSE, FALSE);</v>
      </c>
      <c r="O269" s="6" t="str">
        <f t="shared" ref="O269:O300" si="29">"INSERT INTO attribute_values (attribute_id, tag, name, details) VALUES ((SELECT id FROM attributes WHERE tag = '"&amp;H269&amp;"' LIMIT 1),  '"&amp;J269&amp;"',  '"&amp;D269&amp;"',  '"&amp;L269&amp;"'); "</f>
        <v xml:space="preserve">INSERT INTO attribute_values (attribute_id, tag, name, details) VALUES ((SELECT id FROM attributes WHERE tag = 'att_organ' LIMIT 1),  'att_organ:appendix',  'Appendix',  'Appendix'); </v>
      </c>
    </row>
    <row r="270" spans="1:15" x14ac:dyDescent="0.15">
      <c r="A270" s="12" t="b">
        <f>FALSE()</f>
        <v>0</v>
      </c>
      <c r="B270" s="12"/>
      <c r="C270" s="6" t="s">
        <v>2103</v>
      </c>
      <c r="D270" s="6" t="s">
        <v>2104</v>
      </c>
      <c r="E270" s="6" t="s">
        <v>17</v>
      </c>
      <c r="F270" s="6" t="s">
        <v>191</v>
      </c>
      <c r="G270" s="6" t="s">
        <v>2649</v>
      </c>
      <c r="H270" s="6" t="str">
        <f t="shared" si="26"/>
        <v>att_organ</v>
      </c>
      <c r="I270" s="6" t="s">
        <v>2103</v>
      </c>
      <c r="J270" s="6" t="str">
        <f t="shared" si="27"/>
        <v>att_organ:arteries</v>
      </c>
      <c r="K270" s="11" t="s">
        <v>21</v>
      </c>
      <c r="L270" s="6" t="s">
        <v>2104</v>
      </c>
      <c r="M270" s="6" t="s">
        <v>17</v>
      </c>
      <c r="N270" s="6" t="str">
        <f t="shared" si="28"/>
        <v>INSERT INTO attributes (parent_id, tag, name, priority, allow_as_filter, allow_for_dataset, allow_for_measurement, allow_for_users, allow_for_qc) VALUES (NULL, 'att_organ',  'Organ',  500,  TRUE, TRUE, TRUE, FALSE, FALSE);</v>
      </c>
      <c r="O270" s="6" t="str">
        <f t="shared" si="29"/>
        <v xml:space="preserve">INSERT INTO attribute_values (attribute_id, tag, name, details) VALUES ((SELECT id FROM attributes WHERE tag = 'att_organ' LIMIT 1),  'att_organ:arteries',  'Arteries',  'Arteries'); </v>
      </c>
    </row>
    <row r="271" spans="1:15" x14ac:dyDescent="0.15">
      <c r="A271" s="12" t="b">
        <f>FALSE()</f>
        <v>0</v>
      </c>
      <c r="B271" s="12"/>
      <c r="C271" s="6" t="s">
        <v>2105</v>
      </c>
      <c r="D271" s="6" t="s">
        <v>2106</v>
      </c>
      <c r="E271" s="6" t="s">
        <v>17</v>
      </c>
      <c r="F271" s="6" t="s">
        <v>191</v>
      </c>
      <c r="G271" s="6" t="s">
        <v>2649</v>
      </c>
      <c r="H271" s="6" t="str">
        <f t="shared" si="26"/>
        <v>att_organ</v>
      </c>
      <c r="I271" s="6" t="s">
        <v>2105</v>
      </c>
      <c r="J271" s="6" t="str">
        <f t="shared" si="27"/>
        <v>att_organ:bladder</v>
      </c>
      <c r="K271" s="11" t="s">
        <v>21</v>
      </c>
      <c r="L271" s="6" t="s">
        <v>2106</v>
      </c>
      <c r="M271" s="6" t="s">
        <v>17</v>
      </c>
      <c r="N271" s="6" t="str">
        <f t="shared" si="28"/>
        <v>INSERT INTO attributes (parent_id, tag, name, priority, allow_as_filter, allow_for_dataset, allow_for_measurement, allow_for_users, allow_for_qc) VALUES (NULL, 'att_organ',  'Organ',  500,  TRUE, TRUE, TRUE, FALSE, FALSE);</v>
      </c>
      <c r="O271" s="6" t="str">
        <f t="shared" si="29"/>
        <v xml:space="preserve">INSERT INTO attribute_values (attribute_id, tag, name, details) VALUES ((SELECT id FROM attributes WHERE tag = 'att_organ' LIMIT 1),  'att_organ:bladder',  'Bladder',  'Bladder'); </v>
      </c>
    </row>
    <row r="272" spans="1:15" x14ac:dyDescent="0.15">
      <c r="A272" s="12" t="b">
        <f>FALSE()</f>
        <v>0</v>
      </c>
      <c r="B272" s="12"/>
      <c r="C272" s="6" t="s">
        <v>2107</v>
      </c>
      <c r="D272" s="6" t="s">
        <v>2108</v>
      </c>
      <c r="E272" s="6" t="s">
        <v>17</v>
      </c>
      <c r="F272" s="6" t="s">
        <v>191</v>
      </c>
      <c r="G272" s="6" t="s">
        <v>2649</v>
      </c>
      <c r="H272" s="6" t="str">
        <f t="shared" si="26"/>
        <v>att_organ</v>
      </c>
      <c r="I272" s="6" t="s">
        <v>2107</v>
      </c>
      <c r="J272" s="6" t="str">
        <f t="shared" si="27"/>
        <v>att_organ:bone_marrow</v>
      </c>
      <c r="K272" s="11" t="s">
        <v>21</v>
      </c>
      <c r="L272" s="6" t="s">
        <v>2108</v>
      </c>
      <c r="M272" s="6" t="s">
        <v>17</v>
      </c>
      <c r="N272" s="6" t="str">
        <f t="shared" si="28"/>
        <v>INSERT INTO attributes (parent_id, tag, name, priority, allow_as_filter, allow_for_dataset, allow_for_measurement, allow_for_users, allow_for_qc) VALUES (NULL, 'att_organ',  'Organ',  500,  TRUE, TRUE, TRUE, FALSE, FALSE);</v>
      </c>
      <c r="O272" s="6" t="str">
        <f t="shared" si="29"/>
        <v xml:space="preserve">INSERT INTO attribute_values (attribute_id, tag, name, details) VALUES ((SELECT id FROM attributes WHERE tag = 'att_organ' LIMIT 1),  'att_organ:bone_marrow',  'Bone_Marrow',  'Bone_Marrow'); </v>
      </c>
    </row>
    <row r="273" spans="1:15" x14ac:dyDescent="0.15">
      <c r="A273" s="12" t="b">
        <f>FALSE()</f>
        <v>0</v>
      </c>
      <c r="B273" s="12"/>
      <c r="C273" s="6" t="s">
        <v>2109</v>
      </c>
      <c r="D273" s="6" t="s">
        <v>2110</v>
      </c>
      <c r="E273" s="6" t="s">
        <v>17</v>
      </c>
      <c r="F273" s="6" t="s">
        <v>191</v>
      </c>
      <c r="G273" s="6" t="s">
        <v>2649</v>
      </c>
      <c r="H273" s="6" t="str">
        <f t="shared" si="26"/>
        <v>att_organ</v>
      </c>
      <c r="I273" s="6" t="s">
        <v>2109</v>
      </c>
      <c r="J273" s="6" t="str">
        <f t="shared" si="27"/>
        <v>att_organ:brain</v>
      </c>
      <c r="K273" s="11" t="s">
        <v>21</v>
      </c>
      <c r="L273" s="6" t="s">
        <v>2110</v>
      </c>
      <c r="M273" s="6" t="s">
        <v>17</v>
      </c>
      <c r="N273" s="6" t="str">
        <f t="shared" si="28"/>
        <v>INSERT INTO attributes (parent_id, tag, name, priority, allow_as_filter, allow_for_dataset, allow_for_measurement, allow_for_users, allow_for_qc) VALUES (NULL, 'att_organ',  'Organ',  500,  TRUE, TRUE, TRUE, FALSE, FALSE);</v>
      </c>
      <c r="O273" s="6" t="str">
        <f t="shared" si="29"/>
        <v xml:space="preserve">INSERT INTO attribute_values (attribute_id, tag, name, details) VALUES ((SELECT id FROM attributes WHERE tag = 'att_organ' LIMIT 1),  'att_organ:brain',  'Brain',  'Brain'); </v>
      </c>
    </row>
    <row r="274" spans="1:15" x14ac:dyDescent="0.15">
      <c r="A274" s="12" t="b">
        <f>FALSE()</f>
        <v>0</v>
      </c>
      <c r="B274" s="12"/>
      <c r="C274" s="6" t="s">
        <v>2111</v>
      </c>
      <c r="D274" s="6" t="s">
        <v>2112</v>
      </c>
      <c r="E274" s="6" t="s">
        <v>17</v>
      </c>
      <c r="F274" s="6" t="s">
        <v>191</v>
      </c>
      <c r="G274" s="6" t="s">
        <v>2649</v>
      </c>
      <c r="H274" s="6" t="str">
        <f t="shared" si="26"/>
        <v>att_organ</v>
      </c>
      <c r="I274" s="6" t="s">
        <v>2111</v>
      </c>
      <c r="J274" s="6" t="str">
        <f t="shared" si="27"/>
        <v>att_organ:bronchi</v>
      </c>
      <c r="K274" s="11" t="s">
        <v>21</v>
      </c>
      <c r="L274" s="6" t="s">
        <v>2112</v>
      </c>
      <c r="M274" s="6" t="s">
        <v>17</v>
      </c>
      <c r="N274" s="6" t="str">
        <f t="shared" si="28"/>
        <v>INSERT INTO attributes (parent_id, tag, name, priority, allow_as_filter, allow_for_dataset, allow_for_measurement, allow_for_users, allow_for_qc) VALUES (NULL, 'att_organ',  'Organ',  500,  TRUE, TRUE, TRUE, FALSE, FALSE);</v>
      </c>
      <c r="O274" s="6" t="str">
        <f t="shared" si="29"/>
        <v xml:space="preserve">INSERT INTO attribute_values (attribute_id, tag, name, details) VALUES ((SELECT id FROM attributes WHERE tag = 'att_organ' LIMIT 1),  'att_organ:bronchi',  'Bronchi',  'Bronchi'); </v>
      </c>
    </row>
    <row r="275" spans="1:15" x14ac:dyDescent="0.15">
      <c r="A275" s="12" t="b">
        <f>FALSE()</f>
        <v>0</v>
      </c>
      <c r="B275" s="12"/>
      <c r="C275" s="6" t="s">
        <v>2113</v>
      </c>
      <c r="D275" s="6" t="s">
        <v>2114</v>
      </c>
      <c r="E275" s="6" t="s">
        <v>17</v>
      </c>
      <c r="F275" s="6" t="s">
        <v>191</v>
      </c>
      <c r="G275" s="6" t="s">
        <v>2649</v>
      </c>
      <c r="H275" s="6" t="str">
        <f t="shared" si="26"/>
        <v>att_organ</v>
      </c>
      <c r="I275" s="6" t="s">
        <v>2113</v>
      </c>
      <c r="J275" s="6" t="str">
        <f t="shared" si="27"/>
        <v>att_organ:cecum</v>
      </c>
      <c r="K275" s="11" t="s">
        <v>21</v>
      </c>
      <c r="L275" s="6" t="s">
        <v>2114</v>
      </c>
      <c r="M275" s="6" t="s">
        <v>17</v>
      </c>
      <c r="N275" s="6" t="str">
        <f t="shared" si="28"/>
        <v>INSERT INTO attributes (parent_id, tag, name, priority, allow_as_filter, allow_for_dataset, allow_for_measurement, allow_for_users, allow_for_qc) VALUES (NULL, 'att_organ',  'Organ',  500,  TRUE, TRUE, TRUE, FALSE, FALSE);</v>
      </c>
      <c r="O275" s="6" t="str">
        <f t="shared" si="29"/>
        <v xml:space="preserve">INSERT INTO attribute_values (attribute_id, tag, name, details) VALUES ((SELECT id FROM attributes WHERE tag = 'att_organ' LIMIT 1),  'att_organ:cecum',  'Cecum',  'Cecum'); </v>
      </c>
    </row>
    <row r="276" spans="1:15" x14ac:dyDescent="0.15">
      <c r="A276" s="12" t="b">
        <f>FALSE()</f>
        <v>0</v>
      </c>
      <c r="B276" s="12"/>
      <c r="C276" s="6" t="s">
        <v>2115</v>
      </c>
      <c r="D276" s="6" t="s">
        <v>2116</v>
      </c>
      <c r="E276" s="6" t="s">
        <v>17</v>
      </c>
      <c r="F276" s="6" t="s">
        <v>191</v>
      </c>
      <c r="G276" s="6" t="s">
        <v>2649</v>
      </c>
      <c r="H276" s="6" t="str">
        <f t="shared" si="26"/>
        <v>att_organ</v>
      </c>
      <c r="I276" s="6" t="s">
        <v>2115</v>
      </c>
      <c r="J276" s="6" t="str">
        <f t="shared" si="27"/>
        <v>att_organ:cerebellum</v>
      </c>
      <c r="K276" s="11" t="s">
        <v>21</v>
      </c>
      <c r="L276" s="6" t="s">
        <v>2116</v>
      </c>
      <c r="M276" s="6" t="s">
        <v>17</v>
      </c>
      <c r="N276" s="6" t="str">
        <f t="shared" si="28"/>
        <v>INSERT INTO attributes (parent_id, tag, name, priority, allow_as_filter, allow_for_dataset, allow_for_measurement, allow_for_users, allow_for_qc) VALUES (NULL, 'att_organ',  'Organ',  500,  TRUE, TRUE, TRUE, FALSE, FALSE);</v>
      </c>
      <c r="O276" s="6" t="str">
        <f t="shared" si="29"/>
        <v xml:space="preserve">INSERT INTO attribute_values (attribute_id, tag, name, details) VALUES ((SELECT id FROM attributes WHERE tag = 'att_organ' LIMIT 1),  'att_organ:cerebellum',  'Cerebellum',  'Cerebellum'); </v>
      </c>
    </row>
    <row r="277" spans="1:15" x14ac:dyDescent="0.15">
      <c r="A277" s="12" t="b">
        <f>FALSE()</f>
        <v>0</v>
      </c>
      <c r="B277" s="12"/>
      <c r="C277" s="6" t="s">
        <v>2117</v>
      </c>
      <c r="D277" s="6" t="s">
        <v>2118</v>
      </c>
      <c r="E277" s="6" t="s">
        <v>17</v>
      </c>
      <c r="F277" s="6" t="s">
        <v>191</v>
      </c>
      <c r="G277" s="6" t="s">
        <v>2649</v>
      </c>
      <c r="H277" s="6" t="str">
        <f t="shared" si="26"/>
        <v>att_organ</v>
      </c>
      <c r="I277" s="6" t="s">
        <v>2117</v>
      </c>
      <c r="J277" s="6" t="str">
        <f t="shared" si="27"/>
        <v>att_organ:cerebrum</v>
      </c>
      <c r="K277" s="11" t="s">
        <v>21</v>
      </c>
      <c r="L277" s="6" t="s">
        <v>2118</v>
      </c>
      <c r="M277" s="6" t="s">
        <v>17</v>
      </c>
      <c r="N277" s="6" t="str">
        <f t="shared" si="28"/>
        <v>INSERT INTO attributes (parent_id, tag, name, priority, allow_as_filter, allow_for_dataset, allow_for_measurement, allow_for_users, allow_for_qc) VALUES (NULL, 'att_organ',  'Organ',  500,  TRUE, TRUE, TRUE, FALSE, FALSE);</v>
      </c>
      <c r="O277" s="6" t="str">
        <f t="shared" si="29"/>
        <v xml:space="preserve">INSERT INTO attribute_values (attribute_id, tag, name, details) VALUES ((SELECT id FROM attributes WHERE tag = 'att_organ' LIMIT 1),  'att_organ:cerebrum',  'Cerebrum',  'Cerebrum'); </v>
      </c>
    </row>
    <row r="278" spans="1:15" x14ac:dyDescent="0.15">
      <c r="A278" s="12" t="b">
        <f>FALSE()</f>
        <v>0</v>
      </c>
      <c r="B278" s="12"/>
      <c r="C278" s="6" t="s">
        <v>2119</v>
      </c>
      <c r="D278" s="6" t="s">
        <v>2120</v>
      </c>
      <c r="E278" s="6" t="s">
        <v>17</v>
      </c>
      <c r="F278" s="6" t="s">
        <v>191</v>
      </c>
      <c r="G278" s="6" t="s">
        <v>2649</v>
      </c>
      <c r="H278" s="6" t="str">
        <f t="shared" si="26"/>
        <v>att_organ</v>
      </c>
      <c r="I278" s="6" t="s">
        <v>2119</v>
      </c>
      <c r="J278" s="6" t="str">
        <f t="shared" si="27"/>
        <v>att_organ:ear</v>
      </c>
      <c r="K278" s="11" t="s">
        <v>21</v>
      </c>
      <c r="L278" s="6" t="s">
        <v>2120</v>
      </c>
      <c r="M278" s="6" t="s">
        <v>17</v>
      </c>
      <c r="N278" s="6" t="str">
        <f t="shared" si="28"/>
        <v>INSERT INTO attributes (parent_id, tag, name, priority, allow_as_filter, allow_for_dataset, allow_for_measurement, allow_for_users, allow_for_qc) VALUES (NULL, 'att_organ',  'Organ',  500,  TRUE, TRUE, TRUE, FALSE, FALSE);</v>
      </c>
      <c r="O278" s="6" t="str">
        <f t="shared" si="29"/>
        <v xml:space="preserve">INSERT INTO attribute_values (attribute_id, tag, name, details) VALUES ((SELECT id FROM attributes WHERE tag = 'att_organ' LIMIT 1),  'att_organ:ear',  'Ear',  'Ear'); </v>
      </c>
    </row>
    <row r="279" spans="1:15" x14ac:dyDescent="0.15">
      <c r="A279" s="12" t="b">
        <f>FALSE()</f>
        <v>0</v>
      </c>
      <c r="B279" s="12"/>
      <c r="C279" s="6" t="s">
        <v>2121</v>
      </c>
      <c r="D279" s="6" t="s">
        <v>2122</v>
      </c>
      <c r="E279" s="6" t="s">
        <v>17</v>
      </c>
      <c r="F279" s="6" t="s">
        <v>191</v>
      </c>
      <c r="G279" s="6" t="s">
        <v>2649</v>
      </c>
      <c r="H279" s="6" t="str">
        <f t="shared" si="26"/>
        <v>att_organ</v>
      </c>
      <c r="I279" s="6" t="s">
        <v>2121</v>
      </c>
      <c r="J279" s="6" t="str">
        <f t="shared" si="27"/>
        <v>att_organ:esophagus</v>
      </c>
      <c r="K279" s="11" t="s">
        <v>21</v>
      </c>
      <c r="L279" s="6" t="s">
        <v>2122</v>
      </c>
      <c r="M279" s="6" t="s">
        <v>17</v>
      </c>
      <c r="N279" s="6" t="str">
        <f t="shared" si="28"/>
        <v>INSERT INTO attributes (parent_id, tag, name, priority, allow_as_filter, allow_for_dataset, allow_for_measurement, allow_for_users, allow_for_qc) VALUES (NULL, 'att_organ',  'Organ',  500,  TRUE, TRUE, TRUE, FALSE, FALSE);</v>
      </c>
      <c r="O279" s="6" t="str">
        <f t="shared" si="29"/>
        <v xml:space="preserve">INSERT INTO attribute_values (attribute_id, tag, name, details) VALUES ((SELECT id FROM attributes WHERE tag = 'att_organ' LIMIT 1),  'att_organ:esophagus',  'Esophagus',  'Esophagus'); </v>
      </c>
    </row>
    <row r="280" spans="1:15" x14ac:dyDescent="0.15">
      <c r="A280" s="12" t="b">
        <f>FALSE()</f>
        <v>0</v>
      </c>
      <c r="B280" s="12"/>
      <c r="C280" s="6" t="s">
        <v>2123</v>
      </c>
      <c r="D280" s="6" t="s">
        <v>2124</v>
      </c>
      <c r="E280" s="6" t="s">
        <v>17</v>
      </c>
      <c r="F280" s="6" t="s">
        <v>191</v>
      </c>
      <c r="G280" s="6" t="s">
        <v>2649</v>
      </c>
      <c r="H280" s="6" t="str">
        <f t="shared" si="26"/>
        <v>att_organ</v>
      </c>
      <c r="I280" s="6" t="s">
        <v>2123</v>
      </c>
      <c r="J280" s="6" t="str">
        <f t="shared" si="27"/>
        <v>att_organ:eye</v>
      </c>
      <c r="K280" s="11" t="s">
        <v>21</v>
      </c>
      <c r="L280" s="6" t="s">
        <v>2124</v>
      </c>
      <c r="M280" s="6" t="s">
        <v>17</v>
      </c>
      <c r="N280" s="6" t="str">
        <f t="shared" si="28"/>
        <v>INSERT INTO attributes (parent_id, tag, name, priority, allow_as_filter, allow_for_dataset, allow_for_measurement, allow_for_users, allow_for_qc) VALUES (NULL, 'att_organ',  'Organ',  500,  TRUE, TRUE, TRUE, FALSE, FALSE);</v>
      </c>
      <c r="O280" s="6" t="str">
        <f t="shared" si="29"/>
        <v xml:space="preserve">INSERT INTO attribute_values (attribute_id, tag, name, details) VALUES ((SELECT id FROM attributes WHERE tag = 'att_organ' LIMIT 1),  'att_organ:eye',  'Eye',  'Eye'); </v>
      </c>
    </row>
    <row r="281" spans="1:15" x14ac:dyDescent="0.15">
      <c r="A281" s="12" t="b">
        <f>FALSE()</f>
        <v>0</v>
      </c>
      <c r="B281" s="12"/>
      <c r="C281" s="6" t="s">
        <v>2125</v>
      </c>
      <c r="D281" s="6" t="s">
        <v>2126</v>
      </c>
      <c r="E281" s="6" t="s">
        <v>17</v>
      </c>
      <c r="F281" s="6" t="s">
        <v>191</v>
      </c>
      <c r="G281" s="6" t="s">
        <v>2649</v>
      </c>
      <c r="H281" s="6" t="str">
        <f t="shared" si="26"/>
        <v>att_organ</v>
      </c>
      <c r="I281" s="6" t="s">
        <v>2125</v>
      </c>
      <c r="J281" s="6" t="str">
        <f t="shared" si="27"/>
        <v>att_organ:gallbladder</v>
      </c>
      <c r="K281" s="11" t="s">
        <v>21</v>
      </c>
      <c r="L281" s="6" t="s">
        <v>2126</v>
      </c>
      <c r="M281" s="6" t="s">
        <v>17</v>
      </c>
      <c r="N281" s="6" t="str">
        <f t="shared" si="28"/>
        <v>INSERT INTO attributes (parent_id, tag, name, priority, allow_as_filter, allow_for_dataset, allow_for_measurement, allow_for_users, allow_for_qc) VALUES (NULL, 'att_organ',  'Organ',  500,  TRUE, TRUE, TRUE, FALSE, FALSE);</v>
      </c>
      <c r="O281" s="6" t="str">
        <f t="shared" si="29"/>
        <v xml:space="preserve">INSERT INTO attribute_values (attribute_id, tag, name, details) VALUES ((SELECT id FROM attributes WHERE tag = 'att_organ' LIMIT 1),  'att_organ:gallbladder',  'Gallbladder',  'Gallbladder'); </v>
      </c>
    </row>
    <row r="282" spans="1:15" x14ac:dyDescent="0.15">
      <c r="A282" s="12" t="b">
        <f>FALSE()</f>
        <v>0</v>
      </c>
      <c r="B282" s="12"/>
      <c r="C282" s="6" t="s">
        <v>2127</v>
      </c>
      <c r="D282" s="6" t="s">
        <v>2128</v>
      </c>
      <c r="E282" s="6" t="s">
        <v>17</v>
      </c>
      <c r="F282" s="6" t="s">
        <v>191</v>
      </c>
      <c r="G282" s="6" t="s">
        <v>2649</v>
      </c>
      <c r="H282" s="6" t="str">
        <f t="shared" si="26"/>
        <v>att_organ</v>
      </c>
      <c r="I282" s="6" t="s">
        <v>2127</v>
      </c>
      <c r="J282" s="6" t="str">
        <f t="shared" si="27"/>
        <v>att_organ:ganglia</v>
      </c>
      <c r="K282" s="11" t="s">
        <v>21</v>
      </c>
      <c r="L282" s="6" t="s">
        <v>2128</v>
      </c>
      <c r="M282" s="6" t="s">
        <v>17</v>
      </c>
      <c r="N282" s="6" t="str">
        <f t="shared" si="28"/>
        <v>INSERT INTO attributes (parent_id, tag, name, priority, allow_as_filter, allow_for_dataset, allow_for_measurement, allow_for_users, allow_for_qc) VALUES (NULL, 'att_organ',  'Organ',  500,  TRUE, TRUE, TRUE, FALSE, FALSE);</v>
      </c>
      <c r="O282" s="6" t="str">
        <f t="shared" si="29"/>
        <v xml:space="preserve">INSERT INTO attribute_values (attribute_id, tag, name, details) VALUES ((SELECT id FROM attributes WHERE tag = 'att_organ' LIMIT 1),  'att_organ:ganglia',  'Ganglia',  'Ganglia'); </v>
      </c>
    </row>
    <row r="283" spans="1:15" x14ac:dyDescent="0.15">
      <c r="A283" s="12" t="b">
        <f>FALSE()</f>
        <v>0</v>
      </c>
      <c r="B283" s="12"/>
      <c r="C283" s="6" t="s">
        <v>2129</v>
      </c>
      <c r="D283" s="6" t="s">
        <v>2130</v>
      </c>
      <c r="E283" s="6" t="s">
        <v>17</v>
      </c>
      <c r="F283" s="6" t="s">
        <v>191</v>
      </c>
      <c r="G283" s="6" t="s">
        <v>2649</v>
      </c>
      <c r="H283" s="6" t="str">
        <f t="shared" si="26"/>
        <v>att_organ</v>
      </c>
      <c r="I283" s="6" t="s">
        <v>2129</v>
      </c>
      <c r="J283" s="6" t="str">
        <f t="shared" si="27"/>
        <v>att_organ:heart</v>
      </c>
      <c r="K283" s="11" t="s">
        <v>21</v>
      </c>
      <c r="L283" s="6" t="s">
        <v>2130</v>
      </c>
      <c r="M283" s="6" t="s">
        <v>17</v>
      </c>
      <c r="N283" s="6" t="str">
        <f t="shared" si="28"/>
        <v>INSERT INTO attributes (parent_id, tag, name, priority, allow_as_filter, allow_for_dataset, allow_for_measurement, allow_for_users, allow_for_qc) VALUES (NULL, 'att_organ',  'Organ',  500,  TRUE, TRUE, TRUE, FALSE, FALSE);</v>
      </c>
      <c r="O283" s="6" t="str">
        <f t="shared" si="29"/>
        <v xml:space="preserve">INSERT INTO attribute_values (attribute_id, tag, name, details) VALUES ((SELECT id FROM attributes WHERE tag = 'att_organ' LIMIT 1),  'att_organ:heart',  'Heart',  'Heart'); </v>
      </c>
    </row>
    <row r="284" spans="1:15" x14ac:dyDescent="0.15">
      <c r="A284" s="12" t="b">
        <f>FALSE()</f>
        <v>0</v>
      </c>
      <c r="B284" s="12"/>
      <c r="C284" s="6" t="s">
        <v>2131</v>
      </c>
      <c r="D284" s="6" t="s">
        <v>2132</v>
      </c>
      <c r="E284" s="6" t="s">
        <v>17</v>
      </c>
      <c r="F284" s="6" t="s">
        <v>191</v>
      </c>
      <c r="G284" s="6" t="s">
        <v>2649</v>
      </c>
      <c r="H284" s="6" t="str">
        <f t="shared" si="26"/>
        <v>att_organ</v>
      </c>
      <c r="I284" s="6" t="s">
        <v>2131</v>
      </c>
      <c r="J284" s="6" t="str">
        <f t="shared" si="27"/>
        <v>att_organ:hypothalamus</v>
      </c>
      <c r="K284" s="11" t="s">
        <v>21</v>
      </c>
      <c r="L284" s="6" t="s">
        <v>2132</v>
      </c>
      <c r="M284" s="6" t="s">
        <v>17</v>
      </c>
      <c r="N284" s="6" t="str">
        <f t="shared" si="28"/>
        <v>INSERT INTO attributes (parent_id, tag, name, priority, allow_as_filter, allow_for_dataset, allow_for_measurement, allow_for_users, allow_for_qc) VALUES (NULL, 'att_organ',  'Organ',  500,  TRUE, TRUE, TRUE, FALSE, FALSE);</v>
      </c>
      <c r="O284" s="6" t="str">
        <f t="shared" si="29"/>
        <v xml:space="preserve">INSERT INTO attribute_values (attribute_id, tag, name, details) VALUES ((SELECT id FROM attributes WHERE tag = 'att_organ' LIMIT 1),  'att_organ:hypothalamus',  'Hypothalamus',  'Hypothalamus'); </v>
      </c>
    </row>
    <row r="285" spans="1:15" x14ac:dyDescent="0.15">
      <c r="A285" s="12" t="b">
        <f>FALSE()</f>
        <v>0</v>
      </c>
      <c r="B285" s="12"/>
      <c r="C285" s="6" t="s">
        <v>2133</v>
      </c>
      <c r="D285" s="6" t="s">
        <v>2134</v>
      </c>
      <c r="E285" s="6" t="s">
        <v>17</v>
      </c>
      <c r="F285" s="6" t="s">
        <v>191</v>
      </c>
      <c r="G285" s="6" t="s">
        <v>2649</v>
      </c>
      <c r="H285" s="6" t="str">
        <f t="shared" si="26"/>
        <v>att_organ</v>
      </c>
      <c r="I285" s="6" t="s">
        <v>2133</v>
      </c>
      <c r="J285" s="6" t="str">
        <f t="shared" si="27"/>
        <v>att_organ:kidney</v>
      </c>
      <c r="K285" s="11" t="s">
        <v>21</v>
      </c>
      <c r="L285" s="6" t="s">
        <v>2134</v>
      </c>
      <c r="M285" s="6" t="s">
        <v>17</v>
      </c>
      <c r="N285" s="6" t="str">
        <f t="shared" si="28"/>
        <v>INSERT INTO attributes (parent_id, tag, name, priority, allow_as_filter, allow_for_dataset, allow_for_measurement, allow_for_users, allow_for_qc) VALUES (NULL, 'att_organ',  'Organ',  500,  TRUE, TRUE, TRUE, FALSE, FALSE);</v>
      </c>
      <c r="O285" s="6" t="str">
        <f t="shared" si="29"/>
        <v xml:space="preserve">INSERT INTO attribute_values (attribute_id, tag, name, details) VALUES ((SELECT id FROM attributes WHERE tag = 'att_organ' LIMIT 1),  'att_organ:kidney',  'Kidney',  'Kidney'); </v>
      </c>
    </row>
    <row r="286" spans="1:15" x14ac:dyDescent="0.15">
      <c r="A286" s="12" t="b">
        <f>FALSE()</f>
        <v>0</v>
      </c>
      <c r="B286" s="12"/>
      <c r="C286" s="6" t="s">
        <v>2135</v>
      </c>
      <c r="D286" s="6" t="s">
        <v>2137</v>
      </c>
      <c r="E286" s="6" t="s">
        <v>17</v>
      </c>
      <c r="F286" s="6" t="s">
        <v>191</v>
      </c>
      <c r="G286" s="6" t="s">
        <v>2649</v>
      </c>
      <c r="H286" s="6" t="str">
        <f t="shared" si="26"/>
        <v>att_organ</v>
      </c>
      <c r="I286" s="6" t="s">
        <v>2135</v>
      </c>
      <c r="J286" s="6" t="str">
        <f t="shared" si="27"/>
        <v>att_organ:large_intestine</v>
      </c>
      <c r="K286" s="11" t="s">
        <v>21</v>
      </c>
      <c r="L286" s="6" t="s">
        <v>2138</v>
      </c>
      <c r="M286" s="6" t="s">
        <v>17</v>
      </c>
      <c r="N286" s="6" t="str">
        <f t="shared" si="28"/>
        <v>INSERT INTO attributes (parent_id, tag, name, priority, allow_as_filter, allow_for_dataset, allow_for_measurement, allow_for_users, allow_for_qc) VALUES (NULL, 'att_organ',  'Organ',  500,  TRUE, TRUE, TRUE, FALSE, FALSE);</v>
      </c>
      <c r="O286" s="6" t="str">
        <f t="shared" si="29"/>
        <v xml:space="preserve">INSERT INTO attribute_values (attribute_id, tag, name, details) VALUES ((SELECT id FROM attributes WHERE tag = 'att_organ' LIMIT 1),  'att_organ:large_intestine',  'Large Intestine',  'Large Intestine / Colon; between the Anus and small Intestine'); </v>
      </c>
    </row>
    <row r="287" spans="1:15" x14ac:dyDescent="0.15">
      <c r="A287" s="12" t="b">
        <f>FALSE()</f>
        <v>0</v>
      </c>
      <c r="B287" s="12"/>
      <c r="C287" s="6" t="s">
        <v>2139</v>
      </c>
      <c r="D287" s="6" t="s">
        <v>2140</v>
      </c>
      <c r="E287" s="6" t="s">
        <v>17</v>
      </c>
      <c r="F287" s="6" t="s">
        <v>191</v>
      </c>
      <c r="G287" s="6" t="s">
        <v>2649</v>
      </c>
      <c r="H287" s="6" t="str">
        <f t="shared" si="26"/>
        <v>att_organ</v>
      </c>
      <c r="I287" s="6" t="s">
        <v>2139</v>
      </c>
      <c r="J287" s="6" t="str">
        <f t="shared" si="27"/>
        <v>att_organ:liver</v>
      </c>
      <c r="K287" s="11" t="s">
        <v>21</v>
      </c>
      <c r="L287" s="6" t="s">
        <v>2140</v>
      </c>
      <c r="M287" s="6" t="s">
        <v>17</v>
      </c>
      <c r="N287" s="6" t="str">
        <f t="shared" si="28"/>
        <v>INSERT INTO attributes (parent_id, tag, name, priority, allow_as_filter, allow_for_dataset, allow_for_measurement, allow_for_users, allow_for_qc) VALUES (NULL, 'att_organ',  'Organ',  500,  TRUE, TRUE, TRUE, FALSE, FALSE);</v>
      </c>
      <c r="O287" s="6" t="str">
        <f t="shared" si="29"/>
        <v xml:space="preserve">INSERT INTO attribute_values (attribute_id, tag, name, details) VALUES ((SELECT id FROM attributes WHERE tag = 'att_organ' LIMIT 1),  'att_organ:liver',  'Liver',  'Liver'); </v>
      </c>
    </row>
    <row r="288" spans="1:15" x14ac:dyDescent="0.15">
      <c r="A288" s="12" t="b">
        <f>FALSE()</f>
        <v>0</v>
      </c>
      <c r="B288" s="12"/>
      <c r="C288" s="6" t="s">
        <v>2141</v>
      </c>
      <c r="D288" s="6" t="s">
        <v>2142</v>
      </c>
      <c r="E288" s="6" t="s">
        <v>17</v>
      </c>
      <c r="F288" s="6" t="s">
        <v>191</v>
      </c>
      <c r="G288" s="6" t="s">
        <v>2649</v>
      </c>
      <c r="H288" s="6" t="str">
        <f t="shared" si="26"/>
        <v>att_organ</v>
      </c>
      <c r="I288" s="6" t="s">
        <v>2141</v>
      </c>
      <c r="J288" s="6" t="str">
        <f t="shared" si="27"/>
        <v>att_organ:lung</v>
      </c>
      <c r="K288" s="11" t="s">
        <v>21</v>
      </c>
      <c r="L288" s="6" t="s">
        <v>2142</v>
      </c>
      <c r="M288" s="6" t="s">
        <v>17</v>
      </c>
      <c r="N288" s="6" t="str">
        <f t="shared" si="28"/>
        <v>INSERT INTO attributes (parent_id, tag, name, priority, allow_as_filter, allow_for_dataset, allow_for_measurement, allow_for_users, allow_for_qc) VALUES (NULL, 'att_organ',  'Organ',  500,  TRUE, TRUE, TRUE, FALSE, FALSE);</v>
      </c>
      <c r="O288" s="6" t="str">
        <f t="shared" si="29"/>
        <v xml:space="preserve">INSERT INTO attribute_values (attribute_id, tag, name, details) VALUES ((SELECT id FROM attributes WHERE tag = 'att_organ' LIMIT 1),  'att_organ:lung',  'Lung',  'Lung'); </v>
      </c>
    </row>
    <row r="289" spans="1:15" x14ac:dyDescent="0.15">
      <c r="A289" s="12" t="b">
        <f>FALSE()</f>
        <v>0</v>
      </c>
      <c r="B289" s="12"/>
      <c r="C289" s="6" t="s">
        <v>2143</v>
      </c>
      <c r="D289" s="6" t="s">
        <v>2144</v>
      </c>
      <c r="E289" s="6" t="s">
        <v>17</v>
      </c>
      <c r="F289" s="6" t="s">
        <v>191</v>
      </c>
      <c r="G289" s="6" t="s">
        <v>2649</v>
      </c>
      <c r="H289" s="6" t="str">
        <f t="shared" si="26"/>
        <v>att_organ</v>
      </c>
      <c r="I289" s="6" t="s">
        <v>2143</v>
      </c>
      <c r="J289" s="6" t="str">
        <f t="shared" si="27"/>
        <v>att_organ:lymph_node</v>
      </c>
      <c r="K289" s="11" t="s">
        <v>21</v>
      </c>
      <c r="L289" s="6" t="s">
        <v>2144</v>
      </c>
      <c r="M289" s="6" t="s">
        <v>17</v>
      </c>
      <c r="N289" s="6" t="str">
        <f t="shared" si="28"/>
        <v>INSERT INTO attributes (parent_id, tag, name, priority, allow_as_filter, allow_for_dataset, allow_for_measurement, allow_for_users, allow_for_qc) VALUES (NULL, 'att_organ',  'Organ',  500,  TRUE, TRUE, TRUE, FALSE, FALSE);</v>
      </c>
      <c r="O289" s="6" t="str">
        <f t="shared" si="29"/>
        <v xml:space="preserve">INSERT INTO attribute_values (attribute_id, tag, name, details) VALUES ((SELECT id FROM attributes WHERE tag = 'att_organ' LIMIT 1),  'att_organ:lymph_node',  'Lymph Node',  'Lymph Node'); </v>
      </c>
    </row>
    <row r="290" spans="1:15" x14ac:dyDescent="0.15">
      <c r="A290" s="12" t="b">
        <f>FALSE()</f>
        <v>0</v>
      </c>
      <c r="B290" s="12"/>
      <c r="C290" s="6" t="s">
        <v>2145</v>
      </c>
      <c r="D290" s="6" t="s">
        <v>2146</v>
      </c>
      <c r="E290" s="6" t="s">
        <v>17</v>
      </c>
      <c r="F290" s="6" t="s">
        <v>191</v>
      </c>
      <c r="G290" s="6" t="s">
        <v>2649</v>
      </c>
      <c r="H290" s="6" t="str">
        <f t="shared" si="26"/>
        <v>att_organ</v>
      </c>
      <c r="I290" s="6" t="s">
        <v>2145</v>
      </c>
      <c r="J290" s="6" t="str">
        <f t="shared" si="27"/>
        <v>att_organ:medulla</v>
      </c>
      <c r="K290" s="11" t="s">
        <v>21</v>
      </c>
      <c r="L290" s="6" t="s">
        <v>2146</v>
      </c>
      <c r="M290" s="6" t="s">
        <v>17</v>
      </c>
      <c r="N290" s="6" t="str">
        <f t="shared" si="28"/>
        <v>INSERT INTO attributes (parent_id, tag, name, priority, allow_as_filter, allow_for_dataset, allow_for_measurement, allow_for_users, allow_for_qc) VALUES (NULL, 'att_organ',  'Organ',  500,  TRUE, TRUE, TRUE, FALSE, FALSE);</v>
      </c>
      <c r="O290" s="6" t="str">
        <f t="shared" si="29"/>
        <v xml:space="preserve">INSERT INTO attribute_values (attribute_id, tag, name, details) VALUES ((SELECT id FROM attributes WHERE tag = 'att_organ' LIMIT 1),  'att_organ:medulla',  'Medulla',  'Medulla'); </v>
      </c>
    </row>
    <row r="291" spans="1:15" x14ac:dyDescent="0.15">
      <c r="A291" s="12" t="b">
        <f>FALSE()</f>
        <v>0</v>
      </c>
      <c r="B291" s="12"/>
      <c r="C291" s="6" t="s">
        <v>2147</v>
      </c>
      <c r="D291" s="6" t="s">
        <v>2148</v>
      </c>
      <c r="E291" s="6" t="s">
        <v>17</v>
      </c>
      <c r="F291" s="6" t="s">
        <v>191</v>
      </c>
      <c r="G291" s="6" t="s">
        <v>2649</v>
      </c>
      <c r="H291" s="6" t="str">
        <f t="shared" si="26"/>
        <v>att_organ</v>
      </c>
      <c r="I291" s="6" t="s">
        <v>2147</v>
      </c>
      <c r="J291" s="6" t="str">
        <f t="shared" si="27"/>
        <v>att_organ:mesentery</v>
      </c>
      <c r="K291" s="11" t="s">
        <v>21</v>
      </c>
      <c r="L291" s="6" t="s">
        <v>2148</v>
      </c>
      <c r="M291" s="6" t="s">
        <v>17</v>
      </c>
      <c r="N291" s="6" t="str">
        <f t="shared" si="28"/>
        <v>INSERT INTO attributes (parent_id, tag, name, priority, allow_as_filter, allow_for_dataset, allow_for_measurement, allow_for_users, allow_for_qc) VALUES (NULL, 'att_organ',  'Organ',  500,  TRUE, TRUE, TRUE, FALSE, FALSE);</v>
      </c>
      <c r="O291" s="6" t="str">
        <f t="shared" si="29"/>
        <v xml:space="preserve">INSERT INTO attribute_values (attribute_id, tag, name, details) VALUES ((SELECT id FROM attributes WHERE tag = 'att_organ' LIMIT 1),  'att_organ:mesentery',  'Mesentery',  'Mesentery'); </v>
      </c>
    </row>
    <row r="292" spans="1:15" x14ac:dyDescent="0.15">
      <c r="A292" s="12" t="b">
        <f>FALSE()</f>
        <v>0</v>
      </c>
      <c r="B292" s="12"/>
      <c r="C292" s="6" t="s">
        <v>2149</v>
      </c>
      <c r="D292" s="6" t="s">
        <v>2150</v>
      </c>
      <c r="E292" s="6" t="s">
        <v>17</v>
      </c>
      <c r="F292" s="6" t="s">
        <v>191</v>
      </c>
      <c r="G292" s="6" t="s">
        <v>2649</v>
      </c>
      <c r="H292" s="6" t="str">
        <f t="shared" si="26"/>
        <v>att_organ</v>
      </c>
      <c r="I292" s="6" t="s">
        <v>2149</v>
      </c>
      <c r="J292" s="6" t="str">
        <f t="shared" si="27"/>
        <v>att_organ:midbrain</v>
      </c>
      <c r="K292" s="11" t="s">
        <v>21</v>
      </c>
      <c r="L292" s="6" t="s">
        <v>2150</v>
      </c>
      <c r="M292" s="6" t="s">
        <v>17</v>
      </c>
      <c r="N292" s="6" t="str">
        <f t="shared" si="28"/>
        <v>INSERT INTO attributes (parent_id, tag, name, priority, allow_as_filter, allow_for_dataset, allow_for_measurement, allow_for_users, allow_for_qc) VALUES (NULL, 'att_organ',  'Organ',  500,  TRUE, TRUE, TRUE, FALSE, FALSE);</v>
      </c>
      <c r="O292" s="6" t="str">
        <f t="shared" si="29"/>
        <v xml:space="preserve">INSERT INTO attribute_values (attribute_id, tag, name, details) VALUES ((SELECT id FROM attributes WHERE tag = 'att_organ' LIMIT 1),  'att_organ:midbrain',  'Midbrain',  'Midbrain'); </v>
      </c>
    </row>
    <row r="293" spans="1:15" x14ac:dyDescent="0.15">
      <c r="A293" s="12" t="b">
        <f>FALSE()</f>
        <v>0</v>
      </c>
      <c r="B293" s="12"/>
      <c r="C293" s="6" t="s">
        <v>2151</v>
      </c>
      <c r="D293" s="6" t="s">
        <v>2152</v>
      </c>
      <c r="E293" s="6" t="s">
        <v>17</v>
      </c>
      <c r="F293" s="6" t="s">
        <v>191</v>
      </c>
      <c r="G293" s="6" t="s">
        <v>2649</v>
      </c>
      <c r="H293" s="6" t="str">
        <f t="shared" si="26"/>
        <v>att_organ</v>
      </c>
      <c r="I293" s="6" t="s">
        <v>2151</v>
      </c>
      <c r="J293" s="6" t="str">
        <f t="shared" si="27"/>
        <v>att_organ:ovaries</v>
      </c>
      <c r="K293" s="11" t="s">
        <v>21</v>
      </c>
      <c r="L293" s="6" t="s">
        <v>2152</v>
      </c>
      <c r="M293" s="6" t="s">
        <v>17</v>
      </c>
      <c r="N293" s="6" t="str">
        <f t="shared" si="28"/>
        <v>INSERT INTO attributes (parent_id, tag, name, priority, allow_as_filter, allow_for_dataset, allow_for_measurement, allow_for_users, allow_for_qc) VALUES (NULL, 'att_organ',  'Organ',  500,  TRUE, TRUE, TRUE, FALSE, FALSE);</v>
      </c>
      <c r="O293" s="6" t="str">
        <f t="shared" si="29"/>
        <v xml:space="preserve">INSERT INTO attribute_values (attribute_id, tag, name, details) VALUES ((SELECT id FROM attributes WHERE tag = 'att_organ' LIMIT 1),  'att_organ:ovaries',  'Ovaries',  'Ovaries'); </v>
      </c>
    </row>
    <row r="294" spans="1:15" x14ac:dyDescent="0.15">
      <c r="A294" s="12" t="b">
        <f>FALSE()</f>
        <v>0</v>
      </c>
      <c r="B294" s="12"/>
      <c r="C294" s="6" t="s">
        <v>2153</v>
      </c>
      <c r="D294" s="6" t="s">
        <v>2154</v>
      </c>
      <c r="E294" s="6" t="s">
        <v>17</v>
      </c>
      <c r="F294" s="6" t="s">
        <v>191</v>
      </c>
      <c r="G294" s="6" t="s">
        <v>2649</v>
      </c>
      <c r="H294" s="6" t="str">
        <f t="shared" si="26"/>
        <v>att_organ</v>
      </c>
      <c r="I294" s="6" t="s">
        <v>2153</v>
      </c>
      <c r="J294" s="6" t="str">
        <f t="shared" si="27"/>
        <v>att_organ:pancreas</v>
      </c>
      <c r="K294" s="11" t="s">
        <v>21</v>
      </c>
      <c r="L294" s="6" t="s">
        <v>2154</v>
      </c>
      <c r="M294" s="6" t="s">
        <v>17</v>
      </c>
      <c r="N294" s="6" t="str">
        <f t="shared" si="28"/>
        <v>INSERT INTO attributes (parent_id, tag, name, priority, allow_as_filter, allow_for_dataset, allow_for_measurement, allow_for_users, allow_for_qc) VALUES (NULL, 'att_organ',  'Organ',  500,  TRUE, TRUE, TRUE, FALSE, FALSE);</v>
      </c>
      <c r="O294" s="6" t="str">
        <f t="shared" si="29"/>
        <v xml:space="preserve">INSERT INTO attribute_values (attribute_id, tag, name, details) VALUES ((SELECT id FROM attributes WHERE tag = 'att_organ' LIMIT 1),  'att_organ:pancreas',  'Pancreas',  'Pancreas'); </v>
      </c>
    </row>
    <row r="295" spans="1:15" x14ac:dyDescent="0.15">
      <c r="A295" s="12" t="b">
        <f>FALSE()</f>
        <v>0</v>
      </c>
      <c r="B295" s="12"/>
      <c r="C295" s="6" t="s">
        <v>2155</v>
      </c>
      <c r="D295" s="6" t="s">
        <v>2156</v>
      </c>
      <c r="E295" s="6" t="s">
        <v>17</v>
      </c>
      <c r="F295" s="6" t="s">
        <v>191</v>
      </c>
      <c r="G295" s="6" t="s">
        <v>2649</v>
      </c>
      <c r="H295" s="6" t="str">
        <f t="shared" si="26"/>
        <v>att_organ</v>
      </c>
      <c r="I295" s="6" t="s">
        <v>2155</v>
      </c>
      <c r="J295" s="6" t="str">
        <f t="shared" si="27"/>
        <v>att_organ:pons</v>
      </c>
      <c r="K295" s="11" t="s">
        <v>21</v>
      </c>
      <c r="L295" s="6" t="s">
        <v>2156</v>
      </c>
      <c r="M295" s="6" t="s">
        <v>17</v>
      </c>
      <c r="N295" s="6" t="str">
        <f t="shared" si="28"/>
        <v>INSERT INTO attributes (parent_id, tag, name, priority, allow_as_filter, allow_for_dataset, allow_for_measurement, allow_for_users, allow_for_qc) VALUES (NULL, 'att_organ',  'Organ',  500,  TRUE, TRUE, TRUE, FALSE, FALSE);</v>
      </c>
      <c r="O295" s="6" t="str">
        <f t="shared" si="29"/>
        <v xml:space="preserve">INSERT INTO attribute_values (attribute_id, tag, name, details) VALUES ((SELECT id FROM attributes WHERE tag = 'att_organ' LIMIT 1),  'att_organ:pons',  'Pons',  'Pons'); </v>
      </c>
    </row>
    <row r="296" spans="1:15" x14ac:dyDescent="0.15">
      <c r="A296" s="12" t="b">
        <f>FALSE()</f>
        <v>0</v>
      </c>
      <c r="B296" s="12"/>
      <c r="C296" s="6" t="s">
        <v>2157</v>
      </c>
      <c r="D296" s="6" t="s">
        <v>2158</v>
      </c>
      <c r="E296" s="6" t="s">
        <v>17</v>
      </c>
      <c r="F296" s="6" t="s">
        <v>191</v>
      </c>
      <c r="G296" s="6" t="s">
        <v>2649</v>
      </c>
      <c r="H296" s="6" t="str">
        <f t="shared" si="26"/>
        <v>att_organ</v>
      </c>
      <c r="I296" s="6" t="s">
        <v>2157</v>
      </c>
      <c r="J296" s="6" t="str">
        <f t="shared" si="27"/>
        <v>att_organ:prostate</v>
      </c>
      <c r="K296" s="11" t="s">
        <v>21</v>
      </c>
      <c r="L296" s="6" t="s">
        <v>2158</v>
      </c>
      <c r="M296" s="6" t="s">
        <v>17</v>
      </c>
      <c r="N296" s="6" t="str">
        <f t="shared" si="28"/>
        <v>INSERT INTO attributes (parent_id, tag, name, priority, allow_as_filter, allow_for_dataset, allow_for_measurement, allow_for_users, allow_for_qc) VALUES (NULL, 'att_organ',  'Organ',  500,  TRUE, TRUE, TRUE, FALSE, FALSE);</v>
      </c>
      <c r="O296" s="6" t="str">
        <f t="shared" si="29"/>
        <v xml:space="preserve">INSERT INTO attribute_values (attribute_id, tag, name, details) VALUES ((SELECT id FROM attributes WHERE tag = 'att_organ' LIMIT 1),  'att_organ:prostate',  'Prostate',  'Prostate'); </v>
      </c>
    </row>
    <row r="297" spans="1:15" x14ac:dyDescent="0.15">
      <c r="A297" s="12" t="b">
        <f>FALSE()</f>
        <v>0</v>
      </c>
      <c r="B297" s="12"/>
      <c r="C297" s="6" t="s">
        <v>2159</v>
      </c>
      <c r="D297" s="6" t="s">
        <v>2160</v>
      </c>
      <c r="E297" s="6" t="s">
        <v>17</v>
      </c>
      <c r="F297" s="6" t="s">
        <v>191</v>
      </c>
      <c r="G297" s="6" t="s">
        <v>2649</v>
      </c>
      <c r="H297" s="6" t="str">
        <f t="shared" si="26"/>
        <v>att_organ</v>
      </c>
      <c r="I297" s="6" t="s">
        <v>2159</v>
      </c>
      <c r="J297" s="6" t="str">
        <f t="shared" si="27"/>
        <v>att_organ:rectum</v>
      </c>
      <c r="K297" s="11" t="s">
        <v>21</v>
      </c>
      <c r="L297" s="6" t="s">
        <v>2160</v>
      </c>
      <c r="M297" s="6" t="s">
        <v>17</v>
      </c>
      <c r="N297" s="6" t="str">
        <f t="shared" si="28"/>
        <v>INSERT INTO attributes (parent_id, tag, name, priority, allow_as_filter, allow_for_dataset, allow_for_measurement, allow_for_users, allow_for_qc) VALUES (NULL, 'att_organ',  'Organ',  500,  TRUE, TRUE, TRUE, FALSE, FALSE);</v>
      </c>
      <c r="O297" s="6" t="str">
        <f t="shared" si="29"/>
        <v xml:space="preserve">INSERT INTO attribute_values (attribute_id, tag, name, details) VALUES ((SELECT id FROM attributes WHERE tag = 'att_organ' LIMIT 1),  'att_organ:rectum',  'Rectum',  'Rectum'); </v>
      </c>
    </row>
    <row r="298" spans="1:15" x14ac:dyDescent="0.15">
      <c r="A298" s="12" t="b">
        <f>FALSE()</f>
        <v>0</v>
      </c>
      <c r="B298" s="12"/>
      <c r="C298" s="6" t="s">
        <v>2162</v>
      </c>
      <c r="D298" s="6" t="s">
        <v>2163</v>
      </c>
      <c r="E298" s="6" t="s">
        <v>17</v>
      </c>
      <c r="F298" s="6" t="s">
        <v>191</v>
      </c>
      <c r="G298" s="6" t="s">
        <v>2649</v>
      </c>
      <c r="H298" s="6" t="str">
        <f t="shared" si="26"/>
        <v>att_organ</v>
      </c>
      <c r="I298" s="6" t="s">
        <v>2161</v>
      </c>
      <c r="J298" s="6" t="str">
        <f t="shared" si="27"/>
        <v>att_organ:small_intestine</v>
      </c>
      <c r="K298" s="11" t="s">
        <v>21</v>
      </c>
      <c r="L298" s="6" t="s">
        <v>2164</v>
      </c>
      <c r="M298" s="6" t="s">
        <v>17</v>
      </c>
      <c r="N298" s="6" t="str">
        <f t="shared" si="28"/>
        <v>INSERT INTO attributes (parent_id, tag, name, priority, allow_as_filter, allow_for_dataset, allow_for_measurement, allow_for_users, allow_for_qc) VALUES (NULL, 'att_organ',  'Organ',  500,  TRUE, TRUE, TRUE, FALSE, FALSE);</v>
      </c>
      <c r="O298" s="6" t="str">
        <f t="shared" si="29"/>
        <v xml:space="preserve">INSERT INTO attribute_values (attribute_id, tag, name, details) VALUES ((SELECT id FROM attributes WHERE tag = 'att_organ' LIMIT 1),  'att_organ:small_intestine',  'Small Intestine',  'Small Intestine; Between the Stomach and the Colon'); </v>
      </c>
    </row>
    <row r="299" spans="1:15" x14ac:dyDescent="0.15">
      <c r="A299" s="12" t="b">
        <f>FALSE()</f>
        <v>0</v>
      </c>
      <c r="B299" s="12"/>
      <c r="C299" s="6" t="s">
        <v>2165</v>
      </c>
      <c r="D299" s="6" t="s">
        <v>2166</v>
      </c>
      <c r="E299" s="6" t="s">
        <v>17</v>
      </c>
      <c r="F299" s="6" t="s">
        <v>191</v>
      </c>
      <c r="G299" s="6" t="s">
        <v>2649</v>
      </c>
      <c r="H299" s="6" t="str">
        <f t="shared" si="26"/>
        <v>att_organ</v>
      </c>
      <c r="I299" s="6" t="s">
        <v>2165</v>
      </c>
      <c r="J299" s="6" t="str">
        <f t="shared" si="27"/>
        <v>att_organ:spinal_cord</v>
      </c>
      <c r="K299" s="11" t="s">
        <v>21</v>
      </c>
      <c r="L299" s="6" t="s">
        <v>2167</v>
      </c>
      <c r="M299" s="6" t="s">
        <v>17</v>
      </c>
      <c r="N299" s="6" t="str">
        <f t="shared" si="28"/>
        <v>INSERT INTO attributes (parent_id, tag, name, priority, allow_as_filter, allow_for_dataset, allow_for_measurement, allow_for_users, allow_for_qc) VALUES (NULL, 'att_organ',  'Organ',  500,  TRUE, TRUE, TRUE, FALSE, FALSE);</v>
      </c>
      <c r="O299" s="6" t="str">
        <f t="shared" si="29"/>
        <v xml:space="preserve">INSERT INTO attribute_values (attribute_id, tag, name, details) VALUES ((SELECT id FROM attributes WHERE tag = 'att_organ' LIMIT 1),  'att_organ:spinal_cord',  'Spinal Cord',  'Spinal_Cord'); </v>
      </c>
    </row>
    <row r="300" spans="1:15" x14ac:dyDescent="0.15">
      <c r="A300" s="12" t="b">
        <f>FALSE()</f>
        <v>0</v>
      </c>
      <c r="B300" s="12"/>
      <c r="C300" s="6" t="s">
        <v>2168</v>
      </c>
      <c r="D300" s="6" t="s">
        <v>2169</v>
      </c>
      <c r="E300" s="6" t="s">
        <v>17</v>
      </c>
      <c r="F300" s="6" t="s">
        <v>191</v>
      </c>
      <c r="G300" s="6" t="s">
        <v>2649</v>
      </c>
      <c r="H300" s="6" t="str">
        <f t="shared" si="26"/>
        <v>att_organ</v>
      </c>
      <c r="I300" s="6" t="s">
        <v>2168</v>
      </c>
      <c r="J300" s="6" t="str">
        <f t="shared" si="27"/>
        <v>att_organ:spleen</v>
      </c>
      <c r="K300" s="11" t="s">
        <v>21</v>
      </c>
      <c r="L300" s="6" t="s">
        <v>2169</v>
      </c>
      <c r="M300" s="6" t="s">
        <v>17</v>
      </c>
      <c r="N300" s="6" t="str">
        <f t="shared" si="28"/>
        <v>INSERT INTO attributes (parent_id, tag, name, priority, allow_as_filter, allow_for_dataset, allow_for_measurement, allow_for_users, allow_for_qc) VALUES (NULL, 'att_organ',  'Organ',  500,  TRUE, TRUE, TRUE, FALSE, FALSE);</v>
      </c>
      <c r="O300" s="6" t="str">
        <f t="shared" si="29"/>
        <v xml:space="preserve">INSERT INTO attribute_values (attribute_id, tag, name, details) VALUES ((SELECT id FROM attributes WHERE tag = 'att_organ' LIMIT 1),  'att_organ:spleen',  'Spleen',  'Spleen'); </v>
      </c>
    </row>
    <row r="301" spans="1:15" x14ac:dyDescent="0.15">
      <c r="A301" s="12" t="b">
        <f>FALSE()</f>
        <v>0</v>
      </c>
      <c r="B301" s="12"/>
      <c r="C301" s="6" t="s">
        <v>2170</v>
      </c>
      <c r="D301" s="6" t="s">
        <v>2171</v>
      </c>
      <c r="E301" s="6" t="s">
        <v>17</v>
      </c>
      <c r="F301" s="6" t="s">
        <v>191</v>
      </c>
      <c r="G301" s="6" t="s">
        <v>2649</v>
      </c>
      <c r="H301" s="6" t="str">
        <f t="shared" ref="H301:H332" si="30">"att_"&amp;G301</f>
        <v>att_organ</v>
      </c>
      <c r="I301" s="6" t="s">
        <v>2170</v>
      </c>
      <c r="J301" s="6" t="str">
        <f t="shared" ref="J301:J332" si="31">H301&amp;":"&amp;I301</f>
        <v>att_organ:stomach</v>
      </c>
      <c r="K301" s="11" t="s">
        <v>21</v>
      </c>
      <c r="L301" s="6" t="s">
        <v>2171</v>
      </c>
      <c r="M301" s="6" t="s">
        <v>17</v>
      </c>
      <c r="N301" s="6" t="str">
        <f t="shared" ref="N301:N332" si="32">"INSERT INTO attributes (parent_id, tag, name, priority, allow_as_filter, allow_for_dataset, allow_for_measurement, allow_for_users, allow_for_qc) VALUES (NULL, '"&amp;H301&amp;"',  '"&amp;F301&amp;"',  500,  TRUE, TRUE, TRUE, FALSE, FALSE);"</f>
        <v>INSERT INTO attributes (parent_id, tag, name, priority, allow_as_filter, allow_for_dataset, allow_for_measurement, allow_for_users, allow_for_qc) VALUES (NULL, 'att_organ',  'Organ',  500,  TRUE, TRUE, TRUE, FALSE, FALSE);</v>
      </c>
      <c r="O301" s="6" t="str">
        <f t="shared" ref="O301:O332" si="33">"INSERT INTO attribute_values (attribute_id, tag, name, details) VALUES ((SELECT id FROM attributes WHERE tag = '"&amp;H301&amp;"' LIMIT 1),  '"&amp;J301&amp;"',  '"&amp;D301&amp;"',  '"&amp;L301&amp;"'); "</f>
        <v xml:space="preserve">INSERT INTO attribute_values (attribute_id, tag, name, details) VALUES ((SELECT id FROM attributes WHERE tag = 'att_organ' LIMIT 1),  'att_organ:stomach',  'Stomach',  'Stomach'); </v>
      </c>
    </row>
    <row r="302" spans="1:15" x14ac:dyDescent="0.15">
      <c r="A302" s="12" t="b">
        <f>FALSE()</f>
        <v>0</v>
      </c>
      <c r="B302" s="12"/>
      <c r="C302" s="6" t="s">
        <v>2172</v>
      </c>
      <c r="D302" s="6" t="s">
        <v>2173</v>
      </c>
      <c r="E302" s="6" t="s">
        <v>17</v>
      </c>
      <c r="F302" s="6" t="s">
        <v>191</v>
      </c>
      <c r="G302" s="6" t="s">
        <v>2649</v>
      </c>
      <c r="H302" s="6" t="str">
        <f t="shared" si="30"/>
        <v>att_organ</v>
      </c>
      <c r="I302" s="6" t="s">
        <v>2172</v>
      </c>
      <c r="J302" s="6" t="str">
        <f t="shared" si="31"/>
        <v>att_organ:testicles</v>
      </c>
      <c r="K302" s="11" t="s">
        <v>21</v>
      </c>
      <c r="L302" s="6" t="s">
        <v>2173</v>
      </c>
      <c r="M302" s="6" t="s">
        <v>17</v>
      </c>
      <c r="N302" s="6" t="str">
        <f t="shared" si="32"/>
        <v>INSERT INTO attributes (parent_id, tag, name, priority, allow_as_filter, allow_for_dataset, allow_for_measurement, allow_for_users, allow_for_qc) VALUES (NULL, 'att_organ',  'Organ',  500,  TRUE, TRUE, TRUE, FALSE, FALSE);</v>
      </c>
      <c r="O302" s="6" t="str">
        <f t="shared" si="33"/>
        <v xml:space="preserve">INSERT INTO attribute_values (attribute_id, tag, name, details) VALUES ((SELECT id FROM attributes WHERE tag = 'att_organ' LIMIT 1),  'att_organ:testicles',  'Testicles',  'Testicles'); </v>
      </c>
    </row>
    <row r="303" spans="1:15" x14ac:dyDescent="0.15">
      <c r="A303" s="12" t="b">
        <f>FALSE()</f>
        <v>0</v>
      </c>
      <c r="B303" s="12"/>
      <c r="C303" s="6" t="s">
        <v>2174</v>
      </c>
      <c r="D303" s="6" t="s">
        <v>2175</v>
      </c>
      <c r="E303" s="6" t="s">
        <v>17</v>
      </c>
      <c r="F303" s="6" t="s">
        <v>191</v>
      </c>
      <c r="G303" s="6" t="s">
        <v>2649</v>
      </c>
      <c r="H303" s="6" t="str">
        <f t="shared" si="30"/>
        <v>att_organ</v>
      </c>
      <c r="I303" s="6" t="s">
        <v>2174</v>
      </c>
      <c r="J303" s="6" t="str">
        <f t="shared" si="31"/>
        <v>att_organ:thalamus</v>
      </c>
      <c r="K303" s="11" t="s">
        <v>21</v>
      </c>
      <c r="L303" s="6" t="s">
        <v>2175</v>
      </c>
      <c r="M303" s="6" t="s">
        <v>17</v>
      </c>
      <c r="N303" s="6" t="str">
        <f t="shared" si="32"/>
        <v>INSERT INTO attributes (parent_id, tag, name, priority, allow_as_filter, allow_for_dataset, allow_for_measurement, allow_for_users, allow_for_qc) VALUES (NULL, 'att_organ',  'Organ',  500,  TRUE, TRUE, TRUE, FALSE, FALSE);</v>
      </c>
      <c r="O303" s="6" t="str">
        <f t="shared" si="33"/>
        <v xml:space="preserve">INSERT INTO attribute_values (attribute_id, tag, name, details) VALUES ((SELECT id FROM attributes WHERE tag = 'att_organ' LIMIT 1),  'att_organ:thalamus',  'Thalamus',  'Thalamus'); </v>
      </c>
    </row>
    <row r="304" spans="1:15" x14ac:dyDescent="0.15">
      <c r="A304" s="12" t="b">
        <f>FALSE()</f>
        <v>0</v>
      </c>
      <c r="B304" s="12"/>
      <c r="C304" s="6" t="s">
        <v>2176</v>
      </c>
      <c r="D304" s="6" t="s">
        <v>2177</v>
      </c>
      <c r="E304" s="6" t="s">
        <v>17</v>
      </c>
      <c r="F304" s="6" t="s">
        <v>191</v>
      </c>
      <c r="G304" s="6" t="s">
        <v>2649</v>
      </c>
      <c r="H304" s="6" t="str">
        <f t="shared" si="30"/>
        <v>att_organ</v>
      </c>
      <c r="I304" s="6" t="s">
        <v>2176</v>
      </c>
      <c r="J304" s="6" t="str">
        <f t="shared" si="31"/>
        <v>att_organ:thymus</v>
      </c>
      <c r="K304" s="11" t="s">
        <v>21</v>
      </c>
      <c r="L304" s="6" t="s">
        <v>2177</v>
      </c>
      <c r="M304" s="6" t="s">
        <v>17</v>
      </c>
      <c r="N304" s="6" t="str">
        <f t="shared" si="32"/>
        <v>INSERT INTO attributes (parent_id, tag, name, priority, allow_as_filter, allow_for_dataset, allow_for_measurement, allow_for_users, allow_for_qc) VALUES (NULL, 'att_organ',  'Organ',  500,  TRUE, TRUE, TRUE, FALSE, FALSE);</v>
      </c>
      <c r="O304" s="6" t="str">
        <f t="shared" si="33"/>
        <v xml:space="preserve">INSERT INTO attribute_values (attribute_id, tag, name, details) VALUES ((SELECT id FROM attributes WHERE tag = 'att_organ' LIMIT 1),  'att_organ:thymus',  'Thymus',  'Thymus'); </v>
      </c>
    </row>
    <row r="305" spans="1:15" x14ac:dyDescent="0.15">
      <c r="A305" s="12" t="b">
        <f>FALSE()</f>
        <v>0</v>
      </c>
      <c r="B305" s="12"/>
      <c r="C305" s="6" t="s">
        <v>2178</v>
      </c>
      <c r="D305" s="6" t="s">
        <v>2179</v>
      </c>
      <c r="E305" s="6" t="s">
        <v>17</v>
      </c>
      <c r="F305" s="6" t="s">
        <v>191</v>
      </c>
      <c r="G305" s="6" t="s">
        <v>2649</v>
      </c>
      <c r="H305" s="6" t="str">
        <f t="shared" si="30"/>
        <v>att_organ</v>
      </c>
      <c r="I305" s="6" t="s">
        <v>2178</v>
      </c>
      <c r="J305" s="6" t="str">
        <f t="shared" si="31"/>
        <v>att_organ:tongue</v>
      </c>
      <c r="K305" s="11" t="s">
        <v>21</v>
      </c>
      <c r="L305" s="6" t="s">
        <v>2179</v>
      </c>
      <c r="M305" s="6" t="s">
        <v>17</v>
      </c>
      <c r="N305" s="6" t="str">
        <f t="shared" si="32"/>
        <v>INSERT INTO attributes (parent_id, tag, name, priority, allow_as_filter, allow_for_dataset, allow_for_measurement, allow_for_users, allow_for_qc) VALUES (NULL, 'att_organ',  'Organ',  500,  TRUE, TRUE, TRUE, FALSE, FALSE);</v>
      </c>
      <c r="O305" s="6" t="str">
        <f t="shared" si="33"/>
        <v xml:space="preserve">INSERT INTO attribute_values (attribute_id, tag, name, details) VALUES ((SELECT id FROM attributes WHERE tag = 'att_organ' LIMIT 1),  'att_organ:tongue',  'Tongue',  'Tongue'); </v>
      </c>
    </row>
    <row r="306" spans="1:15" x14ac:dyDescent="0.15">
      <c r="A306" s="12" t="b">
        <f>FALSE()</f>
        <v>0</v>
      </c>
      <c r="B306" s="12"/>
      <c r="C306" s="6" t="s">
        <v>2180</v>
      </c>
      <c r="D306" s="6" t="s">
        <v>2181</v>
      </c>
      <c r="E306" s="6" t="s">
        <v>17</v>
      </c>
      <c r="F306" s="6" t="s">
        <v>191</v>
      </c>
      <c r="G306" s="6" t="s">
        <v>2649</v>
      </c>
      <c r="H306" s="6" t="str">
        <f t="shared" si="30"/>
        <v>att_organ</v>
      </c>
      <c r="I306" s="6" t="s">
        <v>2180</v>
      </c>
      <c r="J306" s="6" t="str">
        <f t="shared" si="31"/>
        <v>att_organ:tonsils</v>
      </c>
      <c r="K306" s="11" t="s">
        <v>21</v>
      </c>
      <c r="L306" s="6" t="s">
        <v>2181</v>
      </c>
      <c r="M306" s="6" t="s">
        <v>17</v>
      </c>
      <c r="N306" s="6" t="str">
        <f t="shared" si="32"/>
        <v>INSERT INTO attributes (parent_id, tag, name, priority, allow_as_filter, allow_for_dataset, allow_for_measurement, allow_for_users, allow_for_qc) VALUES (NULL, 'att_organ',  'Organ',  500,  TRUE, TRUE, TRUE, FALSE, FALSE);</v>
      </c>
      <c r="O306" s="6" t="str">
        <f t="shared" si="33"/>
        <v xml:space="preserve">INSERT INTO attribute_values (attribute_id, tag, name, details) VALUES ((SELECT id FROM attributes WHERE tag = 'att_organ' LIMIT 1),  'att_organ:tonsils',  'Tonsils',  'Tonsils'); </v>
      </c>
    </row>
    <row r="307" spans="1:15" x14ac:dyDescent="0.15">
      <c r="A307" s="12" t="b">
        <f>FALSE()</f>
        <v>0</v>
      </c>
      <c r="B307" s="12"/>
      <c r="C307" s="6" t="s">
        <v>2182</v>
      </c>
      <c r="D307" s="6" t="s">
        <v>2183</v>
      </c>
      <c r="E307" s="6" t="s">
        <v>17</v>
      </c>
      <c r="F307" s="6" t="s">
        <v>191</v>
      </c>
      <c r="G307" s="6" t="s">
        <v>2649</v>
      </c>
      <c r="H307" s="6" t="str">
        <f t="shared" si="30"/>
        <v>att_organ</v>
      </c>
      <c r="I307" s="6" t="s">
        <v>2182</v>
      </c>
      <c r="J307" s="6" t="str">
        <f t="shared" si="31"/>
        <v>att_organ:uterus</v>
      </c>
      <c r="K307" s="11" t="s">
        <v>21</v>
      </c>
      <c r="L307" s="6" t="s">
        <v>2183</v>
      </c>
      <c r="M307" s="6" t="s">
        <v>17</v>
      </c>
      <c r="N307" s="6" t="str">
        <f t="shared" si="32"/>
        <v>INSERT INTO attributes (parent_id, tag, name, priority, allow_as_filter, allow_for_dataset, allow_for_measurement, allow_for_users, allow_for_qc) VALUES (NULL, 'att_organ',  'Organ',  500,  TRUE, TRUE, TRUE, FALSE, FALSE);</v>
      </c>
      <c r="O307" s="6" t="str">
        <f t="shared" si="33"/>
        <v xml:space="preserve">INSERT INTO attribute_values (attribute_id, tag, name, details) VALUES ((SELECT id FROM attributes WHERE tag = 'att_organ' LIMIT 1),  'att_organ:uterus',  'Uterus',  'Uterus'); </v>
      </c>
    </row>
    <row r="308" spans="1:15" x14ac:dyDescent="0.15">
      <c r="A308" s="12" t="b">
        <f>FALSE()</f>
        <v>0</v>
      </c>
      <c r="B308" s="12"/>
      <c r="C308" s="6" t="s">
        <v>2184</v>
      </c>
      <c r="D308" s="6" t="s">
        <v>2185</v>
      </c>
      <c r="E308" s="6" t="s">
        <v>17</v>
      </c>
      <c r="F308" s="6" t="s">
        <v>191</v>
      </c>
      <c r="G308" s="6" t="s">
        <v>2649</v>
      </c>
      <c r="H308" s="6" t="str">
        <f t="shared" si="30"/>
        <v>att_organ</v>
      </c>
      <c r="I308" s="6" t="s">
        <v>2184</v>
      </c>
      <c r="J308" s="6" t="str">
        <f t="shared" si="31"/>
        <v>att_organ:veins</v>
      </c>
      <c r="K308" s="11" t="s">
        <v>21</v>
      </c>
      <c r="L308" s="6" t="s">
        <v>2185</v>
      </c>
      <c r="M308" s="6" t="s">
        <v>17</v>
      </c>
      <c r="N308" s="6" t="str">
        <f t="shared" si="32"/>
        <v>INSERT INTO attributes (parent_id, tag, name, priority, allow_as_filter, allow_for_dataset, allow_for_measurement, allow_for_users, allow_for_qc) VALUES (NULL, 'att_organ',  'Organ',  500,  TRUE, TRUE, TRUE, FALSE, FALSE);</v>
      </c>
      <c r="O308" s="6" t="str">
        <f t="shared" si="33"/>
        <v xml:space="preserve">INSERT INTO attribute_values (attribute_id, tag, name, details) VALUES ((SELECT id FROM attributes WHERE tag = 'att_organ' LIMIT 1),  'att_organ:veins',  'Veins',  'Veins'); </v>
      </c>
    </row>
    <row r="309" spans="1:15" x14ac:dyDescent="0.15">
      <c r="A309" s="11" t="s">
        <v>21</v>
      </c>
      <c r="B309" s="12"/>
      <c r="C309" s="6" t="s">
        <v>2650</v>
      </c>
      <c r="D309" s="6" t="s">
        <v>2651</v>
      </c>
      <c r="E309" s="6" t="s">
        <v>17</v>
      </c>
      <c r="F309" s="6" t="s">
        <v>193</v>
      </c>
      <c r="G309" s="6" t="s">
        <v>2652</v>
      </c>
      <c r="H309" s="6" t="str">
        <f t="shared" si="30"/>
        <v>att_organism</v>
      </c>
      <c r="I309" s="6" t="s">
        <v>2650</v>
      </c>
      <c r="J309" s="6" t="str">
        <f t="shared" si="31"/>
        <v>att_organism:bacteria</v>
      </c>
      <c r="K309" s="11" t="s">
        <v>21</v>
      </c>
      <c r="L309" s="6" t="s">
        <v>2651</v>
      </c>
      <c r="M309" s="6" t="s">
        <v>17</v>
      </c>
      <c r="N309" s="6" t="str">
        <f t="shared" si="32"/>
        <v>INSERT INTO attributes (parent_id, tag, name, priority, allow_as_filter, allow_for_dataset, allow_for_measurement, allow_for_users, allow_for_qc) VALUES (NULL, 'att_organism',  'Organism',  500,  TRUE, TRUE, TRUE, FALSE, FALSE);</v>
      </c>
      <c r="O309" s="6" t="str">
        <f t="shared" si="33"/>
        <v xml:space="preserve">INSERT INTO attribute_values (attribute_id, tag, name, details) VALUES ((SELECT id FROM attributes WHERE tag = 'att_organism' LIMIT 1),  'att_organism:bacteria',  'Bacteria',  'Bacteria'); </v>
      </c>
    </row>
    <row r="310" spans="1:15" x14ac:dyDescent="0.15">
      <c r="A310" s="11" t="s">
        <v>21</v>
      </c>
      <c r="B310" s="12"/>
      <c r="C310" s="6" t="s">
        <v>2653</v>
      </c>
      <c r="D310" s="6" t="s">
        <v>2192</v>
      </c>
      <c r="E310" s="6" t="s">
        <v>17</v>
      </c>
      <c r="F310" s="6" t="s">
        <v>193</v>
      </c>
      <c r="G310" s="6" t="s">
        <v>2652</v>
      </c>
      <c r="H310" s="6" t="str">
        <f t="shared" si="30"/>
        <v>att_organism</v>
      </c>
      <c r="I310" s="6" t="s">
        <v>2653</v>
      </c>
      <c r="J310" s="6" t="str">
        <f t="shared" si="31"/>
        <v>att_organism:elegans</v>
      </c>
      <c r="K310" s="11" t="s">
        <v>21</v>
      </c>
      <c r="L310" s="6" t="s">
        <v>2192</v>
      </c>
      <c r="M310" s="6" t="s">
        <v>17</v>
      </c>
      <c r="N310" s="6" t="str">
        <f t="shared" si="32"/>
        <v>INSERT INTO attributes (parent_id, tag, name, priority, allow_as_filter, allow_for_dataset, allow_for_measurement, allow_for_users, allow_for_qc) VALUES (NULL, 'att_organism',  'Organism',  500,  TRUE, TRUE, TRUE, FALSE, FALSE);</v>
      </c>
      <c r="O310" s="6" t="str">
        <f t="shared" si="33"/>
        <v xml:space="preserve">INSERT INTO attribute_values (attribute_id, tag, name, details) VALUES ((SELECT id FROM attributes WHERE tag = 'att_organism' LIMIT 1),  'att_organism:elegans',  'Caenorhabditis elegans',  'Caenorhabditis elegans'); </v>
      </c>
    </row>
    <row r="311" spans="1:15" x14ac:dyDescent="0.15">
      <c r="A311" s="11" t="s">
        <v>21</v>
      </c>
      <c r="B311" s="12"/>
      <c r="C311" s="6" t="s">
        <v>2654</v>
      </c>
      <c r="D311" s="6" t="s">
        <v>2655</v>
      </c>
      <c r="E311" s="6" t="s">
        <v>17</v>
      </c>
      <c r="F311" s="6" t="s">
        <v>193</v>
      </c>
      <c r="G311" s="6" t="s">
        <v>2652</v>
      </c>
      <c r="H311" s="6" t="str">
        <f t="shared" si="30"/>
        <v>att_organism</v>
      </c>
      <c r="I311" s="6" t="s">
        <v>2654</v>
      </c>
      <c r="J311" s="6" t="str">
        <f t="shared" si="31"/>
        <v>att_organism:gut</v>
      </c>
      <c r="K311" s="11" t="s">
        <v>21</v>
      </c>
      <c r="L311" s="6" t="s">
        <v>2656</v>
      </c>
      <c r="M311" s="6" t="s">
        <v>17</v>
      </c>
      <c r="N311" s="6" t="str">
        <f t="shared" si="32"/>
        <v>INSERT INTO attributes (parent_id, tag, name, priority, allow_as_filter, allow_for_dataset, allow_for_measurement, allow_for_users, allow_for_qc) VALUES (NULL, 'att_organism',  'Organism',  500,  TRUE, TRUE, TRUE, FALSE, FALSE);</v>
      </c>
      <c r="O311" s="6" t="str">
        <f t="shared" si="33"/>
        <v xml:space="preserve">INSERT INTO attribute_values (attribute_id, tag, name, details) VALUES ((SELECT id FROM attributes WHERE tag = 'att_organism' LIMIT 1),  'att_organism:gut',  'Gut Microbiom',  'Gut Microbiomm (Specify in Additional Info)'); </v>
      </c>
    </row>
    <row r="312" spans="1:15" x14ac:dyDescent="0.15">
      <c r="A312" s="11" t="s">
        <v>21</v>
      </c>
      <c r="B312" s="12"/>
      <c r="C312" s="6" t="s">
        <v>2203</v>
      </c>
      <c r="D312" s="6" t="s">
        <v>2204</v>
      </c>
      <c r="E312" s="6" t="s">
        <v>17</v>
      </c>
      <c r="F312" s="6" t="s">
        <v>193</v>
      </c>
      <c r="G312" s="6" t="s">
        <v>2652</v>
      </c>
      <c r="H312" s="6" t="str">
        <f t="shared" si="30"/>
        <v>att_organism</v>
      </c>
      <c r="I312" s="6" t="s">
        <v>2203</v>
      </c>
      <c r="J312" s="6" t="str">
        <f t="shared" si="31"/>
        <v>att_organism:human</v>
      </c>
      <c r="K312" s="11" t="s">
        <v>21</v>
      </c>
      <c r="L312" s="6" t="s">
        <v>2657</v>
      </c>
      <c r="M312" s="6" t="s">
        <v>17</v>
      </c>
      <c r="N312" s="6" t="str">
        <f t="shared" si="32"/>
        <v>INSERT INTO attributes (parent_id, tag, name, priority, allow_as_filter, allow_for_dataset, allow_for_measurement, allow_for_users, allow_for_qc) VALUES (NULL, 'att_organism',  'Organism',  500,  TRUE, TRUE, TRUE, FALSE, FALSE);</v>
      </c>
      <c r="O312" s="6" t="str">
        <f t="shared" si="33"/>
        <v xml:space="preserve">INSERT INTO attribute_values (attribute_id, tag, name, details) VALUES ((SELECT id FROM attributes WHERE tag = 'att_organism' LIMIT 1),  'att_organism:human',  'Homo sapiens',  'Homo sapiens (Human)'); </v>
      </c>
    </row>
    <row r="313" spans="1:15" x14ac:dyDescent="0.15">
      <c r="A313" s="11" t="s">
        <v>21</v>
      </c>
      <c r="B313" s="12"/>
      <c r="C313" s="6" t="s">
        <v>2187</v>
      </c>
      <c r="D313" s="6" t="s">
        <v>2188</v>
      </c>
      <c r="E313" s="6" t="s">
        <v>17</v>
      </c>
      <c r="F313" s="6" t="s">
        <v>193</v>
      </c>
      <c r="G313" s="6" t="s">
        <v>2652</v>
      </c>
      <c r="H313" s="6" t="str">
        <f t="shared" si="30"/>
        <v>att_organism</v>
      </c>
      <c r="I313" s="6" t="s">
        <v>2187</v>
      </c>
      <c r="J313" s="6" t="str">
        <f t="shared" si="31"/>
        <v>att_organism:mouse</v>
      </c>
      <c r="K313" s="11" t="s">
        <v>21</v>
      </c>
      <c r="L313" s="6" t="s">
        <v>2658</v>
      </c>
      <c r="M313" s="6" t="s">
        <v>17</v>
      </c>
      <c r="N313" s="6" t="str">
        <f t="shared" si="32"/>
        <v>INSERT INTO attributes (parent_id, tag, name, priority, allow_as_filter, allow_for_dataset, allow_for_measurement, allow_for_users, allow_for_qc) VALUES (NULL, 'att_organism',  'Organism',  500,  TRUE, TRUE, TRUE, FALSE, FALSE);</v>
      </c>
      <c r="O313" s="6" t="str">
        <f t="shared" si="33"/>
        <v xml:space="preserve">INSERT INTO attribute_values (attribute_id, tag, name, details) VALUES ((SELECT id FROM attributes WHERE tag = 'att_organism' LIMIT 1),  'att_organism:mouse',  'Mus musculus',  'Mus musculus (Mouse)'); </v>
      </c>
    </row>
    <row r="314" spans="1:15" x14ac:dyDescent="0.15">
      <c r="A314" s="11" t="s">
        <v>21</v>
      </c>
      <c r="B314" s="12"/>
      <c r="C314" s="6" t="s">
        <v>2199</v>
      </c>
      <c r="D314" s="6" t="s">
        <v>2200</v>
      </c>
      <c r="E314" s="6" t="s">
        <v>17</v>
      </c>
      <c r="F314" s="6" t="s">
        <v>193</v>
      </c>
      <c r="G314" s="6" t="s">
        <v>2652</v>
      </c>
      <c r="H314" s="6" t="str">
        <f t="shared" si="30"/>
        <v>att_organism</v>
      </c>
      <c r="I314" s="6" t="s">
        <v>2199</v>
      </c>
      <c r="J314" s="6" t="str">
        <f t="shared" si="31"/>
        <v>att_organism:rat</v>
      </c>
      <c r="K314" s="11" t="s">
        <v>21</v>
      </c>
      <c r="L314" s="6" t="s">
        <v>2659</v>
      </c>
      <c r="M314" s="6" t="s">
        <v>17</v>
      </c>
      <c r="N314" s="6" t="str">
        <f t="shared" si="32"/>
        <v>INSERT INTO attributes (parent_id, tag, name, priority, allow_as_filter, allow_for_dataset, allow_for_measurement, allow_for_users, allow_for_qc) VALUES (NULL, 'att_organism',  'Organism',  500,  TRUE, TRUE, TRUE, FALSE, FALSE);</v>
      </c>
      <c r="O314" s="6" t="str">
        <f t="shared" si="33"/>
        <v xml:space="preserve">INSERT INTO attribute_values (attribute_id, tag, name, details) VALUES ((SELECT id FROM attributes WHERE tag = 'att_organism' LIMIT 1),  'att_organism:rat',  'Rattus norvegicus',  'Rattus norvegicus (Rat)'); </v>
      </c>
    </row>
    <row r="315" spans="1:15" x14ac:dyDescent="0.15">
      <c r="A315" s="11" t="s">
        <v>21</v>
      </c>
      <c r="B315" s="12"/>
      <c r="C315" s="6" t="s">
        <v>2195</v>
      </c>
      <c r="D315" s="6" t="s">
        <v>2196</v>
      </c>
      <c r="E315" s="6" t="s">
        <v>17</v>
      </c>
      <c r="F315" s="6" t="s">
        <v>193</v>
      </c>
      <c r="G315" s="6" t="s">
        <v>2652</v>
      </c>
      <c r="H315" s="6" t="str">
        <f t="shared" si="30"/>
        <v>att_organism</v>
      </c>
      <c r="I315" s="6" t="s">
        <v>2195</v>
      </c>
      <c r="J315" s="6" t="str">
        <f t="shared" si="31"/>
        <v>att_organism:yeast</v>
      </c>
      <c r="K315" s="11" t="s">
        <v>21</v>
      </c>
      <c r="L315" s="6" t="s">
        <v>2660</v>
      </c>
      <c r="M315" s="6" t="s">
        <v>17</v>
      </c>
      <c r="N315" s="6" t="str">
        <f t="shared" si="32"/>
        <v>INSERT INTO attributes (parent_id, tag, name, priority, allow_as_filter, allow_for_dataset, allow_for_measurement, allow_for_users, allow_for_qc) VALUES (NULL, 'att_organism',  'Organism',  500,  TRUE, TRUE, TRUE, FALSE, FALSE);</v>
      </c>
      <c r="O315" s="6" t="str">
        <f t="shared" si="33"/>
        <v xml:space="preserve">INSERT INTO attribute_values (attribute_id, tag, name, details) VALUES ((SELECT id FROM attributes WHERE tag = 'att_organism' LIMIT 1),  'att_organism:yeast',  'Saccharomyces cerevisiae',  'Saccharomyces cerevisiae (Baker's Yeast)'); </v>
      </c>
    </row>
    <row r="316" spans="1:15" x14ac:dyDescent="0.15">
      <c r="A316" s="12" t="b">
        <f>FALSE()</f>
        <v>0</v>
      </c>
      <c r="B316" s="12"/>
      <c r="C316" s="6" t="s">
        <v>2206</v>
      </c>
      <c r="D316" s="6" t="s">
        <v>2208</v>
      </c>
      <c r="E316" s="6" t="s">
        <v>17</v>
      </c>
      <c r="F316" s="6" t="s">
        <v>2661</v>
      </c>
      <c r="G316" s="6" t="s">
        <v>2662</v>
      </c>
      <c r="H316" s="6" t="str">
        <f t="shared" si="30"/>
        <v>att_organsystem</v>
      </c>
      <c r="I316" s="6" t="s">
        <v>2206</v>
      </c>
      <c r="J316" s="6" t="str">
        <f t="shared" si="31"/>
        <v>att_organsystem:cardiovascular</v>
      </c>
      <c r="K316" s="11" t="s">
        <v>21</v>
      </c>
      <c r="L316" s="6" t="s">
        <v>2209</v>
      </c>
      <c r="M316" s="6" t="s">
        <v>17</v>
      </c>
      <c r="N316" s="6" t="str">
        <f t="shared" si="32"/>
        <v>INSERT INTO attributes (parent_id, tag, name, priority, allow_as_filter, allow_for_dataset, allow_for_measurement, allow_for_users, allow_for_qc) VALUES (NULL, 'att_organsystem',  'Organ System',  500,  TRUE, TRUE, TRUE, FALSE, FALSE);</v>
      </c>
      <c r="O316" s="6" t="str">
        <f t="shared" si="33"/>
        <v xml:space="preserve">INSERT INTO attribute_values (attribute_id, tag, name, details) VALUES ((SELECT id FROM attributes WHERE tag = 'att_organsystem' LIMIT 1),  'att_organsystem:cardiovascular',  'Cardiovascular',  'Cardiovascular System'); </v>
      </c>
    </row>
    <row r="317" spans="1:15" x14ac:dyDescent="0.15">
      <c r="A317" s="12" t="b">
        <f>FALSE()</f>
        <v>0</v>
      </c>
      <c r="B317" s="12"/>
      <c r="C317" s="6" t="s">
        <v>2210</v>
      </c>
      <c r="D317" s="6" t="s">
        <v>2211</v>
      </c>
      <c r="E317" s="6" t="s">
        <v>17</v>
      </c>
      <c r="F317" s="6" t="s">
        <v>2661</v>
      </c>
      <c r="G317" s="6" t="s">
        <v>2662</v>
      </c>
      <c r="H317" s="6" t="str">
        <f t="shared" si="30"/>
        <v>att_organsystem</v>
      </c>
      <c r="I317" s="6" t="s">
        <v>2210</v>
      </c>
      <c r="J317" s="6" t="str">
        <f t="shared" si="31"/>
        <v>att_organsystem:digestive</v>
      </c>
      <c r="K317" s="11" t="s">
        <v>21</v>
      </c>
      <c r="L317" s="6" t="s">
        <v>2212</v>
      </c>
      <c r="M317" s="6" t="s">
        <v>17</v>
      </c>
      <c r="N317" s="6" t="str">
        <f t="shared" si="32"/>
        <v>INSERT INTO attributes (parent_id, tag, name, priority, allow_as_filter, allow_for_dataset, allow_for_measurement, allow_for_users, allow_for_qc) VALUES (NULL, 'att_organsystem',  'Organ System',  500,  TRUE, TRUE, TRUE, FALSE, FALSE);</v>
      </c>
      <c r="O317" s="6" t="str">
        <f t="shared" si="33"/>
        <v xml:space="preserve">INSERT INTO attribute_values (attribute_id, tag, name, details) VALUES ((SELECT id FROM attributes WHERE tag = 'att_organsystem' LIMIT 1),  'att_organsystem:digestive',  'Digestive',  'Digestive System'); </v>
      </c>
    </row>
    <row r="318" spans="1:15" x14ac:dyDescent="0.15">
      <c r="A318" s="12" t="b">
        <f>FALSE()</f>
        <v>0</v>
      </c>
      <c r="B318" s="12"/>
      <c r="C318" s="6" t="s">
        <v>2213</v>
      </c>
      <c r="D318" s="6" t="s">
        <v>2214</v>
      </c>
      <c r="E318" s="6" t="s">
        <v>17</v>
      </c>
      <c r="F318" s="6" t="s">
        <v>2661</v>
      </c>
      <c r="G318" s="6" t="s">
        <v>2662</v>
      </c>
      <c r="H318" s="6" t="str">
        <f t="shared" si="30"/>
        <v>att_organsystem</v>
      </c>
      <c r="I318" s="6" t="s">
        <v>2213</v>
      </c>
      <c r="J318" s="6" t="str">
        <f t="shared" si="31"/>
        <v>att_organsystem:endocrine</v>
      </c>
      <c r="K318" s="11" t="s">
        <v>21</v>
      </c>
      <c r="L318" s="6" t="s">
        <v>2215</v>
      </c>
      <c r="M318" s="6" t="s">
        <v>17</v>
      </c>
      <c r="N318" s="6" t="str">
        <f t="shared" si="32"/>
        <v>INSERT INTO attributes (parent_id, tag, name, priority, allow_as_filter, allow_for_dataset, allow_for_measurement, allow_for_users, allow_for_qc) VALUES (NULL, 'att_organsystem',  'Organ System',  500,  TRUE, TRUE, TRUE, FALSE, FALSE);</v>
      </c>
      <c r="O318" s="6" t="str">
        <f t="shared" si="33"/>
        <v xml:space="preserve">INSERT INTO attribute_values (attribute_id, tag, name, details) VALUES ((SELECT id FROM attributes WHERE tag = 'att_organsystem' LIMIT 1),  'att_organsystem:endocrine',  'Endocrine',  'Endocrine System'); </v>
      </c>
    </row>
    <row r="319" spans="1:15" x14ac:dyDescent="0.15">
      <c r="A319" s="12" t="b">
        <f>FALSE()</f>
        <v>0</v>
      </c>
      <c r="B319" s="12"/>
      <c r="C319" s="6" t="s">
        <v>2216</v>
      </c>
      <c r="D319" s="6" t="s">
        <v>2217</v>
      </c>
      <c r="E319" s="6" t="s">
        <v>17</v>
      </c>
      <c r="F319" s="6" t="s">
        <v>2661</v>
      </c>
      <c r="G319" s="6" t="s">
        <v>2662</v>
      </c>
      <c r="H319" s="6" t="str">
        <f t="shared" si="30"/>
        <v>att_organsystem</v>
      </c>
      <c r="I319" s="6" t="s">
        <v>2216</v>
      </c>
      <c r="J319" s="6" t="str">
        <f t="shared" si="31"/>
        <v>att_organsystem:excretory</v>
      </c>
      <c r="K319" s="11" t="s">
        <v>21</v>
      </c>
      <c r="L319" s="6" t="s">
        <v>2218</v>
      </c>
      <c r="M319" s="6" t="s">
        <v>17</v>
      </c>
      <c r="N319" s="6" t="str">
        <f t="shared" si="32"/>
        <v>INSERT INTO attributes (parent_id, tag, name, priority, allow_as_filter, allow_for_dataset, allow_for_measurement, allow_for_users, allow_for_qc) VALUES (NULL, 'att_organsystem',  'Organ System',  500,  TRUE, TRUE, TRUE, FALSE, FALSE);</v>
      </c>
      <c r="O319" s="6" t="str">
        <f t="shared" si="33"/>
        <v xml:space="preserve">INSERT INTO attribute_values (attribute_id, tag, name, details) VALUES ((SELECT id FROM attributes WHERE tag = 'att_organsystem' LIMIT 1),  'att_organsystem:excretory',  'Excretory',  'Excretory System'); </v>
      </c>
    </row>
    <row r="320" spans="1:15" x14ac:dyDescent="0.15">
      <c r="A320" s="12" t="b">
        <f>FALSE()</f>
        <v>0</v>
      </c>
      <c r="B320" s="12"/>
      <c r="C320" s="6" t="s">
        <v>2219</v>
      </c>
      <c r="D320" s="6" t="s">
        <v>2220</v>
      </c>
      <c r="E320" s="6" t="s">
        <v>17</v>
      </c>
      <c r="F320" s="6" t="s">
        <v>2661</v>
      </c>
      <c r="G320" s="6" t="s">
        <v>2662</v>
      </c>
      <c r="H320" s="6" t="str">
        <f t="shared" si="30"/>
        <v>att_organsystem</v>
      </c>
      <c r="I320" s="6" t="s">
        <v>2219</v>
      </c>
      <c r="J320" s="6" t="str">
        <f t="shared" si="31"/>
        <v>att_organsystem:integumentary</v>
      </c>
      <c r="K320" s="11" t="s">
        <v>21</v>
      </c>
      <c r="L320" s="6" t="s">
        <v>2221</v>
      </c>
      <c r="M320" s="6" t="s">
        <v>17</v>
      </c>
      <c r="N320" s="6" t="str">
        <f t="shared" si="32"/>
        <v>INSERT INTO attributes (parent_id, tag, name, priority, allow_as_filter, allow_for_dataset, allow_for_measurement, allow_for_users, allow_for_qc) VALUES (NULL, 'att_organsystem',  'Organ System',  500,  TRUE, TRUE, TRUE, FALSE, FALSE);</v>
      </c>
      <c r="O320" s="6" t="str">
        <f t="shared" si="33"/>
        <v xml:space="preserve">INSERT INTO attribute_values (attribute_id, tag, name, details) VALUES ((SELECT id FROM attributes WHERE tag = 'att_organsystem' LIMIT 1),  'att_organsystem:integumentary',  'Integumentary',  'Integumentary System'); </v>
      </c>
    </row>
    <row r="321" spans="1:15" x14ac:dyDescent="0.15">
      <c r="A321" s="12" t="b">
        <f>FALSE()</f>
        <v>0</v>
      </c>
      <c r="B321" s="12"/>
      <c r="C321" s="6" t="s">
        <v>2222</v>
      </c>
      <c r="D321" s="6" t="s">
        <v>2223</v>
      </c>
      <c r="E321" s="6" t="s">
        <v>17</v>
      </c>
      <c r="F321" s="6" t="s">
        <v>2661</v>
      </c>
      <c r="G321" s="6" t="s">
        <v>2662</v>
      </c>
      <c r="H321" s="6" t="str">
        <f t="shared" si="30"/>
        <v>att_organsystem</v>
      </c>
      <c r="I321" s="6" t="s">
        <v>2222</v>
      </c>
      <c r="J321" s="6" t="str">
        <f t="shared" si="31"/>
        <v>att_organsystem:lymphatic</v>
      </c>
      <c r="K321" s="11" t="s">
        <v>21</v>
      </c>
      <c r="L321" s="6" t="s">
        <v>2224</v>
      </c>
      <c r="M321" s="6" t="s">
        <v>17</v>
      </c>
      <c r="N321" s="6" t="str">
        <f t="shared" si="32"/>
        <v>INSERT INTO attributes (parent_id, tag, name, priority, allow_as_filter, allow_for_dataset, allow_for_measurement, allow_for_users, allow_for_qc) VALUES (NULL, 'att_organsystem',  'Organ System',  500,  TRUE, TRUE, TRUE, FALSE, FALSE);</v>
      </c>
      <c r="O321" s="6" t="str">
        <f t="shared" si="33"/>
        <v xml:space="preserve">INSERT INTO attribute_values (attribute_id, tag, name, details) VALUES ((SELECT id FROM attributes WHERE tag = 'att_organsystem' LIMIT 1),  'att_organsystem:lymphatic',  'Lymphatic',  'Lymphatic System'); </v>
      </c>
    </row>
    <row r="322" spans="1:15" x14ac:dyDescent="0.15">
      <c r="A322" s="12" t="b">
        <f>FALSE()</f>
        <v>0</v>
      </c>
      <c r="B322" s="12"/>
      <c r="C322" s="6" t="s">
        <v>2225</v>
      </c>
      <c r="D322" s="6" t="s">
        <v>2226</v>
      </c>
      <c r="E322" s="6" t="s">
        <v>17</v>
      </c>
      <c r="F322" s="6" t="s">
        <v>2661</v>
      </c>
      <c r="G322" s="6" t="s">
        <v>2662</v>
      </c>
      <c r="H322" s="6" t="str">
        <f t="shared" si="30"/>
        <v>att_organsystem</v>
      </c>
      <c r="I322" s="6" t="s">
        <v>2225</v>
      </c>
      <c r="J322" s="6" t="str">
        <f t="shared" si="31"/>
        <v>att_organsystem:muscular</v>
      </c>
      <c r="K322" s="11" t="s">
        <v>21</v>
      </c>
      <c r="L322" s="6" t="s">
        <v>2227</v>
      </c>
      <c r="M322" s="6" t="s">
        <v>17</v>
      </c>
      <c r="N322" s="6" t="str">
        <f t="shared" si="32"/>
        <v>INSERT INTO attributes (parent_id, tag, name, priority, allow_as_filter, allow_for_dataset, allow_for_measurement, allow_for_users, allow_for_qc) VALUES (NULL, 'att_organsystem',  'Organ System',  500,  TRUE, TRUE, TRUE, FALSE, FALSE);</v>
      </c>
      <c r="O322" s="6" t="str">
        <f t="shared" si="33"/>
        <v xml:space="preserve">INSERT INTO attribute_values (attribute_id, tag, name, details) VALUES ((SELECT id FROM attributes WHERE tag = 'att_organsystem' LIMIT 1),  'att_organsystem:muscular',  'Muscular',  'Muscular System'); </v>
      </c>
    </row>
    <row r="323" spans="1:15" x14ac:dyDescent="0.15">
      <c r="A323" s="12" t="b">
        <f>FALSE()</f>
        <v>0</v>
      </c>
      <c r="B323" s="12"/>
      <c r="C323" s="6" t="s">
        <v>2663</v>
      </c>
      <c r="D323" s="6" t="s">
        <v>2229</v>
      </c>
      <c r="E323" s="6" t="s">
        <v>17</v>
      </c>
      <c r="F323" s="6" t="s">
        <v>2661</v>
      </c>
      <c r="G323" s="6" t="s">
        <v>2662</v>
      </c>
      <c r="H323" s="6" t="str">
        <f t="shared" si="30"/>
        <v>att_organsystem</v>
      </c>
      <c r="I323" s="6" t="s">
        <v>2228</v>
      </c>
      <c r="J323" s="6" t="str">
        <f t="shared" si="31"/>
        <v>att_organsystem:nervous_system</v>
      </c>
      <c r="K323" s="11" t="s">
        <v>21</v>
      </c>
      <c r="L323" s="6" t="s">
        <v>2230</v>
      </c>
      <c r="M323" s="6" t="s">
        <v>17</v>
      </c>
      <c r="N323" s="6" t="str">
        <f t="shared" si="32"/>
        <v>INSERT INTO attributes (parent_id, tag, name, priority, allow_as_filter, allow_for_dataset, allow_for_measurement, allow_for_users, allow_for_qc) VALUES (NULL, 'att_organsystem',  'Organ System',  500,  TRUE, TRUE, TRUE, FALSE, FALSE);</v>
      </c>
      <c r="O323" s="6" t="str">
        <f t="shared" si="33"/>
        <v xml:space="preserve">INSERT INTO attribute_values (attribute_id, tag, name, details) VALUES ((SELECT id FROM attributes WHERE tag = 'att_organsystem' LIMIT 1),  'att_organsystem:nervous_system',  'Nervous',  'Nervous System'); </v>
      </c>
    </row>
    <row r="324" spans="1:15" x14ac:dyDescent="0.15">
      <c r="A324" s="12" t="b">
        <f>FALSE()</f>
        <v>0</v>
      </c>
      <c r="B324" s="12"/>
      <c r="C324" s="6" t="s">
        <v>2231</v>
      </c>
      <c r="D324" s="6" t="s">
        <v>2232</v>
      </c>
      <c r="E324" s="6" t="s">
        <v>17</v>
      </c>
      <c r="F324" s="6" t="s">
        <v>2661</v>
      </c>
      <c r="G324" s="6" t="s">
        <v>2662</v>
      </c>
      <c r="H324" s="6" t="str">
        <f t="shared" si="30"/>
        <v>att_organsystem</v>
      </c>
      <c r="I324" s="6" t="s">
        <v>2231</v>
      </c>
      <c r="J324" s="6" t="str">
        <f t="shared" si="31"/>
        <v>att_organsystem:reproductive</v>
      </c>
      <c r="K324" s="11" t="s">
        <v>21</v>
      </c>
      <c r="L324" s="6" t="s">
        <v>2233</v>
      </c>
      <c r="M324" s="6" t="s">
        <v>17</v>
      </c>
      <c r="N324" s="6" t="str">
        <f t="shared" si="32"/>
        <v>INSERT INTO attributes (parent_id, tag, name, priority, allow_as_filter, allow_for_dataset, allow_for_measurement, allow_for_users, allow_for_qc) VALUES (NULL, 'att_organsystem',  'Organ System',  500,  TRUE, TRUE, TRUE, FALSE, FALSE);</v>
      </c>
      <c r="O324" s="6" t="str">
        <f t="shared" si="33"/>
        <v xml:space="preserve">INSERT INTO attribute_values (attribute_id, tag, name, details) VALUES ((SELECT id FROM attributes WHERE tag = 'att_organsystem' LIMIT 1),  'att_organsystem:reproductive',  'Reproductive',  'Reproductive System'); </v>
      </c>
    </row>
    <row r="325" spans="1:15" x14ac:dyDescent="0.15">
      <c r="A325" s="12" t="b">
        <f>FALSE()</f>
        <v>0</v>
      </c>
      <c r="B325" s="12"/>
      <c r="C325" s="6" t="s">
        <v>2234</v>
      </c>
      <c r="D325" s="6" t="s">
        <v>2235</v>
      </c>
      <c r="E325" s="6" t="s">
        <v>17</v>
      </c>
      <c r="F325" s="6" t="s">
        <v>2661</v>
      </c>
      <c r="G325" s="6" t="s">
        <v>2662</v>
      </c>
      <c r="H325" s="6" t="str">
        <f t="shared" si="30"/>
        <v>att_organsystem</v>
      </c>
      <c r="I325" s="6" t="s">
        <v>2234</v>
      </c>
      <c r="J325" s="6" t="str">
        <f t="shared" si="31"/>
        <v>att_organsystem:respiratory</v>
      </c>
      <c r="K325" s="11" t="s">
        <v>21</v>
      </c>
      <c r="L325" s="6" t="s">
        <v>2236</v>
      </c>
      <c r="M325" s="6" t="s">
        <v>17</v>
      </c>
      <c r="N325" s="6" t="str">
        <f t="shared" si="32"/>
        <v>INSERT INTO attributes (parent_id, tag, name, priority, allow_as_filter, allow_for_dataset, allow_for_measurement, allow_for_users, allow_for_qc) VALUES (NULL, 'att_organsystem',  'Organ System',  500,  TRUE, TRUE, TRUE, FALSE, FALSE);</v>
      </c>
      <c r="O325" s="6" t="str">
        <f t="shared" si="33"/>
        <v xml:space="preserve">INSERT INTO attribute_values (attribute_id, tag, name, details) VALUES ((SELECT id FROM attributes WHERE tag = 'att_organsystem' LIMIT 1),  'att_organsystem:respiratory',  'Respiratory',  'Respiratory System'); </v>
      </c>
    </row>
    <row r="326" spans="1:15" x14ac:dyDescent="0.15">
      <c r="A326" s="12" t="b">
        <f>FALSE()</f>
        <v>0</v>
      </c>
      <c r="B326" s="12"/>
      <c r="C326" s="6" t="s">
        <v>2237</v>
      </c>
      <c r="D326" s="6" t="s">
        <v>2238</v>
      </c>
      <c r="E326" s="6" t="s">
        <v>17</v>
      </c>
      <c r="F326" s="6" t="s">
        <v>2661</v>
      </c>
      <c r="G326" s="6" t="s">
        <v>2662</v>
      </c>
      <c r="H326" s="6" t="str">
        <f t="shared" si="30"/>
        <v>att_organsystem</v>
      </c>
      <c r="I326" s="6" t="s">
        <v>2237</v>
      </c>
      <c r="J326" s="6" t="str">
        <f t="shared" si="31"/>
        <v>att_organsystem:skeletal</v>
      </c>
      <c r="K326" s="11" t="s">
        <v>21</v>
      </c>
      <c r="L326" s="6" t="s">
        <v>2239</v>
      </c>
      <c r="M326" s="6" t="s">
        <v>17</v>
      </c>
      <c r="N326" s="6" t="str">
        <f t="shared" si="32"/>
        <v>INSERT INTO attributes (parent_id, tag, name, priority, allow_as_filter, allow_for_dataset, allow_for_measurement, allow_for_users, allow_for_qc) VALUES (NULL, 'att_organsystem',  'Organ System',  500,  TRUE, TRUE, TRUE, FALSE, FALSE);</v>
      </c>
      <c r="O326" s="6" t="str">
        <f t="shared" si="33"/>
        <v xml:space="preserve">INSERT INTO attribute_values (attribute_id, tag, name, details) VALUES ((SELECT id FROM attributes WHERE tag = 'att_organsystem' LIMIT 1),  'att_organsystem:skeletal',  'Skeletal',  'Skeletal System'); </v>
      </c>
    </row>
    <row r="327" spans="1:15" x14ac:dyDescent="0.15">
      <c r="A327" s="12" t="b">
        <f>FALSE()</f>
        <v>0</v>
      </c>
      <c r="B327" s="12"/>
      <c r="C327" s="6" t="s">
        <v>2240</v>
      </c>
      <c r="D327" s="6" t="s">
        <v>2241</v>
      </c>
      <c r="E327" s="6" t="s">
        <v>17</v>
      </c>
      <c r="F327" s="6" t="s">
        <v>2661</v>
      </c>
      <c r="G327" s="6" t="s">
        <v>2662</v>
      </c>
      <c r="H327" s="6" t="str">
        <f t="shared" si="30"/>
        <v>att_organsystem</v>
      </c>
      <c r="I327" s="6" t="s">
        <v>2240</v>
      </c>
      <c r="J327" s="6" t="str">
        <f t="shared" si="31"/>
        <v>att_organsystem:urinary</v>
      </c>
      <c r="K327" s="11" t="s">
        <v>21</v>
      </c>
      <c r="L327" s="6" t="s">
        <v>2242</v>
      </c>
      <c r="M327" s="6" t="s">
        <v>17</v>
      </c>
      <c r="N327" s="6" t="str">
        <f t="shared" si="32"/>
        <v>INSERT INTO attributes (parent_id, tag, name, priority, allow_as_filter, allow_for_dataset, allow_for_measurement, allow_for_users, allow_for_qc) VALUES (NULL, 'att_organsystem',  'Organ System',  500,  TRUE, TRUE, TRUE, FALSE, FALSE);</v>
      </c>
      <c r="O327" s="6" t="str">
        <f t="shared" si="33"/>
        <v xml:space="preserve">INSERT INTO attribute_values (attribute_id, tag, name, details) VALUES ((SELECT id FROM attributes WHERE tag = 'att_organsystem' LIMIT 1),  'att_organsystem:urinary',  'Urinary',  'Urinary system'); </v>
      </c>
    </row>
    <row r="328" spans="1:15" s="14" customFormat="1" x14ac:dyDescent="0.15">
      <c r="A328" s="13" t="b">
        <f>FALSE()</f>
        <v>0</v>
      </c>
      <c r="B328" s="13"/>
      <c r="C328" s="14" t="s">
        <v>2664</v>
      </c>
      <c r="D328" s="14" t="s">
        <v>2665</v>
      </c>
      <c r="E328" s="14" t="s">
        <v>17</v>
      </c>
      <c r="F328" s="14" t="s">
        <v>2666</v>
      </c>
      <c r="G328" s="14" t="s">
        <v>2667</v>
      </c>
      <c r="H328" s="14" t="str">
        <f t="shared" si="30"/>
        <v>att_phenotype</v>
      </c>
      <c r="I328" s="14" t="s">
        <v>2664</v>
      </c>
      <c r="J328" s="14" t="str">
        <f t="shared" si="31"/>
        <v>att_phenotype:kd</v>
      </c>
      <c r="K328" s="15" t="s">
        <v>21</v>
      </c>
      <c r="L328" s="14" t="s">
        <v>139</v>
      </c>
      <c r="M328" s="14" t="s">
        <v>17</v>
      </c>
      <c r="N328" s="14" t="str">
        <f t="shared" si="32"/>
        <v>INSERT INTO attributes (parent_id, tag, name, priority, allow_as_filter, allow_for_dataset, allow_for_measurement, allow_for_users, allow_for_qc) VALUES (NULL, 'att_phenotype',  'Phenotype',  500,  TRUE, TRUE, TRUE, FALSE, FALSE);</v>
      </c>
      <c r="O328" s="14" t="str">
        <f t="shared" si="33"/>
        <v xml:space="preserve">INSERT INTO attribute_values (attribute_id, tag, name, details) VALUES ((SELECT id FROM attributes WHERE tag = 'att_phenotype' LIMIT 1),  'att_phenotype:kd',  'knockdown (kd)',  'knockdown'); </v>
      </c>
    </row>
    <row r="329" spans="1:15" s="14" customFormat="1" x14ac:dyDescent="0.15">
      <c r="A329" s="13" t="b">
        <f>FALSE()</f>
        <v>0</v>
      </c>
      <c r="B329" s="13"/>
      <c r="C329" s="14" t="s">
        <v>1273</v>
      </c>
      <c r="D329" s="14" t="s">
        <v>2668</v>
      </c>
      <c r="E329" s="14" t="s">
        <v>17</v>
      </c>
      <c r="F329" s="14" t="s">
        <v>2666</v>
      </c>
      <c r="G329" s="14" t="s">
        <v>2667</v>
      </c>
      <c r="H329" s="14" t="str">
        <f t="shared" si="30"/>
        <v>att_phenotype</v>
      </c>
      <c r="I329" s="14" t="s">
        <v>1273</v>
      </c>
      <c r="J329" s="14" t="str">
        <f t="shared" si="31"/>
        <v>att_phenotype:ko</v>
      </c>
      <c r="K329" s="15" t="s">
        <v>21</v>
      </c>
      <c r="L329" s="14" t="s">
        <v>2594</v>
      </c>
      <c r="M329" s="14" t="s">
        <v>17</v>
      </c>
      <c r="N329" s="14" t="str">
        <f t="shared" si="32"/>
        <v>INSERT INTO attributes (parent_id, tag, name, priority, allow_as_filter, allow_for_dataset, allow_for_measurement, allow_for_users, allow_for_qc) VALUES (NULL, 'att_phenotype',  'Phenotype',  500,  TRUE, TRUE, TRUE, FALSE, FALSE);</v>
      </c>
      <c r="O329" s="14" t="str">
        <f t="shared" si="33"/>
        <v xml:space="preserve">INSERT INTO attribute_values (attribute_id, tag, name, details) VALUES ((SELECT id FROM attributes WHERE tag = 'att_phenotype' LIMIT 1),  'att_phenotype:ko',  'knockout (ko)',  'knockout'); </v>
      </c>
    </row>
    <row r="330" spans="1:15" s="14" customFormat="1" x14ac:dyDescent="0.15">
      <c r="A330" s="13" t="b">
        <f>FALSE()</f>
        <v>0</v>
      </c>
      <c r="B330" s="13"/>
      <c r="C330" s="14" t="s">
        <v>2669</v>
      </c>
      <c r="D330" s="14" t="s">
        <v>2670</v>
      </c>
      <c r="E330" s="14" t="s">
        <v>17</v>
      </c>
      <c r="F330" s="14" t="s">
        <v>2666</v>
      </c>
      <c r="G330" s="14" t="s">
        <v>2667</v>
      </c>
      <c r="H330" s="14" t="str">
        <f t="shared" si="30"/>
        <v>att_phenotype</v>
      </c>
      <c r="I330" s="14" t="s">
        <v>2669</v>
      </c>
      <c r="J330" s="14" t="str">
        <f t="shared" si="31"/>
        <v>att_phenotype:mt</v>
      </c>
      <c r="K330" s="15" t="s">
        <v>21</v>
      </c>
      <c r="L330" s="14" t="s">
        <v>2671</v>
      </c>
      <c r="M330" s="14" t="s">
        <v>17</v>
      </c>
      <c r="N330" s="14" t="str">
        <f t="shared" si="32"/>
        <v>INSERT INTO attributes (parent_id, tag, name, priority, allow_as_filter, allow_for_dataset, allow_for_measurement, allow_for_users, allow_for_qc) VALUES (NULL, 'att_phenotype',  'Phenotype',  500,  TRUE, TRUE, TRUE, FALSE, FALSE);</v>
      </c>
      <c r="O330" s="14" t="str">
        <f t="shared" si="33"/>
        <v xml:space="preserve">INSERT INTO attribute_values (attribute_id, tag, name, details) VALUES ((SELECT id FROM attributes WHERE tag = 'att_phenotype' LIMIT 1),  'att_phenotype:mt',  'mutant (mt)',  'mutated'); </v>
      </c>
    </row>
    <row r="331" spans="1:15" s="14" customFormat="1" x14ac:dyDescent="0.15">
      <c r="A331" s="13" t="b">
        <f>FALSE()</f>
        <v>0</v>
      </c>
      <c r="B331" s="13"/>
      <c r="C331" s="14" t="s">
        <v>2672</v>
      </c>
      <c r="D331" s="14" t="s">
        <v>2673</v>
      </c>
      <c r="E331" s="14" t="s">
        <v>17</v>
      </c>
      <c r="F331" s="14" t="s">
        <v>2666</v>
      </c>
      <c r="G331" s="14" t="s">
        <v>2667</v>
      </c>
      <c r="H331" s="14" t="str">
        <f t="shared" si="30"/>
        <v>att_phenotype</v>
      </c>
      <c r="I331" s="14" t="s">
        <v>2672</v>
      </c>
      <c r="J331" s="14" t="str">
        <f t="shared" si="31"/>
        <v>att_phenotype:wt</v>
      </c>
      <c r="K331" s="15" t="s">
        <v>21</v>
      </c>
      <c r="L331" s="14" t="s">
        <v>2674</v>
      </c>
      <c r="M331" s="14" t="s">
        <v>17</v>
      </c>
      <c r="N331" s="14" t="str">
        <f t="shared" si="32"/>
        <v>INSERT INTO attributes (parent_id, tag, name, priority, allow_as_filter, allow_for_dataset, allow_for_measurement, allow_for_users, allow_for_qc) VALUES (NULL, 'att_phenotype',  'Phenotype',  500,  TRUE, TRUE, TRUE, FALSE, FALSE);</v>
      </c>
      <c r="O331" s="14" t="str">
        <f t="shared" si="33"/>
        <v xml:space="preserve">INSERT INTO attribute_values (attribute_id, tag, name, details) VALUES ((SELECT id FROM attributes WHERE tag = 'att_phenotype' LIMIT 1),  'att_phenotype:wt',  'wild type (wt)',  'wilde type cells'); </v>
      </c>
    </row>
    <row r="332" spans="1:15" x14ac:dyDescent="0.15">
      <c r="A332" s="11" t="s">
        <v>21</v>
      </c>
      <c r="B332" s="11"/>
      <c r="C332" s="6" t="s">
        <v>2324</v>
      </c>
      <c r="D332" s="6" t="s">
        <v>2324</v>
      </c>
      <c r="E332" s="6" t="s">
        <v>17</v>
      </c>
      <c r="F332" s="6" t="s">
        <v>209</v>
      </c>
      <c r="G332" s="6" t="s">
        <v>2675</v>
      </c>
      <c r="H332" s="6" t="str">
        <f t="shared" si="30"/>
        <v>att_quantification</v>
      </c>
      <c r="I332" s="6" t="s">
        <v>2324</v>
      </c>
      <c r="J332" s="6" t="str">
        <f t="shared" si="31"/>
        <v>att_quantification:isobaric</v>
      </c>
      <c r="K332" s="11" t="s">
        <v>21</v>
      </c>
      <c r="L332" s="6" t="s">
        <v>2325</v>
      </c>
      <c r="M332" s="6" t="s">
        <v>17</v>
      </c>
      <c r="N332" s="6" t="str">
        <f t="shared" si="32"/>
        <v>INSERT INTO attributes (parent_id, tag, name, priority, allow_as_filter, allow_for_dataset, allow_for_measurement, allow_for_users, allow_for_qc) VALUES (NULL, 'att_quantification',  'Quantification Type',  500,  TRUE, TRUE, TRUE, FALSE, FALSE);</v>
      </c>
      <c r="O332" s="6" t="str">
        <f t="shared" si="33"/>
        <v xml:space="preserve">INSERT INTO attribute_values (attribute_id, tag, name, details) VALUES ((SELECT id FROM attributes WHERE tag = 'att_quantification' LIMIT 1),  'att_quantification:isobaric',  'isobaric',  'isobaric (TMT)'); </v>
      </c>
    </row>
    <row r="333" spans="1:15" x14ac:dyDescent="0.15">
      <c r="A333" s="11" t="s">
        <v>21</v>
      </c>
      <c r="B333" s="11"/>
      <c r="C333" s="6" t="s">
        <v>2326</v>
      </c>
      <c r="D333" s="6" t="s">
        <v>2326</v>
      </c>
      <c r="E333" s="6" t="s">
        <v>17</v>
      </c>
      <c r="F333" s="6" t="s">
        <v>209</v>
      </c>
      <c r="G333" s="6" t="s">
        <v>2675</v>
      </c>
      <c r="H333" s="6" t="str">
        <f t="shared" ref="H333:H364" si="34">"att_"&amp;G333</f>
        <v>att_quantification</v>
      </c>
      <c r="I333" s="6" t="s">
        <v>2326</v>
      </c>
      <c r="J333" s="6" t="str">
        <f t="shared" ref="J333:J364" si="35">H333&amp;":"&amp;I333</f>
        <v>att_quantification:istopic</v>
      </c>
      <c r="K333" s="11" t="s">
        <v>21</v>
      </c>
      <c r="L333" s="6" t="s">
        <v>2327</v>
      </c>
      <c r="M333" s="6" t="s">
        <v>17</v>
      </c>
      <c r="N333" s="6" t="str">
        <f t="shared" ref="N333:N365" si="36">"INSERT INTO attributes (parent_id, tag, name, priority, allow_as_filter, allow_for_dataset, allow_for_measurement, allow_for_users, allow_for_qc) VALUES (NULL, '"&amp;H333&amp;"',  '"&amp;F333&amp;"',  500,  TRUE, TRUE, TRUE, FALSE, FALSE);"</f>
        <v>INSERT INTO attributes (parent_id, tag, name, priority, allow_as_filter, allow_for_dataset, allow_for_measurement, allow_for_users, allow_for_qc) VALUES (NULL, 'att_quantification',  'Quantification Type',  500,  TRUE, TRUE, TRUE, FALSE, FALSE);</v>
      </c>
      <c r="O333" s="6" t="str">
        <f t="shared" ref="O333:O365" si="37">"INSERT INTO attribute_values (attribute_id, tag, name, details) VALUES ((SELECT id FROM attributes WHERE tag = '"&amp;H333&amp;"' LIMIT 1),  '"&amp;J333&amp;"',  '"&amp;D333&amp;"',  '"&amp;L333&amp;"'); "</f>
        <v xml:space="preserve">INSERT INTO attribute_values (attribute_id, tag, name, details) VALUES ((SELECT id FROM attributes WHERE tag = 'att_quantification' LIMIT 1),  'att_quantification:istopic',  'istopic',  'istopic (PlexDIA)'); </v>
      </c>
    </row>
    <row r="334" spans="1:15" x14ac:dyDescent="0.15">
      <c r="A334" s="11" t="s">
        <v>21</v>
      </c>
      <c r="B334" s="11"/>
      <c r="C334" s="6" t="s">
        <v>2676</v>
      </c>
      <c r="D334" s="6" t="s">
        <v>2329</v>
      </c>
      <c r="E334" s="6" t="s">
        <v>17</v>
      </c>
      <c r="F334" s="6" t="s">
        <v>209</v>
      </c>
      <c r="G334" s="6" t="s">
        <v>2675</v>
      </c>
      <c r="H334" s="6" t="str">
        <f t="shared" si="34"/>
        <v>att_quantification</v>
      </c>
      <c r="I334" s="6" t="s">
        <v>2328</v>
      </c>
      <c r="J334" s="6" t="str">
        <f t="shared" si="35"/>
        <v>att_quantification:label_free</v>
      </c>
      <c r="K334" s="11" t="s">
        <v>21</v>
      </c>
      <c r="L334" s="6" t="s">
        <v>2330</v>
      </c>
      <c r="M334" s="6" t="s">
        <v>17</v>
      </c>
      <c r="N334" s="6" t="str">
        <f t="shared" si="36"/>
        <v>INSERT INTO attributes (parent_id, tag, name, priority, allow_as_filter, allow_for_dataset, allow_for_measurement, allow_for_users, allow_for_qc) VALUES (NULL, 'att_quantification',  'Quantification Type',  500,  TRUE, TRUE, TRUE, FALSE, FALSE);</v>
      </c>
      <c r="O334" s="6" t="str">
        <f t="shared" si="37"/>
        <v xml:space="preserve">INSERT INTO attribute_values (attribute_id, tag, name, details) VALUES ((SELECT id FROM attributes WHERE tag = 'att_quantification' LIMIT 1),  'att_quantification:label_free',  'Label free',  'Label-free quantification'); </v>
      </c>
    </row>
    <row r="335" spans="1:15" x14ac:dyDescent="0.15">
      <c r="A335" s="11" t="s">
        <v>21</v>
      </c>
      <c r="B335" s="11"/>
      <c r="C335" s="6" t="s">
        <v>2331</v>
      </c>
      <c r="D335" s="6" t="s">
        <v>2331</v>
      </c>
      <c r="E335" s="6" t="s">
        <v>17</v>
      </c>
      <c r="F335" s="6" t="s">
        <v>209</v>
      </c>
      <c r="G335" s="6" t="s">
        <v>2675</v>
      </c>
      <c r="H335" s="6" t="str">
        <f t="shared" si="34"/>
        <v>att_quantification</v>
      </c>
      <c r="I335" s="6" t="s">
        <v>2331</v>
      </c>
      <c r="J335" s="6" t="str">
        <f t="shared" si="35"/>
        <v>att_quantification:silac</v>
      </c>
      <c r="K335" s="11" t="s">
        <v>21</v>
      </c>
      <c r="L335" s="6" t="s">
        <v>2332</v>
      </c>
      <c r="M335" s="6" t="s">
        <v>17</v>
      </c>
      <c r="N335" s="6" t="str">
        <f t="shared" si="36"/>
        <v>INSERT INTO attributes (parent_id, tag, name, priority, allow_as_filter, allow_for_dataset, allow_for_measurement, allow_for_users, allow_for_qc) VALUES (NULL, 'att_quantification',  'Quantification Type',  500,  TRUE, TRUE, TRUE, FALSE, FALSE);</v>
      </c>
      <c r="O335" s="6" t="str">
        <f t="shared" si="37"/>
        <v xml:space="preserve">INSERT INTO attribute_values (attribute_id, tag, name, details) VALUES ((SELECT id FROM attributes WHERE tag = 'att_quantification' LIMIT 1),  'att_quantification:silac',  'silac',  'Stable isotope labeling by/with amino acids in cell culture (SILAC)'); </v>
      </c>
    </row>
    <row r="336" spans="1:15" x14ac:dyDescent="0.15">
      <c r="A336" s="12" t="b">
        <f>FALSE()</f>
        <v>0</v>
      </c>
      <c r="B336" s="12"/>
      <c r="C336" s="6" t="s">
        <v>1406</v>
      </c>
      <c r="D336" s="6" t="s">
        <v>1407</v>
      </c>
      <c r="E336" s="6" t="s">
        <v>17</v>
      </c>
      <c r="F336" s="6" t="s">
        <v>2677</v>
      </c>
      <c r="G336" s="6" t="s">
        <v>2678</v>
      </c>
      <c r="H336" s="6" t="str">
        <f t="shared" si="34"/>
        <v>att_signalling</v>
      </c>
      <c r="I336" s="6" t="s">
        <v>1406</v>
      </c>
      <c r="J336" s="6" t="str">
        <f t="shared" si="35"/>
        <v>att_signalling:apoptosis</v>
      </c>
      <c r="K336" s="11" t="s">
        <v>21</v>
      </c>
      <c r="L336" s="6" t="s">
        <v>2341</v>
      </c>
      <c r="M336" s="6" t="s">
        <v>17</v>
      </c>
      <c r="N336" s="6" t="str">
        <f t="shared" si="36"/>
        <v>INSERT INTO attributes (parent_id, tag, name, priority, allow_as_filter, allow_for_dataset, allow_for_measurement, allow_for_users, allow_for_qc) VALUES (NULL, 'att_signalling',  'Signallling Pathway',  500,  TRUE, TRUE, TRUE, FALSE, FALSE);</v>
      </c>
      <c r="O336" s="6" t="str">
        <f t="shared" si="37"/>
        <v xml:space="preserve">INSERT INTO attribute_values (attribute_id, tag, name, details) VALUES ((SELECT id FROM attributes WHERE tag = 'att_signalling' LIMIT 1),  'att_signalling:apoptosis',  'Apoptosis',  'Apoptosis or programmed cell death Signallilng'); </v>
      </c>
    </row>
    <row r="337" spans="1:15" x14ac:dyDescent="0.15">
      <c r="A337" s="12" t="b">
        <f>FALSE()</f>
        <v>0</v>
      </c>
      <c r="B337" s="12"/>
      <c r="C337" s="6" t="s">
        <v>2342</v>
      </c>
      <c r="D337" s="6" t="s">
        <v>2343</v>
      </c>
      <c r="E337" s="6" t="s">
        <v>17</v>
      </c>
      <c r="F337" s="6" t="s">
        <v>2677</v>
      </c>
      <c r="G337" s="6" t="s">
        <v>2678</v>
      </c>
      <c r="H337" s="6" t="str">
        <f t="shared" si="34"/>
        <v>att_signalling</v>
      </c>
      <c r="I337" s="6" t="s">
        <v>2342</v>
      </c>
      <c r="J337" s="6" t="str">
        <f t="shared" si="35"/>
        <v>att_signalling:autocrine</v>
      </c>
      <c r="K337" s="11" t="s">
        <v>21</v>
      </c>
      <c r="L337" s="6" t="s">
        <v>2344</v>
      </c>
      <c r="M337" s="6" t="s">
        <v>17</v>
      </c>
      <c r="N337" s="6" t="str">
        <f t="shared" si="36"/>
        <v>INSERT INTO attributes (parent_id, tag, name, priority, allow_as_filter, allow_for_dataset, allow_for_measurement, allow_for_users, allow_for_qc) VALUES (NULL, 'att_signalling',  'Signallling Pathway',  500,  TRUE, TRUE, TRUE, FALSE, FALSE);</v>
      </c>
      <c r="O337" s="6" t="str">
        <f t="shared" si="37"/>
        <v xml:space="preserve">INSERT INTO attribute_values (attribute_id, tag, name, details) VALUES ((SELECT id FROM attributes WHERE tag = 'att_signalling' LIMIT 1),  'att_signalling:autocrine',  'Autocrine',  'Signaling in which a cell secretes a hormone or a chemical substance that binds to the receptors'); </v>
      </c>
    </row>
    <row r="338" spans="1:15" x14ac:dyDescent="0.15">
      <c r="A338" s="12" t="b">
        <f>FALSE()</f>
        <v>0</v>
      </c>
      <c r="B338" s="12"/>
      <c r="C338" s="6" t="s">
        <v>2345</v>
      </c>
      <c r="D338" s="6" t="s">
        <v>2346</v>
      </c>
      <c r="E338" s="6" t="s">
        <v>17</v>
      </c>
      <c r="F338" s="6" t="s">
        <v>2677</v>
      </c>
      <c r="G338" s="6" t="s">
        <v>2678</v>
      </c>
      <c r="H338" s="6" t="str">
        <f t="shared" si="34"/>
        <v>att_signalling</v>
      </c>
      <c r="I338" s="6" t="s">
        <v>2345</v>
      </c>
      <c r="J338" s="6" t="str">
        <f t="shared" si="35"/>
        <v>att_signalling:complement</v>
      </c>
      <c r="K338" s="11" t="s">
        <v>21</v>
      </c>
      <c r="L338" s="6" t="s">
        <v>2347</v>
      </c>
      <c r="M338" s="6" t="s">
        <v>17</v>
      </c>
      <c r="N338" s="6" t="str">
        <f t="shared" si="36"/>
        <v>INSERT INTO attributes (parent_id, tag, name, priority, allow_as_filter, allow_for_dataset, allow_for_measurement, allow_for_users, allow_for_qc) VALUES (NULL, 'att_signalling',  'Signallling Pathway',  500,  TRUE, TRUE, TRUE, FALSE, FALSE);</v>
      </c>
      <c r="O338" s="6" t="str">
        <f t="shared" si="37"/>
        <v xml:space="preserve">INSERT INTO attribute_values (attribute_id, tag, name, details) VALUES ((SELECT id FROM attributes WHERE tag = 'att_signalling' LIMIT 1),  'att_signalling:complement',  'Complement',  'Complement system'); </v>
      </c>
    </row>
    <row r="339" spans="1:15" x14ac:dyDescent="0.15">
      <c r="A339" s="12" t="b">
        <f>FALSE()</f>
        <v>0</v>
      </c>
      <c r="B339" s="12"/>
      <c r="C339" s="6" t="s">
        <v>2348</v>
      </c>
      <c r="D339" s="6" t="s">
        <v>2349</v>
      </c>
      <c r="E339" s="6" t="s">
        <v>17</v>
      </c>
      <c r="F339" s="6" t="s">
        <v>2677</v>
      </c>
      <c r="G339" s="6" t="s">
        <v>2678</v>
      </c>
      <c r="H339" s="6" t="str">
        <f t="shared" si="34"/>
        <v>att_signalling</v>
      </c>
      <c r="I339" s="6" t="s">
        <v>2348</v>
      </c>
      <c r="J339" s="6" t="str">
        <f t="shared" si="35"/>
        <v>att_signalling:cytokines</v>
      </c>
      <c r="K339" s="11" t="s">
        <v>21</v>
      </c>
      <c r="L339" s="6" t="s">
        <v>2350</v>
      </c>
      <c r="M339" s="6" t="s">
        <v>17</v>
      </c>
      <c r="N339" s="6" t="str">
        <f t="shared" si="36"/>
        <v>INSERT INTO attributes (parent_id, tag, name, priority, allow_as_filter, allow_for_dataset, allow_for_measurement, allow_for_users, allow_for_qc) VALUES (NULL, 'att_signalling',  'Signallling Pathway',  500,  TRUE, TRUE, TRUE, FALSE, FALSE);</v>
      </c>
      <c r="O339" s="6" t="str">
        <f t="shared" si="37"/>
        <v xml:space="preserve">INSERT INTO attribute_values (attribute_id, tag, name, details) VALUES ((SELECT id FROM attributes WHERE tag = 'att_signalling' LIMIT 1),  'att_signalling:cytokines',  'Cytokines',  'Small proteins that are crucial in controlling the growth and activity of immune system cells'); </v>
      </c>
    </row>
    <row r="340" spans="1:15" x14ac:dyDescent="0.15">
      <c r="A340" s="12" t="b">
        <f>FALSE()</f>
        <v>0</v>
      </c>
      <c r="B340" s="12"/>
      <c r="C340" s="6" t="s">
        <v>2351</v>
      </c>
      <c r="D340" s="6" t="s">
        <v>2352</v>
      </c>
      <c r="E340" s="6" t="s">
        <v>17</v>
      </c>
      <c r="F340" s="6" t="s">
        <v>2677</v>
      </c>
      <c r="G340" s="6" t="s">
        <v>2678</v>
      </c>
      <c r="H340" s="6" t="str">
        <f t="shared" si="34"/>
        <v>att_signalling</v>
      </c>
      <c r="I340" s="6" t="s">
        <v>2351</v>
      </c>
      <c r="J340" s="6" t="str">
        <f t="shared" si="35"/>
        <v>att_signalling:inflammation</v>
      </c>
      <c r="K340" s="11" t="s">
        <v>21</v>
      </c>
      <c r="L340" s="6" t="s">
        <v>2353</v>
      </c>
      <c r="M340" s="6" t="s">
        <v>17</v>
      </c>
      <c r="N340" s="6" t="str">
        <f t="shared" si="36"/>
        <v>INSERT INTO attributes (parent_id, tag, name, priority, allow_as_filter, allow_for_dataset, allow_for_measurement, allow_for_users, allow_for_qc) VALUES (NULL, 'att_signalling',  'Signallling Pathway',  500,  TRUE, TRUE, TRUE, FALSE, FALSE);</v>
      </c>
      <c r="O340" s="6" t="str">
        <f t="shared" si="37"/>
        <v xml:space="preserve">INSERT INTO attribute_values (attribute_id, tag, name, details) VALUES ((SELECT id FROM attributes WHERE tag = 'att_signalling' LIMIT 1),  'att_signalling:inflammation',  'Inflammation',  'Biological response of body tissues to harmful stimuli,'); </v>
      </c>
    </row>
    <row r="341" spans="1:15" x14ac:dyDescent="0.15">
      <c r="A341" s="12" t="b">
        <f>FALSE()</f>
        <v>0</v>
      </c>
      <c r="B341" s="12"/>
      <c r="C341" s="6" t="s">
        <v>2354</v>
      </c>
      <c r="D341" s="6" t="s">
        <v>2355</v>
      </c>
      <c r="E341" s="6" t="s">
        <v>17</v>
      </c>
      <c r="F341" s="6" t="s">
        <v>2677</v>
      </c>
      <c r="G341" s="6" t="s">
        <v>2678</v>
      </c>
      <c r="H341" s="6" t="str">
        <f t="shared" si="34"/>
        <v>att_signalling</v>
      </c>
      <c r="I341" s="6" t="s">
        <v>2354</v>
      </c>
      <c r="J341" s="6" t="str">
        <f t="shared" si="35"/>
        <v>att_signalling:insulin</v>
      </c>
      <c r="K341" s="11" t="s">
        <v>21</v>
      </c>
      <c r="L341" s="6" t="s">
        <v>2356</v>
      </c>
      <c r="M341" s="6" t="s">
        <v>17</v>
      </c>
      <c r="N341" s="6" t="str">
        <f t="shared" si="36"/>
        <v>INSERT INTO attributes (parent_id, tag, name, priority, allow_as_filter, allow_for_dataset, allow_for_measurement, allow_for_users, allow_for_qc) VALUES (NULL, 'att_signalling',  'Signallling Pathway',  500,  TRUE, TRUE, TRUE, FALSE, FALSE);</v>
      </c>
      <c r="O341" s="6" t="str">
        <f t="shared" si="37"/>
        <v xml:space="preserve">INSERT INTO attribute_values (attribute_id, tag, name, details) VALUES ((SELECT id FROM attributes WHERE tag = 'att_signalling' LIMIT 1),  'att_signalling:insulin',  'Insulin',  'Insulin Signaling'); </v>
      </c>
    </row>
    <row r="342" spans="1:15" x14ac:dyDescent="0.15">
      <c r="A342" s="12" t="b">
        <f>FALSE()</f>
        <v>0</v>
      </c>
      <c r="B342" s="12"/>
      <c r="C342" s="6" t="s">
        <v>2357</v>
      </c>
      <c r="D342" s="6" t="s">
        <v>2358</v>
      </c>
      <c r="E342" s="6" t="s">
        <v>17</v>
      </c>
      <c r="F342" s="6" t="s">
        <v>2677</v>
      </c>
      <c r="G342" s="6" t="s">
        <v>2678</v>
      </c>
      <c r="H342" s="6" t="str">
        <f t="shared" si="34"/>
        <v>att_signalling</v>
      </c>
      <c r="I342" s="6" t="s">
        <v>2357</v>
      </c>
      <c r="J342" s="6" t="str">
        <f t="shared" si="35"/>
        <v>att_signalling:juxtacrine</v>
      </c>
      <c r="K342" s="11" t="s">
        <v>21</v>
      </c>
      <c r="L342" s="6" t="s">
        <v>2359</v>
      </c>
      <c r="M342" s="6" t="s">
        <v>17</v>
      </c>
      <c r="N342" s="6" t="str">
        <f t="shared" si="36"/>
        <v>INSERT INTO attributes (parent_id, tag, name, priority, allow_as_filter, allow_for_dataset, allow_for_measurement, allow_for_users, allow_for_qc) VALUES (NULL, 'att_signalling',  'Signallling Pathway',  500,  TRUE, TRUE, TRUE, FALSE, FALSE);</v>
      </c>
      <c r="O342" s="6" t="str">
        <f t="shared" si="37"/>
        <v xml:space="preserve">INSERT INTO attribute_values (attribute_id, tag, name, details) VALUES ((SELECT id FROM attributes WHERE tag = 'att_signalling' LIMIT 1),  'att_signalling:juxtacrine',  'Juxtacrine',  'Contact-dependent signalling'); </v>
      </c>
    </row>
    <row r="343" spans="1:15" x14ac:dyDescent="0.15">
      <c r="A343" s="12" t="b">
        <f>FALSE()</f>
        <v>0</v>
      </c>
      <c r="B343" s="12"/>
      <c r="C343" s="6" t="s">
        <v>2360</v>
      </c>
      <c r="D343" s="6" t="s">
        <v>2361</v>
      </c>
      <c r="E343" s="6" t="s">
        <v>17</v>
      </c>
      <c r="F343" s="6" t="s">
        <v>2677</v>
      </c>
      <c r="G343" s="6" t="s">
        <v>2678</v>
      </c>
      <c r="H343" s="6" t="str">
        <f t="shared" si="34"/>
        <v>att_signalling</v>
      </c>
      <c r="I343" s="6" t="s">
        <v>2360</v>
      </c>
      <c r="J343" s="6" t="str">
        <f t="shared" si="35"/>
        <v>att_signalling:necrosis</v>
      </c>
      <c r="K343" s="11" t="s">
        <v>21</v>
      </c>
      <c r="L343" s="6" t="s">
        <v>2362</v>
      </c>
      <c r="M343" s="6" t="s">
        <v>17</v>
      </c>
      <c r="N343" s="6" t="str">
        <f t="shared" si="36"/>
        <v>INSERT INTO attributes (parent_id, tag, name, priority, allow_as_filter, allow_for_dataset, allow_for_measurement, allow_for_users, allow_for_qc) VALUES (NULL, 'att_signalling',  'Signallling Pathway',  500,  TRUE, TRUE, TRUE, FALSE, FALSE);</v>
      </c>
      <c r="O343" s="6" t="str">
        <f t="shared" si="37"/>
        <v xml:space="preserve">INSERT INTO attribute_values (attribute_id, tag, name, details) VALUES ((SELECT id FROM attributes WHERE tag = 'att_signalling' LIMIT 1),  'att_signalling:necrosis',  'Necrosis',  'Uncontrolled cell death.'); </v>
      </c>
    </row>
    <row r="344" spans="1:15" x14ac:dyDescent="0.15">
      <c r="A344" s="12" t="b">
        <f>FALSE()</f>
        <v>0</v>
      </c>
      <c r="B344" s="12"/>
      <c r="C344" s="6" t="s">
        <v>2363</v>
      </c>
      <c r="D344" s="6" t="s">
        <v>2364</v>
      </c>
      <c r="E344" s="6" t="s">
        <v>17</v>
      </c>
      <c r="F344" s="6" t="s">
        <v>2677</v>
      </c>
      <c r="G344" s="6" t="s">
        <v>2678</v>
      </c>
      <c r="H344" s="6" t="str">
        <f t="shared" si="34"/>
        <v>att_signalling</v>
      </c>
      <c r="I344" s="6" t="s">
        <v>2363</v>
      </c>
      <c r="J344" s="6" t="str">
        <f t="shared" si="35"/>
        <v>att_signalling:paracrine</v>
      </c>
      <c r="K344" s="11" t="s">
        <v>21</v>
      </c>
      <c r="L344" s="6" t="s">
        <v>2365</v>
      </c>
      <c r="M344" s="6" t="s">
        <v>17</v>
      </c>
      <c r="N344" s="6" t="str">
        <f t="shared" si="36"/>
        <v>INSERT INTO attributes (parent_id, tag, name, priority, allow_as_filter, allow_for_dataset, allow_for_measurement, allow_for_users, allow_for_qc) VALUES (NULL, 'att_signalling',  'Signallling Pathway',  500,  TRUE, TRUE, TRUE, FALSE, FALSE);</v>
      </c>
      <c r="O344" s="6" t="str">
        <f t="shared" si="37"/>
        <v xml:space="preserve">INSERT INTO attribute_values (attribute_id, tag, name, details) VALUES ((SELECT id FROM attributes WHERE tag = 'att_signalling' LIMIT 1),  'att_signalling:paracrine',  'Paracrine',  'Cell-to-Cell Communication'); </v>
      </c>
    </row>
    <row r="345" spans="1:15" x14ac:dyDescent="0.15">
      <c r="A345" s="12" t="b">
        <f>FALSE()</f>
        <v>0</v>
      </c>
      <c r="B345" s="12"/>
      <c r="C345" s="6" t="s">
        <v>1754</v>
      </c>
      <c r="D345" s="6" t="s">
        <v>1755</v>
      </c>
      <c r="E345" s="6" t="s">
        <v>17</v>
      </c>
      <c r="F345" s="6" t="s">
        <v>2677</v>
      </c>
      <c r="G345" s="6" t="s">
        <v>2678</v>
      </c>
      <c r="H345" s="6" t="str">
        <f t="shared" si="34"/>
        <v>att_signalling</v>
      </c>
      <c r="I345" s="6" t="s">
        <v>1754</v>
      </c>
      <c r="J345" s="6" t="str">
        <f t="shared" si="35"/>
        <v>att_signalling:signaling</v>
      </c>
      <c r="K345" s="11" t="s">
        <v>21</v>
      </c>
      <c r="L345" s="6" t="s">
        <v>2366</v>
      </c>
      <c r="M345" s="6" t="s">
        <v>17</v>
      </c>
      <c r="N345" s="6" t="str">
        <f t="shared" si="36"/>
        <v>INSERT INTO attributes (parent_id, tag, name, priority, allow_as_filter, allow_for_dataset, allow_for_measurement, allow_for_users, allow_for_qc) VALUES (NULL, 'att_signalling',  'Signallling Pathway',  500,  TRUE, TRUE, TRUE, FALSE, FALSE);</v>
      </c>
      <c r="O345" s="6" t="str">
        <f t="shared" si="37"/>
        <v xml:space="preserve">INSERT INTO attribute_values (attribute_id, tag, name, details) VALUES ((SELECT id FROM attributes WHERE tag = 'att_signalling' LIMIT 1),  'att_signalling:signaling',  'Signaling',  'General Protein, Gen or Cell Signaling'); </v>
      </c>
    </row>
    <row r="346" spans="1:15" x14ac:dyDescent="0.15">
      <c r="A346" s="11" t="s">
        <v>21</v>
      </c>
      <c r="B346" s="12"/>
      <c r="C346" s="6" t="s">
        <v>2367</v>
      </c>
      <c r="D346" s="6" t="s">
        <v>2368</v>
      </c>
      <c r="E346" s="6" t="s">
        <v>17</v>
      </c>
      <c r="F346" s="6" t="s">
        <v>214</v>
      </c>
      <c r="G346" s="6" t="s">
        <v>2679</v>
      </c>
      <c r="H346" s="6" t="str">
        <f t="shared" si="34"/>
        <v>att_software</v>
      </c>
      <c r="I346" s="6" t="s">
        <v>2367</v>
      </c>
      <c r="J346" s="6" t="str">
        <f t="shared" si="35"/>
        <v>att_software:diann</v>
      </c>
      <c r="K346" s="11" t="s">
        <v>21</v>
      </c>
      <c r="L346" s="6" t="s">
        <v>2369</v>
      </c>
      <c r="M346" s="6" t="s">
        <v>17</v>
      </c>
      <c r="N346" s="6" t="str">
        <f t="shared" si="36"/>
        <v>INSERT INTO attributes (parent_id, tag, name, priority, allow_as_filter, allow_for_dataset, allow_for_measurement, allow_for_users, allow_for_qc) VALUES (NULL, 'att_software',  'Software',  500,  TRUE, TRUE, TRUE, FALSE, FALSE);</v>
      </c>
      <c r="O346" s="6" t="str">
        <f t="shared" si="37"/>
        <v xml:space="preserve">INSERT INTO attribute_values (attribute_id, tag, name, details) VALUES ((SELECT id FROM attributes WHERE tag = 'att_software' LIMIT 1),  'att_software:diann',  'DIA-NN',  'universal automated software suite for DIA proteomics data analysis'); </v>
      </c>
    </row>
    <row r="347" spans="1:15" x14ac:dyDescent="0.15">
      <c r="A347" s="11" t="s">
        <v>21</v>
      </c>
      <c r="B347" s="12"/>
      <c r="C347" s="6" t="s">
        <v>2370</v>
      </c>
      <c r="D347" s="6" t="s">
        <v>2371</v>
      </c>
      <c r="E347" s="6" t="s">
        <v>17</v>
      </c>
      <c r="F347" s="6" t="s">
        <v>214</v>
      </c>
      <c r="G347" s="6" t="s">
        <v>2679</v>
      </c>
      <c r="H347" s="6" t="str">
        <f t="shared" si="34"/>
        <v>att_software</v>
      </c>
      <c r="I347" s="6" t="s">
        <v>2370</v>
      </c>
      <c r="J347" s="6" t="str">
        <f t="shared" si="35"/>
        <v>att_software:maxquant</v>
      </c>
      <c r="K347" s="11" t="s">
        <v>21</v>
      </c>
      <c r="L347" s="6" t="s">
        <v>2372</v>
      </c>
      <c r="M347" s="6" t="s">
        <v>17</v>
      </c>
      <c r="N347" s="6" t="str">
        <f t="shared" si="36"/>
        <v>INSERT INTO attributes (parent_id, tag, name, priority, allow_as_filter, allow_for_dataset, allow_for_measurement, allow_for_users, allow_for_qc) VALUES (NULL, 'att_software',  'Software',  500,  TRUE, TRUE, TRUE, FALSE, FALSE);</v>
      </c>
      <c r="O347" s="6" t="str">
        <f t="shared" si="37"/>
        <v xml:space="preserve">INSERT INTO attribute_values (attribute_id, tag, name, details) VALUES ((SELECT id FROM attributes WHERE tag = 'att_software' LIMIT 1),  'att_software:maxquant',  'MaxQuant',  'MPI’s MaxQuant quantitiative proteomics software package'); </v>
      </c>
    </row>
    <row r="348" spans="1:15" x14ac:dyDescent="0.15">
      <c r="A348" s="11" t="s">
        <v>21</v>
      </c>
      <c r="B348" s="12"/>
      <c r="C348" s="6" t="s">
        <v>2373</v>
      </c>
      <c r="D348" s="6" t="s">
        <v>2374</v>
      </c>
      <c r="E348" s="6" t="s">
        <v>17</v>
      </c>
      <c r="F348" s="6" t="s">
        <v>214</v>
      </c>
      <c r="G348" s="6" t="s">
        <v>2679</v>
      </c>
      <c r="H348" s="6" t="str">
        <f t="shared" si="34"/>
        <v>att_software</v>
      </c>
      <c r="I348" s="6" t="s">
        <v>2373</v>
      </c>
      <c r="J348" s="6" t="str">
        <f t="shared" si="35"/>
        <v>att_software:metamorpheus</v>
      </c>
      <c r="K348" s="11" t="s">
        <v>21</v>
      </c>
      <c r="L348" s="6" t="s">
        <v>2375</v>
      </c>
      <c r="M348" s="6" t="s">
        <v>17</v>
      </c>
      <c r="N348" s="6" t="str">
        <f t="shared" si="36"/>
        <v>INSERT INTO attributes (parent_id, tag, name, priority, allow_as_filter, allow_for_dataset, allow_for_measurement, allow_for_users, allow_for_qc) VALUES (NULL, 'att_software',  'Software',  500,  TRUE, TRUE, TRUE, FALSE, FALSE);</v>
      </c>
      <c r="O348" s="6" t="str">
        <f t="shared" si="37"/>
        <v xml:space="preserve">INSERT INTO attribute_values (attribute_id, tag, name, details) VALUES ((SELECT id FROM attributes WHERE tag = 'att_software' LIMIT 1),  'att_software:metamorpheus',  'MetaMorpheus',  'Open-Source PTM Disocvery; smith-chem-wisc'); </v>
      </c>
    </row>
    <row r="349" spans="1:15" x14ac:dyDescent="0.15">
      <c r="A349" s="11" t="s">
        <v>21</v>
      </c>
      <c r="B349" s="12"/>
      <c r="C349" s="6" t="s">
        <v>2376</v>
      </c>
      <c r="D349" s="6" t="s">
        <v>2377</v>
      </c>
      <c r="E349" s="6" t="s">
        <v>17</v>
      </c>
      <c r="F349" s="6" t="s">
        <v>214</v>
      </c>
      <c r="G349" s="6" t="s">
        <v>2679</v>
      </c>
      <c r="H349" s="6" t="str">
        <f t="shared" si="34"/>
        <v>att_software</v>
      </c>
      <c r="I349" s="6" t="s">
        <v>2376</v>
      </c>
      <c r="J349" s="6" t="str">
        <f t="shared" si="35"/>
        <v>att_software:minora</v>
      </c>
      <c r="K349" s="11" t="s">
        <v>21</v>
      </c>
      <c r="L349" s="6" t="s">
        <v>2378</v>
      </c>
      <c r="M349" s="6" t="s">
        <v>17</v>
      </c>
      <c r="N349" s="6" t="str">
        <f t="shared" si="36"/>
        <v>INSERT INTO attributes (parent_id, tag, name, priority, allow_as_filter, allow_for_dataset, allow_for_measurement, allow_for_users, allow_for_qc) VALUES (NULL, 'att_software',  'Software',  500,  TRUE, TRUE, TRUE, FALSE, FALSE);</v>
      </c>
      <c r="O349" s="6" t="str">
        <f t="shared" si="37"/>
        <v xml:space="preserve">INSERT INTO attribute_values (attribute_id, tag, name, details) VALUES ((SELECT id FROM attributes WHERE tag = 'att_software' LIMIT 1),  'att_software:minora',  'Minora',  'Proteome Discoverer, Minora; Thermo Fisher'); </v>
      </c>
    </row>
    <row r="350" spans="1:15" x14ac:dyDescent="0.15">
      <c r="A350" s="11" t="s">
        <v>21</v>
      </c>
      <c r="B350" s="12"/>
      <c r="C350" s="6" t="s">
        <v>2379</v>
      </c>
      <c r="D350" s="6" t="s">
        <v>2380</v>
      </c>
      <c r="E350" s="6" t="s">
        <v>17</v>
      </c>
      <c r="F350" s="6" t="s">
        <v>214</v>
      </c>
      <c r="G350" s="6" t="s">
        <v>2679</v>
      </c>
      <c r="H350" s="6" t="str">
        <f t="shared" si="34"/>
        <v>att_software</v>
      </c>
      <c r="I350" s="6" t="s">
        <v>2379</v>
      </c>
      <c r="J350" s="6" t="str">
        <f t="shared" si="35"/>
        <v>att_software:msfragger</v>
      </c>
      <c r="K350" s="11" t="s">
        <v>21</v>
      </c>
      <c r="L350" s="6" t="s">
        <v>2381</v>
      </c>
      <c r="M350" s="6" t="s">
        <v>17</v>
      </c>
      <c r="N350" s="6" t="str">
        <f t="shared" si="36"/>
        <v>INSERT INTO attributes (parent_id, tag, name, priority, allow_as_filter, allow_for_dataset, allow_for_measurement, allow_for_users, allow_for_qc) VALUES (NULL, 'att_software',  'Software',  500,  TRUE, TRUE, TRUE, FALSE, FALSE);</v>
      </c>
      <c r="O350" s="6" t="str">
        <f t="shared" si="37"/>
        <v xml:space="preserve">INSERT INTO attribute_values (attribute_id, tag, name, details) VALUES ((SELECT id FROM attributes WHERE tag = 'att_software' LIMIT 1),  'att_software:msfragger',  'MSFragger',  'Nesvilab’s MSFragger'); </v>
      </c>
    </row>
    <row r="351" spans="1:15" x14ac:dyDescent="0.15">
      <c r="A351" s="11" t="s">
        <v>21</v>
      </c>
      <c r="B351" s="12"/>
      <c r="C351" s="6" t="s">
        <v>2382</v>
      </c>
      <c r="D351" s="6" t="s">
        <v>2383</v>
      </c>
      <c r="E351" s="6" t="s">
        <v>17</v>
      </c>
      <c r="F351" s="6" t="s">
        <v>214</v>
      </c>
      <c r="G351" s="6" t="s">
        <v>2679</v>
      </c>
      <c r="H351" s="6" t="str">
        <f t="shared" si="34"/>
        <v>att_software</v>
      </c>
      <c r="I351" s="6" t="s">
        <v>2382</v>
      </c>
      <c r="J351" s="6" t="str">
        <f t="shared" si="35"/>
        <v>att_software:msgf</v>
      </c>
      <c r="K351" s="11" t="s">
        <v>21</v>
      </c>
      <c r="L351" s="6" t="s">
        <v>2384</v>
      </c>
      <c r="M351" s="6" t="s">
        <v>17</v>
      </c>
      <c r="N351" s="6" t="str">
        <f t="shared" si="36"/>
        <v>INSERT INTO attributes (parent_id, tag, name, priority, allow_as_filter, allow_for_dataset, allow_for_measurement, allow_for_users, allow_for_qc) VALUES (NULL, 'att_software',  'Software',  500,  TRUE, TRUE, TRUE, FALSE, FALSE);</v>
      </c>
      <c r="O351" s="6" t="str">
        <f t="shared" si="37"/>
        <v xml:space="preserve">INSERT INTO attribute_values (attribute_id, tag, name, details) VALUES ((SELECT id FROM attributes WHERE tag = 'att_software' LIMIT 1),  'att_software:msgf',  'MS-GF+',  'MS-GF+ (aka MSGF+ or MSGFPlus) '); </v>
      </c>
    </row>
    <row r="352" spans="1:15" x14ac:dyDescent="0.15">
      <c r="A352" s="11" t="s">
        <v>21</v>
      </c>
      <c r="B352" s="12"/>
      <c r="C352" s="6" t="s">
        <v>2385</v>
      </c>
      <c r="D352" s="6" t="s">
        <v>2386</v>
      </c>
      <c r="E352" s="6" t="s">
        <v>17</v>
      </c>
      <c r="F352" s="6" t="s">
        <v>214</v>
      </c>
      <c r="G352" s="6" t="s">
        <v>2679</v>
      </c>
      <c r="H352" s="6" t="str">
        <f t="shared" si="34"/>
        <v>att_software</v>
      </c>
      <c r="I352" s="6" t="s">
        <v>2385</v>
      </c>
      <c r="J352" s="6" t="str">
        <f t="shared" si="35"/>
        <v>att_software:spectronaut</v>
      </c>
      <c r="K352" s="11" t="s">
        <v>21</v>
      </c>
      <c r="L352" s="6" t="s">
        <v>2387</v>
      </c>
      <c r="M352" s="6" t="s">
        <v>17</v>
      </c>
      <c r="N352" s="6" t="str">
        <f t="shared" si="36"/>
        <v>INSERT INTO attributes (parent_id, tag, name, priority, allow_as_filter, allow_for_dataset, allow_for_measurement, allow_for_users, allow_for_qc) VALUES (NULL, 'att_software',  'Software',  500,  TRUE, TRUE, TRUE, FALSE, FALSE);</v>
      </c>
      <c r="O352" s="6" t="str">
        <f t="shared" si="37"/>
        <v xml:space="preserve">INSERT INTO attribute_values (attribute_id, tag, name, details) VALUES ((SELECT id FROM attributes WHERE tag = 'att_software' LIMIT 1),  'att_software:spectronaut',  'Spectronaut',  'BioGnoSys’s Spectronaut; DIA proteomics analysis'); </v>
      </c>
    </row>
    <row r="353" spans="1:15" x14ac:dyDescent="0.15">
      <c r="A353" s="12" t="b">
        <f>FALSE()</f>
        <v>0</v>
      </c>
      <c r="B353" s="12"/>
      <c r="C353" s="6" t="s">
        <v>2388</v>
      </c>
      <c r="D353" s="6" t="s">
        <v>2389</v>
      </c>
      <c r="E353" s="6" t="s">
        <v>17</v>
      </c>
      <c r="F353" s="6" t="s">
        <v>233</v>
      </c>
      <c r="G353" s="6" t="s">
        <v>2680</v>
      </c>
      <c r="H353" s="6" t="str">
        <f t="shared" si="34"/>
        <v>att_tissue</v>
      </c>
      <c r="I353" s="6" t="s">
        <v>2388</v>
      </c>
      <c r="J353" s="6" t="str">
        <f t="shared" si="35"/>
        <v>att_tissue:adipose</v>
      </c>
      <c r="K353" s="11" t="s">
        <v>21</v>
      </c>
      <c r="L353" s="6" t="s">
        <v>2390</v>
      </c>
      <c r="M353" s="6" t="s">
        <v>17</v>
      </c>
      <c r="N353" s="6" t="str">
        <f t="shared" si="36"/>
        <v>INSERT INTO attributes (parent_id, tag, name, priority, allow_as_filter, allow_for_dataset, allow_for_measurement, allow_for_users, allow_for_qc) VALUES (NULL, 'att_tissue',  'Tissue',  500,  TRUE, TRUE, TRUE, FALSE, FALSE);</v>
      </c>
      <c r="O353" s="6" t="str">
        <f t="shared" si="37"/>
        <v xml:space="preserve">INSERT INTO attribute_values (attribute_id, tag, name, details) VALUES ((SELECT id FROM attributes WHERE tag = 'att_tissue' LIMIT 1),  'att_tissue:adipose',  'Adipose',  'Adipose connective tissue'); </v>
      </c>
    </row>
    <row r="354" spans="1:15" x14ac:dyDescent="0.15">
      <c r="A354" s="12" t="b">
        <f>FALSE()</f>
        <v>0</v>
      </c>
      <c r="B354" s="12"/>
      <c r="C354" s="6" t="s">
        <v>2391</v>
      </c>
      <c r="D354" s="6" t="s">
        <v>2392</v>
      </c>
      <c r="E354" s="6" t="s">
        <v>17</v>
      </c>
      <c r="F354" s="6" t="s">
        <v>233</v>
      </c>
      <c r="G354" s="6" t="s">
        <v>2680</v>
      </c>
      <c r="H354" s="6" t="str">
        <f t="shared" si="34"/>
        <v>att_tissue</v>
      </c>
      <c r="I354" s="6" t="s">
        <v>2391</v>
      </c>
      <c r="J354" s="6" t="str">
        <f t="shared" si="35"/>
        <v>att_tissue:areolar</v>
      </c>
      <c r="K354" s="11" t="s">
        <v>21</v>
      </c>
      <c r="L354" s="6" t="s">
        <v>2393</v>
      </c>
      <c r="M354" s="6" t="s">
        <v>17</v>
      </c>
      <c r="N354" s="6" t="str">
        <f t="shared" si="36"/>
        <v>INSERT INTO attributes (parent_id, tag, name, priority, allow_as_filter, allow_for_dataset, allow_for_measurement, allow_for_users, allow_for_qc) VALUES (NULL, 'att_tissue',  'Tissue',  500,  TRUE, TRUE, TRUE, FALSE, FALSE);</v>
      </c>
      <c r="O354" s="6" t="str">
        <f t="shared" si="37"/>
        <v xml:space="preserve">INSERT INTO attribute_values (attribute_id, tag, name, details) VALUES ((SELECT id FROM attributes WHERE tag = 'att_tissue' LIMIT 1),  'att_tissue:areolar',  'Areolar',  'Areolar connective tissue'); </v>
      </c>
    </row>
    <row r="355" spans="1:15" x14ac:dyDescent="0.15">
      <c r="A355" s="12" t="b">
        <f>FALSE()</f>
        <v>0</v>
      </c>
      <c r="B355" s="12"/>
      <c r="C355" s="6" t="s">
        <v>2394</v>
      </c>
      <c r="D355" s="6" t="s">
        <v>2395</v>
      </c>
      <c r="E355" s="6" t="s">
        <v>17</v>
      </c>
      <c r="F355" s="6" t="s">
        <v>233</v>
      </c>
      <c r="G355" s="6" t="s">
        <v>2680</v>
      </c>
      <c r="H355" s="6" t="str">
        <f t="shared" si="34"/>
        <v>att_tissue</v>
      </c>
      <c r="I355" s="6" t="s">
        <v>2394</v>
      </c>
      <c r="J355" s="6" t="str">
        <f t="shared" si="35"/>
        <v>att_tissue:blood</v>
      </c>
      <c r="K355" s="11" t="s">
        <v>21</v>
      </c>
      <c r="L355" s="6" t="s">
        <v>2395</v>
      </c>
      <c r="M355" s="6" t="s">
        <v>17</v>
      </c>
      <c r="N355" s="6" t="str">
        <f t="shared" si="36"/>
        <v>INSERT INTO attributes (parent_id, tag, name, priority, allow_as_filter, allow_for_dataset, allow_for_measurement, allow_for_users, allow_for_qc) VALUES (NULL, 'att_tissue',  'Tissue',  500,  TRUE, TRUE, TRUE, FALSE, FALSE);</v>
      </c>
      <c r="O355" s="6" t="str">
        <f t="shared" si="37"/>
        <v xml:space="preserve">INSERT INTO attribute_values (attribute_id, tag, name, details) VALUES ((SELECT id FROM attributes WHERE tag = 'att_tissue' LIMIT 1),  'att_tissue:blood',  'Blood',  'Blood'); </v>
      </c>
    </row>
    <row r="356" spans="1:15" x14ac:dyDescent="0.15">
      <c r="A356" s="12" t="b">
        <f>FALSE()</f>
        <v>0</v>
      </c>
      <c r="B356" s="12"/>
      <c r="C356" s="6" t="s">
        <v>2396</v>
      </c>
      <c r="D356" s="6" t="s">
        <v>2397</v>
      </c>
      <c r="E356" s="6" t="s">
        <v>17</v>
      </c>
      <c r="F356" s="6" t="s">
        <v>233</v>
      </c>
      <c r="G356" s="6" t="s">
        <v>2680</v>
      </c>
      <c r="H356" s="6" t="str">
        <f t="shared" si="34"/>
        <v>att_tissue</v>
      </c>
      <c r="I356" s="6" t="s">
        <v>2396</v>
      </c>
      <c r="J356" s="6" t="str">
        <f t="shared" si="35"/>
        <v>att_tissue:connective</v>
      </c>
      <c r="K356" s="11" t="s">
        <v>21</v>
      </c>
      <c r="L356" s="6" t="s">
        <v>2398</v>
      </c>
      <c r="M356" s="6" t="s">
        <v>17</v>
      </c>
      <c r="N356" s="6" t="str">
        <f t="shared" si="36"/>
        <v>INSERT INTO attributes (parent_id, tag, name, priority, allow_as_filter, allow_for_dataset, allow_for_measurement, allow_for_users, allow_for_qc) VALUES (NULL, 'att_tissue',  'Tissue',  500,  TRUE, TRUE, TRUE, FALSE, FALSE);</v>
      </c>
      <c r="O356" s="6" t="str">
        <f t="shared" si="37"/>
        <v xml:space="preserve">INSERT INTO attribute_values (attribute_id, tag, name, details) VALUES ((SELECT id FROM attributes WHERE tag = 'att_tissue' LIMIT 1),  'att_tissue:connective',  'Connective',  'Connective tissue'); </v>
      </c>
    </row>
    <row r="357" spans="1:15" x14ac:dyDescent="0.15">
      <c r="A357" s="12" t="b">
        <f>FALSE()</f>
        <v>0</v>
      </c>
      <c r="B357" s="12"/>
      <c r="C357" s="6" t="s">
        <v>2399</v>
      </c>
      <c r="D357" s="6" t="s">
        <v>2400</v>
      </c>
      <c r="E357" s="6" t="s">
        <v>17</v>
      </c>
      <c r="F357" s="6" t="s">
        <v>233</v>
      </c>
      <c r="G357" s="6" t="s">
        <v>2680</v>
      </c>
      <c r="H357" s="6" t="str">
        <f t="shared" si="34"/>
        <v>att_tissue</v>
      </c>
      <c r="I357" s="6" t="s">
        <v>2399</v>
      </c>
      <c r="J357" s="6" t="str">
        <f t="shared" si="35"/>
        <v>att_tissue:dermis</v>
      </c>
      <c r="K357" s="11" t="s">
        <v>21</v>
      </c>
      <c r="L357" s="6" t="s">
        <v>2400</v>
      </c>
      <c r="M357" s="6" t="s">
        <v>17</v>
      </c>
      <c r="N357" s="6" t="str">
        <f t="shared" si="36"/>
        <v>INSERT INTO attributes (parent_id, tag, name, priority, allow_as_filter, allow_for_dataset, allow_for_measurement, allow_for_users, allow_for_qc) VALUES (NULL, 'att_tissue',  'Tissue',  500,  TRUE, TRUE, TRUE, FALSE, FALSE);</v>
      </c>
      <c r="O357" s="6" t="str">
        <f t="shared" si="37"/>
        <v xml:space="preserve">INSERT INTO attribute_values (attribute_id, tag, name, details) VALUES ((SELECT id FROM attributes WHERE tag = 'att_tissue' LIMIT 1),  'att_tissue:dermis',  'Dermis',  'Dermis'); </v>
      </c>
    </row>
    <row r="358" spans="1:15" x14ac:dyDescent="0.15">
      <c r="A358" s="12" t="b">
        <f>FALSE()</f>
        <v>0</v>
      </c>
      <c r="B358" s="12"/>
      <c r="C358" s="6" t="s">
        <v>2401</v>
      </c>
      <c r="D358" s="6" t="s">
        <v>2402</v>
      </c>
      <c r="E358" s="6" t="s">
        <v>17</v>
      </c>
      <c r="F358" s="6" t="s">
        <v>233</v>
      </c>
      <c r="G358" s="6" t="s">
        <v>2680</v>
      </c>
      <c r="H358" s="6" t="str">
        <f t="shared" si="34"/>
        <v>att_tissue</v>
      </c>
      <c r="I358" s="6" t="s">
        <v>2401</v>
      </c>
      <c r="J358" s="6" t="str">
        <f t="shared" si="35"/>
        <v>att_tissue:epidermis</v>
      </c>
      <c r="K358" s="11" t="s">
        <v>21</v>
      </c>
      <c r="L358" s="6" t="s">
        <v>2402</v>
      </c>
      <c r="M358" s="6" t="s">
        <v>17</v>
      </c>
      <c r="N358" s="6" t="str">
        <f t="shared" si="36"/>
        <v>INSERT INTO attributes (parent_id, tag, name, priority, allow_as_filter, allow_for_dataset, allow_for_measurement, allow_for_users, allow_for_qc) VALUES (NULL, 'att_tissue',  'Tissue',  500,  TRUE, TRUE, TRUE, FALSE, FALSE);</v>
      </c>
      <c r="O358" s="6" t="str">
        <f t="shared" si="37"/>
        <v xml:space="preserve">INSERT INTO attribute_values (attribute_id, tag, name, details) VALUES ((SELECT id FROM attributes WHERE tag = 'att_tissue' LIMIT 1),  'att_tissue:epidermis',  'Epidermis',  'Epidermis'); </v>
      </c>
    </row>
    <row r="359" spans="1:15" x14ac:dyDescent="0.15">
      <c r="A359" s="12" t="b">
        <f>FALSE()</f>
        <v>0</v>
      </c>
      <c r="B359" s="12"/>
      <c r="C359" s="6" t="s">
        <v>2403</v>
      </c>
      <c r="D359" s="6" t="s">
        <v>2404</v>
      </c>
      <c r="E359" s="6" t="s">
        <v>17</v>
      </c>
      <c r="F359" s="6" t="s">
        <v>233</v>
      </c>
      <c r="G359" s="6" t="s">
        <v>2680</v>
      </c>
      <c r="H359" s="6" t="str">
        <f t="shared" si="34"/>
        <v>att_tissue</v>
      </c>
      <c r="I359" s="6" t="s">
        <v>2403</v>
      </c>
      <c r="J359" s="6" t="str">
        <f t="shared" si="35"/>
        <v>att_tissue:epithelial</v>
      </c>
      <c r="K359" s="11" t="s">
        <v>21</v>
      </c>
      <c r="L359" s="6" t="s">
        <v>2405</v>
      </c>
      <c r="M359" s="6" t="s">
        <v>17</v>
      </c>
      <c r="N359" s="6" t="str">
        <f t="shared" si="36"/>
        <v>INSERT INTO attributes (parent_id, tag, name, priority, allow_as_filter, allow_for_dataset, allow_for_measurement, allow_for_users, allow_for_qc) VALUES (NULL, 'att_tissue',  'Tissue',  500,  TRUE, TRUE, TRUE, FALSE, FALSE);</v>
      </c>
      <c r="O359" s="6" t="str">
        <f t="shared" si="37"/>
        <v xml:space="preserve">INSERT INTO attribute_values (attribute_id, tag, name, details) VALUES ((SELECT id FROM attributes WHERE tag = 'att_tissue' LIMIT 1),  'att_tissue:epithelial',  'Epithelial',  'Epithelial tissue'); </v>
      </c>
    </row>
    <row r="360" spans="1:15" x14ac:dyDescent="0.15">
      <c r="A360" s="12" t="b">
        <f>FALSE()</f>
        <v>0</v>
      </c>
      <c r="B360" s="12"/>
      <c r="C360" s="6" t="s">
        <v>2406</v>
      </c>
      <c r="D360" s="6" t="s">
        <v>2407</v>
      </c>
      <c r="E360" s="6" t="s">
        <v>17</v>
      </c>
      <c r="F360" s="6" t="s">
        <v>233</v>
      </c>
      <c r="G360" s="6" t="s">
        <v>2680</v>
      </c>
      <c r="H360" s="6" t="str">
        <f t="shared" si="34"/>
        <v>att_tissue</v>
      </c>
      <c r="I360" s="6" t="s">
        <v>2406</v>
      </c>
      <c r="J360" s="6" t="str">
        <f t="shared" si="35"/>
        <v>att_tissue:hypodermis</v>
      </c>
      <c r="K360" s="11" t="s">
        <v>21</v>
      </c>
      <c r="L360" s="6" t="s">
        <v>2407</v>
      </c>
      <c r="M360" s="6" t="s">
        <v>17</v>
      </c>
      <c r="N360" s="6" t="str">
        <f t="shared" si="36"/>
        <v>INSERT INTO attributes (parent_id, tag, name, priority, allow_as_filter, allow_for_dataset, allow_for_measurement, allow_for_users, allow_for_qc) VALUES (NULL, 'att_tissue',  'Tissue',  500,  TRUE, TRUE, TRUE, FALSE, FALSE);</v>
      </c>
      <c r="O360" s="6" t="str">
        <f t="shared" si="37"/>
        <v xml:space="preserve">INSERT INTO attribute_values (attribute_id, tag, name, details) VALUES ((SELECT id FROM attributes WHERE tag = 'att_tissue' LIMIT 1),  'att_tissue:hypodermis',  'Hypodermis',  'Hypodermis'); </v>
      </c>
    </row>
    <row r="361" spans="1:15" x14ac:dyDescent="0.15">
      <c r="A361" s="12" t="b">
        <f>FALSE()</f>
        <v>0</v>
      </c>
      <c r="B361" s="12"/>
      <c r="C361" s="6" t="s">
        <v>2408</v>
      </c>
      <c r="D361" s="6" t="s">
        <v>177</v>
      </c>
      <c r="E361" s="6" t="s">
        <v>17</v>
      </c>
      <c r="F361" s="6" t="s">
        <v>233</v>
      </c>
      <c r="G361" s="6" t="s">
        <v>2680</v>
      </c>
      <c r="H361" s="6" t="str">
        <f t="shared" si="34"/>
        <v>att_tissue</v>
      </c>
      <c r="I361" s="6" t="s">
        <v>2408</v>
      </c>
      <c r="J361" s="6" t="str">
        <f t="shared" si="35"/>
        <v>att_tissue:muscle</v>
      </c>
      <c r="K361" s="11" t="s">
        <v>21</v>
      </c>
      <c r="L361" s="6" t="s">
        <v>2409</v>
      </c>
      <c r="M361" s="6" t="s">
        <v>17</v>
      </c>
      <c r="N361" s="6" t="str">
        <f t="shared" si="36"/>
        <v>INSERT INTO attributes (parent_id, tag, name, priority, allow_as_filter, allow_for_dataset, allow_for_measurement, allow_for_users, allow_for_qc) VALUES (NULL, 'att_tissue',  'Tissue',  500,  TRUE, TRUE, TRUE, FALSE, FALSE);</v>
      </c>
      <c r="O361" s="6" t="str">
        <f t="shared" si="37"/>
        <v xml:space="preserve">INSERT INTO attribute_values (attribute_id, tag, name, details) VALUES ((SELECT id FROM attributes WHERE tag = 'att_tissue' LIMIT 1),  'att_tissue:muscle',  'Muscle',  'Muscle tissue'); </v>
      </c>
    </row>
    <row r="362" spans="1:15" x14ac:dyDescent="0.15">
      <c r="A362" s="12" t="b">
        <f>FALSE()</f>
        <v>0</v>
      </c>
      <c r="B362" s="12"/>
      <c r="C362" s="6" t="s">
        <v>2410</v>
      </c>
      <c r="D362" s="6" t="s">
        <v>2229</v>
      </c>
      <c r="E362" s="6" t="s">
        <v>17</v>
      </c>
      <c r="F362" s="6" t="s">
        <v>233</v>
      </c>
      <c r="G362" s="6" t="s">
        <v>2680</v>
      </c>
      <c r="H362" s="6" t="str">
        <f t="shared" si="34"/>
        <v>att_tissue</v>
      </c>
      <c r="I362" s="6" t="s">
        <v>2410</v>
      </c>
      <c r="J362" s="6" t="str">
        <f t="shared" si="35"/>
        <v>att_tissue:nervous</v>
      </c>
      <c r="K362" s="11" t="s">
        <v>21</v>
      </c>
      <c r="L362" s="6" t="s">
        <v>2411</v>
      </c>
      <c r="M362" s="6" t="s">
        <v>17</v>
      </c>
      <c r="N362" s="6" t="str">
        <f t="shared" si="36"/>
        <v>INSERT INTO attributes (parent_id, tag, name, priority, allow_as_filter, allow_for_dataset, allow_for_measurement, allow_for_users, allow_for_qc) VALUES (NULL, 'att_tissue',  'Tissue',  500,  TRUE, TRUE, TRUE, FALSE, FALSE);</v>
      </c>
      <c r="O362" s="6" t="str">
        <f t="shared" si="37"/>
        <v xml:space="preserve">INSERT INTO attribute_values (attribute_id, tag, name, details) VALUES ((SELECT id FROM attributes WHERE tag = 'att_tissue' LIMIT 1),  'att_tissue:nervous',  'Nervous',  'Nervous tissue'); </v>
      </c>
    </row>
    <row r="363" spans="1:15" x14ac:dyDescent="0.15">
      <c r="A363" s="12" t="b">
        <f>FALSE()</f>
        <v>0</v>
      </c>
      <c r="B363" s="12"/>
      <c r="C363" s="6" t="s">
        <v>2412</v>
      </c>
      <c r="D363" s="6" t="s">
        <v>2413</v>
      </c>
      <c r="E363" s="6" t="s">
        <v>17</v>
      </c>
      <c r="F363" s="6" t="s">
        <v>233</v>
      </c>
      <c r="G363" s="6" t="s">
        <v>2680</v>
      </c>
      <c r="H363" s="6" t="str">
        <f t="shared" si="34"/>
        <v>att_tissue</v>
      </c>
      <c r="I363" s="6" t="s">
        <v>2412</v>
      </c>
      <c r="J363" s="6" t="str">
        <f t="shared" si="35"/>
        <v>att_tissue:reticular</v>
      </c>
      <c r="K363" s="11" t="s">
        <v>21</v>
      </c>
      <c r="L363" s="6" t="s">
        <v>2414</v>
      </c>
      <c r="M363" s="6" t="s">
        <v>17</v>
      </c>
      <c r="N363" s="6" t="str">
        <f t="shared" si="36"/>
        <v>INSERT INTO attributes (parent_id, tag, name, priority, allow_as_filter, allow_for_dataset, allow_for_measurement, allow_for_users, allow_for_qc) VALUES (NULL, 'att_tissue',  'Tissue',  500,  TRUE, TRUE, TRUE, FALSE, FALSE);</v>
      </c>
      <c r="O363" s="6" t="str">
        <f t="shared" si="37"/>
        <v xml:space="preserve">INSERT INTO attribute_values (attribute_id, tag, name, details) VALUES ((SELECT id FROM attributes WHERE tag = 'att_tissue' LIMIT 1),  'att_tissue:reticular',  'Reticular',  'Reticular connective tissue'); </v>
      </c>
    </row>
    <row r="364" spans="1:15" x14ac:dyDescent="0.15">
      <c r="A364" s="12" t="b">
        <f>FALSE()</f>
        <v>0</v>
      </c>
      <c r="B364" s="12"/>
      <c r="C364" s="6" t="s">
        <v>2415</v>
      </c>
      <c r="D364" s="6" t="s">
        <v>2416</v>
      </c>
      <c r="E364" s="6" t="s">
        <v>17</v>
      </c>
      <c r="F364" s="6" t="s">
        <v>233</v>
      </c>
      <c r="G364" s="6" t="s">
        <v>2680</v>
      </c>
      <c r="H364" s="6" t="str">
        <f t="shared" si="34"/>
        <v>att_tissue</v>
      </c>
      <c r="I364" s="6" t="s">
        <v>2415</v>
      </c>
      <c r="J364" s="6" t="str">
        <f t="shared" si="35"/>
        <v>att_tissue:stromal</v>
      </c>
      <c r="K364" s="11" t="s">
        <v>21</v>
      </c>
      <c r="L364" s="6" t="s">
        <v>2417</v>
      </c>
      <c r="M364" s="6" t="s">
        <v>17</v>
      </c>
      <c r="N364" s="6" t="str">
        <f t="shared" si="36"/>
        <v>INSERT INTO attributes (parent_id, tag, name, priority, allow_as_filter, allow_for_dataset, allow_for_measurement, allow_for_users, allow_for_qc) VALUES (NULL, 'att_tissue',  'Tissue',  500,  TRUE, TRUE, TRUE, FALSE, FALSE);</v>
      </c>
      <c r="O364" s="6" t="str">
        <f t="shared" si="37"/>
        <v xml:space="preserve">INSERT INTO attribute_values (attribute_id, tag, name, details) VALUES ((SELECT id FROM attributes WHERE tag = 'att_tissue' LIMIT 1),  'att_tissue:stromal',  'Stromal',  'Stroma tissue'); </v>
      </c>
    </row>
    <row r="365" spans="1:15" x14ac:dyDescent="0.15">
      <c r="A365" s="11" t="s">
        <v>21</v>
      </c>
      <c r="B365" s="11"/>
      <c r="C365" s="6" t="s">
        <v>986</v>
      </c>
      <c r="D365" s="6" t="s">
        <v>988</v>
      </c>
      <c r="E365" s="6" t="s">
        <v>17</v>
      </c>
      <c r="F365" s="6" t="s">
        <v>2568</v>
      </c>
      <c r="G365" s="6" t="s">
        <v>2569</v>
      </c>
      <c r="H365" s="6" t="str">
        <f t="shared" ref="H365" si="38">"att_"&amp;G365</f>
        <v>att_dataset</v>
      </c>
      <c r="I365" s="6" t="s">
        <v>2681</v>
      </c>
      <c r="J365" s="6" t="str">
        <f t="shared" ref="J365" si="39">H365&amp;":"&amp;I365</f>
        <v>att_dataset:database orf_search</v>
      </c>
      <c r="K365" s="11" t="s">
        <v>21</v>
      </c>
      <c r="L365" s="6" t="s">
        <v>989</v>
      </c>
      <c r="M365" s="6" t="s">
        <v>17</v>
      </c>
      <c r="N365" s="6" t="str">
        <f t="shared" si="36"/>
        <v>INSERT INTO attributes (parent_id, tag, name, priority, allow_as_filter, allow_for_dataset, allow_for_measurement, allow_for_users, allow_for_qc) VALUES (NULL, 'att_dataset',  'Spectral Interpretation',  500,  TRUE, TRUE, TRUE, FALSE, FALSE);</v>
      </c>
      <c r="O365" s="6" t="str">
        <f t="shared" si="37"/>
        <v xml:space="preserve">INSERT INTO attribute_values (attribute_id, tag, name, details) VALUES ((SELECT id FROM attributes WHERE tag = 'att_dataset' LIMIT 1),  'att_dataset:database orf_search',  'Database + ORF search',  'database and orf search'); </v>
      </c>
    </row>
    <row r="368" spans="1:15" x14ac:dyDescent="0.15">
      <c r="C368" s="6" t="s">
        <v>2682</v>
      </c>
      <c r="D368" s="6" t="s">
        <v>1360</v>
      </c>
      <c r="F368" s="6" t="s">
        <v>149</v>
      </c>
      <c r="G368" s="6" t="s">
        <v>93</v>
      </c>
      <c r="H368" s="6" t="s">
        <v>148</v>
      </c>
      <c r="I368" s="6" t="s">
        <v>1010</v>
      </c>
      <c r="J368" s="6" t="str">
        <f>H368&amp;":"&amp;I368</f>
        <v>att_lysis_buffer:sds</v>
      </c>
      <c r="L368" s="6" t="s">
        <v>1361</v>
      </c>
    </row>
    <row r="369" spans="3:12" x14ac:dyDescent="0.15">
      <c r="C369" s="6" t="s">
        <v>2683</v>
      </c>
      <c r="D369" s="6" t="s">
        <v>1366</v>
      </c>
      <c r="F369" s="6" t="s">
        <v>149</v>
      </c>
      <c r="G369" s="6" t="s">
        <v>93</v>
      </c>
      <c r="H369" s="6" t="s">
        <v>148</v>
      </c>
      <c r="I369" s="6" t="s">
        <v>1365</v>
      </c>
      <c r="J369" s="6" t="str">
        <f>H369&amp;":"&amp;I369</f>
        <v>att_lysis_buffer:urea</v>
      </c>
      <c r="L369" s="6" t="s">
        <v>1367</v>
      </c>
    </row>
    <row r="370" spans="3:12" x14ac:dyDescent="0.15">
      <c r="C370" s="6" t="s">
        <v>2684</v>
      </c>
      <c r="D370" s="6" t="s">
        <v>1363</v>
      </c>
      <c r="F370" s="6" t="s">
        <v>149</v>
      </c>
      <c r="G370" s="6" t="s">
        <v>93</v>
      </c>
      <c r="H370" s="6" t="s">
        <v>148</v>
      </c>
      <c r="I370" s="6" t="s">
        <v>1362</v>
      </c>
      <c r="J370" s="6" t="str">
        <f>H370&amp;":"&amp;I370</f>
        <v>att_lysis_buffer:two_sdc</v>
      </c>
      <c r="L370" s="6" t="s">
        <v>1364</v>
      </c>
    </row>
    <row r="371" spans="3:12" x14ac:dyDescent="0.15">
      <c r="C371" s="6" t="s">
        <v>2684</v>
      </c>
      <c r="D371" s="6" t="s">
        <v>1358</v>
      </c>
      <c r="F371" s="6" t="s">
        <v>149</v>
      </c>
      <c r="G371" s="6" t="s">
        <v>93</v>
      </c>
      <c r="H371" s="6" t="s">
        <v>148</v>
      </c>
      <c r="I371" s="6" t="s">
        <v>1357</v>
      </c>
      <c r="J371" s="6" t="str">
        <f>H371&amp;":"&amp;I371</f>
        <v>att_lysis_buffer:one_sdc</v>
      </c>
      <c r="L371" s="6" t="s">
        <v>1359</v>
      </c>
    </row>
    <row r="373" spans="3:12" x14ac:dyDescent="0.15">
      <c r="C373" s="6" t="s">
        <v>93</v>
      </c>
      <c r="D373" s="6" t="s">
        <v>1369</v>
      </c>
      <c r="F373" s="6" t="s">
        <v>150</v>
      </c>
      <c r="G373" s="6" t="s">
        <v>93</v>
      </c>
      <c r="H373" s="6" t="s">
        <v>91</v>
      </c>
      <c r="I373" s="6" t="s">
        <v>1368</v>
      </c>
      <c r="J373" s="6" t="str">
        <f>H373&amp;":"&amp;I373</f>
        <v>att_lysis_method:dounce</v>
      </c>
      <c r="L373" s="6" t="s">
        <v>1370</v>
      </c>
    </row>
    <row r="374" spans="3:12" x14ac:dyDescent="0.15">
      <c r="C374" s="6" t="s">
        <v>93</v>
      </c>
      <c r="D374" s="6" t="s">
        <v>1375</v>
      </c>
      <c r="F374" s="6" t="s">
        <v>150</v>
      </c>
      <c r="G374" s="6" t="s">
        <v>93</v>
      </c>
      <c r="H374" s="6" t="s">
        <v>91</v>
      </c>
      <c r="I374" s="6" t="s">
        <v>1374</v>
      </c>
      <c r="J374" s="6" t="str">
        <f>H374&amp;":"&amp;I374</f>
        <v>att_lysis_method:paracyllus</v>
      </c>
      <c r="L374" s="6" t="s">
        <v>1376</v>
      </c>
    </row>
    <row r="375" spans="3:12" x14ac:dyDescent="0.15">
      <c r="C375" s="6" t="s">
        <v>93</v>
      </c>
      <c r="D375" s="6" t="s">
        <v>1372</v>
      </c>
      <c r="F375" s="6" t="s">
        <v>150</v>
      </c>
      <c r="G375" s="6" t="s">
        <v>93</v>
      </c>
      <c r="H375" s="6" t="s">
        <v>91</v>
      </c>
      <c r="I375" s="6" t="s">
        <v>1371</v>
      </c>
      <c r="J375" s="6" t="str">
        <f>H375&amp;":"&amp;I375</f>
        <v>att_lysis_method:motar_pestle</v>
      </c>
      <c r="L375" s="6" t="s">
        <v>1373</v>
      </c>
    </row>
    <row r="377" spans="3:12" x14ac:dyDescent="0.15">
      <c r="C377" s="6" t="s">
        <v>2685</v>
      </c>
      <c r="D377" s="6" t="s">
        <v>1011</v>
      </c>
      <c r="F377" s="6" t="s">
        <v>92</v>
      </c>
      <c r="G377" s="6" t="s">
        <v>2686</v>
      </c>
      <c r="H377" s="6" t="s">
        <v>90</v>
      </c>
      <c r="I377" s="6" t="s">
        <v>1010</v>
      </c>
      <c r="J377" s="6" t="str">
        <f t="shared" ref="J377:J385" si="40">H377&amp;":"&amp;I377</f>
        <v>att_detergent:sds</v>
      </c>
      <c r="L377" s="6" t="s">
        <v>1012</v>
      </c>
    </row>
    <row r="378" spans="3:12" x14ac:dyDescent="0.15">
      <c r="C378" s="6" t="s">
        <v>2687</v>
      </c>
      <c r="D378" s="6" t="s">
        <v>1017</v>
      </c>
      <c r="F378" s="6" t="s">
        <v>92</v>
      </c>
      <c r="G378" s="6" t="s">
        <v>2686</v>
      </c>
      <c r="H378" s="6" t="s">
        <v>90</v>
      </c>
      <c r="I378" s="6" t="s">
        <v>1016</v>
      </c>
      <c r="J378" s="6" t="str">
        <f t="shared" si="40"/>
        <v>att_detergent:tween20</v>
      </c>
      <c r="L378" s="6" t="s">
        <v>1018</v>
      </c>
    </row>
    <row r="379" spans="3:12" x14ac:dyDescent="0.15">
      <c r="C379" s="6" t="s">
        <v>2688</v>
      </c>
      <c r="D379" s="6" t="s">
        <v>2689</v>
      </c>
      <c r="F379" s="6" t="s">
        <v>92</v>
      </c>
      <c r="G379" s="6" t="s">
        <v>2686</v>
      </c>
      <c r="H379" s="6" t="s">
        <v>90</v>
      </c>
      <c r="I379" s="6" t="s">
        <v>1019</v>
      </c>
      <c r="J379" s="6" t="str">
        <f t="shared" si="40"/>
        <v>att_detergent:tween80</v>
      </c>
      <c r="L379" s="6" t="s">
        <v>1021</v>
      </c>
    </row>
    <row r="380" spans="3:12" x14ac:dyDescent="0.15">
      <c r="C380" s="6" t="s">
        <v>2690</v>
      </c>
      <c r="D380" s="6" t="s">
        <v>1002</v>
      </c>
      <c r="F380" s="6" t="s">
        <v>92</v>
      </c>
      <c r="G380" s="6" t="s">
        <v>2686</v>
      </c>
      <c r="H380" s="6" t="s">
        <v>90</v>
      </c>
      <c r="I380" s="6" t="s">
        <v>1001</v>
      </c>
      <c r="J380" s="6" t="str">
        <f t="shared" si="40"/>
        <v>att_detergent:np40</v>
      </c>
      <c r="L380" s="6" t="s">
        <v>1003</v>
      </c>
    </row>
    <row r="381" spans="3:12" x14ac:dyDescent="0.15">
      <c r="C381" s="6" t="s">
        <v>2691</v>
      </c>
      <c r="D381" s="6" t="s">
        <v>1014</v>
      </c>
      <c r="F381" s="6" t="s">
        <v>92</v>
      </c>
      <c r="G381" s="6" t="s">
        <v>2686</v>
      </c>
      <c r="H381" s="6" t="s">
        <v>90</v>
      </c>
      <c r="I381" s="6" t="s">
        <v>1013</v>
      </c>
      <c r="J381" s="6" t="str">
        <f t="shared" si="40"/>
        <v>att_detergent:tritonx100</v>
      </c>
      <c r="L381" s="6" t="s">
        <v>1015</v>
      </c>
    </row>
    <row r="382" spans="3:12" x14ac:dyDescent="0.15">
      <c r="C382" s="6" t="s">
        <v>2692</v>
      </c>
      <c r="D382" s="6" t="s">
        <v>996</v>
      </c>
      <c r="F382" s="6" t="s">
        <v>92</v>
      </c>
      <c r="G382" s="6" t="s">
        <v>2686</v>
      </c>
      <c r="H382" s="6" t="s">
        <v>90</v>
      </c>
      <c r="I382" s="6" t="s">
        <v>995</v>
      </c>
      <c r="J382" s="6" t="str">
        <f t="shared" si="40"/>
        <v>att_detergent:chaps</v>
      </c>
      <c r="L382" s="6" t="s">
        <v>997</v>
      </c>
    </row>
    <row r="383" spans="3:12" x14ac:dyDescent="0.15">
      <c r="C383" s="6" t="s">
        <v>2693</v>
      </c>
      <c r="D383" s="6" t="s">
        <v>999</v>
      </c>
      <c r="F383" s="6" t="s">
        <v>92</v>
      </c>
      <c r="G383" s="6" t="s">
        <v>2686</v>
      </c>
      <c r="H383" s="6" t="s">
        <v>90</v>
      </c>
      <c r="I383" s="6" t="s">
        <v>998</v>
      </c>
      <c r="J383" s="6" t="str">
        <f t="shared" si="40"/>
        <v>att_detergent:dmm</v>
      </c>
      <c r="L383" s="6" t="s">
        <v>1000</v>
      </c>
    </row>
    <row r="384" spans="3:12" x14ac:dyDescent="0.15">
      <c r="C384" s="6" t="s">
        <v>2694</v>
      </c>
      <c r="D384" s="6" t="s">
        <v>1005</v>
      </c>
      <c r="F384" s="6" t="s">
        <v>92</v>
      </c>
      <c r="G384" s="6" t="s">
        <v>2686</v>
      </c>
      <c r="H384" s="6" t="s">
        <v>90</v>
      </c>
      <c r="I384" s="6" t="s">
        <v>1004</v>
      </c>
      <c r="J384" s="6" t="str">
        <f t="shared" si="40"/>
        <v>att_detergent:og</v>
      </c>
      <c r="L384" s="6" t="s">
        <v>1006</v>
      </c>
    </row>
    <row r="385" spans="1:12" x14ac:dyDescent="0.15">
      <c r="C385" s="6" t="s">
        <v>2695</v>
      </c>
      <c r="D385" s="6" t="s">
        <v>1008</v>
      </c>
      <c r="F385" s="6" t="s">
        <v>92</v>
      </c>
      <c r="G385" s="6" t="s">
        <v>2686</v>
      </c>
      <c r="H385" s="6" t="s">
        <v>90</v>
      </c>
      <c r="I385" s="6" t="s">
        <v>1007</v>
      </c>
      <c r="J385" s="6" t="str">
        <f t="shared" si="40"/>
        <v>att_detergent:otg</v>
      </c>
      <c r="L385" s="6" t="s">
        <v>1009</v>
      </c>
    </row>
    <row r="387" spans="1:12" x14ac:dyDescent="0.15">
      <c r="C387" s="6" t="s">
        <v>2696</v>
      </c>
      <c r="D387" s="6" t="s">
        <v>2338</v>
      </c>
      <c r="F387" s="6" t="s">
        <v>2697</v>
      </c>
      <c r="G387" s="6" t="s">
        <v>2698</v>
      </c>
      <c r="H387" s="6" t="s">
        <v>210</v>
      </c>
      <c r="I387" s="6" t="s">
        <v>2337</v>
      </c>
      <c r="J387" s="6" t="str">
        <f>H387&amp;":"&amp;I387</f>
        <v>att_reduction:tcep</v>
      </c>
      <c r="L387" s="6" t="s">
        <v>2339</v>
      </c>
    </row>
    <row r="388" spans="1:12" x14ac:dyDescent="0.15">
      <c r="C388" s="6" t="s">
        <v>2699</v>
      </c>
      <c r="D388" s="6" t="s">
        <v>2334</v>
      </c>
      <c r="F388" s="6" t="s">
        <v>2697</v>
      </c>
      <c r="G388" s="6" t="s">
        <v>2698</v>
      </c>
      <c r="H388" s="6" t="s">
        <v>210</v>
      </c>
      <c r="I388" s="6" t="s">
        <v>2333</v>
      </c>
      <c r="J388" s="6" t="str">
        <f>H388&amp;":"&amp;I388</f>
        <v>att_reduction:dtt</v>
      </c>
      <c r="L388" s="6" t="s">
        <v>2335</v>
      </c>
    </row>
    <row r="389" spans="1:12" x14ac:dyDescent="0.15">
      <c r="C389" s="6" t="s">
        <v>2699</v>
      </c>
      <c r="D389" s="6" t="s">
        <v>1862</v>
      </c>
      <c r="F389" s="6" t="s">
        <v>2697</v>
      </c>
      <c r="G389" s="6" t="s">
        <v>2698</v>
      </c>
      <c r="H389" s="6" t="s">
        <v>210</v>
      </c>
      <c r="I389" s="6" t="s">
        <v>336</v>
      </c>
      <c r="J389" s="6" t="str">
        <f>H389&amp;":"&amp;I389</f>
        <v>att_reduction:none</v>
      </c>
      <c r="L389" s="6" t="s">
        <v>2336</v>
      </c>
    </row>
    <row r="391" spans="1:12" x14ac:dyDescent="0.15">
      <c r="C391" s="6" t="s">
        <v>2700</v>
      </c>
      <c r="D391" s="6" t="s">
        <v>331</v>
      </c>
      <c r="F391" s="6" t="s">
        <v>2701</v>
      </c>
      <c r="G391" s="6" t="s">
        <v>2702</v>
      </c>
      <c r="H391" s="6" t="s">
        <v>210</v>
      </c>
      <c r="I391" s="6" t="s">
        <v>330</v>
      </c>
      <c r="J391" s="6" t="str">
        <f>H391&amp;":"&amp;I391</f>
        <v>att_reduction:caa</v>
      </c>
      <c r="L391" s="6" t="s">
        <v>332</v>
      </c>
    </row>
    <row r="392" spans="1:12" x14ac:dyDescent="0.15">
      <c r="C392" s="6" t="s">
        <v>2703</v>
      </c>
      <c r="D392" s="6" t="s">
        <v>334</v>
      </c>
      <c r="F392" s="6" t="s">
        <v>2701</v>
      </c>
      <c r="G392" s="6" t="s">
        <v>2702</v>
      </c>
      <c r="H392" s="6" t="s">
        <v>210</v>
      </c>
      <c r="I392" s="6" t="s">
        <v>333</v>
      </c>
      <c r="J392" s="6" t="str">
        <f>H392&amp;":"&amp;I392</f>
        <v>att_reduction:iaa</v>
      </c>
      <c r="L392" s="6" t="s">
        <v>335</v>
      </c>
    </row>
    <row r="393" spans="1:12" x14ac:dyDescent="0.15">
      <c r="C393" s="6" t="s">
        <v>2702</v>
      </c>
      <c r="D393" s="6" t="s">
        <v>1862</v>
      </c>
      <c r="F393" s="6" t="s">
        <v>2701</v>
      </c>
      <c r="G393" s="6" t="s">
        <v>2698</v>
      </c>
      <c r="H393" s="6" t="s">
        <v>210</v>
      </c>
      <c r="I393" s="6" t="s">
        <v>336</v>
      </c>
      <c r="J393" s="6" t="str">
        <f>H393&amp;":"&amp;I393</f>
        <v>att_reduction:none</v>
      </c>
      <c r="L393" s="6" t="s">
        <v>338</v>
      </c>
    </row>
    <row r="395" spans="1:12" x14ac:dyDescent="0.15">
      <c r="A395" s="6" t="b">
        <f>TRUE()</f>
        <v>1</v>
      </c>
      <c r="C395" s="6" t="s">
        <v>2704</v>
      </c>
      <c r="D395" s="6" t="s">
        <v>2273</v>
      </c>
      <c r="F395" s="6" t="s">
        <v>200</v>
      </c>
      <c r="G395" s="6" t="s">
        <v>2705</v>
      </c>
      <c r="H395" s="6" t="s">
        <v>199</v>
      </c>
      <c r="I395" s="6" t="s">
        <v>2272</v>
      </c>
      <c r="J395" s="6" t="str">
        <f t="shared" ref="J395:J402" si="41">H395&amp;":"&amp;I395</f>
        <v>att_protease:trypsin</v>
      </c>
      <c r="L395" s="6" t="s">
        <v>2274</v>
      </c>
    </row>
    <row r="396" spans="1:12" x14ac:dyDescent="0.15">
      <c r="A396" s="6" t="b">
        <f>TRUE()</f>
        <v>1</v>
      </c>
      <c r="C396" s="6" t="s">
        <v>2704</v>
      </c>
      <c r="D396" s="6" t="s">
        <v>2267</v>
      </c>
      <c r="F396" s="6" t="s">
        <v>200</v>
      </c>
      <c r="G396" s="6" t="s">
        <v>2705</v>
      </c>
      <c r="H396" s="6" t="s">
        <v>199</v>
      </c>
      <c r="I396" s="6" t="s">
        <v>2266</v>
      </c>
      <c r="J396" s="6" t="str">
        <f t="shared" si="41"/>
        <v>att_protease:lysc</v>
      </c>
      <c r="L396" s="6" t="s">
        <v>2268</v>
      </c>
    </row>
    <row r="397" spans="1:12" x14ac:dyDescent="0.15">
      <c r="A397" s="6" t="b">
        <f>TRUE()</f>
        <v>1</v>
      </c>
      <c r="C397" s="6" t="s">
        <v>2704</v>
      </c>
      <c r="D397" s="6" t="s">
        <v>2252</v>
      </c>
      <c r="F397" s="6" t="s">
        <v>200</v>
      </c>
      <c r="G397" s="6" t="s">
        <v>2705</v>
      </c>
      <c r="H397" s="6" t="s">
        <v>199</v>
      </c>
      <c r="I397" s="6" t="s">
        <v>2251</v>
      </c>
      <c r="J397" s="6" t="str">
        <f t="shared" si="41"/>
        <v>att_protease:argc</v>
      </c>
      <c r="L397" s="6" t="s">
        <v>2253</v>
      </c>
    </row>
    <row r="398" spans="1:12" x14ac:dyDescent="0.15">
      <c r="A398" s="6" t="b">
        <f>TRUE()</f>
        <v>1</v>
      </c>
      <c r="C398" s="6" t="s">
        <v>2704</v>
      </c>
      <c r="D398" s="6" t="s">
        <v>2264</v>
      </c>
      <c r="F398" s="6" t="s">
        <v>200</v>
      </c>
      <c r="G398" s="6" t="s">
        <v>2705</v>
      </c>
      <c r="H398" s="6" t="s">
        <v>199</v>
      </c>
      <c r="I398" s="6" t="s">
        <v>2263</v>
      </c>
      <c r="J398" s="6" t="str">
        <f t="shared" si="41"/>
        <v>att_protease:gluc</v>
      </c>
      <c r="L398" s="6" t="s">
        <v>2265</v>
      </c>
    </row>
    <row r="399" spans="1:12" x14ac:dyDescent="0.15">
      <c r="A399" s="6" t="b">
        <f>TRUE()</f>
        <v>1</v>
      </c>
      <c r="C399" s="6" t="s">
        <v>2704</v>
      </c>
      <c r="D399" s="6" t="s">
        <v>2258</v>
      </c>
      <c r="F399" s="6" t="s">
        <v>200</v>
      </c>
      <c r="G399" s="6" t="s">
        <v>2705</v>
      </c>
      <c r="H399" s="6" t="s">
        <v>199</v>
      </c>
      <c r="I399" s="6" t="s">
        <v>2257</v>
      </c>
      <c r="J399" s="6" t="str">
        <f t="shared" si="41"/>
        <v>att_protease:chymotrypsin</v>
      </c>
      <c r="L399" s="6" t="s">
        <v>2259</v>
      </c>
    </row>
    <row r="400" spans="1:12" x14ac:dyDescent="0.15">
      <c r="A400" s="6" t="b">
        <f>TRUE()</f>
        <v>1</v>
      </c>
      <c r="C400" s="6" t="s">
        <v>2704</v>
      </c>
      <c r="D400" s="6" t="s">
        <v>2255</v>
      </c>
      <c r="F400" s="6" t="s">
        <v>200</v>
      </c>
      <c r="G400" s="6" t="s">
        <v>2705</v>
      </c>
      <c r="H400" s="6" t="s">
        <v>199</v>
      </c>
      <c r="I400" s="6" t="s">
        <v>2254</v>
      </c>
      <c r="J400" s="6" t="str">
        <f t="shared" si="41"/>
        <v>att_protease:aspn</v>
      </c>
      <c r="L400" s="6" t="s">
        <v>2256</v>
      </c>
    </row>
    <row r="401" spans="1:12" x14ac:dyDescent="0.15">
      <c r="A401" s="6" t="b">
        <f>TRUE()</f>
        <v>1</v>
      </c>
      <c r="C401" s="6" t="s">
        <v>2704</v>
      </c>
      <c r="D401" s="6" t="s">
        <v>2261</v>
      </c>
      <c r="F401" s="6" t="s">
        <v>200</v>
      </c>
      <c r="G401" s="6" t="s">
        <v>2705</v>
      </c>
      <c r="H401" s="6" t="s">
        <v>199</v>
      </c>
      <c r="I401" s="6" t="s">
        <v>2260</v>
      </c>
      <c r="J401" s="6" t="str">
        <f t="shared" si="41"/>
        <v>att_protease:elastase</v>
      </c>
      <c r="L401" s="6" t="s">
        <v>2262</v>
      </c>
    </row>
    <row r="402" spans="1:12" x14ac:dyDescent="0.15">
      <c r="A402" s="6" t="b">
        <f>TRUE()</f>
        <v>1</v>
      </c>
      <c r="C402" s="6" t="s">
        <v>2704</v>
      </c>
      <c r="D402" s="6" t="s">
        <v>2270</v>
      </c>
      <c r="F402" s="6" t="s">
        <v>200</v>
      </c>
      <c r="G402" s="6" t="s">
        <v>2705</v>
      </c>
      <c r="H402" s="6" t="s">
        <v>199</v>
      </c>
      <c r="I402" s="6" t="s">
        <v>2269</v>
      </c>
      <c r="J402" s="6" t="str">
        <f t="shared" si="41"/>
        <v>att_protease:raspn</v>
      </c>
      <c r="L402" s="6" t="s">
        <v>2271</v>
      </c>
    </row>
    <row r="404" spans="1:12" x14ac:dyDescent="0.15">
      <c r="C404" s="6" t="s">
        <v>2706</v>
      </c>
      <c r="D404" s="6" t="s">
        <v>1350</v>
      </c>
      <c r="F404" s="6" t="s">
        <v>147</v>
      </c>
      <c r="G404" s="6" t="s">
        <v>2707</v>
      </c>
      <c r="H404" s="6" t="s">
        <v>146</v>
      </c>
      <c r="I404" s="6" t="s">
        <v>1349</v>
      </c>
      <c r="J404" s="6" t="str">
        <f t="shared" ref="J404:J410" si="42">H404&amp;":"&amp;I404</f>
        <v>att_liquid_handler:mosquitoLV</v>
      </c>
      <c r="L404" s="6" t="s">
        <v>1351</v>
      </c>
    </row>
    <row r="405" spans="1:12" x14ac:dyDescent="0.15">
      <c r="C405" s="6" t="s">
        <v>2706</v>
      </c>
      <c r="D405" s="6" t="s">
        <v>1338</v>
      </c>
      <c r="F405" s="6" t="s">
        <v>147</v>
      </c>
      <c r="G405" s="6" t="s">
        <v>2707</v>
      </c>
      <c r="H405" s="6" t="s">
        <v>146</v>
      </c>
      <c r="I405" s="6" t="s">
        <v>1337</v>
      </c>
      <c r="J405" s="6" t="str">
        <f t="shared" si="42"/>
        <v>att_liquid_handler:felix</v>
      </c>
      <c r="L405" s="6" t="s">
        <v>1339</v>
      </c>
    </row>
    <row r="406" spans="1:12" x14ac:dyDescent="0.15">
      <c r="C406" s="6" t="s">
        <v>2706</v>
      </c>
      <c r="D406" s="6" t="s">
        <v>1347</v>
      </c>
      <c r="F406" s="6" t="s">
        <v>147</v>
      </c>
      <c r="G406" s="6" t="s">
        <v>2707</v>
      </c>
      <c r="H406" s="6" t="s">
        <v>146</v>
      </c>
      <c r="I406" s="6" t="s">
        <v>1346</v>
      </c>
      <c r="J406" s="6" t="str">
        <f t="shared" si="42"/>
        <v>att_liquid_handler:mosquitoHV</v>
      </c>
      <c r="L406" s="6" t="s">
        <v>1348</v>
      </c>
    </row>
    <row r="407" spans="1:12" x14ac:dyDescent="0.15">
      <c r="C407" s="6" t="s">
        <v>2706</v>
      </c>
      <c r="D407" s="6" t="s">
        <v>1353</v>
      </c>
      <c r="F407" s="6" t="s">
        <v>147</v>
      </c>
      <c r="G407" s="6" t="s">
        <v>2707</v>
      </c>
      <c r="H407" s="6" t="s">
        <v>146</v>
      </c>
      <c r="I407" s="6" t="s">
        <v>1352</v>
      </c>
      <c r="J407" s="6" t="str">
        <f t="shared" si="42"/>
        <v>att_liquid_handler:opentrons</v>
      </c>
      <c r="L407" s="6" t="s">
        <v>1353</v>
      </c>
    </row>
    <row r="408" spans="1:12" x14ac:dyDescent="0.15">
      <c r="C408" s="6" t="s">
        <v>2706</v>
      </c>
      <c r="D408" s="6" t="s">
        <v>1341</v>
      </c>
      <c r="F408" s="6" t="s">
        <v>147</v>
      </c>
      <c r="G408" s="6" t="s">
        <v>2707</v>
      </c>
      <c r="H408" s="6" t="s">
        <v>146</v>
      </c>
      <c r="I408" s="6" t="s">
        <v>1340</v>
      </c>
      <c r="J408" s="6" t="str">
        <f t="shared" si="42"/>
        <v>att_liquid_handler:kingfisher</v>
      </c>
      <c r="L408" s="6" t="s">
        <v>1342</v>
      </c>
    </row>
    <row r="409" spans="1:12" x14ac:dyDescent="0.15">
      <c r="C409" s="6" t="s">
        <v>2706</v>
      </c>
      <c r="D409" s="6" t="s">
        <v>1335</v>
      </c>
      <c r="F409" s="6" t="s">
        <v>147</v>
      </c>
      <c r="G409" s="6" t="s">
        <v>2707</v>
      </c>
      <c r="H409" s="6" t="s">
        <v>146</v>
      </c>
      <c r="I409" s="6" t="s">
        <v>1334</v>
      </c>
      <c r="J409" s="6" t="str">
        <f t="shared" si="42"/>
        <v>att_liquid_handler:bravo</v>
      </c>
      <c r="L409" s="6" t="s">
        <v>1336</v>
      </c>
    </row>
    <row r="410" spans="1:12" x14ac:dyDescent="0.15">
      <c r="C410" s="6" t="s">
        <v>2706</v>
      </c>
      <c r="D410" s="6" t="s">
        <v>1355</v>
      </c>
      <c r="F410" s="6" t="s">
        <v>147</v>
      </c>
      <c r="G410" s="6" t="s">
        <v>2707</v>
      </c>
      <c r="H410" s="6" t="s">
        <v>146</v>
      </c>
      <c r="I410" s="6" t="s">
        <v>1354</v>
      </c>
      <c r="J410" s="6" t="str">
        <f t="shared" si="42"/>
        <v>att_liquid_handler:tecan</v>
      </c>
      <c r="L410" s="6" t="s">
        <v>1356</v>
      </c>
    </row>
    <row r="412" spans="1:12" x14ac:dyDescent="0.15">
      <c r="C412" s="6" t="s">
        <v>2708</v>
      </c>
      <c r="D412" s="6" t="s">
        <v>1054</v>
      </c>
      <c r="F412" s="6" t="s">
        <v>105</v>
      </c>
      <c r="G412" s="6" t="s">
        <v>2709</v>
      </c>
      <c r="H412" s="6" t="s">
        <v>104</v>
      </c>
      <c r="I412" s="6" t="s">
        <v>1053</v>
      </c>
      <c r="J412" s="6" t="str">
        <f>H412&amp;":"&amp;I412</f>
        <v>att_digestion_vessel:96well_plate</v>
      </c>
      <c r="L412" s="6" t="s">
        <v>1055</v>
      </c>
    </row>
    <row r="413" spans="1:12" x14ac:dyDescent="0.15">
      <c r="C413" s="6" t="s">
        <v>2708</v>
      </c>
      <c r="D413" s="6" t="s">
        <v>1052</v>
      </c>
      <c r="F413" s="6" t="s">
        <v>105</v>
      </c>
      <c r="G413" s="6" t="s">
        <v>2709</v>
      </c>
      <c r="H413" s="6" t="s">
        <v>104</v>
      </c>
      <c r="I413" s="6" t="s">
        <v>1051</v>
      </c>
      <c r="J413" s="6" t="str">
        <f>H413&amp;":"&amp;I413</f>
        <v>att_digestion_vessel:384well_plate</v>
      </c>
      <c r="L413" s="6" t="s">
        <v>1052</v>
      </c>
    </row>
    <row r="414" spans="1:12" x14ac:dyDescent="0.15">
      <c r="C414" s="6" t="s">
        <v>2710</v>
      </c>
      <c r="D414" s="6" t="s">
        <v>1062</v>
      </c>
      <c r="F414" s="6" t="s">
        <v>105</v>
      </c>
      <c r="G414" s="6" t="s">
        <v>2709</v>
      </c>
      <c r="H414" s="6" t="s">
        <v>104</v>
      </c>
      <c r="I414" s="6" t="s">
        <v>1061</v>
      </c>
      <c r="J414" s="6" t="str">
        <f>H414&amp;":"&amp;I414</f>
        <v>att_digestion_vessel:two_ml_tube</v>
      </c>
      <c r="L414" s="6" t="s">
        <v>1063</v>
      </c>
    </row>
    <row r="415" spans="1:12" x14ac:dyDescent="0.15">
      <c r="C415" s="6" t="s">
        <v>2710</v>
      </c>
      <c r="D415" s="6" t="s">
        <v>1057</v>
      </c>
      <c r="F415" s="6" t="s">
        <v>105</v>
      </c>
      <c r="G415" s="6" t="s">
        <v>2709</v>
      </c>
      <c r="H415" s="6" t="s">
        <v>104</v>
      </c>
      <c r="I415" s="6" t="s">
        <v>1056</v>
      </c>
      <c r="J415" s="6" t="str">
        <f>H415&amp;":"&amp;I415</f>
        <v>att_digestion_vessel:onefive_ml_tube</v>
      </c>
      <c r="L415" s="6" t="s">
        <v>1058</v>
      </c>
    </row>
    <row r="417" spans="3:12" x14ac:dyDescent="0.15">
      <c r="C417" s="6" t="s">
        <v>2711</v>
      </c>
      <c r="D417" s="6" t="s">
        <v>2712</v>
      </c>
      <c r="F417" s="6" t="s">
        <v>18</v>
      </c>
      <c r="G417" s="6" t="s">
        <v>2713</v>
      </c>
      <c r="H417" s="6" t="s">
        <v>16</v>
      </c>
      <c r="I417" s="6" t="s">
        <v>263</v>
      </c>
      <c r="J417" s="6" t="str">
        <f t="shared" ref="J417:J435" si="43">H417&amp;":"&amp;I417</f>
        <v>att_aa_starvation:arginine</v>
      </c>
      <c r="L417" s="6" t="s">
        <v>266</v>
      </c>
    </row>
    <row r="418" spans="3:12" x14ac:dyDescent="0.15">
      <c r="C418" s="6" t="s">
        <v>2711</v>
      </c>
      <c r="D418" s="6" t="s">
        <v>2714</v>
      </c>
      <c r="F418" s="6" t="s">
        <v>18</v>
      </c>
      <c r="G418" s="6" t="s">
        <v>2713</v>
      </c>
      <c r="H418" s="6" t="s">
        <v>16</v>
      </c>
      <c r="I418" s="6" t="s">
        <v>267</v>
      </c>
      <c r="J418" s="6" t="str">
        <f t="shared" si="43"/>
        <v>att_aa_starvation:asparagine</v>
      </c>
      <c r="L418" s="6" t="s">
        <v>269</v>
      </c>
    </row>
    <row r="419" spans="3:12" x14ac:dyDescent="0.15">
      <c r="C419" s="6" t="s">
        <v>2711</v>
      </c>
      <c r="D419" s="6" t="s">
        <v>2715</v>
      </c>
      <c r="F419" s="6" t="s">
        <v>18</v>
      </c>
      <c r="G419" s="6" t="s">
        <v>2713</v>
      </c>
      <c r="H419" s="6" t="s">
        <v>16</v>
      </c>
      <c r="I419" s="6" t="s">
        <v>270</v>
      </c>
      <c r="J419" s="6" t="str">
        <f t="shared" si="43"/>
        <v>att_aa_starvation:asparticacid</v>
      </c>
      <c r="L419" s="6" t="s">
        <v>272</v>
      </c>
    </row>
    <row r="420" spans="3:12" x14ac:dyDescent="0.15">
      <c r="C420" s="6" t="s">
        <v>2711</v>
      </c>
      <c r="D420" s="6" t="s">
        <v>2716</v>
      </c>
      <c r="F420" s="6" t="s">
        <v>18</v>
      </c>
      <c r="G420" s="6" t="s">
        <v>2713</v>
      </c>
      <c r="H420" s="6" t="s">
        <v>16</v>
      </c>
      <c r="I420" s="6" t="s">
        <v>273</v>
      </c>
      <c r="J420" s="6" t="str">
        <f t="shared" si="43"/>
        <v>att_aa_starvation:cysteine</v>
      </c>
      <c r="L420" s="6" t="s">
        <v>275</v>
      </c>
    </row>
    <row r="421" spans="3:12" x14ac:dyDescent="0.15">
      <c r="C421" s="6" t="s">
        <v>2711</v>
      </c>
      <c r="D421" s="6" t="s">
        <v>2717</v>
      </c>
      <c r="F421" s="6" t="s">
        <v>18</v>
      </c>
      <c r="G421" s="6" t="s">
        <v>2713</v>
      </c>
      <c r="H421" s="6" t="s">
        <v>16</v>
      </c>
      <c r="I421" s="6" t="s">
        <v>276</v>
      </c>
      <c r="J421" s="6" t="str">
        <f t="shared" si="43"/>
        <v>att_aa_starvation:glutamicacid</v>
      </c>
      <c r="L421" s="6" t="s">
        <v>278</v>
      </c>
    </row>
    <row r="422" spans="3:12" x14ac:dyDescent="0.15">
      <c r="C422" s="6" t="s">
        <v>2711</v>
      </c>
      <c r="D422" s="6" t="s">
        <v>2718</v>
      </c>
      <c r="F422" s="6" t="s">
        <v>18</v>
      </c>
      <c r="G422" s="6" t="s">
        <v>2713</v>
      </c>
      <c r="H422" s="6" t="s">
        <v>16</v>
      </c>
      <c r="I422" s="6" t="s">
        <v>279</v>
      </c>
      <c r="J422" s="6" t="str">
        <f t="shared" si="43"/>
        <v>att_aa_starvation:glutamine</v>
      </c>
      <c r="L422" s="6" t="s">
        <v>281</v>
      </c>
    </row>
    <row r="423" spans="3:12" x14ac:dyDescent="0.15">
      <c r="C423" s="6" t="s">
        <v>2711</v>
      </c>
      <c r="D423" s="6" t="s">
        <v>2719</v>
      </c>
      <c r="F423" s="6" t="s">
        <v>18</v>
      </c>
      <c r="G423" s="6" t="s">
        <v>2713</v>
      </c>
      <c r="H423" s="6" t="s">
        <v>16</v>
      </c>
      <c r="I423" s="6" t="s">
        <v>282</v>
      </c>
      <c r="J423" s="6" t="str">
        <f t="shared" si="43"/>
        <v>att_aa_starvation:glycine</v>
      </c>
      <c r="L423" s="6" t="s">
        <v>284</v>
      </c>
    </row>
    <row r="424" spans="3:12" x14ac:dyDescent="0.15">
      <c r="C424" s="6" t="s">
        <v>2711</v>
      </c>
      <c r="D424" s="6" t="s">
        <v>2720</v>
      </c>
      <c r="F424" s="6" t="s">
        <v>18</v>
      </c>
      <c r="G424" s="6" t="s">
        <v>2713</v>
      </c>
      <c r="H424" s="6" t="s">
        <v>16</v>
      </c>
      <c r="I424" s="6" t="s">
        <v>285</v>
      </c>
      <c r="J424" s="6" t="str">
        <f t="shared" si="43"/>
        <v>att_aa_starvation:histidine</v>
      </c>
      <c r="L424" s="6" t="s">
        <v>287</v>
      </c>
    </row>
    <row r="425" spans="3:12" x14ac:dyDescent="0.15">
      <c r="C425" s="6" t="s">
        <v>2711</v>
      </c>
      <c r="D425" s="6" t="s">
        <v>2721</v>
      </c>
      <c r="F425" s="6" t="s">
        <v>18</v>
      </c>
      <c r="G425" s="6" t="s">
        <v>2713</v>
      </c>
      <c r="H425" s="6" t="s">
        <v>16</v>
      </c>
      <c r="I425" s="6" t="s">
        <v>288</v>
      </c>
      <c r="J425" s="6" t="str">
        <f t="shared" si="43"/>
        <v>att_aa_starvation:isoleucine</v>
      </c>
      <c r="L425" s="6" t="s">
        <v>290</v>
      </c>
    </row>
    <row r="426" spans="3:12" x14ac:dyDescent="0.15">
      <c r="C426" s="6" t="s">
        <v>2711</v>
      </c>
      <c r="D426" s="6" t="s">
        <v>2722</v>
      </c>
      <c r="F426" s="6" t="s">
        <v>18</v>
      </c>
      <c r="G426" s="6" t="s">
        <v>2713</v>
      </c>
      <c r="H426" s="6" t="s">
        <v>16</v>
      </c>
      <c r="I426" s="6" t="s">
        <v>291</v>
      </c>
      <c r="J426" s="6" t="str">
        <f t="shared" si="43"/>
        <v>att_aa_starvation:leucine</v>
      </c>
      <c r="L426" s="6" t="s">
        <v>293</v>
      </c>
    </row>
    <row r="427" spans="3:12" x14ac:dyDescent="0.15">
      <c r="C427" s="6" t="s">
        <v>2711</v>
      </c>
      <c r="D427" s="6" t="s">
        <v>2723</v>
      </c>
      <c r="F427" s="6" t="s">
        <v>18</v>
      </c>
      <c r="G427" s="6" t="s">
        <v>2713</v>
      </c>
      <c r="H427" s="6" t="s">
        <v>16</v>
      </c>
      <c r="I427" s="6" t="s">
        <v>294</v>
      </c>
      <c r="J427" s="6" t="str">
        <f t="shared" si="43"/>
        <v>att_aa_starvation:lysine</v>
      </c>
      <c r="L427" s="6" t="s">
        <v>296</v>
      </c>
    </row>
    <row r="428" spans="3:12" x14ac:dyDescent="0.15">
      <c r="C428" s="6" t="s">
        <v>2711</v>
      </c>
      <c r="D428" s="6" t="s">
        <v>2724</v>
      </c>
      <c r="F428" s="6" t="s">
        <v>18</v>
      </c>
      <c r="G428" s="6" t="s">
        <v>2713</v>
      </c>
      <c r="H428" s="6" t="s">
        <v>16</v>
      </c>
      <c r="I428" s="6" t="s">
        <v>297</v>
      </c>
      <c r="J428" s="6" t="str">
        <f t="shared" si="43"/>
        <v>att_aa_starvation:methionine</v>
      </c>
      <c r="L428" s="6" t="s">
        <v>299</v>
      </c>
    </row>
    <row r="429" spans="3:12" x14ac:dyDescent="0.15">
      <c r="C429" s="6" t="s">
        <v>2711</v>
      </c>
      <c r="D429" s="6" t="s">
        <v>2725</v>
      </c>
      <c r="F429" s="6" t="s">
        <v>18</v>
      </c>
      <c r="G429" s="6" t="s">
        <v>2713</v>
      </c>
      <c r="H429" s="6" t="s">
        <v>16</v>
      </c>
      <c r="I429" s="6" t="s">
        <v>300</v>
      </c>
      <c r="J429" s="6" t="str">
        <f t="shared" si="43"/>
        <v>att_aa_starvation:phenylalanine</v>
      </c>
      <c r="L429" s="6" t="s">
        <v>302</v>
      </c>
    </row>
    <row r="430" spans="3:12" x14ac:dyDescent="0.15">
      <c r="C430" s="6" t="s">
        <v>2711</v>
      </c>
      <c r="D430" s="6" t="s">
        <v>2726</v>
      </c>
      <c r="F430" s="6" t="s">
        <v>18</v>
      </c>
      <c r="G430" s="6" t="s">
        <v>2713</v>
      </c>
      <c r="H430" s="6" t="s">
        <v>16</v>
      </c>
      <c r="I430" s="6" t="s">
        <v>303</v>
      </c>
      <c r="J430" s="6" t="str">
        <f t="shared" si="43"/>
        <v>att_aa_starvation:proline</v>
      </c>
      <c r="L430" s="6" t="s">
        <v>305</v>
      </c>
    </row>
    <row r="431" spans="3:12" x14ac:dyDescent="0.15">
      <c r="C431" s="6" t="s">
        <v>2711</v>
      </c>
      <c r="D431" s="6" t="s">
        <v>2727</v>
      </c>
      <c r="F431" s="6" t="s">
        <v>18</v>
      </c>
      <c r="G431" s="6" t="s">
        <v>2713</v>
      </c>
      <c r="H431" s="6" t="s">
        <v>16</v>
      </c>
      <c r="I431" s="6" t="s">
        <v>306</v>
      </c>
      <c r="J431" s="6" t="str">
        <f t="shared" si="43"/>
        <v>att_aa_starvation:serine</v>
      </c>
      <c r="L431" s="6" t="s">
        <v>308</v>
      </c>
    </row>
    <row r="432" spans="3:12" x14ac:dyDescent="0.15">
      <c r="C432" s="6" t="s">
        <v>2711</v>
      </c>
      <c r="D432" s="6" t="s">
        <v>2728</v>
      </c>
      <c r="F432" s="6" t="s">
        <v>18</v>
      </c>
      <c r="G432" s="6" t="s">
        <v>2713</v>
      </c>
      <c r="H432" s="6" t="s">
        <v>16</v>
      </c>
      <c r="I432" s="6" t="s">
        <v>309</v>
      </c>
      <c r="J432" s="6" t="str">
        <f t="shared" si="43"/>
        <v>att_aa_starvation:threonine</v>
      </c>
      <c r="L432" s="6" t="s">
        <v>311</v>
      </c>
    </row>
    <row r="433" spans="1:15" x14ac:dyDescent="0.15">
      <c r="C433" s="6" t="s">
        <v>2711</v>
      </c>
      <c r="D433" s="6" t="s">
        <v>2729</v>
      </c>
      <c r="F433" s="6" t="s">
        <v>18</v>
      </c>
      <c r="G433" s="6" t="s">
        <v>2713</v>
      </c>
      <c r="H433" s="6" t="s">
        <v>16</v>
      </c>
      <c r="I433" s="6" t="s">
        <v>312</v>
      </c>
      <c r="J433" s="6" t="str">
        <f t="shared" si="43"/>
        <v>att_aa_starvation:tryptophan</v>
      </c>
      <c r="L433" s="6" t="s">
        <v>314</v>
      </c>
    </row>
    <row r="434" spans="1:15" x14ac:dyDescent="0.15">
      <c r="C434" s="6" t="s">
        <v>2711</v>
      </c>
      <c r="D434" s="6" t="s">
        <v>2730</v>
      </c>
      <c r="F434" s="6" t="s">
        <v>18</v>
      </c>
      <c r="G434" s="6" t="s">
        <v>2713</v>
      </c>
      <c r="H434" s="6" t="s">
        <v>16</v>
      </c>
      <c r="I434" s="6" t="s">
        <v>315</v>
      </c>
      <c r="J434" s="6" t="str">
        <f t="shared" si="43"/>
        <v>att_aa_starvation:tyrosine</v>
      </c>
      <c r="L434" s="6" t="s">
        <v>317</v>
      </c>
    </row>
    <row r="435" spans="1:15" x14ac:dyDescent="0.15">
      <c r="C435" s="6" t="s">
        <v>2711</v>
      </c>
      <c r="D435" s="6" t="s">
        <v>2731</v>
      </c>
      <c r="F435" s="6" t="s">
        <v>18</v>
      </c>
      <c r="G435" s="6" t="s">
        <v>2713</v>
      </c>
      <c r="H435" s="6" t="s">
        <v>16</v>
      </c>
      <c r="I435" s="6" t="s">
        <v>318</v>
      </c>
      <c r="J435" s="6" t="str">
        <f t="shared" si="43"/>
        <v>att_aa_starvation:valine</v>
      </c>
      <c r="L435" s="6" t="s">
        <v>320</v>
      </c>
    </row>
    <row r="439" spans="1:15" x14ac:dyDescent="0.15">
      <c r="A439" s="12" t="b">
        <f>FALSE()</f>
        <v>0</v>
      </c>
      <c r="B439" s="12"/>
      <c r="C439" s="6" t="s">
        <v>773</v>
      </c>
      <c r="D439" s="6" t="s">
        <v>774</v>
      </c>
      <c r="E439" s="6" t="s">
        <v>17</v>
      </c>
      <c r="F439" s="6" t="s">
        <v>2543</v>
      </c>
      <c r="G439" s="6" t="s">
        <v>2544</v>
      </c>
      <c r="H439" s="6" t="str">
        <f t="shared" ref="H439:H448" si="44">"att_"&amp;G439</f>
        <v>att_compound</v>
      </c>
      <c r="I439" s="6" t="s">
        <v>773</v>
      </c>
      <c r="J439" s="6" t="str">
        <f t="shared" ref="J439:J448" si="45">H439&amp;":"&amp;I439</f>
        <v>att_compound:torin</v>
      </c>
      <c r="K439" s="11" t="s">
        <v>21</v>
      </c>
      <c r="L439" s="6" t="s">
        <v>775</v>
      </c>
      <c r="M439" s="6" t="s">
        <v>17</v>
      </c>
      <c r="N439" s="6" t="str">
        <f>"INSERT INTO attributes (parent_id, tag, name, priority, allow_as_filter, allow_for_dataset, allow_for_measurement, allow_for_users, allow_for_qc) VALUES (NULL, '"&amp;H439&amp;"',  '"&amp;F439&amp;"',  500,  TRUE, TRUE, TRUE, FALSE, FALSE);"</f>
        <v>INSERT INTO attributes (parent_id, tag, name, priority, allow_as_filter, allow_for_dataset, allow_for_measurement, allow_for_users, allow_for_qc) VALUES (NULL, 'att_compound',  'Compound',  500,  TRUE, TRUE, TRUE, FALSE, FALSE);</v>
      </c>
      <c r="O439" s="6" t="str">
        <f>"INSERT INTO attribute_values (attribute_id, tag, name, details) VALUES ((SELECT id FROM attributes WHERE tag = '"&amp;H439&amp;"' LIMIT 1),  '"&amp;J439&amp;"',  '"&amp;D439&amp;"',  '"&amp;L439&amp;"'); "</f>
        <v xml:space="preserve">INSERT INTO attribute_values (attribute_id, tag, name, details) VALUES ((SELECT id FROM attributes WHERE tag = 'att_compound' LIMIT 1),  'att_compound:torin',  'Torin',  'Torin Treatment'); </v>
      </c>
    </row>
    <row r="440" spans="1:15" x14ac:dyDescent="0.15">
      <c r="A440" s="12" t="b">
        <f>FALSE()</f>
        <v>0</v>
      </c>
      <c r="B440" s="12"/>
      <c r="C440" s="6" t="s">
        <v>765</v>
      </c>
      <c r="D440" s="6" t="s">
        <v>766</v>
      </c>
      <c r="E440" s="6" t="s">
        <v>17</v>
      </c>
      <c r="F440" s="6" t="s">
        <v>2543</v>
      </c>
      <c r="G440" s="6" t="s">
        <v>2544</v>
      </c>
      <c r="H440" s="6" t="str">
        <f t="shared" si="44"/>
        <v>att_compound</v>
      </c>
      <c r="I440" s="6" t="s">
        <v>765</v>
      </c>
      <c r="J440" s="6" t="str">
        <f t="shared" si="45"/>
        <v>att_compound:rapamycin</v>
      </c>
      <c r="K440" s="6" t="b">
        <f>TRUE()</f>
        <v>1</v>
      </c>
      <c r="L440" s="6" t="s">
        <v>767</v>
      </c>
    </row>
    <row r="441" spans="1:15" x14ac:dyDescent="0.15">
      <c r="C441" s="6" t="s">
        <v>726</v>
      </c>
      <c r="D441" s="6" t="s">
        <v>727</v>
      </c>
      <c r="E441" s="6" t="s">
        <v>17</v>
      </c>
      <c r="F441" s="6" t="s">
        <v>2543</v>
      </c>
      <c r="G441" s="6" t="s">
        <v>2544</v>
      </c>
      <c r="H441" s="6" t="str">
        <f t="shared" si="44"/>
        <v>att_compound</v>
      </c>
      <c r="I441" s="6" t="s">
        <v>726</v>
      </c>
      <c r="J441" s="6" t="str">
        <f t="shared" si="45"/>
        <v>att_compound:antimycin</v>
      </c>
      <c r="K441" s="6" t="b">
        <f>TRUE()</f>
        <v>1</v>
      </c>
      <c r="L441" s="6" t="s">
        <v>728</v>
      </c>
    </row>
    <row r="442" spans="1:15" x14ac:dyDescent="0.15">
      <c r="C442" s="6" t="s">
        <v>762</v>
      </c>
      <c r="D442" s="6" t="s">
        <v>763</v>
      </c>
      <c r="E442" s="6" t="s">
        <v>17</v>
      </c>
      <c r="F442" s="6" t="s">
        <v>2543</v>
      </c>
      <c r="G442" s="6" t="s">
        <v>2544</v>
      </c>
      <c r="H442" s="6" t="str">
        <f t="shared" si="44"/>
        <v>att_compound</v>
      </c>
      <c r="I442" s="6" t="s">
        <v>762</v>
      </c>
      <c r="J442" s="6" t="str">
        <f t="shared" si="45"/>
        <v>att_compound:oligomycin</v>
      </c>
      <c r="K442" s="6" t="b">
        <f>TRUE()</f>
        <v>1</v>
      </c>
      <c r="L442" s="6" t="s">
        <v>764</v>
      </c>
    </row>
    <row r="443" spans="1:15" x14ac:dyDescent="0.15">
      <c r="C443" s="6" t="s">
        <v>759</v>
      </c>
      <c r="D443" s="6" t="s">
        <v>760</v>
      </c>
      <c r="E443" s="6" t="s">
        <v>17</v>
      </c>
      <c r="F443" s="6" t="s">
        <v>2543</v>
      </c>
      <c r="G443" s="6" t="s">
        <v>2544</v>
      </c>
      <c r="H443" s="6" t="str">
        <f t="shared" si="44"/>
        <v>att_compound</v>
      </c>
      <c r="I443" s="6" t="s">
        <v>759</v>
      </c>
      <c r="J443" s="6" t="str">
        <f t="shared" si="45"/>
        <v>att_compound:hydroxyurea</v>
      </c>
      <c r="K443" s="6" t="b">
        <f>TRUE()</f>
        <v>1</v>
      </c>
      <c r="L443" s="6" t="s">
        <v>761</v>
      </c>
    </row>
    <row r="444" spans="1:15" x14ac:dyDescent="0.15">
      <c r="C444" s="6" t="s">
        <v>2732</v>
      </c>
      <c r="D444" s="6" t="s">
        <v>722</v>
      </c>
      <c r="E444" s="6" t="s">
        <v>17</v>
      </c>
      <c r="F444" s="6" t="s">
        <v>2543</v>
      </c>
      <c r="G444" s="6" t="s">
        <v>2544</v>
      </c>
      <c r="H444" s="6" t="str">
        <f t="shared" si="44"/>
        <v>att_compound</v>
      </c>
      <c r="I444" s="6" t="s">
        <v>2732</v>
      </c>
      <c r="J444" s="6" t="str">
        <f t="shared" si="45"/>
        <v xml:space="preserve">att_compound:5-fluorouracil </v>
      </c>
      <c r="K444" s="6" t="b">
        <f>TRUE()</f>
        <v>1</v>
      </c>
      <c r="L444" s="6" t="s">
        <v>723</v>
      </c>
    </row>
    <row r="445" spans="1:15" x14ac:dyDescent="0.15">
      <c r="C445" s="6" t="s">
        <v>2733</v>
      </c>
      <c r="D445" s="6" t="s">
        <v>2734</v>
      </c>
      <c r="E445" s="6" t="s">
        <v>17</v>
      </c>
      <c r="F445" s="6" t="s">
        <v>2543</v>
      </c>
      <c r="G445" s="6" t="s">
        <v>2544</v>
      </c>
      <c r="H445" s="6" t="str">
        <f t="shared" si="44"/>
        <v>att_compound</v>
      </c>
      <c r="I445" s="6" t="s">
        <v>2733</v>
      </c>
      <c r="J445" s="6" t="str">
        <f t="shared" si="45"/>
        <v xml:space="preserve">att_compound:etoposide </v>
      </c>
      <c r="K445" s="6" t="b">
        <f>TRUE()</f>
        <v>1</v>
      </c>
      <c r="L445" s="6" t="s">
        <v>2735</v>
      </c>
    </row>
    <row r="446" spans="1:15" x14ac:dyDescent="0.15">
      <c r="C446" s="6" t="s">
        <v>768</v>
      </c>
      <c r="D446" s="6" t="s">
        <v>769</v>
      </c>
      <c r="E446" s="6" t="s">
        <v>17</v>
      </c>
      <c r="F446" s="6" t="s">
        <v>2543</v>
      </c>
      <c r="G446" s="6" t="s">
        <v>2544</v>
      </c>
      <c r="H446" s="6" t="str">
        <f t="shared" si="44"/>
        <v>att_compound</v>
      </c>
      <c r="I446" s="6" t="s">
        <v>768</v>
      </c>
      <c r="J446" s="6" t="str">
        <f t="shared" si="45"/>
        <v>att_compound:rotenone</v>
      </c>
      <c r="K446" s="6" t="b">
        <f>TRUE()</f>
        <v>1</v>
      </c>
      <c r="L446" s="6" t="s">
        <v>770</v>
      </c>
    </row>
    <row r="447" spans="1:15" x14ac:dyDescent="0.15">
      <c r="C447" s="6" t="s">
        <v>736</v>
      </c>
      <c r="D447" s="6" t="s">
        <v>737</v>
      </c>
      <c r="E447" s="6" t="s">
        <v>17</v>
      </c>
      <c r="F447" s="6" t="s">
        <v>2543</v>
      </c>
      <c r="G447" s="6" t="s">
        <v>2544</v>
      </c>
      <c r="H447" s="6" t="str">
        <f t="shared" si="44"/>
        <v>att_compound</v>
      </c>
      <c r="I447" s="6" t="s">
        <v>736</v>
      </c>
      <c r="J447" s="6" t="str">
        <f t="shared" si="45"/>
        <v>att_compound:cccp</v>
      </c>
      <c r="K447" s="6" t="b">
        <f>TRUE()</f>
        <v>1</v>
      </c>
      <c r="L447" s="6" t="s">
        <v>738</v>
      </c>
    </row>
    <row r="448" spans="1:15" x14ac:dyDescent="0.15">
      <c r="C448" s="6" t="s">
        <v>753</v>
      </c>
      <c r="D448" s="6" t="s">
        <v>754</v>
      </c>
      <c r="E448" s="6" t="s">
        <v>17</v>
      </c>
      <c r="F448" s="6" t="s">
        <v>2543</v>
      </c>
      <c r="G448" s="6" t="s">
        <v>2544</v>
      </c>
      <c r="H448" s="6" t="str">
        <f t="shared" si="44"/>
        <v>att_compound</v>
      </c>
      <c r="I448" s="6" t="s">
        <v>753</v>
      </c>
      <c r="J448" s="6" t="str">
        <f t="shared" si="45"/>
        <v>att_compound:fccp</v>
      </c>
      <c r="K448" s="6" t="b">
        <f>TRUE()</f>
        <v>1</v>
      </c>
      <c r="L448" s="6" t="s">
        <v>755</v>
      </c>
    </row>
    <row r="451" spans="3:12" x14ac:dyDescent="0.15">
      <c r="C451" s="6" t="s">
        <v>1299</v>
      </c>
      <c r="D451" s="6" t="s">
        <v>1300</v>
      </c>
      <c r="F451" s="6" t="s">
        <v>140</v>
      </c>
      <c r="G451" s="6" t="s">
        <v>2736</v>
      </c>
      <c r="H451" s="6" t="str">
        <f t="shared" ref="H451:H459" si="46">"att_"&amp;G451</f>
        <v>att_knockdown_technique</v>
      </c>
      <c r="I451" s="6" t="s">
        <v>1299</v>
      </c>
      <c r="J451" s="6" t="str">
        <f t="shared" ref="J451:J459" si="47">H451&amp;":"&amp;I451</f>
        <v>att_knockdown_technique:sirna</v>
      </c>
      <c r="K451" s="6" t="b">
        <f>TRUE()</f>
        <v>1</v>
      </c>
      <c r="L451" s="6" t="s">
        <v>1301</v>
      </c>
    </row>
    <row r="452" spans="3:12" x14ac:dyDescent="0.15">
      <c r="C452" s="6" t="s">
        <v>1290</v>
      </c>
      <c r="D452" s="6" t="s">
        <v>1291</v>
      </c>
      <c r="F452" s="6" t="s">
        <v>140</v>
      </c>
      <c r="G452" s="6" t="s">
        <v>2736</v>
      </c>
      <c r="H452" s="6" t="str">
        <f t="shared" si="46"/>
        <v>att_knockdown_technique</v>
      </c>
      <c r="I452" s="6" t="s">
        <v>1290</v>
      </c>
      <c r="J452" s="6" t="str">
        <f t="shared" si="47"/>
        <v>att_knockdown_technique:grna</v>
      </c>
      <c r="K452" s="6" t="b">
        <f>TRUE()</f>
        <v>1</v>
      </c>
      <c r="L452" s="6" t="s">
        <v>1292</v>
      </c>
    </row>
    <row r="453" spans="3:12" x14ac:dyDescent="0.15">
      <c r="C453" s="6" t="s">
        <v>1296</v>
      </c>
      <c r="D453" s="6" t="s">
        <v>1297</v>
      </c>
      <c r="F453" s="6" t="s">
        <v>140</v>
      </c>
      <c r="G453" s="6" t="s">
        <v>2736</v>
      </c>
      <c r="H453" s="6" t="str">
        <f t="shared" si="46"/>
        <v>att_knockdown_technique</v>
      </c>
      <c r="I453" s="6" t="s">
        <v>1296</v>
      </c>
      <c r="J453" s="6" t="str">
        <f t="shared" si="47"/>
        <v>att_knockdown_technique:shrna</v>
      </c>
      <c r="K453" s="6" t="b">
        <f>TRUE()</f>
        <v>1</v>
      </c>
      <c r="L453" s="6" t="s">
        <v>1298</v>
      </c>
    </row>
    <row r="454" spans="3:12" x14ac:dyDescent="0.15">
      <c r="C454" s="6" t="s">
        <v>1293</v>
      </c>
      <c r="D454" s="6" t="s">
        <v>1294</v>
      </c>
      <c r="F454" s="6" t="s">
        <v>140</v>
      </c>
      <c r="G454" s="6" t="s">
        <v>2736</v>
      </c>
      <c r="H454" s="6" t="str">
        <f t="shared" si="46"/>
        <v>att_knockdown_technique</v>
      </c>
      <c r="I454" s="6" t="s">
        <v>1293</v>
      </c>
      <c r="J454" s="6" t="str">
        <f t="shared" si="47"/>
        <v>att_knockdown_technique:mirna</v>
      </c>
      <c r="L454" s="6" t="s">
        <v>1295</v>
      </c>
    </row>
    <row r="455" spans="3:12" x14ac:dyDescent="0.15">
      <c r="C455" s="6" t="s">
        <v>1273</v>
      </c>
      <c r="D455" s="6" t="s">
        <v>1274</v>
      </c>
      <c r="F455" s="6" t="s">
        <v>2737</v>
      </c>
      <c r="G455" s="6" t="s">
        <v>2738</v>
      </c>
      <c r="H455" s="6" t="str">
        <f t="shared" si="46"/>
        <v>att_gene_engineering</v>
      </c>
      <c r="I455" s="6" t="s">
        <v>1273</v>
      </c>
      <c r="J455" s="6" t="str">
        <f t="shared" si="47"/>
        <v>att_gene_engineering:ko</v>
      </c>
      <c r="L455" s="6" t="s">
        <v>1275</v>
      </c>
    </row>
    <row r="456" spans="3:12" x14ac:dyDescent="0.15">
      <c r="C456" s="6" t="s">
        <v>2739</v>
      </c>
      <c r="D456" s="6" t="s">
        <v>1271</v>
      </c>
      <c r="F456" s="6" t="s">
        <v>2737</v>
      </c>
      <c r="G456" s="6" t="s">
        <v>2738</v>
      </c>
      <c r="H456" s="6" t="str">
        <f t="shared" si="46"/>
        <v>att_gene_engineering</v>
      </c>
      <c r="I456" s="6" t="s">
        <v>1270</v>
      </c>
      <c r="J456" s="6" t="str">
        <f t="shared" si="47"/>
        <v>att_gene_engineering:knockin</v>
      </c>
      <c r="L456" s="6" t="s">
        <v>1272</v>
      </c>
    </row>
    <row r="457" spans="3:12" x14ac:dyDescent="0.15">
      <c r="C457" s="6" t="s">
        <v>1264</v>
      </c>
      <c r="D457" s="6" t="s">
        <v>1265</v>
      </c>
      <c r="F457" s="6" t="s">
        <v>2737</v>
      </c>
      <c r="G457" s="6" t="s">
        <v>2738</v>
      </c>
      <c r="H457" s="6" t="str">
        <f t="shared" si="46"/>
        <v>att_gene_engineering</v>
      </c>
      <c r="I457" s="6" t="s">
        <v>1264</v>
      </c>
      <c r="J457" s="6" t="str">
        <f t="shared" si="47"/>
        <v>att_gene_engineering:deletion</v>
      </c>
      <c r="L457" s="6" t="s">
        <v>1266</v>
      </c>
    </row>
    <row r="458" spans="3:12" x14ac:dyDescent="0.15">
      <c r="C458" s="6" t="s">
        <v>1268</v>
      </c>
      <c r="D458" s="6" t="s">
        <v>1268</v>
      </c>
      <c r="F458" s="6" t="s">
        <v>2737</v>
      </c>
      <c r="G458" s="6" t="s">
        <v>2738</v>
      </c>
      <c r="H458" s="6" t="str">
        <f t="shared" si="46"/>
        <v>att_gene_engineering</v>
      </c>
      <c r="I458" s="6" t="s">
        <v>1267</v>
      </c>
      <c r="J458" s="6" t="str">
        <f t="shared" si="47"/>
        <v>att_gene_engineering:inducible_expression</v>
      </c>
      <c r="L458" s="6" t="s">
        <v>1269</v>
      </c>
    </row>
    <row r="459" spans="3:12" x14ac:dyDescent="0.15">
      <c r="C459" s="6" t="s">
        <v>2740</v>
      </c>
      <c r="D459" s="6" t="s">
        <v>1277</v>
      </c>
      <c r="F459" s="6" t="s">
        <v>2737</v>
      </c>
      <c r="G459" s="6" t="s">
        <v>2738</v>
      </c>
      <c r="H459" s="6" t="str">
        <f t="shared" si="46"/>
        <v>att_gene_engineering</v>
      </c>
      <c r="I459" s="6" t="s">
        <v>1276</v>
      </c>
      <c r="J459" s="6" t="str">
        <f t="shared" si="47"/>
        <v>att_gene_engineering:stable_expression</v>
      </c>
      <c r="L459" s="6" t="s">
        <v>1278</v>
      </c>
    </row>
    <row r="461" spans="3:12" x14ac:dyDescent="0.15">
      <c r="C461" s="6" t="s">
        <v>1249</v>
      </c>
      <c r="D461" s="6" t="s">
        <v>1250</v>
      </c>
      <c r="F461" s="6" t="s">
        <v>2741</v>
      </c>
      <c r="G461" s="6" t="s">
        <v>2742</v>
      </c>
      <c r="H461" s="6" t="str">
        <f t="shared" ref="H461:H476" si="48">"att_"&amp;G461</f>
        <v>att_gene_editing_method</v>
      </c>
      <c r="I461" s="6" t="s">
        <v>1249</v>
      </c>
      <c r="J461" s="6" t="str">
        <f t="shared" ref="J461:J476" si="49">H461&amp;":"&amp;I461</f>
        <v>att_gene_editing_method:crispr</v>
      </c>
      <c r="L461" s="6" t="s">
        <v>1251</v>
      </c>
    </row>
    <row r="462" spans="3:12" x14ac:dyDescent="0.15">
      <c r="C462" s="6" t="s">
        <v>2743</v>
      </c>
      <c r="D462" s="6" t="s">
        <v>1253</v>
      </c>
      <c r="F462" s="6" t="s">
        <v>2741</v>
      </c>
      <c r="G462" s="6" t="s">
        <v>2742</v>
      </c>
      <c r="H462" s="6" t="str">
        <f t="shared" si="48"/>
        <v>att_gene_editing_method</v>
      </c>
      <c r="I462" s="6" t="s">
        <v>2744</v>
      </c>
      <c r="J462" s="6" t="str">
        <f t="shared" si="49"/>
        <v>att_gene_editing_method:crispr-hdr</v>
      </c>
      <c r="L462" s="6" t="s">
        <v>1254</v>
      </c>
    </row>
    <row r="463" spans="3:12" x14ac:dyDescent="0.15">
      <c r="C463" s="6" t="s">
        <v>2745</v>
      </c>
      <c r="D463" s="6" t="s">
        <v>1247</v>
      </c>
      <c r="F463" s="6" t="s">
        <v>2741</v>
      </c>
      <c r="G463" s="6" t="s">
        <v>2742</v>
      </c>
      <c r="H463" s="6" t="str">
        <f t="shared" si="48"/>
        <v>att_gene_editing_method</v>
      </c>
      <c r="I463" s="6" t="s">
        <v>1246</v>
      </c>
      <c r="J463" s="6" t="str">
        <f t="shared" si="49"/>
        <v>att_gene_editing_method:biggybac</v>
      </c>
      <c r="L463" s="6" t="s">
        <v>1248</v>
      </c>
    </row>
    <row r="464" spans="3:12" x14ac:dyDescent="0.15">
      <c r="C464" s="6" t="s">
        <v>2746</v>
      </c>
      <c r="D464" s="6" t="s">
        <v>1256</v>
      </c>
      <c r="F464" s="6" t="s">
        <v>2741</v>
      </c>
      <c r="G464" s="6" t="s">
        <v>2742</v>
      </c>
      <c r="H464" s="6" t="str">
        <f t="shared" si="48"/>
        <v>att_gene_editing_method</v>
      </c>
      <c r="I464" s="6" t="s">
        <v>1255</v>
      </c>
      <c r="J464" s="6" t="str">
        <f t="shared" si="49"/>
        <v>att_gene_editing_method:lentiviral</v>
      </c>
      <c r="L464" s="6" t="s">
        <v>1257</v>
      </c>
    </row>
    <row r="465" spans="3:12" x14ac:dyDescent="0.15">
      <c r="C465" s="6" t="s">
        <v>2747</v>
      </c>
      <c r="D465" s="6" t="s">
        <v>1259</v>
      </c>
      <c r="F465" s="6" t="s">
        <v>2741</v>
      </c>
      <c r="G465" s="6" t="s">
        <v>2742</v>
      </c>
      <c r="H465" s="6" t="str">
        <f t="shared" si="48"/>
        <v>att_gene_editing_method</v>
      </c>
      <c r="I465" s="6" t="s">
        <v>1258</v>
      </c>
      <c r="J465" s="6" t="str">
        <f t="shared" si="49"/>
        <v>att_gene_editing_method:talen</v>
      </c>
      <c r="L465" s="6" t="s">
        <v>1260</v>
      </c>
    </row>
    <row r="466" spans="3:12" x14ac:dyDescent="0.15">
      <c r="C466" s="6" t="s">
        <v>2748</v>
      </c>
      <c r="D466" s="6" t="s">
        <v>1262</v>
      </c>
      <c r="F466" s="6" t="s">
        <v>2741</v>
      </c>
      <c r="G466" s="6" t="s">
        <v>2742</v>
      </c>
      <c r="H466" s="6" t="str">
        <f t="shared" si="48"/>
        <v>att_gene_editing_method</v>
      </c>
      <c r="I466" s="6" t="s">
        <v>1261</v>
      </c>
      <c r="J466" s="6" t="str">
        <f t="shared" si="49"/>
        <v>att_gene_editing_method:zincfinger</v>
      </c>
      <c r="L466" s="6" t="s">
        <v>1263</v>
      </c>
    </row>
    <row r="467" spans="3:12" x14ac:dyDescent="0.15">
      <c r="C467" s="6" t="s">
        <v>2749</v>
      </c>
      <c r="D467" s="6" t="s">
        <v>2281</v>
      </c>
      <c r="F467" s="6" t="s">
        <v>2750</v>
      </c>
      <c r="G467" s="6" t="s">
        <v>2751</v>
      </c>
      <c r="H467" s="6" t="str">
        <f t="shared" si="48"/>
        <v>att_protein_mutation</v>
      </c>
      <c r="I467" s="6" t="s">
        <v>2280</v>
      </c>
      <c r="J467" s="6" t="str">
        <f t="shared" si="49"/>
        <v>att_protein_mutation:frameshift</v>
      </c>
      <c r="L467" s="6" t="s">
        <v>2282</v>
      </c>
    </row>
    <row r="468" spans="3:12" x14ac:dyDescent="0.15">
      <c r="C468" s="6" t="s">
        <v>2752</v>
      </c>
      <c r="D468" s="6" t="s">
        <v>2301</v>
      </c>
      <c r="F468" s="6" t="s">
        <v>2750</v>
      </c>
      <c r="G468" s="6" t="s">
        <v>2751</v>
      </c>
      <c r="H468" s="6" t="str">
        <f t="shared" si="48"/>
        <v>att_protein_mutation</v>
      </c>
      <c r="I468" s="6" t="s">
        <v>2300</v>
      </c>
      <c r="J468" s="6" t="str">
        <f t="shared" si="49"/>
        <v>att_protein_mutation:substitution</v>
      </c>
      <c r="L468" s="6" t="s">
        <v>2302</v>
      </c>
    </row>
    <row r="469" spans="3:12" x14ac:dyDescent="0.15">
      <c r="C469" s="6" t="s">
        <v>2753</v>
      </c>
      <c r="D469" s="6" t="s">
        <v>2275</v>
      </c>
      <c r="F469" s="6" t="s">
        <v>2750</v>
      </c>
      <c r="G469" s="6" t="s">
        <v>2751</v>
      </c>
      <c r="H469" s="6" t="str">
        <f t="shared" si="48"/>
        <v>att_protein_mutation</v>
      </c>
      <c r="I469" s="6" t="s">
        <v>1264</v>
      </c>
      <c r="J469" s="6" t="str">
        <f t="shared" si="49"/>
        <v>att_protein_mutation:deletion</v>
      </c>
      <c r="L469" s="6" t="s">
        <v>2276</v>
      </c>
    </row>
    <row r="470" spans="3:12" x14ac:dyDescent="0.15">
      <c r="C470" s="6" t="s">
        <v>2292</v>
      </c>
      <c r="D470" s="6" t="s">
        <v>2293</v>
      </c>
      <c r="F470" s="6" t="s">
        <v>2750</v>
      </c>
      <c r="G470" s="6" t="s">
        <v>2751</v>
      </c>
      <c r="H470" s="6" t="str">
        <f t="shared" si="48"/>
        <v>att_protein_mutation</v>
      </c>
      <c r="I470" s="6" t="s">
        <v>2292</v>
      </c>
      <c r="J470" s="6" t="str">
        <f t="shared" si="49"/>
        <v>att_protein_mutation:insertion</v>
      </c>
      <c r="L470" s="6" t="s">
        <v>2294</v>
      </c>
    </row>
    <row r="471" spans="3:12" x14ac:dyDescent="0.15">
      <c r="C471" s="6" t="s">
        <v>2754</v>
      </c>
      <c r="D471" s="6" t="s">
        <v>2304</v>
      </c>
      <c r="F471" s="6" t="s">
        <v>2750</v>
      </c>
      <c r="G471" s="6" t="s">
        <v>2751</v>
      </c>
      <c r="H471" s="6" t="str">
        <f t="shared" si="48"/>
        <v>att_protein_mutation</v>
      </c>
      <c r="I471" s="6" t="s">
        <v>2303</v>
      </c>
      <c r="J471" s="6" t="str">
        <f t="shared" si="49"/>
        <v>att_protein_mutation:truncation</v>
      </c>
      <c r="L471" s="6" t="s">
        <v>2305</v>
      </c>
    </row>
    <row r="472" spans="3:12" x14ac:dyDescent="0.15">
      <c r="C472" s="6" t="s">
        <v>2755</v>
      </c>
      <c r="D472" s="6" t="s">
        <v>2278</v>
      </c>
      <c r="F472" s="6" t="s">
        <v>2750</v>
      </c>
      <c r="G472" s="6" t="s">
        <v>2751</v>
      </c>
      <c r="H472" s="6" t="str">
        <f t="shared" si="48"/>
        <v>att_protein_mutation</v>
      </c>
      <c r="I472" s="6" t="s">
        <v>2277</v>
      </c>
      <c r="J472" s="6" t="str">
        <f t="shared" si="49"/>
        <v>att_protein_mutation:flag</v>
      </c>
      <c r="L472" s="6" t="s">
        <v>2279</v>
      </c>
    </row>
    <row r="473" spans="3:12" x14ac:dyDescent="0.15">
      <c r="C473" s="6" t="s">
        <v>2756</v>
      </c>
      <c r="D473" s="6" t="s">
        <v>2287</v>
      </c>
      <c r="F473" s="6" t="s">
        <v>2750</v>
      </c>
      <c r="G473" s="6" t="s">
        <v>2751</v>
      </c>
      <c r="H473" s="6" t="str">
        <f t="shared" si="48"/>
        <v>att_protein_mutation</v>
      </c>
      <c r="I473" s="6" t="s">
        <v>2286</v>
      </c>
      <c r="J473" s="6" t="str">
        <f t="shared" si="49"/>
        <v>att_protein_mutation:ha</v>
      </c>
      <c r="L473" s="6" t="s">
        <v>2288</v>
      </c>
    </row>
    <row r="474" spans="3:12" x14ac:dyDescent="0.15">
      <c r="C474" s="6" t="s">
        <v>2757</v>
      </c>
      <c r="D474" s="6" t="s">
        <v>2296</v>
      </c>
      <c r="F474" s="6" t="s">
        <v>2750</v>
      </c>
      <c r="G474" s="6" t="s">
        <v>2751</v>
      </c>
      <c r="H474" s="6" t="str">
        <f t="shared" si="48"/>
        <v>att_protein_mutation</v>
      </c>
      <c r="I474" s="6" t="s">
        <v>2295</v>
      </c>
      <c r="J474" s="6" t="str">
        <f t="shared" si="49"/>
        <v>att_protein_mutation:myc</v>
      </c>
      <c r="L474" s="6" t="s">
        <v>2297</v>
      </c>
    </row>
    <row r="475" spans="3:12" x14ac:dyDescent="0.15">
      <c r="C475" s="6" t="s">
        <v>2758</v>
      </c>
      <c r="D475" s="6" t="s">
        <v>2284</v>
      </c>
      <c r="F475" s="6" t="s">
        <v>2750</v>
      </c>
      <c r="G475" s="6" t="s">
        <v>2751</v>
      </c>
      <c r="H475" s="6" t="str">
        <f t="shared" si="48"/>
        <v>att_protein_mutation</v>
      </c>
      <c r="I475" s="6" t="s">
        <v>2283</v>
      </c>
      <c r="J475" s="6" t="str">
        <f t="shared" si="49"/>
        <v>att_protein_mutation:gfp</v>
      </c>
      <c r="L475" s="6" t="s">
        <v>2285</v>
      </c>
    </row>
    <row r="476" spans="3:12" x14ac:dyDescent="0.15">
      <c r="C476" s="6" t="s">
        <v>2759</v>
      </c>
      <c r="D476" s="6" t="s">
        <v>2290</v>
      </c>
      <c r="F476" s="6" t="s">
        <v>2750</v>
      </c>
      <c r="G476" s="6" t="s">
        <v>2751</v>
      </c>
      <c r="H476" s="6" t="str">
        <f t="shared" si="48"/>
        <v>att_protein_mutation</v>
      </c>
      <c r="I476" s="6" t="s">
        <v>2289</v>
      </c>
      <c r="J476" s="6" t="str">
        <f t="shared" si="49"/>
        <v>att_protein_mutation:his</v>
      </c>
      <c r="L476" s="6" t="s">
        <v>2291</v>
      </c>
    </row>
    <row r="478" spans="3:12" x14ac:dyDescent="0.15">
      <c r="C478" s="6" t="s">
        <v>2760</v>
      </c>
      <c r="D478" s="6" t="s">
        <v>2313</v>
      </c>
      <c r="F478" s="6" t="s">
        <v>2761</v>
      </c>
      <c r="G478" s="6" t="s">
        <v>2762</v>
      </c>
      <c r="H478" s="6" t="str">
        <f>"att_"&amp;G478</f>
        <v>att_protein_position</v>
      </c>
      <c r="I478" s="6" t="s">
        <v>2312</v>
      </c>
      <c r="J478" s="6" t="str">
        <f>H478&amp;":"&amp;I478</f>
        <v>att_protein_position:nterm</v>
      </c>
      <c r="L478" s="6" t="s">
        <v>2314</v>
      </c>
    </row>
    <row r="479" spans="3:12" x14ac:dyDescent="0.15">
      <c r="C479" s="6" t="s">
        <v>2763</v>
      </c>
      <c r="D479" s="6" t="s">
        <v>2310</v>
      </c>
      <c r="F479" s="6" t="s">
        <v>2761</v>
      </c>
      <c r="G479" s="6" t="s">
        <v>2762</v>
      </c>
      <c r="H479" s="6" t="str">
        <f>"att_"&amp;G479</f>
        <v>att_protein_position</v>
      </c>
      <c r="I479" s="6" t="s">
        <v>2309</v>
      </c>
      <c r="J479" s="6" t="str">
        <f>H479&amp;":"&amp;I479</f>
        <v>att_protein_position:cterm</v>
      </c>
      <c r="L479" s="6" t="s">
        <v>2311</v>
      </c>
    </row>
    <row r="480" spans="3:12" x14ac:dyDescent="0.15">
      <c r="C480" s="6" t="s">
        <v>2306</v>
      </c>
      <c r="D480" s="6" t="s">
        <v>2307</v>
      </c>
      <c r="F480" s="6" t="s">
        <v>2761</v>
      </c>
      <c r="G480" s="6" t="s">
        <v>2762</v>
      </c>
      <c r="H480" s="6" t="str">
        <f>"att_"&amp;G480</f>
        <v>att_protein_position</v>
      </c>
      <c r="I480" s="6" t="s">
        <v>2306</v>
      </c>
      <c r="J480" s="6" t="str">
        <f>H480&amp;":"&amp;I480</f>
        <v>att_protein_position:aa</v>
      </c>
      <c r="L480" s="6" t="s">
        <v>2308</v>
      </c>
    </row>
    <row r="481" spans="3:12" x14ac:dyDescent="0.15">
      <c r="C481" s="6" t="s">
        <v>2315</v>
      </c>
      <c r="D481" s="6" t="s">
        <v>2316</v>
      </c>
      <c r="F481" s="6" t="s">
        <v>2761</v>
      </c>
      <c r="G481" s="6" t="s">
        <v>2762</v>
      </c>
      <c r="H481" s="6" t="str">
        <f>"att_"&amp;G481</f>
        <v>att_protein_position</v>
      </c>
      <c r="I481" s="6" t="s">
        <v>2315</v>
      </c>
      <c r="J481" s="6" t="str">
        <f>H481&amp;":"&amp;I481</f>
        <v>att_protein_position:region</v>
      </c>
      <c r="L481" s="6" t="s">
        <v>2317</v>
      </c>
    </row>
    <row r="485" spans="3:12" x14ac:dyDescent="0.15">
      <c r="C485" s="6" t="s">
        <v>2764</v>
      </c>
      <c r="D485" s="6" t="s">
        <v>265</v>
      </c>
      <c r="F485" s="6" t="s">
        <v>2765</v>
      </c>
      <c r="G485" s="6" t="s">
        <v>2306</v>
      </c>
      <c r="H485" s="6" t="s">
        <v>264</v>
      </c>
      <c r="I485" s="6" t="s">
        <v>263</v>
      </c>
      <c r="J485" s="6" t="str">
        <f t="shared" ref="J485:J503" si="50">H485&amp;":"&amp;I485</f>
        <v>att_aa:arginine</v>
      </c>
      <c r="L485" s="6" t="s">
        <v>266</v>
      </c>
    </row>
    <row r="486" spans="3:12" x14ac:dyDescent="0.15">
      <c r="C486" s="6" t="s">
        <v>2764</v>
      </c>
      <c r="D486" s="6" t="s">
        <v>268</v>
      </c>
      <c r="F486" s="6" t="s">
        <v>2765</v>
      </c>
      <c r="G486" s="6" t="s">
        <v>2306</v>
      </c>
      <c r="H486" s="6" t="s">
        <v>264</v>
      </c>
      <c r="I486" s="6" t="s">
        <v>267</v>
      </c>
      <c r="J486" s="6" t="str">
        <f t="shared" si="50"/>
        <v>att_aa:asparagine</v>
      </c>
      <c r="L486" s="6" t="s">
        <v>269</v>
      </c>
    </row>
    <row r="487" spans="3:12" x14ac:dyDescent="0.15">
      <c r="C487" s="6" t="s">
        <v>2764</v>
      </c>
      <c r="D487" s="6" t="s">
        <v>271</v>
      </c>
      <c r="F487" s="6" t="s">
        <v>2765</v>
      </c>
      <c r="G487" s="6" t="s">
        <v>2306</v>
      </c>
      <c r="H487" s="6" t="s">
        <v>264</v>
      </c>
      <c r="I487" s="6" t="s">
        <v>270</v>
      </c>
      <c r="J487" s="6" t="str">
        <f t="shared" si="50"/>
        <v>att_aa:asparticacid</v>
      </c>
      <c r="L487" s="6" t="s">
        <v>272</v>
      </c>
    </row>
    <row r="488" spans="3:12" x14ac:dyDescent="0.15">
      <c r="C488" s="6" t="s">
        <v>2764</v>
      </c>
      <c r="D488" s="6" t="s">
        <v>274</v>
      </c>
      <c r="F488" s="6" t="s">
        <v>2765</v>
      </c>
      <c r="G488" s="6" t="s">
        <v>2306</v>
      </c>
      <c r="H488" s="6" t="s">
        <v>264</v>
      </c>
      <c r="I488" s="6" t="s">
        <v>273</v>
      </c>
      <c r="J488" s="6" t="str">
        <f t="shared" si="50"/>
        <v>att_aa:cysteine</v>
      </c>
      <c r="L488" s="6" t="s">
        <v>275</v>
      </c>
    </row>
    <row r="489" spans="3:12" x14ac:dyDescent="0.15">
      <c r="C489" s="6" t="s">
        <v>2764</v>
      </c>
      <c r="D489" s="6" t="s">
        <v>277</v>
      </c>
      <c r="F489" s="6" t="s">
        <v>2765</v>
      </c>
      <c r="G489" s="6" t="s">
        <v>2306</v>
      </c>
      <c r="H489" s="6" t="s">
        <v>264</v>
      </c>
      <c r="I489" s="6" t="s">
        <v>276</v>
      </c>
      <c r="J489" s="6" t="str">
        <f t="shared" si="50"/>
        <v>att_aa:glutamicacid</v>
      </c>
      <c r="L489" s="6" t="s">
        <v>278</v>
      </c>
    </row>
    <row r="490" spans="3:12" x14ac:dyDescent="0.15">
      <c r="C490" s="6" t="s">
        <v>2764</v>
      </c>
      <c r="D490" s="6" t="s">
        <v>280</v>
      </c>
      <c r="F490" s="6" t="s">
        <v>2765</v>
      </c>
      <c r="G490" s="6" t="s">
        <v>2306</v>
      </c>
      <c r="H490" s="6" t="s">
        <v>264</v>
      </c>
      <c r="I490" s="6" t="s">
        <v>279</v>
      </c>
      <c r="J490" s="6" t="str">
        <f t="shared" si="50"/>
        <v>att_aa:glutamine</v>
      </c>
      <c r="L490" s="6" t="s">
        <v>281</v>
      </c>
    </row>
    <row r="491" spans="3:12" x14ac:dyDescent="0.15">
      <c r="C491" s="6" t="s">
        <v>2764</v>
      </c>
      <c r="D491" s="6" t="s">
        <v>283</v>
      </c>
      <c r="F491" s="6" t="s">
        <v>2765</v>
      </c>
      <c r="G491" s="6" t="s">
        <v>2306</v>
      </c>
      <c r="H491" s="6" t="s">
        <v>264</v>
      </c>
      <c r="I491" s="6" t="s">
        <v>282</v>
      </c>
      <c r="J491" s="6" t="str">
        <f t="shared" si="50"/>
        <v>att_aa:glycine</v>
      </c>
      <c r="L491" s="6" t="s">
        <v>284</v>
      </c>
    </row>
    <row r="492" spans="3:12" x14ac:dyDescent="0.15">
      <c r="C492" s="6" t="s">
        <v>2764</v>
      </c>
      <c r="D492" s="6" t="s">
        <v>286</v>
      </c>
      <c r="F492" s="6" t="s">
        <v>2765</v>
      </c>
      <c r="G492" s="6" t="s">
        <v>2306</v>
      </c>
      <c r="H492" s="6" t="s">
        <v>264</v>
      </c>
      <c r="I492" s="6" t="s">
        <v>285</v>
      </c>
      <c r="J492" s="6" t="str">
        <f t="shared" si="50"/>
        <v>att_aa:histidine</v>
      </c>
      <c r="L492" s="6" t="s">
        <v>287</v>
      </c>
    </row>
    <row r="493" spans="3:12" x14ac:dyDescent="0.15">
      <c r="C493" s="6" t="s">
        <v>2764</v>
      </c>
      <c r="D493" s="6" t="s">
        <v>289</v>
      </c>
      <c r="F493" s="6" t="s">
        <v>2765</v>
      </c>
      <c r="G493" s="6" t="s">
        <v>2306</v>
      </c>
      <c r="H493" s="6" t="s">
        <v>264</v>
      </c>
      <c r="I493" s="6" t="s">
        <v>288</v>
      </c>
      <c r="J493" s="6" t="str">
        <f t="shared" si="50"/>
        <v>att_aa:isoleucine</v>
      </c>
      <c r="L493" s="6" t="s">
        <v>290</v>
      </c>
    </row>
    <row r="494" spans="3:12" x14ac:dyDescent="0.15">
      <c r="C494" s="6" t="s">
        <v>2764</v>
      </c>
      <c r="D494" s="6" t="s">
        <v>292</v>
      </c>
      <c r="F494" s="6" t="s">
        <v>2765</v>
      </c>
      <c r="G494" s="6" t="s">
        <v>2306</v>
      </c>
      <c r="H494" s="6" t="s">
        <v>264</v>
      </c>
      <c r="I494" s="6" t="s">
        <v>291</v>
      </c>
      <c r="J494" s="6" t="str">
        <f t="shared" si="50"/>
        <v>att_aa:leucine</v>
      </c>
      <c r="L494" s="6" t="s">
        <v>293</v>
      </c>
    </row>
    <row r="495" spans="3:12" x14ac:dyDescent="0.15">
      <c r="C495" s="6" t="s">
        <v>2764</v>
      </c>
      <c r="D495" s="6" t="s">
        <v>295</v>
      </c>
      <c r="F495" s="6" t="s">
        <v>2765</v>
      </c>
      <c r="G495" s="6" t="s">
        <v>2306</v>
      </c>
      <c r="H495" s="6" t="s">
        <v>264</v>
      </c>
      <c r="I495" s="6" t="s">
        <v>294</v>
      </c>
      <c r="J495" s="6" t="str">
        <f t="shared" si="50"/>
        <v>att_aa:lysine</v>
      </c>
      <c r="L495" s="6" t="s">
        <v>296</v>
      </c>
    </row>
    <row r="496" spans="3:12" x14ac:dyDescent="0.15">
      <c r="C496" s="6" t="s">
        <v>2764</v>
      </c>
      <c r="D496" s="6" t="s">
        <v>298</v>
      </c>
      <c r="F496" s="6" t="s">
        <v>2765</v>
      </c>
      <c r="G496" s="6" t="s">
        <v>2306</v>
      </c>
      <c r="H496" s="6" t="s">
        <v>264</v>
      </c>
      <c r="I496" s="6" t="s">
        <v>297</v>
      </c>
      <c r="J496" s="6" t="str">
        <f t="shared" si="50"/>
        <v>att_aa:methionine</v>
      </c>
      <c r="L496" s="6" t="s">
        <v>299</v>
      </c>
    </row>
    <row r="497" spans="3:12" x14ac:dyDescent="0.15">
      <c r="C497" s="6" t="s">
        <v>2764</v>
      </c>
      <c r="D497" s="6" t="s">
        <v>301</v>
      </c>
      <c r="F497" s="6" t="s">
        <v>2765</v>
      </c>
      <c r="G497" s="6" t="s">
        <v>2306</v>
      </c>
      <c r="H497" s="6" t="s">
        <v>264</v>
      </c>
      <c r="I497" s="6" t="s">
        <v>300</v>
      </c>
      <c r="J497" s="6" t="str">
        <f t="shared" si="50"/>
        <v>att_aa:phenylalanine</v>
      </c>
      <c r="L497" s="6" t="s">
        <v>302</v>
      </c>
    </row>
    <row r="498" spans="3:12" x14ac:dyDescent="0.15">
      <c r="C498" s="6" t="s">
        <v>2764</v>
      </c>
      <c r="D498" s="6" t="s">
        <v>304</v>
      </c>
      <c r="F498" s="6" t="s">
        <v>2765</v>
      </c>
      <c r="G498" s="6" t="s">
        <v>2306</v>
      </c>
      <c r="H498" s="6" t="s">
        <v>264</v>
      </c>
      <c r="I498" s="6" t="s">
        <v>303</v>
      </c>
      <c r="J498" s="6" t="str">
        <f t="shared" si="50"/>
        <v>att_aa:proline</v>
      </c>
      <c r="L498" s="6" t="s">
        <v>305</v>
      </c>
    </row>
    <row r="499" spans="3:12" x14ac:dyDescent="0.15">
      <c r="C499" s="6" t="s">
        <v>2764</v>
      </c>
      <c r="D499" s="6" t="s">
        <v>307</v>
      </c>
      <c r="F499" s="6" t="s">
        <v>2765</v>
      </c>
      <c r="G499" s="6" t="s">
        <v>2306</v>
      </c>
      <c r="H499" s="6" t="s">
        <v>264</v>
      </c>
      <c r="I499" s="6" t="s">
        <v>306</v>
      </c>
      <c r="J499" s="6" t="str">
        <f t="shared" si="50"/>
        <v>att_aa:serine</v>
      </c>
      <c r="L499" s="6" t="s">
        <v>308</v>
      </c>
    </row>
    <row r="500" spans="3:12" x14ac:dyDescent="0.15">
      <c r="C500" s="6" t="s">
        <v>2764</v>
      </c>
      <c r="D500" s="6" t="s">
        <v>310</v>
      </c>
      <c r="F500" s="6" t="s">
        <v>2765</v>
      </c>
      <c r="G500" s="6" t="s">
        <v>2306</v>
      </c>
      <c r="H500" s="6" t="s">
        <v>264</v>
      </c>
      <c r="I500" s="6" t="s">
        <v>309</v>
      </c>
      <c r="J500" s="6" t="str">
        <f t="shared" si="50"/>
        <v>att_aa:threonine</v>
      </c>
      <c r="L500" s="6" t="s">
        <v>311</v>
      </c>
    </row>
    <row r="501" spans="3:12" x14ac:dyDescent="0.15">
      <c r="C501" s="6" t="s">
        <v>2764</v>
      </c>
      <c r="D501" s="6" t="s">
        <v>313</v>
      </c>
      <c r="F501" s="6" t="s">
        <v>2765</v>
      </c>
      <c r="G501" s="6" t="s">
        <v>2306</v>
      </c>
      <c r="H501" s="6" t="s">
        <v>264</v>
      </c>
      <c r="I501" s="6" t="s">
        <v>312</v>
      </c>
      <c r="J501" s="6" t="str">
        <f t="shared" si="50"/>
        <v>att_aa:tryptophan</v>
      </c>
      <c r="L501" s="6" t="s">
        <v>314</v>
      </c>
    </row>
    <row r="502" spans="3:12" x14ac:dyDescent="0.15">
      <c r="C502" s="6" t="s">
        <v>2764</v>
      </c>
      <c r="D502" s="6" t="s">
        <v>316</v>
      </c>
      <c r="F502" s="6" t="s">
        <v>2765</v>
      </c>
      <c r="G502" s="6" t="s">
        <v>2306</v>
      </c>
      <c r="H502" s="6" t="s">
        <v>264</v>
      </c>
      <c r="I502" s="6" t="s">
        <v>315</v>
      </c>
      <c r="J502" s="6" t="str">
        <f t="shared" si="50"/>
        <v>att_aa:tyrosine</v>
      </c>
      <c r="L502" s="6" t="s">
        <v>317</v>
      </c>
    </row>
    <row r="503" spans="3:12" x14ac:dyDescent="0.15">
      <c r="C503" s="6" t="s">
        <v>2764</v>
      </c>
      <c r="D503" s="6" t="s">
        <v>319</v>
      </c>
      <c r="F503" s="6" t="s">
        <v>2765</v>
      </c>
      <c r="G503" s="6" t="s">
        <v>2306</v>
      </c>
      <c r="H503" s="6" t="s">
        <v>264</v>
      </c>
      <c r="I503" s="6" t="s">
        <v>318</v>
      </c>
      <c r="J503" s="6" t="str">
        <f t="shared" si="50"/>
        <v>att_aa:valine</v>
      </c>
      <c r="L503" s="6" t="s">
        <v>320</v>
      </c>
    </row>
    <row r="507" spans="3:12" x14ac:dyDescent="0.15">
      <c r="C507" s="6" t="s">
        <v>2766</v>
      </c>
      <c r="D507" s="6">
        <v>126</v>
      </c>
      <c r="F507" s="6" t="s">
        <v>235</v>
      </c>
      <c r="G507" s="6" t="s">
        <v>2767</v>
      </c>
      <c r="H507" s="6" t="s">
        <v>234</v>
      </c>
      <c r="I507" s="6" t="str">
        <f t="shared" ref="I507:I516" si="51">"tmt10_"&amp;D507</f>
        <v>tmt10_126</v>
      </c>
      <c r="J507" s="6" t="str">
        <f t="shared" ref="J507:J516" si="52">H507&amp;":"&amp;I507</f>
        <v>att_tmt_channel:tmt10_126</v>
      </c>
    </row>
    <row r="508" spans="3:12" x14ac:dyDescent="0.15">
      <c r="C508" s="6" t="s">
        <v>2766</v>
      </c>
      <c r="D508" s="6" t="s">
        <v>2422</v>
      </c>
      <c r="F508" s="6" t="s">
        <v>235</v>
      </c>
      <c r="G508" s="6" t="s">
        <v>2767</v>
      </c>
      <c r="H508" s="6" t="s">
        <v>234</v>
      </c>
      <c r="I508" s="6" t="str">
        <f t="shared" si="51"/>
        <v>tmt10_127N</v>
      </c>
      <c r="J508" s="6" t="str">
        <f t="shared" si="52"/>
        <v>att_tmt_channel:tmt10_127N</v>
      </c>
    </row>
    <row r="509" spans="3:12" x14ac:dyDescent="0.15">
      <c r="C509" s="6" t="s">
        <v>2766</v>
      </c>
      <c r="D509" s="6" t="s">
        <v>2420</v>
      </c>
      <c r="F509" s="6" t="s">
        <v>235</v>
      </c>
      <c r="G509" s="6" t="s">
        <v>2767</v>
      </c>
      <c r="H509" s="6" t="s">
        <v>234</v>
      </c>
      <c r="I509" s="6" t="str">
        <f t="shared" si="51"/>
        <v>tmt10_127C</v>
      </c>
      <c r="J509" s="6" t="str">
        <f t="shared" si="52"/>
        <v>att_tmt_channel:tmt10_127C</v>
      </c>
    </row>
    <row r="510" spans="3:12" x14ac:dyDescent="0.15">
      <c r="C510" s="6" t="s">
        <v>2766</v>
      </c>
      <c r="D510" s="6" t="s">
        <v>2426</v>
      </c>
      <c r="F510" s="6" t="s">
        <v>235</v>
      </c>
      <c r="G510" s="6" t="s">
        <v>2767</v>
      </c>
      <c r="H510" s="6" t="s">
        <v>234</v>
      </c>
      <c r="I510" s="6" t="str">
        <f t="shared" si="51"/>
        <v>tmt10_128N</v>
      </c>
      <c r="J510" s="6" t="str">
        <f t="shared" si="52"/>
        <v>att_tmt_channel:tmt10_128N</v>
      </c>
    </row>
    <row r="511" spans="3:12" x14ac:dyDescent="0.15">
      <c r="C511" s="6" t="s">
        <v>2766</v>
      </c>
      <c r="D511" s="6" t="s">
        <v>2424</v>
      </c>
      <c r="F511" s="6" t="s">
        <v>235</v>
      </c>
      <c r="G511" s="6" t="s">
        <v>2767</v>
      </c>
      <c r="H511" s="6" t="s">
        <v>234</v>
      </c>
      <c r="I511" s="6" t="str">
        <f t="shared" si="51"/>
        <v>tmt10_128C</v>
      </c>
      <c r="J511" s="6" t="str">
        <f t="shared" si="52"/>
        <v>att_tmt_channel:tmt10_128C</v>
      </c>
    </row>
    <row r="512" spans="3:12" x14ac:dyDescent="0.15">
      <c r="C512" s="6" t="s">
        <v>2766</v>
      </c>
      <c r="D512" s="6" t="s">
        <v>2430</v>
      </c>
      <c r="F512" s="6" t="s">
        <v>235</v>
      </c>
      <c r="G512" s="6" t="s">
        <v>2767</v>
      </c>
      <c r="H512" s="6" t="s">
        <v>234</v>
      </c>
      <c r="I512" s="6" t="str">
        <f t="shared" si="51"/>
        <v>tmt10_129N</v>
      </c>
      <c r="J512" s="6" t="str">
        <f t="shared" si="52"/>
        <v>att_tmt_channel:tmt10_129N</v>
      </c>
    </row>
    <row r="513" spans="3:10" x14ac:dyDescent="0.15">
      <c r="C513" s="6" t="s">
        <v>2766</v>
      </c>
      <c r="D513" s="6" t="s">
        <v>2428</v>
      </c>
      <c r="F513" s="6" t="s">
        <v>235</v>
      </c>
      <c r="G513" s="6" t="s">
        <v>2767</v>
      </c>
      <c r="H513" s="6" t="s">
        <v>234</v>
      </c>
      <c r="I513" s="6" t="str">
        <f t="shared" si="51"/>
        <v>tmt10_129C</v>
      </c>
      <c r="J513" s="6" t="str">
        <f t="shared" si="52"/>
        <v>att_tmt_channel:tmt10_129C</v>
      </c>
    </row>
    <row r="514" spans="3:10" x14ac:dyDescent="0.15">
      <c r="C514" s="6" t="s">
        <v>2766</v>
      </c>
      <c r="D514" s="6" t="s">
        <v>2434</v>
      </c>
      <c r="F514" s="6" t="s">
        <v>235</v>
      </c>
      <c r="G514" s="6" t="s">
        <v>2767</v>
      </c>
      <c r="H514" s="6" t="s">
        <v>234</v>
      </c>
      <c r="I514" s="6" t="str">
        <f t="shared" si="51"/>
        <v>tmt10_130N</v>
      </c>
      <c r="J514" s="6" t="str">
        <f t="shared" si="52"/>
        <v>att_tmt_channel:tmt10_130N</v>
      </c>
    </row>
    <row r="515" spans="3:10" x14ac:dyDescent="0.15">
      <c r="C515" s="6" t="s">
        <v>2766</v>
      </c>
      <c r="D515" s="6" t="s">
        <v>2432</v>
      </c>
      <c r="F515" s="6" t="s">
        <v>235</v>
      </c>
      <c r="G515" s="6" t="s">
        <v>2767</v>
      </c>
      <c r="H515" s="6" t="s">
        <v>234</v>
      </c>
      <c r="I515" s="6" t="str">
        <f t="shared" si="51"/>
        <v>tmt10_130C</v>
      </c>
      <c r="J515" s="6" t="str">
        <f t="shared" si="52"/>
        <v>att_tmt_channel:tmt10_130C</v>
      </c>
    </row>
    <row r="516" spans="3:10" x14ac:dyDescent="0.15">
      <c r="C516" s="6" t="s">
        <v>2766</v>
      </c>
      <c r="D516" s="6">
        <v>131</v>
      </c>
      <c r="F516" s="6" t="s">
        <v>235</v>
      </c>
      <c r="G516" s="6" t="s">
        <v>2767</v>
      </c>
      <c r="H516" s="6" t="s">
        <v>234</v>
      </c>
      <c r="I516" s="6" t="str">
        <f t="shared" si="51"/>
        <v>tmt10_131</v>
      </c>
      <c r="J516" s="6" t="str">
        <f t="shared" si="52"/>
        <v>att_tmt_channel:tmt10_131</v>
      </c>
    </row>
    <row r="518" spans="3:10" x14ac:dyDescent="0.15">
      <c r="C518" s="6" t="s">
        <v>2766</v>
      </c>
      <c r="D518" s="6">
        <v>126</v>
      </c>
      <c r="F518" s="6" t="s">
        <v>2768</v>
      </c>
      <c r="G518" s="6" t="s">
        <v>2767</v>
      </c>
      <c r="H518" s="6" t="s">
        <v>234</v>
      </c>
      <c r="I518" s="6" t="str">
        <f t="shared" ref="I518:I528" si="53">"tmt11_"&amp;D518</f>
        <v>tmt11_126</v>
      </c>
      <c r="J518" s="6" t="str">
        <f t="shared" ref="J518:J528" si="54">H518&amp;":"&amp;I518</f>
        <v>att_tmt_channel:tmt11_126</v>
      </c>
    </row>
    <row r="519" spans="3:10" x14ac:dyDescent="0.15">
      <c r="C519" s="6" t="s">
        <v>2766</v>
      </c>
      <c r="D519" s="6" t="s">
        <v>2422</v>
      </c>
      <c r="F519" s="6" t="s">
        <v>2768</v>
      </c>
      <c r="G519" s="6" t="s">
        <v>2767</v>
      </c>
      <c r="H519" s="6" t="s">
        <v>234</v>
      </c>
      <c r="I519" s="6" t="str">
        <f t="shared" si="53"/>
        <v>tmt11_127N</v>
      </c>
      <c r="J519" s="6" t="str">
        <f t="shared" si="54"/>
        <v>att_tmt_channel:tmt11_127N</v>
      </c>
    </row>
    <row r="520" spans="3:10" x14ac:dyDescent="0.15">
      <c r="C520" s="6" t="s">
        <v>2766</v>
      </c>
      <c r="D520" s="6" t="s">
        <v>2420</v>
      </c>
      <c r="F520" s="6" t="s">
        <v>2768</v>
      </c>
      <c r="G520" s="6" t="s">
        <v>2767</v>
      </c>
      <c r="H520" s="6" t="s">
        <v>234</v>
      </c>
      <c r="I520" s="6" t="str">
        <f t="shared" si="53"/>
        <v>tmt11_127C</v>
      </c>
      <c r="J520" s="6" t="str">
        <f t="shared" si="54"/>
        <v>att_tmt_channel:tmt11_127C</v>
      </c>
    </row>
    <row r="521" spans="3:10" x14ac:dyDescent="0.15">
      <c r="C521" s="6" t="s">
        <v>2766</v>
      </c>
      <c r="D521" s="6" t="s">
        <v>2426</v>
      </c>
      <c r="F521" s="6" t="s">
        <v>2768</v>
      </c>
      <c r="G521" s="6" t="s">
        <v>2767</v>
      </c>
      <c r="H521" s="6" t="s">
        <v>234</v>
      </c>
      <c r="I521" s="6" t="str">
        <f t="shared" si="53"/>
        <v>tmt11_128N</v>
      </c>
      <c r="J521" s="6" t="str">
        <f t="shared" si="54"/>
        <v>att_tmt_channel:tmt11_128N</v>
      </c>
    </row>
    <row r="522" spans="3:10" x14ac:dyDescent="0.15">
      <c r="C522" s="6" t="s">
        <v>2766</v>
      </c>
      <c r="D522" s="6" t="s">
        <v>2424</v>
      </c>
      <c r="F522" s="6" t="s">
        <v>2768</v>
      </c>
      <c r="G522" s="6" t="s">
        <v>2767</v>
      </c>
      <c r="H522" s="6" t="s">
        <v>234</v>
      </c>
      <c r="I522" s="6" t="str">
        <f t="shared" si="53"/>
        <v>tmt11_128C</v>
      </c>
      <c r="J522" s="6" t="str">
        <f t="shared" si="54"/>
        <v>att_tmt_channel:tmt11_128C</v>
      </c>
    </row>
    <row r="523" spans="3:10" x14ac:dyDescent="0.15">
      <c r="C523" s="6" t="s">
        <v>2766</v>
      </c>
      <c r="D523" s="6" t="s">
        <v>2430</v>
      </c>
      <c r="F523" s="6" t="s">
        <v>2768</v>
      </c>
      <c r="G523" s="6" t="s">
        <v>2767</v>
      </c>
      <c r="H523" s="6" t="s">
        <v>234</v>
      </c>
      <c r="I523" s="6" t="str">
        <f t="shared" si="53"/>
        <v>tmt11_129N</v>
      </c>
      <c r="J523" s="6" t="str">
        <f t="shared" si="54"/>
        <v>att_tmt_channel:tmt11_129N</v>
      </c>
    </row>
    <row r="524" spans="3:10" x14ac:dyDescent="0.15">
      <c r="C524" s="6" t="s">
        <v>2766</v>
      </c>
      <c r="D524" s="6" t="s">
        <v>2428</v>
      </c>
      <c r="F524" s="6" t="s">
        <v>2768</v>
      </c>
      <c r="G524" s="6" t="s">
        <v>2767</v>
      </c>
      <c r="H524" s="6" t="s">
        <v>234</v>
      </c>
      <c r="I524" s="6" t="str">
        <f t="shared" si="53"/>
        <v>tmt11_129C</v>
      </c>
      <c r="J524" s="6" t="str">
        <f t="shared" si="54"/>
        <v>att_tmt_channel:tmt11_129C</v>
      </c>
    </row>
    <row r="525" spans="3:10" x14ac:dyDescent="0.15">
      <c r="C525" s="6" t="s">
        <v>2766</v>
      </c>
      <c r="D525" s="6" t="s">
        <v>2434</v>
      </c>
      <c r="F525" s="6" t="s">
        <v>2768</v>
      </c>
      <c r="G525" s="6" t="s">
        <v>2767</v>
      </c>
      <c r="H525" s="6" t="s">
        <v>234</v>
      </c>
      <c r="I525" s="6" t="str">
        <f t="shared" si="53"/>
        <v>tmt11_130N</v>
      </c>
      <c r="J525" s="6" t="str">
        <f t="shared" si="54"/>
        <v>att_tmt_channel:tmt11_130N</v>
      </c>
    </row>
    <row r="526" spans="3:10" x14ac:dyDescent="0.15">
      <c r="C526" s="6" t="s">
        <v>2766</v>
      </c>
      <c r="D526" s="6" t="s">
        <v>2432</v>
      </c>
      <c r="F526" s="6" t="s">
        <v>2768</v>
      </c>
      <c r="G526" s="6" t="s">
        <v>2767</v>
      </c>
      <c r="H526" s="6" t="s">
        <v>234</v>
      </c>
      <c r="I526" s="6" t="str">
        <f t="shared" si="53"/>
        <v>tmt11_130C</v>
      </c>
      <c r="J526" s="6" t="str">
        <f t="shared" si="54"/>
        <v>att_tmt_channel:tmt11_130C</v>
      </c>
    </row>
    <row r="527" spans="3:10" x14ac:dyDescent="0.15">
      <c r="C527" s="6" t="s">
        <v>2766</v>
      </c>
      <c r="D527" s="6" t="s">
        <v>2448</v>
      </c>
      <c r="F527" s="6" t="s">
        <v>2768</v>
      </c>
      <c r="G527" s="6" t="s">
        <v>2767</v>
      </c>
      <c r="H527" s="6" t="s">
        <v>234</v>
      </c>
      <c r="I527" s="6" t="str">
        <f t="shared" si="53"/>
        <v>tmt11_131N</v>
      </c>
      <c r="J527" s="6" t="str">
        <f t="shared" si="54"/>
        <v>att_tmt_channel:tmt11_131N</v>
      </c>
    </row>
    <row r="528" spans="3:10" x14ac:dyDescent="0.15">
      <c r="C528" s="6" t="s">
        <v>2766</v>
      </c>
      <c r="D528" s="6" t="s">
        <v>2446</v>
      </c>
      <c r="F528" s="6" t="s">
        <v>2768</v>
      </c>
      <c r="G528" s="6" t="s">
        <v>2767</v>
      </c>
      <c r="H528" s="6" t="s">
        <v>234</v>
      </c>
      <c r="I528" s="6" t="str">
        <f t="shared" si="53"/>
        <v>tmt11_131C</v>
      </c>
      <c r="J528" s="6" t="str">
        <f t="shared" si="54"/>
        <v>att_tmt_channel:tmt11_131C</v>
      </c>
    </row>
    <row r="531" spans="3:10" x14ac:dyDescent="0.15">
      <c r="C531" s="6" t="s">
        <v>2766</v>
      </c>
      <c r="D531" s="6">
        <v>126</v>
      </c>
      <c r="F531" s="6" t="s">
        <v>2769</v>
      </c>
      <c r="G531" s="6" t="s">
        <v>2767</v>
      </c>
      <c r="H531" s="6" t="s">
        <v>234</v>
      </c>
      <c r="I531" s="6" t="str">
        <f t="shared" ref="I531:I536" si="55">"tmt6_"&amp;D531</f>
        <v>tmt6_126</v>
      </c>
      <c r="J531" s="6" t="str">
        <f t="shared" ref="J531:J536" si="56">H531&amp;":"&amp;I531</f>
        <v>att_tmt_channel:tmt6_126</v>
      </c>
    </row>
    <row r="532" spans="3:10" x14ac:dyDescent="0.15">
      <c r="C532" s="6" t="s">
        <v>2766</v>
      </c>
      <c r="D532" s="6">
        <v>127</v>
      </c>
      <c r="F532" s="6" t="s">
        <v>2769</v>
      </c>
      <c r="G532" s="6" t="s">
        <v>2767</v>
      </c>
      <c r="H532" s="6" t="s">
        <v>234</v>
      </c>
      <c r="I532" s="6" t="str">
        <f t="shared" si="55"/>
        <v>tmt6_127</v>
      </c>
      <c r="J532" s="6" t="str">
        <f t="shared" si="56"/>
        <v>att_tmt_channel:tmt6_127</v>
      </c>
    </row>
    <row r="533" spans="3:10" x14ac:dyDescent="0.15">
      <c r="C533" s="6" t="s">
        <v>2766</v>
      </c>
      <c r="D533" s="6">
        <v>128</v>
      </c>
      <c r="F533" s="6" t="s">
        <v>2769</v>
      </c>
      <c r="G533" s="6" t="s">
        <v>2767</v>
      </c>
      <c r="H533" s="6" t="s">
        <v>234</v>
      </c>
      <c r="I533" s="6" t="str">
        <f t="shared" si="55"/>
        <v>tmt6_128</v>
      </c>
      <c r="J533" s="6" t="str">
        <f t="shared" si="56"/>
        <v>att_tmt_channel:tmt6_128</v>
      </c>
    </row>
    <row r="534" spans="3:10" x14ac:dyDescent="0.15">
      <c r="C534" s="6" t="s">
        <v>2766</v>
      </c>
      <c r="D534" s="6">
        <v>129</v>
      </c>
      <c r="F534" s="6" t="s">
        <v>2769</v>
      </c>
      <c r="G534" s="6" t="s">
        <v>2767</v>
      </c>
      <c r="H534" s="6" t="s">
        <v>234</v>
      </c>
      <c r="I534" s="6" t="str">
        <f t="shared" si="55"/>
        <v>tmt6_129</v>
      </c>
      <c r="J534" s="6" t="str">
        <f t="shared" si="56"/>
        <v>att_tmt_channel:tmt6_129</v>
      </c>
    </row>
    <row r="535" spans="3:10" x14ac:dyDescent="0.15">
      <c r="C535" s="6" t="s">
        <v>2766</v>
      </c>
      <c r="D535" s="6">
        <v>130</v>
      </c>
      <c r="F535" s="6" t="s">
        <v>2769</v>
      </c>
      <c r="G535" s="6" t="s">
        <v>2767</v>
      </c>
      <c r="H535" s="6" t="s">
        <v>234</v>
      </c>
      <c r="I535" s="6" t="str">
        <f t="shared" si="55"/>
        <v>tmt6_130</v>
      </c>
      <c r="J535" s="6" t="str">
        <f t="shared" si="56"/>
        <v>att_tmt_channel:tmt6_130</v>
      </c>
    </row>
    <row r="536" spans="3:10" x14ac:dyDescent="0.15">
      <c r="C536" s="6" t="s">
        <v>2766</v>
      </c>
      <c r="D536" s="6">
        <v>131</v>
      </c>
      <c r="F536" s="6" t="s">
        <v>2769</v>
      </c>
      <c r="G536" s="6" t="s">
        <v>2767</v>
      </c>
      <c r="H536" s="6" t="s">
        <v>234</v>
      </c>
      <c r="I536" s="6" t="str">
        <f t="shared" si="55"/>
        <v>tmt6_131</v>
      </c>
      <c r="J536" s="6" t="str">
        <f t="shared" si="56"/>
        <v>att_tmt_channel:tmt6_131</v>
      </c>
    </row>
    <row r="539" spans="3:10" x14ac:dyDescent="0.15">
      <c r="C539" s="6" t="s">
        <v>2766</v>
      </c>
      <c r="D539" s="6">
        <v>126</v>
      </c>
      <c r="F539" s="6" t="s">
        <v>2770</v>
      </c>
      <c r="G539" s="6" t="s">
        <v>2767</v>
      </c>
      <c r="H539" s="6" t="s">
        <v>234</v>
      </c>
      <c r="I539" s="6" t="str">
        <f t="shared" ref="I539:I556" si="57">"tmt18_"&amp;D539</f>
        <v>tmt18_126</v>
      </c>
      <c r="J539" s="6" t="str">
        <f t="shared" ref="J539:J556" si="58">H539&amp;":"&amp;I539</f>
        <v>att_tmt_channel:tmt18_126</v>
      </c>
    </row>
    <row r="540" spans="3:10" x14ac:dyDescent="0.15">
      <c r="C540" s="6" t="s">
        <v>2766</v>
      </c>
      <c r="D540" s="6" t="s">
        <v>2422</v>
      </c>
      <c r="F540" s="6" t="s">
        <v>2770</v>
      </c>
      <c r="G540" s="6" t="s">
        <v>2767</v>
      </c>
      <c r="H540" s="6" t="s">
        <v>234</v>
      </c>
      <c r="I540" s="6" t="str">
        <f t="shared" si="57"/>
        <v>tmt18_127N</v>
      </c>
      <c r="J540" s="6" t="str">
        <f t="shared" si="58"/>
        <v>att_tmt_channel:tmt18_127N</v>
      </c>
    </row>
    <row r="541" spans="3:10" x14ac:dyDescent="0.15">
      <c r="C541" s="6" t="s">
        <v>2766</v>
      </c>
      <c r="D541" s="6" t="s">
        <v>2420</v>
      </c>
      <c r="F541" s="6" t="s">
        <v>2770</v>
      </c>
      <c r="G541" s="6" t="s">
        <v>2767</v>
      </c>
      <c r="H541" s="6" t="s">
        <v>234</v>
      </c>
      <c r="I541" s="6" t="str">
        <f t="shared" si="57"/>
        <v>tmt18_127C</v>
      </c>
      <c r="J541" s="6" t="str">
        <f t="shared" si="58"/>
        <v>att_tmt_channel:tmt18_127C</v>
      </c>
    </row>
    <row r="542" spans="3:10" x14ac:dyDescent="0.15">
      <c r="C542" s="6" t="s">
        <v>2766</v>
      </c>
      <c r="D542" s="6" t="s">
        <v>2426</v>
      </c>
      <c r="F542" s="6" t="s">
        <v>2770</v>
      </c>
      <c r="G542" s="6" t="s">
        <v>2767</v>
      </c>
      <c r="H542" s="6" t="s">
        <v>234</v>
      </c>
      <c r="I542" s="6" t="str">
        <f t="shared" si="57"/>
        <v>tmt18_128N</v>
      </c>
      <c r="J542" s="6" t="str">
        <f t="shared" si="58"/>
        <v>att_tmt_channel:tmt18_128N</v>
      </c>
    </row>
    <row r="543" spans="3:10" x14ac:dyDescent="0.15">
      <c r="C543" s="6" t="s">
        <v>2766</v>
      </c>
      <c r="D543" s="6" t="s">
        <v>2424</v>
      </c>
      <c r="F543" s="6" t="s">
        <v>2770</v>
      </c>
      <c r="G543" s="6" t="s">
        <v>2767</v>
      </c>
      <c r="H543" s="6" t="s">
        <v>234</v>
      </c>
      <c r="I543" s="6" t="str">
        <f t="shared" si="57"/>
        <v>tmt18_128C</v>
      </c>
      <c r="J543" s="6" t="str">
        <f t="shared" si="58"/>
        <v>att_tmt_channel:tmt18_128C</v>
      </c>
    </row>
    <row r="544" spans="3:10" x14ac:dyDescent="0.15">
      <c r="C544" s="6" t="s">
        <v>2766</v>
      </c>
      <c r="D544" s="6" t="s">
        <v>2430</v>
      </c>
      <c r="F544" s="6" t="s">
        <v>2770</v>
      </c>
      <c r="G544" s="6" t="s">
        <v>2767</v>
      </c>
      <c r="H544" s="6" t="s">
        <v>234</v>
      </c>
      <c r="I544" s="6" t="str">
        <f t="shared" si="57"/>
        <v>tmt18_129N</v>
      </c>
      <c r="J544" s="6" t="str">
        <f t="shared" si="58"/>
        <v>att_tmt_channel:tmt18_129N</v>
      </c>
    </row>
    <row r="545" spans="3:10" x14ac:dyDescent="0.15">
      <c r="C545" s="6" t="s">
        <v>2766</v>
      </c>
      <c r="D545" s="6" t="s">
        <v>2428</v>
      </c>
      <c r="F545" s="6" t="s">
        <v>2770</v>
      </c>
      <c r="G545" s="6" t="s">
        <v>2767</v>
      </c>
      <c r="H545" s="6" t="s">
        <v>234</v>
      </c>
      <c r="I545" s="6" t="str">
        <f t="shared" si="57"/>
        <v>tmt18_129C</v>
      </c>
      <c r="J545" s="6" t="str">
        <f t="shared" si="58"/>
        <v>att_tmt_channel:tmt18_129C</v>
      </c>
    </row>
    <row r="546" spans="3:10" x14ac:dyDescent="0.15">
      <c r="C546" s="6" t="s">
        <v>2766</v>
      </c>
      <c r="D546" s="6" t="s">
        <v>2434</v>
      </c>
      <c r="F546" s="6" t="s">
        <v>2770</v>
      </c>
      <c r="G546" s="6" t="s">
        <v>2767</v>
      </c>
      <c r="H546" s="6" t="s">
        <v>234</v>
      </c>
      <c r="I546" s="6" t="str">
        <f t="shared" si="57"/>
        <v>tmt18_130N</v>
      </c>
      <c r="J546" s="6" t="str">
        <f t="shared" si="58"/>
        <v>att_tmt_channel:tmt18_130N</v>
      </c>
    </row>
    <row r="547" spans="3:10" x14ac:dyDescent="0.15">
      <c r="C547" s="6" t="s">
        <v>2766</v>
      </c>
      <c r="D547" s="6" t="s">
        <v>2432</v>
      </c>
      <c r="F547" s="6" t="s">
        <v>2770</v>
      </c>
      <c r="G547" s="6" t="s">
        <v>2767</v>
      </c>
      <c r="H547" s="6" t="s">
        <v>234</v>
      </c>
      <c r="I547" s="6" t="str">
        <f t="shared" si="57"/>
        <v>tmt18_130C</v>
      </c>
      <c r="J547" s="6" t="str">
        <f t="shared" si="58"/>
        <v>att_tmt_channel:tmt18_130C</v>
      </c>
    </row>
    <row r="548" spans="3:10" x14ac:dyDescent="0.15">
      <c r="C548" s="6" t="s">
        <v>2766</v>
      </c>
      <c r="D548" s="6" t="s">
        <v>2448</v>
      </c>
      <c r="F548" s="6" t="s">
        <v>2770</v>
      </c>
      <c r="G548" s="6" t="s">
        <v>2767</v>
      </c>
      <c r="H548" s="6" t="s">
        <v>234</v>
      </c>
      <c r="I548" s="6" t="str">
        <f t="shared" si="57"/>
        <v>tmt18_131N</v>
      </c>
      <c r="J548" s="6" t="str">
        <f t="shared" si="58"/>
        <v>att_tmt_channel:tmt18_131N</v>
      </c>
    </row>
    <row r="549" spans="3:10" x14ac:dyDescent="0.15">
      <c r="C549" s="6" t="s">
        <v>2766</v>
      </c>
      <c r="D549" s="6" t="s">
        <v>2446</v>
      </c>
      <c r="F549" s="6" t="s">
        <v>2770</v>
      </c>
      <c r="G549" s="6" t="s">
        <v>2767</v>
      </c>
      <c r="H549" s="6" t="s">
        <v>234</v>
      </c>
      <c r="I549" s="6" t="str">
        <f t="shared" si="57"/>
        <v>tmt18_131C</v>
      </c>
      <c r="J549" s="6" t="str">
        <f t="shared" si="58"/>
        <v>att_tmt_channel:tmt18_131C</v>
      </c>
    </row>
    <row r="550" spans="3:10" x14ac:dyDescent="0.15">
      <c r="C550" s="6" t="s">
        <v>2766</v>
      </c>
      <c r="D550" s="6" t="s">
        <v>2463</v>
      </c>
      <c r="F550" s="6" t="s">
        <v>2770</v>
      </c>
      <c r="G550" s="6" t="s">
        <v>2767</v>
      </c>
      <c r="H550" s="6" t="s">
        <v>234</v>
      </c>
      <c r="I550" s="6" t="str">
        <f t="shared" si="57"/>
        <v>tmt18_132N</v>
      </c>
      <c r="J550" s="6" t="str">
        <f t="shared" si="58"/>
        <v>att_tmt_channel:tmt18_132N</v>
      </c>
    </row>
    <row r="551" spans="3:10" x14ac:dyDescent="0.15">
      <c r="C551" s="6" t="s">
        <v>2766</v>
      </c>
      <c r="D551" s="6" t="s">
        <v>2461</v>
      </c>
      <c r="F551" s="6" t="s">
        <v>2770</v>
      </c>
      <c r="G551" s="6" t="s">
        <v>2767</v>
      </c>
      <c r="H551" s="6" t="s">
        <v>234</v>
      </c>
      <c r="I551" s="6" t="str">
        <f t="shared" si="57"/>
        <v>tmt18_132C</v>
      </c>
      <c r="J551" s="6" t="str">
        <f t="shared" si="58"/>
        <v>att_tmt_channel:tmt18_132C</v>
      </c>
    </row>
    <row r="552" spans="3:10" x14ac:dyDescent="0.15">
      <c r="C552" s="6" t="s">
        <v>2766</v>
      </c>
      <c r="D552" s="6" t="s">
        <v>2467</v>
      </c>
      <c r="F552" s="6" t="s">
        <v>2770</v>
      </c>
      <c r="G552" s="6" t="s">
        <v>2767</v>
      </c>
      <c r="H552" s="6" t="s">
        <v>234</v>
      </c>
      <c r="I552" s="6" t="str">
        <f t="shared" si="57"/>
        <v>tmt18_133N</v>
      </c>
      <c r="J552" s="6" t="str">
        <f t="shared" si="58"/>
        <v>att_tmt_channel:tmt18_133N</v>
      </c>
    </row>
    <row r="553" spans="3:10" x14ac:dyDescent="0.15">
      <c r="C553" s="6" t="s">
        <v>2766</v>
      </c>
      <c r="D553" s="6" t="s">
        <v>2465</v>
      </c>
      <c r="F553" s="6" t="s">
        <v>2770</v>
      </c>
      <c r="G553" s="6" t="s">
        <v>2767</v>
      </c>
      <c r="H553" s="6" t="s">
        <v>234</v>
      </c>
      <c r="I553" s="6" t="str">
        <f t="shared" si="57"/>
        <v>tmt18_133C</v>
      </c>
      <c r="J553" s="6" t="str">
        <f t="shared" si="58"/>
        <v>att_tmt_channel:tmt18_133C</v>
      </c>
    </row>
    <row r="554" spans="3:10" x14ac:dyDescent="0.15">
      <c r="C554" s="6" t="s">
        <v>2766</v>
      </c>
      <c r="D554" s="6" t="s">
        <v>2471</v>
      </c>
      <c r="F554" s="6" t="s">
        <v>2770</v>
      </c>
      <c r="G554" s="6" t="s">
        <v>2767</v>
      </c>
      <c r="H554" s="6" t="s">
        <v>234</v>
      </c>
      <c r="I554" s="6" t="str">
        <f t="shared" si="57"/>
        <v>tmt18_134N</v>
      </c>
      <c r="J554" s="6" t="str">
        <f t="shared" si="58"/>
        <v>att_tmt_channel:tmt18_134N</v>
      </c>
    </row>
    <row r="555" spans="3:10" x14ac:dyDescent="0.15">
      <c r="C555" s="6" t="s">
        <v>2766</v>
      </c>
      <c r="D555" s="6" t="s">
        <v>2469</v>
      </c>
      <c r="F555" s="6" t="s">
        <v>2770</v>
      </c>
      <c r="G555" s="6" t="s">
        <v>2767</v>
      </c>
      <c r="H555" s="6" t="s">
        <v>234</v>
      </c>
      <c r="I555" s="6" t="str">
        <f t="shared" si="57"/>
        <v>tmt18_134C</v>
      </c>
      <c r="J555" s="6" t="str">
        <f t="shared" si="58"/>
        <v>att_tmt_channel:tmt18_134C</v>
      </c>
    </row>
    <row r="556" spans="3:10" x14ac:dyDescent="0.15">
      <c r="C556" s="6" t="s">
        <v>2766</v>
      </c>
      <c r="D556" s="6" t="s">
        <v>2473</v>
      </c>
      <c r="F556" s="6" t="s">
        <v>2770</v>
      </c>
      <c r="G556" s="6" t="s">
        <v>2767</v>
      </c>
      <c r="H556" s="6" t="s">
        <v>234</v>
      </c>
      <c r="I556" s="6" t="str">
        <f t="shared" si="57"/>
        <v>tmt18_135N</v>
      </c>
      <c r="J556" s="6" t="str">
        <f t="shared" si="58"/>
        <v>att_tmt_channel:tmt18_135N</v>
      </c>
    </row>
    <row r="562" spans="3:10" x14ac:dyDescent="0.15">
      <c r="C562" s="6" t="s">
        <v>2771</v>
      </c>
      <c r="D562" s="6" t="s">
        <v>2493</v>
      </c>
      <c r="F562" s="6" t="s">
        <v>2772</v>
      </c>
      <c r="G562" s="6" t="s">
        <v>2773</v>
      </c>
      <c r="H562" s="6" t="s">
        <v>2774</v>
      </c>
      <c r="I562" s="6" t="s">
        <v>2492</v>
      </c>
      <c r="J562" s="6" t="str">
        <f>H562&amp;":"&amp;I562</f>
        <v>att_user_group:mitoprotea</v>
      </c>
    </row>
    <row r="563" spans="3:10" x14ac:dyDescent="0.15">
      <c r="C563" s="6" t="s">
        <v>2771</v>
      </c>
      <c r="D563" s="6" t="s">
        <v>2496</v>
      </c>
      <c r="F563" s="6" t="s">
        <v>2772</v>
      </c>
      <c r="G563" s="6" t="s">
        <v>2773</v>
      </c>
      <c r="H563" s="6" t="s">
        <v>2774</v>
      </c>
      <c r="I563" s="6" t="s">
        <v>2495</v>
      </c>
      <c r="J563" s="6" t="str">
        <f>H563&amp;":"&amp;I563</f>
        <v>att_user_group:molageing</v>
      </c>
    </row>
    <row r="566" spans="3:10" x14ac:dyDescent="0.15">
      <c r="C566" s="6" t="s">
        <v>2775</v>
      </c>
      <c r="D566" s="6" t="s">
        <v>2487</v>
      </c>
      <c r="F566" s="6" t="s">
        <v>243</v>
      </c>
      <c r="G566" s="6" t="s">
        <v>2776</v>
      </c>
      <c r="H566" s="6" t="s">
        <v>242</v>
      </c>
      <c r="I566" s="6" t="s">
        <v>2486</v>
      </c>
      <c r="J566" s="6" t="str">
        <f>H566&amp;":"&amp;I566</f>
        <v>att_user_institute:mpiage</v>
      </c>
    </row>
    <row r="567" spans="3:10" x14ac:dyDescent="0.15">
      <c r="C567" s="6" t="s">
        <v>2775</v>
      </c>
      <c r="D567" s="6" t="s">
        <v>2484</v>
      </c>
      <c r="F567" s="6" t="s">
        <v>243</v>
      </c>
      <c r="G567" s="6" t="s">
        <v>2776</v>
      </c>
      <c r="H567" s="6" t="s">
        <v>242</v>
      </c>
      <c r="I567" s="6" t="s">
        <v>2483</v>
      </c>
      <c r="J567" s="6" t="str">
        <f>H567&amp;":"&amp;I567</f>
        <v>att_user_institute:cecad</v>
      </c>
    </row>
    <row r="568" spans="3:10" x14ac:dyDescent="0.15">
      <c r="C568" s="6" t="s">
        <v>2775</v>
      </c>
      <c r="D568" s="6" t="s">
        <v>2490</v>
      </c>
      <c r="F568" s="6" t="s">
        <v>243</v>
      </c>
      <c r="G568" s="6" t="s">
        <v>2776</v>
      </c>
      <c r="H568" s="6" t="s">
        <v>242</v>
      </c>
      <c r="I568" s="6" t="s">
        <v>2489</v>
      </c>
      <c r="J568" s="6" t="str">
        <f>H568&amp;":"&amp;I568</f>
        <v>att_user_institute:mpimetab</v>
      </c>
    </row>
    <row r="569" spans="3:10" x14ac:dyDescent="0.15">
      <c r="C569" s="6" t="s">
        <v>2775</v>
      </c>
      <c r="D569" s="6" t="s">
        <v>2481</v>
      </c>
      <c r="F569" s="6" t="s">
        <v>243</v>
      </c>
      <c r="G569" s="6" t="s">
        <v>2776</v>
      </c>
      <c r="H569" s="6" t="s">
        <v>242</v>
      </c>
      <c r="I569" s="6" t="s">
        <v>2480</v>
      </c>
      <c r="J569" s="6" t="str">
        <f>H569&amp;":"&amp;I569</f>
        <v>att_user_institute:biochem</v>
      </c>
    </row>
  </sheetData>
  <autoFilter ref="A1:O365" xr:uid="{00000000-0009-0000-0000-000002000000}"/>
  <conditionalFormatting sqref="C2:C321 I175:I177 I320 C323:C335 C365">
    <cfRule type="cellIs" dxfId="1" priority="2" operator="equal">
      <formula>INDIRECT(ADDRESS(ROW()-1,COLUMN()))</formula>
    </cfRule>
  </conditionalFormatting>
  <conditionalFormatting sqref="C439">
    <cfRule type="cellIs" dxfId="0" priority="3" operator="equal">
      <formula>INDIRECT(ADDRESS(ROW()-1,COLUMN()))</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
  <sheetViews>
    <sheetView zoomScale="75" zoomScaleNormal="75" workbookViewId="0">
      <selection activeCell="D22" sqref="D22"/>
    </sheetView>
  </sheetViews>
  <sheetFormatPr baseColWidth="10" defaultColWidth="11.6640625" defaultRowHeight="13" x14ac:dyDescent="0.15"/>
  <cols>
    <col min="1" max="1" width="31.5" customWidth="1"/>
    <col min="2" max="2" width="75.5" customWidth="1"/>
    <col min="4" max="5" width="32.6640625" customWidth="1"/>
  </cols>
  <sheetData>
    <row r="1" spans="1:10" ht="23.25" customHeight="1" x14ac:dyDescent="0.2">
      <c r="A1" s="17" t="s">
        <v>2777</v>
      </c>
      <c r="B1" s="17" t="s">
        <v>2778</v>
      </c>
      <c r="C1" s="17"/>
      <c r="D1" s="17" t="s">
        <v>2777</v>
      </c>
      <c r="E1" s="17" t="s">
        <v>2778</v>
      </c>
      <c r="F1" s="17"/>
      <c r="G1" s="17"/>
      <c r="H1" s="17"/>
      <c r="I1" s="17"/>
      <c r="J1" s="17"/>
    </row>
    <row r="2" spans="1:10" ht="23.25" customHeight="1" x14ac:dyDescent="0.2">
      <c r="A2" s="17" t="s">
        <v>392</v>
      </c>
      <c r="B2" s="17" t="s">
        <v>393</v>
      </c>
      <c r="C2" s="17"/>
      <c r="D2" s="17" t="s">
        <v>392</v>
      </c>
      <c r="E2" s="18" t="s">
        <v>393</v>
      </c>
      <c r="F2" s="17"/>
      <c r="G2" s="17"/>
      <c r="H2" s="17"/>
      <c r="I2" s="17"/>
      <c r="J2" s="17"/>
    </row>
    <row r="3" spans="1:10" ht="23.25" customHeight="1" x14ac:dyDescent="0.2">
      <c r="A3" s="17" t="s">
        <v>389</v>
      </c>
      <c r="B3" s="17"/>
      <c r="C3" s="17"/>
      <c r="D3" s="17" t="s">
        <v>389</v>
      </c>
      <c r="E3" s="18"/>
      <c r="F3" s="17"/>
      <c r="G3" s="17"/>
      <c r="H3" s="17"/>
      <c r="I3" s="17"/>
      <c r="J3" s="17"/>
    </row>
    <row r="4" spans="1:10" ht="23.25" customHeight="1" x14ac:dyDescent="0.2">
      <c r="A4" s="17" t="s">
        <v>397</v>
      </c>
      <c r="B4" s="17"/>
      <c r="C4" s="17"/>
      <c r="D4" s="17" t="s">
        <v>397</v>
      </c>
      <c r="E4" s="18"/>
      <c r="F4" s="17"/>
      <c r="G4" s="17"/>
      <c r="H4" s="17"/>
      <c r="I4" s="17"/>
      <c r="J4" s="18"/>
    </row>
    <row r="5" spans="1:10" ht="23.25" customHeight="1" x14ac:dyDescent="0.2">
      <c r="A5" s="17" t="s">
        <v>363</v>
      </c>
      <c r="B5" s="17" t="s">
        <v>364</v>
      </c>
      <c r="C5" s="17"/>
      <c r="D5" s="17" t="s">
        <v>363</v>
      </c>
      <c r="E5" s="18" t="s">
        <v>364</v>
      </c>
      <c r="F5" s="17"/>
      <c r="G5" s="17"/>
      <c r="H5" s="17"/>
      <c r="I5" s="17"/>
      <c r="J5" s="17"/>
    </row>
    <row r="6" spans="1:10" ht="23.25" customHeight="1" x14ac:dyDescent="0.2">
      <c r="A6" s="17" t="s">
        <v>366</v>
      </c>
      <c r="B6" s="17"/>
      <c r="C6" s="17"/>
      <c r="D6" s="17" t="s">
        <v>366</v>
      </c>
      <c r="E6" s="17"/>
      <c r="F6" s="17"/>
      <c r="G6" s="17"/>
      <c r="H6" s="17"/>
      <c r="I6" s="17"/>
      <c r="J6" s="17"/>
    </row>
    <row r="7" spans="1:10" ht="23.25" customHeight="1" x14ac:dyDescent="0.2">
      <c r="A7" s="17" t="s">
        <v>374</v>
      </c>
      <c r="B7" s="17" t="s">
        <v>375</v>
      </c>
      <c r="C7" s="17"/>
      <c r="D7" s="17" t="s">
        <v>374</v>
      </c>
      <c r="E7" s="18" t="s">
        <v>375</v>
      </c>
      <c r="F7" s="17"/>
      <c r="G7" s="17"/>
      <c r="H7" s="17"/>
      <c r="I7" s="17"/>
      <c r="J7" s="17"/>
    </row>
    <row r="8" spans="1:10" ht="23.25" customHeight="1" x14ac:dyDescent="0.2">
      <c r="A8" s="17" t="s">
        <v>377</v>
      </c>
      <c r="B8" s="17" t="s">
        <v>378</v>
      </c>
      <c r="C8" s="17"/>
      <c r="D8" s="17" t="s">
        <v>377</v>
      </c>
      <c r="E8" s="17" t="s">
        <v>378</v>
      </c>
      <c r="F8" s="17"/>
      <c r="G8" s="17"/>
      <c r="H8" s="17"/>
      <c r="I8" s="17"/>
      <c r="J8" s="18"/>
    </row>
    <row r="9" spans="1:10" ht="23.25" customHeight="1" x14ac:dyDescent="0.2">
      <c r="A9" s="17" t="s">
        <v>360</v>
      </c>
      <c r="B9" s="17" t="s">
        <v>361</v>
      </c>
      <c r="C9" s="17"/>
      <c r="D9" s="17" t="s">
        <v>360</v>
      </c>
      <c r="E9" s="18" t="s">
        <v>361</v>
      </c>
      <c r="F9" s="17"/>
      <c r="G9" s="17"/>
      <c r="H9" s="17"/>
      <c r="I9" s="17"/>
      <c r="J9" s="18"/>
    </row>
    <row r="10" spans="1:10" ht="23.25" customHeight="1" x14ac:dyDescent="0.2">
      <c r="A10" s="17" t="s">
        <v>368</v>
      </c>
      <c r="B10" s="17" t="s">
        <v>369</v>
      </c>
      <c r="C10" s="17"/>
      <c r="D10" s="17" t="s">
        <v>368</v>
      </c>
      <c r="E10" s="18" t="s">
        <v>369</v>
      </c>
      <c r="F10" s="17"/>
      <c r="G10" s="17"/>
      <c r="H10" s="17"/>
      <c r="I10" s="17"/>
      <c r="J10" s="17"/>
    </row>
    <row r="11" spans="1:10" ht="23.25" customHeight="1" x14ac:dyDescent="0.2">
      <c r="A11" s="17" t="s">
        <v>371</v>
      </c>
      <c r="B11" s="17" t="s">
        <v>372</v>
      </c>
      <c r="C11" s="17"/>
      <c r="D11" s="17" t="s">
        <v>371</v>
      </c>
      <c r="E11" s="18" t="s">
        <v>372</v>
      </c>
      <c r="F11" s="17"/>
      <c r="G11" s="17"/>
      <c r="H11" s="17"/>
      <c r="I11" s="17"/>
      <c r="J11" s="17"/>
    </row>
    <row r="12" spans="1:10" ht="23.25" customHeight="1" x14ac:dyDescent="0.2">
      <c r="A12" s="17" t="s">
        <v>350</v>
      </c>
      <c r="B12" s="17" t="s">
        <v>351</v>
      </c>
      <c r="C12" s="17"/>
      <c r="D12" s="17" t="s">
        <v>350</v>
      </c>
      <c r="E12" s="18" t="s">
        <v>351</v>
      </c>
      <c r="F12" s="17"/>
      <c r="G12" s="17"/>
      <c r="H12" s="17"/>
      <c r="I12" s="17"/>
      <c r="J12" s="17"/>
    </row>
    <row r="13" spans="1:10" ht="23.25" customHeight="1" x14ac:dyDescent="0.2">
      <c r="A13" s="17" t="s">
        <v>399</v>
      </c>
      <c r="B13" s="17" t="s">
        <v>400</v>
      </c>
      <c r="C13" s="17"/>
      <c r="D13" s="17" t="s">
        <v>399</v>
      </c>
      <c r="E13" s="18" t="s">
        <v>400</v>
      </c>
      <c r="F13" s="17"/>
      <c r="G13" s="17"/>
      <c r="H13" s="17"/>
      <c r="I13" s="17"/>
      <c r="J13" s="17"/>
    </row>
    <row r="14" spans="1:10" ht="23.25" customHeight="1" x14ac:dyDescent="0.2">
      <c r="A14" s="17" t="s">
        <v>355</v>
      </c>
      <c r="B14" s="17" t="s">
        <v>356</v>
      </c>
      <c r="C14" s="17"/>
      <c r="D14" s="17" t="s">
        <v>355</v>
      </c>
      <c r="E14" s="18" t="s">
        <v>356</v>
      </c>
      <c r="F14" s="17"/>
      <c r="G14" s="17"/>
      <c r="H14" s="17"/>
      <c r="I14" s="17"/>
      <c r="J14" s="17"/>
    </row>
    <row r="15" spans="1:10" ht="23.25" customHeight="1" x14ac:dyDescent="0.2">
      <c r="A15" s="17" t="s">
        <v>405</v>
      </c>
      <c r="B15" s="17" t="s">
        <v>406</v>
      </c>
      <c r="C15" s="17"/>
      <c r="D15" s="17" t="s">
        <v>405</v>
      </c>
      <c r="E15" s="18" t="s">
        <v>406</v>
      </c>
      <c r="F15" s="17"/>
      <c r="G15" s="17"/>
      <c r="H15" s="17"/>
      <c r="I15" s="17"/>
      <c r="J15" s="17"/>
    </row>
    <row r="16" spans="1:10" ht="23.25" customHeight="1" x14ac:dyDescent="0.2">
      <c r="A16" s="17" t="s">
        <v>380</v>
      </c>
      <c r="B16" s="17" t="s">
        <v>381</v>
      </c>
      <c r="C16" s="17"/>
      <c r="D16" s="17" t="s">
        <v>380</v>
      </c>
      <c r="E16" s="18" t="s">
        <v>381</v>
      </c>
      <c r="F16" s="17"/>
      <c r="G16" s="17"/>
      <c r="H16" s="17"/>
      <c r="I16" s="17"/>
      <c r="J16" s="17"/>
    </row>
    <row r="17" spans="1:10" ht="23.25" customHeight="1" x14ac:dyDescent="0.2">
      <c r="A17" s="17" t="s">
        <v>347</v>
      </c>
      <c r="B17" s="17" t="s">
        <v>348</v>
      </c>
      <c r="C17" s="17"/>
      <c r="D17" s="17" t="s">
        <v>347</v>
      </c>
      <c r="E17" s="17" t="s">
        <v>348</v>
      </c>
      <c r="F17" s="17"/>
      <c r="G17" s="17"/>
      <c r="H17" s="17"/>
      <c r="I17" s="17"/>
      <c r="J17" s="17"/>
    </row>
    <row r="18" spans="1:10" ht="23.25" customHeight="1" x14ac:dyDescent="0.2">
      <c r="A18" s="17" t="s">
        <v>402</v>
      </c>
      <c r="B18" s="17" t="s">
        <v>403</v>
      </c>
      <c r="C18" s="17"/>
      <c r="D18" s="17" t="s">
        <v>402</v>
      </c>
      <c r="E18" s="17" t="s">
        <v>403</v>
      </c>
      <c r="F18" s="17"/>
      <c r="G18" s="17"/>
      <c r="H18" s="17"/>
      <c r="I18" s="17"/>
      <c r="J18" s="17"/>
    </row>
    <row r="19" spans="1:10" ht="23.25" customHeight="1" x14ac:dyDescent="0.2">
      <c r="A19" s="17" t="s">
        <v>358</v>
      </c>
      <c r="B19" s="17"/>
      <c r="C19" s="17"/>
      <c r="D19" s="17" t="s">
        <v>358</v>
      </c>
      <c r="E19" s="17"/>
      <c r="F19" s="17"/>
      <c r="G19" s="17"/>
      <c r="H19" s="17"/>
      <c r="I19" s="17"/>
      <c r="J19" s="17"/>
    </row>
    <row r="20" spans="1:10" ht="23.25" customHeight="1" x14ac:dyDescent="0.2">
      <c r="A20" s="17" t="s">
        <v>353</v>
      </c>
      <c r="B20" s="17"/>
      <c r="C20" s="17"/>
      <c r="D20" s="17" t="s">
        <v>353</v>
      </c>
      <c r="E20" s="17"/>
      <c r="F20" s="17"/>
      <c r="G20" s="17"/>
      <c r="H20" s="17"/>
      <c r="I20" s="17"/>
      <c r="J20" s="17"/>
    </row>
    <row r="21" spans="1:10" ht="23.25" customHeight="1" x14ac:dyDescent="0.2">
      <c r="A21" s="17" t="s">
        <v>395</v>
      </c>
      <c r="B21" s="17"/>
      <c r="C21" s="17"/>
      <c r="D21" s="17" t="s">
        <v>395</v>
      </c>
      <c r="E21" s="17"/>
      <c r="F21" s="17"/>
      <c r="G21" s="17"/>
      <c r="H21" s="17"/>
      <c r="I21" s="17"/>
      <c r="J21" s="17"/>
    </row>
    <row r="22" spans="1:10" ht="23.25" customHeight="1" x14ac:dyDescent="0.2">
      <c r="A22" s="17" t="s">
        <v>383</v>
      </c>
      <c r="B22" s="17"/>
      <c r="C22" s="17"/>
      <c r="D22" s="17" t="s">
        <v>383</v>
      </c>
      <c r="E22" s="18"/>
      <c r="F22" s="17"/>
      <c r="G22" s="17"/>
      <c r="H22" s="17"/>
      <c r="I22" s="17"/>
      <c r="J22" s="17"/>
    </row>
    <row r="23" spans="1:10" ht="23.25" customHeight="1" x14ac:dyDescent="0.2">
      <c r="A23" s="17" t="s">
        <v>385</v>
      </c>
      <c r="B23" s="17"/>
      <c r="C23" s="17"/>
      <c r="D23" s="17" t="s">
        <v>385</v>
      </c>
      <c r="E23" s="17"/>
      <c r="F23" s="17"/>
      <c r="G23" s="17"/>
      <c r="H23" s="17"/>
      <c r="I23" s="17"/>
      <c r="J23" s="17"/>
    </row>
    <row r="24" spans="1:10" ht="23.25" customHeight="1" x14ac:dyDescent="0.2">
      <c r="A24" s="17" t="s">
        <v>387</v>
      </c>
      <c r="B24" s="17"/>
      <c r="C24" s="17"/>
      <c r="D24" s="17" t="s">
        <v>387</v>
      </c>
      <c r="E24" s="17"/>
      <c r="F24" s="17"/>
      <c r="G24" s="17"/>
      <c r="H24" s="17"/>
      <c r="I24" s="17"/>
      <c r="J24" s="17"/>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zoomScaleNormal="100" workbookViewId="0">
      <selection activeCell="E30" sqref="E30"/>
    </sheetView>
  </sheetViews>
  <sheetFormatPr baseColWidth="10" defaultColWidth="10.6640625" defaultRowHeight="13" x14ac:dyDescent="0.15"/>
  <sheetData>
    <row r="1" spans="1:2" x14ac:dyDescent="0.15">
      <c r="B1" t="s">
        <v>2779</v>
      </c>
    </row>
    <row r="3" spans="1:2" x14ac:dyDescent="0.15">
      <c r="A3">
        <v>-2</v>
      </c>
      <c r="B3" t="s">
        <v>2780</v>
      </c>
    </row>
    <row r="4" spans="1:2" x14ac:dyDescent="0.15">
      <c r="A4">
        <v>-1</v>
      </c>
      <c r="B4" t="s">
        <v>2781</v>
      </c>
    </row>
    <row r="5" spans="1:2" x14ac:dyDescent="0.15">
      <c r="A5">
        <v>0</v>
      </c>
      <c r="B5" t="s">
        <v>2782</v>
      </c>
    </row>
    <row r="6" spans="1:2" x14ac:dyDescent="0.15">
      <c r="A6">
        <v>1</v>
      </c>
      <c r="B6" t="s">
        <v>2783</v>
      </c>
    </row>
    <row r="7" spans="1:2" x14ac:dyDescent="0.15">
      <c r="A7">
        <v>2</v>
      </c>
      <c r="B7" t="s">
        <v>2784</v>
      </c>
    </row>
    <row r="8" spans="1:2" x14ac:dyDescent="0.15">
      <c r="A8">
        <v>3</v>
      </c>
      <c r="B8" t="s">
        <v>2785</v>
      </c>
    </row>
    <row r="9" spans="1:2" x14ac:dyDescent="0.15">
      <c r="A9">
        <v>4</v>
      </c>
      <c r="B9" t="s">
        <v>2786</v>
      </c>
    </row>
    <row r="10" spans="1:2" x14ac:dyDescent="0.15">
      <c r="A10">
        <v>5</v>
      </c>
      <c r="B10" t="s">
        <v>2787</v>
      </c>
    </row>
    <row r="12" spans="1:2" x14ac:dyDescent="0.15">
      <c r="B12" t="s">
        <v>2788</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7825</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attributes</vt:lpstr>
      <vt:lpstr>attribute_values</vt:lpstr>
      <vt:lpstr>Sheet3</vt:lpstr>
      <vt:lpstr>Sheet1</vt:lpstr>
      <vt:lpstr>attribute_values_ar</vt:lpstr>
      <vt:lpstr>Sheet2</vt:lpstr>
      <vt:lpstr>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Hendrik Nolte</cp:lastModifiedBy>
  <cp:revision>26</cp:revision>
  <dcterms:created xsi:type="dcterms:W3CDTF">2023-10-25T11:07:02Z</dcterms:created>
  <dcterms:modified xsi:type="dcterms:W3CDTF">2024-07-10T09:04:40Z</dcterms:modified>
  <dc:language>en-GB</dc:language>
</cp:coreProperties>
</file>