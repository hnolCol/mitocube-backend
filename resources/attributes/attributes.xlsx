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1"/>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3838A362-D53F-1C4A-8604-19222E393611}" xr6:coauthVersionLast="47" xr6:coauthVersionMax="47" xr10:uidLastSave="{00000000-0000-0000-0000-000000000000}"/>
  <bookViews>
    <workbookView xWindow="12520" yWindow="4300" windowWidth="35840" windowHeight="19620" tabRatio="500" xr2:uid="{00000000-000D-0000-FFFF-FFFF00000000}"/>
  </bookViews>
  <sheets>
    <sheet name="attributes" sheetId="1" r:id="rId1"/>
    <sheet name="attribute_values" sheetId="2" r:id="rId2"/>
    <sheet name="Sheet4" sheetId="9" r:id="rId3"/>
    <sheet name="Sheet3" sheetId="7" r:id="rId4"/>
    <sheet name="Sheet1" sheetId="6" r:id="rId5"/>
    <sheet name="attribute_values_ar" sheetId="3" r:id="rId6"/>
    <sheet name="STATES" sheetId="5" r:id="rId7"/>
  </sheets>
  <definedNames>
    <definedName name="_xlnm._FilterDatabase" localSheetId="5" hidden="1">attribute_values_ar!$A$1:$O$365</definedName>
    <definedName name="_xlnm._FilterDatabase" localSheetId="0" hidden="1">attributes!$A$1:$AMJ$108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U3" i="1" l="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2" i="1"/>
  <c r="AC3" i="1"/>
  <c r="AC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2" i="1"/>
  <c r="V3" i="1" l="1"/>
  <c r="W3" i="1"/>
  <c r="X3" i="1"/>
  <c r="Y3" i="1"/>
  <c r="Z3" i="1"/>
  <c r="AA3" i="1"/>
  <c r="AB3" i="1"/>
  <c r="V4" i="1"/>
  <c r="W4" i="1"/>
  <c r="X4" i="1"/>
  <c r="Y4" i="1"/>
  <c r="Z4" i="1"/>
  <c r="AA4" i="1"/>
  <c r="AB4" i="1"/>
  <c r="V5" i="1"/>
  <c r="W5" i="1"/>
  <c r="X5" i="1"/>
  <c r="Y5" i="1"/>
  <c r="Z5" i="1"/>
  <c r="AA5" i="1"/>
  <c r="AB5" i="1"/>
  <c r="V6" i="1"/>
  <c r="W6" i="1"/>
  <c r="X6" i="1"/>
  <c r="Y6" i="1"/>
  <c r="Z6" i="1"/>
  <c r="AA6" i="1"/>
  <c r="AB6" i="1"/>
  <c r="V7" i="1"/>
  <c r="W7" i="1"/>
  <c r="X7" i="1"/>
  <c r="Y7" i="1"/>
  <c r="Z7" i="1"/>
  <c r="AA7" i="1"/>
  <c r="AB7" i="1"/>
  <c r="V8" i="1"/>
  <c r="W8" i="1"/>
  <c r="X8" i="1"/>
  <c r="Y8" i="1"/>
  <c r="Z8" i="1"/>
  <c r="AA8" i="1"/>
  <c r="AB8" i="1"/>
  <c r="V9" i="1"/>
  <c r="W9" i="1"/>
  <c r="X9" i="1"/>
  <c r="Y9" i="1"/>
  <c r="Z9" i="1"/>
  <c r="AA9" i="1"/>
  <c r="AB9" i="1"/>
  <c r="V10" i="1"/>
  <c r="W10" i="1"/>
  <c r="X10" i="1"/>
  <c r="Y10" i="1"/>
  <c r="Z10" i="1"/>
  <c r="AA10" i="1"/>
  <c r="AB10" i="1"/>
  <c r="V11" i="1"/>
  <c r="W11" i="1"/>
  <c r="X11" i="1"/>
  <c r="Y11" i="1"/>
  <c r="Z11" i="1"/>
  <c r="AA11" i="1"/>
  <c r="AB11" i="1"/>
  <c r="V12" i="1"/>
  <c r="W12" i="1"/>
  <c r="X12" i="1"/>
  <c r="Y12" i="1"/>
  <c r="Z12" i="1"/>
  <c r="AA12" i="1"/>
  <c r="AB12" i="1"/>
  <c r="V13" i="1"/>
  <c r="W13" i="1"/>
  <c r="X13" i="1"/>
  <c r="Y13" i="1"/>
  <c r="Z13" i="1"/>
  <c r="AA13" i="1"/>
  <c r="AB13" i="1"/>
  <c r="V14" i="1"/>
  <c r="W14" i="1"/>
  <c r="X14" i="1"/>
  <c r="Y14" i="1"/>
  <c r="Z14" i="1"/>
  <c r="AA14" i="1"/>
  <c r="AB14" i="1"/>
  <c r="V15" i="1"/>
  <c r="W15" i="1"/>
  <c r="X15" i="1"/>
  <c r="Y15" i="1"/>
  <c r="Z15" i="1"/>
  <c r="AA15" i="1"/>
  <c r="AB15" i="1"/>
  <c r="V16" i="1"/>
  <c r="W16" i="1"/>
  <c r="X16" i="1"/>
  <c r="Y16" i="1"/>
  <c r="Z16" i="1"/>
  <c r="AA16" i="1"/>
  <c r="AB16" i="1"/>
  <c r="V17" i="1"/>
  <c r="W17" i="1"/>
  <c r="X17" i="1"/>
  <c r="Y17" i="1"/>
  <c r="Z17" i="1"/>
  <c r="AA17" i="1"/>
  <c r="AB17" i="1"/>
  <c r="V18" i="1"/>
  <c r="W18" i="1"/>
  <c r="X18" i="1"/>
  <c r="Y18" i="1"/>
  <c r="Z18" i="1"/>
  <c r="AA18" i="1"/>
  <c r="AB18" i="1"/>
  <c r="V19" i="1"/>
  <c r="W19" i="1"/>
  <c r="X19" i="1"/>
  <c r="Y19" i="1"/>
  <c r="Z19" i="1"/>
  <c r="AA19" i="1"/>
  <c r="AB19" i="1"/>
  <c r="V20" i="1"/>
  <c r="W20" i="1"/>
  <c r="X20" i="1"/>
  <c r="Y20" i="1"/>
  <c r="Z20" i="1"/>
  <c r="AA20" i="1"/>
  <c r="AB20" i="1"/>
  <c r="V21" i="1"/>
  <c r="W21" i="1"/>
  <c r="X21" i="1"/>
  <c r="Y21" i="1"/>
  <c r="Z21" i="1"/>
  <c r="AA21" i="1"/>
  <c r="AB21" i="1"/>
  <c r="V22" i="1"/>
  <c r="W22" i="1"/>
  <c r="X22" i="1"/>
  <c r="Y22" i="1"/>
  <c r="Z22" i="1"/>
  <c r="AA22" i="1"/>
  <c r="AB22" i="1"/>
  <c r="V23" i="1"/>
  <c r="W23" i="1"/>
  <c r="X23" i="1"/>
  <c r="Y23" i="1"/>
  <c r="Z23" i="1"/>
  <c r="AA23" i="1"/>
  <c r="AB23" i="1"/>
  <c r="V24" i="1"/>
  <c r="W24" i="1"/>
  <c r="X24" i="1"/>
  <c r="Y24" i="1"/>
  <c r="Z24" i="1"/>
  <c r="AA24" i="1"/>
  <c r="AB24" i="1"/>
  <c r="V25" i="1"/>
  <c r="W25" i="1"/>
  <c r="X25" i="1"/>
  <c r="Y25" i="1"/>
  <c r="Z25" i="1"/>
  <c r="AA25" i="1"/>
  <c r="AB25" i="1"/>
  <c r="V26" i="1"/>
  <c r="W26" i="1"/>
  <c r="X26" i="1"/>
  <c r="Y26" i="1"/>
  <c r="Z26" i="1"/>
  <c r="AA26" i="1"/>
  <c r="AB26" i="1"/>
  <c r="V27" i="1"/>
  <c r="W27" i="1"/>
  <c r="X27" i="1"/>
  <c r="Y27" i="1"/>
  <c r="Z27" i="1"/>
  <c r="AA27" i="1"/>
  <c r="AB27" i="1"/>
  <c r="V28" i="1"/>
  <c r="W28" i="1"/>
  <c r="X28" i="1"/>
  <c r="Y28" i="1"/>
  <c r="Z28" i="1"/>
  <c r="AA28" i="1"/>
  <c r="AB28" i="1"/>
  <c r="V29" i="1"/>
  <c r="W29" i="1"/>
  <c r="X29" i="1"/>
  <c r="Y29" i="1"/>
  <c r="Z29" i="1"/>
  <c r="AA29" i="1"/>
  <c r="AB29" i="1"/>
  <c r="V30" i="1"/>
  <c r="W30" i="1"/>
  <c r="X30" i="1"/>
  <c r="Y30" i="1"/>
  <c r="Z30" i="1"/>
  <c r="AA30" i="1"/>
  <c r="AB30" i="1"/>
  <c r="V31" i="1"/>
  <c r="W31" i="1"/>
  <c r="X31" i="1"/>
  <c r="Y31" i="1"/>
  <c r="Z31" i="1"/>
  <c r="AA31" i="1"/>
  <c r="AB31" i="1"/>
  <c r="V32" i="1"/>
  <c r="W32" i="1"/>
  <c r="X32" i="1"/>
  <c r="Y32" i="1"/>
  <c r="Z32" i="1"/>
  <c r="AA32" i="1"/>
  <c r="AB32" i="1"/>
  <c r="V33" i="1"/>
  <c r="W33" i="1"/>
  <c r="X33" i="1"/>
  <c r="Y33" i="1"/>
  <c r="Z33" i="1"/>
  <c r="AA33" i="1"/>
  <c r="AB33" i="1"/>
  <c r="V34" i="1"/>
  <c r="W34" i="1"/>
  <c r="X34" i="1"/>
  <c r="Y34" i="1"/>
  <c r="Z34" i="1"/>
  <c r="AA34" i="1"/>
  <c r="AB34" i="1"/>
  <c r="V35" i="1"/>
  <c r="W35" i="1"/>
  <c r="X35" i="1"/>
  <c r="Y35" i="1"/>
  <c r="Z35" i="1"/>
  <c r="AA35" i="1"/>
  <c r="AB35" i="1"/>
  <c r="V36" i="1"/>
  <c r="W36" i="1"/>
  <c r="X36" i="1"/>
  <c r="Y36" i="1"/>
  <c r="Z36" i="1"/>
  <c r="AA36" i="1"/>
  <c r="AB36" i="1"/>
  <c r="V37" i="1"/>
  <c r="W37" i="1"/>
  <c r="X37" i="1"/>
  <c r="Y37" i="1"/>
  <c r="Z37" i="1"/>
  <c r="AA37" i="1"/>
  <c r="AB37" i="1"/>
  <c r="V38" i="1"/>
  <c r="W38" i="1"/>
  <c r="X38" i="1"/>
  <c r="Y38" i="1"/>
  <c r="Z38" i="1"/>
  <c r="AA38" i="1"/>
  <c r="AB38" i="1"/>
  <c r="V39" i="1"/>
  <c r="W39" i="1"/>
  <c r="X39" i="1"/>
  <c r="Y39" i="1"/>
  <c r="Z39" i="1"/>
  <c r="AA39" i="1"/>
  <c r="AB39" i="1"/>
  <c r="V40" i="1"/>
  <c r="W40" i="1"/>
  <c r="X40" i="1"/>
  <c r="Y40" i="1"/>
  <c r="Z40" i="1"/>
  <c r="AA40" i="1"/>
  <c r="AB40" i="1"/>
  <c r="V41" i="1"/>
  <c r="W41" i="1"/>
  <c r="X41" i="1"/>
  <c r="Y41" i="1"/>
  <c r="Z41" i="1"/>
  <c r="AA41" i="1"/>
  <c r="AB41" i="1"/>
  <c r="V42" i="1"/>
  <c r="W42" i="1"/>
  <c r="X42" i="1"/>
  <c r="Y42" i="1"/>
  <c r="Z42" i="1"/>
  <c r="AA42" i="1"/>
  <c r="AB42" i="1"/>
  <c r="V43" i="1"/>
  <c r="W43" i="1"/>
  <c r="X43" i="1"/>
  <c r="Y43" i="1"/>
  <c r="Z43" i="1"/>
  <c r="AA43" i="1"/>
  <c r="AB43" i="1"/>
  <c r="V44" i="1"/>
  <c r="W44" i="1"/>
  <c r="X44" i="1"/>
  <c r="Y44" i="1"/>
  <c r="Z44" i="1"/>
  <c r="AA44" i="1"/>
  <c r="AB44" i="1"/>
  <c r="V45" i="1"/>
  <c r="W45" i="1"/>
  <c r="X45" i="1"/>
  <c r="Y45" i="1"/>
  <c r="Z45" i="1"/>
  <c r="AA45" i="1"/>
  <c r="AB45" i="1"/>
  <c r="V46" i="1"/>
  <c r="W46" i="1"/>
  <c r="X46" i="1"/>
  <c r="Y46" i="1"/>
  <c r="Z46" i="1"/>
  <c r="AA46" i="1"/>
  <c r="AB46" i="1"/>
  <c r="V47" i="1"/>
  <c r="W47" i="1"/>
  <c r="X47" i="1"/>
  <c r="Y47" i="1"/>
  <c r="Z47" i="1"/>
  <c r="AA47" i="1"/>
  <c r="AB47" i="1"/>
  <c r="V48" i="1"/>
  <c r="W48" i="1"/>
  <c r="X48" i="1"/>
  <c r="Y48" i="1"/>
  <c r="Z48" i="1"/>
  <c r="AA48" i="1"/>
  <c r="AB48" i="1"/>
  <c r="V49" i="1"/>
  <c r="W49" i="1"/>
  <c r="X49" i="1"/>
  <c r="Y49" i="1"/>
  <c r="Z49" i="1"/>
  <c r="AA49" i="1"/>
  <c r="AB49" i="1"/>
  <c r="V50" i="1"/>
  <c r="W50" i="1"/>
  <c r="X50" i="1"/>
  <c r="Y50" i="1"/>
  <c r="Z50" i="1"/>
  <c r="AA50" i="1"/>
  <c r="AB50" i="1"/>
  <c r="V51" i="1"/>
  <c r="W51" i="1"/>
  <c r="X51" i="1"/>
  <c r="Y51" i="1"/>
  <c r="Z51" i="1"/>
  <c r="AA51" i="1"/>
  <c r="AB51" i="1"/>
  <c r="V52" i="1"/>
  <c r="W52" i="1"/>
  <c r="X52" i="1"/>
  <c r="Y52" i="1"/>
  <c r="Z52" i="1"/>
  <c r="AA52" i="1"/>
  <c r="AB52" i="1"/>
  <c r="V53" i="1"/>
  <c r="W53" i="1"/>
  <c r="X53" i="1"/>
  <c r="Y53" i="1"/>
  <c r="Z53" i="1"/>
  <c r="AA53" i="1"/>
  <c r="AB53" i="1"/>
  <c r="V54" i="1"/>
  <c r="W54" i="1"/>
  <c r="X54" i="1"/>
  <c r="Y54" i="1"/>
  <c r="Z54" i="1"/>
  <c r="AA54" i="1"/>
  <c r="AB54" i="1"/>
  <c r="V55" i="1"/>
  <c r="W55" i="1"/>
  <c r="X55" i="1"/>
  <c r="Y55" i="1"/>
  <c r="Z55" i="1"/>
  <c r="AA55" i="1"/>
  <c r="AB55" i="1"/>
  <c r="V56" i="1"/>
  <c r="W56" i="1"/>
  <c r="X56" i="1"/>
  <c r="Y56" i="1"/>
  <c r="Z56" i="1"/>
  <c r="AA56" i="1"/>
  <c r="AB56" i="1"/>
  <c r="V57" i="1"/>
  <c r="W57" i="1"/>
  <c r="X57" i="1"/>
  <c r="Y57" i="1"/>
  <c r="Z57" i="1"/>
  <c r="AA57" i="1"/>
  <c r="AB57" i="1"/>
  <c r="V58" i="1"/>
  <c r="W58" i="1"/>
  <c r="X58" i="1"/>
  <c r="Y58" i="1"/>
  <c r="Z58" i="1"/>
  <c r="AA58" i="1"/>
  <c r="AB58" i="1"/>
  <c r="V59" i="1"/>
  <c r="W59" i="1"/>
  <c r="X59" i="1"/>
  <c r="Y59" i="1"/>
  <c r="Z59" i="1"/>
  <c r="AA59" i="1"/>
  <c r="AB59" i="1"/>
  <c r="V60" i="1"/>
  <c r="W60" i="1"/>
  <c r="X60" i="1"/>
  <c r="Y60" i="1"/>
  <c r="Z60" i="1"/>
  <c r="AA60" i="1"/>
  <c r="AB60" i="1"/>
  <c r="V61" i="1"/>
  <c r="W61" i="1"/>
  <c r="X61" i="1"/>
  <c r="Y61" i="1"/>
  <c r="Z61" i="1"/>
  <c r="AA61" i="1"/>
  <c r="AB61" i="1"/>
  <c r="V62" i="1"/>
  <c r="W62" i="1"/>
  <c r="X62" i="1"/>
  <c r="Y62" i="1"/>
  <c r="Z62" i="1"/>
  <c r="AA62" i="1"/>
  <c r="AB62" i="1"/>
  <c r="V63" i="1"/>
  <c r="W63" i="1"/>
  <c r="X63" i="1"/>
  <c r="Y63" i="1"/>
  <c r="Z63" i="1"/>
  <c r="AA63" i="1"/>
  <c r="AB63" i="1"/>
  <c r="V64" i="1"/>
  <c r="W64" i="1"/>
  <c r="X64" i="1"/>
  <c r="Y64" i="1"/>
  <c r="Z64" i="1"/>
  <c r="AA64" i="1"/>
  <c r="AB64" i="1"/>
  <c r="V65" i="1"/>
  <c r="W65" i="1"/>
  <c r="X65" i="1"/>
  <c r="Y65" i="1"/>
  <c r="Z65" i="1"/>
  <c r="AA65" i="1"/>
  <c r="AB65" i="1"/>
  <c r="V66" i="1"/>
  <c r="W66" i="1"/>
  <c r="X66" i="1"/>
  <c r="Y66" i="1"/>
  <c r="Z66" i="1"/>
  <c r="AA66" i="1"/>
  <c r="AB66" i="1"/>
  <c r="V67" i="1"/>
  <c r="W67" i="1"/>
  <c r="X67" i="1"/>
  <c r="Y67" i="1"/>
  <c r="Z67" i="1"/>
  <c r="AA67" i="1"/>
  <c r="AB67" i="1"/>
  <c r="V68" i="1"/>
  <c r="W68" i="1"/>
  <c r="X68" i="1"/>
  <c r="Y68" i="1"/>
  <c r="Z68" i="1"/>
  <c r="AA68" i="1"/>
  <c r="AB68" i="1"/>
  <c r="V69" i="1"/>
  <c r="W69" i="1"/>
  <c r="X69" i="1"/>
  <c r="Y69" i="1"/>
  <c r="Z69" i="1"/>
  <c r="AA69" i="1"/>
  <c r="AB69" i="1"/>
  <c r="V70" i="1"/>
  <c r="W70" i="1"/>
  <c r="X70" i="1"/>
  <c r="Y70" i="1"/>
  <c r="Z70" i="1"/>
  <c r="AA70" i="1"/>
  <c r="AB70" i="1"/>
  <c r="V71" i="1"/>
  <c r="W71" i="1"/>
  <c r="X71" i="1"/>
  <c r="Y71" i="1"/>
  <c r="Z71" i="1"/>
  <c r="AA71" i="1"/>
  <c r="AB71" i="1"/>
  <c r="V72" i="1"/>
  <c r="W72" i="1"/>
  <c r="X72" i="1"/>
  <c r="Y72" i="1"/>
  <c r="Z72" i="1"/>
  <c r="AA72" i="1"/>
  <c r="AB72" i="1"/>
  <c r="V73" i="1"/>
  <c r="W73" i="1"/>
  <c r="X73" i="1"/>
  <c r="Y73" i="1"/>
  <c r="Z73" i="1"/>
  <c r="AA73" i="1"/>
  <c r="AB73" i="1"/>
  <c r="V74" i="1"/>
  <c r="W74" i="1"/>
  <c r="X74" i="1"/>
  <c r="Y74" i="1"/>
  <c r="Z74" i="1"/>
  <c r="AA74" i="1"/>
  <c r="AB74" i="1"/>
  <c r="V75" i="1"/>
  <c r="W75" i="1"/>
  <c r="X75" i="1"/>
  <c r="Y75" i="1"/>
  <c r="Z75" i="1"/>
  <c r="AA75" i="1"/>
  <c r="AB75" i="1"/>
  <c r="V76" i="1"/>
  <c r="W76" i="1"/>
  <c r="X76" i="1"/>
  <c r="Y76" i="1"/>
  <c r="Z76" i="1"/>
  <c r="AA76" i="1"/>
  <c r="AB76" i="1"/>
  <c r="V77" i="1"/>
  <c r="W77" i="1"/>
  <c r="X77" i="1"/>
  <c r="Y77" i="1"/>
  <c r="Z77" i="1"/>
  <c r="AA77" i="1"/>
  <c r="AB77" i="1"/>
  <c r="V78" i="1"/>
  <c r="W78" i="1"/>
  <c r="X78" i="1"/>
  <c r="Y78" i="1"/>
  <c r="Z78" i="1"/>
  <c r="AA78" i="1"/>
  <c r="AB78" i="1"/>
  <c r="V79" i="1"/>
  <c r="W79" i="1"/>
  <c r="X79" i="1"/>
  <c r="Y79" i="1"/>
  <c r="Z79" i="1"/>
  <c r="AA79" i="1"/>
  <c r="AB79" i="1"/>
  <c r="V80" i="1"/>
  <c r="W80" i="1"/>
  <c r="X80" i="1"/>
  <c r="Y80" i="1"/>
  <c r="Z80" i="1"/>
  <c r="AA80" i="1"/>
  <c r="AB80" i="1"/>
  <c r="V81" i="1"/>
  <c r="W81" i="1"/>
  <c r="X81" i="1"/>
  <c r="Y81" i="1"/>
  <c r="Z81" i="1"/>
  <c r="AA81" i="1"/>
  <c r="AB81" i="1"/>
  <c r="V82" i="1"/>
  <c r="W82" i="1"/>
  <c r="X82" i="1"/>
  <c r="Y82" i="1"/>
  <c r="Z82" i="1"/>
  <c r="AA82" i="1"/>
  <c r="AB82" i="1"/>
  <c r="V83" i="1"/>
  <c r="W83" i="1"/>
  <c r="X83" i="1"/>
  <c r="Y83" i="1"/>
  <c r="Z83" i="1"/>
  <c r="AA83" i="1"/>
  <c r="AB83" i="1"/>
  <c r="V84" i="1"/>
  <c r="W84" i="1"/>
  <c r="X84" i="1"/>
  <c r="Y84" i="1"/>
  <c r="Z84" i="1"/>
  <c r="AA84" i="1"/>
  <c r="AB84" i="1"/>
  <c r="V85" i="1"/>
  <c r="W85" i="1"/>
  <c r="X85" i="1"/>
  <c r="Y85" i="1"/>
  <c r="Z85" i="1"/>
  <c r="AA85" i="1"/>
  <c r="AB85" i="1"/>
  <c r="V86" i="1"/>
  <c r="W86" i="1"/>
  <c r="X86" i="1"/>
  <c r="Y86" i="1"/>
  <c r="Z86" i="1"/>
  <c r="AA86" i="1"/>
  <c r="AB86" i="1"/>
  <c r="V87" i="1"/>
  <c r="W87" i="1"/>
  <c r="X87" i="1"/>
  <c r="Y87" i="1"/>
  <c r="Z87" i="1"/>
  <c r="AA87" i="1"/>
  <c r="AB87" i="1"/>
  <c r="V88" i="1"/>
  <c r="W88" i="1"/>
  <c r="X88" i="1"/>
  <c r="Y88" i="1"/>
  <c r="Z88" i="1"/>
  <c r="AA88" i="1"/>
  <c r="AB88" i="1"/>
  <c r="V89" i="1"/>
  <c r="W89" i="1"/>
  <c r="X89" i="1"/>
  <c r="Y89" i="1"/>
  <c r="Z89" i="1"/>
  <c r="AA89" i="1"/>
  <c r="AB89" i="1"/>
  <c r="V90" i="1"/>
  <c r="W90" i="1"/>
  <c r="X90" i="1"/>
  <c r="Y90" i="1"/>
  <c r="Z90" i="1"/>
  <c r="AA90" i="1"/>
  <c r="AB90" i="1"/>
  <c r="V91" i="1"/>
  <c r="W91" i="1"/>
  <c r="X91" i="1"/>
  <c r="Y91" i="1"/>
  <c r="Z91" i="1"/>
  <c r="AA91" i="1"/>
  <c r="AB91" i="1"/>
  <c r="V92" i="1"/>
  <c r="W92" i="1"/>
  <c r="X92" i="1"/>
  <c r="Y92" i="1"/>
  <c r="Z92" i="1"/>
  <c r="AA92" i="1"/>
  <c r="AB92" i="1"/>
  <c r="V93" i="1"/>
  <c r="W93" i="1"/>
  <c r="X93" i="1"/>
  <c r="Y93" i="1"/>
  <c r="Z93" i="1"/>
  <c r="AA93" i="1"/>
  <c r="AB93" i="1"/>
  <c r="V94" i="1"/>
  <c r="W94" i="1"/>
  <c r="X94" i="1"/>
  <c r="Y94" i="1"/>
  <c r="Z94" i="1"/>
  <c r="AA94" i="1"/>
  <c r="AB94" i="1"/>
  <c r="V95" i="1"/>
  <c r="W95" i="1"/>
  <c r="X95" i="1"/>
  <c r="Y95" i="1"/>
  <c r="Z95" i="1"/>
  <c r="AA95" i="1"/>
  <c r="AB95" i="1"/>
  <c r="V96" i="1"/>
  <c r="W96" i="1"/>
  <c r="X96" i="1"/>
  <c r="Y96" i="1"/>
  <c r="Z96" i="1"/>
  <c r="AA96" i="1"/>
  <c r="AB96" i="1"/>
  <c r="V97" i="1"/>
  <c r="W97" i="1"/>
  <c r="X97" i="1"/>
  <c r="Y97" i="1"/>
  <c r="Z97" i="1"/>
  <c r="AA97" i="1"/>
  <c r="AB97" i="1"/>
  <c r="U97" i="1" s="1"/>
  <c r="V98" i="1"/>
  <c r="W98" i="1"/>
  <c r="X98" i="1"/>
  <c r="Y98" i="1"/>
  <c r="Z98" i="1"/>
  <c r="AA98" i="1"/>
  <c r="AB98" i="1"/>
  <c r="V99" i="1"/>
  <c r="W99" i="1"/>
  <c r="X99" i="1"/>
  <c r="Y99" i="1"/>
  <c r="Z99" i="1"/>
  <c r="AA99" i="1"/>
  <c r="AB99" i="1"/>
  <c r="V100" i="1"/>
  <c r="W100" i="1"/>
  <c r="X100" i="1"/>
  <c r="Y100" i="1"/>
  <c r="Z100" i="1"/>
  <c r="AA100" i="1"/>
  <c r="AB100" i="1"/>
  <c r="V101" i="1"/>
  <c r="W101" i="1"/>
  <c r="X101" i="1"/>
  <c r="Y101" i="1"/>
  <c r="Z101" i="1"/>
  <c r="AA101" i="1"/>
  <c r="AB101" i="1"/>
  <c r="V102" i="1"/>
  <c r="W102" i="1"/>
  <c r="X102" i="1"/>
  <c r="Y102" i="1"/>
  <c r="Z102" i="1"/>
  <c r="AA102" i="1"/>
  <c r="AB102" i="1"/>
  <c r="V103" i="1"/>
  <c r="W103" i="1"/>
  <c r="X103" i="1"/>
  <c r="Y103" i="1"/>
  <c r="Z103" i="1"/>
  <c r="AA103" i="1"/>
  <c r="AB103" i="1"/>
  <c r="V104" i="1"/>
  <c r="W104" i="1"/>
  <c r="X104" i="1"/>
  <c r="Y104" i="1"/>
  <c r="Z104" i="1"/>
  <c r="AA104" i="1"/>
  <c r="AB104" i="1"/>
  <c r="V105" i="1"/>
  <c r="W105" i="1"/>
  <c r="X105" i="1"/>
  <c r="Y105" i="1"/>
  <c r="Z105" i="1"/>
  <c r="AA105" i="1"/>
  <c r="AB105" i="1"/>
  <c r="V106" i="1"/>
  <c r="W106" i="1"/>
  <c r="X106" i="1"/>
  <c r="Y106" i="1"/>
  <c r="Z106" i="1"/>
  <c r="AA106" i="1"/>
  <c r="AB106" i="1"/>
  <c r="V107" i="1"/>
  <c r="W107" i="1"/>
  <c r="X107" i="1"/>
  <c r="Y107" i="1"/>
  <c r="Z107" i="1"/>
  <c r="AA107" i="1"/>
  <c r="AB107" i="1"/>
  <c r="V108" i="1"/>
  <c r="W108" i="1"/>
  <c r="X108" i="1"/>
  <c r="Y108" i="1"/>
  <c r="Z108" i="1"/>
  <c r="AA108" i="1"/>
  <c r="AB108" i="1"/>
  <c r="V109" i="1"/>
  <c r="W109" i="1"/>
  <c r="X109" i="1"/>
  <c r="Y109" i="1"/>
  <c r="Z109" i="1"/>
  <c r="AA109" i="1"/>
  <c r="AB109" i="1"/>
  <c r="V110" i="1"/>
  <c r="W110" i="1"/>
  <c r="X110" i="1"/>
  <c r="Y110" i="1"/>
  <c r="Z110" i="1"/>
  <c r="AA110" i="1"/>
  <c r="AB110" i="1"/>
  <c r="V111" i="1"/>
  <c r="W111" i="1"/>
  <c r="X111" i="1"/>
  <c r="Y111" i="1"/>
  <c r="Z111" i="1"/>
  <c r="AA111" i="1"/>
  <c r="AB111" i="1"/>
  <c r="V112" i="1"/>
  <c r="W112" i="1"/>
  <c r="X112" i="1"/>
  <c r="Y112" i="1"/>
  <c r="Z112" i="1"/>
  <c r="AA112" i="1"/>
  <c r="AB112" i="1"/>
  <c r="V113" i="1"/>
  <c r="W113" i="1"/>
  <c r="X113" i="1"/>
  <c r="Y113" i="1"/>
  <c r="Z113" i="1"/>
  <c r="AA113" i="1"/>
  <c r="AB113" i="1"/>
  <c r="V114" i="1"/>
  <c r="W114" i="1"/>
  <c r="X114" i="1"/>
  <c r="Y114" i="1"/>
  <c r="Z114" i="1"/>
  <c r="AA114" i="1"/>
  <c r="AB114" i="1"/>
  <c r="V115" i="1"/>
  <c r="W115" i="1"/>
  <c r="X115" i="1"/>
  <c r="Y115" i="1"/>
  <c r="Z115" i="1"/>
  <c r="AA115" i="1"/>
  <c r="AB115" i="1"/>
  <c r="V116" i="1"/>
  <c r="W116" i="1"/>
  <c r="X116" i="1"/>
  <c r="Y116" i="1"/>
  <c r="Z116" i="1"/>
  <c r="AA116" i="1"/>
  <c r="AB116" i="1"/>
  <c r="V117" i="1"/>
  <c r="W117" i="1"/>
  <c r="X117" i="1"/>
  <c r="Y117" i="1"/>
  <c r="Z117" i="1"/>
  <c r="AA117" i="1"/>
  <c r="AB117" i="1"/>
  <c r="V118" i="1"/>
  <c r="W118" i="1"/>
  <c r="X118" i="1"/>
  <c r="Y118" i="1"/>
  <c r="Z118" i="1"/>
  <c r="AA118" i="1"/>
  <c r="AB118" i="1"/>
  <c r="V119" i="1"/>
  <c r="W119" i="1"/>
  <c r="X119" i="1"/>
  <c r="Y119" i="1"/>
  <c r="Z119" i="1"/>
  <c r="AA119" i="1"/>
  <c r="AB119" i="1"/>
  <c r="V120" i="1"/>
  <c r="W120" i="1"/>
  <c r="X120" i="1"/>
  <c r="Y120" i="1"/>
  <c r="Z120" i="1"/>
  <c r="AA120" i="1"/>
  <c r="AB120" i="1"/>
  <c r="V121" i="1"/>
  <c r="W121" i="1"/>
  <c r="X121" i="1"/>
  <c r="Y121" i="1"/>
  <c r="Z121" i="1"/>
  <c r="AA121" i="1"/>
  <c r="AB121" i="1"/>
  <c r="V122" i="1"/>
  <c r="W122" i="1"/>
  <c r="X122" i="1"/>
  <c r="Y122" i="1"/>
  <c r="Z122" i="1"/>
  <c r="AA122" i="1"/>
  <c r="AB122" i="1"/>
  <c r="V123" i="1"/>
  <c r="W123" i="1"/>
  <c r="X123" i="1"/>
  <c r="Y123" i="1"/>
  <c r="Z123" i="1"/>
  <c r="AA123" i="1"/>
  <c r="AB123" i="1"/>
  <c r="V124" i="1"/>
  <c r="W124" i="1"/>
  <c r="X124" i="1"/>
  <c r="Y124" i="1"/>
  <c r="Z124" i="1"/>
  <c r="AA124" i="1"/>
  <c r="AB124" i="1"/>
  <c r="V125" i="1"/>
  <c r="W125" i="1"/>
  <c r="X125" i="1"/>
  <c r="Y125" i="1"/>
  <c r="Z125" i="1"/>
  <c r="AA125" i="1"/>
  <c r="AB125" i="1"/>
  <c r="V126" i="1"/>
  <c r="W126" i="1"/>
  <c r="X126" i="1"/>
  <c r="Y126" i="1"/>
  <c r="Z126" i="1"/>
  <c r="AA126" i="1"/>
  <c r="AB126" i="1"/>
  <c r="AB2" i="1"/>
  <c r="AA2" i="1"/>
  <c r="Z2" i="1"/>
  <c r="Y2" i="1"/>
  <c r="X2" i="1"/>
  <c r="W2" i="1"/>
  <c r="V2" i="1"/>
  <c r="C793" i="2"/>
  <c r="C842" i="2"/>
  <c r="C484" i="2"/>
  <c r="C1019" i="2"/>
  <c r="C1018" i="2"/>
  <c r="C1017" i="2"/>
  <c r="C1016" i="2"/>
  <c r="C1015" i="2"/>
  <c r="C1014" i="2"/>
  <c r="C439" i="2"/>
  <c r="C384" i="2"/>
  <c r="C126" i="2"/>
  <c r="C237" i="2"/>
  <c r="C972" i="2"/>
  <c r="C971" i="2"/>
  <c r="C970" i="2"/>
  <c r="C969" i="2"/>
  <c r="C968" i="2"/>
  <c r="C188" i="2"/>
  <c r="C1013" i="2"/>
  <c r="C1012" i="2"/>
  <c r="C1011" i="2"/>
  <c r="C1010" i="2"/>
  <c r="C1009" i="2"/>
  <c r="C1008"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73" i="2"/>
  <c r="C974" i="2"/>
  <c r="C975" i="2"/>
  <c r="C976" i="2"/>
  <c r="C977"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<sst xmlns="http://schemas.openxmlformats.org/spreadsheetml/2006/main" count="12624" uniqueCount="4157">
  <si>
    <t>tag</t>
  </si>
  <si>
    <t>parent_tag</t>
  </si>
  <si>
    <t>text</t>
  </si>
  <si>
    <t>priority</t>
  </si>
  <si>
    <t>has_features_value</t>
  </si>
  <si>
    <t>group_tag</t>
  </si>
  <si>
    <t>min_state</t>
  </si>
  <si>
    <t>mandatory_for_submission</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</si>
  <si>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</si>
  <si>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</si>
  <si>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</si>
  <si>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</si>
  <si>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</si>
  <si>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</si>
  <si>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</si>
  <si>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</si>
  <si>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</si>
  <si>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</si>
  <si>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</si>
  <si>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</si>
  <si>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</si>
  <si>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</si>
  <si>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</si>
  <si>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</si>
  <si>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</si>
  <si>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</si>
  <si>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</si>
  <si>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</si>
  <si>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</si>
  <si>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</si>
  <si>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</si>
  <si>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</si>
  <si>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</si>
  <si>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</si>
  <si>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</si>
  <si>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</si>
  <si>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</si>
  <si>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</si>
  <si>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</si>
  <si>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</si>
  <si>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</si>
  <si>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</si>
  <si>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</si>
  <si>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</si>
  <si>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</si>
  <si>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</si>
  <si>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</si>
  <si>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</si>
  <si>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</si>
  <si>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</si>
  <si>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</si>
  <si>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lc</t>
  </si>
  <si>
    <t>att_column_length</t>
  </si>
  <si>
    <t>att_column_outer_diameter</t>
  </si>
  <si>
    <t>att_column_oven_temp</t>
  </si>
  <si>
    <t>att_column_particle_size</t>
  </si>
  <si>
    <t>att_column_pore_size</t>
  </si>
  <si>
    <t>Column Pore 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</si>
  <si>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</si>
  <si>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</si>
  <si>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</si>
  <si>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</si>
  <si>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</si>
  <si>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</si>
  <si>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</si>
  <si>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</si>
  <si>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</si>
  <si>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</si>
  <si>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</si>
  <si>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</si>
  <si>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</si>
  <si>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</si>
  <si>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</si>
  <si>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</si>
  <si>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</si>
  <si>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</si>
  <si>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</si>
  <si>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</si>
  <si>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</si>
  <si>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</si>
  <si>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</si>
  <si>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</si>
  <si>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</si>
  <si>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</si>
  <si>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</si>
  <si>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</si>
  <si>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</si>
  <si>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</si>
  <si>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</si>
  <si>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</si>
  <si>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</si>
  <si>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</si>
  <si>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</si>
  <si>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</si>
  <si>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</si>
  <si>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</si>
  <si>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</si>
  <si>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</si>
  <si>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</si>
  <si>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</si>
  <si>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</si>
  <si>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</si>
  <si>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</si>
  <si>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</si>
  <si>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</si>
  <si>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</si>
  <si>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</si>
  <si>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</si>
  <si>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</si>
  <si>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</si>
  <si>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</si>
  <si>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</si>
  <si>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</si>
  <si>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</si>
  <si>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</si>
  <si>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</si>
  <si>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att_lc_system_name</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</si>
  <si>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</si>
  <si>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</si>
  <si>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</si>
  <si>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</si>
  <si>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</si>
  <si>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</si>
  <si>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</si>
  <si>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</si>
  <si>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</si>
  <si>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</si>
  <si>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</si>
  <si>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</si>
  <si>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</si>
  <si>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</si>
  <si>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</si>
  <si>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</si>
  <si>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</si>
  <si>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</si>
  <si>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</si>
  <si>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</si>
  <si>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</si>
  <si>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</si>
  <si>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</si>
  <si>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</si>
  <si>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</si>
  <si>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</si>
  <si>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</si>
  <si>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</si>
  <si>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</si>
  <si>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</si>
  <si>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</si>
  <si>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</si>
  <si>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</si>
  <si>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</si>
  <si>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</si>
  <si>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</si>
  <si>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</si>
  <si>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</si>
  <si>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</si>
  <si>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</si>
  <si>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</si>
  <si>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</si>
  <si>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</si>
  <si>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</si>
  <si>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</si>
  <si>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</si>
  <si>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</si>
  <si>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</si>
  <si>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</si>
  <si>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</si>
  <si>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</si>
  <si>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</si>
  <si>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</si>
  <si>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</si>
  <si>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</si>
  <si>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</si>
  <si>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</si>
  <si>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</si>
  <si>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</si>
  <si>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</si>
  <si>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</si>
  <si>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</si>
  <si>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</si>
  <si>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</si>
  <si>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</si>
  <si>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</si>
  <si>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</si>
  <si>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</si>
  <si>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</si>
  <si>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</si>
  <si>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</si>
  <si>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</si>
  <si>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</si>
  <si>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</si>
  <si>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</si>
  <si>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</si>
  <si>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</si>
  <si>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</si>
  <si>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</si>
  <si>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</si>
  <si>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</si>
  <si>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</si>
  <si>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</si>
  <si>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</si>
  <si>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</si>
  <si>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</si>
  <si>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</si>
  <si>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</si>
  <si>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</si>
  <si>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</si>
  <si>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</si>
  <si>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</si>
  <si>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</si>
  <si>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</si>
  <si>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</si>
  <si>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</si>
  <si>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</si>
  <si>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</si>
  <si>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</si>
  <si>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</si>
  <si>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</si>
  <si>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</si>
  <si>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</si>
  <si>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</si>
  <si>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</si>
  <si>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</si>
  <si>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</si>
  <si>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</si>
  <si>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</si>
  <si>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</si>
  <si>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</si>
  <si>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</si>
  <si>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</si>
  <si>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</si>
  <si>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</si>
  <si>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</si>
  <si>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</si>
  <si>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</si>
  <si>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</si>
  <si>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</si>
  <si>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</si>
  <si>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</si>
  <si>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</si>
  <si>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</si>
  <si>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</si>
  <si>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</si>
  <si>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</si>
  <si>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</si>
  <si>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</si>
  <si>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</si>
  <si>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</si>
  <si>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</si>
  <si>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</si>
  <si>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</si>
  <si>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</si>
  <si>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</si>
  <si>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</si>
  <si>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</si>
  <si>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</si>
  <si>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</si>
  <si>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</si>
  <si>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</si>
  <si>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</si>
  <si>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</si>
  <si>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</si>
  <si>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</si>
  <si>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</si>
  <si>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</si>
  <si>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</si>
  <si>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</si>
  <si>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</si>
  <si>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</si>
  <si>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</si>
  <si>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</si>
  <si>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</si>
  <si>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</si>
  <si>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</si>
  <si>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</si>
  <si>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</si>
  <si>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</si>
  <si>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</si>
  <si>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</si>
  <si>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</si>
  <si>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</si>
  <si>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</si>
  <si>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</si>
  <si>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</si>
  <si>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</si>
  <si>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</si>
  <si>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</si>
  <si>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</si>
  <si>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</si>
  <si>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</si>
  <si>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</si>
  <si>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</si>
  <si>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</si>
  <si>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</si>
  <si>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</si>
  <si>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</si>
  <si>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</si>
  <si>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</si>
  <si>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</si>
  <si>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</si>
  <si>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</si>
  <si>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</si>
  <si>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</si>
  <si>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</si>
  <si>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</si>
  <si>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</si>
  <si>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</si>
  <si>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</si>
  <si>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</si>
  <si>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</si>
  <si>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</si>
  <si>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</si>
  <si>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</si>
  <si>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</si>
  <si>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</si>
  <si>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</si>
  <si>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</si>
  <si>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</si>
  <si>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</si>
  <si>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</si>
  <si>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</si>
  <si>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</si>
  <si>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</si>
  <si>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</si>
  <si>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</si>
  <si>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</si>
  <si>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</si>
  <si>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</si>
  <si>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</si>
  <si>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</si>
  <si>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</si>
  <si>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</si>
  <si>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</si>
  <si>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</si>
  <si>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</si>
  <si>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</si>
  <si>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</si>
  <si>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</si>
  <si>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</si>
  <si>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</si>
  <si>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</si>
  <si>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</si>
  <si>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</si>
  <si>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</si>
  <si>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</si>
  <si>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</si>
  <si>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</si>
  <si>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</si>
  <si>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</si>
  <si>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</si>
  <si>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</si>
  <si>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</si>
  <si>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</si>
  <si>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</si>
  <si>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</si>
  <si>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</si>
  <si>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</si>
  <si>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</si>
  <si>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</si>
  <si>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</si>
  <si>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</si>
  <si>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</si>
  <si>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</si>
  <si>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</si>
  <si>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</si>
  <si>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</si>
  <si>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</si>
  <si>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</si>
  <si>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</si>
  <si>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</si>
  <si>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</si>
  <si>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</si>
  <si>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</si>
  <si>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</si>
  <si>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</si>
  <si>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</si>
  <si>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</si>
  <si>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</si>
  <si>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</si>
  <si>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</si>
  <si>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</si>
  <si>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</si>
  <si>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</si>
  <si>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</si>
  <si>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</si>
  <si>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</si>
  <si>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</si>
  <si>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</si>
  <si>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</si>
  <si>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</si>
  <si>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</si>
  <si>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</si>
  <si>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</si>
  <si>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</si>
  <si>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</si>
  <si>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</si>
  <si>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</si>
  <si>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</si>
  <si>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</si>
  <si>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</si>
  <si>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</si>
  <si>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</si>
  <si>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</si>
  <si>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</si>
  <si>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</si>
  <si>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</si>
  <si>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</si>
  <si>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</si>
  <si>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</si>
  <si>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</si>
  <si>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</si>
  <si>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</si>
  <si>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</si>
  <si>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</si>
  <si>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</si>
  <si>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</si>
  <si>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</si>
  <si>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</si>
  <si>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</si>
  <si>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</si>
  <si>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</si>
  <si>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</si>
  <si>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</si>
  <si>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</si>
  <si>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</si>
  <si>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</si>
  <si>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</si>
  <si>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</si>
  <si>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</si>
  <si>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</si>
  <si>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</si>
  <si>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</si>
  <si>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</si>
  <si>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</si>
  <si>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</si>
  <si>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</si>
  <si>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</si>
  <si>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</si>
  <si>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</si>
  <si>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</si>
  <si>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</si>
  <si>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</si>
  <si>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</si>
  <si>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</si>
  <si>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</si>
  <si>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</si>
  <si>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</si>
  <si>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</si>
  <si>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</si>
  <si>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</si>
  <si>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</si>
  <si>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</si>
  <si>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</si>
  <si>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</si>
  <si>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</si>
  <si>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</si>
  <si>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</si>
  <si>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</si>
  <si>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</si>
  <si>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</si>
  <si>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</si>
  <si>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</si>
  <si>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</si>
  <si>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</si>
  <si>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</si>
  <si>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</si>
  <si>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</si>
  <si>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</si>
  <si>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</si>
  <si>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</si>
  <si>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</si>
  <si>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</si>
  <si>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</si>
  <si>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</si>
  <si>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</si>
  <si>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</si>
  <si>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</si>
  <si>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</si>
  <si>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</si>
  <si>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</si>
  <si>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</si>
  <si>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</si>
  <si>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</si>
  <si>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</si>
  <si>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</si>
  <si>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</si>
  <si>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</si>
  <si>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</si>
  <si>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</si>
  <si>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</si>
  <si>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</si>
  <si>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</si>
  <si>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</si>
  <si>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</si>
  <si>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</si>
  <si>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</si>
  <si>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</si>
  <si>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</si>
  <si>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</si>
  <si>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</si>
  <si>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</si>
  <si>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</si>
  <si>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</si>
  <si>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</si>
  <si>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</si>
  <si>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</si>
  <si>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</si>
  <si>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</si>
  <si>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</si>
  <si>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</si>
  <si>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</si>
  <si>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</si>
  <si>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</si>
  <si>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</si>
  <si>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</si>
  <si>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</si>
  <si>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</si>
  <si>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</si>
  <si>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</si>
  <si>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</si>
  <si>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</si>
  <si>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</si>
  <si>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</si>
  <si>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</si>
  <si>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</si>
  <si>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</si>
  <si>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</si>
  <si>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</si>
  <si>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</si>
  <si>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</si>
  <si>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</si>
  <si>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</si>
  <si>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</si>
  <si>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</si>
  <si>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</si>
  <si>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</si>
  <si>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</si>
  <si>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</si>
  <si>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</si>
  <si>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</si>
  <si>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</si>
  <si>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</si>
  <si>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</si>
  <si>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</si>
  <si>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</si>
  <si>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</si>
  <si>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</si>
  <si>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</si>
  <si>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</si>
  <si>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</si>
  <si>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</si>
  <si>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</si>
  <si>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</si>
  <si>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</si>
  <si>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</si>
  <si>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</si>
  <si>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</si>
  <si>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</si>
  <si>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</si>
  <si>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</si>
  <si>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</si>
  <si>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</si>
  <si>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</si>
  <si>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</si>
  <si>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</si>
  <si>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</si>
  <si>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</si>
  <si>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</si>
  <si>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</si>
  <si>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</si>
  <si>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</si>
  <si>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</si>
  <si>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</si>
  <si>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</si>
  <si>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</si>
  <si>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</si>
  <si>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</si>
  <si>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</si>
  <si>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</si>
  <si>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</si>
  <si>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</si>
  <si>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</si>
  <si>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</si>
  <si>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</si>
  <si>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</si>
  <si>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</si>
  <si>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</si>
  <si>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</si>
  <si>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</si>
  <si>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</si>
  <si>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</si>
  <si>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</si>
  <si>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</si>
  <si>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</si>
  <si>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</si>
  <si>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</si>
  <si>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</si>
  <si>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</si>
  <si>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</si>
  <si>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</si>
  <si>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</si>
  <si>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</si>
  <si>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</si>
  <si>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</si>
  <si>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</si>
  <si>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</si>
  <si>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</si>
  <si>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</si>
  <si>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</si>
  <si>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</si>
  <si>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</si>
  <si>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</si>
  <si>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</si>
  <si>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</si>
  <si>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</si>
  <si>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</si>
  <si>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</si>
  <si>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</si>
  <si>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</si>
  <si>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</si>
  <si>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</si>
  <si>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</si>
  <si>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</si>
  <si>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</si>
  <si>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</si>
  <si>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</si>
  <si>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</si>
  <si>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</si>
  <si>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</si>
  <si>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</si>
  <si>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</si>
  <si>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</si>
  <si>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</si>
  <si>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</si>
  <si>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</si>
  <si>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</si>
  <si>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</si>
  <si>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</si>
  <si>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</si>
  <si>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</si>
  <si>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</si>
  <si>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</si>
  <si>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</si>
  <si>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</si>
  <si>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</si>
  <si>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</si>
  <si>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</si>
  <si>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</si>
  <si>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</si>
  <si>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</si>
  <si>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</si>
  <si>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</si>
  <si>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</si>
  <si>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</si>
  <si>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</si>
  <si>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</si>
  <si>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</si>
  <si>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</si>
  <si>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</si>
  <si>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</si>
  <si>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</si>
  <si>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</si>
  <si>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</si>
  <si>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</si>
  <si>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</si>
  <si>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</si>
  <si>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</si>
  <si>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</si>
  <si>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</si>
  <si>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</si>
  <si>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</si>
  <si>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</si>
  <si>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</si>
  <si>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</si>
  <si>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</si>
  <si>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</si>
  <si>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</si>
  <si>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</si>
  <si>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</si>
  <si>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</si>
  <si>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</si>
  <si>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</si>
  <si>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</si>
  <si>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</si>
  <si>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</si>
  <si>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</si>
  <si>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</si>
  <si>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</si>
  <si>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</si>
  <si>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</si>
  <si>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</si>
  <si>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</si>
  <si>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</si>
  <si>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</si>
  <si>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</si>
  <si>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</si>
  <si>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</si>
  <si>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</si>
  <si>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</si>
  <si>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</si>
  <si>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</si>
  <si>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</si>
  <si>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</si>
  <si>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</si>
  <si>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</si>
  <si>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</si>
  <si>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</si>
  <si>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</si>
  <si>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</si>
  <si>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</si>
  <si>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</si>
  <si>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</si>
  <si>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</si>
  <si>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</si>
  <si>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</si>
  <si>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</si>
  <si>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</si>
  <si>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</si>
  <si>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</si>
  <si>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</si>
  <si>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</si>
  <si>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</si>
  <si>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</si>
  <si>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</si>
  <si>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</si>
  <si>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</si>
  <si>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</si>
  <si>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</si>
  <si>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</si>
  <si>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</si>
  <si>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</si>
  <si>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</si>
  <si>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</si>
  <si>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</si>
  <si>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</si>
  <si>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</si>
  <si>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</si>
  <si>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</si>
  <si>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</si>
  <si>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</si>
  <si>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</si>
  <si>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</si>
  <si>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</si>
  <si>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</si>
  <si>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</si>
  <si>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</si>
  <si>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</si>
  <si>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</si>
  <si>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</si>
  <si>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</si>
  <si>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</si>
  <si>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</si>
  <si>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</si>
  <si>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</si>
  <si>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</si>
  <si>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</si>
  <si>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</si>
  <si>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</si>
  <si>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</si>
  <si>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</si>
  <si>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</si>
  <si>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</si>
  <si>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</si>
  <si>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</si>
  <si>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</si>
  <si>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</si>
  <si>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</si>
  <si>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</si>
  <si>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</si>
  <si>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</si>
  <si>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</si>
  <si>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</si>
  <si>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</si>
  <si>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</si>
  <si>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</si>
  <si>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</si>
  <si>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</si>
  <si>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</si>
  <si>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</si>
  <si>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</si>
  <si>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</si>
  <si>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</si>
  <si>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</si>
  <si>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</si>
  <si>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</si>
  <si>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</si>
  <si>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</si>
  <si>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</si>
  <si>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</si>
  <si>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</si>
  <si>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</si>
  <si>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</si>
  <si>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</si>
  <si>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</si>
  <si>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</si>
  <si>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</si>
  <si>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</si>
  <si>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</si>
  <si>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</si>
  <si>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</si>
  <si>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</si>
  <si>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</si>
  <si>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</si>
  <si>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</si>
  <si>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</si>
  <si>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</si>
  <si>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</si>
  <si>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</si>
  <si>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</si>
  <si>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</si>
  <si>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</si>
  <si>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</si>
  <si>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</si>
  <si>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</si>
  <si>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</si>
  <si>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</si>
  <si>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</si>
  <si>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</si>
  <si>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</si>
  <si>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</si>
  <si>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</si>
  <si>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</si>
  <si>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</si>
  <si>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</si>
  <si>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</si>
  <si>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</si>
  <si>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</si>
  <si>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</si>
  <si>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</si>
  <si>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</si>
  <si>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</si>
  <si>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</si>
  <si>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</si>
  <si>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</si>
  <si>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</si>
  <si>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</si>
  <si>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</si>
  <si>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</si>
  <si>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</si>
  <si>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</si>
  <si>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</si>
  <si>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</si>
  <si>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</si>
  <si>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</si>
  <si>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</si>
  <si>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</si>
  <si>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</si>
  <si>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</si>
  <si>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</si>
  <si>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</si>
  <si>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</si>
  <si>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</si>
  <si>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</si>
  <si>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</si>
  <si>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</si>
  <si>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</si>
  <si>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</si>
  <si>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</si>
  <si>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</si>
  <si>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</si>
  <si>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</si>
  <si>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</si>
  <si>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</si>
  <si>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</si>
  <si>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</si>
  <si>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</si>
  <si>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</si>
  <si>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</si>
  <si>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</si>
  <si>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</si>
  <si>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</si>
  <si>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</si>
  <si>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</si>
  <si>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</si>
  <si>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</si>
  <si>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</si>
  <si>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</si>
  <si>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</si>
  <si>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</si>
  <si>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</si>
  <si>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</si>
  <si>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</si>
  <si>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</si>
  <si>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</si>
  <si>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</si>
  <si>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</si>
  <si>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</si>
  <si>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</si>
  <si>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</si>
  <si>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</si>
  <si>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</si>
  <si>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</si>
  <si>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</si>
  <si>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</si>
  <si>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</si>
  <si>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</si>
  <si>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</si>
  <si>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</si>
  <si>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</si>
  <si>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</si>
  <si>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</si>
  <si>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</si>
  <si>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</si>
  <si>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</si>
  <si>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</si>
  <si>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</si>
  <si>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</si>
  <si>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</si>
  <si>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</si>
  <si>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</si>
  <si>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</si>
  <si>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</si>
  <si>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</si>
  <si>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</si>
  <si>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</si>
  <si>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</si>
  <si>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</si>
  <si>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</si>
  <si>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</si>
  <si>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</si>
  <si>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</si>
  <si>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</si>
  <si>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</si>
  <si>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</si>
  <si>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</si>
  <si>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</si>
  <si>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</si>
  <si>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</si>
  <si>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</si>
  <si>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</si>
  <si>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</si>
  <si>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</si>
  <si>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</si>
  <si>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</si>
  <si>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</si>
  <si>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</si>
  <si>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</si>
  <si>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</si>
  <si>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</si>
  <si>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</si>
  <si>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</si>
  <si>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</si>
  <si>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</si>
  <si>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</si>
  <si>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</si>
  <si>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</si>
  <si>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</si>
  <si>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</si>
  <si>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</si>
  <si>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</si>
  <si>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</si>
  <si>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</si>
  <si>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</si>
  <si>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</si>
  <si>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</si>
  <si>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</si>
  <si>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</si>
  <si>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</si>
  <si>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</si>
  <si>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</si>
  <si>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</si>
  <si>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</si>
  <si>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</si>
  <si>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</si>
  <si>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</si>
  <si>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</si>
  <si>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</si>
  <si>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</si>
  <si>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</si>
  <si>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</si>
  <si>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</si>
  <si>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</si>
  <si>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</si>
  <si>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</si>
  <si>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</si>
  <si>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</si>
  <si>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</si>
  <si>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</si>
  <si>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</si>
  <si>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</si>
  <si>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</si>
  <si>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</si>
  <si>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</si>
  <si>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</si>
  <si>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</si>
  <si>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</si>
  <si>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</si>
  <si>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</si>
  <si>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</si>
  <si>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</si>
  <si>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</si>
  <si>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</si>
  <si>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</si>
  <si>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</si>
  <si>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</si>
  <si>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</si>
  <si>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</si>
  <si>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</si>
  <si>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</si>
  <si>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</si>
  <si>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</si>
  <si>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</si>
  <si>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</si>
  <si>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</si>
  <si>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</si>
  <si>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</si>
  <si>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</si>
  <si>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</si>
  <si>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</si>
  <si>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</si>
  <si>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</si>
  <si>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</si>
  <si>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</si>
  <si>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</si>
  <si>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</si>
  <si>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</si>
  <si>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</si>
  <si>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</si>
  <si>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</si>
  <si>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</si>
  <si>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</si>
  <si>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</si>
  <si>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</si>
  <si>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</si>
  <si>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</si>
  <si>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</si>
  <si>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</si>
  <si>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</si>
  <si>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</si>
  <si>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</si>
  <si>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</si>
  <si>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</si>
  <si>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</si>
  <si>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</si>
  <si>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</si>
  <si>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</si>
  <si>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</si>
  <si>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</si>
  <si>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</si>
  <si>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</si>
  <si>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</si>
  <si>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</si>
  <si>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</si>
  <si>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</si>
  <si>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</si>
  <si>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</si>
  <si>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</si>
  <si>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</si>
  <si>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</si>
  <si>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</si>
  <si>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</si>
  <si>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</si>
  <si>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</si>
  <si>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</si>
  <si>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</si>
  <si>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</si>
  <si>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</si>
  <si>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</si>
  <si>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</si>
  <si>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</si>
  <si>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</si>
  <si>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</si>
  <si>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</si>
  <si>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</si>
  <si>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</si>
  <si>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</si>
  <si>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</si>
  <si>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</si>
  <si>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</si>
  <si>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</si>
  <si>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</si>
  <si>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</si>
  <si>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</si>
  <si>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</si>
  <si>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</si>
  <si>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</si>
  <si>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</si>
  <si>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</si>
  <si>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</si>
  <si>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</si>
  <si>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</si>
  <si>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</si>
  <si>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</si>
  <si>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</si>
  <si>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</si>
  <si>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</si>
  <si>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</si>
  <si>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</si>
  <si>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</si>
  <si>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</si>
  <si>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</si>
  <si>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</si>
  <si>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</si>
  <si>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</si>
  <si>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</si>
  <si>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</si>
  <si>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</si>
  <si>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</si>
  <si>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</si>
  <si>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</si>
  <si>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</si>
  <si>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</si>
  <si>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</si>
  <si>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</si>
  <si>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</si>
  <si>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</si>
  <si>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</si>
  <si>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</si>
  <si>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</si>
  <si>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</si>
  <si>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</si>
  <si>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</si>
  <si>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</si>
  <si>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</si>
  <si>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</si>
  <si>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</si>
  <si>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</si>
  <si>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</si>
  <si>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</si>
  <si>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</si>
  <si>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</si>
  <si>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</si>
  <si>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</si>
  <si>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</si>
  <si>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</si>
  <si>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</si>
  <si>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</si>
  <si>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</si>
  <si>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</si>
  <si>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</si>
  <si>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</si>
  <si>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</si>
  <si>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</si>
  <si>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</si>
  <si>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</si>
  <si>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</si>
  <si>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</si>
  <si>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</si>
  <si>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</si>
  <si>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</si>
  <si>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</si>
  <si>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</si>
  <si>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</si>
  <si>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</si>
  <si>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</si>
  <si>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</si>
  <si>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</si>
  <si>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</si>
  <si>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</si>
  <si>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</si>
  <si>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</si>
  <si>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</si>
  <si>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</si>
  <si>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</si>
  <si>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</si>
  <si>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</si>
  <si>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</si>
  <si>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</si>
  <si>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</si>
  <si>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</si>
  <si>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</si>
  <si>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</si>
  <si>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</si>
  <si>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</si>
  <si>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</si>
  <si>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</si>
  <si>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</si>
  <si>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</si>
  <si>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</si>
  <si>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</si>
  <si>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</si>
  <si>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</si>
  <si>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</si>
  <si>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</si>
  <si>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</si>
  <si>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</si>
  <si>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</si>
  <si>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</si>
  <si>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</si>
  <si>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</si>
  <si>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</si>
  <si>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</si>
  <si>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</si>
  <si>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</si>
  <si>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</si>
  <si>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</si>
  <si>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</si>
  <si>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</si>
  <si>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</si>
  <si>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</si>
  <si>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</si>
  <si>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</si>
  <si>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</si>
  <si>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</si>
  <si>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</si>
  <si>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</si>
  <si>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</si>
  <si>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</si>
  <si>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</si>
  <si>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</si>
  <si>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</si>
  <si>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</si>
  <si>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</si>
  <si>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</si>
  <si>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</si>
  <si>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</si>
  <si>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</si>
  <si>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</si>
  <si>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</si>
  <si>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</si>
  <si>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</si>
  <si>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</si>
  <si>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</si>
  <si>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</si>
  <si>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</si>
  <si>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</si>
  <si>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</si>
  <si>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</si>
  <si>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</si>
  <si>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</si>
  <si>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</si>
  <si>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</si>
  <si>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</si>
  <si>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</si>
  <si>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</si>
  <si>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</si>
  <si>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</si>
  <si>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</si>
  <si>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</si>
  <si>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</si>
  <si>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</si>
  <si>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</si>
  <si>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</si>
  <si>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</si>
  <si>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</si>
  <si>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</si>
  <si>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</si>
  <si>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</si>
  <si>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</si>
  <si>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</si>
  <si>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</si>
  <si>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</si>
  <si>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</si>
  <si>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</si>
  <si>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</si>
  <si>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</si>
  <si>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</si>
  <si>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</si>
  <si>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</si>
  <si>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</si>
  <si>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</si>
  <si>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</si>
  <si>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</si>
  <si>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</si>
  <si>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</si>
  <si>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</si>
  <si>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</si>
  <si>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</si>
  <si>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</si>
  <si>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</si>
  <si>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</si>
  <si>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</si>
  <si>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</si>
  <si>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</si>
  <si>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</si>
  <si>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</si>
  <si>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</si>
  <si>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</si>
  <si>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</si>
  <si>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</si>
  <si>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</si>
  <si>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</si>
  <si>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</si>
  <si>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</si>
  <si>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</si>
  <si>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</si>
  <si>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</si>
  <si>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</si>
  <si>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</si>
  <si>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</si>
  <si>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</si>
  <si>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</si>
  <si>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</si>
  <si>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</si>
  <si>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</si>
  <si>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</si>
  <si>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</si>
  <si>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</si>
  <si>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</si>
  <si>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</si>
  <si>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</si>
  <si>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</si>
  <si>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</si>
  <si>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</si>
  <si>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</si>
  <si>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</si>
  <si>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</si>
  <si>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</si>
  <si>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</si>
  <si>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</si>
  <si>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</si>
  <si>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</si>
  <si>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</si>
  <si>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</si>
  <si>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</si>
  <si>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</si>
  <si>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</si>
  <si>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</si>
  <si>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</si>
  <si>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</si>
  <si>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</si>
  <si>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</si>
  <si>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</si>
  <si>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</si>
  <si>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</si>
  <si>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</si>
  <si>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</si>
  <si>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</si>
  <si>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</si>
  <si>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</si>
  <si>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</si>
  <si>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</si>
  <si>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</si>
  <si>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</si>
  <si>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</si>
  <si>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</si>
  <si>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</si>
  <si>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</si>
  <si>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</si>
  <si>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</si>
  <si>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</si>
  <si>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</si>
  <si>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</si>
  <si>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</si>
  <si>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</si>
  <si>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</si>
  <si>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</si>
  <si>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</si>
  <si>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</si>
  <si>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</si>
  <si>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</si>
  <si>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</si>
  <si>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</si>
  <si>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</si>
  <si>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</si>
  <si>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</si>
  <si>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</si>
  <si>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</si>
  <si>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</si>
  <si>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</si>
  <si>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</si>
  <si>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</si>
  <si>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</si>
  <si>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</si>
  <si>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</si>
  <si>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</si>
  <si>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</si>
  <si>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</si>
  <si>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</si>
  <si>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</si>
  <si>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</si>
  <si>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</si>
  <si>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</si>
  <si>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</si>
  <si>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</si>
  <si>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</si>
  <si>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</si>
  <si>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</si>
  <si>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</si>
  <si>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</si>
  <si>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</si>
  <si>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</si>
  <si>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</si>
  <si>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</si>
  <si>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</si>
  <si>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</si>
  <si>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</si>
  <si>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</si>
  <si>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</si>
  <si>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</si>
  <si>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</si>
  <si>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</si>
  <si>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</si>
  <si>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</si>
  <si>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</si>
  <si>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</si>
  <si>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</si>
  <si>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</si>
  <si>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</si>
  <si>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</si>
  <si>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</si>
  <si>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</si>
  <si>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</si>
  <si>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</si>
  <si>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</si>
  <si>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</si>
  <si>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</si>
  <si>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</si>
  <si>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</si>
  <si>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</si>
  <si>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</si>
  <si>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</si>
  <si>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</si>
  <si>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</si>
  <si>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</si>
  <si>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</si>
  <si>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</si>
  <si>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</si>
  <si>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</si>
  <si>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</si>
  <si>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</si>
  <si>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</si>
  <si>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</si>
  <si>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</si>
  <si>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</si>
  <si>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</si>
  <si>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</si>
  <si>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</si>
  <si>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</si>
  <si>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</si>
  <si>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</si>
  <si>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</si>
  <si>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</si>
  <si>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</si>
  <si>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</si>
  <si>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</si>
  <si>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</si>
  <si>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</si>
  <si>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</si>
  <si>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</si>
  <si>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</si>
  <si>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</si>
  <si>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</si>
  <si>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</si>
  <si>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</si>
  <si>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</si>
  <si>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</si>
  <si>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</si>
  <si>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</si>
  <si>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</si>
  <si>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</si>
  <si>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</si>
  <si>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</si>
  <si>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</si>
  <si>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</si>
  <si>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</si>
  <si>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</si>
  <si>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</si>
  <si>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</si>
  <si>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</si>
  <si>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</si>
  <si>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</si>
  <si>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</si>
  <si>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</si>
  <si>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</si>
  <si>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</si>
  <si>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</si>
  <si>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</si>
  <si>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</si>
  <si>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</si>
  <si>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</si>
  <si>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</si>
  <si>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</si>
  <si>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</si>
  <si>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</si>
  <si>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</si>
  <si>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</si>
  <si>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</si>
  <si>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</si>
  <si>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</si>
  <si>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</si>
  <si>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</si>
  <si>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</si>
  <si>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</si>
  <si>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</si>
  <si>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</si>
  <si>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</si>
  <si>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</si>
  <si>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</si>
  <si>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</si>
  <si>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</si>
  <si>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</si>
  <si>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</si>
  <si>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</si>
  <si>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</si>
  <si>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</si>
  <si>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</si>
  <si>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</si>
  <si>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</si>
  <si>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</si>
  <si>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</si>
  <si>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</si>
  <si>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</si>
  <si>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</si>
  <si>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</si>
  <si>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</si>
  <si>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</si>
  <si>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</si>
  <si>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</si>
  <si>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</si>
  <si>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</si>
  <si>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</si>
  <si>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</si>
  <si>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</si>
  <si>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</si>
  <si>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</si>
  <si>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</si>
  <si>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</si>
  <si>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</si>
  <si>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</si>
  <si>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</si>
  <si>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</si>
  <si>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</si>
  <si>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</si>
  <si>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</si>
  <si>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</si>
  <si>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</si>
  <si>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</si>
  <si>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</si>
  <si>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</si>
  <si>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</si>
  <si>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</si>
  <si>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</si>
  <si>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</si>
  <si>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</si>
  <si>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</si>
  <si>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</si>
  <si>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</si>
  <si>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</si>
  <si>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</si>
  <si>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</si>
  <si>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</si>
  <si>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</si>
  <si>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</si>
  <si>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</si>
  <si>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</si>
  <si>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</si>
  <si>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</si>
  <si>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</si>
  <si>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</si>
  <si>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</si>
  <si>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</si>
  <si>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</si>
  <si>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</si>
  <si>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</si>
  <si>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</si>
  <si>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</si>
  <si>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</si>
  <si>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</si>
  <si>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</si>
  <si>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</si>
  <si>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</si>
  <si>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</si>
  <si>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</si>
  <si>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</si>
  <si>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</si>
  <si>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</si>
  <si>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</si>
  <si>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</si>
  <si>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</si>
  <si>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</si>
  <si>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</si>
  <si>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</si>
  <si>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</si>
  <si>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</si>
  <si>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</si>
  <si>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</si>
  <si>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</si>
  <si>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</si>
  <si>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</si>
  <si>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</si>
  <si>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</si>
  <si>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</si>
  <si>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</si>
  <si>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</si>
  <si>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</si>
  <si>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</si>
  <si>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</si>
  <si>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</si>
  <si>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</si>
  <si>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</si>
  <si>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</si>
  <si>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</si>
  <si>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</si>
  <si>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</si>
  <si>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</si>
  <si>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</si>
  <si>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</si>
  <si>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</si>
  <si>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</si>
  <si>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</si>
  <si>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</si>
  <si>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</si>
  <si>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</si>
  <si>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</si>
  <si>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</si>
  <si>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</si>
  <si>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</si>
  <si>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</si>
  <si>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</si>
  <si>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</si>
  <si>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</si>
  <si>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</si>
  <si>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</si>
  <si>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</si>
  <si>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</si>
  <si>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</si>
  <si>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</si>
  <si>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</si>
  <si>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</si>
  <si>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</si>
  <si>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</si>
  <si>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</si>
  <si>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</si>
  <si>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</si>
  <si>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</si>
  <si>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</si>
  <si>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</si>
  <si>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</si>
  <si>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</si>
  <si>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</si>
  <si>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</si>
  <si>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</si>
  <si>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</si>
  <si>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</si>
  <si>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</si>
  <si>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</si>
  <si>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</si>
  <si>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</si>
  <si>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</si>
  <si>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</si>
  <si>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</si>
  <si>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</si>
  <si>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</si>
  <si>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</si>
  <si>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</si>
  <si>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</si>
  <si>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</si>
  <si>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</si>
  <si>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</si>
  <si>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</si>
  <si>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</si>
  <si>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</si>
  <si>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</si>
  <si>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</si>
  <si>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</si>
  <si>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</si>
  <si>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</si>
  <si>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</si>
  <si>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</si>
  <si>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</si>
  <si>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</si>
  <si>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</si>
  <si>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</si>
  <si>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</si>
  <si>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</si>
  <si>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</si>
  <si>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</si>
  <si>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</si>
  <si>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</si>
  <si>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</si>
  <si>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</si>
  <si>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</si>
  <si>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</si>
  <si>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</si>
  <si>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</si>
  <si>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</si>
  <si>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</si>
  <si>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</si>
  <si>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</si>
  <si>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</si>
  <si>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</si>
  <si>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</si>
  <si>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</si>
  <si>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</si>
  <si>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</si>
  <si>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</si>
  <si>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</si>
  <si>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</si>
  <si>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</si>
  <si>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</si>
  <si>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</si>
  <si>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</si>
  <si>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</si>
  <si>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</si>
  <si>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</si>
  <si>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</si>
  <si>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</si>
  <si>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</si>
  <si>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</si>
  <si>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</si>
  <si>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</si>
  <si>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</si>
  <si>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</si>
  <si>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</si>
  <si>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</si>
  <si>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</si>
  <si>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</si>
  <si>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</si>
  <si>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</si>
  <si>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</si>
  <si>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</si>
  <si>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</si>
  <si>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</si>
  <si>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</si>
  <si>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</si>
  <si>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</si>
  <si>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</si>
  <si>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</si>
  <si>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</si>
  <si>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</si>
  <si>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</si>
  <si>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</si>
  <si>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</si>
  <si>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</si>
  <si>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</si>
  <si>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</si>
  <si>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</si>
  <si>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</si>
  <si>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</si>
  <si>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</si>
  <si>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</si>
  <si>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</si>
  <si>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</si>
  <si>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</si>
  <si>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</si>
  <si>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</si>
  <si>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</si>
  <si>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</si>
  <si>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</si>
  <si>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</si>
  <si>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</si>
  <si>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</si>
  <si>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</si>
  <si>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</si>
  <si>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</si>
  <si>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</si>
  <si>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</si>
  <si>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</si>
  <si>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</si>
  <si>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</si>
  <si>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</si>
  <si>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</si>
  <si>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</si>
  <si>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</si>
  <si>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</si>
  <si>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</si>
  <si>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</si>
  <si>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</si>
  <si>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</si>
  <si>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</si>
  <si>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</si>
  <si>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</si>
  <si>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</si>
  <si>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</si>
  <si>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</si>
  <si>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</si>
  <si>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</si>
  <si>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</si>
  <si>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</si>
  <si>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</si>
  <si>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</si>
  <si>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</si>
  <si>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</si>
  <si>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</si>
  <si>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</si>
  <si>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</si>
  <si>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</si>
  <si>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</si>
  <si>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</si>
  <si>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</si>
  <si>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</si>
  <si>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</si>
  <si>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</si>
  <si>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</si>
  <si>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</si>
  <si>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</si>
  <si>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</si>
  <si>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</si>
  <si>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</si>
  <si>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</si>
  <si>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</si>
  <si>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</si>
  <si>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</si>
  <si>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</si>
  <si>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</si>
  <si>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</si>
  <si>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</si>
  <si>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</si>
  <si>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</si>
  <si>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</si>
  <si>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</si>
  <si>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</si>
  <si>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</si>
  <si>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</si>
  <si>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</si>
  <si>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</si>
  <si>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</si>
  <si>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</si>
  <si>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</si>
  <si>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</si>
  <si>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</si>
  <si>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</si>
  <si>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</si>
  <si>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</si>
  <si>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</si>
  <si>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</si>
  <si>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</si>
  <si>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</si>
  <si>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</si>
  <si>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</si>
  <si>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</si>
  <si>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</si>
  <si>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</si>
  <si>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</si>
  <si>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</si>
  <si>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</si>
  <si>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</si>
  <si>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</si>
  <si>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</si>
  <si>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</si>
  <si>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</si>
  <si>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</si>
  <si>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</si>
  <si>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</si>
  <si>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</si>
  <si>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</si>
  <si>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</si>
  <si>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</si>
  <si>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</si>
  <si>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</si>
  <si>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</si>
  <si>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</si>
  <si>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</si>
  <si>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</si>
  <si>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</si>
  <si>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</si>
  <si>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</si>
  <si>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</si>
  <si>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</si>
  <si>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</si>
  <si>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</si>
  <si>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</si>
  <si>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</si>
  <si>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</si>
  <si>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</si>
  <si>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</si>
  <si>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</si>
  <si>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</si>
  <si>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</si>
  <si>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</si>
  <si>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</si>
  <si>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</si>
  <si>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</si>
  <si>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</si>
  <si>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</si>
  <si>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</si>
  <si>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</si>
  <si>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</si>
  <si>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</si>
  <si>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</si>
  <si>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</si>
  <si>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</si>
  <si>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</si>
  <si>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</si>
  <si>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</si>
  <si>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</si>
  <si>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</si>
  <si>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</si>
  <si>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</si>
  <si>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</si>
  <si>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</si>
  <si>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</si>
  <si>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</si>
  <si>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</si>
  <si>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</si>
  <si>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</si>
  <si>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</si>
  <si>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</si>
  <si>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</si>
  <si>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</si>
  <si>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</si>
  <si>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</si>
  <si>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</si>
  <si>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</si>
  <si>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</si>
  <si>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</si>
  <si>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</si>
  <si>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</si>
  <si>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</si>
  <si>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</si>
  <si>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</si>
  <si>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</si>
  <si>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</si>
  <si>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</si>
  <si>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</si>
  <si>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</si>
  <si>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</si>
  <si>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</si>
  <si>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</si>
  <si>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</si>
  <si>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</si>
  <si>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</si>
  <si>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</si>
  <si>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</si>
  <si>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</si>
  <si>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</si>
  <si>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</si>
  <si>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</si>
  <si>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</si>
  <si>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</si>
  <si>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</si>
  <si>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</si>
  <si>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</si>
  <si>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</si>
  <si>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</si>
  <si>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</si>
  <si>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</si>
  <si>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</si>
  <si>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</si>
  <si>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</si>
  <si>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</si>
  <si>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</si>
  <si>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</si>
  <si>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</si>
  <si>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</si>
  <si>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</si>
  <si>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</si>
  <si>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</si>
  <si>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</si>
  <si>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</si>
  <si>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</si>
  <si>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</si>
  <si>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</si>
  <si>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</si>
  <si>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</si>
  <si>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</si>
  <si>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</si>
  <si>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</si>
  <si>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</si>
  <si>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</si>
  <si>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</si>
  <si>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</si>
  <si>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</si>
  <si>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</si>
  <si>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</si>
  <si>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</si>
  <si>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</si>
  <si>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</si>
  <si>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</si>
  <si>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</si>
  <si>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</si>
  <si>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</si>
  <si>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</si>
  <si>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</si>
  <si>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</si>
  <si>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</si>
  <si>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</si>
  <si>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</si>
  <si>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</si>
  <si>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</si>
  <si>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</si>
  <si>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</si>
  <si>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</si>
  <si>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</si>
  <si>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</si>
  <si>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</si>
  <si>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</si>
  <si>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</si>
  <si>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</si>
  <si>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</si>
  <si>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</si>
  <si>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</si>
  <si>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</si>
  <si>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</si>
  <si>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</si>
  <si>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</si>
  <si>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</si>
  <si>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</si>
  <si>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</si>
  <si>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</si>
  <si>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</si>
  <si>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</si>
  <si>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</si>
  <si>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</si>
  <si>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</si>
  <si>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</si>
  <si>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</si>
  <si>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</si>
  <si>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</si>
  <si>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</si>
  <si>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</si>
  <si>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</si>
  <si>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</si>
  <si>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</si>
  <si>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</si>
  <si>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</si>
  <si>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</si>
  <si>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</si>
  <si>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</si>
  <si>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</si>
  <si>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</si>
  <si>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</si>
  <si>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</si>
  <si>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</si>
  <si>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</si>
  <si>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</si>
  <si>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</si>
  <si>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</si>
  <si>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</si>
  <si>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</si>
  <si>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</si>
  <si>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</si>
  <si>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</si>
  <si>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</si>
  <si>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</si>
  <si>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</si>
  <si>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</si>
  <si>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</si>
  <si>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</si>
  <si>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</si>
  <si>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</si>
  <si>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</si>
  <si>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</si>
  <si>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</si>
  <si>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</si>
  <si>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</si>
  <si>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</si>
  <si>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</si>
  <si>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</si>
  <si>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</si>
  <si>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</si>
  <si>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</si>
  <si>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</si>
  <si>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</si>
  <si>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</si>
  <si>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</si>
  <si>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</si>
  <si>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</si>
  <si>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</si>
  <si>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</si>
  <si>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</si>
  <si>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</si>
  <si>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</si>
  <si>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</si>
  <si>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</si>
  <si>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</si>
  <si>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</si>
  <si>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</si>
  <si>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</si>
  <si>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</si>
  <si>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</si>
  <si>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</si>
  <si>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</si>
  <si>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</si>
  <si>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</si>
  <si>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</si>
  <si>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</si>
  <si>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</si>
  <si>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</si>
  <si>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</si>
  <si>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</si>
  <si>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</si>
  <si>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</si>
  <si>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</si>
  <si>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</si>
  <si>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</si>
  <si>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</si>
  <si>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</si>
  <si>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</si>
  <si>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</si>
  <si>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</si>
  <si>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</si>
  <si>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</si>
  <si>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</si>
  <si>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</si>
  <si>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</si>
  <si>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</si>
  <si>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</si>
  <si>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</si>
  <si>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</si>
  <si>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</si>
  <si>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</si>
  <si>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</si>
  <si>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</si>
  <si>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</si>
  <si>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</si>
  <si>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</si>
  <si>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</si>
  <si>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</si>
  <si>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</si>
  <si>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</si>
  <si>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</si>
  <si>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</si>
  <si>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</si>
  <si>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</si>
  <si>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</si>
  <si>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</si>
  <si>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</si>
  <si>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</si>
  <si>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</si>
  <si>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</si>
  <si>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</si>
  <si>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</si>
  <si>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</si>
  <si>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</si>
  <si>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</si>
  <si>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</si>
  <si>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</si>
  <si>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</si>
  <si>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</si>
  <si>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</si>
  <si>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</si>
  <si>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</si>
  <si>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</si>
  <si>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</si>
  <si>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</si>
  <si>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</si>
  <si>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</si>
  <si>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</si>
  <si>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</si>
  <si>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</si>
  <si>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</si>
  <si>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</si>
  <si>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</si>
  <si>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</si>
  <si>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</si>
  <si>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</si>
  <si>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</si>
  <si>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</si>
  <si>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</si>
  <si>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</si>
  <si>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</si>
  <si>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</si>
  <si>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</si>
  <si>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</si>
  <si>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</si>
  <si>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</si>
  <si>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</si>
  <si>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</si>
  <si>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</si>
  <si>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</si>
  <si>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</si>
  <si>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</si>
  <si>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</si>
  <si>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</si>
  <si>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</si>
  <si>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</si>
  <si>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</si>
  <si>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</si>
  <si>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</si>
  <si>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</si>
  <si>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</si>
  <si>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</si>
  <si>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</si>
  <si>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</si>
  <si>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</si>
  <si>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</si>
  <si>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</si>
  <si>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</si>
  <si>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</si>
  <si>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</si>
  <si>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</si>
  <si>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</si>
  <si>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</si>
  <si>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</si>
  <si>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</si>
  <si>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</si>
  <si>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</si>
  <si>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</si>
  <si>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</si>
  <si>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</si>
  <si>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</si>
  <si>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</si>
  <si>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</si>
  <si>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</si>
  <si>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</si>
  <si>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</si>
  <si>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</si>
  <si>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</si>
  <si>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</si>
  <si>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</si>
  <si>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</si>
  <si>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</si>
  <si>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</si>
  <si>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</si>
  <si>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</si>
  <si>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</si>
  <si>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</si>
  <si>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</si>
  <si>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</si>
  <si>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</si>
  <si>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</si>
  <si>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</si>
  <si>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</si>
  <si>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</si>
  <si>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</si>
  <si>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</si>
  <si>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</si>
  <si>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</si>
  <si>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</si>
  <si>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</si>
  <si>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</si>
  <si>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</si>
  <si>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</si>
  <si>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</si>
  <si>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</si>
  <si>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</si>
  <si>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</si>
  <si>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</si>
  <si>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</si>
  <si>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</si>
  <si>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</si>
  <si>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</si>
  <si>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</si>
  <si>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</si>
  <si>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</si>
  <si>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</si>
  <si>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</si>
  <si>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</si>
  <si>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</si>
  <si>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</si>
  <si>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</si>
  <si>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</si>
  <si>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</si>
  <si>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</si>
  <si>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</si>
  <si>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</si>
  <si>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</si>
  <si>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</si>
  <si>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</si>
  <si>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</si>
  <si>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</si>
  <si>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</si>
  <si>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</si>
  <si>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</si>
  <si>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</si>
  <si>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</si>
  <si>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</si>
  <si>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</si>
  <si>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</si>
  <si>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</si>
  <si>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</si>
  <si>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</si>
  <si>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</si>
  <si>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</si>
  <si>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</si>
  <si>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</si>
  <si>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</si>
  <si>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</si>
  <si>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</si>
  <si>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</si>
  <si>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</si>
  <si>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</si>
  <si>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</si>
  <si>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</si>
  <si>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</si>
  <si>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</si>
  <si>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</si>
  <si>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</si>
  <si>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</si>
  <si>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</si>
  <si>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</si>
  <si>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</si>
  <si>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</si>
  <si>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</si>
  <si>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</si>
  <si>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</si>
  <si>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</si>
  <si>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</si>
  <si>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</si>
  <si>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</si>
  <si>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</si>
  <si>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</si>
  <si>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</si>
  <si>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</si>
  <si>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</si>
  <si>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</si>
  <si>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</si>
  <si>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</si>
  <si>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</si>
  <si>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</si>
  <si>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</si>
  <si>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</si>
  <si>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</si>
  <si>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</si>
  <si>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</si>
  <si>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</si>
  <si>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</si>
  <si>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</si>
  <si>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</si>
  <si>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</si>
  <si>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</si>
  <si>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</si>
  <si>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</si>
  <si>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</si>
  <si>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</si>
  <si>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</si>
  <si>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</si>
  <si>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</si>
  <si>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</si>
  <si>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</si>
  <si>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</si>
  <si>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</si>
  <si>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</si>
  <si>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</si>
  <si>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</si>
  <si>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</si>
  <si>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</si>
  <si>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</si>
  <si>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</si>
  <si>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</si>
  <si>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</si>
  <si>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</si>
  <si>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</si>
  <si>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</si>
  <si>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</si>
  <si>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</si>
  <si>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</si>
  <si>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</si>
  <si>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</si>
  <si>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</si>
  <si>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</si>
  <si>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</si>
  <si>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</si>
  <si>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</si>
  <si>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</si>
  <si>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</si>
  <si>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</si>
  <si>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</si>
  <si>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</si>
  <si>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</si>
  <si>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</si>
  <si>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</si>
  <si>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</si>
  <si>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</si>
  <si>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</si>
  <si>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</si>
  <si>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</si>
  <si>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</si>
  <si>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</si>
  <si>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</si>
  <si>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</si>
  <si>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</si>
  <si>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</si>
  <si>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</si>
  <si>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</si>
  <si>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</si>
  <si>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</si>
  <si>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</si>
  <si>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</si>
  <si>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</si>
  <si>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</si>
  <si>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</si>
  <si>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</si>
  <si>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</si>
  <si>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</si>
  <si>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</si>
  <si>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</si>
  <si>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</si>
  <si>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</si>
  <si>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</si>
  <si>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</si>
  <si>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</si>
  <si>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</si>
  <si>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</si>
  <si>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</si>
  <si>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</si>
  <si>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</si>
  <si>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</si>
  <si>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</si>
  <si>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</si>
  <si>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</si>
  <si>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</si>
  <si>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</si>
  <si>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</si>
  <si>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</si>
  <si>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</si>
  <si>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</si>
  <si>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</si>
  <si>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</si>
  <si>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</si>
  <si>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</si>
  <si>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</si>
  <si>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</si>
  <si>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</si>
  <si>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</si>
  <si>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</si>
  <si>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</si>
  <si>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</si>
  <si>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</si>
  <si>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</si>
  <si>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</si>
  <si>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</si>
  <si>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</si>
  <si>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</si>
  <si>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</si>
  <si>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</si>
  <si>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</si>
  <si>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</si>
  <si>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</si>
  <si>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</si>
  <si>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</si>
  <si>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</si>
  <si>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</si>
  <si>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</si>
  <si>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</si>
  <si>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</si>
  <si>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</si>
  <si>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</si>
  <si>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</si>
  <si>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</si>
  <si>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</si>
  <si>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</si>
  <si>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</si>
  <si>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</si>
  <si>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</si>
  <si>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</si>
  <si>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</si>
  <si>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</si>
  <si>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</si>
  <si>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</si>
  <si>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</si>
  <si>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</si>
  <si>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</si>
  <si>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</si>
  <si>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</si>
  <si>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</si>
  <si>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</si>
  <si>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</si>
  <si>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</si>
  <si>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</si>
  <si>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</si>
  <si>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</si>
  <si>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</si>
  <si>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</si>
  <si>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</si>
  <si>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</si>
  <si>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</si>
  <si>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</si>
  <si>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</si>
  <si>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</si>
  <si>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</si>
  <si>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</si>
  <si>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</si>
  <si>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</si>
  <si>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</si>
  <si>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</si>
  <si>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</si>
  <si>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</si>
  <si>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</si>
  <si>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</si>
  <si>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</si>
  <si>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</si>
  <si>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</si>
  <si>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</si>
  <si>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</si>
  <si>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</si>
  <si>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</si>
  <si>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</si>
  <si>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</si>
  <si>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</si>
  <si>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</si>
  <si>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</si>
  <si>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</si>
  <si>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</si>
  <si>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</si>
  <si>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</si>
  <si>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</si>
  <si>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</si>
  <si>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</si>
  <si>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</si>
  <si>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</si>
  <si>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</si>
  <si>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</si>
  <si>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</si>
  <si>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</si>
  <si>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</si>
  <si>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</si>
  <si>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</si>
  <si>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</si>
  <si>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</si>
  <si>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</si>
  <si>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</si>
  <si>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</si>
  <si>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</si>
  <si>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</si>
  <si>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</si>
  <si>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</si>
  <si>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</si>
  <si>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</si>
  <si>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</si>
  <si>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</si>
  <si>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</si>
  <si>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</si>
  <si>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</si>
  <si>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</si>
  <si>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</si>
  <si>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</si>
  <si>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</si>
  <si>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</si>
  <si>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</si>
  <si>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</si>
  <si>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</si>
  <si>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</si>
  <si>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</si>
  <si>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</si>
  <si>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</si>
  <si>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</si>
  <si>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</si>
  <si>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</si>
  <si>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</si>
  <si>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</si>
  <si>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</si>
  <si>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</si>
  <si>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</si>
  <si>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</si>
  <si>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</si>
  <si>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</si>
  <si>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</si>
  <si>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</si>
  <si>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</si>
  <si>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</si>
  <si>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</si>
  <si>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</si>
  <si>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</si>
  <si>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</si>
  <si>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</si>
  <si>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</si>
  <si>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</si>
  <si>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</si>
  <si>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</si>
  <si>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</si>
  <si>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</si>
  <si>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</si>
  <si>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</si>
  <si>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</si>
  <si>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</si>
  <si>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</si>
  <si>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</si>
  <si>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</si>
  <si>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</si>
  <si>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</si>
  <si>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</si>
  <si>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</si>
  <si>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</si>
  <si>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</si>
  <si>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</si>
  <si>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</si>
  <si>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</si>
  <si>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</si>
  <si>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</si>
  <si>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</si>
  <si>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</si>
  <si>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</si>
  <si>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</si>
  <si>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</si>
  <si>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</si>
  <si>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</si>
  <si>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</si>
  <si>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</si>
  <si>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</si>
  <si>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</si>
  <si>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</si>
  <si>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</si>
  <si>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</si>
  <si>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</si>
  <si>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</si>
  <si>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</si>
  <si>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</si>
  <si>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</si>
  <si>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</si>
  <si>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</si>
  <si>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</si>
  <si>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</si>
  <si>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</si>
  <si>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</si>
  <si>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</si>
  <si>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</si>
  <si>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</si>
  <si>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</si>
  <si>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</si>
  <si>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</si>
  <si>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</si>
  <si>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</si>
  <si>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</si>
  <si>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</si>
  <si>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</si>
  <si>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</si>
  <si>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</si>
  <si>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</si>
  <si>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</si>
  <si>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</si>
  <si>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</si>
  <si>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</si>
  <si>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</si>
  <si>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</si>
  <si>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</si>
  <si>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</si>
  <si>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</si>
  <si>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</si>
  <si>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</si>
  <si>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</si>
  <si>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</si>
  <si>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</si>
  <si>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</si>
  <si>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</si>
  <si>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</si>
  <si>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</si>
  <si>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</si>
  <si>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</si>
  <si>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</si>
  <si>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</si>
  <si>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</si>
  <si>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</si>
  <si>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</si>
  <si>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</si>
  <si>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</si>
  <si>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</si>
  <si>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</si>
  <si>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</si>
  <si>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</si>
  <si>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</si>
  <si>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</si>
  <si>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</si>
  <si>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</si>
  <si>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</si>
  <si>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</si>
  <si>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</si>
  <si>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</si>
  <si>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</si>
  <si>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</si>
  <si>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</si>
  <si>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</si>
  <si>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</si>
  <si>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</si>
  <si>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</si>
  <si>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</si>
  <si>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</si>
  <si>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</si>
  <si>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</si>
  <si>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</si>
  <si>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</si>
  <si>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</si>
  <si>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</si>
  <si>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</si>
  <si>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</si>
  <si>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</si>
  <si>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</si>
  <si>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</si>
  <si>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</si>
  <si>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</si>
  <si>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</si>
  <si>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</si>
  <si>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</si>
  <si>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</si>
  <si>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</si>
  <si>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</si>
  <si>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</si>
  <si>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</si>
  <si>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</si>
  <si>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</si>
  <si>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</si>
  <si>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</si>
  <si>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</si>
  <si>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</si>
  <si>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</si>
  <si>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</si>
  <si>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</si>
  <si>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</si>
  <si>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</si>
  <si>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</si>
  <si>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</si>
  <si>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</si>
  <si>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</si>
  <si>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</si>
  <si>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</si>
  <si>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</si>
  <si>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</si>
  <si>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</si>
  <si>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</si>
  <si>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</si>
  <si>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</si>
  <si>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</si>
  <si>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</si>
  <si>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</si>
  <si>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</si>
  <si>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</si>
  <si>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</si>
  <si>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</si>
  <si>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</si>
  <si>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</si>
  <si>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</si>
  <si>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</si>
  <si>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</si>
  <si>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</si>
  <si>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</si>
  <si>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</si>
  <si>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</si>
  <si>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</si>
  <si>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</si>
  <si>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</si>
  <si>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</si>
  <si>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</si>
  <si>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</si>
  <si>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</si>
  <si>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</si>
  <si>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</si>
  <si>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</si>
  <si>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</si>
  <si>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</si>
  <si>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</si>
  <si>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</si>
  <si>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</si>
  <si>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</si>
  <si>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</si>
  <si>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</si>
  <si>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</si>
  <si>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</si>
  <si>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</si>
  <si>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</si>
  <si>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</si>
  <si>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</si>
  <si>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</si>
  <si>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</si>
  <si>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</si>
  <si>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</si>
  <si>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</si>
  <si>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</si>
  <si>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</si>
  <si>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</si>
  <si>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</si>
  <si>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</si>
  <si>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</si>
  <si>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</si>
  <si>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</si>
  <si>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</si>
  <si>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</si>
  <si>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</si>
  <si>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</si>
  <si>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</si>
  <si>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</si>
  <si>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</si>
  <si>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</si>
  <si>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</si>
  <si>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</si>
  <si>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</si>
  <si>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</si>
  <si>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</si>
  <si>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</si>
  <si>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</si>
  <si>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</si>
  <si>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</si>
  <si>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</si>
  <si>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</si>
  <si>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</si>
  <si>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</si>
  <si>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</si>
  <si>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</si>
  <si>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</si>
  <si>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</si>
  <si>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</si>
  <si>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</si>
  <si>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</si>
  <si>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</si>
  <si>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</si>
  <si>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</si>
  <si>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</si>
  <si>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</si>
  <si>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</si>
  <si>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</si>
  <si>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</si>
  <si>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</si>
  <si>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</si>
  <si>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</si>
  <si>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</si>
  <si>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</si>
  <si>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</si>
  <si>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</si>
  <si>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</si>
  <si>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</si>
  <si>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</si>
  <si>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</si>
  <si>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</si>
  <si>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</si>
  <si>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</si>
  <si>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</si>
  <si>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</si>
  <si>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</si>
  <si>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</si>
  <si>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</si>
  <si>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</si>
  <si>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</si>
  <si>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</si>
  <si>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</si>
  <si>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</si>
  <si>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</si>
  <si>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</si>
  <si>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</si>
  <si>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</si>
  <si>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</si>
  <si>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</si>
  <si>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</si>
  <si>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</si>
  <si>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</si>
  <si>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</si>
  <si>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</si>
  <si>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</si>
  <si>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</si>
  <si>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</si>
  <si>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</si>
  <si>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</si>
  <si>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</si>
  <si>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</si>
  <si>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</si>
  <si>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</si>
  <si>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</si>
  <si>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</si>
  <si>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</si>
  <si>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</si>
  <si>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</si>
  <si>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</si>
  <si>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</si>
  <si>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</si>
  <si>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</si>
  <si>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</si>
  <si>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</si>
  <si>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</si>
  <si>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</si>
  <si>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</si>
  <si>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</si>
  <si>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</si>
  <si>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</si>
  <si>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</si>
  <si>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</si>
  <si>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</si>
  <si>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</si>
  <si>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</si>
  <si>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</si>
  <si>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</si>
  <si>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</si>
  <si>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</si>
  <si>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</si>
  <si>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</si>
  <si>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</si>
  <si>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</si>
  <si>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</si>
  <si>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</si>
  <si>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</si>
  <si>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</si>
  <si>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</si>
  <si>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</si>
  <si>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</si>
  <si>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</si>
  <si>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</si>
  <si>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</si>
  <si>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</si>
  <si>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</si>
  <si>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</si>
  <si>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</si>
  <si>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</si>
  <si>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</si>
  <si>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</si>
  <si>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</si>
  <si>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</si>
  <si>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</si>
  <si>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</si>
  <si>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</si>
  <si>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</si>
  <si>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</si>
  <si>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</si>
  <si>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</si>
  <si>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</si>
  <si>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</si>
  <si>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</si>
  <si>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</si>
  <si>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</si>
  <si>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</si>
  <si>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</si>
  <si>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</si>
  <si>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</si>
  <si>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</si>
  <si>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</si>
  <si>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</si>
  <si>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</si>
  <si>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</si>
  <si>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</si>
  <si>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</si>
  <si>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</si>
  <si>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</si>
  <si>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</si>
  <si>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</si>
  <si>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</si>
  <si>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</si>
  <si>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</si>
  <si>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</si>
  <si>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</si>
  <si>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</si>
  <si>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</si>
  <si>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</si>
  <si>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</si>
  <si>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</si>
  <si>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</si>
  <si>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</si>
  <si>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</si>
  <si>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</si>
  <si>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</si>
  <si>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</si>
  <si>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</si>
  <si>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</si>
  <si>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</si>
  <si>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</si>
  <si>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</si>
  <si>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</si>
  <si>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</si>
  <si>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</si>
  <si>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</si>
  <si>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</si>
  <si>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</si>
  <si>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</si>
  <si>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</si>
  <si>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</si>
  <si>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</si>
  <si>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</si>
  <si>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</si>
  <si>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</si>
  <si>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</si>
  <si>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</si>
  <si>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</si>
  <si>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</si>
  <si>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</si>
  <si>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</si>
  <si>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</si>
  <si>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</si>
  <si>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</si>
  <si>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</si>
  <si>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</si>
  <si>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</si>
  <si>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</si>
  <si>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</si>
  <si>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</si>
  <si>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</si>
  <si>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</si>
  <si>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</si>
  <si>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</si>
  <si>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</si>
  <si>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</si>
  <si>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</si>
  <si>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</si>
  <si>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</si>
  <si>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</si>
  <si>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</si>
  <si>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</si>
  <si>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</si>
  <si>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</si>
  <si>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</si>
  <si>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</si>
  <si>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</si>
  <si>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</si>
  <si>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</si>
  <si>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</si>
  <si>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</si>
  <si>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</si>
  <si>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</si>
  <si>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</si>
  <si>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</si>
  <si>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</si>
  <si>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</si>
  <si>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</si>
  <si>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</si>
  <si>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</si>
  <si>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</si>
  <si>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</si>
  <si>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</si>
  <si>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</si>
  <si>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</si>
  <si>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</si>
  <si>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</si>
  <si>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</si>
  <si>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</si>
  <si>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</si>
  <si>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</si>
  <si>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</si>
  <si>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</si>
  <si>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</si>
  <si>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</si>
  <si>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</si>
  <si>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</si>
  <si>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</si>
  <si>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</si>
  <si>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</si>
  <si>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</si>
  <si>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</si>
  <si>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</si>
  <si>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</si>
  <si>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</si>
  <si>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</si>
  <si>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</si>
  <si>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</si>
  <si>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</si>
  <si>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</si>
  <si>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</si>
  <si>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</si>
  <si>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</si>
  <si>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</si>
  <si>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</si>
  <si>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</si>
  <si>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</si>
  <si>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</si>
  <si>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</si>
  <si>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</si>
  <si>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</si>
  <si>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</si>
  <si>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</si>
  <si>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</si>
  <si>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</si>
  <si>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</si>
  <si>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</si>
  <si>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</si>
  <si>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</si>
  <si>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</si>
  <si>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</si>
  <si>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</si>
  <si>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</si>
  <si>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</si>
  <si>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</si>
  <si>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</si>
  <si>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</si>
  <si>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</si>
  <si>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</si>
  <si>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</si>
  <si>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</si>
  <si>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</si>
  <si>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</si>
  <si>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</si>
  <si>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</si>
  <si>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</si>
  <si>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</si>
  <si>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</si>
  <si>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</si>
  <si>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</si>
  <si>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</si>
  <si>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</si>
  <si>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</si>
  <si>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</si>
  <si>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</si>
  <si>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</si>
  <si>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</si>
  <si>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</si>
  <si>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</si>
  <si>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</si>
  <si>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</si>
  <si>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</si>
  <si>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</si>
  <si>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</si>
  <si>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</si>
  <si>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</si>
  <si>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</si>
  <si>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</si>
  <si>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</si>
  <si>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</si>
  <si>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</si>
  <si>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</si>
  <si>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</si>
  <si>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</si>
  <si>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</si>
  <si>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</si>
  <si>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</si>
  <si>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</si>
  <si>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</si>
  <si>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</si>
  <si>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</si>
  <si>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</si>
  <si>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</si>
  <si>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</si>
  <si>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</si>
  <si>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</si>
  <si>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</si>
  <si>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</si>
  <si>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</si>
  <si>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</si>
  <si>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</si>
  <si>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</si>
  <si>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</si>
  <si>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</si>
  <si>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</si>
  <si>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</si>
  <si>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</si>
  <si>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</si>
  <si>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</si>
  <si>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</si>
  <si>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</si>
  <si>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</si>
  <si>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</si>
  <si>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</si>
  <si>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</si>
  <si>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</si>
  <si>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</si>
  <si>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</si>
  <si>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</si>
  <si>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</si>
  <si>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</si>
  <si>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</si>
  <si>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</si>
  <si>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</si>
  <si>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</si>
  <si>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</si>
  <si>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</si>
  <si>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</si>
  <si>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</si>
  <si>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</si>
  <si>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</si>
  <si>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</si>
  <si>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</si>
  <si>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</si>
  <si>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</si>
  <si>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</si>
  <si>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</si>
  <si>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</si>
  <si>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</si>
  <si>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</si>
  <si>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</si>
  <si>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</si>
  <si>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</si>
  <si>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</si>
  <si>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</si>
  <si>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</si>
  <si>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</si>
  <si>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</si>
  <si>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</si>
  <si>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</si>
  <si>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</si>
  <si>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</si>
  <si>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</si>
  <si>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</si>
  <si>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</si>
  <si>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</si>
  <si>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</si>
  <si>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</si>
  <si>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</si>
  <si>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</si>
  <si>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</si>
  <si>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</si>
  <si>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</si>
  <si>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</si>
  <si>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</si>
  <si>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</si>
  <si>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</si>
  <si>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</si>
  <si>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</si>
  <si>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</si>
  <si>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</si>
  <si>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</si>
  <si>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</si>
  <si>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</si>
  <si>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</si>
  <si>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</si>
  <si>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</si>
  <si>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</si>
  <si>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</si>
  <si>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</si>
  <si>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</si>
  <si>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</si>
  <si>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</si>
  <si>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</si>
  <si>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</si>
  <si>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</si>
  <si>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</si>
  <si>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</si>
  <si>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</si>
  <si>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</si>
  <si>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</si>
  <si>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</si>
  <si>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</si>
  <si>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</si>
  <si>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</si>
  <si>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</si>
  <si>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</si>
  <si>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</si>
  <si>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</si>
  <si>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</si>
  <si>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</si>
  <si>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</si>
  <si>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</si>
  <si>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</si>
  <si>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</si>
  <si>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</si>
  <si>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</si>
  <si>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</si>
  <si>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</si>
  <si>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</si>
  <si>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</si>
  <si>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</si>
  <si>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</si>
  <si>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</si>
  <si>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</si>
  <si>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</si>
  <si>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</si>
  <si>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</si>
  <si>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</si>
  <si>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</si>
  <si>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</si>
  <si>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</si>
  <si>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</si>
  <si>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</si>
  <si>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</si>
  <si>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</si>
  <si>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</si>
  <si>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</si>
  <si>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</si>
  <si>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</si>
  <si>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</si>
  <si>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</si>
  <si>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Column Inner Diameter</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</si>
  <si>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</si>
  <si>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</si>
  <si>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</si>
  <si>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</si>
  <si>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</si>
  <si>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</si>
  <si>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</si>
  <si>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</si>
  <si>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</si>
  <si>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</si>
  <si>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</si>
  <si>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</si>
  <si>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</si>
  <si>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</si>
  <si>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</si>
  <si>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FLAG (DYKDDDDK) tagged protein based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</si>
  <si>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</si>
  <si>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</si>
  <si>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</si>
  <si>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</si>
  <si>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</si>
  <si>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</si>
  <si>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</si>
  <si>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</si>
  <si>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</si>
  <si>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</si>
  <si>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</si>
  <si>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</si>
  <si>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</si>
  <si>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</si>
  <si>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</si>
  <si>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</si>
  <si>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</si>
  <si>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</si>
  <si>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</si>
  <si>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</si>
  <si>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</si>
  <si>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</si>
  <si>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</si>
  <si>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</si>
  <si>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</si>
  <si>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</si>
  <si>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</si>
  <si>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</si>
  <si>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</si>
  <si>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</si>
  <si>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</si>
  <si>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</si>
  <si>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</si>
  <si>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</si>
  <si>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</si>
  <si>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</si>
  <si>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</si>
  <si>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</si>
  <si>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</si>
  <si>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</si>
  <si>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</si>
  <si>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</si>
  <si>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</si>
  <si>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</si>
  <si>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</si>
  <si>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</si>
  <si>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</si>
  <si>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</si>
  <si>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</si>
  <si>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</si>
  <si>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</si>
  <si>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</si>
  <si>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</si>
  <si>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</si>
  <si>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</si>
  <si>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</si>
  <si>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</si>
  <si>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</si>
  <si>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</si>
  <si>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</si>
  <si>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</si>
  <si>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</si>
  <si>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</si>
  <si>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</si>
  <si>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</si>
  <si>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</si>
  <si>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</si>
  <si>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</si>
  <si>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</si>
  <si>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</si>
  <si>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</si>
  <si>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</si>
  <si>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</si>
  <si>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</si>
  <si>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</si>
  <si>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</si>
  <si>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</si>
  <si>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</si>
  <si>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</si>
  <si>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</si>
  <si>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</si>
  <si>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</si>
  <si>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</si>
  <si>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</si>
  <si>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</si>
  <si>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</si>
  <si>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</si>
  <si>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</si>
  <si>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</si>
  <si>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</si>
  <si>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</si>
  <si>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</si>
  <si>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</si>
  <si>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</si>
  <si>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</si>
  <si>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</si>
  <si>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</si>
  <si>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</si>
  <si>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</si>
  <si>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</si>
  <si>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</si>
  <si>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</si>
  <si>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</si>
  <si>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</si>
  <si>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</si>
  <si>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</si>
  <si>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</si>
  <si>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</si>
  <si>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</si>
  <si>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</si>
  <si>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</si>
  <si>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</si>
  <si>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</si>
  <si>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</si>
  <si>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</si>
  <si>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</si>
  <si>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</si>
  <si>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</si>
  <si>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</si>
  <si>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</si>
  <si>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</si>
  <si>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</si>
  <si>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</si>
  <si>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</si>
  <si>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</si>
  <si>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</si>
  <si>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</si>
  <si>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</si>
  <si>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</si>
  <si>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</si>
  <si>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</si>
  <si>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</si>
  <si>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</si>
  <si>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</si>
  <si>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</si>
  <si>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</si>
  <si>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</si>
  <si>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</si>
  <si>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</si>
  <si>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</si>
  <si>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</si>
  <si>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</si>
  <si>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</si>
  <si>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</si>
  <si>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</si>
  <si>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</si>
  <si>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</si>
  <si>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</si>
  <si>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</si>
  <si>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</si>
  <si>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</si>
  <si>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</si>
  <si>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</si>
  <si>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</si>
  <si>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</si>
  <si>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</si>
  <si>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</si>
  <si>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</si>
  <si>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</si>
  <si>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</si>
  <si>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</si>
  <si>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</si>
  <si>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</si>
  <si>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</si>
  <si>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</si>
  <si>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</si>
  <si>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</si>
  <si>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</si>
  <si>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</si>
  <si>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</si>
  <si>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</si>
  <si>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</si>
  <si>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</si>
  <si>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</si>
  <si>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</si>
  <si>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</si>
  <si>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</si>
  <si>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</si>
  <si>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</si>
  <si>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</si>
  <si>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</si>
  <si>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</si>
  <si>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</si>
  <si>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</si>
  <si>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</si>
  <si>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</si>
  <si>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</si>
  <si>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</si>
  <si>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</si>
  <si>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</si>
  <si>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</si>
  <si>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</si>
  <si>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</si>
  <si>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</si>
  <si>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</si>
  <si>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</si>
  <si>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</si>
  <si>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</si>
  <si>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</si>
  <si>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</si>
  <si>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</si>
  <si>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</si>
  <si>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</si>
  <si>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</si>
  <si>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</si>
  <si>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</si>
  <si>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</si>
  <si>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</si>
  <si>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</si>
  <si>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</si>
  <si>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</si>
  <si>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</si>
  <si>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</si>
  <si>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</si>
  <si>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</si>
  <si>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</si>
  <si>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</si>
  <si>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</si>
  <si>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</si>
  <si>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</si>
  <si>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</si>
  <si>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</si>
  <si>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</si>
  <si>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</si>
  <si>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</si>
  <si>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</si>
  <si>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</si>
  <si>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</si>
  <si>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</si>
  <si>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</si>
  <si>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</si>
  <si>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</si>
  <si>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</si>
  <si>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</si>
  <si>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</si>
  <si>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</si>
  <si>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</si>
  <si>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</si>
  <si>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</si>
  <si>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</si>
  <si>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</si>
  <si>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</si>
  <si>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</si>
  <si>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</si>
  <si>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</si>
  <si>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</si>
  <si>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</si>
  <si>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</si>
  <si>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</si>
  <si>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</si>
  <si>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</si>
  <si>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</si>
  <si>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</si>
  <si>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</si>
  <si>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</si>
  <si>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</si>
  <si>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</si>
  <si>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</si>
  <si>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</si>
  <si>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</si>
  <si>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</si>
  <si>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</si>
  <si>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</si>
  <si>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</si>
  <si>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</si>
  <si>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</si>
  <si>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</si>
  <si>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</si>
  <si>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</si>
  <si>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</si>
  <si>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</si>
  <si>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</si>
  <si>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</si>
  <si>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</si>
  <si>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</si>
  <si>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</si>
  <si>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</si>
  <si>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</si>
  <si>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</si>
  <si>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</si>
  <si>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</si>
  <si>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</si>
  <si>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</si>
  <si>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</si>
  <si>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</si>
  <si>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</si>
  <si>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</si>
  <si>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</si>
  <si>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</si>
  <si>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</si>
  <si>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</si>
  <si>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</si>
  <si>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</si>
  <si>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</si>
  <si>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</si>
  <si>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</si>
  <si>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</si>
  <si>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</si>
  <si>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</si>
  <si>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</si>
  <si>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</si>
  <si>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</si>
  <si>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</si>
  <si>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</si>
  <si>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</si>
  <si>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</si>
  <si>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</si>
  <si>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</si>
  <si>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</si>
  <si>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</si>
  <si>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</si>
  <si>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</si>
  <si>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</si>
  <si>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</si>
  <si>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</si>
  <si>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</si>
  <si>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</si>
  <si>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</si>
  <si>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</si>
  <si>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</si>
  <si>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</si>
  <si>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</si>
  <si>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</si>
  <si>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</si>
  <si>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</si>
  <si>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</si>
  <si>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</si>
  <si>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</si>
  <si>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</si>
  <si>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</si>
  <si>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</si>
  <si>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</si>
  <si>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</si>
  <si>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</si>
  <si>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</si>
  <si>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</si>
  <si>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</si>
  <si>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</si>
  <si>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</si>
  <si>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</si>
  <si>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</si>
  <si>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</si>
  <si>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</si>
  <si>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</si>
  <si>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</si>
  <si>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</si>
  <si>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</si>
  <si>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</si>
  <si>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</si>
  <si>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</si>
  <si>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</si>
  <si>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</si>
  <si>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</si>
  <si>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</si>
  <si>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</si>
  <si>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</si>
  <si>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</si>
  <si>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</si>
  <si>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</si>
  <si>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</si>
  <si>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</si>
  <si>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</si>
  <si>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</si>
  <si>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</si>
  <si>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</si>
  <si>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</si>
  <si>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</si>
  <si>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</si>
  <si>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</si>
  <si>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</si>
  <si>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</si>
  <si>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</si>
  <si>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</si>
  <si>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</si>
  <si>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</si>
  <si>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</si>
  <si>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</si>
  <si>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</si>
  <si>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</si>
  <si>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</si>
  <si>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</si>
  <si>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</si>
  <si>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</si>
  <si>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</si>
  <si>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</si>
  <si>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</si>
  <si>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</si>
  <si>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</si>
  <si>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</si>
  <si>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</si>
  <si>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</si>
  <si>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</si>
  <si>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</si>
  <si>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</si>
  <si>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</si>
  <si>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</si>
  <si>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</si>
  <si>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</si>
  <si>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</si>
  <si>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</si>
  <si>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</si>
  <si>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</si>
  <si>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</si>
  <si>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</si>
  <si>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</si>
  <si>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</si>
  <si>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</si>
  <si>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</si>
  <si>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</si>
  <si>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</si>
  <si>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</si>
  <si>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</si>
  <si>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</si>
  <si>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</si>
  <si>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</si>
  <si>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</si>
  <si>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</si>
  <si>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</si>
  <si>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</si>
  <si>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</si>
  <si>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</si>
  <si>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</si>
  <si>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</si>
  <si>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</si>
  <si>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</si>
  <si>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</si>
  <si>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</si>
  <si>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</si>
  <si>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</si>
  <si>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</si>
  <si>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</si>
  <si>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</si>
  <si>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</si>
  <si>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</si>
  <si>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</si>
  <si>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</si>
  <si>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</si>
  <si>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</si>
  <si>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</si>
  <si>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</si>
  <si>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</si>
  <si>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</si>
  <si>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</si>
  <si>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</si>
  <si>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</si>
  <si>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</si>
  <si>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</si>
  <si>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</si>
  <si>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</si>
  <si>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</si>
  <si>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</si>
  <si>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</si>
  <si>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</si>
  <si>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</si>
  <si>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</si>
  <si>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</si>
  <si>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</si>
  <si>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</si>
  <si>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</si>
  <si>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</si>
  <si>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</si>
  <si>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</si>
  <si>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</si>
  <si>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</si>
  <si>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</si>
  <si>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</si>
  <si>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</si>
  <si>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</si>
  <si>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</si>
  <si>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</si>
  <si>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</si>
  <si>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</si>
  <si>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</si>
  <si>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</si>
  <si>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</si>
  <si>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</si>
  <si>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</si>
  <si>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</si>
  <si>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</si>
  <si>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</si>
  <si>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</si>
  <si>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</si>
  <si>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</si>
  <si>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</si>
  <si>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</si>
  <si>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</si>
  <si>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</si>
  <si>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</si>
  <si>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</si>
  <si>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</si>
  <si>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</si>
  <si>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</si>
  <si>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</si>
  <si>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</si>
  <si>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</si>
  <si>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</si>
  <si>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</si>
  <si>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</si>
  <si>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</si>
  <si>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</si>
  <si>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</si>
  <si>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</si>
  <si>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</si>
  <si>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</si>
  <si>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</si>
  <si>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</si>
  <si>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</si>
  <si>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</si>
  <si>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</si>
  <si>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</si>
  <si>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</si>
  <si>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</si>
  <si>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</si>
  <si>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</si>
  <si>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</si>
  <si>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</si>
  <si>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</si>
  <si>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</si>
  <si>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</si>
  <si>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</si>
  <si>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</si>
  <si>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</si>
  <si>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</si>
  <si>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</si>
  <si>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</si>
  <si>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</si>
  <si>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</si>
  <si>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</si>
  <si>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</si>
  <si>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</si>
  <si>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</si>
  <si>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</si>
  <si>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</si>
  <si>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</si>
  <si>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</si>
  <si>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</si>
  <si>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</si>
  <si>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</si>
  <si>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</si>
  <si>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</si>
  <si>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</si>
  <si>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</si>
  <si>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</si>
  <si>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</si>
  <si>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</si>
  <si>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</si>
  <si>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</si>
  <si>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</si>
  <si>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</si>
  <si>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</si>
  <si>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</si>
  <si>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</si>
  <si>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</si>
  <si>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</si>
  <si>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</si>
  <si>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</si>
  <si>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</si>
  <si>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</si>
  <si>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</si>
  <si>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</si>
  <si>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</si>
  <si>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</si>
  <si>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</si>
  <si>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</si>
  <si>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</si>
  <si>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</si>
  <si>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</si>
  <si>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</si>
  <si>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</si>
  <si>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</si>
  <si>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</si>
  <si>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</si>
  <si>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</si>
  <si>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</si>
  <si>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</si>
  <si>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</si>
  <si>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</si>
  <si>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</si>
  <si>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</si>
  <si>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</si>
  <si>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</si>
  <si>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</si>
  <si>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</si>
  <si>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</si>
  <si>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</si>
  <si>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</si>
  <si>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</si>
  <si>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</si>
  <si>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</si>
  <si>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</si>
  <si>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</si>
  <si>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</si>
  <si>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</si>
  <si>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</si>
  <si>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</si>
  <si>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</si>
  <si>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</si>
  <si>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</si>
  <si>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</si>
  <si>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</si>
  <si>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</si>
  <si>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</si>
  <si>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</si>
  <si>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</si>
  <si>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</si>
  <si>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</si>
  <si>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</si>
  <si>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</si>
  <si>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</si>
  <si>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</si>
  <si>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</si>
  <si>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</si>
  <si>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</si>
  <si>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</si>
  <si>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</si>
  <si>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</si>
  <si>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</si>
  <si>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</si>
  <si>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</si>
  <si>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</si>
  <si>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Gene Expression 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</si>
  <si>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</si>
  <si>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</si>
  <si>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</si>
  <si>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</si>
  <si>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</si>
  <si>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</si>
  <si>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</si>
  <si>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</si>
  <si>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</si>
  <si>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</si>
  <si>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</si>
  <si>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</si>
  <si>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</si>
  <si>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</si>
  <si>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</si>
  <si>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</si>
  <si>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</si>
  <si>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</si>
  <si>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</si>
  <si>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</si>
  <si>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</si>
  <si>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</si>
  <si>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</si>
  <si>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</si>
  <si>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</si>
  <si>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</si>
  <si>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</si>
  <si>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</si>
  <si>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</si>
  <si>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</si>
  <si>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</si>
  <si>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</si>
  <si>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</si>
  <si>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</si>
  <si>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</si>
  <si>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</si>
  <si>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</si>
  <si>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</si>
  <si>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</si>
  <si>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</si>
  <si>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</si>
  <si>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</si>
  <si>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</si>
  <si>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</si>
  <si>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</si>
  <si>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</si>
  <si>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</si>
  <si>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</si>
  <si>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</si>
  <si>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</si>
  <si>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</si>
  <si>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</si>
  <si>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</si>
  <si>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</si>
  <si>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</si>
  <si>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</si>
  <si>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</si>
  <si>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</si>
  <si>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</si>
  <si>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</si>
  <si>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</si>
  <si>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</si>
  <si>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</si>
  <si>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</si>
  <si>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</si>
  <si>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</si>
  <si>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</si>
  <si>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</si>
  <si>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</si>
  <si>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</si>
  <si>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</si>
  <si>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</si>
  <si>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</si>
  <si>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</si>
  <si>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</si>
  <si>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</si>
  <si>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</si>
  <si>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</si>
  <si>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</si>
  <si>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</si>
  <si>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</si>
  <si>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</si>
  <si>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</si>
  <si>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</si>
  <si>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</si>
  <si>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</si>
  <si>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</si>
  <si>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</si>
  <si>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</si>
  <si>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</si>
  <si>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</si>
  <si>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</si>
  <si>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</si>
  <si>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</si>
  <si>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</si>
  <si>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</si>
  <si>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</si>
  <si>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</si>
  <si>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</si>
  <si>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</si>
  <si>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</si>
  <si>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</si>
  <si>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</si>
  <si>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</si>
  <si>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</si>
  <si>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</si>
  <si>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</si>
  <si>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</si>
  <si>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</si>
  <si>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</si>
  <si>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</si>
  <si>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</si>
  <si>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</si>
  <si>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</si>
  <si>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</si>
  <si>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</si>
  <si>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</si>
  <si>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</si>
  <si>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</si>
  <si>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</si>
  <si>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</si>
  <si>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type</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</si>
  <si>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</si>
  <si>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</si>
  <si>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</si>
  <si>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</si>
  <si>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</si>
  <si>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</si>
  <si>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</si>
  <si>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</si>
  <si>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</si>
  <si>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</si>
  <si>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</si>
  <si>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</si>
  <si>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</si>
  <si>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</si>
  <si>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</si>
  <si>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</si>
  <si>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</si>
  <si>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</si>
  <si>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</si>
  <si>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</si>
  <si>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</si>
  <si>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</si>
  <si>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</si>
  <si>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</si>
  <si>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</si>
  <si>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</si>
  <si>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</si>
  <si>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</si>
  <si>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</si>
  <si>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</si>
  <si>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</si>
  <si>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</si>
  <si>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</si>
  <si>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</si>
  <si>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</si>
  <si>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</si>
  <si>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</si>
  <si>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</si>
  <si>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</si>
  <si>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</si>
  <si>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Feature</t>
  </si>
  <si>
    <t>ctrl</t>
  </si>
  <si>
    <t>Control proteins (GFP, LUC,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</si>
  <si>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</si>
  <si>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</si>
  <si>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</si>
  <si>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</si>
  <si>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</si>
  <si>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</si>
  <si>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</si>
  <si>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</si>
  <si>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</si>
  <si>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</si>
  <si>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</si>
  <si>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</si>
  <si>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</si>
  <si>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</si>
  <si>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</si>
  <si>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</si>
  <si>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</si>
  <si>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</si>
  <si>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</si>
  <si>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</si>
  <si>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</si>
  <si>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</si>
  <si>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</si>
  <si>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</si>
  <si>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</si>
  <si>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</si>
  <si>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</si>
  <si>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</si>
  <si>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</si>
  <si>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</si>
  <si>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</si>
  <si>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</si>
  <si>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</si>
  <si>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</si>
  <si>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</si>
  <si>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</si>
  <si>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</si>
  <si>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</si>
  <si>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</si>
  <si>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</si>
  <si>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</si>
  <si>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</si>
  <si>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</si>
  <si>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</si>
  <si>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</si>
  <si>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</si>
  <si>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</si>
  <si>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</si>
  <si>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</si>
  <si>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</si>
  <si>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</si>
  <si>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</si>
  <si>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</si>
  <si>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</si>
  <si>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</si>
  <si>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</si>
  <si>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</si>
  <si>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</si>
  <si>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</si>
  <si>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</si>
  <si>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</si>
  <si>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</si>
  <si>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</si>
  <si>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</si>
  <si>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</si>
  <si>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</si>
  <si>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</si>
  <si>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</si>
  <si>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passage</t>
  </si>
  <si>
    <t>The number of passages the cell line has been culitvated.</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</si>
  <si>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</si>
  <si>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</si>
  <si>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</si>
  <si>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</si>
  <si>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</si>
  <si>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</si>
  <si>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</si>
  <si>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</si>
  <si>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</si>
  <si>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</si>
  <si>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</si>
  <si>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att_duration|att_termperature|att_volume</t>
  </si>
  <si>
    <t>att_reaction_vessel</t>
  </si>
  <si>
    <t>Digestion/Reaction Vessel</t>
  </si>
  <si>
    <t>att_acquistion:dda</t>
  </si>
  <si>
    <t>att_interface:faims</t>
  </si>
  <si>
    <t>att_duration|att_concentration|att_feature</t>
  </si>
  <si>
    <t>protein</t>
  </si>
  <si>
    <t>Protein feature</t>
  </si>
  <si>
    <t>transcript</t>
  </si>
  <si>
    <t>Transcript</t>
  </si>
  <si>
    <t>metabolite</t>
  </si>
  <si>
    <t>A metabolite feature</t>
  </si>
  <si>
    <t>gene</t>
  </si>
  <si>
    <t>A gene feature</t>
  </si>
  <si>
    <t>Total mass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</si>
  <si>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</si>
  <si>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</si>
  <si>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</si>
  <si>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</si>
  <si>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</si>
  <si>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</si>
  <si>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</si>
  <si>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InstrumentType</t>
  </si>
  <si>
    <t>Instrument</t>
  </si>
  <si>
    <t>att_lc_system_type</t>
  </si>
  <si>
    <t>att_lc</t>
  </si>
  <si>
    <t>att_heart_compartment</t>
  </si>
  <si>
    <t>ols</t>
  </si>
  <si>
    <t>Unit</t>
  </si>
  <si>
    <t>att_columns_outer_diameter</t>
  </si>
  <si>
    <t>Column Length</t>
  </si>
  <si>
    <t>Column Outer Diameter</t>
  </si>
  <si>
    <t>Column Particle Size</t>
  </si>
  <si>
    <t>att_column_length|att_columns_outer_diameter|att_column_stat_phase|att_column_inner_diameter|att_column_particle_size|att_column_pore_size</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</si>
  <si>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</si>
  <si>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</si>
  <si>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</si>
  <si>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</si>
  <si>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</si>
  <si>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</si>
  <si>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</si>
  <si>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</si>
  <si>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</si>
  <si>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</si>
  <si>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</si>
  <si>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</si>
  <si>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</si>
  <si>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</si>
  <si>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</si>
  <si>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</si>
  <si>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</si>
  <si>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</si>
  <si>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</si>
  <si>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</si>
  <si>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</si>
  <si>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</si>
  <si>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</si>
  <si>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</si>
  <si>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</si>
  <si>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is_unit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</si>
</sst>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15"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name val="Arial"/>
      <family val="2"/>
    </font>
    <font>
      <sz val="10"/>
      <color theme="1"/>
      <name val="Arial"/>
      <family val="2"/>
      <charset val="1"/>
    </font>
    <font>
      <sz val="10"/>
      <color theme="7" tint="0.39997558519241921"/>
      <name val="Arial"/>
      <family val="2"/>
      <charset val="1"/>
    </font>
    <font>
      <i/>
      <sz val="10"/>
      <color theme="1"/>
      <name val="Arial"/>
      <family val="2"/>
    </font>
    <font>
      <sz val="10"/>
      <color rgb="FFC00000"/>
      <name val="Arial"/>
      <family val="2"/>
      <charset val="1"/>
    </font>
    <font>
      <sz val="16"/>
      <color rgb="FF212529"/>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38">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2" borderId="0" xfId="0" applyFont="1" applyFill="1" applyAlignment="1">
      <alignment horizontal="right"/>
    </xf>
    <xf numFmtId="0" fontId="7" fillId="0" borderId="0" xfId="0" applyFont="1" applyAlignment="1">
      <alignment horizontal="right"/>
    </xf>
    <xf numFmtId="0" fontId="7"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8" fillId="0" borderId="0" xfId="0" applyFont="1"/>
    <xf numFmtId="0" fontId="0" fillId="0" borderId="0" xfId="0" applyAlignment="1">
      <alignment horizontal="right" wrapText="1"/>
    </xf>
    <xf numFmtId="0" fontId="0" fillId="0" borderId="0" xfId="0" quotePrefix="1" applyAlignment="1">
      <alignment horizontal="right"/>
    </xf>
    <xf numFmtId="0" fontId="9" fillId="0" borderId="0" xfId="0" applyFont="1"/>
    <xf numFmtId="0" fontId="11" fillId="0" borderId="0" xfId="0" applyFont="1"/>
    <xf numFmtId="0" fontId="10" fillId="0" borderId="0" xfId="0" applyFont="1"/>
    <xf numFmtId="49" fontId="10" fillId="0" borderId="0" xfId="0" applyNumberFormat="1" applyFont="1"/>
    <xf numFmtId="164" fontId="10" fillId="0" borderId="0" xfId="0" applyNumberFormat="1" applyFont="1"/>
    <xf numFmtId="0" fontId="10" fillId="0" borderId="0" xfId="0" applyFont="1" applyAlignment="1">
      <alignment horizontal="left"/>
    </xf>
    <xf numFmtId="0" fontId="12" fillId="0" borderId="0" xfId="0" applyFont="1" applyAlignment="1">
      <alignment horizontal="right" vertical="center"/>
    </xf>
    <xf numFmtId="0" fontId="8" fillId="0" borderId="0" xfId="0" applyFont="1" applyAlignment="1">
      <alignment horizontal="right"/>
    </xf>
    <xf numFmtId="0" fontId="10" fillId="0" borderId="0" xfId="0" applyFont="1" applyAlignment="1">
      <alignment horizontal="right"/>
    </xf>
    <xf numFmtId="0" fontId="13" fillId="0" borderId="0" xfId="0" applyFont="1"/>
    <xf numFmtId="0" fontId="13" fillId="0" borderId="0" xfId="0" applyFont="1" applyAlignment="1">
      <alignment horizontal="right"/>
    </xf>
    <xf numFmtId="0" fontId="14" fillId="0" borderId="0" xfId="0" applyFont="1"/>
    <xf numFmtId="0" fontId="0" fillId="0" borderId="0" xfId="0" applyAlignment="1">
      <alignment wrapText="1"/>
    </xf>
  </cellXfs>
  <cellStyles count="1">
    <cellStyle name="Normal" xfId="0" builtinId="0"/>
  </cellStyles>
  <dxfs count="9">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126"/>
  <sheetViews>
    <sheetView tabSelected="1" topLeftCell="K1" zoomScaleNormal="100" workbookViewId="0">
      <pane ySplit="1" topLeftCell="A72" activePane="bottomLeft" state="frozen"/>
      <selection pane="bottomLeft" activeCell="T98" sqref="T98"/>
    </sheetView>
  </sheetViews>
  <sheetFormatPr baseColWidth="10" defaultColWidth="10.6640625" defaultRowHeight="13" x14ac:dyDescent="0.15"/>
  <cols>
    <col min="1" max="3" width="24.6640625" customWidth="1"/>
    <col min="4" max="4" width="41.1640625" customWidth="1"/>
    <col min="5" max="5" width="24.1640625" customWidth="1"/>
    <col min="6" max="7" width="32.6640625" customWidth="1"/>
    <col min="10" max="10" width="17.1640625" style="1" customWidth="1"/>
    <col min="11" max="11" width="11.6640625" customWidth="1"/>
    <col min="12" max="12" width="11" customWidth="1"/>
    <col min="13" max="14" width="10.6640625" style="2" customWidth="1"/>
    <col min="15" max="16" width="15.6640625" style="1" customWidth="1"/>
    <col min="17" max="17" width="20.6640625" style="1" customWidth="1"/>
    <col min="18" max="18" width="15.6640625" style="1" customWidth="1"/>
    <col min="19" max="19" width="19.1640625" style="1" customWidth="1"/>
    <col min="20" max="20" width="22" style="1" customWidth="1"/>
    <col min="21" max="21" width="37.6640625" customWidth="1"/>
  </cols>
  <sheetData>
    <row r="1" spans="1:1024" s="3" customFormat="1" ht="15.75" customHeight="1" x14ac:dyDescent="0.15">
      <c r="A1" s="3" t="s">
        <v>0</v>
      </c>
      <c r="B1" s="3" t="s">
        <v>4086</v>
      </c>
      <c r="C1" s="3" t="s">
        <v>3972</v>
      </c>
      <c r="D1" s="3" t="s">
        <v>3971</v>
      </c>
      <c r="E1" s="3" t="s">
        <v>1</v>
      </c>
      <c r="F1" s="3" t="s">
        <v>2</v>
      </c>
      <c r="G1" s="3" t="s">
        <v>4154</v>
      </c>
      <c r="H1" s="3" t="s">
        <v>3</v>
      </c>
      <c r="I1" s="3" t="s">
        <v>4148</v>
      </c>
      <c r="J1" s="4" t="s">
        <v>4</v>
      </c>
      <c r="K1" s="3" t="s">
        <v>5</v>
      </c>
      <c r="L1" s="3" t="s">
        <v>6</v>
      </c>
      <c r="M1" s="3" t="s">
        <v>7</v>
      </c>
      <c r="N1" s="3" t="s">
        <v>8</v>
      </c>
      <c r="O1" s="4" t="s">
        <v>9</v>
      </c>
      <c r="P1" s="4" t="s">
        <v>10</v>
      </c>
      <c r="Q1" s="4" t="s">
        <v>11</v>
      </c>
      <c r="R1" s="4" t="s">
        <v>12</v>
      </c>
      <c r="S1" s="4" t="s">
        <v>13</v>
      </c>
      <c r="T1" s="4" t="s">
        <v>3860</v>
      </c>
      <c r="U1" s="3" t="s">
        <v>4147</v>
      </c>
      <c r="V1" s="3" t="s">
        <v>8</v>
      </c>
      <c r="W1" s="4" t="s">
        <v>9</v>
      </c>
      <c r="X1" s="4" t="s">
        <v>10</v>
      </c>
      <c r="Y1" s="4" t="s">
        <v>11</v>
      </c>
      <c r="Z1" s="4" t="s">
        <v>12</v>
      </c>
      <c r="AA1" s="4" t="s">
        <v>13</v>
      </c>
      <c r="AB1" s="4" t="s">
        <v>3860</v>
      </c>
      <c r="AC1" s="3" t="s">
        <v>4156</v>
      </c>
      <c r="AMD1" s="5"/>
      <c r="AME1" s="5"/>
      <c r="AMF1" s="5"/>
      <c r="AMG1" s="5"/>
      <c r="AMH1"/>
      <c r="AMI1"/>
      <c r="AMJ1"/>
    </row>
    <row r="2" spans="1:1024" x14ac:dyDescent="0.15">
      <c r="A2" t="s">
        <v>36</v>
      </c>
      <c r="D2" t="s">
        <v>3974</v>
      </c>
      <c r="E2" t="s">
        <v>133</v>
      </c>
      <c r="F2" t="s">
        <v>134</v>
      </c>
      <c r="H2">
        <v>500</v>
      </c>
      <c r="I2" t="b">
        <v>0</v>
      </c>
      <c r="J2" s="1" t="s">
        <v>17</v>
      </c>
      <c r="K2" t="s">
        <v>23</v>
      </c>
      <c r="L2">
        <v>2</v>
      </c>
      <c r="M2" s="7" t="b">
        <v>0</v>
      </c>
      <c r="N2" s="7" t="b">
        <v>1</v>
      </c>
      <c r="O2" s="1" t="s">
        <v>19</v>
      </c>
      <c r="P2" s="1" t="s">
        <v>17</v>
      </c>
      <c r="Q2" s="1" t="s">
        <v>17</v>
      </c>
      <c r="R2" s="1" t="s">
        <v>19</v>
      </c>
      <c r="S2" s="1" t="s">
        <v>19</v>
      </c>
      <c r="T2" s="1" t="s">
        <v>19</v>
      </c>
      <c r="U2" t="str">
        <f>_xlfn.TEXTJOIN("|",TRUE,V2:AC2)</f>
        <v>mandatory|filter|qc|dataset|sample</v>
      </c>
      <c r="V2" t="str">
        <f>IF(N2,"mandatory","")</f>
        <v>mandatory</v>
      </c>
      <c r="W2" t="str">
        <f>IF(O2,"filter","")</f>
        <v>filter</v>
      </c>
      <c r="X2" t="str">
        <f>IF(P2,"user","")</f>
        <v/>
      </c>
      <c r="Y2" t="str">
        <f>IF(Q2,"genotype","")</f>
        <v/>
      </c>
      <c r="Z2" t="str">
        <f>IF(R2,"qc","")</f>
        <v>qc</v>
      </c>
      <c r="AA2" t="str">
        <f>IF(S2,"dataset","")</f>
        <v>dataset</v>
      </c>
      <c r="AB2" t="str">
        <f>IF(T2,"sample","")</f>
        <v>sample</v>
      </c>
      <c r="AC2" t="str">
        <f>IF(C2="Unit","unit","")</f>
        <v/>
      </c>
    </row>
    <row r="3" spans="1:1024" x14ac:dyDescent="0.15">
      <c r="A3" t="s">
        <v>92</v>
      </c>
      <c r="D3" t="s">
        <v>3975</v>
      </c>
      <c r="E3" s="6" t="s">
        <v>93</v>
      </c>
      <c r="F3" s="6" t="s">
        <v>3127</v>
      </c>
      <c r="G3" s="6"/>
      <c r="H3">
        <v>500</v>
      </c>
      <c r="I3" t="b">
        <v>0</v>
      </c>
      <c r="J3" s="1" t="s">
        <v>17</v>
      </c>
      <c r="K3" t="s">
        <v>23</v>
      </c>
      <c r="L3">
        <v>2</v>
      </c>
      <c r="M3" s="7" t="b">
        <v>0</v>
      </c>
      <c r="N3" s="7" t="b">
        <v>0</v>
      </c>
      <c r="O3" s="1" t="s">
        <v>19</v>
      </c>
      <c r="P3" s="1" t="s">
        <v>17</v>
      </c>
      <c r="Q3" s="1" t="s">
        <v>17</v>
      </c>
      <c r="R3" s="1" t="s">
        <v>17</v>
      </c>
      <c r="S3" s="1" t="s">
        <v>19</v>
      </c>
      <c r="T3" s="1" t="s">
        <v>19</v>
      </c>
      <c r="U3" t="str">
        <f t="shared" ref="U3:U66" si="0">_xlfn.TEXTJOIN("|",TRUE,V3:AC3)</f>
        <v>filter|dataset|sample</v>
      </c>
      <c r="V3" t="str">
        <f t="shared" ref="V3:V66" si="1">IF(N3,"mandatory","")</f>
        <v/>
      </c>
      <c r="W3" t="str">
        <f t="shared" ref="W3:W66" si="2">IF(O3,"filter","")</f>
        <v>filter</v>
      </c>
      <c r="X3" t="str">
        <f t="shared" ref="X3:X66" si="3">IF(P3,"user","")</f>
        <v/>
      </c>
      <c r="Y3" t="str">
        <f t="shared" ref="Y3:Y66" si="4">IF(Q3,"genotype","")</f>
        <v/>
      </c>
      <c r="Z3" t="str">
        <f t="shared" ref="Z3:Z66" si="5">IF(R3,"qc","")</f>
        <v/>
      </c>
      <c r="AA3" t="str">
        <f t="shared" ref="AA3:AA66" si="6">IF(S3,"dataset","")</f>
        <v>dataset</v>
      </c>
      <c r="AB3" t="str">
        <f t="shared" ref="AB3:AB66" si="7">IF(T3,"sample","")</f>
        <v>sample</v>
      </c>
      <c r="AC3" t="str">
        <f t="shared" ref="AC3:AC66" si="8">IF(C3="Unit","unit","")</f>
        <v/>
      </c>
    </row>
    <row r="4" spans="1:1024" x14ac:dyDescent="0.15">
      <c r="A4" t="s">
        <v>29</v>
      </c>
      <c r="D4" t="s">
        <v>4081</v>
      </c>
      <c r="E4" t="s">
        <v>15</v>
      </c>
      <c r="F4" t="s">
        <v>175</v>
      </c>
      <c r="H4">
        <v>500</v>
      </c>
      <c r="I4" t="b">
        <v>0</v>
      </c>
      <c r="J4" s="1" t="s">
        <v>17</v>
      </c>
      <c r="K4" t="s">
        <v>31</v>
      </c>
      <c r="L4">
        <v>3</v>
      </c>
      <c r="M4" s="7" t="b">
        <v>0</v>
      </c>
      <c r="N4" s="7" t="b">
        <v>1</v>
      </c>
      <c r="O4" s="1" t="s">
        <v>19</v>
      </c>
      <c r="P4" s="1" t="s">
        <v>17</v>
      </c>
      <c r="Q4" s="1" t="s">
        <v>17</v>
      </c>
      <c r="R4" s="1" t="s">
        <v>17</v>
      </c>
      <c r="S4" s="1" t="s">
        <v>19</v>
      </c>
      <c r="T4" s="1" t="s">
        <v>17</v>
      </c>
      <c r="U4" t="str">
        <f t="shared" si="0"/>
        <v>mandatory|filter|dataset</v>
      </c>
      <c r="V4" t="str">
        <f t="shared" si="1"/>
        <v>mandatory</v>
      </c>
      <c r="W4" t="str">
        <f t="shared" si="2"/>
        <v>filter</v>
      </c>
      <c r="X4" t="str">
        <f t="shared" si="3"/>
        <v/>
      </c>
      <c r="Y4" t="str">
        <f t="shared" si="4"/>
        <v/>
      </c>
      <c r="Z4" t="str">
        <f t="shared" si="5"/>
        <v/>
      </c>
      <c r="AA4" t="str">
        <f t="shared" si="6"/>
        <v>dataset</v>
      </c>
      <c r="AB4" t="str">
        <f t="shared" si="7"/>
        <v/>
      </c>
      <c r="AC4" t="str">
        <f t="shared" si="8"/>
        <v/>
      </c>
    </row>
    <row r="5" spans="1:1024" x14ac:dyDescent="0.15">
      <c r="A5" s="6" t="s">
        <v>3221</v>
      </c>
      <c r="B5" s="6"/>
      <c r="C5" s="6"/>
      <c r="D5" s="6" t="s">
        <v>4075</v>
      </c>
      <c r="E5" t="s">
        <v>116</v>
      </c>
      <c r="F5" t="s">
        <v>3225</v>
      </c>
      <c r="H5">
        <v>600</v>
      </c>
      <c r="I5" t="b">
        <v>0</v>
      </c>
      <c r="J5" s="1" t="s">
        <v>17</v>
      </c>
      <c r="K5" t="s">
        <v>51</v>
      </c>
      <c r="L5">
        <v>2</v>
      </c>
      <c r="M5" s="7" t="b">
        <v>0</v>
      </c>
      <c r="N5" s="7" t="b">
        <v>0</v>
      </c>
      <c r="O5" s="1" t="s">
        <v>19</v>
      </c>
      <c r="P5" s="1" t="s">
        <v>17</v>
      </c>
      <c r="Q5" s="1" t="s">
        <v>17</v>
      </c>
      <c r="R5" s="1" t="s">
        <v>17</v>
      </c>
      <c r="S5" s="1" t="s">
        <v>19</v>
      </c>
      <c r="T5" s="1" t="s">
        <v>19</v>
      </c>
      <c r="U5" t="str">
        <f t="shared" si="0"/>
        <v>filter|dataset|sample</v>
      </c>
      <c r="V5" t="str">
        <f t="shared" si="1"/>
        <v/>
      </c>
      <c r="W5" t="str">
        <f t="shared" si="2"/>
        <v>filter</v>
      </c>
      <c r="X5" t="str">
        <f t="shared" si="3"/>
        <v/>
      </c>
      <c r="Y5" t="str">
        <f t="shared" si="4"/>
        <v/>
      </c>
      <c r="Z5" t="str">
        <f t="shared" si="5"/>
        <v/>
      </c>
      <c r="AA5" t="str">
        <f t="shared" si="6"/>
        <v>dataset</v>
      </c>
      <c r="AB5" t="str">
        <f t="shared" si="7"/>
        <v>sample</v>
      </c>
      <c r="AC5" t="str">
        <f t="shared" si="8"/>
        <v/>
      </c>
    </row>
    <row r="6" spans="1:1024" s="26" customFormat="1" x14ac:dyDescent="0.15">
      <c r="A6" s="6" t="s">
        <v>112</v>
      </c>
      <c r="B6" s="6"/>
      <c r="C6" s="6"/>
      <c r="D6" s="6" t="s">
        <v>4102</v>
      </c>
      <c r="E6" s="27" t="s">
        <v>3849</v>
      </c>
      <c r="F6" t="s">
        <v>2775</v>
      </c>
      <c r="G6"/>
      <c r="H6">
        <v>500</v>
      </c>
      <c r="I6" t="b">
        <v>0</v>
      </c>
      <c r="J6" s="1" t="s">
        <v>17</v>
      </c>
      <c r="K6" s="26" t="s">
        <v>3851</v>
      </c>
      <c r="L6">
        <v>0</v>
      </c>
      <c r="M6" s="7" t="b">
        <v>0</v>
      </c>
      <c r="N6" s="7" t="b">
        <v>0</v>
      </c>
      <c r="O6" s="1" t="s">
        <v>19</v>
      </c>
      <c r="P6" s="1" t="s">
        <v>17</v>
      </c>
      <c r="Q6" s="1" t="s">
        <v>17</v>
      </c>
      <c r="R6" s="1" t="s">
        <v>17</v>
      </c>
      <c r="S6" s="1" t="s">
        <v>19</v>
      </c>
      <c r="T6" s="1" t="s">
        <v>17</v>
      </c>
      <c r="U6" t="str">
        <f t="shared" si="0"/>
        <v>filter|dataset</v>
      </c>
      <c r="V6" t="str">
        <f t="shared" si="1"/>
        <v/>
      </c>
      <c r="W6" t="str">
        <f t="shared" si="2"/>
        <v>filter</v>
      </c>
      <c r="X6" t="str">
        <f t="shared" si="3"/>
        <v/>
      </c>
      <c r="Y6" t="str">
        <f t="shared" si="4"/>
        <v/>
      </c>
      <c r="Z6" t="str">
        <f t="shared" si="5"/>
        <v/>
      </c>
      <c r="AA6" t="str">
        <f t="shared" si="6"/>
        <v>dataset</v>
      </c>
      <c r="AB6" t="str">
        <f t="shared" si="7"/>
        <v/>
      </c>
      <c r="AC6" t="str">
        <f t="shared" si="8"/>
        <v/>
      </c>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c r="ALY6"/>
      <c r="ALZ6"/>
      <c r="AMA6"/>
      <c r="AMB6"/>
      <c r="AMC6"/>
      <c r="AMD6"/>
      <c r="AME6"/>
      <c r="AMF6"/>
      <c r="AMG6"/>
      <c r="AMH6"/>
      <c r="AMI6"/>
      <c r="AMJ6"/>
    </row>
    <row r="7" spans="1:1024" x14ac:dyDescent="0.15">
      <c r="A7" s="6" t="s">
        <v>14</v>
      </c>
      <c r="B7" s="6"/>
      <c r="C7" s="6"/>
      <c r="D7" s="6"/>
      <c r="E7" t="s">
        <v>15</v>
      </c>
      <c r="F7" t="s">
        <v>16</v>
      </c>
      <c r="H7">
        <v>500</v>
      </c>
      <c r="I7" t="b">
        <v>0</v>
      </c>
      <c r="J7" s="1" t="s">
        <v>17</v>
      </c>
      <c r="K7" t="s">
        <v>18</v>
      </c>
      <c r="L7">
        <v>0</v>
      </c>
      <c r="M7" s="7" t="b">
        <v>0</v>
      </c>
      <c r="N7" s="7" t="b">
        <v>0</v>
      </c>
      <c r="O7" s="1" t="s">
        <v>19</v>
      </c>
      <c r="P7" s="1" t="s">
        <v>17</v>
      </c>
      <c r="Q7" s="1" t="s">
        <v>17</v>
      </c>
      <c r="R7" s="1" t="s">
        <v>17</v>
      </c>
      <c r="S7" s="1" t="s">
        <v>19</v>
      </c>
      <c r="T7" s="1" t="s">
        <v>17</v>
      </c>
      <c r="U7" t="str">
        <f t="shared" si="0"/>
        <v>filter|dataset</v>
      </c>
      <c r="V7" t="str">
        <f t="shared" si="1"/>
        <v/>
      </c>
      <c r="W7" t="str">
        <f t="shared" si="2"/>
        <v>filter</v>
      </c>
      <c r="X7" t="str">
        <f t="shared" si="3"/>
        <v/>
      </c>
      <c r="Y7" t="str">
        <f t="shared" si="4"/>
        <v/>
      </c>
      <c r="Z7" t="str">
        <f t="shared" si="5"/>
        <v/>
      </c>
      <c r="AA7" t="str">
        <f t="shared" si="6"/>
        <v>dataset</v>
      </c>
      <c r="AB7" t="str">
        <f t="shared" si="7"/>
        <v/>
      </c>
      <c r="AC7" t="str">
        <f t="shared" si="8"/>
        <v/>
      </c>
    </row>
    <row r="8" spans="1:1024" x14ac:dyDescent="0.15">
      <c r="A8" s="6" t="s">
        <v>72</v>
      </c>
      <c r="B8" s="6"/>
      <c r="C8" s="6"/>
      <c r="D8" s="6"/>
      <c r="E8" s="6" t="s">
        <v>20</v>
      </c>
      <c r="F8" s="6" t="s">
        <v>3216</v>
      </c>
      <c r="G8" s="6"/>
      <c r="H8">
        <v>500</v>
      </c>
      <c r="I8" t="b">
        <v>0</v>
      </c>
      <c r="J8" s="1" t="s">
        <v>17</v>
      </c>
      <c r="K8" t="s">
        <v>23</v>
      </c>
      <c r="L8">
        <v>2</v>
      </c>
      <c r="M8" s="7" t="b">
        <v>0</v>
      </c>
      <c r="N8" s="7" t="b">
        <v>0</v>
      </c>
      <c r="O8" s="1" t="s">
        <v>19</v>
      </c>
      <c r="P8" s="1" t="s">
        <v>17</v>
      </c>
      <c r="Q8" s="1" t="s">
        <v>17</v>
      </c>
      <c r="R8" s="1" t="s">
        <v>17</v>
      </c>
      <c r="S8" s="1" t="s">
        <v>19</v>
      </c>
      <c r="T8" s="1" t="s">
        <v>19</v>
      </c>
      <c r="U8" t="str">
        <f t="shared" si="0"/>
        <v>filter|dataset|sample</v>
      </c>
      <c r="V8" t="str">
        <f t="shared" si="1"/>
        <v/>
      </c>
      <c r="W8" t="str">
        <f t="shared" si="2"/>
        <v>filter</v>
      </c>
      <c r="X8" t="str">
        <f t="shared" si="3"/>
        <v/>
      </c>
      <c r="Y8" t="str">
        <f t="shared" si="4"/>
        <v/>
      </c>
      <c r="Z8" t="str">
        <f t="shared" si="5"/>
        <v/>
      </c>
      <c r="AA8" t="str">
        <f t="shared" si="6"/>
        <v>dataset</v>
      </c>
      <c r="AB8" t="str">
        <f t="shared" si="7"/>
        <v>sample</v>
      </c>
      <c r="AC8" t="str">
        <f t="shared" si="8"/>
        <v/>
      </c>
    </row>
    <row r="9" spans="1:1024" x14ac:dyDescent="0.15">
      <c r="A9" s="6" t="s">
        <v>3976</v>
      </c>
      <c r="B9" s="6"/>
      <c r="C9" s="6"/>
      <c r="D9" s="6" t="s">
        <v>3977</v>
      </c>
      <c r="E9" s="6" t="s">
        <v>50</v>
      </c>
      <c r="F9" s="6" t="s">
        <v>3978</v>
      </c>
      <c r="G9" s="6"/>
      <c r="H9">
        <v>500</v>
      </c>
      <c r="I9" t="b">
        <v>0</v>
      </c>
      <c r="J9" s="1" t="s">
        <v>17</v>
      </c>
      <c r="K9" s="6" t="s">
        <v>23</v>
      </c>
      <c r="L9">
        <v>2</v>
      </c>
      <c r="M9" s="7" t="b">
        <v>0</v>
      </c>
      <c r="N9" s="7" t="b">
        <v>0</v>
      </c>
      <c r="O9" s="1" t="s">
        <v>17</v>
      </c>
      <c r="P9" s="1" t="s">
        <v>17</v>
      </c>
      <c r="Q9" s="1" t="s">
        <v>17</v>
      </c>
      <c r="R9" s="1" t="s">
        <v>19</v>
      </c>
      <c r="S9" s="1" t="s">
        <v>19</v>
      </c>
      <c r="T9" s="1" t="s">
        <v>19</v>
      </c>
      <c r="U9" t="str">
        <f t="shared" si="0"/>
        <v>qc|dataset|sample</v>
      </c>
      <c r="V9" t="str">
        <f t="shared" si="1"/>
        <v/>
      </c>
      <c r="W9" t="str">
        <f t="shared" si="2"/>
        <v/>
      </c>
      <c r="X9" t="str">
        <f t="shared" si="3"/>
        <v/>
      </c>
      <c r="Y9" t="str">
        <f t="shared" si="4"/>
        <v/>
      </c>
      <c r="Z9" t="str">
        <f t="shared" si="5"/>
        <v>qc</v>
      </c>
      <c r="AA9" t="str">
        <f t="shared" si="6"/>
        <v>dataset</v>
      </c>
      <c r="AB9" t="str">
        <f t="shared" si="7"/>
        <v>sample</v>
      </c>
      <c r="AC9" t="str">
        <f t="shared" si="8"/>
        <v/>
      </c>
    </row>
    <row r="10" spans="1:1024" x14ac:dyDescent="0.15">
      <c r="A10" s="6" t="s">
        <v>87</v>
      </c>
      <c r="B10" s="6"/>
      <c r="C10" s="6"/>
      <c r="D10" s="6" t="s">
        <v>4075</v>
      </c>
      <c r="E10" t="s">
        <v>15</v>
      </c>
      <c r="F10" t="s">
        <v>88</v>
      </c>
      <c r="H10">
        <v>500</v>
      </c>
      <c r="I10" t="b">
        <v>0</v>
      </c>
      <c r="J10" s="1" t="s">
        <v>17</v>
      </c>
      <c r="K10" t="s">
        <v>18</v>
      </c>
      <c r="L10">
        <v>0</v>
      </c>
      <c r="M10" s="7" t="b">
        <v>0</v>
      </c>
      <c r="N10" s="7" t="b">
        <v>0</v>
      </c>
      <c r="O10" s="1" t="s">
        <v>19</v>
      </c>
      <c r="P10" s="1" t="s">
        <v>17</v>
      </c>
      <c r="Q10" s="1" t="s">
        <v>17</v>
      </c>
      <c r="R10" s="1" t="s">
        <v>17</v>
      </c>
      <c r="S10" s="1" t="s">
        <v>19</v>
      </c>
      <c r="T10" s="1" t="s">
        <v>17</v>
      </c>
      <c r="U10" t="str">
        <f t="shared" si="0"/>
        <v>filter|dataset</v>
      </c>
      <c r="V10" t="str">
        <f t="shared" si="1"/>
        <v/>
      </c>
      <c r="W10" t="str">
        <f t="shared" si="2"/>
        <v>filter</v>
      </c>
      <c r="X10" t="str">
        <f t="shared" si="3"/>
        <v/>
      </c>
      <c r="Y10" t="str">
        <f t="shared" si="4"/>
        <v/>
      </c>
      <c r="Z10" t="str">
        <f t="shared" si="5"/>
        <v/>
      </c>
      <c r="AA10" t="str">
        <f t="shared" si="6"/>
        <v>dataset</v>
      </c>
      <c r="AB10" t="str">
        <f t="shared" si="7"/>
        <v/>
      </c>
      <c r="AC10" t="str">
        <f t="shared" si="8"/>
        <v/>
      </c>
    </row>
    <row r="11" spans="1:1024" x14ac:dyDescent="0.15">
      <c r="A11" s="6" t="s">
        <v>25</v>
      </c>
      <c r="B11" s="6"/>
      <c r="C11" s="6"/>
      <c r="D11" s="6" t="s">
        <v>4097</v>
      </c>
      <c r="E11" t="s">
        <v>15</v>
      </c>
      <c r="F11" t="s">
        <v>80</v>
      </c>
      <c r="H11">
        <v>500</v>
      </c>
      <c r="I11" t="b">
        <v>0</v>
      </c>
      <c r="J11" s="1" t="s">
        <v>17</v>
      </c>
      <c r="K11" t="s">
        <v>27</v>
      </c>
      <c r="L11">
        <v>1</v>
      </c>
      <c r="M11" s="7" t="b">
        <v>0</v>
      </c>
      <c r="N11" s="7" t="b">
        <v>1</v>
      </c>
      <c r="O11" s="1" t="s">
        <v>19</v>
      </c>
      <c r="P11" s="1" t="s">
        <v>17</v>
      </c>
      <c r="Q11" s="1" t="s">
        <v>17</v>
      </c>
      <c r="R11" s="1" t="s">
        <v>17</v>
      </c>
      <c r="S11" s="1" t="s">
        <v>19</v>
      </c>
      <c r="T11" s="1" t="s">
        <v>17</v>
      </c>
      <c r="U11" t="str">
        <f t="shared" si="0"/>
        <v>mandatory|filter|dataset</v>
      </c>
      <c r="V11" t="str">
        <f t="shared" si="1"/>
        <v>mandatory</v>
      </c>
      <c r="W11" t="str">
        <f t="shared" si="2"/>
        <v>filter</v>
      </c>
      <c r="X11" t="str">
        <f t="shared" si="3"/>
        <v/>
      </c>
      <c r="Y11" t="str">
        <f t="shared" si="4"/>
        <v/>
      </c>
      <c r="Z11" t="str">
        <f t="shared" si="5"/>
        <v/>
      </c>
      <c r="AA11" t="str">
        <f t="shared" si="6"/>
        <v>dataset</v>
      </c>
      <c r="AB11" t="str">
        <f t="shared" si="7"/>
        <v/>
      </c>
      <c r="AC11" t="str">
        <f t="shared" si="8"/>
        <v/>
      </c>
    </row>
    <row r="12" spans="1:1024" x14ac:dyDescent="0.15">
      <c r="A12" t="s">
        <v>95</v>
      </c>
      <c r="B12" t="s">
        <v>4101</v>
      </c>
      <c r="D12" s="6" t="s">
        <v>3977</v>
      </c>
      <c r="E12" s="6" t="s">
        <v>93</v>
      </c>
      <c r="F12" s="6" t="s">
        <v>96</v>
      </c>
      <c r="G12" s="6"/>
      <c r="H12">
        <v>500</v>
      </c>
      <c r="I12" t="b">
        <v>0</v>
      </c>
      <c r="J12" s="1" t="s">
        <v>17</v>
      </c>
      <c r="K12" t="s">
        <v>23</v>
      </c>
      <c r="L12">
        <v>2</v>
      </c>
      <c r="M12" s="7" t="b">
        <v>0</v>
      </c>
      <c r="N12" s="7" t="b">
        <v>0</v>
      </c>
      <c r="O12" s="1" t="s">
        <v>19</v>
      </c>
      <c r="P12" s="1" t="s">
        <v>17</v>
      </c>
      <c r="Q12" s="1" t="s">
        <v>17</v>
      </c>
      <c r="R12" s="1" t="s">
        <v>17</v>
      </c>
      <c r="S12" s="1" t="s">
        <v>19</v>
      </c>
      <c r="T12" s="1" t="s">
        <v>19</v>
      </c>
      <c r="U12" t="str">
        <f t="shared" si="0"/>
        <v>filter|dataset|sample</v>
      </c>
      <c r="V12" t="str">
        <f t="shared" si="1"/>
        <v/>
      </c>
      <c r="W12" t="str">
        <f t="shared" si="2"/>
        <v>filter</v>
      </c>
      <c r="X12" t="str">
        <f t="shared" si="3"/>
        <v/>
      </c>
      <c r="Y12" t="str">
        <f t="shared" si="4"/>
        <v/>
      </c>
      <c r="Z12" t="str">
        <f t="shared" si="5"/>
        <v/>
      </c>
      <c r="AA12" t="str">
        <f t="shared" si="6"/>
        <v>dataset</v>
      </c>
      <c r="AB12" t="str">
        <f t="shared" si="7"/>
        <v>sample</v>
      </c>
      <c r="AC12" t="str">
        <f t="shared" si="8"/>
        <v/>
      </c>
    </row>
    <row r="13" spans="1:1024" s="26" customFormat="1" x14ac:dyDescent="0.15">
      <c r="A13" t="s">
        <v>97</v>
      </c>
      <c r="B13" t="s">
        <v>4101</v>
      </c>
      <c r="C13"/>
      <c r="D13" s="6" t="s">
        <v>3977</v>
      </c>
      <c r="E13" s="6" t="s">
        <v>93</v>
      </c>
      <c r="F13" s="6" t="s">
        <v>98</v>
      </c>
      <c r="G13" s="6"/>
      <c r="H13">
        <v>500</v>
      </c>
      <c r="I13" t="b">
        <v>0</v>
      </c>
      <c r="J13" s="1" t="s">
        <v>17</v>
      </c>
      <c r="K13" t="s">
        <v>23</v>
      </c>
      <c r="L13">
        <v>2</v>
      </c>
      <c r="M13" s="7" t="b">
        <v>0</v>
      </c>
      <c r="N13" s="7" t="b">
        <v>0</v>
      </c>
      <c r="O13" s="1" t="s">
        <v>19</v>
      </c>
      <c r="P13" s="1" t="s">
        <v>17</v>
      </c>
      <c r="Q13" s="1" t="s">
        <v>17</v>
      </c>
      <c r="R13" s="1" t="s">
        <v>17</v>
      </c>
      <c r="S13" s="1" t="s">
        <v>19</v>
      </c>
      <c r="T13" s="1" t="s">
        <v>19</v>
      </c>
      <c r="U13" t="str">
        <f t="shared" si="0"/>
        <v>filter|dataset|sample</v>
      </c>
      <c r="V13" t="str">
        <f t="shared" si="1"/>
        <v/>
      </c>
      <c r="W13" t="str">
        <f t="shared" si="2"/>
        <v>filter</v>
      </c>
      <c r="X13" t="str">
        <f t="shared" si="3"/>
        <v/>
      </c>
      <c r="Y13" t="str">
        <f t="shared" si="4"/>
        <v/>
      </c>
      <c r="Z13" t="str">
        <f t="shared" si="5"/>
        <v/>
      </c>
      <c r="AA13" t="str">
        <f t="shared" si="6"/>
        <v>dataset</v>
      </c>
      <c r="AB13" t="str">
        <f t="shared" si="7"/>
        <v>sample</v>
      </c>
      <c r="AC13" t="str">
        <f t="shared" si="8"/>
        <v/>
      </c>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c r="ALY13"/>
      <c r="ALZ13"/>
      <c r="AMA13"/>
      <c r="AMB13"/>
      <c r="AMC13"/>
      <c r="AMD13"/>
      <c r="AME13"/>
      <c r="AMF13"/>
      <c r="AMG13"/>
      <c r="AMH13"/>
      <c r="AMI13"/>
      <c r="AMJ13"/>
    </row>
    <row r="14" spans="1:1024" s="27" customFormat="1" x14ac:dyDescent="0.15">
      <c r="A14" t="s">
        <v>164</v>
      </c>
      <c r="B14"/>
      <c r="C14"/>
      <c r="D14"/>
      <c r="E14" t="s">
        <v>105</v>
      </c>
      <c r="F14" t="s">
        <v>165</v>
      </c>
      <c r="G14"/>
      <c r="H14">
        <v>400</v>
      </c>
      <c r="I14" t="b">
        <v>0</v>
      </c>
      <c r="J14" s="1" t="s">
        <v>17</v>
      </c>
      <c r="K14" t="s">
        <v>107</v>
      </c>
      <c r="L14">
        <v>0</v>
      </c>
      <c r="M14" s="7" t="b">
        <v>0</v>
      </c>
      <c r="N14" s="7" t="b">
        <v>0</v>
      </c>
      <c r="O14" s="1" t="s">
        <v>19</v>
      </c>
      <c r="P14" s="1" t="s">
        <v>17</v>
      </c>
      <c r="Q14" s="1" t="s">
        <v>19</v>
      </c>
      <c r="R14" s="1" t="s">
        <v>17</v>
      </c>
      <c r="S14" s="1" t="s">
        <v>17</v>
      </c>
      <c r="T14" s="1" t="s">
        <v>17</v>
      </c>
      <c r="U14" t="str">
        <f t="shared" si="0"/>
        <v>filter|genotype</v>
      </c>
      <c r="V14" t="str">
        <f t="shared" si="1"/>
        <v/>
      </c>
      <c r="W14" t="str">
        <f t="shared" si="2"/>
        <v>filter</v>
      </c>
      <c r="X14" t="str">
        <f t="shared" si="3"/>
        <v/>
      </c>
      <c r="Y14" t="str">
        <f t="shared" si="4"/>
        <v>genotype</v>
      </c>
      <c r="Z14" t="str">
        <f t="shared" si="5"/>
        <v/>
      </c>
      <c r="AA14" t="str">
        <f t="shared" si="6"/>
        <v/>
      </c>
      <c r="AB14" t="str">
        <f t="shared" si="7"/>
        <v/>
      </c>
      <c r="AC14" t="str">
        <f t="shared" si="8"/>
        <v/>
      </c>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c r="AMG14"/>
      <c r="AMH14"/>
      <c r="AMI14"/>
      <c r="AMJ14"/>
    </row>
    <row r="15" spans="1:1024" x14ac:dyDescent="0.15">
      <c r="A15" s="6" t="s">
        <v>2888</v>
      </c>
      <c r="B15" s="6"/>
      <c r="C15" s="6"/>
      <c r="D15" s="6"/>
      <c r="E15" t="s">
        <v>15</v>
      </c>
      <c r="F15" t="s">
        <v>2900</v>
      </c>
      <c r="H15">
        <v>500</v>
      </c>
      <c r="I15" t="b">
        <v>0</v>
      </c>
      <c r="J15" s="1" t="s">
        <v>17</v>
      </c>
      <c r="K15" t="s">
        <v>39</v>
      </c>
      <c r="L15">
        <v>0</v>
      </c>
      <c r="M15" s="7" t="b">
        <v>0</v>
      </c>
      <c r="N15" s="7" t="b">
        <v>0</v>
      </c>
      <c r="O15" s="21" t="b">
        <v>0</v>
      </c>
      <c r="P15" s="21" t="b">
        <v>0</v>
      </c>
      <c r="Q15" s="21" t="b">
        <v>0</v>
      </c>
      <c r="R15" s="21" t="b">
        <v>0</v>
      </c>
      <c r="S15" s="21" t="b">
        <v>1</v>
      </c>
      <c r="T15" s="11" t="s">
        <v>19</v>
      </c>
      <c r="U15" t="str">
        <f t="shared" si="0"/>
        <v>dataset|sample</v>
      </c>
      <c r="V15" t="str">
        <f t="shared" si="1"/>
        <v/>
      </c>
      <c r="W15" t="str">
        <f t="shared" si="2"/>
        <v/>
      </c>
      <c r="X15" t="str">
        <f t="shared" si="3"/>
        <v/>
      </c>
      <c r="Y15" t="str">
        <f t="shared" si="4"/>
        <v/>
      </c>
      <c r="Z15" t="str">
        <f t="shared" si="5"/>
        <v/>
      </c>
      <c r="AA15" t="str">
        <f t="shared" si="6"/>
        <v>dataset</v>
      </c>
      <c r="AB15" t="str">
        <f t="shared" si="7"/>
        <v>sample</v>
      </c>
      <c r="AC15" t="str">
        <f t="shared" si="8"/>
        <v/>
      </c>
    </row>
    <row r="16" spans="1:1024" x14ac:dyDescent="0.15">
      <c r="A16" t="s">
        <v>104</v>
      </c>
      <c r="E16" t="s">
        <v>108</v>
      </c>
      <c r="F16" t="s">
        <v>106</v>
      </c>
      <c r="H16">
        <v>550</v>
      </c>
      <c r="I16" t="b">
        <v>0</v>
      </c>
      <c r="J16" s="1" t="s">
        <v>17</v>
      </c>
      <c r="K16" t="s">
        <v>107</v>
      </c>
      <c r="L16">
        <v>0</v>
      </c>
      <c r="M16" s="7" t="b">
        <v>0</v>
      </c>
      <c r="N16" s="7" t="b">
        <v>0</v>
      </c>
      <c r="O16" s="1" t="s">
        <v>19</v>
      </c>
      <c r="P16" s="1" t="s">
        <v>17</v>
      </c>
      <c r="Q16" s="1" t="s">
        <v>19</v>
      </c>
      <c r="R16" s="1" t="s">
        <v>17</v>
      </c>
      <c r="S16" s="1" t="s">
        <v>17</v>
      </c>
      <c r="T16" s="1" t="s">
        <v>17</v>
      </c>
      <c r="U16" t="str">
        <f t="shared" si="0"/>
        <v>filter|genotype</v>
      </c>
      <c r="V16" t="str">
        <f t="shared" si="1"/>
        <v/>
      </c>
      <c r="W16" t="str">
        <f t="shared" si="2"/>
        <v>filter</v>
      </c>
      <c r="X16" t="str">
        <f t="shared" si="3"/>
        <v/>
      </c>
      <c r="Y16" t="str">
        <f t="shared" si="4"/>
        <v>genotype</v>
      </c>
      <c r="Z16" t="str">
        <f t="shared" si="5"/>
        <v/>
      </c>
      <c r="AA16" t="str">
        <f t="shared" si="6"/>
        <v/>
      </c>
      <c r="AB16" t="str">
        <f t="shared" si="7"/>
        <v/>
      </c>
      <c r="AC16" t="str">
        <f t="shared" si="8"/>
        <v/>
      </c>
    </row>
    <row r="17" spans="1:1024" x14ac:dyDescent="0.15">
      <c r="A17" t="s">
        <v>105</v>
      </c>
      <c r="E17" t="s">
        <v>104</v>
      </c>
      <c r="F17" t="s">
        <v>110</v>
      </c>
      <c r="H17">
        <v>500</v>
      </c>
      <c r="I17" t="b">
        <v>0</v>
      </c>
      <c r="J17" s="1" t="s">
        <v>17</v>
      </c>
      <c r="K17" t="s">
        <v>107</v>
      </c>
      <c r="L17">
        <v>0</v>
      </c>
      <c r="M17" s="7" t="b">
        <v>0</v>
      </c>
      <c r="N17" s="7" t="b">
        <v>0</v>
      </c>
      <c r="O17" s="1" t="s">
        <v>19</v>
      </c>
      <c r="P17" s="1" t="s">
        <v>17</v>
      </c>
      <c r="Q17" s="1" t="s">
        <v>19</v>
      </c>
      <c r="R17" s="1" t="s">
        <v>17</v>
      </c>
      <c r="S17" s="1" t="s">
        <v>17</v>
      </c>
      <c r="T17" s="1" t="s">
        <v>17</v>
      </c>
      <c r="U17" t="str">
        <f t="shared" si="0"/>
        <v>filter|genotype</v>
      </c>
      <c r="V17" t="str">
        <f t="shared" si="1"/>
        <v/>
      </c>
      <c r="W17" t="str">
        <f t="shared" si="2"/>
        <v>filter</v>
      </c>
      <c r="X17" t="str">
        <f t="shared" si="3"/>
        <v/>
      </c>
      <c r="Y17" t="str">
        <f t="shared" si="4"/>
        <v>genotype</v>
      </c>
      <c r="Z17" t="str">
        <f t="shared" si="5"/>
        <v/>
      </c>
      <c r="AA17" t="str">
        <f t="shared" si="6"/>
        <v/>
      </c>
      <c r="AB17" t="str">
        <f t="shared" si="7"/>
        <v/>
      </c>
      <c r="AC17" t="str">
        <f t="shared" si="8"/>
        <v/>
      </c>
    </row>
    <row r="18" spans="1:1024" x14ac:dyDescent="0.15">
      <c r="A18" t="s">
        <v>183</v>
      </c>
      <c r="E18" t="s">
        <v>15</v>
      </c>
      <c r="F18" t="s">
        <v>2784</v>
      </c>
      <c r="H18">
        <v>800</v>
      </c>
      <c r="I18" t="b">
        <v>0</v>
      </c>
      <c r="J18" s="1" t="s">
        <v>17</v>
      </c>
      <c r="K18" t="s">
        <v>184</v>
      </c>
      <c r="L18">
        <v>0</v>
      </c>
      <c r="M18" s="7" t="b">
        <v>0</v>
      </c>
      <c r="N18" s="7" t="b">
        <v>0</v>
      </c>
      <c r="O18" s="1" t="s">
        <v>17</v>
      </c>
      <c r="P18" s="1" t="s">
        <v>19</v>
      </c>
      <c r="Q18" s="1" t="s">
        <v>17</v>
      </c>
      <c r="R18" s="1" t="s">
        <v>17</v>
      </c>
      <c r="S18" s="1" t="s">
        <v>17</v>
      </c>
      <c r="T18" s="1" t="s">
        <v>17</v>
      </c>
      <c r="U18" t="str">
        <f t="shared" si="0"/>
        <v>user</v>
      </c>
      <c r="V18" t="str">
        <f t="shared" si="1"/>
        <v/>
      </c>
      <c r="W18" t="str">
        <f t="shared" si="2"/>
        <v/>
      </c>
      <c r="X18" t="str">
        <f t="shared" si="3"/>
        <v>user</v>
      </c>
      <c r="Y18" t="str">
        <f t="shared" si="4"/>
        <v/>
      </c>
      <c r="Z18" t="str">
        <f t="shared" si="5"/>
        <v/>
      </c>
      <c r="AA18" t="str">
        <f t="shared" si="6"/>
        <v/>
      </c>
      <c r="AB18" t="str">
        <f t="shared" si="7"/>
        <v/>
      </c>
      <c r="AC18" t="str">
        <f t="shared" si="8"/>
        <v/>
      </c>
    </row>
    <row r="19" spans="1:1024" x14ac:dyDescent="0.15">
      <c r="A19" t="s">
        <v>3859</v>
      </c>
      <c r="C19" t="s">
        <v>4119</v>
      </c>
      <c r="D19" t="s">
        <v>21</v>
      </c>
      <c r="E19" t="s">
        <v>15</v>
      </c>
      <c r="F19" t="s">
        <v>131</v>
      </c>
      <c r="H19">
        <v>720</v>
      </c>
      <c r="I19" t="b">
        <v>0</v>
      </c>
      <c r="J19" s="1" t="s">
        <v>17</v>
      </c>
      <c r="K19" t="s">
        <v>23</v>
      </c>
      <c r="L19">
        <v>2</v>
      </c>
      <c r="M19" s="7" t="b">
        <v>0</v>
      </c>
      <c r="N19" s="7" t="b">
        <v>1</v>
      </c>
      <c r="O19" s="1" t="s">
        <v>19</v>
      </c>
      <c r="P19" s="1" t="s">
        <v>17</v>
      </c>
      <c r="Q19" s="1" t="s">
        <v>17</v>
      </c>
      <c r="R19" s="1" t="s">
        <v>19</v>
      </c>
      <c r="S19" s="1" t="s">
        <v>19</v>
      </c>
      <c r="T19" s="1" t="s">
        <v>19</v>
      </c>
      <c r="U19" t="str">
        <f t="shared" si="0"/>
        <v>mandatory|filter|qc|dataset|sample</v>
      </c>
      <c r="V19" t="str">
        <f t="shared" si="1"/>
        <v>mandatory</v>
      </c>
      <c r="W19" t="str">
        <f t="shared" si="2"/>
        <v>filter</v>
      </c>
      <c r="X19" t="str">
        <f t="shared" si="3"/>
        <v/>
      </c>
      <c r="Y19" t="str">
        <f t="shared" si="4"/>
        <v/>
      </c>
      <c r="Z19" t="str">
        <f t="shared" si="5"/>
        <v>qc</v>
      </c>
      <c r="AA19" t="str">
        <f t="shared" si="6"/>
        <v>dataset</v>
      </c>
      <c r="AB19" t="str">
        <f t="shared" si="7"/>
        <v>sample</v>
      </c>
      <c r="AC19" t="str">
        <f t="shared" si="8"/>
        <v/>
      </c>
    </row>
    <row r="20" spans="1:1024" x14ac:dyDescent="0.15">
      <c r="A20" t="s">
        <v>21</v>
      </c>
      <c r="C20" t="s">
        <v>4120</v>
      </c>
      <c r="D20" t="s">
        <v>20</v>
      </c>
      <c r="E20" t="s">
        <v>3859</v>
      </c>
      <c r="F20" t="s">
        <v>135</v>
      </c>
      <c r="H20">
        <v>710</v>
      </c>
      <c r="I20" t="b">
        <v>0</v>
      </c>
      <c r="J20" s="1" t="s">
        <v>17</v>
      </c>
      <c r="K20" t="s">
        <v>23</v>
      </c>
      <c r="L20">
        <v>2</v>
      </c>
      <c r="M20" s="7" t="b">
        <v>0</v>
      </c>
      <c r="N20" s="7" t="b">
        <v>1</v>
      </c>
      <c r="O20" s="1" t="s">
        <v>19</v>
      </c>
      <c r="P20" s="1" t="s">
        <v>17</v>
      </c>
      <c r="Q20" s="1" t="s">
        <v>17</v>
      </c>
      <c r="R20" s="1" t="s">
        <v>19</v>
      </c>
      <c r="S20" s="1" t="s">
        <v>19</v>
      </c>
      <c r="T20" s="1" t="s">
        <v>19</v>
      </c>
      <c r="U20" t="str">
        <f t="shared" si="0"/>
        <v>mandatory|filter|qc|dataset|sample</v>
      </c>
      <c r="V20" t="str">
        <f t="shared" si="1"/>
        <v>mandatory</v>
      </c>
      <c r="W20" t="str">
        <f t="shared" si="2"/>
        <v>filter</v>
      </c>
      <c r="X20" t="str">
        <f t="shared" si="3"/>
        <v/>
      </c>
      <c r="Y20" t="str">
        <f t="shared" si="4"/>
        <v/>
      </c>
      <c r="Z20" t="str">
        <f t="shared" si="5"/>
        <v>qc</v>
      </c>
      <c r="AA20" t="str">
        <f t="shared" si="6"/>
        <v>dataset</v>
      </c>
      <c r="AB20" t="str">
        <f t="shared" si="7"/>
        <v>sample</v>
      </c>
      <c r="AC20" t="str">
        <f t="shared" si="8"/>
        <v/>
      </c>
    </row>
    <row r="21" spans="1:1024" ht="49" customHeight="1" x14ac:dyDescent="0.15">
      <c r="A21" t="s">
        <v>50</v>
      </c>
      <c r="D21" s="37" t="s">
        <v>4130</v>
      </c>
      <c r="E21" t="s">
        <v>15</v>
      </c>
      <c r="F21" t="s">
        <v>60</v>
      </c>
      <c r="H21">
        <v>700</v>
      </c>
      <c r="I21" t="b">
        <v>0</v>
      </c>
      <c r="J21" s="1" t="s">
        <v>17</v>
      </c>
      <c r="K21" t="s">
        <v>51</v>
      </c>
      <c r="L21">
        <v>2</v>
      </c>
      <c r="M21" s="7" t="b">
        <v>0</v>
      </c>
      <c r="N21" s="7" t="b">
        <v>0</v>
      </c>
      <c r="O21" s="1" t="s">
        <v>19</v>
      </c>
      <c r="P21" s="1" t="s">
        <v>17</v>
      </c>
      <c r="Q21" s="1" t="s">
        <v>17</v>
      </c>
      <c r="R21" s="1" t="s">
        <v>19</v>
      </c>
      <c r="S21" s="1" t="s">
        <v>19</v>
      </c>
      <c r="T21" s="1" t="s">
        <v>19</v>
      </c>
      <c r="U21" t="str">
        <f t="shared" si="0"/>
        <v>filter|qc|dataset|sample</v>
      </c>
      <c r="V21" t="str">
        <f t="shared" si="1"/>
        <v/>
      </c>
      <c r="W21" t="str">
        <f t="shared" si="2"/>
        <v>filter</v>
      </c>
      <c r="X21" t="str">
        <f t="shared" si="3"/>
        <v/>
      </c>
      <c r="Y21" t="str">
        <f t="shared" si="4"/>
        <v/>
      </c>
      <c r="Z21" t="str">
        <f t="shared" si="5"/>
        <v>qc</v>
      </c>
      <c r="AA21" t="str">
        <f t="shared" si="6"/>
        <v>dataset</v>
      </c>
      <c r="AB21" t="str">
        <f t="shared" si="7"/>
        <v>sample</v>
      </c>
      <c r="AC21" t="str">
        <f t="shared" si="8"/>
        <v/>
      </c>
    </row>
    <row r="22" spans="1:1024" x14ac:dyDescent="0.15">
      <c r="A22" t="s">
        <v>185</v>
      </c>
      <c r="E22" t="s">
        <v>15</v>
      </c>
      <c r="F22" t="s">
        <v>186</v>
      </c>
      <c r="H22">
        <v>700</v>
      </c>
      <c r="I22" t="b">
        <v>0</v>
      </c>
      <c r="J22" s="1" t="s">
        <v>17</v>
      </c>
      <c r="K22" t="s">
        <v>184</v>
      </c>
      <c r="L22">
        <v>0</v>
      </c>
      <c r="M22" s="7" t="b">
        <v>0</v>
      </c>
      <c r="N22" s="7" t="b">
        <v>0</v>
      </c>
      <c r="O22" s="1" t="s">
        <v>17</v>
      </c>
      <c r="P22" s="1" t="s">
        <v>19</v>
      </c>
      <c r="Q22" s="1" t="s">
        <v>17</v>
      </c>
      <c r="R22" s="1" t="s">
        <v>17</v>
      </c>
      <c r="S22" s="1" t="s">
        <v>17</v>
      </c>
      <c r="T22" s="1" t="s">
        <v>17</v>
      </c>
      <c r="U22" t="str">
        <f t="shared" si="0"/>
        <v>user</v>
      </c>
      <c r="V22" t="str">
        <f t="shared" si="1"/>
        <v/>
      </c>
      <c r="W22" t="str">
        <f t="shared" si="2"/>
        <v/>
      </c>
      <c r="X22" t="str">
        <f t="shared" si="3"/>
        <v>user</v>
      </c>
      <c r="Y22" t="str">
        <f t="shared" si="4"/>
        <v/>
      </c>
      <c r="Z22" t="str">
        <f t="shared" si="5"/>
        <v/>
      </c>
      <c r="AA22" t="str">
        <f t="shared" si="6"/>
        <v/>
      </c>
      <c r="AB22" t="str">
        <f t="shared" si="7"/>
        <v/>
      </c>
      <c r="AC22" t="str">
        <f t="shared" si="8"/>
        <v/>
      </c>
    </row>
    <row r="23" spans="1:1024" x14ac:dyDescent="0.15">
      <c r="A23" s="6" t="s">
        <v>20</v>
      </c>
      <c r="B23" s="6"/>
      <c r="C23" s="6"/>
      <c r="D23" s="6" t="s">
        <v>4090</v>
      </c>
      <c r="E23" t="s">
        <v>21</v>
      </c>
      <c r="F23" t="s">
        <v>22</v>
      </c>
      <c r="H23">
        <v>680</v>
      </c>
      <c r="I23" t="b">
        <v>0</v>
      </c>
      <c r="J23" s="1" t="s">
        <v>17</v>
      </c>
      <c r="K23" t="s">
        <v>23</v>
      </c>
      <c r="L23">
        <v>2</v>
      </c>
      <c r="M23" s="7" t="b">
        <v>0</v>
      </c>
      <c r="N23" s="7" t="b">
        <v>1</v>
      </c>
      <c r="O23" s="1" t="s">
        <v>19</v>
      </c>
      <c r="P23" s="1" t="s">
        <v>17</v>
      </c>
      <c r="Q23" s="1" t="s">
        <v>17</v>
      </c>
      <c r="R23" s="1" t="s">
        <v>19</v>
      </c>
      <c r="S23" s="1" t="s">
        <v>19</v>
      </c>
      <c r="T23" s="1" t="s">
        <v>19</v>
      </c>
      <c r="U23" t="str">
        <f t="shared" si="0"/>
        <v>mandatory|filter|qc|dataset|sample</v>
      </c>
      <c r="V23" t="str">
        <f t="shared" si="1"/>
        <v>mandatory</v>
      </c>
      <c r="W23" t="str">
        <f t="shared" si="2"/>
        <v>filter</v>
      </c>
      <c r="X23" t="str">
        <f t="shared" si="3"/>
        <v/>
      </c>
      <c r="Y23" t="str">
        <f t="shared" si="4"/>
        <v/>
      </c>
      <c r="Z23" t="str">
        <f t="shared" si="5"/>
        <v>qc</v>
      </c>
      <c r="AA23" t="str">
        <f t="shared" si="6"/>
        <v>dataset</v>
      </c>
      <c r="AB23" t="str">
        <f t="shared" si="7"/>
        <v>sample</v>
      </c>
      <c r="AC23" t="str">
        <f t="shared" si="8"/>
        <v/>
      </c>
    </row>
    <row r="24" spans="1:1024" x14ac:dyDescent="0.15">
      <c r="A24" t="s">
        <v>2844</v>
      </c>
      <c r="E24" t="s">
        <v>15</v>
      </c>
      <c r="F24" t="s">
        <v>3093</v>
      </c>
      <c r="H24">
        <v>650</v>
      </c>
      <c r="I24" t="b">
        <v>0</v>
      </c>
      <c r="J24" s="1" t="s">
        <v>17</v>
      </c>
      <c r="K24" t="s">
        <v>44</v>
      </c>
      <c r="L24">
        <v>0</v>
      </c>
      <c r="M24" s="2" t="b">
        <v>0</v>
      </c>
      <c r="N24" s="2" t="b">
        <v>0</v>
      </c>
      <c r="O24" s="1" t="s">
        <v>19</v>
      </c>
      <c r="P24" s="1" t="s">
        <v>17</v>
      </c>
      <c r="Q24" s="1" t="s">
        <v>17</v>
      </c>
      <c r="R24" s="1" t="s">
        <v>17</v>
      </c>
      <c r="S24" s="1" t="s">
        <v>19</v>
      </c>
      <c r="T24" s="1" t="s">
        <v>19</v>
      </c>
      <c r="U24" t="str">
        <f t="shared" si="0"/>
        <v>filter|dataset|sample</v>
      </c>
      <c r="V24" t="str">
        <f t="shared" si="1"/>
        <v/>
      </c>
      <c r="W24" t="str">
        <f t="shared" si="2"/>
        <v>filter</v>
      </c>
      <c r="X24" t="str">
        <f t="shared" si="3"/>
        <v/>
      </c>
      <c r="Y24" t="str">
        <f t="shared" si="4"/>
        <v/>
      </c>
      <c r="Z24" t="str">
        <f t="shared" si="5"/>
        <v/>
      </c>
      <c r="AA24" t="str">
        <f t="shared" si="6"/>
        <v>dataset</v>
      </c>
      <c r="AB24" t="str">
        <f t="shared" si="7"/>
        <v>sample</v>
      </c>
      <c r="AC24" t="str">
        <f t="shared" si="8"/>
        <v/>
      </c>
    </row>
    <row r="25" spans="1:1024" x14ac:dyDescent="0.15">
      <c r="A25" t="s">
        <v>40</v>
      </c>
      <c r="D25" t="s">
        <v>4082</v>
      </c>
      <c r="E25" t="s">
        <v>15</v>
      </c>
      <c r="F25" t="s">
        <v>41</v>
      </c>
      <c r="H25">
        <v>600</v>
      </c>
      <c r="I25" t="b">
        <v>0</v>
      </c>
      <c r="J25" s="1" t="s">
        <v>17</v>
      </c>
      <c r="K25" t="s">
        <v>39</v>
      </c>
      <c r="L25">
        <v>0</v>
      </c>
      <c r="M25" s="7" t="b">
        <v>0</v>
      </c>
      <c r="N25" s="7" t="b">
        <v>0</v>
      </c>
      <c r="O25" s="1" t="s">
        <v>19</v>
      </c>
      <c r="P25" s="1" t="s">
        <v>17</v>
      </c>
      <c r="Q25" s="1" t="s">
        <v>17</v>
      </c>
      <c r="R25" s="1" t="s">
        <v>17</v>
      </c>
      <c r="S25" s="1" t="s">
        <v>19</v>
      </c>
      <c r="T25" s="1" t="s">
        <v>17</v>
      </c>
      <c r="U25" t="str">
        <f t="shared" si="0"/>
        <v>filter|dataset</v>
      </c>
      <c r="V25" t="str">
        <f t="shared" si="1"/>
        <v/>
      </c>
      <c r="W25" t="str">
        <f t="shared" si="2"/>
        <v>filter</v>
      </c>
      <c r="X25" t="str">
        <f t="shared" si="3"/>
        <v/>
      </c>
      <c r="Y25" t="str">
        <f t="shared" si="4"/>
        <v/>
      </c>
      <c r="Z25" t="str">
        <f t="shared" si="5"/>
        <v/>
      </c>
      <c r="AA25" t="str">
        <f t="shared" si="6"/>
        <v>dataset</v>
      </c>
      <c r="AB25" t="str">
        <f t="shared" si="7"/>
        <v/>
      </c>
      <c r="AC25" t="str">
        <f t="shared" si="8"/>
        <v/>
      </c>
    </row>
    <row r="26" spans="1:1024" x14ac:dyDescent="0.15">
      <c r="A26" t="s">
        <v>2945</v>
      </c>
      <c r="E26" t="s">
        <v>15</v>
      </c>
      <c r="F26" t="s">
        <v>2946</v>
      </c>
      <c r="H26">
        <v>600</v>
      </c>
      <c r="I26" t="b">
        <v>0</v>
      </c>
      <c r="J26" s="1" t="s">
        <v>17</v>
      </c>
      <c r="K26" t="s">
        <v>39</v>
      </c>
      <c r="L26">
        <v>0</v>
      </c>
      <c r="M26" s="7" t="b">
        <v>0</v>
      </c>
      <c r="N26" s="7" t="b">
        <v>0</v>
      </c>
      <c r="O26" s="1" t="s">
        <v>17</v>
      </c>
      <c r="P26" s="1" t="s">
        <v>17</v>
      </c>
      <c r="Q26" s="1" t="s">
        <v>17</v>
      </c>
      <c r="R26" s="1" t="s">
        <v>17</v>
      </c>
      <c r="S26" s="1" t="s">
        <v>17</v>
      </c>
      <c r="T26" s="1" t="s">
        <v>17</v>
      </c>
      <c r="U26" t="str">
        <f t="shared" si="0"/>
        <v/>
      </c>
      <c r="V26" t="str">
        <f t="shared" si="1"/>
        <v/>
      </c>
      <c r="W26" t="str">
        <f t="shared" si="2"/>
        <v/>
      </c>
      <c r="X26" t="str">
        <f t="shared" si="3"/>
        <v/>
      </c>
      <c r="Y26" t="str">
        <f t="shared" si="4"/>
        <v/>
      </c>
      <c r="Z26" t="str">
        <f t="shared" si="5"/>
        <v/>
      </c>
      <c r="AA26" t="str">
        <f t="shared" si="6"/>
        <v/>
      </c>
      <c r="AB26" t="str">
        <f t="shared" si="7"/>
        <v/>
      </c>
      <c r="AC26" t="str">
        <f t="shared" si="8"/>
        <v/>
      </c>
    </row>
    <row r="27" spans="1:1024" s="26" customFormat="1" x14ac:dyDescent="0.15">
      <c r="A27" t="s">
        <v>4121</v>
      </c>
      <c r="B27"/>
      <c r="C27" t="s">
        <v>4119</v>
      </c>
      <c r="D27" t="s">
        <v>4122</v>
      </c>
      <c r="E27" t="s">
        <v>15</v>
      </c>
      <c r="F27" t="s">
        <v>2735</v>
      </c>
      <c r="G27"/>
      <c r="H27">
        <v>600</v>
      </c>
      <c r="I27" t="b">
        <v>0</v>
      </c>
      <c r="J27" s="1" t="s">
        <v>17</v>
      </c>
      <c r="K27" t="s">
        <v>51</v>
      </c>
      <c r="L27">
        <v>2</v>
      </c>
      <c r="M27" s="7" t="b">
        <v>0</v>
      </c>
      <c r="N27" s="7" t="b">
        <v>1</v>
      </c>
      <c r="O27" s="1" t="s">
        <v>19</v>
      </c>
      <c r="P27" s="1" t="s">
        <v>17</v>
      </c>
      <c r="Q27" s="1" t="s">
        <v>17</v>
      </c>
      <c r="R27" s="1" t="s">
        <v>19</v>
      </c>
      <c r="S27" s="1" t="s">
        <v>19</v>
      </c>
      <c r="T27" s="1" t="s">
        <v>19</v>
      </c>
      <c r="U27" t="str">
        <f t="shared" si="0"/>
        <v>mandatory|filter|qc|dataset|sample</v>
      </c>
      <c r="V27" t="str">
        <f t="shared" si="1"/>
        <v>mandatory</v>
      </c>
      <c r="W27" t="str">
        <f t="shared" si="2"/>
        <v>filter</v>
      </c>
      <c r="X27" t="str">
        <f t="shared" si="3"/>
        <v/>
      </c>
      <c r="Y27" t="str">
        <f t="shared" si="4"/>
        <v/>
      </c>
      <c r="Z27" t="str">
        <f t="shared" si="5"/>
        <v>qc</v>
      </c>
      <c r="AA27" t="str">
        <f t="shared" si="6"/>
        <v>dataset</v>
      </c>
      <c r="AB27" t="str">
        <f t="shared" si="7"/>
        <v>sample</v>
      </c>
      <c r="AC27" t="str">
        <f t="shared" si="8"/>
        <v/>
      </c>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c r="ALY27"/>
      <c r="ALZ27"/>
      <c r="AMA27"/>
      <c r="AMB27"/>
      <c r="AMC27"/>
      <c r="AMD27"/>
      <c r="AME27"/>
      <c r="AMF27"/>
      <c r="AMG27"/>
      <c r="AMH27"/>
      <c r="AMI27"/>
      <c r="AMJ27"/>
    </row>
    <row r="28" spans="1:1024" x14ac:dyDescent="0.15">
      <c r="A28" s="6" t="s">
        <v>2988</v>
      </c>
      <c r="B28" s="6"/>
      <c r="C28" s="6"/>
      <c r="D28" s="6"/>
      <c r="E28" t="s">
        <v>3120</v>
      </c>
      <c r="F28" t="s">
        <v>3211</v>
      </c>
      <c r="H28">
        <v>600</v>
      </c>
      <c r="I28" t="b">
        <v>0</v>
      </c>
      <c r="J28" s="1" t="s">
        <v>17</v>
      </c>
      <c r="K28" t="s">
        <v>39</v>
      </c>
      <c r="L28">
        <v>0</v>
      </c>
      <c r="M28" s="7" t="b">
        <v>0</v>
      </c>
      <c r="N28" s="7" t="b">
        <v>0</v>
      </c>
      <c r="O28" s="1" t="s">
        <v>19</v>
      </c>
      <c r="P28" s="1" t="s">
        <v>17</v>
      </c>
      <c r="Q28" s="1" t="s">
        <v>17</v>
      </c>
      <c r="R28" s="1" t="s">
        <v>17</v>
      </c>
      <c r="S28" s="1" t="s">
        <v>19</v>
      </c>
      <c r="T28" s="1" t="s">
        <v>19</v>
      </c>
      <c r="U28" t="str">
        <f t="shared" si="0"/>
        <v>filter|dataset|sample</v>
      </c>
      <c r="V28" t="str">
        <f t="shared" si="1"/>
        <v/>
      </c>
      <c r="W28" t="str">
        <f t="shared" si="2"/>
        <v>filter</v>
      </c>
      <c r="X28" t="str">
        <f t="shared" si="3"/>
        <v/>
      </c>
      <c r="Y28" t="str">
        <f t="shared" si="4"/>
        <v/>
      </c>
      <c r="Z28" t="str">
        <f t="shared" si="5"/>
        <v/>
      </c>
      <c r="AA28" t="str">
        <f t="shared" si="6"/>
        <v>dataset</v>
      </c>
      <c r="AB28" t="str">
        <f t="shared" si="7"/>
        <v>sample</v>
      </c>
      <c r="AC28" t="str">
        <f t="shared" si="8"/>
        <v/>
      </c>
    </row>
    <row r="29" spans="1:1024" x14ac:dyDescent="0.15">
      <c r="A29" s="6" t="s">
        <v>3120</v>
      </c>
      <c r="B29" s="6"/>
      <c r="C29" s="6"/>
      <c r="D29" s="6"/>
      <c r="E29" t="s">
        <v>15</v>
      </c>
      <c r="F29" t="s">
        <v>3244</v>
      </c>
      <c r="H29">
        <v>600</v>
      </c>
      <c r="I29" t="b">
        <v>0</v>
      </c>
      <c r="J29" s="1" t="s">
        <v>17</v>
      </c>
      <c r="K29" t="s">
        <v>39</v>
      </c>
      <c r="L29">
        <v>0</v>
      </c>
      <c r="M29" s="7" t="b">
        <v>0</v>
      </c>
      <c r="N29" s="7" t="b">
        <v>0</v>
      </c>
      <c r="O29" s="1" t="s">
        <v>19</v>
      </c>
      <c r="P29" s="1" t="s">
        <v>17</v>
      </c>
      <c r="Q29" s="1" t="s">
        <v>17</v>
      </c>
      <c r="R29" s="1" t="s">
        <v>17</v>
      </c>
      <c r="S29" s="1" t="s">
        <v>19</v>
      </c>
      <c r="T29" s="1" t="s">
        <v>19</v>
      </c>
      <c r="U29" t="str">
        <f t="shared" si="0"/>
        <v>filter|dataset|sample</v>
      </c>
      <c r="V29" t="str">
        <f t="shared" si="1"/>
        <v/>
      </c>
      <c r="W29" t="str">
        <f t="shared" si="2"/>
        <v>filter</v>
      </c>
      <c r="X29" t="str">
        <f t="shared" si="3"/>
        <v/>
      </c>
      <c r="Y29" t="str">
        <f t="shared" si="4"/>
        <v/>
      </c>
      <c r="Z29" t="str">
        <f t="shared" si="5"/>
        <v/>
      </c>
      <c r="AA29" t="str">
        <f t="shared" si="6"/>
        <v>dataset</v>
      </c>
      <c r="AB29" t="str">
        <f t="shared" si="7"/>
        <v>sample</v>
      </c>
      <c r="AC29" t="str">
        <f t="shared" si="8"/>
        <v/>
      </c>
    </row>
    <row r="30" spans="1:1024" x14ac:dyDescent="0.15">
      <c r="A30" t="s">
        <v>189</v>
      </c>
      <c r="E30" t="s">
        <v>15</v>
      </c>
      <c r="F30" t="s">
        <v>190</v>
      </c>
      <c r="H30">
        <v>600</v>
      </c>
      <c r="I30" t="b">
        <v>0</v>
      </c>
      <c r="J30" s="1" t="s">
        <v>17</v>
      </c>
      <c r="K30" t="s">
        <v>184</v>
      </c>
      <c r="L30">
        <v>0</v>
      </c>
      <c r="M30" s="7" t="b">
        <v>0</v>
      </c>
      <c r="N30" s="7" t="b">
        <v>0</v>
      </c>
      <c r="O30" s="1" t="s">
        <v>17</v>
      </c>
      <c r="P30" s="1" t="s">
        <v>19</v>
      </c>
      <c r="Q30" s="1" t="s">
        <v>17</v>
      </c>
      <c r="R30" s="1" t="s">
        <v>17</v>
      </c>
      <c r="S30" s="1" t="s">
        <v>17</v>
      </c>
      <c r="T30" s="1" t="s">
        <v>17</v>
      </c>
      <c r="U30" t="str">
        <f t="shared" si="0"/>
        <v>user</v>
      </c>
      <c r="V30" t="str">
        <f t="shared" si="1"/>
        <v/>
      </c>
      <c r="W30" t="str">
        <f t="shared" si="2"/>
        <v/>
      </c>
      <c r="X30" t="str">
        <f t="shared" si="3"/>
        <v>user</v>
      </c>
      <c r="Y30" t="str">
        <f t="shared" si="4"/>
        <v/>
      </c>
      <c r="Z30" t="str">
        <f t="shared" si="5"/>
        <v/>
      </c>
      <c r="AA30" t="str">
        <f t="shared" si="6"/>
        <v/>
      </c>
      <c r="AB30" t="str">
        <f t="shared" si="7"/>
        <v/>
      </c>
      <c r="AC30" t="str">
        <f t="shared" si="8"/>
        <v/>
      </c>
    </row>
    <row r="31" spans="1:1024" x14ac:dyDescent="0.15">
      <c r="A31" t="s">
        <v>2879</v>
      </c>
      <c r="E31" t="s">
        <v>15</v>
      </c>
      <c r="F31" t="s">
        <v>2880</v>
      </c>
      <c r="H31">
        <v>550</v>
      </c>
      <c r="I31" t="b">
        <v>0</v>
      </c>
      <c r="J31" s="1" t="s">
        <v>17</v>
      </c>
      <c r="K31" t="s">
        <v>39</v>
      </c>
      <c r="L31">
        <v>0</v>
      </c>
      <c r="M31" s="7" t="b">
        <v>0</v>
      </c>
      <c r="N31" s="7" t="b">
        <v>0</v>
      </c>
      <c r="O31" s="1" t="s">
        <v>19</v>
      </c>
      <c r="P31" s="1" t="s">
        <v>17</v>
      </c>
      <c r="Q31" s="1" t="s">
        <v>17</v>
      </c>
      <c r="R31" s="1" t="s">
        <v>17</v>
      </c>
      <c r="S31" s="1" t="s">
        <v>19</v>
      </c>
      <c r="T31" s="1" t="s">
        <v>19</v>
      </c>
      <c r="U31" t="str">
        <f t="shared" si="0"/>
        <v>filter|dataset|sample</v>
      </c>
      <c r="V31" t="str">
        <f t="shared" si="1"/>
        <v/>
      </c>
      <c r="W31" t="str">
        <f t="shared" si="2"/>
        <v>filter</v>
      </c>
      <c r="X31" t="str">
        <f t="shared" si="3"/>
        <v/>
      </c>
      <c r="Y31" t="str">
        <f t="shared" si="4"/>
        <v/>
      </c>
      <c r="Z31" t="str">
        <f t="shared" si="5"/>
        <v/>
      </c>
      <c r="AA31" t="str">
        <f t="shared" si="6"/>
        <v>dataset</v>
      </c>
      <c r="AB31" t="str">
        <f t="shared" si="7"/>
        <v>sample</v>
      </c>
      <c r="AC31" t="str">
        <f t="shared" si="8"/>
        <v/>
      </c>
    </row>
    <row r="32" spans="1:1024" x14ac:dyDescent="0.15">
      <c r="A32" s="6" t="s">
        <v>171</v>
      </c>
      <c r="B32" s="6"/>
      <c r="C32" s="6"/>
      <c r="D32" s="6" t="s">
        <v>4131</v>
      </c>
      <c r="E32" s="6" t="s">
        <v>25</v>
      </c>
      <c r="F32" s="6" t="s">
        <v>172</v>
      </c>
      <c r="G32" s="6"/>
      <c r="H32">
        <v>550</v>
      </c>
      <c r="I32" t="b">
        <v>0</v>
      </c>
      <c r="J32" s="1" t="s">
        <v>17</v>
      </c>
      <c r="K32" t="s">
        <v>27</v>
      </c>
      <c r="L32">
        <v>1</v>
      </c>
      <c r="M32" s="7" t="b">
        <v>0</v>
      </c>
      <c r="N32" s="7" t="b">
        <v>0</v>
      </c>
      <c r="O32" s="1" t="s">
        <v>19</v>
      </c>
      <c r="P32" s="1" t="s">
        <v>17</v>
      </c>
      <c r="Q32" s="1" t="s">
        <v>17</v>
      </c>
      <c r="R32" s="1" t="s">
        <v>17</v>
      </c>
      <c r="S32" s="1" t="s">
        <v>19</v>
      </c>
      <c r="T32" s="1" t="s">
        <v>17</v>
      </c>
      <c r="U32" t="str">
        <f t="shared" si="0"/>
        <v>filter|dataset</v>
      </c>
      <c r="V32" t="str">
        <f t="shared" si="1"/>
        <v/>
      </c>
      <c r="W32" t="str">
        <f t="shared" si="2"/>
        <v>filter</v>
      </c>
      <c r="X32" t="str">
        <f t="shared" si="3"/>
        <v/>
      </c>
      <c r="Y32" t="str">
        <f t="shared" si="4"/>
        <v/>
      </c>
      <c r="Z32" t="str">
        <f t="shared" si="5"/>
        <v/>
      </c>
      <c r="AA32" t="str">
        <f t="shared" si="6"/>
        <v>dataset</v>
      </c>
      <c r="AB32" t="str">
        <f t="shared" si="7"/>
        <v/>
      </c>
      <c r="AC32" t="str">
        <f t="shared" si="8"/>
        <v/>
      </c>
    </row>
    <row r="33" spans="1:1024" x14ac:dyDescent="0.15">
      <c r="A33" t="s">
        <v>187</v>
      </c>
      <c r="E33" t="s">
        <v>15</v>
      </c>
      <c r="F33" t="s">
        <v>188</v>
      </c>
      <c r="H33">
        <v>550</v>
      </c>
      <c r="I33" t="b">
        <v>0</v>
      </c>
      <c r="J33" s="1" t="s">
        <v>17</v>
      </c>
      <c r="K33" t="s">
        <v>184</v>
      </c>
      <c r="L33">
        <v>0</v>
      </c>
      <c r="M33" s="7" t="b">
        <v>0</v>
      </c>
      <c r="N33" s="7" t="b">
        <v>0</v>
      </c>
      <c r="O33" s="1" t="s">
        <v>19</v>
      </c>
      <c r="P33" s="1" t="s">
        <v>19</v>
      </c>
      <c r="Q33" s="1" t="s">
        <v>17</v>
      </c>
      <c r="R33" s="1" t="s">
        <v>17</v>
      </c>
      <c r="S33" s="1" t="s">
        <v>17</v>
      </c>
      <c r="T33" s="1" t="s">
        <v>17</v>
      </c>
      <c r="U33" t="str">
        <f t="shared" si="0"/>
        <v>filter|user</v>
      </c>
      <c r="V33" t="str">
        <f t="shared" si="1"/>
        <v/>
      </c>
      <c r="W33" t="str">
        <f t="shared" si="2"/>
        <v>filter</v>
      </c>
      <c r="X33" t="str">
        <f t="shared" si="3"/>
        <v>user</v>
      </c>
      <c r="Y33" t="str">
        <f t="shared" si="4"/>
        <v/>
      </c>
      <c r="Z33" t="str">
        <f t="shared" si="5"/>
        <v/>
      </c>
      <c r="AA33" t="str">
        <f t="shared" si="6"/>
        <v/>
      </c>
      <c r="AB33" t="str">
        <f t="shared" si="7"/>
        <v/>
      </c>
      <c r="AC33" t="str">
        <f t="shared" si="8"/>
        <v/>
      </c>
    </row>
    <row r="34" spans="1:1024" x14ac:dyDescent="0.15">
      <c r="A34" s="6" t="s">
        <v>209</v>
      </c>
      <c r="B34" s="6"/>
      <c r="C34" s="6"/>
      <c r="D34" s="6"/>
      <c r="E34" t="s">
        <v>15</v>
      </c>
      <c r="F34" t="s">
        <v>3143</v>
      </c>
      <c r="H34">
        <v>500</v>
      </c>
      <c r="I34" t="b">
        <v>0</v>
      </c>
      <c r="J34" s="1" t="s">
        <v>17</v>
      </c>
      <c r="K34" t="s">
        <v>18</v>
      </c>
      <c r="L34">
        <v>0</v>
      </c>
      <c r="M34" s="7" t="b">
        <v>0</v>
      </c>
      <c r="N34" s="7" t="b">
        <v>0</v>
      </c>
      <c r="O34" s="1" t="s">
        <v>19</v>
      </c>
      <c r="P34" s="1" t="s">
        <v>17</v>
      </c>
      <c r="Q34" s="1" t="s">
        <v>17</v>
      </c>
      <c r="R34" s="1" t="s">
        <v>17</v>
      </c>
      <c r="S34" s="1" t="s">
        <v>19</v>
      </c>
      <c r="T34" s="1" t="s">
        <v>17</v>
      </c>
      <c r="U34" t="str">
        <f t="shared" si="0"/>
        <v>filter|dataset</v>
      </c>
      <c r="V34" t="str">
        <f t="shared" si="1"/>
        <v/>
      </c>
      <c r="W34" t="str">
        <f t="shared" si="2"/>
        <v>filter</v>
      </c>
      <c r="X34" t="str">
        <f t="shared" si="3"/>
        <v/>
      </c>
      <c r="Y34" t="str">
        <f t="shared" si="4"/>
        <v/>
      </c>
      <c r="Z34" t="str">
        <f t="shared" si="5"/>
        <v/>
      </c>
      <c r="AA34" t="str">
        <f t="shared" si="6"/>
        <v>dataset</v>
      </c>
      <c r="AB34" t="str">
        <f t="shared" si="7"/>
        <v/>
      </c>
      <c r="AC34" t="str">
        <f t="shared" si="8"/>
        <v/>
      </c>
    </row>
    <row r="35" spans="1:1024" x14ac:dyDescent="0.15">
      <c r="A35" s="6" t="s">
        <v>28</v>
      </c>
      <c r="B35" s="6"/>
      <c r="C35" s="6"/>
      <c r="D35" s="6"/>
      <c r="E35" t="s">
        <v>29</v>
      </c>
      <c r="F35" t="s">
        <v>30</v>
      </c>
      <c r="H35">
        <v>500</v>
      </c>
      <c r="I35" t="b">
        <v>0</v>
      </c>
      <c r="J35" s="1" t="s">
        <v>17</v>
      </c>
      <c r="K35" t="s">
        <v>31</v>
      </c>
      <c r="L35">
        <v>3</v>
      </c>
      <c r="M35" s="7" t="b">
        <v>0</v>
      </c>
      <c r="N35" s="7" t="b">
        <v>0</v>
      </c>
      <c r="O35" s="1" t="s">
        <v>19</v>
      </c>
      <c r="P35" s="1" t="s">
        <v>17</v>
      </c>
      <c r="Q35" s="1" t="s">
        <v>17</v>
      </c>
      <c r="R35" s="1" t="s">
        <v>17</v>
      </c>
      <c r="S35" s="1" t="s">
        <v>19</v>
      </c>
      <c r="T35" s="1" t="s">
        <v>17</v>
      </c>
      <c r="U35" t="str">
        <f t="shared" si="0"/>
        <v>filter|dataset</v>
      </c>
      <c r="V35" t="str">
        <f t="shared" si="1"/>
        <v/>
      </c>
      <c r="W35" t="str">
        <f t="shared" si="2"/>
        <v>filter</v>
      </c>
      <c r="X35" t="str">
        <f t="shared" si="3"/>
        <v/>
      </c>
      <c r="Y35" t="str">
        <f t="shared" si="4"/>
        <v/>
      </c>
      <c r="Z35" t="str">
        <f t="shared" si="5"/>
        <v/>
      </c>
      <c r="AA35" t="str">
        <f t="shared" si="6"/>
        <v>dataset</v>
      </c>
      <c r="AB35" t="str">
        <f t="shared" si="7"/>
        <v/>
      </c>
      <c r="AC35" t="str">
        <f t="shared" si="8"/>
        <v/>
      </c>
    </row>
    <row r="36" spans="1:1024" x14ac:dyDescent="0.15">
      <c r="A36" t="s">
        <v>32</v>
      </c>
      <c r="E36" t="s">
        <v>15</v>
      </c>
      <c r="F36" t="s">
        <v>33</v>
      </c>
      <c r="H36">
        <v>500</v>
      </c>
      <c r="I36" t="b">
        <v>0</v>
      </c>
      <c r="J36" s="1" t="s">
        <v>17</v>
      </c>
      <c r="K36" t="s">
        <v>34</v>
      </c>
      <c r="L36">
        <v>0</v>
      </c>
      <c r="M36" s="7" t="b">
        <v>0</v>
      </c>
      <c r="N36" s="7" t="b">
        <v>0</v>
      </c>
      <c r="O36" s="1" t="s">
        <v>17</v>
      </c>
      <c r="P36" s="1" t="s">
        <v>17</v>
      </c>
      <c r="Q36" s="1" t="s">
        <v>17</v>
      </c>
      <c r="R36" s="1" t="s">
        <v>17</v>
      </c>
      <c r="S36" s="1" t="s">
        <v>19</v>
      </c>
      <c r="T36" s="1" t="s">
        <v>17</v>
      </c>
      <c r="U36" t="str">
        <f t="shared" si="0"/>
        <v>dataset</v>
      </c>
      <c r="V36" t="str">
        <f t="shared" si="1"/>
        <v/>
      </c>
      <c r="W36" t="str">
        <f t="shared" si="2"/>
        <v/>
      </c>
      <c r="X36" t="str">
        <f t="shared" si="3"/>
        <v/>
      </c>
      <c r="Y36" t="str">
        <f t="shared" si="4"/>
        <v/>
      </c>
      <c r="Z36" t="str">
        <f t="shared" si="5"/>
        <v/>
      </c>
      <c r="AA36" t="str">
        <f t="shared" si="6"/>
        <v>dataset</v>
      </c>
      <c r="AB36" t="str">
        <f t="shared" si="7"/>
        <v/>
      </c>
      <c r="AC36" t="str">
        <f t="shared" si="8"/>
        <v/>
      </c>
    </row>
    <row r="37" spans="1:1024" x14ac:dyDescent="0.15">
      <c r="A37" t="s">
        <v>37</v>
      </c>
      <c r="E37" t="s">
        <v>15</v>
      </c>
      <c r="F37" t="s">
        <v>38</v>
      </c>
      <c r="H37">
        <v>500</v>
      </c>
      <c r="I37" t="b">
        <v>0</v>
      </c>
      <c r="J37" s="1" t="s">
        <v>17</v>
      </c>
      <c r="K37" t="s">
        <v>39</v>
      </c>
      <c r="L37">
        <v>0</v>
      </c>
      <c r="M37" s="7" t="b">
        <v>0</v>
      </c>
      <c r="N37" s="7" t="b">
        <v>0</v>
      </c>
      <c r="O37" s="1" t="s">
        <v>19</v>
      </c>
      <c r="P37" s="1" t="s">
        <v>17</v>
      </c>
      <c r="Q37" s="1" t="s">
        <v>17</v>
      </c>
      <c r="R37" s="1" t="s">
        <v>17</v>
      </c>
      <c r="S37" s="1" t="s">
        <v>19</v>
      </c>
      <c r="T37" s="1" t="s">
        <v>17</v>
      </c>
      <c r="U37" t="str">
        <f t="shared" si="0"/>
        <v>filter|dataset</v>
      </c>
      <c r="V37" t="str">
        <f t="shared" si="1"/>
        <v/>
      </c>
      <c r="W37" t="str">
        <f t="shared" si="2"/>
        <v>filter</v>
      </c>
      <c r="X37" t="str">
        <f t="shared" si="3"/>
        <v/>
      </c>
      <c r="Y37" t="str">
        <f t="shared" si="4"/>
        <v/>
      </c>
      <c r="Z37" t="str">
        <f t="shared" si="5"/>
        <v/>
      </c>
      <c r="AA37" t="str">
        <f t="shared" si="6"/>
        <v>dataset</v>
      </c>
      <c r="AB37" t="str">
        <f t="shared" si="7"/>
        <v/>
      </c>
      <c r="AC37" t="str">
        <f t="shared" si="8"/>
        <v/>
      </c>
    </row>
    <row r="38" spans="1:1024" x14ac:dyDescent="0.15">
      <c r="A38" s="6" t="s">
        <v>47</v>
      </c>
      <c r="B38" s="6"/>
      <c r="C38" s="6"/>
      <c r="D38" s="6"/>
      <c r="E38" s="6" t="s">
        <v>20</v>
      </c>
      <c r="F38" s="6" t="s">
        <v>48</v>
      </c>
      <c r="G38" s="6"/>
      <c r="H38">
        <v>500</v>
      </c>
      <c r="I38" t="b">
        <v>0</v>
      </c>
      <c r="J38" s="1" t="s">
        <v>17</v>
      </c>
      <c r="K38" t="s">
        <v>23</v>
      </c>
      <c r="L38">
        <v>2</v>
      </c>
      <c r="M38" s="7" t="b">
        <v>0</v>
      </c>
      <c r="N38" s="7" t="b">
        <v>0</v>
      </c>
      <c r="O38" s="1" t="s">
        <v>19</v>
      </c>
      <c r="P38" s="1" t="s">
        <v>17</v>
      </c>
      <c r="Q38" s="1" t="s">
        <v>17</v>
      </c>
      <c r="R38" s="1" t="s">
        <v>17</v>
      </c>
      <c r="S38" s="1" t="s">
        <v>19</v>
      </c>
      <c r="T38" s="1" t="s">
        <v>19</v>
      </c>
      <c r="U38" t="str">
        <f t="shared" si="0"/>
        <v>filter|dataset|sample</v>
      </c>
      <c r="V38" t="str">
        <f t="shared" si="1"/>
        <v/>
      </c>
      <c r="W38" t="str">
        <f t="shared" si="2"/>
        <v>filter</v>
      </c>
      <c r="X38" t="str">
        <f t="shared" si="3"/>
        <v/>
      </c>
      <c r="Y38" t="str">
        <f t="shared" si="4"/>
        <v/>
      </c>
      <c r="Z38" t="str">
        <f t="shared" si="5"/>
        <v/>
      </c>
      <c r="AA38" t="str">
        <f t="shared" si="6"/>
        <v>dataset</v>
      </c>
      <c r="AB38" t="str">
        <f t="shared" si="7"/>
        <v>sample</v>
      </c>
      <c r="AC38" t="str">
        <f t="shared" si="8"/>
        <v/>
      </c>
    </row>
    <row r="39" spans="1:1024" x14ac:dyDescent="0.15">
      <c r="A39" t="s">
        <v>85</v>
      </c>
      <c r="E39" t="s">
        <v>15</v>
      </c>
      <c r="F39" t="s">
        <v>86</v>
      </c>
      <c r="H39">
        <v>500</v>
      </c>
      <c r="I39" t="b">
        <v>0</v>
      </c>
      <c r="J39" s="1" t="s">
        <v>17</v>
      </c>
      <c r="K39" t="s">
        <v>39</v>
      </c>
      <c r="L39">
        <v>0</v>
      </c>
      <c r="M39" s="7" t="b">
        <v>0</v>
      </c>
      <c r="N39" s="7" t="b">
        <v>0</v>
      </c>
      <c r="O39" s="1" t="s">
        <v>19</v>
      </c>
      <c r="P39" s="1" t="s">
        <v>17</v>
      </c>
      <c r="Q39" s="1" t="s">
        <v>17</v>
      </c>
      <c r="R39" s="1" t="s">
        <v>17</v>
      </c>
      <c r="S39" s="1" t="s">
        <v>19</v>
      </c>
      <c r="T39" s="1" t="s">
        <v>17</v>
      </c>
      <c r="U39" t="str">
        <f t="shared" si="0"/>
        <v>filter|dataset</v>
      </c>
      <c r="V39" t="str">
        <f t="shared" si="1"/>
        <v/>
      </c>
      <c r="W39" t="str">
        <f t="shared" si="2"/>
        <v>filter</v>
      </c>
      <c r="X39" t="str">
        <f t="shared" si="3"/>
        <v/>
      </c>
      <c r="Y39" t="str">
        <f t="shared" si="4"/>
        <v/>
      </c>
      <c r="Z39" t="str">
        <f t="shared" si="5"/>
        <v/>
      </c>
      <c r="AA39" t="str">
        <f t="shared" si="6"/>
        <v>dataset</v>
      </c>
      <c r="AB39" t="str">
        <f t="shared" si="7"/>
        <v/>
      </c>
      <c r="AC39" t="str">
        <f t="shared" si="8"/>
        <v/>
      </c>
    </row>
    <row r="40" spans="1:1024" x14ac:dyDescent="0.15">
      <c r="A40" t="s">
        <v>89</v>
      </c>
      <c r="E40" t="s">
        <v>15</v>
      </c>
      <c r="F40" t="s">
        <v>90</v>
      </c>
      <c r="H40">
        <v>500</v>
      </c>
      <c r="I40" t="b">
        <v>0</v>
      </c>
      <c r="J40" s="1" t="s">
        <v>17</v>
      </c>
      <c r="K40" t="s">
        <v>91</v>
      </c>
      <c r="L40">
        <v>0</v>
      </c>
      <c r="M40" s="7" t="b">
        <v>1</v>
      </c>
      <c r="N40" s="7" t="b">
        <v>1</v>
      </c>
      <c r="O40" s="1" t="s">
        <v>19</v>
      </c>
      <c r="P40" s="1" t="s">
        <v>17</v>
      </c>
      <c r="Q40" s="1" t="s">
        <v>17</v>
      </c>
      <c r="R40" s="1" t="s">
        <v>17</v>
      </c>
      <c r="S40" s="1" t="s">
        <v>19</v>
      </c>
      <c r="T40" s="1" t="s">
        <v>17</v>
      </c>
      <c r="U40" t="str">
        <f t="shared" si="0"/>
        <v>mandatory|filter|dataset</v>
      </c>
      <c r="V40" t="str">
        <f t="shared" si="1"/>
        <v>mandatory</v>
      </c>
      <c r="W40" t="str">
        <f t="shared" si="2"/>
        <v>filter</v>
      </c>
      <c r="X40" t="str">
        <f t="shared" si="3"/>
        <v/>
      </c>
      <c r="Y40" t="str">
        <f t="shared" si="4"/>
        <v/>
      </c>
      <c r="Z40" t="str">
        <f t="shared" si="5"/>
        <v/>
      </c>
      <c r="AA40" t="str">
        <f t="shared" si="6"/>
        <v>dataset</v>
      </c>
      <c r="AB40" t="str">
        <f t="shared" si="7"/>
        <v/>
      </c>
      <c r="AC40" t="str">
        <f t="shared" si="8"/>
        <v/>
      </c>
    </row>
    <row r="41" spans="1:1024" x14ac:dyDescent="0.15">
      <c r="A41" s="6" t="s">
        <v>99</v>
      </c>
      <c r="B41" s="6"/>
      <c r="C41" s="6"/>
      <c r="D41" s="6"/>
      <c r="E41" t="s">
        <v>29</v>
      </c>
      <c r="F41" t="s">
        <v>100</v>
      </c>
      <c r="H41">
        <v>500</v>
      </c>
      <c r="I41" t="b">
        <v>0</v>
      </c>
      <c r="J41" s="1" t="s">
        <v>17</v>
      </c>
      <c r="K41" t="s">
        <v>31</v>
      </c>
      <c r="L41">
        <v>0</v>
      </c>
      <c r="M41" s="7" t="b">
        <v>0</v>
      </c>
      <c r="N41" s="7" t="b">
        <v>0</v>
      </c>
      <c r="O41" s="1" t="s">
        <v>19</v>
      </c>
      <c r="P41" s="1" t="s">
        <v>17</v>
      </c>
      <c r="Q41" s="1" t="s">
        <v>17</v>
      </c>
      <c r="R41" s="1" t="s">
        <v>17</v>
      </c>
      <c r="S41" s="1" t="s">
        <v>19</v>
      </c>
      <c r="T41" s="1" t="s">
        <v>17</v>
      </c>
      <c r="U41" t="str">
        <f t="shared" si="0"/>
        <v>filter|dataset</v>
      </c>
      <c r="V41" t="str">
        <f t="shared" si="1"/>
        <v/>
      </c>
      <c r="W41" t="str">
        <f t="shared" si="2"/>
        <v>filter</v>
      </c>
      <c r="X41" t="str">
        <f t="shared" si="3"/>
        <v/>
      </c>
      <c r="Y41" t="str">
        <f t="shared" si="4"/>
        <v/>
      </c>
      <c r="Z41" t="str">
        <f t="shared" si="5"/>
        <v/>
      </c>
      <c r="AA41" t="str">
        <f t="shared" si="6"/>
        <v>dataset</v>
      </c>
      <c r="AB41" t="str">
        <f t="shared" si="7"/>
        <v/>
      </c>
      <c r="AC41" t="str">
        <f t="shared" si="8"/>
        <v/>
      </c>
    </row>
    <row r="42" spans="1:1024" x14ac:dyDescent="0.15">
      <c r="A42" t="s">
        <v>101</v>
      </c>
      <c r="E42" t="s">
        <v>15</v>
      </c>
      <c r="F42" t="s">
        <v>102</v>
      </c>
      <c r="H42">
        <v>500</v>
      </c>
      <c r="I42" t="b">
        <v>0</v>
      </c>
      <c r="J42" s="1" t="s">
        <v>17</v>
      </c>
      <c r="K42" t="s">
        <v>103</v>
      </c>
      <c r="L42">
        <v>0</v>
      </c>
      <c r="M42" s="7" t="b">
        <v>0</v>
      </c>
      <c r="N42" s="7" t="b">
        <v>0</v>
      </c>
      <c r="O42" s="1" t="s">
        <v>19</v>
      </c>
      <c r="P42" s="1" t="s">
        <v>17</v>
      </c>
      <c r="Q42" s="1" t="s">
        <v>17</v>
      </c>
      <c r="R42" s="1" t="s">
        <v>17</v>
      </c>
      <c r="S42" s="1" t="s">
        <v>19</v>
      </c>
      <c r="T42" s="1" t="s">
        <v>17</v>
      </c>
      <c r="U42" t="str">
        <f t="shared" si="0"/>
        <v>filter|dataset</v>
      </c>
      <c r="V42" t="str">
        <f t="shared" si="1"/>
        <v/>
      </c>
      <c r="W42" t="str">
        <f t="shared" si="2"/>
        <v>filter</v>
      </c>
      <c r="X42" t="str">
        <f t="shared" si="3"/>
        <v/>
      </c>
      <c r="Y42" t="str">
        <f t="shared" si="4"/>
        <v/>
      </c>
      <c r="Z42" t="str">
        <f t="shared" si="5"/>
        <v/>
      </c>
      <c r="AA42" t="str">
        <f t="shared" si="6"/>
        <v>dataset</v>
      </c>
      <c r="AB42" t="str">
        <f t="shared" si="7"/>
        <v/>
      </c>
      <c r="AC42" t="str">
        <f t="shared" si="8"/>
        <v/>
      </c>
    </row>
    <row r="43" spans="1:1024" s="27" customFormat="1" x14ac:dyDescent="0.15">
      <c r="A43" t="s">
        <v>1170</v>
      </c>
      <c r="B43"/>
      <c r="C43"/>
      <c r="D43"/>
      <c r="E43" s="6" t="s">
        <v>15</v>
      </c>
      <c r="F43" s="6" t="s">
        <v>3105</v>
      </c>
      <c r="G43" s="6"/>
      <c r="H43">
        <v>500</v>
      </c>
      <c r="I43" t="b">
        <v>0</v>
      </c>
      <c r="J43" s="1" t="s">
        <v>17</v>
      </c>
      <c r="K43" t="s">
        <v>44</v>
      </c>
      <c r="L43">
        <v>0</v>
      </c>
      <c r="M43" s="7" t="b">
        <v>0</v>
      </c>
      <c r="N43" s="7" t="b">
        <v>0</v>
      </c>
      <c r="O43" s="1" t="s">
        <v>19</v>
      </c>
      <c r="P43" s="1" t="s">
        <v>17</v>
      </c>
      <c r="Q43" s="1" t="s">
        <v>17</v>
      </c>
      <c r="R43" s="1" t="s">
        <v>17</v>
      </c>
      <c r="S43" s="1" t="s">
        <v>19</v>
      </c>
      <c r="T43" s="1" t="s">
        <v>19</v>
      </c>
      <c r="U43" t="str">
        <f t="shared" si="0"/>
        <v>filter|dataset|sample</v>
      </c>
      <c r="V43" t="str">
        <f t="shared" si="1"/>
        <v/>
      </c>
      <c r="W43" t="str">
        <f t="shared" si="2"/>
        <v>filter</v>
      </c>
      <c r="X43" t="str">
        <f t="shared" si="3"/>
        <v/>
      </c>
      <c r="Y43" t="str">
        <f t="shared" si="4"/>
        <v/>
      </c>
      <c r="Z43" t="str">
        <f t="shared" si="5"/>
        <v/>
      </c>
      <c r="AA43" t="str">
        <f t="shared" si="6"/>
        <v>dataset</v>
      </c>
      <c r="AB43" t="str">
        <f t="shared" si="7"/>
        <v>sample</v>
      </c>
      <c r="AC43" t="str">
        <f t="shared" si="8"/>
        <v/>
      </c>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c r="ALY43"/>
      <c r="ALZ43"/>
      <c r="AMA43"/>
      <c r="AMB43"/>
      <c r="AMC43"/>
      <c r="AMD43"/>
      <c r="AME43"/>
      <c r="AMF43"/>
      <c r="AMG43"/>
      <c r="AMH43"/>
      <c r="AMI43"/>
      <c r="AMJ43"/>
    </row>
    <row r="44" spans="1:1024" x14ac:dyDescent="0.15">
      <c r="A44" t="s">
        <v>4122</v>
      </c>
      <c r="C44" t="s">
        <v>4120</v>
      </c>
      <c r="D44" t="s">
        <v>3221</v>
      </c>
      <c r="E44" t="s">
        <v>117</v>
      </c>
      <c r="F44" t="s">
        <v>2736</v>
      </c>
      <c r="H44">
        <v>500</v>
      </c>
      <c r="I44" t="b">
        <v>0</v>
      </c>
      <c r="J44" s="1" t="s">
        <v>17</v>
      </c>
      <c r="K44" t="s">
        <v>51</v>
      </c>
      <c r="L44">
        <v>2</v>
      </c>
      <c r="M44" s="7" t="b">
        <v>0</v>
      </c>
      <c r="N44" s="7" t="b">
        <v>1</v>
      </c>
      <c r="O44" s="1" t="s">
        <v>19</v>
      </c>
      <c r="P44" s="1" t="s">
        <v>17</v>
      </c>
      <c r="Q44" s="1" t="s">
        <v>17</v>
      </c>
      <c r="R44" s="1" t="s">
        <v>19</v>
      </c>
      <c r="S44" s="1" t="s">
        <v>19</v>
      </c>
      <c r="T44" s="1" t="s">
        <v>19</v>
      </c>
      <c r="U44" t="str">
        <f t="shared" si="0"/>
        <v>mandatory|filter|qc|dataset|sample</v>
      </c>
      <c r="V44" t="str">
        <f t="shared" si="1"/>
        <v>mandatory</v>
      </c>
      <c r="W44" t="str">
        <f t="shared" si="2"/>
        <v>filter</v>
      </c>
      <c r="X44" t="str">
        <f t="shared" si="3"/>
        <v/>
      </c>
      <c r="Y44" t="str">
        <f t="shared" si="4"/>
        <v/>
      </c>
      <c r="Z44" t="str">
        <f t="shared" si="5"/>
        <v>qc</v>
      </c>
      <c r="AA44" t="str">
        <f t="shared" si="6"/>
        <v>dataset</v>
      </c>
      <c r="AB44" t="str">
        <f t="shared" si="7"/>
        <v>sample</v>
      </c>
      <c r="AC44" t="str">
        <f t="shared" si="8"/>
        <v/>
      </c>
    </row>
    <row r="45" spans="1:1024" x14ac:dyDescent="0.15">
      <c r="A45" s="6" t="s">
        <v>121</v>
      </c>
      <c r="B45" s="6"/>
      <c r="C45" s="6"/>
      <c r="D45" s="6"/>
      <c r="E45" s="6" t="s">
        <v>74</v>
      </c>
      <c r="F45" t="s">
        <v>122</v>
      </c>
      <c r="H45">
        <v>500</v>
      </c>
      <c r="I45" t="b">
        <v>0</v>
      </c>
      <c r="J45" s="1" t="s">
        <v>17</v>
      </c>
      <c r="K45" t="s">
        <v>76</v>
      </c>
      <c r="L45">
        <v>1</v>
      </c>
      <c r="M45" s="7" t="b">
        <v>0</v>
      </c>
      <c r="N45" s="7" t="b">
        <v>0</v>
      </c>
      <c r="O45" s="1" t="s">
        <v>19</v>
      </c>
      <c r="P45" s="1" t="s">
        <v>17</v>
      </c>
      <c r="Q45" s="1" t="s">
        <v>17</v>
      </c>
      <c r="R45" s="1" t="s">
        <v>17</v>
      </c>
      <c r="S45" s="1" t="s">
        <v>19</v>
      </c>
      <c r="T45" s="1" t="s">
        <v>19</v>
      </c>
      <c r="U45" t="str">
        <f t="shared" si="0"/>
        <v>filter|dataset|sample</v>
      </c>
      <c r="V45" t="str">
        <f t="shared" si="1"/>
        <v/>
      </c>
      <c r="W45" t="str">
        <f t="shared" si="2"/>
        <v>filter</v>
      </c>
      <c r="X45" t="str">
        <f t="shared" si="3"/>
        <v/>
      </c>
      <c r="Y45" t="str">
        <f t="shared" si="4"/>
        <v/>
      </c>
      <c r="Z45" t="str">
        <f t="shared" si="5"/>
        <v/>
      </c>
      <c r="AA45" t="str">
        <f t="shared" si="6"/>
        <v>dataset</v>
      </c>
      <c r="AB45" t="str">
        <f t="shared" si="7"/>
        <v>sample</v>
      </c>
      <c r="AC45" t="str">
        <f t="shared" si="8"/>
        <v/>
      </c>
    </row>
    <row r="46" spans="1:1024" x14ac:dyDescent="0.15">
      <c r="A46" s="6" t="s">
        <v>74</v>
      </c>
      <c r="B46" s="6"/>
      <c r="C46" s="6"/>
      <c r="D46" s="6" t="s">
        <v>121</v>
      </c>
      <c r="E46" t="s">
        <v>15</v>
      </c>
      <c r="F46" t="s">
        <v>123</v>
      </c>
      <c r="H46">
        <v>500</v>
      </c>
      <c r="I46" t="b">
        <v>0</v>
      </c>
      <c r="J46" s="1" t="s">
        <v>17</v>
      </c>
      <c r="K46" t="s">
        <v>76</v>
      </c>
      <c r="L46">
        <v>1</v>
      </c>
      <c r="M46" s="7" t="b">
        <v>0</v>
      </c>
      <c r="N46" s="7" t="b">
        <v>0</v>
      </c>
      <c r="O46" s="1" t="s">
        <v>19</v>
      </c>
      <c r="P46" s="1" t="s">
        <v>17</v>
      </c>
      <c r="Q46" s="1" t="s">
        <v>17</v>
      </c>
      <c r="R46" s="1" t="s">
        <v>17</v>
      </c>
      <c r="S46" s="1" t="s">
        <v>19</v>
      </c>
      <c r="T46" s="1" t="s">
        <v>17</v>
      </c>
      <c r="U46" t="str">
        <f t="shared" si="0"/>
        <v>filter|dataset</v>
      </c>
      <c r="V46" t="str">
        <f t="shared" si="1"/>
        <v/>
      </c>
      <c r="W46" t="str">
        <f t="shared" si="2"/>
        <v>filter</v>
      </c>
      <c r="X46" t="str">
        <f t="shared" si="3"/>
        <v/>
      </c>
      <c r="Y46" t="str">
        <f t="shared" si="4"/>
        <v/>
      </c>
      <c r="Z46" t="str">
        <f t="shared" si="5"/>
        <v/>
      </c>
      <c r="AA46" t="str">
        <f t="shared" si="6"/>
        <v>dataset</v>
      </c>
      <c r="AB46" t="str">
        <f t="shared" si="7"/>
        <v/>
      </c>
      <c r="AC46" t="str">
        <f t="shared" si="8"/>
        <v/>
      </c>
    </row>
    <row r="47" spans="1:1024" x14ac:dyDescent="0.15">
      <c r="A47" s="6" t="s">
        <v>124</v>
      </c>
      <c r="B47" s="6"/>
      <c r="C47" s="6"/>
      <c r="D47" s="6"/>
      <c r="E47" t="s">
        <v>15</v>
      </c>
      <c r="F47" t="s">
        <v>125</v>
      </c>
      <c r="H47">
        <v>500</v>
      </c>
      <c r="I47" t="b">
        <v>0</v>
      </c>
      <c r="J47" s="1" t="s">
        <v>17</v>
      </c>
      <c r="K47" t="s">
        <v>39</v>
      </c>
      <c r="L47">
        <v>0</v>
      </c>
      <c r="M47" s="7" t="b">
        <v>0</v>
      </c>
      <c r="N47" s="7" t="b">
        <v>0</v>
      </c>
      <c r="O47" s="1" t="s">
        <v>19</v>
      </c>
      <c r="P47" s="1" t="s">
        <v>17</v>
      </c>
      <c r="Q47" s="1" t="s">
        <v>17</v>
      </c>
      <c r="R47" s="1" t="s">
        <v>17</v>
      </c>
      <c r="S47" s="1" t="s">
        <v>19</v>
      </c>
      <c r="T47" s="1" t="s">
        <v>17</v>
      </c>
      <c r="U47" t="str">
        <f t="shared" si="0"/>
        <v>filter|dataset</v>
      </c>
      <c r="V47" t="str">
        <f t="shared" si="1"/>
        <v/>
      </c>
      <c r="W47" t="str">
        <f t="shared" si="2"/>
        <v>filter</v>
      </c>
      <c r="X47" t="str">
        <f t="shared" si="3"/>
        <v/>
      </c>
      <c r="Y47" t="str">
        <f t="shared" si="4"/>
        <v/>
      </c>
      <c r="Z47" t="str">
        <f t="shared" si="5"/>
        <v/>
      </c>
      <c r="AA47" t="str">
        <f t="shared" si="6"/>
        <v>dataset</v>
      </c>
      <c r="AB47" t="str">
        <f t="shared" si="7"/>
        <v/>
      </c>
      <c r="AC47" t="str">
        <f t="shared" si="8"/>
        <v/>
      </c>
    </row>
    <row r="48" spans="1:1024" x14ac:dyDescent="0.15">
      <c r="A48" t="s">
        <v>126</v>
      </c>
      <c r="E48" t="s">
        <v>15</v>
      </c>
      <c r="F48" t="s">
        <v>127</v>
      </c>
      <c r="H48">
        <v>500</v>
      </c>
      <c r="I48" t="b">
        <v>0</v>
      </c>
      <c r="J48" s="1" t="s">
        <v>17</v>
      </c>
      <c r="K48" t="s">
        <v>128</v>
      </c>
      <c r="L48">
        <v>0</v>
      </c>
      <c r="M48" s="7" t="b">
        <v>0</v>
      </c>
      <c r="N48" s="7" t="b">
        <v>0</v>
      </c>
      <c r="O48" s="1" t="s">
        <v>19</v>
      </c>
      <c r="P48" s="1" t="s">
        <v>17</v>
      </c>
      <c r="Q48" s="1" t="s">
        <v>17</v>
      </c>
      <c r="R48" s="1" t="s">
        <v>17</v>
      </c>
      <c r="S48" s="1" t="s">
        <v>19</v>
      </c>
      <c r="T48" s="1" t="s">
        <v>17</v>
      </c>
      <c r="U48" t="str">
        <f t="shared" si="0"/>
        <v>filter|dataset</v>
      </c>
      <c r="V48" t="str">
        <f t="shared" si="1"/>
        <v/>
      </c>
      <c r="W48" t="str">
        <f t="shared" si="2"/>
        <v>filter</v>
      </c>
      <c r="X48" t="str">
        <f t="shared" si="3"/>
        <v/>
      </c>
      <c r="Y48" t="str">
        <f t="shared" si="4"/>
        <v/>
      </c>
      <c r="Z48" t="str">
        <f t="shared" si="5"/>
        <v/>
      </c>
      <c r="AA48" t="str">
        <f t="shared" si="6"/>
        <v>dataset</v>
      </c>
      <c r="AB48" t="str">
        <f t="shared" si="7"/>
        <v/>
      </c>
      <c r="AC48" t="str">
        <f t="shared" si="8"/>
        <v/>
      </c>
    </row>
    <row r="49" spans="1:29" x14ac:dyDescent="0.15">
      <c r="A49" t="s">
        <v>129</v>
      </c>
      <c r="E49" t="s">
        <v>15</v>
      </c>
      <c r="F49" t="s">
        <v>130</v>
      </c>
      <c r="H49">
        <v>500</v>
      </c>
      <c r="I49" t="b">
        <v>0</v>
      </c>
      <c r="J49" s="1" t="s">
        <v>17</v>
      </c>
      <c r="K49" t="s">
        <v>39</v>
      </c>
      <c r="L49">
        <v>0</v>
      </c>
      <c r="M49" s="7" t="b">
        <v>0</v>
      </c>
      <c r="N49" s="7" t="b">
        <v>0</v>
      </c>
      <c r="O49" s="1" t="s">
        <v>19</v>
      </c>
      <c r="P49" s="1" t="s">
        <v>17</v>
      </c>
      <c r="Q49" s="1" t="s">
        <v>17</v>
      </c>
      <c r="R49" s="1" t="s">
        <v>17</v>
      </c>
      <c r="S49" s="1" t="s">
        <v>19</v>
      </c>
      <c r="T49" s="1" t="s">
        <v>17</v>
      </c>
      <c r="U49" t="str">
        <f t="shared" si="0"/>
        <v>filter|dataset</v>
      </c>
      <c r="V49" t="str">
        <f t="shared" si="1"/>
        <v/>
      </c>
      <c r="W49" t="str">
        <f t="shared" si="2"/>
        <v>filter</v>
      </c>
      <c r="X49" t="str">
        <f t="shared" si="3"/>
        <v/>
      </c>
      <c r="Y49" t="str">
        <f t="shared" si="4"/>
        <v/>
      </c>
      <c r="Z49" t="str">
        <f t="shared" si="5"/>
        <v/>
      </c>
      <c r="AA49" t="str">
        <f t="shared" si="6"/>
        <v>dataset</v>
      </c>
      <c r="AB49" t="str">
        <f t="shared" si="7"/>
        <v/>
      </c>
      <c r="AC49" t="str">
        <f t="shared" si="8"/>
        <v/>
      </c>
    </row>
    <row r="50" spans="1:29" x14ac:dyDescent="0.15">
      <c r="A50" s="6" t="s">
        <v>93</v>
      </c>
      <c r="B50" s="6"/>
      <c r="C50" s="6"/>
      <c r="D50" s="6"/>
      <c r="E50" t="s">
        <v>3859</v>
      </c>
      <c r="F50" t="s">
        <v>132</v>
      </c>
      <c r="H50">
        <v>500</v>
      </c>
      <c r="I50" t="b">
        <v>0</v>
      </c>
      <c r="J50" s="1" t="s">
        <v>17</v>
      </c>
      <c r="K50" t="s">
        <v>23</v>
      </c>
      <c r="L50">
        <v>2</v>
      </c>
      <c r="M50" s="7" t="b">
        <v>0</v>
      </c>
      <c r="N50" s="7" t="b">
        <v>0</v>
      </c>
      <c r="O50" s="1" t="s">
        <v>19</v>
      </c>
      <c r="P50" s="1" t="s">
        <v>17</v>
      </c>
      <c r="Q50" s="1" t="s">
        <v>17</v>
      </c>
      <c r="R50" s="1" t="s">
        <v>19</v>
      </c>
      <c r="S50" s="1" t="s">
        <v>19</v>
      </c>
      <c r="T50" s="1" t="s">
        <v>19</v>
      </c>
      <c r="U50" t="str">
        <f t="shared" si="0"/>
        <v>filter|qc|dataset|sample</v>
      </c>
      <c r="V50" t="str">
        <f t="shared" si="1"/>
        <v/>
      </c>
      <c r="W50" t="str">
        <f t="shared" si="2"/>
        <v>filter</v>
      </c>
      <c r="X50" t="str">
        <f t="shared" si="3"/>
        <v/>
      </c>
      <c r="Y50" t="str">
        <f t="shared" si="4"/>
        <v/>
      </c>
      <c r="Z50" t="str">
        <f t="shared" si="5"/>
        <v>qc</v>
      </c>
      <c r="AA50" t="str">
        <f t="shared" si="6"/>
        <v>dataset</v>
      </c>
      <c r="AB50" t="str">
        <f t="shared" si="7"/>
        <v>sample</v>
      </c>
      <c r="AC50" t="str">
        <f t="shared" si="8"/>
        <v/>
      </c>
    </row>
    <row r="51" spans="1:29" x14ac:dyDescent="0.15">
      <c r="A51" t="s">
        <v>144</v>
      </c>
      <c r="E51" t="s">
        <v>145</v>
      </c>
      <c r="F51" t="s">
        <v>2734</v>
      </c>
      <c r="H51">
        <v>500</v>
      </c>
      <c r="I51" t="b">
        <v>0</v>
      </c>
      <c r="J51" s="1" t="s">
        <v>17</v>
      </c>
      <c r="K51" t="s">
        <v>39</v>
      </c>
      <c r="L51">
        <v>0</v>
      </c>
      <c r="M51" s="7" t="b">
        <v>0</v>
      </c>
      <c r="N51" s="7" t="b">
        <v>0</v>
      </c>
      <c r="O51" s="1" t="s">
        <v>19</v>
      </c>
      <c r="P51" s="1" t="s">
        <v>17</v>
      </c>
      <c r="Q51" s="1" t="s">
        <v>17</v>
      </c>
      <c r="R51" s="1" t="s">
        <v>17</v>
      </c>
      <c r="S51" s="1" t="s">
        <v>19</v>
      </c>
      <c r="T51" s="1" t="s">
        <v>17</v>
      </c>
      <c r="U51" t="str">
        <f t="shared" si="0"/>
        <v>filter|dataset</v>
      </c>
      <c r="V51" t="str">
        <f t="shared" si="1"/>
        <v/>
      </c>
      <c r="W51" t="str">
        <f t="shared" si="2"/>
        <v>filter</v>
      </c>
      <c r="X51" t="str">
        <f t="shared" si="3"/>
        <v/>
      </c>
      <c r="Y51" t="str">
        <f t="shared" si="4"/>
        <v/>
      </c>
      <c r="Z51" t="str">
        <f t="shared" si="5"/>
        <v/>
      </c>
      <c r="AA51" t="str">
        <f t="shared" si="6"/>
        <v>dataset</v>
      </c>
      <c r="AB51" t="str">
        <f t="shared" si="7"/>
        <v/>
      </c>
      <c r="AC51" t="str">
        <f t="shared" si="8"/>
        <v/>
      </c>
    </row>
    <row r="52" spans="1:29" x14ac:dyDescent="0.15">
      <c r="A52" t="s">
        <v>3017</v>
      </c>
      <c r="E52" t="s">
        <v>144</v>
      </c>
      <c r="F52" t="s">
        <v>3018</v>
      </c>
      <c r="H52">
        <v>500</v>
      </c>
      <c r="I52" t="b">
        <v>0</v>
      </c>
      <c r="J52" s="1" t="s">
        <v>17</v>
      </c>
      <c r="K52" t="s">
        <v>39</v>
      </c>
      <c r="L52">
        <v>0</v>
      </c>
      <c r="M52" s="7" t="b">
        <v>0</v>
      </c>
      <c r="N52" s="7" t="b">
        <v>0</v>
      </c>
      <c r="O52" s="1" t="s">
        <v>19</v>
      </c>
      <c r="P52" s="1" t="s">
        <v>17</v>
      </c>
      <c r="Q52" s="1" t="s">
        <v>17</v>
      </c>
      <c r="R52" s="1" t="s">
        <v>17</v>
      </c>
      <c r="S52" s="1" t="s">
        <v>19</v>
      </c>
      <c r="T52" s="1" t="s">
        <v>17</v>
      </c>
      <c r="U52" t="str">
        <f t="shared" si="0"/>
        <v>filter|dataset</v>
      </c>
      <c r="V52" t="str">
        <f t="shared" si="1"/>
        <v/>
      </c>
      <c r="W52" t="str">
        <f t="shared" si="2"/>
        <v>filter</v>
      </c>
      <c r="X52" t="str">
        <f t="shared" si="3"/>
        <v/>
      </c>
      <c r="Y52" t="str">
        <f t="shared" si="4"/>
        <v/>
      </c>
      <c r="Z52" t="str">
        <f t="shared" si="5"/>
        <v/>
      </c>
      <c r="AA52" t="str">
        <f t="shared" si="6"/>
        <v>dataset</v>
      </c>
      <c r="AB52" t="str">
        <f t="shared" si="7"/>
        <v/>
      </c>
      <c r="AC52" t="str">
        <f t="shared" si="8"/>
        <v/>
      </c>
    </row>
    <row r="53" spans="1:29" x14ac:dyDescent="0.15">
      <c r="A53" t="s">
        <v>155</v>
      </c>
      <c r="E53" t="s">
        <v>15</v>
      </c>
      <c r="F53" t="s">
        <v>156</v>
      </c>
      <c r="H53">
        <v>500</v>
      </c>
      <c r="I53" t="b">
        <v>0</v>
      </c>
      <c r="J53" s="1" t="s">
        <v>17</v>
      </c>
      <c r="K53" t="s">
        <v>91</v>
      </c>
      <c r="L53">
        <v>0</v>
      </c>
      <c r="M53" s="7" t="b">
        <v>1</v>
      </c>
      <c r="N53" s="7" t="b">
        <v>1</v>
      </c>
      <c r="O53" s="1" t="s">
        <v>19</v>
      </c>
      <c r="P53" s="1" t="s">
        <v>17</v>
      </c>
      <c r="Q53" s="1" t="s">
        <v>17</v>
      </c>
      <c r="R53" s="1" t="s">
        <v>17</v>
      </c>
      <c r="S53" s="1" t="s">
        <v>19</v>
      </c>
      <c r="T53" s="1" t="s">
        <v>17</v>
      </c>
      <c r="U53" t="str">
        <f t="shared" si="0"/>
        <v>mandatory|filter|dataset</v>
      </c>
      <c r="V53" t="str">
        <f t="shared" si="1"/>
        <v>mandatory</v>
      </c>
      <c r="W53" t="str">
        <f t="shared" si="2"/>
        <v>filter</v>
      </c>
      <c r="X53" t="str">
        <f t="shared" si="3"/>
        <v/>
      </c>
      <c r="Y53" t="str">
        <f t="shared" si="4"/>
        <v/>
      </c>
      <c r="Z53" t="str">
        <f t="shared" si="5"/>
        <v/>
      </c>
      <c r="AA53" t="str">
        <f t="shared" si="6"/>
        <v>dataset</v>
      </c>
      <c r="AB53" t="str">
        <f t="shared" si="7"/>
        <v/>
      </c>
      <c r="AC53" t="str">
        <f t="shared" si="8"/>
        <v/>
      </c>
    </row>
    <row r="54" spans="1:29" x14ac:dyDescent="0.15">
      <c r="A54" t="s">
        <v>145</v>
      </c>
      <c r="E54" t="s">
        <v>15</v>
      </c>
      <c r="F54" t="s">
        <v>157</v>
      </c>
      <c r="H54">
        <v>500</v>
      </c>
      <c r="I54" t="b">
        <v>0</v>
      </c>
      <c r="J54" s="1" t="s">
        <v>17</v>
      </c>
      <c r="K54" t="s">
        <v>39</v>
      </c>
      <c r="L54">
        <v>0</v>
      </c>
      <c r="M54" s="7" t="b">
        <v>0</v>
      </c>
      <c r="N54" s="7" t="b">
        <v>0</v>
      </c>
      <c r="O54" s="1" t="s">
        <v>19</v>
      </c>
      <c r="P54" s="1" t="s">
        <v>17</v>
      </c>
      <c r="Q54" s="1" t="s">
        <v>17</v>
      </c>
      <c r="R54" s="1" t="s">
        <v>17</v>
      </c>
      <c r="S54" s="1" t="s">
        <v>19</v>
      </c>
      <c r="T54" s="1" t="s">
        <v>17</v>
      </c>
      <c r="U54" t="str">
        <f t="shared" si="0"/>
        <v>filter|dataset</v>
      </c>
      <c r="V54" t="str">
        <f t="shared" si="1"/>
        <v/>
      </c>
      <c r="W54" t="str">
        <f t="shared" si="2"/>
        <v>filter</v>
      </c>
      <c r="X54" t="str">
        <f t="shared" si="3"/>
        <v/>
      </c>
      <c r="Y54" t="str">
        <f t="shared" si="4"/>
        <v/>
      </c>
      <c r="Z54" t="str">
        <f t="shared" si="5"/>
        <v/>
      </c>
      <c r="AA54" t="str">
        <f t="shared" si="6"/>
        <v>dataset</v>
      </c>
      <c r="AB54" t="str">
        <f t="shared" si="7"/>
        <v/>
      </c>
      <c r="AC54" t="str">
        <f t="shared" si="8"/>
        <v/>
      </c>
    </row>
    <row r="55" spans="1:29" x14ac:dyDescent="0.15">
      <c r="A55" s="6" t="s">
        <v>3113</v>
      </c>
      <c r="B55" s="6"/>
      <c r="C55" s="6"/>
      <c r="D55" s="6"/>
      <c r="E55" t="s">
        <v>15</v>
      </c>
      <c r="F55" t="s">
        <v>3112</v>
      </c>
      <c r="H55">
        <v>500</v>
      </c>
      <c r="I55" t="b">
        <v>0</v>
      </c>
      <c r="J55" s="1" t="s">
        <v>17</v>
      </c>
      <c r="K55" t="s">
        <v>39</v>
      </c>
      <c r="L55">
        <v>0</v>
      </c>
      <c r="M55" s="7" t="b">
        <v>1</v>
      </c>
      <c r="N55" s="7" t="b">
        <v>1</v>
      </c>
      <c r="O55" s="1" t="s">
        <v>19</v>
      </c>
      <c r="P55" s="1" t="s">
        <v>17</v>
      </c>
      <c r="Q55" s="1" t="s">
        <v>17</v>
      </c>
      <c r="R55" s="1" t="s">
        <v>17</v>
      </c>
      <c r="S55" s="1" t="s">
        <v>19</v>
      </c>
      <c r="T55" s="1" t="s">
        <v>17</v>
      </c>
      <c r="U55" t="str">
        <f t="shared" si="0"/>
        <v>mandatory|filter|dataset</v>
      </c>
      <c r="V55" t="str">
        <f t="shared" si="1"/>
        <v>mandatory</v>
      </c>
      <c r="W55" t="str">
        <f t="shared" si="2"/>
        <v>filter</v>
      </c>
      <c r="X55" t="str">
        <f t="shared" si="3"/>
        <v/>
      </c>
      <c r="Y55" t="str">
        <f t="shared" si="4"/>
        <v/>
      </c>
      <c r="Z55" t="str">
        <f t="shared" si="5"/>
        <v/>
      </c>
      <c r="AA55" t="str">
        <f t="shared" si="6"/>
        <v>dataset</v>
      </c>
      <c r="AB55" t="str">
        <f t="shared" si="7"/>
        <v/>
      </c>
      <c r="AC55" t="str">
        <f t="shared" si="8"/>
        <v/>
      </c>
    </row>
    <row r="56" spans="1:29" x14ac:dyDescent="0.15">
      <c r="A56" t="s">
        <v>160</v>
      </c>
      <c r="E56" t="s">
        <v>15</v>
      </c>
      <c r="F56" t="s">
        <v>161</v>
      </c>
      <c r="H56">
        <v>500</v>
      </c>
      <c r="I56" t="b">
        <v>0</v>
      </c>
      <c r="J56" s="1" t="s">
        <v>17</v>
      </c>
      <c r="K56" t="s">
        <v>39</v>
      </c>
      <c r="L56">
        <v>0</v>
      </c>
      <c r="M56" s="7" t="b">
        <v>0</v>
      </c>
      <c r="N56" s="7" t="b">
        <v>0</v>
      </c>
      <c r="O56" s="1" t="s">
        <v>19</v>
      </c>
      <c r="P56" s="1" t="s">
        <v>17</v>
      </c>
      <c r="Q56" s="1" t="s">
        <v>17</v>
      </c>
      <c r="R56" s="1" t="s">
        <v>17</v>
      </c>
      <c r="S56" s="1" t="s">
        <v>19</v>
      </c>
      <c r="T56" s="1" t="s">
        <v>17</v>
      </c>
      <c r="U56" t="str">
        <f t="shared" si="0"/>
        <v>filter|dataset</v>
      </c>
      <c r="V56" t="str">
        <f t="shared" si="1"/>
        <v/>
      </c>
      <c r="W56" t="str">
        <f t="shared" si="2"/>
        <v>filter</v>
      </c>
      <c r="X56" t="str">
        <f t="shared" si="3"/>
        <v/>
      </c>
      <c r="Y56" t="str">
        <f t="shared" si="4"/>
        <v/>
      </c>
      <c r="Z56" t="str">
        <f t="shared" si="5"/>
        <v/>
      </c>
      <c r="AA56" t="str">
        <f t="shared" si="6"/>
        <v>dataset</v>
      </c>
      <c r="AB56" t="str">
        <f t="shared" si="7"/>
        <v/>
      </c>
      <c r="AC56" t="str">
        <f t="shared" si="8"/>
        <v/>
      </c>
    </row>
    <row r="57" spans="1:29" x14ac:dyDescent="0.15">
      <c r="A57" s="6" t="s">
        <v>162</v>
      </c>
      <c r="B57" s="6"/>
      <c r="C57" s="6"/>
      <c r="D57" s="6"/>
      <c r="E57" s="6" t="s">
        <v>25</v>
      </c>
      <c r="F57" s="6" t="s">
        <v>163</v>
      </c>
      <c r="G57" s="6"/>
      <c r="H57">
        <v>500</v>
      </c>
      <c r="I57" t="b">
        <v>0</v>
      </c>
      <c r="J57" s="1" t="s">
        <v>17</v>
      </c>
      <c r="K57" t="s">
        <v>27</v>
      </c>
      <c r="L57">
        <v>1</v>
      </c>
      <c r="M57" s="7" t="b">
        <v>0</v>
      </c>
      <c r="N57" s="7" t="b">
        <v>1</v>
      </c>
      <c r="O57" s="1" t="s">
        <v>19</v>
      </c>
      <c r="P57" s="1" t="s">
        <v>17</v>
      </c>
      <c r="Q57" s="1" t="s">
        <v>17</v>
      </c>
      <c r="R57" s="1" t="s">
        <v>17</v>
      </c>
      <c r="S57" s="1" t="s">
        <v>19</v>
      </c>
      <c r="T57" s="1" t="s">
        <v>17</v>
      </c>
      <c r="U57" t="str">
        <f t="shared" si="0"/>
        <v>mandatory|filter|dataset</v>
      </c>
      <c r="V57" t="str">
        <f t="shared" si="1"/>
        <v>mandatory</v>
      </c>
      <c r="W57" t="str">
        <f t="shared" si="2"/>
        <v>filter</v>
      </c>
      <c r="X57" t="str">
        <f t="shared" si="3"/>
        <v/>
      </c>
      <c r="Y57" t="str">
        <f t="shared" si="4"/>
        <v/>
      </c>
      <c r="Z57" t="str">
        <f t="shared" si="5"/>
        <v/>
      </c>
      <c r="AA57" t="str">
        <f t="shared" si="6"/>
        <v>dataset</v>
      </c>
      <c r="AB57" t="str">
        <f t="shared" si="7"/>
        <v/>
      </c>
      <c r="AC57" t="str">
        <f t="shared" si="8"/>
        <v/>
      </c>
    </row>
    <row r="58" spans="1:29" x14ac:dyDescent="0.15">
      <c r="A58" t="s">
        <v>2889</v>
      </c>
      <c r="E58" t="s">
        <v>15</v>
      </c>
      <c r="F58" t="s">
        <v>2890</v>
      </c>
      <c r="H58">
        <v>500</v>
      </c>
      <c r="I58" t="b">
        <v>0</v>
      </c>
      <c r="J58" s="1" t="s">
        <v>17</v>
      </c>
      <c r="K58" t="s">
        <v>44</v>
      </c>
      <c r="L58">
        <v>1</v>
      </c>
      <c r="M58" s="7" t="b">
        <v>0</v>
      </c>
      <c r="N58" s="7" t="b">
        <v>0</v>
      </c>
      <c r="O58" s="1" t="s">
        <v>19</v>
      </c>
      <c r="P58" s="1" t="s">
        <v>17</v>
      </c>
      <c r="Q58" s="1" t="s">
        <v>17</v>
      </c>
      <c r="R58" s="1" t="s">
        <v>17</v>
      </c>
      <c r="S58" s="1" t="s">
        <v>19</v>
      </c>
      <c r="T58" s="1" t="s">
        <v>19</v>
      </c>
      <c r="U58" t="str">
        <f t="shared" si="0"/>
        <v>filter|dataset|sample</v>
      </c>
      <c r="V58" t="str">
        <f t="shared" si="1"/>
        <v/>
      </c>
      <c r="W58" t="str">
        <f t="shared" si="2"/>
        <v>filter</v>
      </c>
      <c r="X58" t="str">
        <f t="shared" si="3"/>
        <v/>
      </c>
      <c r="Y58" t="str">
        <f t="shared" si="4"/>
        <v/>
      </c>
      <c r="Z58" t="str">
        <f t="shared" si="5"/>
        <v/>
      </c>
      <c r="AA58" t="str">
        <f t="shared" si="6"/>
        <v>dataset</v>
      </c>
      <c r="AB58" t="str">
        <f t="shared" si="7"/>
        <v>sample</v>
      </c>
      <c r="AC58" t="str">
        <f t="shared" si="8"/>
        <v/>
      </c>
    </row>
    <row r="59" spans="1:29" x14ac:dyDescent="0.15">
      <c r="A59" s="6" t="s">
        <v>167</v>
      </c>
      <c r="B59" s="6"/>
      <c r="C59" s="6"/>
      <c r="D59" s="6"/>
      <c r="E59" t="s">
        <v>168</v>
      </c>
      <c r="F59" t="s">
        <v>169</v>
      </c>
      <c r="H59">
        <v>500</v>
      </c>
      <c r="I59" t="b">
        <v>0</v>
      </c>
      <c r="J59" s="1" t="s">
        <v>17</v>
      </c>
      <c r="K59" t="s">
        <v>31</v>
      </c>
      <c r="L59">
        <v>3</v>
      </c>
      <c r="M59" s="7" t="b">
        <v>0</v>
      </c>
      <c r="N59" s="7" t="b">
        <v>1</v>
      </c>
      <c r="O59" s="1" t="s">
        <v>19</v>
      </c>
      <c r="P59" s="1" t="s">
        <v>17</v>
      </c>
      <c r="Q59" s="1" t="s">
        <v>17</v>
      </c>
      <c r="R59" s="1" t="s">
        <v>17</v>
      </c>
      <c r="S59" s="1" t="s">
        <v>19</v>
      </c>
      <c r="T59" s="1" t="s">
        <v>17</v>
      </c>
      <c r="U59" t="str">
        <f t="shared" si="0"/>
        <v>mandatory|filter|dataset</v>
      </c>
      <c r="V59" t="str">
        <f t="shared" si="1"/>
        <v>mandatory</v>
      </c>
      <c r="W59" t="str">
        <f t="shared" si="2"/>
        <v>filter</v>
      </c>
      <c r="X59" t="str">
        <f t="shared" si="3"/>
        <v/>
      </c>
      <c r="Y59" t="str">
        <f t="shared" si="4"/>
        <v/>
      </c>
      <c r="Z59" t="str">
        <f t="shared" si="5"/>
        <v/>
      </c>
      <c r="AA59" t="str">
        <f t="shared" si="6"/>
        <v>dataset</v>
      </c>
      <c r="AB59" t="str">
        <f t="shared" si="7"/>
        <v/>
      </c>
      <c r="AC59" t="str">
        <f t="shared" si="8"/>
        <v/>
      </c>
    </row>
    <row r="60" spans="1:29" x14ac:dyDescent="0.15">
      <c r="A60" s="6" t="s">
        <v>168</v>
      </c>
      <c r="B60" s="6"/>
      <c r="C60" s="6"/>
      <c r="D60" s="6"/>
      <c r="E60" t="s">
        <v>15</v>
      </c>
      <c r="F60" t="s">
        <v>170</v>
      </c>
      <c r="H60">
        <v>500</v>
      </c>
      <c r="I60" t="b">
        <v>0</v>
      </c>
      <c r="J60" s="1" t="s">
        <v>17</v>
      </c>
      <c r="K60" t="s">
        <v>31</v>
      </c>
      <c r="L60">
        <v>3</v>
      </c>
      <c r="M60" s="7" t="b">
        <v>0</v>
      </c>
      <c r="N60" s="7" t="b">
        <v>1</v>
      </c>
      <c r="O60" s="1" t="s">
        <v>19</v>
      </c>
      <c r="P60" s="1" t="s">
        <v>17</v>
      </c>
      <c r="Q60" s="1" t="s">
        <v>17</v>
      </c>
      <c r="R60" s="1" t="s">
        <v>17</v>
      </c>
      <c r="S60" s="1" t="s">
        <v>19</v>
      </c>
      <c r="T60" s="1" t="s">
        <v>17</v>
      </c>
      <c r="U60" t="str">
        <f t="shared" si="0"/>
        <v>mandatory|filter|dataset</v>
      </c>
      <c r="V60" t="str">
        <f t="shared" si="1"/>
        <v>mandatory</v>
      </c>
      <c r="W60" t="str">
        <f t="shared" si="2"/>
        <v>filter</v>
      </c>
      <c r="X60" t="str">
        <f t="shared" si="3"/>
        <v/>
      </c>
      <c r="Y60" t="str">
        <f t="shared" si="4"/>
        <v/>
      </c>
      <c r="Z60" t="str">
        <f t="shared" si="5"/>
        <v/>
      </c>
      <c r="AA60" t="str">
        <f t="shared" si="6"/>
        <v>dataset</v>
      </c>
      <c r="AB60" t="str">
        <f t="shared" si="7"/>
        <v/>
      </c>
      <c r="AC60" t="str">
        <f t="shared" si="8"/>
        <v/>
      </c>
    </row>
    <row r="61" spans="1:29" x14ac:dyDescent="0.15">
      <c r="A61" s="6" t="s">
        <v>176</v>
      </c>
      <c r="B61" s="6"/>
      <c r="C61" s="6"/>
      <c r="D61" s="6"/>
      <c r="E61" t="s">
        <v>15</v>
      </c>
      <c r="F61" t="s">
        <v>177</v>
      </c>
      <c r="H61">
        <v>500</v>
      </c>
      <c r="I61" t="b">
        <v>0</v>
      </c>
      <c r="J61" s="1" t="s">
        <v>17</v>
      </c>
      <c r="K61" t="s">
        <v>150</v>
      </c>
      <c r="L61">
        <v>1</v>
      </c>
      <c r="M61" s="7" t="b">
        <v>0</v>
      </c>
      <c r="N61" s="7" t="b">
        <v>0</v>
      </c>
      <c r="O61" s="1" t="s">
        <v>19</v>
      </c>
      <c r="P61" s="1" t="s">
        <v>17</v>
      </c>
      <c r="Q61" s="1" t="s">
        <v>17</v>
      </c>
      <c r="R61" s="1" t="s">
        <v>17</v>
      </c>
      <c r="S61" s="1" t="s">
        <v>19</v>
      </c>
      <c r="T61" s="1" t="s">
        <v>17</v>
      </c>
      <c r="U61" t="str">
        <f t="shared" si="0"/>
        <v>filter|dataset</v>
      </c>
      <c r="V61" t="str">
        <f t="shared" si="1"/>
        <v/>
      </c>
      <c r="W61" t="str">
        <f t="shared" si="2"/>
        <v>filter</v>
      </c>
      <c r="X61" t="str">
        <f t="shared" si="3"/>
        <v/>
      </c>
      <c r="Y61" t="str">
        <f t="shared" si="4"/>
        <v/>
      </c>
      <c r="Z61" t="str">
        <f t="shared" si="5"/>
        <v/>
      </c>
      <c r="AA61" t="str">
        <f t="shared" si="6"/>
        <v>dataset</v>
      </c>
      <c r="AB61" t="str">
        <f t="shared" si="7"/>
        <v/>
      </c>
      <c r="AC61" t="str">
        <f t="shared" si="8"/>
        <v/>
      </c>
    </row>
    <row r="62" spans="1:29" x14ac:dyDescent="0.15">
      <c r="A62" s="6" t="s">
        <v>178</v>
      </c>
      <c r="B62" s="6"/>
      <c r="C62" s="6"/>
      <c r="D62" s="6"/>
      <c r="E62" t="s">
        <v>15</v>
      </c>
      <c r="F62" t="s">
        <v>179</v>
      </c>
      <c r="H62">
        <v>500</v>
      </c>
      <c r="I62" t="b">
        <v>0</v>
      </c>
      <c r="J62" s="1" t="s">
        <v>17</v>
      </c>
      <c r="K62" t="s">
        <v>39</v>
      </c>
      <c r="L62">
        <v>0</v>
      </c>
      <c r="M62" s="7" t="b">
        <v>0</v>
      </c>
      <c r="N62" s="7" t="b">
        <v>0</v>
      </c>
      <c r="O62" s="1" t="s">
        <v>19</v>
      </c>
      <c r="P62" s="1" t="s">
        <v>17</v>
      </c>
      <c r="Q62" s="1" t="s">
        <v>17</v>
      </c>
      <c r="R62" s="1" t="s">
        <v>17</v>
      </c>
      <c r="S62" s="1" t="s">
        <v>19</v>
      </c>
      <c r="T62" s="1" t="s">
        <v>17</v>
      </c>
      <c r="U62" t="str">
        <f t="shared" si="0"/>
        <v>filter|dataset</v>
      </c>
      <c r="V62" t="str">
        <f t="shared" si="1"/>
        <v/>
      </c>
      <c r="W62" t="str">
        <f t="shared" si="2"/>
        <v>filter</v>
      </c>
      <c r="X62" t="str">
        <f t="shared" si="3"/>
        <v/>
      </c>
      <c r="Y62" t="str">
        <f t="shared" si="4"/>
        <v/>
      </c>
      <c r="Z62" t="str">
        <f t="shared" si="5"/>
        <v/>
      </c>
      <c r="AA62" t="str">
        <f t="shared" si="6"/>
        <v>dataset</v>
      </c>
      <c r="AB62" t="str">
        <f t="shared" si="7"/>
        <v/>
      </c>
      <c r="AC62" t="str">
        <f t="shared" si="8"/>
        <v/>
      </c>
    </row>
    <row r="63" spans="1:29" x14ac:dyDescent="0.15">
      <c r="A63" s="6" t="s">
        <v>180</v>
      </c>
      <c r="B63" s="6"/>
      <c r="C63" s="6"/>
      <c r="D63" s="6"/>
      <c r="E63" t="s">
        <v>15</v>
      </c>
      <c r="F63" t="s">
        <v>2737</v>
      </c>
      <c r="H63">
        <v>500</v>
      </c>
      <c r="I63" t="b">
        <v>0</v>
      </c>
      <c r="J63" s="1" t="s">
        <v>17</v>
      </c>
      <c r="K63" t="s">
        <v>39</v>
      </c>
      <c r="L63">
        <v>0</v>
      </c>
      <c r="M63" s="7" t="b">
        <v>0</v>
      </c>
      <c r="N63" s="7" t="b">
        <v>0</v>
      </c>
      <c r="O63" s="1" t="s">
        <v>19</v>
      </c>
      <c r="P63" s="1" t="s">
        <v>17</v>
      </c>
      <c r="Q63" s="1" t="s">
        <v>17</v>
      </c>
      <c r="R63" s="1" t="s">
        <v>17</v>
      </c>
      <c r="S63" s="1" t="s">
        <v>19</v>
      </c>
      <c r="T63" s="1" t="s">
        <v>17</v>
      </c>
      <c r="U63" t="str">
        <f t="shared" si="0"/>
        <v>filter|dataset</v>
      </c>
      <c r="V63" t="str">
        <f t="shared" si="1"/>
        <v/>
      </c>
      <c r="W63" t="str">
        <f t="shared" si="2"/>
        <v>filter</v>
      </c>
      <c r="X63" t="str">
        <f t="shared" si="3"/>
        <v/>
      </c>
      <c r="Y63" t="str">
        <f t="shared" si="4"/>
        <v/>
      </c>
      <c r="Z63" t="str">
        <f t="shared" si="5"/>
        <v/>
      </c>
      <c r="AA63" t="str">
        <f t="shared" si="6"/>
        <v>dataset</v>
      </c>
      <c r="AB63" t="str">
        <f t="shared" si="7"/>
        <v/>
      </c>
      <c r="AC63" t="str">
        <f t="shared" si="8"/>
        <v/>
      </c>
    </row>
    <row r="64" spans="1:29" x14ac:dyDescent="0.15">
      <c r="A64" t="s">
        <v>191</v>
      </c>
      <c r="E64" t="s">
        <v>15</v>
      </c>
      <c r="F64" t="s">
        <v>192</v>
      </c>
      <c r="H64">
        <v>500</v>
      </c>
      <c r="I64" t="b">
        <v>0</v>
      </c>
      <c r="J64" s="1" t="s">
        <v>17</v>
      </c>
      <c r="K64" t="s">
        <v>184</v>
      </c>
      <c r="L64">
        <v>0</v>
      </c>
      <c r="M64" s="7" t="b">
        <v>0</v>
      </c>
      <c r="N64" s="7" t="b">
        <v>0</v>
      </c>
      <c r="O64" s="1" t="s">
        <v>19</v>
      </c>
      <c r="P64" s="1" t="s">
        <v>19</v>
      </c>
      <c r="Q64" s="1" t="s">
        <v>17</v>
      </c>
      <c r="R64" s="1" t="s">
        <v>17</v>
      </c>
      <c r="S64" s="1" t="s">
        <v>17</v>
      </c>
      <c r="T64" s="1" t="s">
        <v>17</v>
      </c>
      <c r="U64" t="str">
        <f t="shared" si="0"/>
        <v>filter|user</v>
      </c>
      <c r="V64" t="str">
        <f t="shared" si="1"/>
        <v/>
      </c>
      <c r="W64" t="str">
        <f t="shared" si="2"/>
        <v>filter</v>
      </c>
      <c r="X64" t="str">
        <f t="shared" si="3"/>
        <v>user</v>
      </c>
      <c r="Y64" t="str">
        <f t="shared" si="4"/>
        <v/>
      </c>
      <c r="Z64" t="str">
        <f t="shared" si="5"/>
        <v/>
      </c>
      <c r="AA64" t="str">
        <f t="shared" si="6"/>
        <v/>
      </c>
      <c r="AB64" t="str">
        <f t="shared" si="7"/>
        <v/>
      </c>
      <c r="AC64" t="str">
        <f t="shared" si="8"/>
        <v/>
      </c>
    </row>
    <row r="65" spans="1:1024" x14ac:dyDescent="0.15">
      <c r="A65" t="s">
        <v>2838</v>
      </c>
      <c r="D65" t="s">
        <v>4076</v>
      </c>
      <c r="E65" t="s">
        <v>15</v>
      </c>
      <c r="F65" t="s">
        <v>2839</v>
      </c>
      <c r="H65">
        <v>500</v>
      </c>
      <c r="I65" t="b">
        <v>0</v>
      </c>
      <c r="J65" s="1" t="s">
        <v>19</v>
      </c>
      <c r="K65" t="s">
        <v>39</v>
      </c>
      <c r="L65">
        <v>0</v>
      </c>
      <c r="M65" s="2" t="b">
        <v>0</v>
      </c>
      <c r="N65" s="2" t="b">
        <v>0</v>
      </c>
      <c r="O65" s="1" t="s">
        <v>17</v>
      </c>
      <c r="P65" s="1" t="s">
        <v>17</v>
      </c>
      <c r="Q65" s="1" t="s">
        <v>17</v>
      </c>
      <c r="R65" s="1" t="s">
        <v>17</v>
      </c>
      <c r="S65" s="1" t="s">
        <v>19</v>
      </c>
      <c r="T65" s="1" t="s">
        <v>17</v>
      </c>
      <c r="U65" t="str">
        <f t="shared" si="0"/>
        <v>dataset</v>
      </c>
      <c r="V65" t="str">
        <f t="shared" si="1"/>
        <v/>
      </c>
      <c r="W65" t="str">
        <f t="shared" si="2"/>
        <v/>
      </c>
      <c r="X65" t="str">
        <f t="shared" si="3"/>
        <v/>
      </c>
      <c r="Y65" t="str">
        <f t="shared" si="4"/>
        <v/>
      </c>
      <c r="Z65" t="str">
        <f t="shared" si="5"/>
        <v/>
      </c>
      <c r="AA65" t="str">
        <f t="shared" si="6"/>
        <v>dataset</v>
      </c>
      <c r="AB65" t="str">
        <f t="shared" si="7"/>
        <v/>
      </c>
      <c r="AC65" t="str">
        <f t="shared" si="8"/>
        <v/>
      </c>
    </row>
    <row r="66" spans="1:1024" x14ac:dyDescent="0.15">
      <c r="A66" t="s">
        <v>4123</v>
      </c>
      <c r="E66" t="s">
        <v>15</v>
      </c>
      <c r="F66" t="s">
        <v>2957</v>
      </c>
      <c r="H66">
        <v>500</v>
      </c>
      <c r="I66" t="b">
        <v>0</v>
      </c>
      <c r="J66" s="1" t="s">
        <v>17</v>
      </c>
      <c r="K66" t="s">
        <v>39</v>
      </c>
      <c r="L66">
        <v>0</v>
      </c>
      <c r="M66" s="2" t="b">
        <v>0</v>
      </c>
      <c r="N66" s="2" t="b">
        <v>0</v>
      </c>
      <c r="O66" s="1" t="s">
        <v>19</v>
      </c>
      <c r="P66" s="1" t="s">
        <v>17</v>
      </c>
      <c r="Q66" s="1" t="s">
        <v>17</v>
      </c>
      <c r="R66" s="1" t="s">
        <v>17</v>
      </c>
      <c r="S66" s="1" t="s">
        <v>19</v>
      </c>
      <c r="T66" s="1" t="s">
        <v>19</v>
      </c>
      <c r="U66" t="str">
        <f t="shared" si="0"/>
        <v>filter|dataset|sample</v>
      </c>
      <c r="V66" t="str">
        <f t="shared" si="1"/>
        <v/>
      </c>
      <c r="W66" t="str">
        <f t="shared" si="2"/>
        <v>filter</v>
      </c>
      <c r="X66" t="str">
        <f t="shared" si="3"/>
        <v/>
      </c>
      <c r="Y66" t="str">
        <f t="shared" si="4"/>
        <v/>
      </c>
      <c r="Z66" t="str">
        <f t="shared" si="5"/>
        <v/>
      </c>
      <c r="AA66" t="str">
        <f t="shared" si="6"/>
        <v>dataset</v>
      </c>
      <c r="AB66" t="str">
        <f t="shared" si="7"/>
        <v>sample</v>
      </c>
      <c r="AC66" t="str">
        <f t="shared" si="8"/>
        <v/>
      </c>
    </row>
    <row r="67" spans="1:1024" x14ac:dyDescent="0.15">
      <c r="A67" t="s">
        <v>3095</v>
      </c>
      <c r="E67" t="s">
        <v>15</v>
      </c>
      <c r="F67" t="s">
        <v>3094</v>
      </c>
      <c r="H67">
        <v>500</v>
      </c>
      <c r="I67" t="b">
        <v>0</v>
      </c>
      <c r="J67" s="1" t="s">
        <v>17</v>
      </c>
      <c r="K67" t="s">
        <v>39</v>
      </c>
      <c r="L67">
        <v>0</v>
      </c>
      <c r="M67" s="2" t="b">
        <v>0</v>
      </c>
      <c r="N67" s="2" t="b">
        <v>0</v>
      </c>
      <c r="O67" s="1" t="s">
        <v>19</v>
      </c>
      <c r="P67" s="1" t="s">
        <v>17</v>
      </c>
      <c r="Q67" s="1" t="s">
        <v>17</v>
      </c>
      <c r="R67" s="1" t="s">
        <v>17</v>
      </c>
      <c r="S67" s="1" t="s">
        <v>19</v>
      </c>
      <c r="T67" s="1" t="s">
        <v>19</v>
      </c>
      <c r="U67" t="str">
        <f t="shared" ref="U67:U126" si="9">_xlfn.TEXTJOIN("|",TRUE,V67:AC67)</f>
        <v>filter|dataset|sample</v>
      </c>
      <c r="V67" t="str">
        <f t="shared" ref="V67:V126" si="10">IF(N67,"mandatory","")</f>
        <v/>
      </c>
      <c r="W67" t="str">
        <f t="shared" ref="W67:W126" si="11">IF(O67,"filter","")</f>
        <v>filter</v>
      </c>
      <c r="X67" t="str">
        <f t="shared" ref="X67:X126" si="12">IF(P67,"user","")</f>
        <v/>
      </c>
      <c r="Y67" t="str">
        <f t="shared" ref="Y67:Y126" si="13">IF(Q67,"genotype","")</f>
        <v/>
      </c>
      <c r="Z67" t="str">
        <f t="shared" ref="Z67:Z126" si="14">IF(R67,"qc","")</f>
        <v/>
      </c>
      <c r="AA67" t="str">
        <f t="shared" ref="AA67:AA126" si="15">IF(S67,"dataset","")</f>
        <v>dataset</v>
      </c>
      <c r="AB67" t="str">
        <f t="shared" ref="AB67:AB126" si="16">IF(T67,"sample","")</f>
        <v>sample</v>
      </c>
      <c r="AC67" t="str">
        <f t="shared" ref="AC67:AC126" si="17">IF(C67="Unit","unit","")</f>
        <v/>
      </c>
    </row>
    <row r="68" spans="1:1024" x14ac:dyDescent="0.15">
      <c r="A68" t="s">
        <v>3130</v>
      </c>
      <c r="E68" t="s">
        <v>15</v>
      </c>
      <c r="F68" t="s">
        <v>3129</v>
      </c>
      <c r="H68">
        <v>500</v>
      </c>
      <c r="I68" t="b">
        <v>0</v>
      </c>
      <c r="J68" s="1" t="s">
        <v>17</v>
      </c>
      <c r="K68" t="s">
        <v>39</v>
      </c>
      <c r="L68">
        <v>0</v>
      </c>
      <c r="M68" s="2" t="b">
        <v>0</v>
      </c>
      <c r="N68" s="2" t="b">
        <v>0</v>
      </c>
      <c r="O68" s="1" t="s">
        <v>19</v>
      </c>
      <c r="P68" s="1" t="s">
        <v>17</v>
      </c>
      <c r="Q68" s="1" t="s">
        <v>17</v>
      </c>
      <c r="R68" s="1" t="s">
        <v>17</v>
      </c>
      <c r="S68" s="1" t="s">
        <v>19</v>
      </c>
      <c r="T68" s="1" t="s">
        <v>19</v>
      </c>
      <c r="U68" t="str">
        <f t="shared" si="9"/>
        <v>filter|dataset|sample</v>
      </c>
      <c r="V68" t="str">
        <f t="shared" si="10"/>
        <v/>
      </c>
      <c r="W68" t="str">
        <f t="shared" si="11"/>
        <v>filter</v>
      </c>
      <c r="X68" t="str">
        <f t="shared" si="12"/>
        <v/>
      </c>
      <c r="Y68" t="str">
        <f t="shared" si="13"/>
        <v/>
      </c>
      <c r="Z68" t="str">
        <f t="shared" si="14"/>
        <v/>
      </c>
      <c r="AA68" t="str">
        <f t="shared" si="15"/>
        <v>dataset</v>
      </c>
      <c r="AB68" t="str">
        <f t="shared" si="16"/>
        <v>sample</v>
      </c>
      <c r="AC68" t="str">
        <f t="shared" si="17"/>
        <v/>
      </c>
    </row>
    <row r="69" spans="1:1024" ht="16" x14ac:dyDescent="0.2">
      <c r="A69" s="22" t="s">
        <v>3146</v>
      </c>
      <c r="B69" s="22"/>
      <c r="C69" s="22"/>
      <c r="D69" s="22"/>
      <c r="E69" t="s">
        <v>15</v>
      </c>
      <c r="F69" t="s">
        <v>3151</v>
      </c>
      <c r="H69">
        <v>500</v>
      </c>
      <c r="I69" t="b">
        <v>0</v>
      </c>
      <c r="J69" s="1" t="s">
        <v>17</v>
      </c>
      <c r="K69" t="s">
        <v>39</v>
      </c>
      <c r="L69">
        <v>0</v>
      </c>
      <c r="M69" s="2" t="b">
        <v>0</v>
      </c>
      <c r="N69" s="2" t="b">
        <v>0</v>
      </c>
      <c r="O69" s="1" t="s">
        <v>19</v>
      </c>
      <c r="P69" s="1" t="s">
        <v>17</v>
      </c>
      <c r="Q69" s="1" t="s">
        <v>17</v>
      </c>
      <c r="R69" s="1" t="s">
        <v>17</v>
      </c>
      <c r="S69" s="1" t="s">
        <v>19</v>
      </c>
      <c r="T69" s="1" t="s">
        <v>19</v>
      </c>
      <c r="U69" t="str">
        <f t="shared" si="9"/>
        <v>filter|dataset|sample</v>
      </c>
      <c r="V69" t="str">
        <f t="shared" si="10"/>
        <v/>
      </c>
      <c r="W69" t="str">
        <f t="shared" si="11"/>
        <v>filter</v>
      </c>
      <c r="X69" t="str">
        <f t="shared" si="12"/>
        <v/>
      </c>
      <c r="Y69" t="str">
        <f t="shared" si="13"/>
        <v/>
      </c>
      <c r="Z69" t="str">
        <f t="shared" si="14"/>
        <v/>
      </c>
      <c r="AA69" t="str">
        <f t="shared" si="15"/>
        <v>dataset</v>
      </c>
      <c r="AB69" t="str">
        <f t="shared" si="16"/>
        <v>sample</v>
      </c>
      <c r="AC69" t="str">
        <f t="shared" si="17"/>
        <v/>
      </c>
    </row>
    <row r="70" spans="1:1024" x14ac:dyDescent="0.15">
      <c r="A70" t="s">
        <v>3152</v>
      </c>
      <c r="E70" t="s">
        <v>15</v>
      </c>
      <c r="F70" t="s">
        <v>3215</v>
      </c>
      <c r="H70">
        <v>500</v>
      </c>
      <c r="I70" t="b">
        <v>0</v>
      </c>
      <c r="J70" s="1" t="s">
        <v>17</v>
      </c>
      <c r="K70" t="s">
        <v>39</v>
      </c>
      <c r="L70">
        <v>0</v>
      </c>
      <c r="M70" s="2" t="b">
        <v>0</v>
      </c>
      <c r="N70" s="2" t="b">
        <v>0</v>
      </c>
      <c r="O70" s="1" t="s">
        <v>19</v>
      </c>
      <c r="P70" s="1" t="s">
        <v>17</v>
      </c>
      <c r="Q70" s="1" t="s">
        <v>17</v>
      </c>
      <c r="R70" s="1" t="s">
        <v>17</v>
      </c>
      <c r="S70" s="1" t="s">
        <v>19</v>
      </c>
      <c r="T70" s="1" t="s">
        <v>19</v>
      </c>
      <c r="U70" t="str">
        <f t="shared" si="9"/>
        <v>filter|dataset|sample</v>
      </c>
      <c r="V70" t="str">
        <f t="shared" si="10"/>
        <v/>
      </c>
      <c r="W70" t="str">
        <f t="shared" si="11"/>
        <v>filter</v>
      </c>
      <c r="X70" t="str">
        <f t="shared" si="12"/>
        <v/>
      </c>
      <c r="Y70" t="str">
        <f t="shared" si="13"/>
        <v/>
      </c>
      <c r="Z70" t="str">
        <f t="shared" si="14"/>
        <v/>
      </c>
      <c r="AA70" t="str">
        <f t="shared" si="15"/>
        <v>dataset</v>
      </c>
      <c r="AB70" t="str">
        <f t="shared" si="16"/>
        <v>sample</v>
      </c>
      <c r="AC70" t="str">
        <f t="shared" si="17"/>
        <v/>
      </c>
    </row>
    <row r="71" spans="1:1024" x14ac:dyDescent="0.15">
      <c r="A71" s="6" t="s">
        <v>4098</v>
      </c>
      <c r="B71" s="6"/>
      <c r="C71" s="6"/>
      <c r="D71" s="6" t="s">
        <v>4079</v>
      </c>
      <c r="E71" s="6" t="s">
        <v>25</v>
      </c>
      <c r="F71" s="6" t="s">
        <v>4099</v>
      </c>
      <c r="G71" s="6"/>
      <c r="H71">
        <v>450</v>
      </c>
      <c r="I71" t="b">
        <v>0</v>
      </c>
      <c r="J71" s="1" t="s">
        <v>17</v>
      </c>
      <c r="K71" t="s">
        <v>27</v>
      </c>
      <c r="L71">
        <v>1</v>
      </c>
      <c r="M71" s="7" t="b">
        <v>0</v>
      </c>
      <c r="N71" s="7" t="b">
        <v>0</v>
      </c>
      <c r="O71" s="1" t="s">
        <v>19</v>
      </c>
      <c r="P71" s="1" t="s">
        <v>17</v>
      </c>
      <c r="Q71" s="1" t="s">
        <v>17</v>
      </c>
      <c r="R71" s="1" t="s">
        <v>17</v>
      </c>
      <c r="S71" s="1" t="s">
        <v>19</v>
      </c>
      <c r="T71" s="1" t="s">
        <v>17</v>
      </c>
      <c r="U71" t="str">
        <f t="shared" si="9"/>
        <v>filter|dataset</v>
      </c>
      <c r="V71" t="str">
        <f t="shared" si="10"/>
        <v/>
      </c>
      <c r="W71" t="str">
        <f t="shared" si="11"/>
        <v>filter</v>
      </c>
      <c r="X71" t="str">
        <f t="shared" si="12"/>
        <v/>
      </c>
      <c r="Y71" t="str">
        <f t="shared" si="13"/>
        <v/>
      </c>
      <c r="Z71" t="str">
        <f t="shared" si="14"/>
        <v/>
      </c>
      <c r="AA71" t="str">
        <f t="shared" si="15"/>
        <v>dataset</v>
      </c>
      <c r="AB71" t="str">
        <f t="shared" si="16"/>
        <v/>
      </c>
      <c r="AC71" t="str">
        <f t="shared" si="17"/>
        <v/>
      </c>
    </row>
    <row r="72" spans="1:1024" x14ac:dyDescent="0.15">
      <c r="A72" s="6" t="s">
        <v>119</v>
      </c>
      <c r="B72" s="6"/>
      <c r="C72" s="6"/>
      <c r="D72" s="6"/>
      <c r="E72" s="6" t="s">
        <v>25</v>
      </c>
      <c r="F72" s="6" t="s">
        <v>120</v>
      </c>
      <c r="G72" s="6"/>
      <c r="H72">
        <v>450</v>
      </c>
      <c r="I72" t="b">
        <v>0</v>
      </c>
      <c r="J72" s="1" t="s">
        <v>17</v>
      </c>
      <c r="K72" t="s">
        <v>27</v>
      </c>
      <c r="L72">
        <v>1</v>
      </c>
      <c r="M72" s="7" t="b">
        <v>0</v>
      </c>
      <c r="N72" s="7" t="b">
        <v>0</v>
      </c>
      <c r="O72" s="1" t="s">
        <v>19</v>
      </c>
      <c r="P72" s="1" t="s">
        <v>17</v>
      </c>
      <c r="Q72" s="1" t="s">
        <v>17</v>
      </c>
      <c r="R72" s="1" t="s">
        <v>17</v>
      </c>
      <c r="S72" s="1" t="s">
        <v>19</v>
      </c>
      <c r="T72" s="1" t="s">
        <v>17</v>
      </c>
      <c r="U72" t="str">
        <f t="shared" si="9"/>
        <v>filter|dataset</v>
      </c>
      <c r="V72" t="str">
        <f t="shared" si="10"/>
        <v/>
      </c>
      <c r="W72" t="str">
        <f t="shared" si="11"/>
        <v>filter</v>
      </c>
      <c r="X72" t="str">
        <f t="shared" si="12"/>
        <v/>
      </c>
      <c r="Y72" t="str">
        <f t="shared" si="13"/>
        <v/>
      </c>
      <c r="Z72" t="str">
        <f t="shared" si="14"/>
        <v/>
      </c>
      <c r="AA72" t="str">
        <f t="shared" si="15"/>
        <v>dataset</v>
      </c>
      <c r="AB72" t="str">
        <f t="shared" si="16"/>
        <v/>
      </c>
      <c r="AC72" t="str">
        <f t="shared" si="17"/>
        <v/>
      </c>
    </row>
    <row r="73" spans="1:1024" x14ac:dyDescent="0.15">
      <c r="A73" t="s">
        <v>3951</v>
      </c>
      <c r="E73" t="s">
        <v>15</v>
      </c>
      <c r="F73" t="s">
        <v>3952</v>
      </c>
      <c r="H73">
        <v>450</v>
      </c>
      <c r="I73" t="b">
        <v>0</v>
      </c>
      <c r="J73" s="1" t="s">
        <v>17</v>
      </c>
      <c r="K73" t="s">
        <v>3953</v>
      </c>
      <c r="L73">
        <v>0</v>
      </c>
      <c r="M73" s="2" t="b">
        <v>0</v>
      </c>
      <c r="N73" s="2" t="b">
        <v>0</v>
      </c>
      <c r="O73" s="1" t="s">
        <v>17</v>
      </c>
      <c r="P73" s="1" t="s">
        <v>17</v>
      </c>
      <c r="Q73" s="1" t="s">
        <v>17</v>
      </c>
      <c r="R73" s="1" t="s">
        <v>17</v>
      </c>
      <c r="S73" s="1" t="s">
        <v>19</v>
      </c>
      <c r="T73" s="1" t="s">
        <v>19</v>
      </c>
      <c r="U73" t="str">
        <f t="shared" si="9"/>
        <v>dataset|sample</v>
      </c>
      <c r="V73" t="str">
        <f t="shared" si="10"/>
        <v/>
      </c>
      <c r="W73" t="str">
        <f t="shared" si="11"/>
        <v/>
      </c>
      <c r="X73" t="str">
        <f t="shared" si="12"/>
        <v/>
      </c>
      <c r="Y73" t="str">
        <f t="shared" si="13"/>
        <v/>
      </c>
      <c r="Z73" t="str">
        <f t="shared" si="14"/>
        <v/>
      </c>
      <c r="AA73" t="str">
        <f t="shared" si="15"/>
        <v>dataset</v>
      </c>
      <c r="AB73" t="str">
        <f t="shared" si="16"/>
        <v>sample</v>
      </c>
      <c r="AC73" t="str">
        <f t="shared" si="17"/>
        <v/>
      </c>
    </row>
    <row r="74" spans="1:1024" s="26" customFormat="1" x14ac:dyDescent="0.15">
      <c r="A74" s="6" t="s">
        <v>147</v>
      </c>
      <c r="B74" s="6"/>
      <c r="C74" s="6"/>
      <c r="D74" s="6"/>
      <c r="E74" s="6" t="s">
        <v>148</v>
      </c>
      <c r="F74" s="6" t="s">
        <v>149</v>
      </c>
      <c r="G74" s="6"/>
      <c r="H74">
        <v>400</v>
      </c>
      <c r="I74" t="b">
        <v>0</v>
      </c>
      <c r="J74" s="1" t="s">
        <v>17</v>
      </c>
      <c r="K74" t="s">
        <v>150</v>
      </c>
      <c r="L74">
        <v>1</v>
      </c>
      <c r="M74" s="7" t="b">
        <v>0</v>
      </c>
      <c r="N74" s="7" t="b">
        <v>0</v>
      </c>
      <c r="O74" s="1" t="s">
        <v>19</v>
      </c>
      <c r="P74" s="1" t="s">
        <v>17</v>
      </c>
      <c r="Q74" s="1" t="s">
        <v>17</v>
      </c>
      <c r="R74" s="1" t="s">
        <v>17</v>
      </c>
      <c r="S74" s="1" t="s">
        <v>19</v>
      </c>
      <c r="T74" s="1" t="s">
        <v>17</v>
      </c>
      <c r="U74" t="str">
        <f t="shared" si="9"/>
        <v>filter|dataset</v>
      </c>
      <c r="V74" t="str">
        <f t="shared" si="10"/>
        <v/>
      </c>
      <c r="W74" t="str">
        <f t="shared" si="11"/>
        <v>filter</v>
      </c>
      <c r="X74" t="str">
        <f t="shared" si="12"/>
        <v/>
      </c>
      <c r="Y74" t="str">
        <f t="shared" si="13"/>
        <v/>
      </c>
      <c r="Z74" t="str">
        <f t="shared" si="14"/>
        <v/>
      </c>
      <c r="AA74" t="str">
        <f t="shared" si="15"/>
        <v>dataset</v>
      </c>
      <c r="AB74" t="str">
        <f t="shared" si="16"/>
        <v/>
      </c>
      <c r="AC74" t="str">
        <f t="shared" si="17"/>
        <v/>
      </c>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c r="GD74"/>
      <c r="GE74"/>
      <c r="GF74"/>
      <c r="GG74"/>
      <c r="GH74"/>
      <c r="GI74"/>
      <c r="GJ74"/>
      <c r="GK74"/>
      <c r="GL74"/>
      <c r="GM74"/>
      <c r="GN74"/>
      <c r="GO74"/>
      <c r="GP74"/>
      <c r="GQ74"/>
      <c r="GR74"/>
      <c r="GS74"/>
      <c r="GT74"/>
      <c r="GU74"/>
      <c r="GV74"/>
      <c r="GW74"/>
      <c r="GX74"/>
      <c r="GY74"/>
      <c r="GZ74"/>
      <c r="HA74"/>
      <c r="HB74"/>
      <c r="HC74"/>
      <c r="HD74"/>
      <c r="HE74"/>
      <c r="HF74"/>
      <c r="HG74"/>
      <c r="HH74"/>
      <c r="HI74"/>
      <c r="HJ74"/>
      <c r="HK74"/>
      <c r="HL74"/>
      <c r="HM74"/>
      <c r="HN74"/>
      <c r="HO74"/>
      <c r="HP74"/>
      <c r="HQ74"/>
      <c r="HR74"/>
      <c r="HS74"/>
      <c r="HT74"/>
      <c r="HU74"/>
      <c r="HV74"/>
      <c r="HW74"/>
      <c r="HX74"/>
      <c r="HY74"/>
      <c r="HZ74"/>
      <c r="IA74"/>
      <c r="IB74"/>
      <c r="IC74"/>
      <c r="ID74"/>
      <c r="IE74"/>
      <c r="IF74"/>
      <c r="IG74"/>
      <c r="IH74"/>
      <c r="II74"/>
      <c r="IJ74"/>
      <c r="IK74"/>
      <c r="IL74"/>
      <c r="IM74"/>
      <c r="IN74"/>
      <c r="IO74"/>
      <c r="IP74"/>
      <c r="IQ74"/>
      <c r="IR74"/>
      <c r="IS74"/>
      <c r="IT74"/>
      <c r="IU74"/>
      <c r="IV74"/>
      <c r="IW74"/>
      <c r="IX74"/>
      <c r="IY74"/>
      <c r="IZ74"/>
      <c r="JA74"/>
      <c r="JB74"/>
      <c r="JC74"/>
      <c r="JD74"/>
      <c r="JE74"/>
      <c r="JF74"/>
      <c r="JG74"/>
      <c r="JH74"/>
      <c r="JI74"/>
      <c r="JJ74"/>
      <c r="JK74"/>
      <c r="JL74"/>
      <c r="JM74"/>
      <c r="JN74"/>
      <c r="JO74"/>
      <c r="JP74"/>
      <c r="JQ74"/>
      <c r="JR74"/>
      <c r="JS74"/>
      <c r="JT74"/>
      <c r="JU74"/>
      <c r="JV74"/>
      <c r="JW74"/>
      <c r="JX74"/>
      <c r="JY74"/>
      <c r="JZ74"/>
      <c r="KA74"/>
      <c r="KB74"/>
      <c r="KC74"/>
      <c r="KD74"/>
      <c r="KE74"/>
      <c r="KF74"/>
      <c r="KG74"/>
      <c r="KH74"/>
      <c r="KI74"/>
      <c r="KJ74"/>
      <c r="KK74"/>
      <c r="KL74"/>
      <c r="KM74"/>
      <c r="KN74"/>
      <c r="KO74"/>
      <c r="KP74"/>
      <c r="KQ74"/>
      <c r="KR74"/>
      <c r="KS74"/>
      <c r="KT74"/>
      <c r="KU74"/>
      <c r="KV74"/>
      <c r="KW74"/>
      <c r="KX74"/>
      <c r="KY74"/>
      <c r="KZ74"/>
      <c r="LA74"/>
      <c r="LB74"/>
      <c r="LC74"/>
      <c r="LD74"/>
      <c r="LE74"/>
      <c r="LF74"/>
      <c r="LG74"/>
      <c r="LH74"/>
      <c r="LI74"/>
      <c r="LJ74"/>
      <c r="LK74"/>
      <c r="LL74"/>
      <c r="LM74"/>
      <c r="LN74"/>
      <c r="LO74"/>
      <c r="LP74"/>
      <c r="LQ74"/>
      <c r="LR74"/>
      <c r="LS74"/>
      <c r="LT74"/>
      <c r="LU74"/>
      <c r="LV74"/>
      <c r="LW74"/>
      <c r="LX74"/>
      <c r="LY74"/>
      <c r="LZ74"/>
      <c r="MA74"/>
      <c r="MB74"/>
      <c r="MC74"/>
      <c r="MD74"/>
      <c r="ME74"/>
      <c r="MF74"/>
      <c r="MG74"/>
      <c r="MH74"/>
      <c r="MI74"/>
      <c r="MJ74"/>
      <c r="MK74"/>
      <c r="ML74"/>
      <c r="MM74"/>
      <c r="MN74"/>
      <c r="MO74"/>
      <c r="MP74"/>
      <c r="MQ74"/>
      <c r="MR74"/>
      <c r="MS74"/>
      <c r="MT74"/>
      <c r="MU74"/>
      <c r="MV74"/>
      <c r="MW74"/>
      <c r="MX74"/>
      <c r="MY74"/>
      <c r="MZ74"/>
      <c r="NA74"/>
      <c r="NB74"/>
      <c r="NC74"/>
      <c r="ND74"/>
      <c r="NE74"/>
      <c r="NF74"/>
      <c r="NG74"/>
      <c r="NH74"/>
      <c r="NI74"/>
      <c r="NJ74"/>
      <c r="NK74"/>
      <c r="NL74"/>
      <c r="NM74"/>
      <c r="NN74"/>
      <c r="NO74"/>
      <c r="NP74"/>
      <c r="NQ74"/>
      <c r="NR74"/>
      <c r="NS74"/>
      <c r="NT74"/>
      <c r="NU74"/>
      <c r="NV74"/>
      <c r="NW74"/>
      <c r="NX74"/>
      <c r="NY74"/>
      <c r="NZ74"/>
      <c r="OA74"/>
      <c r="OB74"/>
      <c r="OC74"/>
      <c r="OD74"/>
      <c r="OE74"/>
      <c r="OF74"/>
      <c r="OG74"/>
      <c r="OH74"/>
      <c r="OI74"/>
      <c r="OJ74"/>
      <c r="OK74"/>
      <c r="OL74"/>
      <c r="OM74"/>
      <c r="ON74"/>
      <c r="OO74"/>
      <c r="OP74"/>
      <c r="OQ74"/>
      <c r="OR74"/>
      <c r="OS74"/>
      <c r="OT74"/>
      <c r="OU74"/>
      <c r="OV74"/>
      <c r="OW74"/>
      <c r="OX74"/>
      <c r="OY74"/>
      <c r="OZ74"/>
      <c r="PA74"/>
      <c r="PB74"/>
      <c r="PC74"/>
      <c r="PD74"/>
      <c r="PE74"/>
      <c r="PF74"/>
      <c r="PG74"/>
      <c r="PH74"/>
      <c r="PI74"/>
      <c r="PJ74"/>
      <c r="PK74"/>
      <c r="PL74"/>
      <c r="PM74"/>
      <c r="PN74"/>
      <c r="PO74"/>
      <c r="PP74"/>
      <c r="PQ74"/>
      <c r="PR74"/>
      <c r="PS74"/>
      <c r="PT74"/>
      <c r="PU74"/>
      <c r="PV74"/>
      <c r="PW74"/>
      <c r="PX74"/>
      <c r="PY74"/>
      <c r="PZ74"/>
      <c r="QA74"/>
      <c r="QB74"/>
      <c r="QC74"/>
      <c r="QD74"/>
      <c r="QE74"/>
      <c r="QF74"/>
      <c r="QG74"/>
      <c r="QH74"/>
      <c r="QI74"/>
      <c r="QJ74"/>
      <c r="QK74"/>
      <c r="QL74"/>
      <c r="QM74"/>
      <c r="QN74"/>
      <c r="QO74"/>
      <c r="QP74"/>
      <c r="QQ74"/>
      <c r="QR74"/>
      <c r="QS74"/>
      <c r="QT74"/>
      <c r="QU74"/>
      <c r="QV74"/>
      <c r="QW74"/>
      <c r="QX74"/>
      <c r="QY74"/>
      <c r="QZ74"/>
      <c r="RA74"/>
      <c r="RB74"/>
      <c r="RC74"/>
      <c r="RD74"/>
      <c r="RE74"/>
      <c r="RF74"/>
      <c r="RG74"/>
      <c r="RH74"/>
      <c r="RI74"/>
      <c r="RJ74"/>
      <c r="RK74"/>
      <c r="RL74"/>
      <c r="RM74"/>
      <c r="RN74"/>
      <c r="RO74"/>
      <c r="RP74"/>
      <c r="RQ74"/>
      <c r="RR74"/>
      <c r="RS74"/>
      <c r="RT74"/>
      <c r="RU74"/>
      <c r="RV74"/>
      <c r="RW74"/>
      <c r="RX74"/>
      <c r="RY74"/>
      <c r="RZ74"/>
      <c r="SA74"/>
      <c r="SB74"/>
      <c r="SC74"/>
      <c r="SD74"/>
      <c r="SE74"/>
      <c r="SF74"/>
      <c r="SG74"/>
      <c r="SH74"/>
      <c r="SI74"/>
      <c r="SJ74"/>
      <c r="SK74"/>
      <c r="SL74"/>
      <c r="SM74"/>
      <c r="SN74"/>
      <c r="SO74"/>
      <c r="SP74"/>
      <c r="SQ74"/>
      <c r="SR74"/>
      <c r="SS74"/>
      <c r="ST74"/>
      <c r="SU74"/>
      <c r="SV74"/>
      <c r="SW74"/>
      <c r="SX74"/>
      <c r="SY74"/>
      <c r="SZ74"/>
      <c r="TA74"/>
      <c r="TB74"/>
      <c r="TC74"/>
      <c r="TD74"/>
      <c r="TE74"/>
      <c r="TF74"/>
      <c r="TG74"/>
      <c r="TH74"/>
      <c r="TI74"/>
      <c r="TJ74"/>
      <c r="TK74"/>
      <c r="TL74"/>
      <c r="TM74"/>
      <c r="TN74"/>
      <c r="TO74"/>
      <c r="TP74"/>
      <c r="TQ74"/>
      <c r="TR74"/>
      <c r="TS74"/>
      <c r="TT74"/>
      <c r="TU74"/>
      <c r="TV74"/>
      <c r="TW74"/>
      <c r="TX74"/>
      <c r="TY74"/>
      <c r="TZ74"/>
      <c r="UA74"/>
      <c r="UB74"/>
      <c r="UC74"/>
      <c r="UD74"/>
      <c r="UE74"/>
      <c r="UF74"/>
      <c r="UG74"/>
      <c r="UH74"/>
      <c r="UI74"/>
      <c r="UJ74"/>
      <c r="UK74"/>
      <c r="UL74"/>
      <c r="UM74"/>
      <c r="UN74"/>
      <c r="UO74"/>
      <c r="UP74"/>
      <c r="UQ74"/>
      <c r="UR74"/>
      <c r="US74"/>
      <c r="UT74"/>
      <c r="UU74"/>
      <c r="UV74"/>
      <c r="UW74"/>
      <c r="UX74"/>
      <c r="UY74"/>
      <c r="UZ74"/>
      <c r="VA74"/>
      <c r="VB74"/>
      <c r="VC74"/>
      <c r="VD74"/>
      <c r="VE74"/>
      <c r="VF74"/>
      <c r="VG74"/>
      <c r="VH74"/>
      <c r="VI74"/>
      <c r="VJ74"/>
      <c r="VK74"/>
      <c r="VL74"/>
      <c r="VM74"/>
      <c r="VN74"/>
      <c r="VO74"/>
      <c r="VP74"/>
      <c r="VQ74"/>
      <c r="VR74"/>
      <c r="VS74"/>
      <c r="VT74"/>
      <c r="VU74"/>
      <c r="VV74"/>
      <c r="VW74"/>
      <c r="VX74"/>
      <c r="VY74"/>
      <c r="VZ74"/>
      <c r="WA74"/>
      <c r="WB74"/>
      <c r="WC74"/>
      <c r="WD74"/>
      <c r="WE74"/>
      <c r="WF74"/>
      <c r="WG74"/>
      <c r="WH74"/>
      <c r="WI74"/>
      <c r="WJ74"/>
      <c r="WK74"/>
      <c r="WL74"/>
      <c r="WM74"/>
      <c r="WN74"/>
      <c r="WO74"/>
      <c r="WP74"/>
      <c r="WQ74"/>
      <c r="WR74"/>
      <c r="WS74"/>
      <c r="WT74"/>
      <c r="WU74"/>
      <c r="WV74"/>
      <c r="WW74"/>
      <c r="WX74"/>
      <c r="WY74"/>
      <c r="WZ74"/>
      <c r="XA74"/>
      <c r="XB74"/>
      <c r="XC74"/>
      <c r="XD74"/>
      <c r="XE74"/>
      <c r="XF74"/>
      <c r="XG74"/>
      <c r="XH74"/>
      <c r="XI74"/>
      <c r="XJ74"/>
      <c r="XK74"/>
      <c r="XL74"/>
      <c r="XM74"/>
      <c r="XN74"/>
      <c r="XO74"/>
      <c r="XP74"/>
      <c r="XQ74"/>
      <c r="XR74"/>
      <c r="XS74"/>
      <c r="XT74"/>
      <c r="XU74"/>
      <c r="XV74"/>
      <c r="XW74"/>
      <c r="XX74"/>
      <c r="XY74"/>
      <c r="XZ74"/>
      <c r="YA74"/>
      <c r="YB74"/>
      <c r="YC74"/>
      <c r="YD74"/>
      <c r="YE74"/>
      <c r="YF74"/>
      <c r="YG74"/>
      <c r="YH74"/>
      <c r="YI74"/>
      <c r="YJ74"/>
      <c r="YK74"/>
      <c r="YL74"/>
      <c r="YM74"/>
      <c r="YN74"/>
      <c r="YO74"/>
      <c r="YP74"/>
      <c r="YQ74"/>
      <c r="YR74"/>
      <c r="YS74"/>
      <c r="YT74"/>
      <c r="YU74"/>
      <c r="YV74"/>
      <c r="YW74"/>
      <c r="YX74"/>
      <c r="YY74"/>
      <c r="YZ74"/>
      <c r="ZA74"/>
      <c r="ZB74"/>
      <c r="ZC74"/>
      <c r="ZD74"/>
      <c r="ZE74"/>
      <c r="ZF74"/>
      <c r="ZG74"/>
      <c r="ZH74"/>
      <c r="ZI74"/>
      <c r="ZJ74"/>
      <c r="ZK74"/>
      <c r="ZL74"/>
      <c r="ZM74"/>
      <c r="ZN74"/>
      <c r="ZO74"/>
      <c r="ZP74"/>
      <c r="ZQ74"/>
      <c r="ZR74"/>
      <c r="ZS74"/>
      <c r="ZT74"/>
      <c r="ZU74"/>
      <c r="ZV74"/>
      <c r="ZW74"/>
      <c r="ZX74"/>
      <c r="ZY74"/>
      <c r="ZZ74"/>
      <c r="AAA74"/>
      <c r="AAB74"/>
      <c r="AAC74"/>
      <c r="AAD74"/>
      <c r="AAE74"/>
      <c r="AAF74"/>
      <c r="AAG74"/>
      <c r="AAH74"/>
      <c r="AAI74"/>
      <c r="AAJ74"/>
      <c r="AAK74"/>
      <c r="AAL74"/>
      <c r="AAM74"/>
      <c r="AAN74"/>
      <c r="AAO74"/>
      <c r="AAP74"/>
      <c r="AAQ74"/>
      <c r="AAR74"/>
      <c r="AAS74"/>
      <c r="AAT74"/>
      <c r="AAU74"/>
      <c r="AAV74"/>
      <c r="AAW74"/>
      <c r="AAX74"/>
      <c r="AAY74"/>
      <c r="AAZ74"/>
      <c r="ABA74"/>
      <c r="ABB74"/>
      <c r="ABC74"/>
      <c r="ABD74"/>
      <c r="ABE74"/>
      <c r="ABF74"/>
      <c r="ABG74"/>
      <c r="ABH74"/>
      <c r="ABI74"/>
      <c r="ABJ74"/>
      <c r="ABK74"/>
      <c r="ABL74"/>
      <c r="ABM74"/>
      <c r="ABN74"/>
      <c r="ABO74"/>
      <c r="ABP74"/>
      <c r="ABQ74"/>
      <c r="ABR74"/>
      <c r="ABS74"/>
      <c r="ABT74"/>
      <c r="ABU74"/>
      <c r="ABV74"/>
      <c r="ABW74"/>
      <c r="ABX74"/>
      <c r="ABY74"/>
      <c r="ABZ74"/>
      <c r="ACA74"/>
      <c r="ACB74"/>
      <c r="ACC74"/>
      <c r="ACD74"/>
      <c r="ACE74"/>
      <c r="ACF74"/>
      <c r="ACG74"/>
      <c r="ACH74"/>
      <c r="ACI74"/>
      <c r="ACJ74"/>
      <c r="ACK74"/>
      <c r="ACL74"/>
      <c r="ACM74"/>
      <c r="ACN74"/>
      <c r="ACO74"/>
      <c r="ACP74"/>
      <c r="ACQ74"/>
      <c r="ACR74"/>
      <c r="ACS74"/>
      <c r="ACT74"/>
      <c r="ACU74"/>
      <c r="ACV74"/>
      <c r="ACW74"/>
      <c r="ACX74"/>
      <c r="ACY74"/>
      <c r="ACZ74"/>
      <c r="ADA74"/>
      <c r="ADB74"/>
      <c r="ADC74"/>
      <c r="ADD74"/>
      <c r="ADE74"/>
      <c r="ADF74"/>
      <c r="ADG74"/>
      <c r="ADH74"/>
      <c r="ADI74"/>
      <c r="ADJ74"/>
      <c r="ADK74"/>
      <c r="ADL74"/>
      <c r="ADM74"/>
      <c r="ADN74"/>
      <c r="ADO74"/>
      <c r="ADP74"/>
      <c r="ADQ74"/>
      <c r="ADR74"/>
      <c r="ADS74"/>
      <c r="ADT74"/>
      <c r="ADU74"/>
      <c r="ADV74"/>
      <c r="ADW74"/>
      <c r="ADX74"/>
      <c r="ADY74"/>
      <c r="ADZ74"/>
      <c r="AEA74"/>
      <c r="AEB74"/>
      <c r="AEC74"/>
      <c r="AED74"/>
      <c r="AEE74"/>
      <c r="AEF74"/>
      <c r="AEG74"/>
      <c r="AEH74"/>
      <c r="AEI74"/>
      <c r="AEJ74"/>
      <c r="AEK74"/>
      <c r="AEL74"/>
      <c r="AEM74"/>
      <c r="AEN74"/>
      <c r="AEO74"/>
      <c r="AEP74"/>
      <c r="AEQ74"/>
      <c r="AER74"/>
      <c r="AES74"/>
      <c r="AET74"/>
      <c r="AEU74"/>
      <c r="AEV74"/>
      <c r="AEW74"/>
      <c r="AEX74"/>
      <c r="AEY74"/>
      <c r="AEZ74"/>
      <c r="AFA74"/>
      <c r="AFB74"/>
      <c r="AFC74"/>
      <c r="AFD74"/>
      <c r="AFE74"/>
      <c r="AFF74"/>
      <c r="AFG74"/>
      <c r="AFH74"/>
      <c r="AFI74"/>
      <c r="AFJ74"/>
      <c r="AFK74"/>
      <c r="AFL74"/>
      <c r="AFM74"/>
      <c r="AFN74"/>
      <c r="AFO74"/>
      <c r="AFP74"/>
      <c r="AFQ74"/>
      <c r="AFR74"/>
      <c r="AFS74"/>
      <c r="AFT74"/>
      <c r="AFU74"/>
      <c r="AFV74"/>
      <c r="AFW74"/>
      <c r="AFX74"/>
      <c r="AFY74"/>
      <c r="AFZ74"/>
      <c r="AGA74"/>
      <c r="AGB74"/>
      <c r="AGC74"/>
      <c r="AGD74"/>
      <c r="AGE74"/>
      <c r="AGF74"/>
      <c r="AGG74"/>
      <c r="AGH74"/>
      <c r="AGI74"/>
      <c r="AGJ74"/>
      <c r="AGK74"/>
      <c r="AGL74"/>
      <c r="AGM74"/>
      <c r="AGN74"/>
      <c r="AGO74"/>
      <c r="AGP74"/>
      <c r="AGQ74"/>
      <c r="AGR74"/>
      <c r="AGS74"/>
      <c r="AGT74"/>
      <c r="AGU74"/>
      <c r="AGV74"/>
      <c r="AGW74"/>
      <c r="AGX74"/>
      <c r="AGY74"/>
      <c r="AGZ74"/>
      <c r="AHA74"/>
      <c r="AHB74"/>
      <c r="AHC74"/>
      <c r="AHD74"/>
      <c r="AHE74"/>
      <c r="AHF74"/>
      <c r="AHG74"/>
      <c r="AHH74"/>
      <c r="AHI74"/>
      <c r="AHJ74"/>
      <c r="AHK74"/>
      <c r="AHL74"/>
      <c r="AHM74"/>
      <c r="AHN74"/>
      <c r="AHO74"/>
      <c r="AHP74"/>
      <c r="AHQ74"/>
      <c r="AHR74"/>
      <c r="AHS74"/>
      <c r="AHT74"/>
      <c r="AHU74"/>
      <c r="AHV74"/>
      <c r="AHW74"/>
      <c r="AHX74"/>
      <c r="AHY74"/>
      <c r="AHZ74"/>
      <c r="AIA74"/>
      <c r="AIB74"/>
      <c r="AIC74"/>
      <c r="AID74"/>
      <c r="AIE74"/>
      <c r="AIF74"/>
      <c r="AIG74"/>
      <c r="AIH74"/>
      <c r="AII74"/>
      <c r="AIJ74"/>
      <c r="AIK74"/>
      <c r="AIL74"/>
      <c r="AIM74"/>
      <c r="AIN74"/>
      <c r="AIO74"/>
      <c r="AIP74"/>
      <c r="AIQ74"/>
      <c r="AIR74"/>
      <c r="AIS74"/>
      <c r="AIT74"/>
      <c r="AIU74"/>
      <c r="AIV74"/>
      <c r="AIW74"/>
      <c r="AIX74"/>
      <c r="AIY74"/>
      <c r="AIZ74"/>
      <c r="AJA74"/>
      <c r="AJB74"/>
      <c r="AJC74"/>
      <c r="AJD74"/>
      <c r="AJE74"/>
      <c r="AJF74"/>
      <c r="AJG74"/>
      <c r="AJH74"/>
      <c r="AJI74"/>
      <c r="AJJ74"/>
      <c r="AJK74"/>
      <c r="AJL74"/>
      <c r="AJM74"/>
      <c r="AJN74"/>
      <c r="AJO74"/>
      <c r="AJP74"/>
      <c r="AJQ74"/>
      <c r="AJR74"/>
      <c r="AJS74"/>
      <c r="AJT74"/>
      <c r="AJU74"/>
      <c r="AJV74"/>
      <c r="AJW74"/>
      <c r="AJX74"/>
      <c r="AJY74"/>
      <c r="AJZ74"/>
      <c r="AKA74"/>
      <c r="AKB74"/>
      <c r="AKC74"/>
      <c r="AKD74"/>
      <c r="AKE74"/>
      <c r="AKF74"/>
      <c r="AKG74"/>
      <c r="AKH74"/>
      <c r="AKI74"/>
      <c r="AKJ74"/>
      <c r="AKK74"/>
      <c r="AKL74"/>
      <c r="AKM74"/>
      <c r="AKN74"/>
      <c r="AKO74"/>
      <c r="AKP74"/>
      <c r="AKQ74"/>
      <c r="AKR74"/>
      <c r="AKS74"/>
      <c r="AKT74"/>
      <c r="AKU74"/>
      <c r="AKV74"/>
      <c r="AKW74"/>
      <c r="AKX74"/>
      <c r="AKY74"/>
      <c r="AKZ74"/>
      <c r="ALA74"/>
      <c r="ALB74"/>
      <c r="ALC74"/>
      <c r="ALD74"/>
      <c r="ALE74"/>
      <c r="ALF74"/>
      <c r="ALG74"/>
      <c r="ALH74"/>
      <c r="ALI74"/>
      <c r="ALJ74"/>
      <c r="ALK74"/>
      <c r="ALL74"/>
      <c r="ALM74"/>
      <c r="ALN74"/>
      <c r="ALO74"/>
      <c r="ALP74"/>
      <c r="ALQ74"/>
      <c r="ALR74"/>
      <c r="ALS74"/>
      <c r="ALT74"/>
      <c r="ALU74"/>
      <c r="ALV74"/>
      <c r="ALW74"/>
      <c r="ALX74"/>
      <c r="ALY74"/>
      <c r="ALZ74"/>
      <c r="AMA74"/>
      <c r="AMB74"/>
      <c r="AMC74"/>
      <c r="AMD74"/>
      <c r="AME74"/>
      <c r="AMF74"/>
      <c r="AMG74"/>
      <c r="AMH74"/>
      <c r="AMI74"/>
      <c r="AMJ74"/>
    </row>
    <row r="75" spans="1:1024" x14ac:dyDescent="0.15">
      <c r="A75" t="s">
        <v>193</v>
      </c>
      <c r="E75" t="s">
        <v>15</v>
      </c>
      <c r="F75" t="s">
        <v>194</v>
      </c>
      <c r="H75">
        <v>300</v>
      </c>
      <c r="I75" t="b">
        <v>0</v>
      </c>
      <c r="J75" s="1" t="s">
        <v>17</v>
      </c>
      <c r="K75" t="s">
        <v>184</v>
      </c>
      <c r="L75">
        <v>0</v>
      </c>
      <c r="M75" s="7" t="b">
        <v>0</v>
      </c>
      <c r="N75" s="7" t="b">
        <v>0</v>
      </c>
      <c r="O75" s="1" t="s">
        <v>17</v>
      </c>
      <c r="P75" s="1" t="s">
        <v>19</v>
      </c>
      <c r="Q75" s="1" t="s">
        <v>17</v>
      </c>
      <c r="R75" s="1" t="s">
        <v>17</v>
      </c>
      <c r="S75" s="1" t="s">
        <v>17</v>
      </c>
      <c r="T75" s="1" t="s">
        <v>17</v>
      </c>
      <c r="U75" t="str">
        <f t="shared" si="9"/>
        <v>user</v>
      </c>
      <c r="V75" t="str">
        <f t="shared" si="10"/>
        <v/>
      </c>
      <c r="W75" t="str">
        <f t="shared" si="11"/>
        <v/>
      </c>
      <c r="X75" t="str">
        <f t="shared" si="12"/>
        <v>user</v>
      </c>
      <c r="Y75" t="str">
        <f t="shared" si="13"/>
        <v/>
      </c>
      <c r="Z75" t="str">
        <f t="shared" si="14"/>
        <v/>
      </c>
      <c r="AA75" t="str">
        <f t="shared" si="15"/>
        <v/>
      </c>
      <c r="AB75" t="str">
        <f t="shared" si="16"/>
        <v/>
      </c>
      <c r="AC75" t="str">
        <f t="shared" si="17"/>
        <v/>
      </c>
    </row>
    <row r="76" spans="1:1024" x14ac:dyDescent="0.15">
      <c r="A76" s="6" t="s">
        <v>42</v>
      </c>
      <c r="B76" s="6"/>
      <c r="C76" s="6"/>
      <c r="D76" s="6"/>
      <c r="E76" t="s">
        <v>15</v>
      </c>
      <c r="F76" t="s">
        <v>43</v>
      </c>
      <c r="H76">
        <v>200</v>
      </c>
      <c r="I76" t="b">
        <v>0</v>
      </c>
      <c r="J76" s="1" t="s">
        <v>17</v>
      </c>
      <c r="K76" t="s">
        <v>44</v>
      </c>
      <c r="L76">
        <v>1</v>
      </c>
      <c r="M76" s="7" t="b">
        <v>0</v>
      </c>
      <c r="N76" s="7" t="b">
        <v>0</v>
      </c>
      <c r="O76" s="1" t="s">
        <v>19</v>
      </c>
      <c r="P76" s="1" t="s">
        <v>17</v>
      </c>
      <c r="Q76" s="1" t="s">
        <v>17</v>
      </c>
      <c r="R76" s="1" t="s">
        <v>17</v>
      </c>
      <c r="S76" s="1" t="s">
        <v>19</v>
      </c>
      <c r="T76" s="1" t="s">
        <v>17</v>
      </c>
      <c r="U76" t="str">
        <f t="shared" si="9"/>
        <v>filter|dataset</v>
      </c>
      <c r="V76" t="str">
        <f t="shared" si="10"/>
        <v/>
      </c>
      <c r="W76" t="str">
        <f t="shared" si="11"/>
        <v>filter</v>
      </c>
      <c r="X76" t="str">
        <f t="shared" si="12"/>
        <v/>
      </c>
      <c r="Y76" t="str">
        <f t="shared" si="13"/>
        <v/>
      </c>
      <c r="Z76" t="str">
        <f t="shared" si="14"/>
        <v/>
      </c>
      <c r="AA76" t="str">
        <f t="shared" si="15"/>
        <v>dataset</v>
      </c>
      <c r="AB76" t="str">
        <f t="shared" si="16"/>
        <v/>
      </c>
      <c r="AC76" t="str">
        <f t="shared" si="17"/>
        <v/>
      </c>
    </row>
    <row r="77" spans="1:1024" x14ac:dyDescent="0.15">
      <c r="A77" s="6" t="s">
        <v>45</v>
      </c>
      <c r="B77" s="6"/>
      <c r="C77" s="6"/>
      <c r="D77" s="6"/>
      <c r="E77" t="s">
        <v>15</v>
      </c>
      <c r="F77" t="s">
        <v>46</v>
      </c>
      <c r="H77">
        <v>200</v>
      </c>
      <c r="I77" t="b">
        <v>0</v>
      </c>
      <c r="J77" s="1" t="s">
        <v>17</v>
      </c>
      <c r="K77" t="s">
        <v>44</v>
      </c>
      <c r="L77">
        <v>1</v>
      </c>
      <c r="M77" s="7" t="b">
        <v>0</v>
      </c>
      <c r="N77" s="7" t="b">
        <v>0</v>
      </c>
      <c r="O77" s="1" t="s">
        <v>19</v>
      </c>
      <c r="P77" s="1" t="s">
        <v>17</v>
      </c>
      <c r="Q77" s="1" t="s">
        <v>17</v>
      </c>
      <c r="R77" s="1" t="s">
        <v>17</v>
      </c>
      <c r="S77" s="1" t="s">
        <v>19</v>
      </c>
      <c r="T77" s="1" t="s">
        <v>17</v>
      </c>
      <c r="U77" t="str">
        <f t="shared" si="9"/>
        <v>filter|dataset</v>
      </c>
      <c r="V77" t="str">
        <f t="shared" si="10"/>
        <v/>
      </c>
      <c r="W77" t="str">
        <f t="shared" si="11"/>
        <v>filter</v>
      </c>
      <c r="X77" t="str">
        <f t="shared" si="12"/>
        <v/>
      </c>
      <c r="Y77" t="str">
        <f t="shared" si="13"/>
        <v/>
      </c>
      <c r="Z77" t="str">
        <f t="shared" si="14"/>
        <v/>
      </c>
      <c r="AA77" t="str">
        <f t="shared" si="15"/>
        <v>dataset</v>
      </c>
      <c r="AB77" t="str">
        <f t="shared" si="16"/>
        <v/>
      </c>
      <c r="AC77" t="str">
        <f t="shared" si="17"/>
        <v/>
      </c>
    </row>
    <row r="78" spans="1:1024" x14ac:dyDescent="0.15">
      <c r="A78" s="6" t="s">
        <v>111</v>
      </c>
      <c r="B78" s="6" t="s">
        <v>4100</v>
      </c>
      <c r="C78" s="6"/>
      <c r="D78" s="6"/>
      <c r="E78" s="6" t="s">
        <v>20</v>
      </c>
      <c r="F78" s="6" t="s">
        <v>3214</v>
      </c>
      <c r="G78" s="6"/>
      <c r="H78">
        <v>500</v>
      </c>
      <c r="I78" t="b">
        <v>0</v>
      </c>
      <c r="J78" s="1" t="s">
        <v>17</v>
      </c>
      <c r="K78" t="s">
        <v>23</v>
      </c>
      <c r="L78">
        <v>2</v>
      </c>
      <c r="M78" s="7" t="b">
        <v>0</v>
      </c>
      <c r="N78" s="7" t="b">
        <v>0</v>
      </c>
      <c r="O78" s="1" t="s">
        <v>19</v>
      </c>
      <c r="P78" s="1" t="s">
        <v>17</v>
      </c>
      <c r="Q78" s="1" t="s">
        <v>17</v>
      </c>
      <c r="R78" s="1" t="s">
        <v>17</v>
      </c>
      <c r="S78" s="1" t="s">
        <v>19</v>
      </c>
      <c r="T78" s="1" t="s">
        <v>19</v>
      </c>
      <c r="U78" t="str">
        <f t="shared" si="9"/>
        <v>filter|dataset|sample</v>
      </c>
      <c r="V78" t="str">
        <f t="shared" si="10"/>
        <v/>
      </c>
      <c r="W78" t="str">
        <f t="shared" si="11"/>
        <v>filter</v>
      </c>
      <c r="X78" t="str">
        <f t="shared" si="12"/>
        <v/>
      </c>
      <c r="Y78" t="str">
        <f t="shared" si="13"/>
        <v/>
      </c>
      <c r="Z78" t="str">
        <f t="shared" si="14"/>
        <v/>
      </c>
      <c r="AA78" t="str">
        <f t="shared" si="15"/>
        <v>dataset</v>
      </c>
      <c r="AB78" t="str">
        <f t="shared" si="16"/>
        <v>sample</v>
      </c>
      <c r="AC78" t="str">
        <f t="shared" si="17"/>
        <v/>
      </c>
    </row>
    <row r="79" spans="1:1024" x14ac:dyDescent="0.15">
      <c r="A79" s="6" t="s">
        <v>136</v>
      </c>
      <c r="B79" s="6"/>
      <c r="C79" s="6"/>
      <c r="D79" s="6"/>
      <c r="E79" t="s">
        <v>137</v>
      </c>
      <c r="F79" t="s">
        <v>3217</v>
      </c>
      <c r="H79">
        <v>500</v>
      </c>
      <c r="I79" t="b">
        <v>0</v>
      </c>
      <c r="J79" s="1" t="s">
        <v>17</v>
      </c>
      <c r="K79" t="s">
        <v>23</v>
      </c>
      <c r="L79">
        <v>2</v>
      </c>
      <c r="M79" s="7" t="b">
        <v>0</v>
      </c>
      <c r="N79" s="7" t="b">
        <v>0</v>
      </c>
      <c r="O79" s="1" t="s">
        <v>19</v>
      </c>
      <c r="P79" s="1" t="s">
        <v>17</v>
      </c>
      <c r="Q79" s="1" t="s">
        <v>17</v>
      </c>
      <c r="R79" s="1" t="s">
        <v>17</v>
      </c>
      <c r="S79" s="1" t="s">
        <v>19</v>
      </c>
      <c r="T79" s="1" t="s">
        <v>19</v>
      </c>
      <c r="U79" t="str">
        <f t="shared" si="9"/>
        <v>filter|dataset|sample</v>
      </c>
      <c r="V79" t="str">
        <f t="shared" si="10"/>
        <v/>
      </c>
      <c r="W79" t="str">
        <f t="shared" si="11"/>
        <v>filter</v>
      </c>
      <c r="X79" t="str">
        <f t="shared" si="12"/>
        <v/>
      </c>
      <c r="Y79" t="str">
        <f t="shared" si="13"/>
        <v/>
      </c>
      <c r="Z79" t="str">
        <f t="shared" si="14"/>
        <v/>
      </c>
      <c r="AA79" t="str">
        <f t="shared" si="15"/>
        <v>dataset</v>
      </c>
      <c r="AB79" t="str">
        <f t="shared" si="16"/>
        <v>sample</v>
      </c>
      <c r="AC79" t="str">
        <f t="shared" si="17"/>
        <v/>
      </c>
    </row>
    <row r="80" spans="1:1024" x14ac:dyDescent="0.15">
      <c r="A80" s="6" t="s">
        <v>138</v>
      </c>
      <c r="B80" s="6"/>
      <c r="C80" s="6"/>
      <c r="D80" s="6"/>
      <c r="E80" t="s">
        <v>137</v>
      </c>
      <c r="F80" t="s">
        <v>3218</v>
      </c>
      <c r="H80">
        <v>500</v>
      </c>
      <c r="I80" t="b">
        <v>0</v>
      </c>
      <c r="J80" s="1" t="s">
        <v>17</v>
      </c>
      <c r="K80" t="s">
        <v>23</v>
      </c>
      <c r="L80">
        <v>2</v>
      </c>
      <c r="M80" s="7" t="b">
        <v>0</v>
      </c>
      <c r="N80" s="7" t="b">
        <v>0</v>
      </c>
      <c r="O80" s="1" t="s">
        <v>19</v>
      </c>
      <c r="P80" s="1" t="s">
        <v>17</v>
      </c>
      <c r="Q80" s="1" t="s">
        <v>17</v>
      </c>
      <c r="R80" s="1" t="s">
        <v>17</v>
      </c>
      <c r="S80" s="1" t="s">
        <v>19</v>
      </c>
      <c r="T80" s="1" t="s">
        <v>19</v>
      </c>
      <c r="U80" t="str">
        <f t="shared" si="9"/>
        <v>filter|dataset|sample</v>
      </c>
      <c r="V80" t="str">
        <f t="shared" si="10"/>
        <v/>
      </c>
      <c r="W80" t="str">
        <f t="shared" si="11"/>
        <v>filter</v>
      </c>
      <c r="X80" t="str">
        <f t="shared" si="12"/>
        <v/>
      </c>
      <c r="Y80" t="str">
        <f t="shared" si="13"/>
        <v/>
      </c>
      <c r="Z80" t="str">
        <f t="shared" si="14"/>
        <v/>
      </c>
      <c r="AA80" t="str">
        <f t="shared" si="15"/>
        <v>dataset</v>
      </c>
      <c r="AB80" t="str">
        <f t="shared" si="16"/>
        <v>sample</v>
      </c>
      <c r="AC80" t="str">
        <f t="shared" si="17"/>
        <v/>
      </c>
    </row>
    <row r="81" spans="1:1024" x14ac:dyDescent="0.15">
      <c r="A81" s="6" t="s">
        <v>140</v>
      </c>
      <c r="B81" s="6"/>
      <c r="C81" s="6"/>
      <c r="D81" s="6"/>
      <c r="E81" t="s">
        <v>141</v>
      </c>
      <c r="F81" t="s">
        <v>3219</v>
      </c>
      <c r="H81">
        <v>500</v>
      </c>
      <c r="I81" t="b">
        <v>0</v>
      </c>
      <c r="J81" s="1" t="s">
        <v>17</v>
      </c>
      <c r="K81" t="s">
        <v>23</v>
      </c>
      <c r="L81">
        <v>2</v>
      </c>
      <c r="M81" s="7" t="b">
        <v>0</v>
      </c>
      <c r="N81" s="7" t="b">
        <v>0</v>
      </c>
      <c r="O81" s="1" t="s">
        <v>19</v>
      </c>
      <c r="P81" s="1" t="s">
        <v>17</v>
      </c>
      <c r="Q81" s="1" t="s">
        <v>17</v>
      </c>
      <c r="R81" s="1" t="s">
        <v>17</v>
      </c>
      <c r="S81" s="1" t="s">
        <v>19</v>
      </c>
      <c r="T81" s="1" t="s">
        <v>19</v>
      </c>
      <c r="U81" t="str">
        <f t="shared" si="9"/>
        <v>filter|dataset|sample</v>
      </c>
      <c r="V81" t="str">
        <f t="shared" si="10"/>
        <v/>
      </c>
      <c r="W81" t="str">
        <f t="shared" si="11"/>
        <v>filter</v>
      </c>
      <c r="X81" t="str">
        <f t="shared" si="12"/>
        <v/>
      </c>
      <c r="Y81" t="str">
        <f t="shared" si="13"/>
        <v/>
      </c>
      <c r="Z81" t="str">
        <f t="shared" si="14"/>
        <v/>
      </c>
      <c r="AA81" t="str">
        <f t="shared" si="15"/>
        <v>dataset</v>
      </c>
      <c r="AB81" t="str">
        <f t="shared" si="16"/>
        <v>sample</v>
      </c>
      <c r="AC81" t="str">
        <f t="shared" si="17"/>
        <v/>
      </c>
    </row>
    <row r="82" spans="1:1024" x14ac:dyDescent="0.15">
      <c r="A82" s="6" t="s">
        <v>142</v>
      </c>
      <c r="B82" s="6"/>
      <c r="C82" s="6"/>
      <c r="D82" s="6"/>
      <c r="E82" t="s">
        <v>141</v>
      </c>
      <c r="F82" t="s">
        <v>3220</v>
      </c>
      <c r="H82">
        <v>500</v>
      </c>
      <c r="I82" t="b">
        <v>0</v>
      </c>
      <c r="J82" s="1" t="s">
        <v>17</v>
      </c>
      <c r="K82" t="s">
        <v>23</v>
      </c>
      <c r="L82">
        <v>2</v>
      </c>
      <c r="M82" s="7" t="b">
        <v>0</v>
      </c>
      <c r="N82" s="7" t="b">
        <v>0</v>
      </c>
      <c r="O82" s="1" t="s">
        <v>19</v>
      </c>
      <c r="P82" s="1" t="s">
        <v>17</v>
      </c>
      <c r="Q82" s="1" t="s">
        <v>17</v>
      </c>
      <c r="R82" s="1" t="s">
        <v>17</v>
      </c>
      <c r="S82" s="1" t="s">
        <v>19</v>
      </c>
      <c r="T82" s="1" t="s">
        <v>19</v>
      </c>
      <c r="U82" t="str">
        <f t="shared" si="9"/>
        <v>filter|dataset|sample</v>
      </c>
      <c r="V82" t="str">
        <f t="shared" si="10"/>
        <v/>
      </c>
      <c r="W82" t="str">
        <f t="shared" si="11"/>
        <v>filter</v>
      </c>
      <c r="X82" t="str">
        <f t="shared" si="12"/>
        <v/>
      </c>
      <c r="Y82" t="str">
        <f t="shared" si="13"/>
        <v/>
      </c>
      <c r="Z82" t="str">
        <f t="shared" si="14"/>
        <v/>
      </c>
      <c r="AA82" t="str">
        <f t="shared" si="15"/>
        <v>dataset</v>
      </c>
      <c r="AB82" t="str">
        <f t="shared" si="16"/>
        <v>sample</v>
      </c>
      <c r="AC82" t="str">
        <f t="shared" si="17"/>
        <v/>
      </c>
    </row>
    <row r="83" spans="1:1024" x14ac:dyDescent="0.15">
      <c r="A83" t="s">
        <v>3168</v>
      </c>
      <c r="E83" t="s">
        <v>15</v>
      </c>
      <c r="F83" t="s">
        <v>3169</v>
      </c>
      <c r="H83">
        <v>600</v>
      </c>
      <c r="I83" t="b">
        <v>0</v>
      </c>
      <c r="J83" s="1" t="s">
        <v>17</v>
      </c>
      <c r="K83" t="s">
        <v>39</v>
      </c>
      <c r="L83">
        <v>0</v>
      </c>
      <c r="M83" s="2" t="b">
        <v>0</v>
      </c>
      <c r="N83" s="2" t="b">
        <v>0</v>
      </c>
      <c r="O83" s="1" t="s">
        <v>19</v>
      </c>
      <c r="P83" s="1" t="s">
        <v>17</v>
      </c>
      <c r="Q83" s="1" t="s">
        <v>17</v>
      </c>
      <c r="R83" s="1" t="s">
        <v>19</v>
      </c>
      <c r="S83" s="1" t="s">
        <v>17</v>
      </c>
      <c r="T83" s="1" t="s">
        <v>17</v>
      </c>
      <c r="U83" t="str">
        <f t="shared" si="9"/>
        <v>filter|qc</v>
      </c>
      <c r="V83" t="str">
        <f t="shared" si="10"/>
        <v/>
      </c>
      <c r="W83" t="str">
        <f t="shared" si="11"/>
        <v>filter</v>
      </c>
      <c r="X83" t="str">
        <f t="shared" si="12"/>
        <v/>
      </c>
      <c r="Y83" t="str">
        <f t="shared" si="13"/>
        <v/>
      </c>
      <c r="Z83" t="str">
        <f t="shared" si="14"/>
        <v>qc</v>
      </c>
      <c r="AA83" t="str">
        <f t="shared" si="15"/>
        <v/>
      </c>
      <c r="AB83" t="str">
        <f t="shared" si="16"/>
        <v/>
      </c>
      <c r="AC83" t="str">
        <f t="shared" si="17"/>
        <v/>
      </c>
    </row>
    <row r="84" spans="1:1024" x14ac:dyDescent="0.15">
      <c r="A84" s="27" t="s">
        <v>52</v>
      </c>
      <c r="B84" s="27"/>
      <c r="C84" s="27"/>
      <c r="D84" s="8" t="s">
        <v>3980</v>
      </c>
      <c r="E84" s="27" t="s">
        <v>50</v>
      </c>
      <c r="F84" s="27" t="s">
        <v>4127</v>
      </c>
      <c r="G84" s="27"/>
      <c r="H84">
        <v>600</v>
      </c>
      <c r="I84" t="b">
        <v>0</v>
      </c>
      <c r="J84" s="1" t="s">
        <v>17</v>
      </c>
      <c r="K84" t="s">
        <v>51</v>
      </c>
      <c r="L84">
        <v>0</v>
      </c>
      <c r="M84" s="2" t="b">
        <v>0</v>
      </c>
      <c r="N84" s="2" t="b">
        <v>0</v>
      </c>
      <c r="O84" s="1" t="s">
        <v>19</v>
      </c>
      <c r="P84" s="1" t="s">
        <v>17</v>
      </c>
      <c r="Q84" s="1" t="s">
        <v>17</v>
      </c>
      <c r="R84" s="1" t="s">
        <v>19</v>
      </c>
      <c r="S84" s="1" t="s">
        <v>17</v>
      </c>
      <c r="T84" s="1" t="s">
        <v>17</v>
      </c>
      <c r="U84" t="str">
        <f t="shared" si="9"/>
        <v>filter|qc</v>
      </c>
      <c r="V84" t="str">
        <f t="shared" si="10"/>
        <v/>
      </c>
      <c r="W84" t="str">
        <f t="shared" si="11"/>
        <v>filter</v>
      </c>
      <c r="X84" t="str">
        <f t="shared" si="12"/>
        <v/>
      </c>
      <c r="Y84" t="str">
        <f t="shared" si="13"/>
        <v/>
      </c>
      <c r="Z84" t="str">
        <f t="shared" si="14"/>
        <v>qc</v>
      </c>
      <c r="AA84" t="str">
        <f t="shared" si="15"/>
        <v/>
      </c>
      <c r="AB84" t="str">
        <f t="shared" si="16"/>
        <v/>
      </c>
      <c r="AC84" t="str">
        <f t="shared" si="17"/>
        <v/>
      </c>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c r="BE84" s="27"/>
      <c r="BF84" s="27"/>
      <c r="BG84" s="27"/>
      <c r="BH84" s="27"/>
      <c r="BI84" s="27"/>
      <c r="BJ84" s="27"/>
      <c r="BK84" s="27"/>
      <c r="BL84" s="27"/>
      <c r="BM84" s="27"/>
      <c r="BN84" s="27"/>
      <c r="BO84" s="27"/>
      <c r="BP84" s="27"/>
      <c r="BQ84" s="27"/>
      <c r="BR84" s="27"/>
      <c r="BS84" s="27"/>
      <c r="BT84" s="27"/>
      <c r="BU84" s="27"/>
      <c r="BV84" s="27"/>
      <c r="BW84" s="27"/>
      <c r="BX84" s="27"/>
      <c r="BY84" s="27"/>
      <c r="BZ84" s="27"/>
      <c r="CA84" s="27"/>
      <c r="CB84" s="27"/>
      <c r="CC84" s="27"/>
      <c r="CD84" s="27"/>
      <c r="CE84" s="27"/>
      <c r="CF84" s="27"/>
      <c r="CG84" s="27"/>
      <c r="CH84" s="27"/>
      <c r="CI84" s="27"/>
      <c r="CJ84" s="27"/>
      <c r="CK84" s="27"/>
      <c r="CL84" s="27"/>
      <c r="CM84" s="27"/>
      <c r="CN84" s="27"/>
      <c r="CO84" s="27"/>
      <c r="CP84" s="27"/>
      <c r="CQ84" s="27"/>
      <c r="CR84" s="27"/>
      <c r="CS84" s="27"/>
      <c r="CT84" s="27"/>
      <c r="CU84" s="27"/>
      <c r="CV84" s="27"/>
      <c r="CW84" s="27"/>
      <c r="CX84" s="27"/>
      <c r="CY84" s="27"/>
      <c r="CZ84" s="27"/>
      <c r="DA84" s="27"/>
      <c r="DB84" s="27"/>
      <c r="DC84" s="27"/>
      <c r="DD84" s="27"/>
      <c r="DE84" s="27"/>
      <c r="DF84" s="27"/>
      <c r="DG84" s="27"/>
      <c r="DH84" s="27"/>
      <c r="DI84" s="27"/>
      <c r="DJ84" s="27"/>
      <c r="DK84" s="27"/>
      <c r="DL84" s="27"/>
      <c r="DM84" s="27"/>
      <c r="DN84" s="27"/>
      <c r="DO84" s="27"/>
      <c r="DP84" s="27"/>
      <c r="DQ84" s="27"/>
      <c r="DR84" s="27"/>
      <c r="DS84" s="27"/>
      <c r="DT84" s="27"/>
      <c r="DU84" s="27"/>
      <c r="DV84" s="27"/>
      <c r="DW84" s="27"/>
      <c r="DX84" s="27"/>
      <c r="DY84" s="27"/>
      <c r="DZ84" s="27"/>
      <c r="EA84" s="27"/>
      <c r="EB84" s="27"/>
      <c r="EC84" s="27"/>
      <c r="ED84" s="27"/>
      <c r="EE84" s="27"/>
      <c r="EF84" s="27"/>
      <c r="EG84" s="27"/>
      <c r="EH84" s="27"/>
      <c r="EI84" s="27"/>
      <c r="EJ84" s="27"/>
      <c r="EK84" s="27"/>
      <c r="EL84" s="27"/>
      <c r="EM84" s="27"/>
      <c r="EN84" s="27"/>
      <c r="EO84" s="27"/>
      <c r="EP84" s="27"/>
      <c r="EQ84" s="27"/>
      <c r="ER84" s="27"/>
      <c r="ES84" s="27"/>
      <c r="ET84" s="27"/>
      <c r="EU84" s="27"/>
      <c r="EV84" s="27"/>
      <c r="EW84" s="27"/>
      <c r="EX84" s="27"/>
      <c r="EY84" s="27"/>
      <c r="EZ84" s="27"/>
      <c r="FA84" s="27"/>
      <c r="FB84" s="27"/>
      <c r="FC84" s="27"/>
      <c r="FD84" s="27"/>
      <c r="FE84" s="27"/>
      <c r="FF84" s="27"/>
      <c r="FG84" s="27"/>
      <c r="FH84" s="27"/>
      <c r="FI84" s="27"/>
      <c r="FJ84" s="27"/>
      <c r="FK84" s="27"/>
      <c r="FL84" s="27"/>
      <c r="FM84" s="27"/>
      <c r="FN84" s="27"/>
      <c r="FO84" s="27"/>
      <c r="FP84" s="27"/>
      <c r="FQ84" s="27"/>
      <c r="FR84" s="27"/>
      <c r="FS84" s="27"/>
      <c r="FT84" s="27"/>
      <c r="FU84" s="27"/>
      <c r="FV84" s="27"/>
      <c r="FW84" s="27"/>
      <c r="FX84" s="27"/>
      <c r="FY84" s="27"/>
      <c r="FZ84" s="27"/>
      <c r="GA84" s="27"/>
      <c r="GB84" s="27"/>
      <c r="GC84" s="27"/>
      <c r="GD84" s="27"/>
      <c r="GE84" s="27"/>
      <c r="GF84" s="27"/>
      <c r="GG84" s="27"/>
      <c r="GH84" s="27"/>
      <c r="GI84" s="27"/>
      <c r="GJ84" s="27"/>
      <c r="GK84" s="27"/>
      <c r="GL84" s="27"/>
      <c r="GM84" s="27"/>
      <c r="GN84" s="27"/>
      <c r="GO84" s="27"/>
      <c r="GP84" s="27"/>
      <c r="GQ84" s="27"/>
      <c r="GR84" s="27"/>
      <c r="GS84" s="27"/>
      <c r="GT84" s="27"/>
      <c r="GU84" s="27"/>
      <c r="GV84" s="27"/>
      <c r="GW84" s="27"/>
      <c r="GX84" s="27"/>
      <c r="GY84" s="27"/>
      <c r="GZ84" s="27"/>
      <c r="HA84" s="27"/>
      <c r="HB84" s="27"/>
      <c r="HC84" s="27"/>
      <c r="HD84" s="27"/>
      <c r="HE84" s="27"/>
      <c r="HF84" s="27"/>
      <c r="HG84" s="27"/>
      <c r="HH84" s="27"/>
      <c r="HI84" s="27"/>
      <c r="HJ84" s="27"/>
      <c r="HK84" s="27"/>
      <c r="HL84" s="27"/>
      <c r="HM84" s="27"/>
      <c r="HN84" s="27"/>
      <c r="HO84" s="27"/>
      <c r="HP84" s="27"/>
      <c r="HQ84" s="27"/>
      <c r="HR84" s="27"/>
      <c r="HS84" s="27"/>
      <c r="HT84" s="27"/>
      <c r="HU84" s="27"/>
      <c r="HV84" s="27"/>
      <c r="HW84" s="27"/>
      <c r="HX84" s="27"/>
      <c r="HY84" s="27"/>
      <c r="HZ84" s="27"/>
      <c r="IA84" s="27"/>
      <c r="IB84" s="27"/>
      <c r="IC84" s="27"/>
      <c r="ID84" s="27"/>
      <c r="IE84" s="27"/>
      <c r="IF84" s="27"/>
      <c r="IG84" s="27"/>
      <c r="IH84" s="27"/>
      <c r="II84" s="27"/>
      <c r="IJ84" s="27"/>
      <c r="IK84" s="27"/>
      <c r="IL84" s="27"/>
      <c r="IM84" s="27"/>
      <c r="IN84" s="27"/>
      <c r="IO84" s="27"/>
      <c r="IP84" s="27"/>
      <c r="IQ84" s="27"/>
      <c r="IR84" s="27"/>
      <c r="IS84" s="27"/>
      <c r="IT84" s="27"/>
      <c r="IU84" s="27"/>
      <c r="IV84" s="27"/>
      <c r="IW84" s="27"/>
      <c r="IX84" s="27"/>
      <c r="IY84" s="27"/>
      <c r="IZ84" s="27"/>
      <c r="JA84" s="27"/>
      <c r="JB84" s="27"/>
      <c r="JC84" s="27"/>
      <c r="JD84" s="27"/>
      <c r="JE84" s="27"/>
      <c r="JF84" s="27"/>
      <c r="JG84" s="27"/>
      <c r="JH84" s="27"/>
      <c r="JI84" s="27"/>
      <c r="JJ84" s="27"/>
      <c r="JK84" s="27"/>
      <c r="JL84" s="27"/>
      <c r="JM84" s="27"/>
      <c r="JN84" s="27"/>
      <c r="JO84" s="27"/>
      <c r="JP84" s="27"/>
      <c r="JQ84" s="27"/>
      <c r="JR84" s="27"/>
      <c r="JS84" s="27"/>
      <c r="JT84" s="27"/>
      <c r="JU84" s="27"/>
      <c r="JV84" s="27"/>
      <c r="JW84" s="27"/>
      <c r="JX84" s="27"/>
      <c r="JY84" s="27"/>
      <c r="JZ84" s="27"/>
      <c r="KA84" s="27"/>
      <c r="KB84" s="27"/>
      <c r="KC84" s="27"/>
      <c r="KD84" s="27"/>
      <c r="KE84" s="27"/>
      <c r="KF84" s="27"/>
      <c r="KG84" s="27"/>
      <c r="KH84" s="27"/>
      <c r="KI84" s="27"/>
      <c r="KJ84" s="27"/>
      <c r="KK84" s="27"/>
      <c r="KL84" s="27"/>
      <c r="KM84" s="27"/>
      <c r="KN84" s="27"/>
      <c r="KO84" s="27"/>
      <c r="KP84" s="27"/>
      <c r="KQ84" s="27"/>
      <c r="KR84" s="27"/>
      <c r="KS84" s="27"/>
      <c r="KT84" s="27"/>
      <c r="KU84" s="27"/>
      <c r="KV84" s="27"/>
      <c r="KW84" s="27"/>
      <c r="KX84" s="27"/>
      <c r="KY84" s="27"/>
      <c r="KZ84" s="27"/>
      <c r="LA84" s="27"/>
      <c r="LB84" s="27"/>
      <c r="LC84" s="27"/>
      <c r="LD84" s="27"/>
      <c r="LE84" s="27"/>
      <c r="LF84" s="27"/>
      <c r="LG84" s="27"/>
      <c r="LH84" s="27"/>
      <c r="LI84" s="27"/>
      <c r="LJ84" s="27"/>
      <c r="LK84" s="27"/>
      <c r="LL84" s="27"/>
      <c r="LM84" s="27"/>
      <c r="LN84" s="27"/>
      <c r="LO84" s="27"/>
      <c r="LP84" s="27"/>
      <c r="LQ84" s="27"/>
      <c r="LR84" s="27"/>
      <c r="LS84" s="27"/>
      <c r="LT84" s="27"/>
      <c r="LU84" s="27"/>
      <c r="LV84" s="27"/>
      <c r="LW84" s="27"/>
      <c r="LX84" s="27"/>
      <c r="LY84" s="27"/>
      <c r="LZ84" s="27"/>
      <c r="MA84" s="27"/>
      <c r="MB84" s="27"/>
      <c r="MC84" s="27"/>
      <c r="MD84" s="27"/>
      <c r="ME84" s="27"/>
      <c r="MF84" s="27"/>
      <c r="MG84" s="27"/>
      <c r="MH84" s="27"/>
      <c r="MI84" s="27"/>
      <c r="MJ84" s="27"/>
      <c r="MK84" s="27"/>
      <c r="ML84" s="27"/>
      <c r="MM84" s="27"/>
      <c r="MN84" s="27"/>
      <c r="MO84" s="27"/>
      <c r="MP84" s="27"/>
      <c r="MQ84" s="27"/>
      <c r="MR84" s="27"/>
      <c r="MS84" s="27"/>
      <c r="MT84" s="27"/>
      <c r="MU84" s="27"/>
      <c r="MV84" s="27"/>
      <c r="MW84" s="27"/>
      <c r="MX84" s="27"/>
      <c r="MY84" s="27"/>
      <c r="MZ84" s="27"/>
      <c r="NA84" s="27"/>
      <c r="NB84" s="27"/>
      <c r="NC84" s="27"/>
      <c r="ND84" s="27"/>
      <c r="NE84" s="27"/>
      <c r="NF84" s="27"/>
      <c r="NG84" s="27"/>
      <c r="NH84" s="27"/>
      <c r="NI84" s="27"/>
      <c r="NJ84" s="27"/>
      <c r="NK84" s="27"/>
      <c r="NL84" s="27"/>
      <c r="NM84" s="27"/>
      <c r="NN84" s="27"/>
      <c r="NO84" s="27"/>
      <c r="NP84" s="27"/>
      <c r="NQ84" s="27"/>
      <c r="NR84" s="27"/>
      <c r="NS84" s="27"/>
      <c r="NT84" s="27"/>
      <c r="NU84" s="27"/>
      <c r="NV84" s="27"/>
      <c r="NW84" s="27"/>
      <c r="NX84" s="27"/>
      <c r="NY84" s="27"/>
      <c r="NZ84" s="27"/>
      <c r="OA84" s="27"/>
      <c r="OB84" s="27"/>
      <c r="OC84" s="27"/>
      <c r="OD84" s="27"/>
      <c r="OE84" s="27"/>
      <c r="OF84" s="27"/>
      <c r="OG84" s="27"/>
      <c r="OH84" s="27"/>
      <c r="OI84" s="27"/>
      <c r="OJ84" s="27"/>
      <c r="OK84" s="27"/>
      <c r="OL84" s="27"/>
      <c r="OM84" s="27"/>
      <c r="ON84" s="27"/>
      <c r="OO84" s="27"/>
      <c r="OP84" s="27"/>
      <c r="OQ84" s="27"/>
      <c r="OR84" s="27"/>
      <c r="OS84" s="27"/>
      <c r="OT84" s="27"/>
      <c r="OU84" s="27"/>
      <c r="OV84" s="27"/>
      <c r="OW84" s="27"/>
      <c r="OX84" s="27"/>
      <c r="OY84" s="27"/>
      <c r="OZ84" s="27"/>
      <c r="PA84" s="27"/>
      <c r="PB84" s="27"/>
      <c r="PC84" s="27"/>
      <c r="PD84" s="27"/>
      <c r="PE84" s="27"/>
      <c r="PF84" s="27"/>
      <c r="PG84" s="27"/>
      <c r="PH84" s="27"/>
      <c r="PI84" s="27"/>
      <c r="PJ84" s="27"/>
      <c r="PK84" s="27"/>
      <c r="PL84" s="27"/>
      <c r="PM84" s="27"/>
      <c r="PN84" s="27"/>
      <c r="PO84" s="27"/>
      <c r="PP84" s="27"/>
      <c r="PQ84" s="27"/>
      <c r="PR84" s="27"/>
      <c r="PS84" s="27"/>
      <c r="PT84" s="27"/>
      <c r="PU84" s="27"/>
      <c r="PV84" s="27"/>
      <c r="PW84" s="27"/>
      <c r="PX84" s="27"/>
      <c r="PY84" s="27"/>
      <c r="PZ84" s="27"/>
      <c r="QA84" s="27"/>
      <c r="QB84" s="27"/>
      <c r="QC84" s="27"/>
      <c r="QD84" s="27"/>
      <c r="QE84" s="27"/>
      <c r="QF84" s="27"/>
      <c r="QG84" s="27"/>
      <c r="QH84" s="27"/>
      <c r="QI84" s="27"/>
      <c r="QJ84" s="27"/>
      <c r="QK84" s="27"/>
      <c r="QL84" s="27"/>
      <c r="QM84" s="27"/>
      <c r="QN84" s="27"/>
      <c r="QO84" s="27"/>
      <c r="QP84" s="27"/>
      <c r="QQ84" s="27"/>
      <c r="QR84" s="27"/>
      <c r="QS84" s="27"/>
      <c r="QT84" s="27"/>
      <c r="QU84" s="27"/>
      <c r="QV84" s="27"/>
      <c r="QW84" s="27"/>
      <c r="QX84" s="27"/>
      <c r="QY84" s="27"/>
      <c r="QZ84" s="27"/>
      <c r="RA84" s="27"/>
      <c r="RB84" s="27"/>
      <c r="RC84" s="27"/>
      <c r="RD84" s="27"/>
      <c r="RE84" s="27"/>
      <c r="RF84" s="27"/>
      <c r="RG84" s="27"/>
      <c r="RH84" s="27"/>
      <c r="RI84" s="27"/>
      <c r="RJ84" s="27"/>
      <c r="RK84" s="27"/>
      <c r="RL84" s="27"/>
      <c r="RM84" s="27"/>
      <c r="RN84" s="27"/>
      <c r="RO84" s="27"/>
      <c r="RP84" s="27"/>
      <c r="RQ84" s="27"/>
      <c r="RR84" s="27"/>
      <c r="RS84" s="27"/>
      <c r="RT84" s="27"/>
      <c r="RU84" s="27"/>
      <c r="RV84" s="27"/>
      <c r="RW84" s="27"/>
      <c r="RX84" s="27"/>
      <c r="RY84" s="27"/>
      <c r="RZ84" s="27"/>
      <c r="SA84" s="27"/>
      <c r="SB84" s="27"/>
      <c r="SC84" s="27"/>
      <c r="SD84" s="27"/>
      <c r="SE84" s="27"/>
      <c r="SF84" s="27"/>
      <c r="SG84" s="27"/>
      <c r="SH84" s="27"/>
      <c r="SI84" s="27"/>
      <c r="SJ84" s="27"/>
      <c r="SK84" s="27"/>
      <c r="SL84" s="27"/>
      <c r="SM84" s="27"/>
      <c r="SN84" s="27"/>
      <c r="SO84" s="27"/>
      <c r="SP84" s="27"/>
      <c r="SQ84" s="27"/>
      <c r="SR84" s="27"/>
      <c r="SS84" s="27"/>
      <c r="ST84" s="27"/>
      <c r="SU84" s="27"/>
      <c r="SV84" s="27"/>
      <c r="SW84" s="27"/>
      <c r="SX84" s="27"/>
      <c r="SY84" s="27"/>
      <c r="SZ84" s="27"/>
      <c r="TA84" s="27"/>
      <c r="TB84" s="27"/>
      <c r="TC84" s="27"/>
      <c r="TD84" s="27"/>
      <c r="TE84" s="27"/>
      <c r="TF84" s="27"/>
      <c r="TG84" s="27"/>
      <c r="TH84" s="27"/>
      <c r="TI84" s="27"/>
      <c r="TJ84" s="27"/>
      <c r="TK84" s="27"/>
      <c r="TL84" s="27"/>
      <c r="TM84" s="27"/>
      <c r="TN84" s="27"/>
      <c r="TO84" s="27"/>
      <c r="TP84" s="27"/>
      <c r="TQ84" s="27"/>
      <c r="TR84" s="27"/>
      <c r="TS84" s="27"/>
      <c r="TT84" s="27"/>
      <c r="TU84" s="27"/>
      <c r="TV84" s="27"/>
      <c r="TW84" s="27"/>
      <c r="TX84" s="27"/>
      <c r="TY84" s="27"/>
      <c r="TZ84" s="27"/>
      <c r="UA84" s="27"/>
      <c r="UB84" s="27"/>
      <c r="UC84" s="27"/>
      <c r="UD84" s="27"/>
      <c r="UE84" s="27"/>
      <c r="UF84" s="27"/>
      <c r="UG84" s="27"/>
      <c r="UH84" s="27"/>
      <c r="UI84" s="27"/>
      <c r="UJ84" s="27"/>
      <c r="UK84" s="27"/>
      <c r="UL84" s="27"/>
      <c r="UM84" s="27"/>
      <c r="UN84" s="27"/>
      <c r="UO84" s="27"/>
      <c r="UP84" s="27"/>
      <c r="UQ84" s="27"/>
      <c r="UR84" s="27"/>
      <c r="US84" s="27"/>
      <c r="UT84" s="27"/>
      <c r="UU84" s="27"/>
      <c r="UV84" s="27"/>
      <c r="UW84" s="27"/>
      <c r="UX84" s="27"/>
      <c r="UY84" s="27"/>
      <c r="UZ84" s="27"/>
      <c r="VA84" s="27"/>
      <c r="VB84" s="27"/>
      <c r="VC84" s="27"/>
      <c r="VD84" s="27"/>
      <c r="VE84" s="27"/>
      <c r="VF84" s="27"/>
      <c r="VG84" s="27"/>
      <c r="VH84" s="27"/>
      <c r="VI84" s="27"/>
      <c r="VJ84" s="27"/>
      <c r="VK84" s="27"/>
      <c r="VL84" s="27"/>
      <c r="VM84" s="27"/>
      <c r="VN84" s="27"/>
      <c r="VO84" s="27"/>
      <c r="VP84" s="27"/>
      <c r="VQ84" s="27"/>
      <c r="VR84" s="27"/>
      <c r="VS84" s="27"/>
      <c r="VT84" s="27"/>
      <c r="VU84" s="27"/>
      <c r="VV84" s="27"/>
      <c r="VW84" s="27"/>
      <c r="VX84" s="27"/>
      <c r="VY84" s="27"/>
      <c r="VZ84" s="27"/>
      <c r="WA84" s="27"/>
      <c r="WB84" s="27"/>
      <c r="WC84" s="27"/>
      <c r="WD84" s="27"/>
      <c r="WE84" s="27"/>
      <c r="WF84" s="27"/>
      <c r="WG84" s="27"/>
      <c r="WH84" s="27"/>
      <c r="WI84" s="27"/>
      <c r="WJ84" s="27"/>
      <c r="WK84" s="27"/>
      <c r="WL84" s="27"/>
      <c r="WM84" s="27"/>
      <c r="WN84" s="27"/>
      <c r="WO84" s="27"/>
      <c r="WP84" s="27"/>
      <c r="WQ84" s="27"/>
      <c r="WR84" s="27"/>
      <c r="WS84" s="27"/>
      <c r="WT84" s="27"/>
      <c r="WU84" s="27"/>
      <c r="WV84" s="27"/>
      <c r="WW84" s="27"/>
      <c r="WX84" s="27"/>
      <c r="WY84" s="27"/>
      <c r="WZ84" s="27"/>
      <c r="XA84" s="27"/>
      <c r="XB84" s="27"/>
      <c r="XC84" s="27"/>
      <c r="XD84" s="27"/>
      <c r="XE84" s="27"/>
      <c r="XF84" s="27"/>
      <c r="XG84" s="27"/>
      <c r="XH84" s="27"/>
      <c r="XI84" s="27"/>
      <c r="XJ84" s="27"/>
      <c r="XK84" s="27"/>
      <c r="XL84" s="27"/>
      <c r="XM84" s="27"/>
      <c r="XN84" s="27"/>
      <c r="XO84" s="27"/>
      <c r="XP84" s="27"/>
      <c r="XQ84" s="27"/>
      <c r="XR84" s="27"/>
      <c r="XS84" s="27"/>
      <c r="XT84" s="27"/>
      <c r="XU84" s="27"/>
      <c r="XV84" s="27"/>
      <c r="XW84" s="27"/>
      <c r="XX84" s="27"/>
      <c r="XY84" s="27"/>
      <c r="XZ84" s="27"/>
      <c r="YA84" s="27"/>
      <c r="YB84" s="27"/>
      <c r="YC84" s="27"/>
      <c r="YD84" s="27"/>
      <c r="YE84" s="27"/>
      <c r="YF84" s="27"/>
      <c r="YG84" s="27"/>
      <c r="YH84" s="27"/>
      <c r="YI84" s="27"/>
      <c r="YJ84" s="27"/>
      <c r="YK84" s="27"/>
      <c r="YL84" s="27"/>
      <c r="YM84" s="27"/>
      <c r="YN84" s="27"/>
      <c r="YO84" s="27"/>
      <c r="YP84" s="27"/>
      <c r="YQ84" s="27"/>
      <c r="YR84" s="27"/>
      <c r="YS84" s="27"/>
      <c r="YT84" s="27"/>
      <c r="YU84" s="27"/>
      <c r="YV84" s="27"/>
      <c r="YW84" s="27"/>
      <c r="YX84" s="27"/>
      <c r="YY84" s="27"/>
      <c r="YZ84" s="27"/>
      <c r="ZA84" s="27"/>
      <c r="ZB84" s="27"/>
      <c r="ZC84" s="27"/>
      <c r="ZD84" s="27"/>
      <c r="ZE84" s="27"/>
      <c r="ZF84" s="27"/>
      <c r="ZG84" s="27"/>
      <c r="ZH84" s="27"/>
      <c r="ZI84" s="27"/>
      <c r="ZJ84" s="27"/>
      <c r="ZK84" s="27"/>
      <c r="ZL84" s="27"/>
      <c r="ZM84" s="27"/>
      <c r="ZN84" s="27"/>
      <c r="ZO84" s="27"/>
      <c r="ZP84" s="27"/>
      <c r="ZQ84" s="27"/>
      <c r="ZR84" s="27"/>
      <c r="ZS84" s="27"/>
      <c r="ZT84" s="27"/>
      <c r="ZU84" s="27"/>
      <c r="ZV84" s="27"/>
      <c r="ZW84" s="27"/>
      <c r="ZX84" s="27"/>
      <c r="ZY84" s="27"/>
      <c r="ZZ84" s="27"/>
      <c r="AAA84" s="27"/>
      <c r="AAB84" s="27"/>
      <c r="AAC84" s="27"/>
      <c r="AAD84" s="27"/>
      <c r="AAE84" s="27"/>
      <c r="AAF84" s="27"/>
      <c r="AAG84" s="27"/>
      <c r="AAH84" s="27"/>
      <c r="AAI84" s="27"/>
      <c r="AAJ84" s="27"/>
      <c r="AAK84" s="27"/>
      <c r="AAL84" s="27"/>
      <c r="AAM84" s="27"/>
      <c r="AAN84" s="27"/>
      <c r="AAO84" s="27"/>
      <c r="AAP84" s="27"/>
      <c r="AAQ84" s="27"/>
      <c r="AAR84" s="27"/>
      <c r="AAS84" s="27"/>
      <c r="AAT84" s="27"/>
      <c r="AAU84" s="27"/>
      <c r="AAV84" s="27"/>
      <c r="AAW84" s="27"/>
      <c r="AAX84" s="27"/>
      <c r="AAY84" s="27"/>
      <c r="AAZ84" s="27"/>
      <c r="ABA84" s="27"/>
      <c r="ABB84" s="27"/>
      <c r="ABC84" s="27"/>
      <c r="ABD84" s="27"/>
      <c r="ABE84" s="27"/>
      <c r="ABF84" s="27"/>
      <c r="ABG84" s="27"/>
      <c r="ABH84" s="27"/>
      <c r="ABI84" s="27"/>
      <c r="ABJ84" s="27"/>
      <c r="ABK84" s="27"/>
      <c r="ABL84" s="27"/>
      <c r="ABM84" s="27"/>
      <c r="ABN84" s="27"/>
      <c r="ABO84" s="27"/>
      <c r="ABP84" s="27"/>
      <c r="ABQ84" s="27"/>
      <c r="ABR84" s="27"/>
      <c r="ABS84" s="27"/>
      <c r="ABT84" s="27"/>
      <c r="ABU84" s="27"/>
      <c r="ABV84" s="27"/>
      <c r="ABW84" s="27"/>
      <c r="ABX84" s="27"/>
      <c r="ABY84" s="27"/>
      <c r="ABZ84" s="27"/>
      <c r="ACA84" s="27"/>
      <c r="ACB84" s="27"/>
      <c r="ACC84" s="27"/>
      <c r="ACD84" s="27"/>
      <c r="ACE84" s="27"/>
      <c r="ACF84" s="27"/>
      <c r="ACG84" s="27"/>
      <c r="ACH84" s="27"/>
      <c r="ACI84" s="27"/>
      <c r="ACJ84" s="27"/>
      <c r="ACK84" s="27"/>
      <c r="ACL84" s="27"/>
      <c r="ACM84" s="27"/>
      <c r="ACN84" s="27"/>
      <c r="ACO84" s="27"/>
      <c r="ACP84" s="27"/>
      <c r="ACQ84" s="27"/>
      <c r="ACR84" s="27"/>
      <c r="ACS84" s="27"/>
      <c r="ACT84" s="27"/>
      <c r="ACU84" s="27"/>
      <c r="ACV84" s="27"/>
      <c r="ACW84" s="27"/>
      <c r="ACX84" s="27"/>
      <c r="ACY84" s="27"/>
      <c r="ACZ84" s="27"/>
      <c r="ADA84" s="27"/>
      <c r="ADB84" s="27"/>
      <c r="ADC84" s="27"/>
      <c r="ADD84" s="27"/>
      <c r="ADE84" s="27"/>
      <c r="ADF84" s="27"/>
      <c r="ADG84" s="27"/>
      <c r="ADH84" s="27"/>
      <c r="ADI84" s="27"/>
      <c r="ADJ84" s="27"/>
      <c r="ADK84" s="27"/>
      <c r="ADL84" s="27"/>
      <c r="ADM84" s="27"/>
      <c r="ADN84" s="27"/>
      <c r="ADO84" s="27"/>
      <c r="ADP84" s="27"/>
      <c r="ADQ84" s="27"/>
      <c r="ADR84" s="27"/>
      <c r="ADS84" s="27"/>
      <c r="ADT84" s="27"/>
      <c r="ADU84" s="27"/>
      <c r="ADV84" s="27"/>
      <c r="ADW84" s="27"/>
      <c r="ADX84" s="27"/>
      <c r="ADY84" s="27"/>
      <c r="ADZ84" s="27"/>
      <c r="AEA84" s="27"/>
      <c r="AEB84" s="27"/>
      <c r="AEC84" s="27"/>
      <c r="AED84" s="27"/>
      <c r="AEE84" s="27"/>
      <c r="AEF84" s="27"/>
      <c r="AEG84" s="27"/>
      <c r="AEH84" s="27"/>
      <c r="AEI84" s="27"/>
      <c r="AEJ84" s="27"/>
      <c r="AEK84" s="27"/>
      <c r="AEL84" s="27"/>
      <c r="AEM84" s="27"/>
      <c r="AEN84" s="27"/>
      <c r="AEO84" s="27"/>
      <c r="AEP84" s="27"/>
      <c r="AEQ84" s="27"/>
      <c r="AER84" s="27"/>
      <c r="AES84" s="27"/>
      <c r="AET84" s="27"/>
      <c r="AEU84" s="27"/>
      <c r="AEV84" s="27"/>
      <c r="AEW84" s="27"/>
      <c r="AEX84" s="27"/>
      <c r="AEY84" s="27"/>
      <c r="AEZ84" s="27"/>
      <c r="AFA84" s="27"/>
      <c r="AFB84" s="27"/>
      <c r="AFC84" s="27"/>
      <c r="AFD84" s="27"/>
      <c r="AFE84" s="27"/>
      <c r="AFF84" s="27"/>
      <c r="AFG84" s="27"/>
      <c r="AFH84" s="27"/>
      <c r="AFI84" s="27"/>
      <c r="AFJ84" s="27"/>
      <c r="AFK84" s="27"/>
      <c r="AFL84" s="27"/>
      <c r="AFM84" s="27"/>
      <c r="AFN84" s="27"/>
      <c r="AFO84" s="27"/>
      <c r="AFP84" s="27"/>
      <c r="AFQ84" s="27"/>
      <c r="AFR84" s="27"/>
      <c r="AFS84" s="27"/>
      <c r="AFT84" s="27"/>
      <c r="AFU84" s="27"/>
      <c r="AFV84" s="27"/>
      <c r="AFW84" s="27"/>
      <c r="AFX84" s="27"/>
      <c r="AFY84" s="27"/>
      <c r="AFZ84" s="27"/>
      <c r="AGA84" s="27"/>
      <c r="AGB84" s="27"/>
      <c r="AGC84" s="27"/>
      <c r="AGD84" s="27"/>
      <c r="AGE84" s="27"/>
      <c r="AGF84" s="27"/>
      <c r="AGG84" s="27"/>
      <c r="AGH84" s="27"/>
      <c r="AGI84" s="27"/>
      <c r="AGJ84" s="27"/>
      <c r="AGK84" s="27"/>
      <c r="AGL84" s="27"/>
      <c r="AGM84" s="27"/>
      <c r="AGN84" s="27"/>
      <c r="AGO84" s="27"/>
      <c r="AGP84" s="27"/>
      <c r="AGQ84" s="27"/>
      <c r="AGR84" s="27"/>
      <c r="AGS84" s="27"/>
      <c r="AGT84" s="27"/>
      <c r="AGU84" s="27"/>
      <c r="AGV84" s="27"/>
      <c r="AGW84" s="27"/>
      <c r="AGX84" s="27"/>
      <c r="AGY84" s="27"/>
      <c r="AGZ84" s="27"/>
      <c r="AHA84" s="27"/>
      <c r="AHB84" s="27"/>
      <c r="AHC84" s="27"/>
      <c r="AHD84" s="27"/>
      <c r="AHE84" s="27"/>
      <c r="AHF84" s="27"/>
      <c r="AHG84" s="27"/>
      <c r="AHH84" s="27"/>
      <c r="AHI84" s="27"/>
      <c r="AHJ84" s="27"/>
      <c r="AHK84" s="27"/>
      <c r="AHL84" s="27"/>
      <c r="AHM84" s="27"/>
      <c r="AHN84" s="27"/>
      <c r="AHO84" s="27"/>
      <c r="AHP84" s="27"/>
      <c r="AHQ84" s="27"/>
      <c r="AHR84" s="27"/>
      <c r="AHS84" s="27"/>
      <c r="AHT84" s="27"/>
      <c r="AHU84" s="27"/>
      <c r="AHV84" s="27"/>
      <c r="AHW84" s="27"/>
      <c r="AHX84" s="27"/>
      <c r="AHY84" s="27"/>
      <c r="AHZ84" s="27"/>
      <c r="AIA84" s="27"/>
      <c r="AIB84" s="27"/>
      <c r="AIC84" s="27"/>
      <c r="AID84" s="27"/>
      <c r="AIE84" s="27"/>
      <c r="AIF84" s="27"/>
      <c r="AIG84" s="27"/>
      <c r="AIH84" s="27"/>
      <c r="AII84" s="27"/>
      <c r="AIJ84" s="27"/>
      <c r="AIK84" s="27"/>
      <c r="AIL84" s="27"/>
      <c r="AIM84" s="27"/>
      <c r="AIN84" s="27"/>
      <c r="AIO84" s="27"/>
      <c r="AIP84" s="27"/>
      <c r="AIQ84" s="27"/>
      <c r="AIR84" s="27"/>
      <c r="AIS84" s="27"/>
      <c r="AIT84" s="27"/>
      <c r="AIU84" s="27"/>
      <c r="AIV84" s="27"/>
      <c r="AIW84" s="27"/>
      <c r="AIX84" s="27"/>
      <c r="AIY84" s="27"/>
      <c r="AIZ84" s="27"/>
      <c r="AJA84" s="27"/>
      <c r="AJB84" s="27"/>
      <c r="AJC84" s="27"/>
      <c r="AJD84" s="27"/>
      <c r="AJE84" s="27"/>
      <c r="AJF84" s="27"/>
      <c r="AJG84" s="27"/>
      <c r="AJH84" s="27"/>
      <c r="AJI84" s="27"/>
      <c r="AJJ84" s="27"/>
      <c r="AJK84" s="27"/>
      <c r="AJL84" s="27"/>
      <c r="AJM84" s="27"/>
      <c r="AJN84" s="27"/>
      <c r="AJO84" s="27"/>
      <c r="AJP84" s="27"/>
      <c r="AJQ84" s="27"/>
      <c r="AJR84" s="27"/>
      <c r="AJS84" s="27"/>
      <c r="AJT84" s="27"/>
      <c r="AJU84" s="27"/>
      <c r="AJV84" s="27"/>
      <c r="AJW84" s="27"/>
      <c r="AJX84" s="27"/>
      <c r="AJY84" s="27"/>
      <c r="AJZ84" s="27"/>
      <c r="AKA84" s="27"/>
      <c r="AKB84" s="27"/>
      <c r="AKC84" s="27"/>
      <c r="AKD84" s="27"/>
      <c r="AKE84" s="27"/>
      <c r="AKF84" s="27"/>
      <c r="AKG84" s="27"/>
      <c r="AKH84" s="27"/>
      <c r="AKI84" s="27"/>
      <c r="AKJ84" s="27"/>
      <c r="AKK84" s="27"/>
      <c r="AKL84" s="27"/>
      <c r="AKM84" s="27"/>
      <c r="AKN84" s="27"/>
      <c r="AKO84" s="27"/>
      <c r="AKP84" s="27"/>
      <c r="AKQ84" s="27"/>
      <c r="AKR84" s="27"/>
      <c r="AKS84" s="27"/>
      <c r="AKT84" s="27"/>
      <c r="AKU84" s="27"/>
      <c r="AKV84" s="27"/>
      <c r="AKW84" s="27"/>
      <c r="AKX84" s="27"/>
      <c r="AKY84" s="27"/>
      <c r="AKZ84" s="27"/>
      <c r="ALA84" s="27"/>
      <c r="ALB84" s="27"/>
      <c r="ALC84" s="27"/>
      <c r="ALD84" s="27"/>
      <c r="ALE84" s="27"/>
      <c r="ALF84" s="27"/>
      <c r="ALG84" s="27"/>
      <c r="ALH84" s="27"/>
      <c r="ALI84" s="27"/>
      <c r="ALJ84" s="27"/>
      <c r="ALK84" s="27"/>
      <c r="ALL84" s="27"/>
      <c r="ALM84" s="27"/>
      <c r="ALN84" s="27"/>
      <c r="ALO84" s="27"/>
      <c r="ALP84" s="27"/>
      <c r="ALQ84" s="27"/>
      <c r="ALR84" s="27"/>
      <c r="ALS84" s="27"/>
      <c r="ALT84" s="27"/>
      <c r="ALU84" s="27"/>
      <c r="ALV84" s="27"/>
      <c r="ALW84" s="27"/>
      <c r="ALX84" s="27"/>
      <c r="ALY84" s="27"/>
      <c r="ALZ84" s="27"/>
      <c r="AMA84" s="27"/>
      <c r="AMB84" s="27"/>
      <c r="AMC84" s="27"/>
      <c r="AMD84" s="27"/>
      <c r="AME84" s="27"/>
      <c r="AMF84" s="27"/>
      <c r="AMG84" s="27"/>
      <c r="AMH84" s="27"/>
      <c r="AMI84" s="27"/>
      <c r="AMJ84" s="27"/>
    </row>
    <row r="85" spans="1:1024" x14ac:dyDescent="0.15">
      <c r="A85" s="27" t="s">
        <v>4126</v>
      </c>
      <c r="B85" s="27"/>
      <c r="C85" s="27"/>
      <c r="D85" s="8" t="s">
        <v>3980</v>
      </c>
      <c r="E85" s="27" t="s">
        <v>50</v>
      </c>
      <c r="F85" s="27" t="s">
        <v>4128</v>
      </c>
      <c r="G85" s="27"/>
      <c r="H85">
        <v>600</v>
      </c>
      <c r="I85" t="b">
        <v>0</v>
      </c>
      <c r="J85" s="1" t="s">
        <v>17</v>
      </c>
      <c r="K85" t="s">
        <v>51</v>
      </c>
      <c r="L85">
        <v>0</v>
      </c>
      <c r="M85" s="2" t="b">
        <v>0</v>
      </c>
      <c r="N85" s="2" t="b">
        <v>0</v>
      </c>
      <c r="O85" s="1" t="s">
        <v>17</v>
      </c>
      <c r="P85" s="1" t="s">
        <v>17</v>
      </c>
      <c r="Q85" s="1" t="s">
        <v>17</v>
      </c>
      <c r="R85" s="1" t="s">
        <v>19</v>
      </c>
      <c r="S85" s="1" t="s">
        <v>17</v>
      </c>
      <c r="T85" s="1" t="s">
        <v>17</v>
      </c>
      <c r="U85" t="str">
        <f t="shared" si="9"/>
        <v>qc</v>
      </c>
      <c r="V85" t="str">
        <f t="shared" si="10"/>
        <v/>
      </c>
      <c r="W85" t="str">
        <f t="shared" si="11"/>
        <v/>
      </c>
      <c r="X85" t="str">
        <f t="shared" si="12"/>
        <v/>
      </c>
      <c r="Y85" t="str">
        <f t="shared" si="13"/>
        <v/>
      </c>
      <c r="Z85" t="str">
        <f t="shared" si="14"/>
        <v>qc</v>
      </c>
      <c r="AA85" t="str">
        <f t="shared" si="15"/>
        <v/>
      </c>
      <c r="AB85" t="str">
        <f t="shared" si="16"/>
        <v/>
      </c>
      <c r="AC85" t="str">
        <f t="shared" si="17"/>
        <v/>
      </c>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c r="BE85" s="27"/>
      <c r="BF85" s="27"/>
      <c r="BG85" s="27"/>
      <c r="BH85" s="27"/>
      <c r="BI85" s="27"/>
      <c r="BJ85" s="27"/>
      <c r="BK85" s="27"/>
      <c r="BL85" s="27"/>
      <c r="BM85" s="27"/>
      <c r="BN85" s="27"/>
      <c r="BO85" s="27"/>
      <c r="BP85" s="27"/>
      <c r="BQ85" s="27"/>
      <c r="BR85" s="27"/>
      <c r="BS85" s="27"/>
      <c r="BT85" s="27"/>
      <c r="BU85" s="27"/>
      <c r="BV85" s="27"/>
      <c r="BW85" s="27"/>
      <c r="BX85" s="27"/>
      <c r="BY85" s="27"/>
      <c r="BZ85" s="27"/>
      <c r="CA85" s="27"/>
      <c r="CB85" s="27"/>
      <c r="CC85" s="27"/>
      <c r="CD85" s="27"/>
      <c r="CE85" s="27"/>
      <c r="CF85" s="27"/>
      <c r="CG85" s="27"/>
      <c r="CH85" s="27"/>
      <c r="CI85" s="27"/>
      <c r="CJ85" s="27"/>
      <c r="CK85" s="27"/>
      <c r="CL85" s="27"/>
      <c r="CM85" s="27"/>
      <c r="CN85" s="27"/>
      <c r="CO85" s="27"/>
      <c r="CP85" s="27"/>
      <c r="CQ85" s="27"/>
      <c r="CR85" s="27"/>
      <c r="CS85" s="27"/>
      <c r="CT85" s="27"/>
      <c r="CU85" s="27"/>
      <c r="CV85" s="27"/>
      <c r="CW85" s="27"/>
      <c r="CX85" s="27"/>
      <c r="CY85" s="27"/>
      <c r="CZ85" s="27"/>
      <c r="DA85" s="27"/>
      <c r="DB85" s="27"/>
      <c r="DC85" s="27"/>
      <c r="DD85" s="27"/>
      <c r="DE85" s="27"/>
      <c r="DF85" s="27"/>
      <c r="DG85" s="27"/>
      <c r="DH85" s="27"/>
      <c r="DI85" s="27"/>
      <c r="DJ85" s="27"/>
      <c r="DK85" s="27"/>
      <c r="DL85" s="27"/>
      <c r="DM85" s="27"/>
      <c r="DN85" s="27"/>
      <c r="DO85" s="27"/>
      <c r="DP85" s="27"/>
      <c r="DQ85" s="27"/>
      <c r="DR85" s="27"/>
      <c r="DS85" s="27"/>
      <c r="DT85" s="27"/>
      <c r="DU85" s="27"/>
      <c r="DV85" s="27"/>
      <c r="DW85" s="27"/>
      <c r="DX85" s="27"/>
      <c r="DY85" s="27"/>
      <c r="DZ85" s="27"/>
      <c r="EA85" s="27"/>
      <c r="EB85" s="27"/>
      <c r="EC85" s="27"/>
      <c r="ED85" s="27"/>
      <c r="EE85" s="27"/>
      <c r="EF85" s="27"/>
      <c r="EG85" s="27"/>
      <c r="EH85" s="27"/>
      <c r="EI85" s="27"/>
      <c r="EJ85" s="27"/>
      <c r="EK85" s="27"/>
      <c r="EL85" s="27"/>
      <c r="EM85" s="27"/>
      <c r="EN85" s="27"/>
      <c r="EO85" s="27"/>
      <c r="EP85" s="27"/>
      <c r="EQ85" s="27"/>
      <c r="ER85" s="27"/>
      <c r="ES85" s="27"/>
      <c r="ET85" s="27"/>
      <c r="EU85" s="27"/>
      <c r="EV85" s="27"/>
      <c r="EW85" s="27"/>
      <c r="EX85" s="27"/>
      <c r="EY85" s="27"/>
      <c r="EZ85" s="27"/>
      <c r="FA85" s="27"/>
      <c r="FB85" s="27"/>
      <c r="FC85" s="27"/>
      <c r="FD85" s="27"/>
      <c r="FE85" s="27"/>
      <c r="FF85" s="27"/>
      <c r="FG85" s="27"/>
      <c r="FH85" s="27"/>
      <c r="FI85" s="27"/>
      <c r="FJ85" s="27"/>
      <c r="FK85" s="27"/>
      <c r="FL85" s="27"/>
      <c r="FM85" s="27"/>
      <c r="FN85" s="27"/>
      <c r="FO85" s="27"/>
      <c r="FP85" s="27"/>
      <c r="FQ85" s="27"/>
      <c r="FR85" s="27"/>
      <c r="FS85" s="27"/>
      <c r="FT85" s="27"/>
      <c r="FU85" s="27"/>
      <c r="FV85" s="27"/>
      <c r="FW85" s="27"/>
      <c r="FX85" s="27"/>
      <c r="FY85" s="27"/>
      <c r="FZ85" s="27"/>
      <c r="GA85" s="27"/>
      <c r="GB85" s="27"/>
      <c r="GC85" s="27"/>
      <c r="GD85" s="27"/>
      <c r="GE85" s="27"/>
      <c r="GF85" s="27"/>
      <c r="GG85" s="27"/>
      <c r="GH85" s="27"/>
      <c r="GI85" s="27"/>
      <c r="GJ85" s="27"/>
      <c r="GK85" s="27"/>
      <c r="GL85" s="27"/>
      <c r="GM85" s="27"/>
      <c r="GN85" s="27"/>
      <c r="GO85" s="27"/>
      <c r="GP85" s="27"/>
      <c r="GQ85" s="27"/>
      <c r="GR85" s="27"/>
      <c r="GS85" s="27"/>
      <c r="GT85" s="27"/>
      <c r="GU85" s="27"/>
      <c r="GV85" s="27"/>
      <c r="GW85" s="27"/>
      <c r="GX85" s="27"/>
      <c r="GY85" s="27"/>
      <c r="GZ85" s="27"/>
      <c r="HA85" s="27"/>
      <c r="HB85" s="27"/>
      <c r="HC85" s="27"/>
      <c r="HD85" s="27"/>
      <c r="HE85" s="27"/>
      <c r="HF85" s="27"/>
      <c r="HG85" s="27"/>
      <c r="HH85" s="27"/>
      <c r="HI85" s="27"/>
      <c r="HJ85" s="27"/>
      <c r="HK85" s="27"/>
      <c r="HL85" s="27"/>
      <c r="HM85" s="27"/>
      <c r="HN85" s="27"/>
      <c r="HO85" s="27"/>
      <c r="HP85" s="27"/>
      <c r="HQ85" s="27"/>
      <c r="HR85" s="27"/>
      <c r="HS85" s="27"/>
      <c r="HT85" s="27"/>
      <c r="HU85" s="27"/>
      <c r="HV85" s="27"/>
      <c r="HW85" s="27"/>
      <c r="HX85" s="27"/>
      <c r="HY85" s="27"/>
      <c r="HZ85" s="27"/>
      <c r="IA85" s="27"/>
      <c r="IB85" s="27"/>
      <c r="IC85" s="27"/>
      <c r="ID85" s="27"/>
      <c r="IE85" s="27"/>
      <c r="IF85" s="27"/>
      <c r="IG85" s="27"/>
      <c r="IH85" s="27"/>
      <c r="II85" s="27"/>
      <c r="IJ85" s="27"/>
      <c r="IK85" s="27"/>
      <c r="IL85" s="27"/>
      <c r="IM85" s="27"/>
      <c r="IN85" s="27"/>
      <c r="IO85" s="27"/>
      <c r="IP85" s="27"/>
      <c r="IQ85" s="27"/>
      <c r="IR85" s="27"/>
      <c r="IS85" s="27"/>
      <c r="IT85" s="27"/>
      <c r="IU85" s="27"/>
      <c r="IV85" s="27"/>
      <c r="IW85" s="27"/>
      <c r="IX85" s="27"/>
      <c r="IY85" s="27"/>
      <c r="IZ85" s="27"/>
      <c r="JA85" s="27"/>
      <c r="JB85" s="27"/>
      <c r="JC85" s="27"/>
      <c r="JD85" s="27"/>
      <c r="JE85" s="27"/>
      <c r="JF85" s="27"/>
      <c r="JG85" s="27"/>
      <c r="JH85" s="27"/>
      <c r="JI85" s="27"/>
      <c r="JJ85" s="27"/>
      <c r="JK85" s="27"/>
      <c r="JL85" s="27"/>
      <c r="JM85" s="27"/>
      <c r="JN85" s="27"/>
      <c r="JO85" s="27"/>
      <c r="JP85" s="27"/>
      <c r="JQ85" s="27"/>
      <c r="JR85" s="27"/>
      <c r="JS85" s="27"/>
      <c r="JT85" s="27"/>
      <c r="JU85" s="27"/>
      <c r="JV85" s="27"/>
      <c r="JW85" s="27"/>
      <c r="JX85" s="27"/>
      <c r="JY85" s="27"/>
      <c r="JZ85" s="27"/>
      <c r="KA85" s="27"/>
      <c r="KB85" s="27"/>
      <c r="KC85" s="27"/>
      <c r="KD85" s="27"/>
      <c r="KE85" s="27"/>
      <c r="KF85" s="27"/>
      <c r="KG85" s="27"/>
      <c r="KH85" s="27"/>
      <c r="KI85" s="27"/>
      <c r="KJ85" s="27"/>
      <c r="KK85" s="27"/>
      <c r="KL85" s="27"/>
      <c r="KM85" s="27"/>
      <c r="KN85" s="27"/>
      <c r="KO85" s="27"/>
      <c r="KP85" s="27"/>
      <c r="KQ85" s="27"/>
      <c r="KR85" s="27"/>
      <c r="KS85" s="27"/>
      <c r="KT85" s="27"/>
      <c r="KU85" s="27"/>
      <c r="KV85" s="27"/>
      <c r="KW85" s="27"/>
      <c r="KX85" s="27"/>
      <c r="KY85" s="27"/>
      <c r="KZ85" s="27"/>
      <c r="LA85" s="27"/>
      <c r="LB85" s="27"/>
      <c r="LC85" s="27"/>
      <c r="LD85" s="27"/>
      <c r="LE85" s="27"/>
      <c r="LF85" s="27"/>
      <c r="LG85" s="27"/>
      <c r="LH85" s="27"/>
      <c r="LI85" s="27"/>
      <c r="LJ85" s="27"/>
      <c r="LK85" s="27"/>
      <c r="LL85" s="27"/>
      <c r="LM85" s="27"/>
      <c r="LN85" s="27"/>
      <c r="LO85" s="27"/>
      <c r="LP85" s="27"/>
      <c r="LQ85" s="27"/>
      <c r="LR85" s="27"/>
      <c r="LS85" s="27"/>
      <c r="LT85" s="27"/>
      <c r="LU85" s="27"/>
      <c r="LV85" s="27"/>
      <c r="LW85" s="27"/>
      <c r="LX85" s="27"/>
      <c r="LY85" s="27"/>
      <c r="LZ85" s="27"/>
      <c r="MA85" s="27"/>
      <c r="MB85" s="27"/>
      <c r="MC85" s="27"/>
      <c r="MD85" s="27"/>
      <c r="ME85" s="27"/>
      <c r="MF85" s="27"/>
      <c r="MG85" s="27"/>
      <c r="MH85" s="27"/>
      <c r="MI85" s="27"/>
      <c r="MJ85" s="27"/>
      <c r="MK85" s="27"/>
      <c r="ML85" s="27"/>
      <c r="MM85" s="27"/>
      <c r="MN85" s="27"/>
      <c r="MO85" s="27"/>
      <c r="MP85" s="27"/>
      <c r="MQ85" s="27"/>
      <c r="MR85" s="27"/>
      <c r="MS85" s="27"/>
      <c r="MT85" s="27"/>
      <c r="MU85" s="27"/>
      <c r="MV85" s="27"/>
      <c r="MW85" s="27"/>
      <c r="MX85" s="27"/>
      <c r="MY85" s="27"/>
      <c r="MZ85" s="27"/>
      <c r="NA85" s="27"/>
      <c r="NB85" s="27"/>
      <c r="NC85" s="27"/>
      <c r="ND85" s="27"/>
      <c r="NE85" s="27"/>
      <c r="NF85" s="27"/>
      <c r="NG85" s="27"/>
      <c r="NH85" s="27"/>
      <c r="NI85" s="27"/>
      <c r="NJ85" s="27"/>
      <c r="NK85" s="27"/>
      <c r="NL85" s="27"/>
      <c r="NM85" s="27"/>
      <c r="NN85" s="27"/>
      <c r="NO85" s="27"/>
      <c r="NP85" s="27"/>
      <c r="NQ85" s="27"/>
      <c r="NR85" s="27"/>
      <c r="NS85" s="27"/>
      <c r="NT85" s="27"/>
      <c r="NU85" s="27"/>
      <c r="NV85" s="27"/>
      <c r="NW85" s="27"/>
      <c r="NX85" s="27"/>
      <c r="NY85" s="27"/>
      <c r="NZ85" s="27"/>
      <c r="OA85" s="27"/>
      <c r="OB85" s="27"/>
      <c r="OC85" s="27"/>
      <c r="OD85" s="27"/>
      <c r="OE85" s="27"/>
      <c r="OF85" s="27"/>
      <c r="OG85" s="27"/>
      <c r="OH85" s="27"/>
      <c r="OI85" s="27"/>
      <c r="OJ85" s="27"/>
      <c r="OK85" s="27"/>
      <c r="OL85" s="27"/>
      <c r="OM85" s="27"/>
      <c r="ON85" s="27"/>
      <c r="OO85" s="27"/>
      <c r="OP85" s="27"/>
      <c r="OQ85" s="27"/>
      <c r="OR85" s="27"/>
      <c r="OS85" s="27"/>
      <c r="OT85" s="27"/>
      <c r="OU85" s="27"/>
      <c r="OV85" s="27"/>
      <c r="OW85" s="27"/>
      <c r="OX85" s="27"/>
      <c r="OY85" s="27"/>
      <c r="OZ85" s="27"/>
      <c r="PA85" s="27"/>
      <c r="PB85" s="27"/>
      <c r="PC85" s="27"/>
      <c r="PD85" s="27"/>
      <c r="PE85" s="27"/>
      <c r="PF85" s="27"/>
      <c r="PG85" s="27"/>
      <c r="PH85" s="27"/>
      <c r="PI85" s="27"/>
      <c r="PJ85" s="27"/>
      <c r="PK85" s="27"/>
      <c r="PL85" s="27"/>
      <c r="PM85" s="27"/>
      <c r="PN85" s="27"/>
      <c r="PO85" s="27"/>
      <c r="PP85" s="27"/>
      <c r="PQ85" s="27"/>
      <c r="PR85" s="27"/>
      <c r="PS85" s="27"/>
      <c r="PT85" s="27"/>
      <c r="PU85" s="27"/>
      <c r="PV85" s="27"/>
      <c r="PW85" s="27"/>
      <c r="PX85" s="27"/>
      <c r="PY85" s="27"/>
      <c r="PZ85" s="27"/>
      <c r="QA85" s="27"/>
      <c r="QB85" s="27"/>
      <c r="QC85" s="27"/>
      <c r="QD85" s="27"/>
      <c r="QE85" s="27"/>
      <c r="QF85" s="27"/>
      <c r="QG85" s="27"/>
      <c r="QH85" s="27"/>
      <c r="QI85" s="27"/>
      <c r="QJ85" s="27"/>
      <c r="QK85" s="27"/>
      <c r="QL85" s="27"/>
      <c r="QM85" s="27"/>
      <c r="QN85" s="27"/>
      <c r="QO85" s="27"/>
      <c r="QP85" s="27"/>
      <c r="QQ85" s="27"/>
      <c r="QR85" s="27"/>
      <c r="QS85" s="27"/>
      <c r="QT85" s="27"/>
      <c r="QU85" s="27"/>
      <c r="QV85" s="27"/>
      <c r="QW85" s="27"/>
      <c r="QX85" s="27"/>
      <c r="QY85" s="27"/>
      <c r="QZ85" s="27"/>
      <c r="RA85" s="27"/>
      <c r="RB85" s="27"/>
      <c r="RC85" s="27"/>
      <c r="RD85" s="27"/>
      <c r="RE85" s="27"/>
      <c r="RF85" s="27"/>
      <c r="RG85" s="27"/>
      <c r="RH85" s="27"/>
      <c r="RI85" s="27"/>
      <c r="RJ85" s="27"/>
      <c r="RK85" s="27"/>
      <c r="RL85" s="27"/>
      <c r="RM85" s="27"/>
      <c r="RN85" s="27"/>
      <c r="RO85" s="27"/>
      <c r="RP85" s="27"/>
      <c r="RQ85" s="27"/>
      <c r="RR85" s="27"/>
      <c r="RS85" s="27"/>
      <c r="RT85" s="27"/>
      <c r="RU85" s="27"/>
      <c r="RV85" s="27"/>
      <c r="RW85" s="27"/>
      <c r="RX85" s="27"/>
      <c r="RY85" s="27"/>
      <c r="RZ85" s="27"/>
      <c r="SA85" s="27"/>
      <c r="SB85" s="27"/>
      <c r="SC85" s="27"/>
      <c r="SD85" s="27"/>
      <c r="SE85" s="27"/>
      <c r="SF85" s="27"/>
      <c r="SG85" s="27"/>
      <c r="SH85" s="27"/>
      <c r="SI85" s="27"/>
      <c r="SJ85" s="27"/>
      <c r="SK85" s="27"/>
      <c r="SL85" s="27"/>
      <c r="SM85" s="27"/>
      <c r="SN85" s="27"/>
      <c r="SO85" s="27"/>
      <c r="SP85" s="27"/>
      <c r="SQ85" s="27"/>
      <c r="SR85" s="27"/>
      <c r="SS85" s="27"/>
      <c r="ST85" s="27"/>
      <c r="SU85" s="27"/>
      <c r="SV85" s="27"/>
      <c r="SW85" s="27"/>
      <c r="SX85" s="27"/>
      <c r="SY85" s="27"/>
      <c r="SZ85" s="27"/>
      <c r="TA85" s="27"/>
      <c r="TB85" s="27"/>
      <c r="TC85" s="27"/>
      <c r="TD85" s="27"/>
      <c r="TE85" s="27"/>
      <c r="TF85" s="27"/>
      <c r="TG85" s="27"/>
      <c r="TH85" s="27"/>
      <c r="TI85" s="27"/>
      <c r="TJ85" s="27"/>
      <c r="TK85" s="27"/>
      <c r="TL85" s="27"/>
      <c r="TM85" s="27"/>
      <c r="TN85" s="27"/>
      <c r="TO85" s="27"/>
      <c r="TP85" s="27"/>
      <c r="TQ85" s="27"/>
      <c r="TR85" s="27"/>
      <c r="TS85" s="27"/>
      <c r="TT85" s="27"/>
      <c r="TU85" s="27"/>
      <c r="TV85" s="27"/>
      <c r="TW85" s="27"/>
      <c r="TX85" s="27"/>
      <c r="TY85" s="27"/>
      <c r="TZ85" s="27"/>
      <c r="UA85" s="27"/>
      <c r="UB85" s="27"/>
      <c r="UC85" s="27"/>
      <c r="UD85" s="27"/>
      <c r="UE85" s="27"/>
      <c r="UF85" s="27"/>
      <c r="UG85" s="27"/>
      <c r="UH85" s="27"/>
      <c r="UI85" s="27"/>
      <c r="UJ85" s="27"/>
      <c r="UK85" s="27"/>
      <c r="UL85" s="27"/>
      <c r="UM85" s="27"/>
      <c r="UN85" s="27"/>
      <c r="UO85" s="27"/>
      <c r="UP85" s="27"/>
      <c r="UQ85" s="27"/>
      <c r="UR85" s="27"/>
      <c r="US85" s="27"/>
      <c r="UT85" s="27"/>
      <c r="UU85" s="27"/>
      <c r="UV85" s="27"/>
      <c r="UW85" s="27"/>
      <c r="UX85" s="27"/>
      <c r="UY85" s="27"/>
      <c r="UZ85" s="27"/>
      <c r="VA85" s="27"/>
      <c r="VB85" s="27"/>
      <c r="VC85" s="27"/>
      <c r="VD85" s="27"/>
      <c r="VE85" s="27"/>
      <c r="VF85" s="27"/>
      <c r="VG85" s="27"/>
      <c r="VH85" s="27"/>
      <c r="VI85" s="27"/>
      <c r="VJ85" s="27"/>
      <c r="VK85" s="27"/>
      <c r="VL85" s="27"/>
      <c r="VM85" s="27"/>
      <c r="VN85" s="27"/>
      <c r="VO85" s="27"/>
      <c r="VP85" s="27"/>
      <c r="VQ85" s="27"/>
      <c r="VR85" s="27"/>
      <c r="VS85" s="27"/>
      <c r="VT85" s="27"/>
      <c r="VU85" s="27"/>
      <c r="VV85" s="27"/>
      <c r="VW85" s="27"/>
      <c r="VX85" s="27"/>
      <c r="VY85" s="27"/>
      <c r="VZ85" s="27"/>
      <c r="WA85" s="27"/>
      <c r="WB85" s="27"/>
      <c r="WC85" s="27"/>
      <c r="WD85" s="27"/>
      <c r="WE85" s="27"/>
      <c r="WF85" s="27"/>
      <c r="WG85" s="27"/>
      <c r="WH85" s="27"/>
      <c r="WI85" s="27"/>
      <c r="WJ85" s="27"/>
      <c r="WK85" s="27"/>
      <c r="WL85" s="27"/>
      <c r="WM85" s="27"/>
      <c r="WN85" s="27"/>
      <c r="WO85" s="27"/>
      <c r="WP85" s="27"/>
      <c r="WQ85" s="27"/>
      <c r="WR85" s="27"/>
      <c r="WS85" s="27"/>
      <c r="WT85" s="27"/>
      <c r="WU85" s="27"/>
      <c r="WV85" s="27"/>
      <c r="WW85" s="27"/>
      <c r="WX85" s="27"/>
      <c r="WY85" s="27"/>
      <c r="WZ85" s="27"/>
      <c r="XA85" s="27"/>
      <c r="XB85" s="27"/>
      <c r="XC85" s="27"/>
      <c r="XD85" s="27"/>
      <c r="XE85" s="27"/>
      <c r="XF85" s="27"/>
      <c r="XG85" s="27"/>
      <c r="XH85" s="27"/>
      <c r="XI85" s="27"/>
      <c r="XJ85" s="27"/>
      <c r="XK85" s="27"/>
      <c r="XL85" s="27"/>
      <c r="XM85" s="27"/>
      <c r="XN85" s="27"/>
      <c r="XO85" s="27"/>
      <c r="XP85" s="27"/>
      <c r="XQ85" s="27"/>
      <c r="XR85" s="27"/>
      <c r="XS85" s="27"/>
      <c r="XT85" s="27"/>
      <c r="XU85" s="27"/>
      <c r="XV85" s="27"/>
      <c r="XW85" s="27"/>
      <c r="XX85" s="27"/>
      <c r="XY85" s="27"/>
      <c r="XZ85" s="27"/>
      <c r="YA85" s="27"/>
      <c r="YB85" s="27"/>
      <c r="YC85" s="27"/>
      <c r="YD85" s="27"/>
      <c r="YE85" s="27"/>
      <c r="YF85" s="27"/>
      <c r="YG85" s="27"/>
      <c r="YH85" s="27"/>
      <c r="YI85" s="27"/>
      <c r="YJ85" s="27"/>
      <c r="YK85" s="27"/>
      <c r="YL85" s="27"/>
      <c r="YM85" s="27"/>
      <c r="YN85" s="27"/>
      <c r="YO85" s="27"/>
      <c r="YP85" s="27"/>
      <c r="YQ85" s="27"/>
      <c r="YR85" s="27"/>
      <c r="YS85" s="27"/>
      <c r="YT85" s="27"/>
      <c r="YU85" s="27"/>
      <c r="YV85" s="27"/>
      <c r="YW85" s="27"/>
      <c r="YX85" s="27"/>
      <c r="YY85" s="27"/>
      <c r="YZ85" s="27"/>
      <c r="ZA85" s="27"/>
      <c r="ZB85" s="27"/>
      <c r="ZC85" s="27"/>
      <c r="ZD85" s="27"/>
      <c r="ZE85" s="27"/>
      <c r="ZF85" s="27"/>
      <c r="ZG85" s="27"/>
      <c r="ZH85" s="27"/>
      <c r="ZI85" s="27"/>
      <c r="ZJ85" s="27"/>
      <c r="ZK85" s="27"/>
      <c r="ZL85" s="27"/>
      <c r="ZM85" s="27"/>
      <c r="ZN85" s="27"/>
      <c r="ZO85" s="27"/>
      <c r="ZP85" s="27"/>
      <c r="ZQ85" s="27"/>
      <c r="ZR85" s="27"/>
      <c r="ZS85" s="27"/>
      <c r="ZT85" s="27"/>
      <c r="ZU85" s="27"/>
      <c r="ZV85" s="27"/>
      <c r="ZW85" s="27"/>
      <c r="ZX85" s="27"/>
      <c r="ZY85" s="27"/>
      <c r="ZZ85" s="27"/>
      <c r="AAA85" s="27"/>
      <c r="AAB85" s="27"/>
      <c r="AAC85" s="27"/>
      <c r="AAD85" s="27"/>
      <c r="AAE85" s="27"/>
      <c r="AAF85" s="27"/>
      <c r="AAG85" s="27"/>
      <c r="AAH85" s="27"/>
      <c r="AAI85" s="27"/>
      <c r="AAJ85" s="27"/>
      <c r="AAK85" s="27"/>
      <c r="AAL85" s="27"/>
      <c r="AAM85" s="27"/>
      <c r="AAN85" s="27"/>
      <c r="AAO85" s="27"/>
      <c r="AAP85" s="27"/>
      <c r="AAQ85" s="27"/>
      <c r="AAR85" s="27"/>
      <c r="AAS85" s="27"/>
      <c r="AAT85" s="27"/>
      <c r="AAU85" s="27"/>
      <c r="AAV85" s="27"/>
      <c r="AAW85" s="27"/>
      <c r="AAX85" s="27"/>
      <c r="AAY85" s="27"/>
      <c r="AAZ85" s="27"/>
      <c r="ABA85" s="27"/>
      <c r="ABB85" s="27"/>
      <c r="ABC85" s="27"/>
      <c r="ABD85" s="27"/>
      <c r="ABE85" s="27"/>
      <c r="ABF85" s="27"/>
      <c r="ABG85" s="27"/>
      <c r="ABH85" s="27"/>
      <c r="ABI85" s="27"/>
      <c r="ABJ85" s="27"/>
      <c r="ABK85" s="27"/>
      <c r="ABL85" s="27"/>
      <c r="ABM85" s="27"/>
      <c r="ABN85" s="27"/>
      <c r="ABO85" s="27"/>
      <c r="ABP85" s="27"/>
      <c r="ABQ85" s="27"/>
      <c r="ABR85" s="27"/>
      <c r="ABS85" s="27"/>
      <c r="ABT85" s="27"/>
      <c r="ABU85" s="27"/>
      <c r="ABV85" s="27"/>
      <c r="ABW85" s="27"/>
      <c r="ABX85" s="27"/>
      <c r="ABY85" s="27"/>
      <c r="ABZ85" s="27"/>
      <c r="ACA85" s="27"/>
      <c r="ACB85" s="27"/>
      <c r="ACC85" s="27"/>
      <c r="ACD85" s="27"/>
      <c r="ACE85" s="27"/>
      <c r="ACF85" s="27"/>
      <c r="ACG85" s="27"/>
      <c r="ACH85" s="27"/>
      <c r="ACI85" s="27"/>
      <c r="ACJ85" s="27"/>
      <c r="ACK85" s="27"/>
      <c r="ACL85" s="27"/>
      <c r="ACM85" s="27"/>
      <c r="ACN85" s="27"/>
      <c r="ACO85" s="27"/>
      <c r="ACP85" s="27"/>
      <c r="ACQ85" s="27"/>
      <c r="ACR85" s="27"/>
      <c r="ACS85" s="27"/>
      <c r="ACT85" s="27"/>
      <c r="ACU85" s="27"/>
      <c r="ACV85" s="27"/>
      <c r="ACW85" s="27"/>
      <c r="ACX85" s="27"/>
      <c r="ACY85" s="27"/>
      <c r="ACZ85" s="27"/>
      <c r="ADA85" s="27"/>
      <c r="ADB85" s="27"/>
      <c r="ADC85" s="27"/>
      <c r="ADD85" s="27"/>
      <c r="ADE85" s="27"/>
      <c r="ADF85" s="27"/>
      <c r="ADG85" s="27"/>
      <c r="ADH85" s="27"/>
      <c r="ADI85" s="27"/>
      <c r="ADJ85" s="27"/>
      <c r="ADK85" s="27"/>
      <c r="ADL85" s="27"/>
      <c r="ADM85" s="27"/>
      <c r="ADN85" s="27"/>
      <c r="ADO85" s="27"/>
      <c r="ADP85" s="27"/>
      <c r="ADQ85" s="27"/>
      <c r="ADR85" s="27"/>
      <c r="ADS85" s="27"/>
      <c r="ADT85" s="27"/>
      <c r="ADU85" s="27"/>
      <c r="ADV85" s="27"/>
      <c r="ADW85" s="27"/>
      <c r="ADX85" s="27"/>
      <c r="ADY85" s="27"/>
      <c r="ADZ85" s="27"/>
      <c r="AEA85" s="27"/>
      <c r="AEB85" s="27"/>
      <c r="AEC85" s="27"/>
      <c r="AED85" s="27"/>
      <c r="AEE85" s="27"/>
      <c r="AEF85" s="27"/>
      <c r="AEG85" s="27"/>
      <c r="AEH85" s="27"/>
      <c r="AEI85" s="27"/>
      <c r="AEJ85" s="27"/>
      <c r="AEK85" s="27"/>
      <c r="AEL85" s="27"/>
      <c r="AEM85" s="27"/>
      <c r="AEN85" s="27"/>
      <c r="AEO85" s="27"/>
      <c r="AEP85" s="27"/>
      <c r="AEQ85" s="27"/>
      <c r="AER85" s="27"/>
      <c r="AES85" s="27"/>
      <c r="AET85" s="27"/>
      <c r="AEU85" s="27"/>
      <c r="AEV85" s="27"/>
      <c r="AEW85" s="27"/>
      <c r="AEX85" s="27"/>
      <c r="AEY85" s="27"/>
      <c r="AEZ85" s="27"/>
      <c r="AFA85" s="27"/>
      <c r="AFB85" s="27"/>
      <c r="AFC85" s="27"/>
      <c r="AFD85" s="27"/>
      <c r="AFE85" s="27"/>
      <c r="AFF85" s="27"/>
      <c r="AFG85" s="27"/>
      <c r="AFH85" s="27"/>
      <c r="AFI85" s="27"/>
      <c r="AFJ85" s="27"/>
      <c r="AFK85" s="27"/>
      <c r="AFL85" s="27"/>
      <c r="AFM85" s="27"/>
      <c r="AFN85" s="27"/>
      <c r="AFO85" s="27"/>
      <c r="AFP85" s="27"/>
      <c r="AFQ85" s="27"/>
      <c r="AFR85" s="27"/>
      <c r="AFS85" s="27"/>
      <c r="AFT85" s="27"/>
      <c r="AFU85" s="27"/>
      <c r="AFV85" s="27"/>
      <c r="AFW85" s="27"/>
      <c r="AFX85" s="27"/>
      <c r="AFY85" s="27"/>
      <c r="AFZ85" s="27"/>
      <c r="AGA85" s="27"/>
      <c r="AGB85" s="27"/>
      <c r="AGC85" s="27"/>
      <c r="AGD85" s="27"/>
      <c r="AGE85" s="27"/>
      <c r="AGF85" s="27"/>
      <c r="AGG85" s="27"/>
      <c r="AGH85" s="27"/>
      <c r="AGI85" s="27"/>
      <c r="AGJ85" s="27"/>
      <c r="AGK85" s="27"/>
      <c r="AGL85" s="27"/>
      <c r="AGM85" s="27"/>
      <c r="AGN85" s="27"/>
      <c r="AGO85" s="27"/>
      <c r="AGP85" s="27"/>
      <c r="AGQ85" s="27"/>
      <c r="AGR85" s="27"/>
      <c r="AGS85" s="27"/>
      <c r="AGT85" s="27"/>
      <c r="AGU85" s="27"/>
      <c r="AGV85" s="27"/>
      <c r="AGW85" s="27"/>
      <c r="AGX85" s="27"/>
      <c r="AGY85" s="27"/>
      <c r="AGZ85" s="27"/>
      <c r="AHA85" s="27"/>
      <c r="AHB85" s="27"/>
      <c r="AHC85" s="27"/>
      <c r="AHD85" s="27"/>
      <c r="AHE85" s="27"/>
      <c r="AHF85" s="27"/>
      <c r="AHG85" s="27"/>
      <c r="AHH85" s="27"/>
      <c r="AHI85" s="27"/>
      <c r="AHJ85" s="27"/>
      <c r="AHK85" s="27"/>
      <c r="AHL85" s="27"/>
      <c r="AHM85" s="27"/>
      <c r="AHN85" s="27"/>
      <c r="AHO85" s="27"/>
      <c r="AHP85" s="27"/>
      <c r="AHQ85" s="27"/>
      <c r="AHR85" s="27"/>
      <c r="AHS85" s="27"/>
      <c r="AHT85" s="27"/>
      <c r="AHU85" s="27"/>
      <c r="AHV85" s="27"/>
      <c r="AHW85" s="27"/>
      <c r="AHX85" s="27"/>
      <c r="AHY85" s="27"/>
      <c r="AHZ85" s="27"/>
      <c r="AIA85" s="27"/>
      <c r="AIB85" s="27"/>
      <c r="AIC85" s="27"/>
      <c r="AID85" s="27"/>
      <c r="AIE85" s="27"/>
      <c r="AIF85" s="27"/>
      <c r="AIG85" s="27"/>
      <c r="AIH85" s="27"/>
      <c r="AII85" s="27"/>
      <c r="AIJ85" s="27"/>
      <c r="AIK85" s="27"/>
      <c r="AIL85" s="27"/>
      <c r="AIM85" s="27"/>
      <c r="AIN85" s="27"/>
      <c r="AIO85" s="27"/>
      <c r="AIP85" s="27"/>
      <c r="AIQ85" s="27"/>
      <c r="AIR85" s="27"/>
      <c r="AIS85" s="27"/>
      <c r="AIT85" s="27"/>
      <c r="AIU85" s="27"/>
      <c r="AIV85" s="27"/>
      <c r="AIW85" s="27"/>
      <c r="AIX85" s="27"/>
      <c r="AIY85" s="27"/>
      <c r="AIZ85" s="27"/>
      <c r="AJA85" s="27"/>
      <c r="AJB85" s="27"/>
      <c r="AJC85" s="27"/>
      <c r="AJD85" s="27"/>
      <c r="AJE85" s="27"/>
      <c r="AJF85" s="27"/>
      <c r="AJG85" s="27"/>
      <c r="AJH85" s="27"/>
      <c r="AJI85" s="27"/>
      <c r="AJJ85" s="27"/>
      <c r="AJK85" s="27"/>
      <c r="AJL85" s="27"/>
      <c r="AJM85" s="27"/>
      <c r="AJN85" s="27"/>
      <c r="AJO85" s="27"/>
      <c r="AJP85" s="27"/>
      <c r="AJQ85" s="27"/>
      <c r="AJR85" s="27"/>
      <c r="AJS85" s="27"/>
      <c r="AJT85" s="27"/>
      <c r="AJU85" s="27"/>
      <c r="AJV85" s="27"/>
      <c r="AJW85" s="27"/>
      <c r="AJX85" s="27"/>
      <c r="AJY85" s="27"/>
      <c r="AJZ85" s="27"/>
      <c r="AKA85" s="27"/>
      <c r="AKB85" s="27"/>
      <c r="AKC85" s="27"/>
      <c r="AKD85" s="27"/>
      <c r="AKE85" s="27"/>
      <c r="AKF85" s="27"/>
      <c r="AKG85" s="27"/>
      <c r="AKH85" s="27"/>
      <c r="AKI85" s="27"/>
      <c r="AKJ85" s="27"/>
      <c r="AKK85" s="27"/>
      <c r="AKL85" s="27"/>
      <c r="AKM85" s="27"/>
      <c r="AKN85" s="27"/>
      <c r="AKO85" s="27"/>
      <c r="AKP85" s="27"/>
      <c r="AKQ85" s="27"/>
      <c r="AKR85" s="27"/>
      <c r="AKS85" s="27"/>
      <c r="AKT85" s="27"/>
      <c r="AKU85" s="27"/>
      <c r="AKV85" s="27"/>
      <c r="AKW85" s="27"/>
      <c r="AKX85" s="27"/>
      <c r="AKY85" s="27"/>
      <c r="AKZ85" s="27"/>
      <c r="ALA85" s="27"/>
      <c r="ALB85" s="27"/>
      <c r="ALC85" s="27"/>
      <c r="ALD85" s="27"/>
      <c r="ALE85" s="27"/>
      <c r="ALF85" s="27"/>
      <c r="ALG85" s="27"/>
      <c r="ALH85" s="27"/>
      <c r="ALI85" s="27"/>
      <c r="ALJ85" s="27"/>
      <c r="ALK85" s="27"/>
      <c r="ALL85" s="27"/>
      <c r="ALM85" s="27"/>
      <c r="ALN85" s="27"/>
      <c r="ALO85" s="27"/>
      <c r="ALP85" s="27"/>
      <c r="ALQ85" s="27"/>
      <c r="ALR85" s="27"/>
      <c r="ALS85" s="27"/>
      <c r="ALT85" s="27"/>
      <c r="ALU85" s="27"/>
      <c r="ALV85" s="27"/>
      <c r="ALW85" s="27"/>
      <c r="ALX85" s="27"/>
      <c r="ALY85" s="27"/>
      <c r="ALZ85" s="27"/>
      <c r="AMA85" s="27"/>
      <c r="AMB85" s="27"/>
      <c r="AMC85" s="27"/>
      <c r="AMD85" s="27"/>
      <c r="AME85" s="27"/>
      <c r="AMF85" s="27"/>
      <c r="AMG85" s="27"/>
      <c r="AMH85" s="27"/>
      <c r="AMI85" s="27"/>
      <c r="AMJ85" s="27"/>
    </row>
    <row r="86" spans="1:1024" x14ac:dyDescent="0.15">
      <c r="A86" t="s">
        <v>58</v>
      </c>
      <c r="D86" s="8" t="s">
        <v>3980</v>
      </c>
      <c r="E86" s="27" t="s">
        <v>50</v>
      </c>
      <c r="F86" t="s">
        <v>59</v>
      </c>
      <c r="H86">
        <v>500</v>
      </c>
      <c r="I86" t="b">
        <v>0</v>
      </c>
      <c r="J86" s="1" t="s">
        <v>17</v>
      </c>
      <c r="K86" t="s">
        <v>51</v>
      </c>
      <c r="L86">
        <v>2</v>
      </c>
      <c r="M86" s="7" t="b">
        <v>0</v>
      </c>
      <c r="N86" s="7" t="b">
        <v>0</v>
      </c>
      <c r="O86" s="1" t="s">
        <v>17</v>
      </c>
      <c r="P86" s="1" t="s">
        <v>17</v>
      </c>
      <c r="Q86" s="1" t="s">
        <v>17</v>
      </c>
      <c r="R86" s="1" t="s">
        <v>19</v>
      </c>
      <c r="S86" s="1" t="s">
        <v>19</v>
      </c>
      <c r="T86" s="1" t="s">
        <v>19</v>
      </c>
      <c r="U86" t="str">
        <f t="shared" si="9"/>
        <v>qc|dataset|sample</v>
      </c>
      <c r="V86" t="str">
        <f t="shared" si="10"/>
        <v/>
      </c>
      <c r="W86" t="str">
        <f t="shared" si="11"/>
        <v/>
      </c>
      <c r="X86" t="str">
        <f t="shared" si="12"/>
        <v/>
      </c>
      <c r="Y86" t="str">
        <f t="shared" si="13"/>
        <v/>
      </c>
      <c r="Z86" t="str">
        <f t="shared" si="14"/>
        <v>qc</v>
      </c>
      <c r="AA86" t="str">
        <f t="shared" si="15"/>
        <v>dataset</v>
      </c>
      <c r="AB86" t="str">
        <f t="shared" si="16"/>
        <v>sample</v>
      </c>
      <c r="AC86" t="str">
        <f t="shared" si="17"/>
        <v/>
      </c>
    </row>
    <row r="87" spans="1:1024" x14ac:dyDescent="0.15">
      <c r="A87" t="s">
        <v>49</v>
      </c>
      <c r="D87" s="8" t="s">
        <v>3980</v>
      </c>
      <c r="E87" s="27" t="s">
        <v>50</v>
      </c>
      <c r="F87" t="s">
        <v>3213</v>
      </c>
      <c r="H87">
        <v>500</v>
      </c>
      <c r="I87" t="b">
        <v>0</v>
      </c>
      <c r="J87" s="1" t="s">
        <v>17</v>
      </c>
      <c r="K87" t="s">
        <v>51</v>
      </c>
      <c r="L87">
        <v>2</v>
      </c>
      <c r="M87" s="7" t="b">
        <v>0</v>
      </c>
      <c r="N87" s="7" t="b">
        <v>0</v>
      </c>
      <c r="O87" s="1" t="s">
        <v>17</v>
      </c>
      <c r="P87" s="1" t="s">
        <v>17</v>
      </c>
      <c r="Q87" s="1" t="s">
        <v>17</v>
      </c>
      <c r="R87" s="1" t="s">
        <v>19</v>
      </c>
      <c r="S87" s="1" t="s">
        <v>19</v>
      </c>
      <c r="T87" s="1" t="s">
        <v>19</v>
      </c>
      <c r="U87" t="str">
        <f t="shared" si="9"/>
        <v>qc|dataset|sample</v>
      </c>
      <c r="V87" t="str">
        <f t="shared" si="10"/>
        <v/>
      </c>
      <c r="W87" t="str">
        <f t="shared" si="11"/>
        <v/>
      </c>
      <c r="X87" t="str">
        <f t="shared" si="12"/>
        <v/>
      </c>
      <c r="Y87" t="str">
        <f t="shared" si="13"/>
        <v/>
      </c>
      <c r="Z87" t="str">
        <f t="shared" si="14"/>
        <v>qc</v>
      </c>
      <c r="AA87" t="str">
        <f t="shared" si="15"/>
        <v>dataset</v>
      </c>
      <c r="AB87" t="str">
        <f t="shared" si="16"/>
        <v>sample</v>
      </c>
      <c r="AC87" t="str">
        <f t="shared" si="17"/>
        <v/>
      </c>
    </row>
    <row r="88" spans="1:1024" s="27" customFormat="1" x14ac:dyDescent="0.15">
      <c r="A88" s="27" t="s">
        <v>55</v>
      </c>
      <c r="D88" s="33" t="s">
        <v>3980</v>
      </c>
      <c r="E88" s="27" t="s">
        <v>50</v>
      </c>
      <c r="F88" s="27" t="s">
        <v>4129</v>
      </c>
      <c r="H88" s="27">
        <v>500</v>
      </c>
      <c r="I88" t="b">
        <v>0</v>
      </c>
      <c r="J88" s="28" t="s">
        <v>17</v>
      </c>
      <c r="K88" s="27" t="s">
        <v>51</v>
      </c>
      <c r="L88" s="27">
        <v>2</v>
      </c>
      <c r="M88" s="29" t="b">
        <v>0</v>
      </c>
      <c r="N88" s="29" t="b">
        <v>0</v>
      </c>
      <c r="O88" s="28" t="s">
        <v>17</v>
      </c>
      <c r="P88" s="28" t="s">
        <v>17</v>
      </c>
      <c r="Q88" s="28" t="s">
        <v>17</v>
      </c>
      <c r="R88" s="28" t="s">
        <v>19</v>
      </c>
      <c r="S88" s="28" t="s">
        <v>19</v>
      </c>
      <c r="T88" s="28" t="s">
        <v>19</v>
      </c>
      <c r="U88" t="str">
        <f t="shared" si="9"/>
        <v>qc|dataset|sample</v>
      </c>
      <c r="V88" t="str">
        <f t="shared" si="10"/>
        <v/>
      </c>
      <c r="W88" t="str">
        <f t="shared" si="11"/>
        <v/>
      </c>
      <c r="X88" t="str">
        <f t="shared" si="12"/>
        <v/>
      </c>
      <c r="Y88" t="str">
        <f t="shared" si="13"/>
        <v/>
      </c>
      <c r="Z88" t="str">
        <f t="shared" si="14"/>
        <v>qc</v>
      </c>
      <c r="AA88" t="str">
        <f t="shared" si="15"/>
        <v>dataset</v>
      </c>
      <c r="AB88" t="str">
        <f t="shared" si="16"/>
        <v>sample</v>
      </c>
      <c r="AC88" t="str">
        <f t="shared" si="17"/>
        <v/>
      </c>
    </row>
    <row r="89" spans="1:1024" x14ac:dyDescent="0.15">
      <c r="A89" t="s">
        <v>56</v>
      </c>
      <c r="D89" s="33" t="s">
        <v>3980</v>
      </c>
      <c r="E89" t="s">
        <v>50</v>
      </c>
      <c r="F89" t="s">
        <v>57</v>
      </c>
      <c r="H89">
        <v>500</v>
      </c>
      <c r="I89" t="b">
        <v>0</v>
      </c>
      <c r="J89" s="1" t="s">
        <v>17</v>
      </c>
      <c r="K89" t="s">
        <v>51</v>
      </c>
      <c r="L89">
        <v>2</v>
      </c>
      <c r="M89" s="7" t="b">
        <v>0</v>
      </c>
      <c r="N89" s="7" t="b">
        <v>0</v>
      </c>
      <c r="O89" s="1" t="s">
        <v>17</v>
      </c>
      <c r="P89" s="1" t="s">
        <v>17</v>
      </c>
      <c r="Q89" s="1" t="s">
        <v>17</v>
      </c>
      <c r="R89" s="1" t="s">
        <v>19</v>
      </c>
      <c r="S89" s="1" t="s">
        <v>19</v>
      </c>
      <c r="T89" s="1" t="s">
        <v>19</v>
      </c>
      <c r="U89" t="str">
        <f t="shared" si="9"/>
        <v>qc|dataset|sample</v>
      </c>
      <c r="V89" t="str">
        <f t="shared" si="10"/>
        <v/>
      </c>
      <c r="W89" t="str">
        <f t="shared" si="11"/>
        <v/>
      </c>
      <c r="X89" t="str">
        <f t="shared" si="12"/>
        <v/>
      </c>
      <c r="Y89" t="str">
        <f t="shared" si="13"/>
        <v/>
      </c>
      <c r="Z89" t="str">
        <f t="shared" si="14"/>
        <v>qc</v>
      </c>
      <c r="AA89" t="str">
        <f t="shared" si="15"/>
        <v>dataset</v>
      </c>
      <c r="AB89" t="str">
        <f t="shared" si="16"/>
        <v>sample</v>
      </c>
      <c r="AC89" t="str">
        <f t="shared" si="17"/>
        <v/>
      </c>
    </row>
    <row r="90" spans="1:1024" s="26" customFormat="1" x14ac:dyDescent="0.15">
      <c r="A90" t="s">
        <v>173</v>
      </c>
      <c r="B90"/>
      <c r="C90"/>
      <c r="D90"/>
      <c r="E90" t="s">
        <v>21</v>
      </c>
      <c r="F90" t="s">
        <v>174</v>
      </c>
      <c r="G90"/>
      <c r="H90">
        <v>500</v>
      </c>
      <c r="I90" t="b">
        <v>0</v>
      </c>
      <c r="J90" s="1" t="s">
        <v>17</v>
      </c>
      <c r="K90" t="s">
        <v>23</v>
      </c>
      <c r="L90">
        <v>2</v>
      </c>
      <c r="M90" s="7" t="b">
        <v>0</v>
      </c>
      <c r="N90" s="7" t="b">
        <v>0</v>
      </c>
      <c r="O90" s="1" t="s">
        <v>19</v>
      </c>
      <c r="P90" s="1" t="s">
        <v>17</v>
      </c>
      <c r="Q90" s="1" t="s">
        <v>17</v>
      </c>
      <c r="R90" s="1" t="s">
        <v>19</v>
      </c>
      <c r="S90" s="1" t="s">
        <v>19</v>
      </c>
      <c r="T90" s="1" t="s">
        <v>19</v>
      </c>
      <c r="U90" t="str">
        <f t="shared" si="9"/>
        <v>filter|qc|dataset|sample</v>
      </c>
      <c r="V90" t="str">
        <f t="shared" si="10"/>
        <v/>
      </c>
      <c r="W90" t="str">
        <f t="shared" si="11"/>
        <v>filter</v>
      </c>
      <c r="X90" t="str">
        <f t="shared" si="12"/>
        <v/>
      </c>
      <c r="Y90" t="str">
        <f t="shared" si="13"/>
        <v/>
      </c>
      <c r="Z90" t="str">
        <f t="shared" si="14"/>
        <v>qc</v>
      </c>
      <c r="AA90" t="str">
        <f t="shared" si="15"/>
        <v>dataset</v>
      </c>
      <c r="AB90" t="str">
        <f t="shared" si="16"/>
        <v>sample</v>
      </c>
      <c r="AC90" t="str">
        <f t="shared" si="17"/>
        <v/>
      </c>
      <c r="AD90"/>
      <c r="AE90"/>
      <c r="AF90"/>
      <c r="AG90"/>
      <c r="AH90"/>
      <c r="AI90"/>
      <c r="AJ90"/>
      <c r="AK90"/>
      <c r="AL90"/>
      <c r="AM90"/>
      <c r="AN90"/>
      <c r="AO90"/>
      <c r="AP90"/>
      <c r="AQ90"/>
      <c r="AR90"/>
      <c r="AS90"/>
      <c r="AT90"/>
      <c r="AU90"/>
      <c r="AV90"/>
      <c r="AW90"/>
      <c r="AX90"/>
      <c r="AY90"/>
      <c r="AZ90"/>
      <c r="BA90"/>
      <c r="BB90"/>
      <c r="BC90"/>
      <c r="BD90"/>
      <c r="BE90"/>
      <c r="BF90"/>
      <c r="BG90"/>
      <c r="BH90"/>
      <c r="BI90"/>
      <c r="BJ90"/>
      <c r="BK90"/>
      <c r="BL90"/>
      <c r="BM90"/>
      <c r="BN90"/>
      <c r="BO90"/>
      <c r="BP90"/>
      <c r="BQ90"/>
      <c r="BR90"/>
      <c r="BS90"/>
      <c r="BT90"/>
      <c r="BU90"/>
      <c r="BV90"/>
      <c r="BW90"/>
      <c r="BX90"/>
      <c r="BY90"/>
      <c r="BZ90"/>
      <c r="CA90"/>
      <c r="CB90"/>
      <c r="CC90"/>
      <c r="CD90"/>
      <c r="CE90"/>
      <c r="CF90"/>
      <c r="CG90"/>
      <c r="CH90"/>
      <c r="CI90"/>
      <c r="CJ90"/>
      <c r="CK90"/>
      <c r="CL90"/>
      <c r="CM90"/>
      <c r="CN90"/>
      <c r="CO90"/>
      <c r="CP90"/>
      <c r="CQ90"/>
      <c r="CR90"/>
      <c r="CS90"/>
      <c r="CT90"/>
      <c r="CU90"/>
      <c r="CV90"/>
      <c r="CW90"/>
      <c r="CX90"/>
      <c r="CY90"/>
      <c r="CZ90"/>
      <c r="DA90"/>
      <c r="DB90"/>
      <c r="DC90"/>
      <c r="DD90"/>
      <c r="DE90"/>
      <c r="DF90"/>
      <c r="DG90"/>
      <c r="DH90"/>
      <c r="DI90"/>
      <c r="DJ90"/>
      <c r="DK90"/>
      <c r="DL90"/>
      <c r="DM90"/>
      <c r="DN90"/>
      <c r="DO90"/>
      <c r="DP90"/>
      <c r="DQ90"/>
      <c r="DR90"/>
      <c r="DS90"/>
      <c r="DT90"/>
      <c r="DU90"/>
      <c r="DV90"/>
      <c r="DW90"/>
      <c r="DX90"/>
      <c r="DY90"/>
      <c r="DZ90"/>
      <c r="EA90"/>
      <c r="EB90"/>
      <c r="EC90"/>
      <c r="ED90"/>
      <c r="EE90"/>
      <c r="EF90"/>
      <c r="EG90"/>
      <c r="EH90"/>
      <c r="EI90"/>
      <c r="EJ90"/>
      <c r="EK90"/>
      <c r="EL90"/>
      <c r="EM90"/>
      <c r="EN90"/>
      <c r="EO90"/>
      <c r="EP90"/>
      <c r="EQ90"/>
      <c r="ER90"/>
      <c r="ES90"/>
      <c r="ET90"/>
      <c r="EU90"/>
      <c r="EV90"/>
      <c r="EW90"/>
      <c r="EX90"/>
      <c r="EY90"/>
      <c r="EZ90"/>
      <c r="FA90"/>
      <c r="FB90"/>
      <c r="FC90"/>
      <c r="FD90"/>
      <c r="FE90"/>
      <c r="FF90"/>
      <c r="FG90"/>
      <c r="FH90"/>
      <c r="FI90"/>
      <c r="FJ90"/>
      <c r="FK90"/>
      <c r="FL90"/>
      <c r="FM90"/>
      <c r="FN90"/>
      <c r="FO90"/>
      <c r="FP90"/>
      <c r="FQ90"/>
      <c r="FR90"/>
      <c r="FS90"/>
      <c r="FT90"/>
      <c r="FU90"/>
      <c r="FV90"/>
      <c r="FW90"/>
      <c r="FX90"/>
      <c r="FY90"/>
      <c r="FZ90"/>
      <c r="GA90"/>
      <c r="GB90"/>
      <c r="GC90"/>
      <c r="GD90"/>
      <c r="GE90"/>
      <c r="GF90"/>
      <c r="GG90"/>
      <c r="GH90"/>
      <c r="GI90"/>
      <c r="GJ90"/>
      <c r="GK90"/>
      <c r="GL90"/>
      <c r="GM90"/>
      <c r="GN90"/>
      <c r="GO90"/>
      <c r="GP90"/>
      <c r="GQ90"/>
      <c r="GR90"/>
      <c r="GS90"/>
      <c r="GT90"/>
      <c r="GU90"/>
      <c r="GV90"/>
      <c r="GW90"/>
      <c r="GX90"/>
      <c r="GY90"/>
      <c r="GZ90"/>
      <c r="HA90"/>
      <c r="HB90"/>
      <c r="HC90"/>
      <c r="HD90"/>
      <c r="HE90"/>
      <c r="HF90"/>
      <c r="HG90"/>
      <c r="HH90"/>
      <c r="HI90"/>
      <c r="HJ90"/>
      <c r="HK90"/>
      <c r="HL90"/>
      <c r="HM90"/>
      <c r="HN90"/>
      <c r="HO90"/>
      <c r="HP90"/>
      <c r="HQ90"/>
      <c r="HR90"/>
      <c r="HS90"/>
      <c r="HT90"/>
      <c r="HU90"/>
      <c r="HV90"/>
      <c r="HW90"/>
      <c r="HX90"/>
      <c r="HY90"/>
      <c r="HZ90"/>
      <c r="IA90"/>
      <c r="IB90"/>
      <c r="IC90"/>
      <c r="ID90"/>
      <c r="IE90"/>
      <c r="IF90"/>
      <c r="IG90"/>
      <c r="IH90"/>
      <c r="II90"/>
      <c r="IJ90"/>
      <c r="IK90"/>
      <c r="IL90"/>
      <c r="IM90"/>
      <c r="IN90"/>
      <c r="IO90"/>
      <c r="IP90"/>
      <c r="IQ90"/>
      <c r="IR90"/>
      <c r="IS90"/>
      <c r="IT90"/>
      <c r="IU90"/>
      <c r="IV90"/>
      <c r="IW90"/>
      <c r="IX90"/>
      <c r="IY90"/>
      <c r="IZ90"/>
      <c r="JA90"/>
      <c r="JB90"/>
      <c r="JC90"/>
      <c r="JD90"/>
      <c r="JE90"/>
      <c r="JF90"/>
      <c r="JG90"/>
      <c r="JH90"/>
      <c r="JI90"/>
      <c r="JJ90"/>
      <c r="JK90"/>
      <c r="JL90"/>
      <c r="JM90"/>
      <c r="JN90"/>
      <c r="JO90"/>
      <c r="JP90"/>
      <c r="JQ90"/>
      <c r="JR90"/>
      <c r="JS90"/>
      <c r="JT90"/>
      <c r="JU90"/>
      <c r="JV90"/>
      <c r="JW90"/>
      <c r="JX90"/>
      <c r="JY90"/>
      <c r="JZ90"/>
      <c r="KA90"/>
      <c r="KB90"/>
      <c r="KC90"/>
      <c r="KD90"/>
      <c r="KE90"/>
      <c r="KF90"/>
      <c r="KG90"/>
      <c r="KH90"/>
      <c r="KI90"/>
      <c r="KJ90"/>
      <c r="KK90"/>
      <c r="KL90"/>
      <c r="KM90"/>
      <c r="KN90"/>
      <c r="KO90"/>
      <c r="KP90"/>
      <c r="KQ90"/>
      <c r="KR90"/>
      <c r="KS90"/>
      <c r="KT90"/>
      <c r="KU90"/>
      <c r="KV90"/>
      <c r="KW90"/>
      <c r="KX90"/>
      <c r="KY90"/>
      <c r="KZ90"/>
      <c r="LA90"/>
      <c r="LB90"/>
      <c r="LC90"/>
      <c r="LD90"/>
      <c r="LE90"/>
      <c r="LF90"/>
      <c r="LG90"/>
      <c r="LH90"/>
      <c r="LI90"/>
      <c r="LJ90"/>
      <c r="LK90"/>
      <c r="LL90"/>
      <c r="LM90"/>
      <c r="LN90"/>
      <c r="LO90"/>
      <c r="LP90"/>
      <c r="LQ90"/>
      <c r="LR90"/>
      <c r="LS90"/>
      <c r="LT90"/>
      <c r="LU90"/>
      <c r="LV90"/>
      <c r="LW90"/>
      <c r="LX90"/>
      <c r="LY90"/>
      <c r="LZ90"/>
      <c r="MA90"/>
      <c r="MB90"/>
      <c r="MC90"/>
      <c r="MD90"/>
      <c r="ME90"/>
      <c r="MF90"/>
      <c r="MG90"/>
      <c r="MH90"/>
      <c r="MI90"/>
      <c r="MJ90"/>
      <c r="MK90"/>
      <c r="ML90"/>
      <c r="MM90"/>
      <c r="MN90"/>
      <c r="MO90"/>
      <c r="MP90"/>
      <c r="MQ90"/>
      <c r="MR90"/>
      <c r="MS90"/>
      <c r="MT90"/>
      <c r="MU90"/>
      <c r="MV90"/>
      <c r="MW90"/>
      <c r="MX90"/>
      <c r="MY90"/>
      <c r="MZ90"/>
      <c r="NA90"/>
      <c r="NB90"/>
      <c r="NC90"/>
      <c r="ND90"/>
      <c r="NE90"/>
      <c r="NF90"/>
      <c r="NG90"/>
      <c r="NH90"/>
      <c r="NI90"/>
      <c r="NJ90"/>
      <c r="NK90"/>
      <c r="NL90"/>
      <c r="NM90"/>
      <c r="NN90"/>
      <c r="NO90"/>
      <c r="NP90"/>
      <c r="NQ90"/>
      <c r="NR90"/>
      <c r="NS90"/>
      <c r="NT90"/>
      <c r="NU90"/>
      <c r="NV90"/>
      <c r="NW90"/>
      <c r="NX90"/>
      <c r="NY90"/>
      <c r="NZ90"/>
      <c r="OA90"/>
      <c r="OB90"/>
      <c r="OC90"/>
      <c r="OD90"/>
      <c r="OE90"/>
      <c r="OF90"/>
      <c r="OG90"/>
      <c r="OH90"/>
      <c r="OI90"/>
      <c r="OJ90"/>
      <c r="OK90"/>
      <c r="OL90"/>
      <c r="OM90"/>
      <c r="ON90"/>
      <c r="OO90"/>
      <c r="OP90"/>
      <c r="OQ90"/>
      <c r="OR90"/>
      <c r="OS90"/>
      <c r="OT90"/>
      <c r="OU90"/>
      <c r="OV90"/>
      <c r="OW90"/>
      <c r="OX90"/>
      <c r="OY90"/>
      <c r="OZ90"/>
      <c r="PA90"/>
      <c r="PB90"/>
      <c r="PC90"/>
      <c r="PD90"/>
      <c r="PE90"/>
      <c r="PF90"/>
      <c r="PG90"/>
      <c r="PH90"/>
      <c r="PI90"/>
      <c r="PJ90"/>
      <c r="PK90"/>
      <c r="PL90"/>
      <c r="PM90"/>
      <c r="PN90"/>
      <c r="PO90"/>
      <c r="PP90"/>
      <c r="PQ90"/>
      <c r="PR90"/>
      <c r="PS90"/>
      <c r="PT90"/>
      <c r="PU90"/>
      <c r="PV90"/>
      <c r="PW90"/>
      <c r="PX90"/>
      <c r="PY90"/>
      <c r="PZ90"/>
      <c r="QA90"/>
      <c r="QB90"/>
      <c r="QC90"/>
      <c r="QD90"/>
      <c r="QE90"/>
      <c r="QF90"/>
      <c r="QG90"/>
      <c r="QH90"/>
      <c r="QI90"/>
      <c r="QJ90"/>
      <c r="QK90"/>
      <c r="QL90"/>
      <c r="QM90"/>
      <c r="QN90"/>
      <c r="QO90"/>
      <c r="QP90"/>
      <c r="QQ90"/>
      <c r="QR90"/>
      <c r="QS90"/>
      <c r="QT90"/>
      <c r="QU90"/>
      <c r="QV90"/>
      <c r="QW90"/>
      <c r="QX90"/>
      <c r="QY90"/>
      <c r="QZ90"/>
      <c r="RA90"/>
      <c r="RB90"/>
      <c r="RC90"/>
      <c r="RD90"/>
      <c r="RE90"/>
      <c r="RF90"/>
      <c r="RG90"/>
      <c r="RH90"/>
      <c r="RI90"/>
      <c r="RJ90"/>
      <c r="RK90"/>
      <c r="RL90"/>
      <c r="RM90"/>
      <c r="RN90"/>
      <c r="RO90"/>
      <c r="RP90"/>
      <c r="RQ90"/>
      <c r="RR90"/>
      <c r="RS90"/>
      <c r="RT90"/>
      <c r="RU90"/>
      <c r="RV90"/>
      <c r="RW90"/>
      <c r="RX90"/>
      <c r="RY90"/>
      <c r="RZ90"/>
      <c r="SA90"/>
      <c r="SB90"/>
      <c r="SC90"/>
      <c r="SD90"/>
      <c r="SE90"/>
      <c r="SF90"/>
      <c r="SG90"/>
      <c r="SH90"/>
      <c r="SI90"/>
      <c r="SJ90"/>
      <c r="SK90"/>
      <c r="SL90"/>
      <c r="SM90"/>
      <c r="SN90"/>
      <c r="SO90"/>
      <c r="SP90"/>
      <c r="SQ90"/>
      <c r="SR90"/>
      <c r="SS90"/>
      <c r="ST90"/>
      <c r="SU90"/>
      <c r="SV90"/>
      <c r="SW90"/>
      <c r="SX90"/>
      <c r="SY90"/>
      <c r="SZ90"/>
      <c r="TA90"/>
      <c r="TB90"/>
      <c r="TC90"/>
      <c r="TD90"/>
      <c r="TE90"/>
      <c r="TF90"/>
      <c r="TG90"/>
      <c r="TH90"/>
      <c r="TI90"/>
      <c r="TJ90"/>
      <c r="TK90"/>
      <c r="TL90"/>
      <c r="TM90"/>
      <c r="TN90"/>
      <c r="TO90"/>
      <c r="TP90"/>
      <c r="TQ90"/>
      <c r="TR90"/>
      <c r="TS90"/>
      <c r="TT90"/>
      <c r="TU90"/>
      <c r="TV90"/>
      <c r="TW90"/>
      <c r="TX90"/>
      <c r="TY90"/>
      <c r="TZ90"/>
      <c r="UA90"/>
      <c r="UB90"/>
      <c r="UC90"/>
      <c r="UD90"/>
      <c r="UE90"/>
      <c r="UF90"/>
      <c r="UG90"/>
      <c r="UH90"/>
      <c r="UI90"/>
      <c r="UJ90"/>
      <c r="UK90"/>
      <c r="UL90"/>
      <c r="UM90"/>
      <c r="UN90"/>
      <c r="UO90"/>
      <c r="UP90"/>
      <c r="UQ90"/>
      <c r="UR90"/>
      <c r="US90"/>
      <c r="UT90"/>
      <c r="UU90"/>
      <c r="UV90"/>
      <c r="UW90"/>
      <c r="UX90"/>
      <c r="UY90"/>
      <c r="UZ90"/>
      <c r="VA90"/>
      <c r="VB90"/>
      <c r="VC90"/>
      <c r="VD90"/>
      <c r="VE90"/>
      <c r="VF90"/>
      <c r="VG90"/>
      <c r="VH90"/>
      <c r="VI90"/>
      <c r="VJ90"/>
      <c r="VK90"/>
      <c r="VL90"/>
      <c r="VM90"/>
      <c r="VN90"/>
      <c r="VO90"/>
      <c r="VP90"/>
      <c r="VQ90"/>
      <c r="VR90"/>
      <c r="VS90"/>
      <c r="VT90"/>
      <c r="VU90"/>
      <c r="VV90"/>
      <c r="VW90"/>
      <c r="VX90"/>
      <c r="VY90"/>
      <c r="VZ90"/>
      <c r="WA90"/>
      <c r="WB90"/>
      <c r="WC90"/>
      <c r="WD90"/>
      <c r="WE90"/>
      <c r="WF90"/>
      <c r="WG90"/>
      <c r="WH90"/>
      <c r="WI90"/>
      <c r="WJ90"/>
      <c r="WK90"/>
      <c r="WL90"/>
      <c r="WM90"/>
      <c r="WN90"/>
      <c r="WO90"/>
      <c r="WP90"/>
      <c r="WQ90"/>
      <c r="WR90"/>
      <c r="WS90"/>
      <c r="WT90"/>
      <c r="WU90"/>
      <c r="WV90"/>
      <c r="WW90"/>
      <c r="WX90"/>
      <c r="WY90"/>
      <c r="WZ90"/>
      <c r="XA90"/>
      <c r="XB90"/>
      <c r="XC90"/>
      <c r="XD90"/>
      <c r="XE90"/>
      <c r="XF90"/>
      <c r="XG90"/>
      <c r="XH90"/>
      <c r="XI90"/>
      <c r="XJ90"/>
      <c r="XK90"/>
      <c r="XL90"/>
      <c r="XM90"/>
      <c r="XN90"/>
      <c r="XO90"/>
      <c r="XP90"/>
      <c r="XQ90"/>
      <c r="XR90"/>
      <c r="XS90"/>
      <c r="XT90"/>
      <c r="XU90"/>
      <c r="XV90"/>
      <c r="XW90"/>
      <c r="XX90"/>
      <c r="XY90"/>
      <c r="XZ90"/>
      <c r="YA90"/>
      <c r="YB90"/>
      <c r="YC90"/>
      <c r="YD90"/>
      <c r="YE90"/>
      <c r="YF90"/>
      <c r="YG90"/>
      <c r="YH90"/>
      <c r="YI90"/>
      <c r="YJ90"/>
      <c r="YK90"/>
      <c r="YL90"/>
      <c r="YM90"/>
      <c r="YN90"/>
      <c r="YO90"/>
      <c r="YP90"/>
      <c r="YQ90"/>
      <c r="YR90"/>
      <c r="YS90"/>
      <c r="YT90"/>
      <c r="YU90"/>
      <c r="YV90"/>
      <c r="YW90"/>
      <c r="YX90"/>
      <c r="YY90"/>
      <c r="YZ90"/>
      <c r="ZA90"/>
      <c r="ZB90"/>
      <c r="ZC90"/>
      <c r="ZD90"/>
      <c r="ZE90"/>
      <c r="ZF90"/>
      <c r="ZG90"/>
      <c r="ZH90"/>
      <c r="ZI90"/>
      <c r="ZJ90"/>
      <c r="ZK90"/>
      <c r="ZL90"/>
      <c r="ZM90"/>
      <c r="ZN90"/>
      <c r="ZO90"/>
      <c r="ZP90"/>
      <c r="ZQ90"/>
      <c r="ZR90"/>
      <c r="ZS90"/>
      <c r="ZT90"/>
      <c r="ZU90"/>
      <c r="ZV90"/>
      <c r="ZW90"/>
      <c r="ZX90"/>
      <c r="ZY90"/>
      <c r="ZZ90"/>
      <c r="AAA90"/>
      <c r="AAB90"/>
      <c r="AAC90"/>
      <c r="AAD90"/>
      <c r="AAE90"/>
      <c r="AAF90"/>
      <c r="AAG90"/>
      <c r="AAH90"/>
      <c r="AAI90"/>
      <c r="AAJ90"/>
      <c r="AAK90"/>
      <c r="AAL90"/>
      <c r="AAM90"/>
      <c r="AAN90"/>
      <c r="AAO90"/>
      <c r="AAP90"/>
      <c r="AAQ90"/>
      <c r="AAR90"/>
      <c r="AAS90"/>
      <c r="AAT90"/>
      <c r="AAU90"/>
      <c r="AAV90"/>
      <c r="AAW90"/>
      <c r="AAX90"/>
      <c r="AAY90"/>
      <c r="AAZ90"/>
      <c r="ABA90"/>
      <c r="ABB90"/>
      <c r="ABC90"/>
      <c r="ABD90"/>
      <c r="ABE90"/>
      <c r="ABF90"/>
      <c r="ABG90"/>
      <c r="ABH90"/>
      <c r="ABI90"/>
      <c r="ABJ90"/>
      <c r="ABK90"/>
      <c r="ABL90"/>
      <c r="ABM90"/>
      <c r="ABN90"/>
      <c r="ABO90"/>
      <c r="ABP90"/>
      <c r="ABQ90"/>
      <c r="ABR90"/>
      <c r="ABS90"/>
      <c r="ABT90"/>
      <c r="ABU90"/>
      <c r="ABV90"/>
      <c r="ABW90"/>
      <c r="ABX90"/>
      <c r="ABY90"/>
      <c r="ABZ90"/>
      <c r="ACA90"/>
      <c r="ACB90"/>
      <c r="ACC90"/>
      <c r="ACD90"/>
      <c r="ACE90"/>
      <c r="ACF90"/>
      <c r="ACG90"/>
      <c r="ACH90"/>
      <c r="ACI90"/>
      <c r="ACJ90"/>
      <c r="ACK90"/>
      <c r="ACL90"/>
      <c r="ACM90"/>
      <c r="ACN90"/>
      <c r="ACO90"/>
      <c r="ACP90"/>
      <c r="ACQ90"/>
      <c r="ACR90"/>
      <c r="ACS90"/>
      <c r="ACT90"/>
      <c r="ACU90"/>
      <c r="ACV90"/>
      <c r="ACW90"/>
      <c r="ACX90"/>
      <c r="ACY90"/>
      <c r="ACZ90"/>
      <c r="ADA90"/>
      <c r="ADB90"/>
      <c r="ADC90"/>
      <c r="ADD90"/>
      <c r="ADE90"/>
      <c r="ADF90"/>
      <c r="ADG90"/>
      <c r="ADH90"/>
      <c r="ADI90"/>
      <c r="ADJ90"/>
      <c r="ADK90"/>
      <c r="ADL90"/>
      <c r="ADM90"/>
      <c r="ADN90"/>
      <c r="ADO90"/>
      <c r="ADP90"/>
      <c r="ADQ90"/>
      <c r="ADR90"/>
      <c r="ADS90"/>
      <c r="ADT90"/>
      <c r="ADU90"/>
      <c r="ADV90"/>
      <c r="ADW90"/>
      <c r="ADX90"/>
      <c r="ADY90"/>
      <c r="ADZ90"/>
      <c r="AEA90"/>
      <c r="AEB90"/>
      <c r="AEC90"/>
      <c r="AED90"/>
      <c r="AEE90"/>
      <c r="AEF90"/>
      <c r="AEG90"/>
      <c r="AEH90"/>
      <c r="AEI90"/>
      <c r="AEJ90"/>
      <c r="AEK90"/>
      <c r="AEL90"/>
      <c r="AEM90"/>
      <c r="AEN90"/>
      <c r="AEO90"/>
      <c r="AEP90"/>
      <c r="AEQ90"/>
      <c r="AER90"/>
      <c r="AES90"/>
      <c r="AET90"/>
      <c r="AEU90"/>
      <c r="AEV90"/>
      <c r="AEW90"/>
      <c r="AEX90"/>
      <c r="AEY90"/>
      <c r="AEZ90"/>
      <c r="AFA90"/>
      <c r="AFB90"/>
      <c r="AFC90"/>
      <c r="AFD90"/>
      <c r="AFE90"/>
      <c r="AFF90"/>
      <c r="AFG90"/>
      <c r="AFH90"/>
      <c r="AFI90"/>
      <c r="AFJ90"/>
      <c r="AFK90"/>
      <c r="AFL90"/>
      <c r="AFM90"/>
      <c r="AFN90"/>
      <c r="AFO90"/>
      <c r="AFP90"/>
      <c r="AFQ90"/>
      <c r="AFR90"/>
      <c r="AFS90"/>
      <c r="AFT90"/>
      <c r="AFU90"/>
      <c r="AFV90"/>
      <c r="AFW90"/>
      <c r="AFX90"/>
      <c r="AFY90"/>
      <c r="AFZ90"/>
      <c r="AGA90"/>
      <c r="AGB90"/>
      <c r="AGC90"/>
      <c r="AGD90"/>
      <c r="AGE90"/>
      <c r="AGF90"/>
      <c r="AGG90"/>
      <c r="AGH90"/>
      <c r="AGI90"/>
      <c r="AGJ90"/>
      <c r="AGK90"/>
      <c r="AGL90"/>
      <c r="AGM90"/>
      <c r="AGN90"/>
      <c r="AGO90"/>
      <c r="AGP90"/>
      <c r="AGQ90"/>
      <c r="AGR90"/>
      <c r="AGS90"/>
      <c r="AGT90"/>
      <c r="AGU90"/>
      <c r="AGV90"/>
      <c r="AGW90"/>
      <c r="AGX90"/>
      <c r="AGY90"/>
      <c r="AGZ90"/>
      <c r="AHA90"/>
      <c r="AHB90"/>
      <c r="AHC90"/>
      <c r="AHD90"/>
      <c r="AHE90"/>
      <c r="AHF90"/>
      <c r="AHG90"/>
      <c r="AHH90"/>
      <c r="AHI90"/>
      <c r="AHJ90"/>
      <c r="AHK90"/>
      <c r="AHL90"/>
      <c r="AHM90"/>
      <c r="AHN90"/>
      <c r="AHO90"/>
      <c r="AHP90"/>
      <c r="AHQ90"/>
      <c r="AHR90"/>
      <c r="AHS90"/>
      <c r="AHT90"/>
      <c r="AHU90"/>
      <c r="AHV90"/>
      <c r="AHW90"/>
      <c r="AHX90"/>
      <c r="AHY90"/>
      <c r="AHZ90"/>
      <c r="AIA90"/>
      <c r="AIB90"/>
      <c r="AIC90"/>
      <c r="AID90"/>
      <c r="AIE90"/>
      <c r="AIF90"/>
      <c r="AIG90"/>
      <c r="AIH90"/>
      <c r="AII90"/>
      <c r="AIJ90"/>
      <c r="AIK90"/>
      <c r="AIL90"/>
      <c r="AIM90"/>
      <c r="AIN90"/>
      <c r="AIO90"/>
      <c r="AIP90"/>
      <c r="AIQ90"/>
      <c r="AIR90"/>
      <c r="AIS90"/>
      <c r="AIT90"/>
      <c r="AIU90"/>
      <c r="AIV90"/>
      <c r="AIW90"/>
      <c r="AIX90"/>
      <c r="AIY90"/>
      <c r="AIZ90"/>
      <c r="AJA90"/>
      <c r="AJB90"/>
      <c r="AJC90"/>
      <c r="AJD90"/>
      <c r="AJE90"/>
      <c r="AJF90"/>
      <c r="AJG90"/>
      <c r="AJH90"/>
      <c r="AJI90"/>
      <c r="AJJ90"/>
      <c r="AJK90"/>
      <c r="AJL90"/>
      <c r="AJM90"/>
      <c r="AJN90"/>
      <c r="AJO90"/>
      <c r="AJP90"/>
      <c r="AJQ90"/>
      <c r="AJR90"/>
      <c r="AJS90"/>
      <c r="AJT90"/>
      <c r="AJU90"/>
      <c r="AJV90"/>
      <c r="AJW90"/>
      <c r="AJX90"/>
      <c r="AJY90"/>
      <c r="AJZ90"/>
      <c r="AKA90"/>
      <c r="AKB90"/>
      <c r="AKC90"/>
      <c r="AKD90"/>
      <c r="AKE90"/>
      <c r="AKF90"/>
      <c r="AKG90"/>
      <c r="AKH90"/>
      <c r="AKI90"/>
      <c r="AKJ90"/>
      <c r="AKK90"/>
      <c r="AKL90"/>
      <c r="AKM90"/>
      <c r="AKN90"/>
      <c r="AKO90"/>
      <c r="AKP90"/>
      <c r="AKQ90"/>
      <c r="AKR90"/>
      <c r="AKS90"/>
      <c r="AKT90"/>
      <c r="AKU90"/>
      <c r="AKV90"/>
      <c r="AKW90"/>
      <c r="AKX90"/>
      <c r="AKY90"/>
      <c r="AKZ90"/>
      <c r="ALA90"/>
      <c r="ALB90"/>
      <c r="ALC90"/>
      <c r="ALD90"/>
      <c r="ALE90"/>
      <c r="ALF90"/>
      <c r="ALG90"/>
      <c r="ALH90"/>
      <c r="ALI90"/>
      <c r="ALJ90"/>
      <c r="ALK90"/>
      <c r="ALL90"/>
      <c r="ALM90"/>
      <c r="ALN90"/>
      <c r="ALO90"/>
      <c r="ALP90"/>
      <c r="ALQ90"/>
      <c r="ALR90"/>
      <c r="ALS90"/>
      <c r="ALT90"/>
      <c r="ALU90"/>
      <c r="ALV90"/>
      <c r="ALW90"/>
      <c r="ALX90"/>
      <c r="ALY90"/>
      <c r="ALZ90"/>
      <c r="AMA90"/>
      <c r="AMB90"/>
      <c r="AMC90"/>
      <c r="AMD90"/>
      <c r="AME90"/>
      <c r="AMF90"/>
      <c r="AMG90"/>
      <c r="AMH90"/>
      <c r="AMI90"/>
      <c r="AMJ90"/>
    </row>
    <row r="91" spans="1:1024" x14ac:dyDescent="0.15">
      <c r="A91" t="s">
        <v>94</v>
      </c>
      <c r="B91" t="s">
        <v>4101</v>
      </c>
      <c r="E91" s="6" t="s">
        <v>93</v>
      </c>
      <c r="F91" s="6" t="s">
        <v>3212</v>
      </c>
      <c r="G91" s="6"/>
      <c r="H91">
        <v>500</v>
      </c>
      <c r="I91" t="b">
        <v>0</v>
      </c>
      <c r="J91" s="1" t="s">
        <v>17</v>
      </c>
      <c r="K91" t="s">
        <v>23</v>
      </c>
      <c r="L91">
        <v>2</v>
      </c>
      <c r="M91" s="7" t="b">
        <v>0</v>
      </c>
      <c r="N91" s="7" t="b">
        <v>0</v>
      </c>
      <c r="O91" s="1" t="s">
        <v>19</v>
      </c>
      <c r="P91" s="1" t="s">
        <v>17</v>
      </c>
      <c r="Q91" s="1" t="s">
        <v>17</v>
      </c>
      <c r="R91" s="1" t="s">
        <v>17</v>
      </c>
      <c r="S91" s="1" t="s">
        <v>19</v>
      </c>
      <c r="T91" s="1" t="s">
        <v>19</v>
      </c>
      <c r="U91" t="str">
        <f t="shared" si="9"/>
        <v>filter|dataset|sample</v>
      </c>
      <c r="V91" t="str">
        <f t="shared" si="10"/>
        <v/>
      </c>
      <c r="W91" t="str">
        <f t="shared" si="11"/>
        <v>filter</v>
      </c>
      <c r="X91" t="str">
        <f t="shared" si="12"/>
        <v/>
      </c>
      <c r="Y91" t="str">
        <f t="shared" si="13"/>
        <v/>
      </c>
      <c r="Z91" t="str">
        <f t="shared" si="14"/>
        <v/>
      </c>
      <c r="AA91" t="str">
        <f t="shared" si="15"/>
        <v>dataset</v>
      </c>
      <c r="AB91" t="str">
        <f t="shared" si="16"/>
        <v>sample</v>
      </c>
      <c r="AC91" t="str">
        <f t="shared" si="17"/>
        <v/>
      </c>
    </row>
    <row r="92" spans="1:1024" ht="13.5" customHeight="1" x14ac:dyDescent="0.15">
      <c r="A92" s="27" t="s">
        <v>3849</v>
      </c>
      <c r="B92" s="27"/>
      <c r="C92" s="27"/>
      <c r="D92" s="27"/>
      <c r="E92" s="30" t="s">
        <v>15</v>
      </c>
      <c r="F92" s="30" t="s">
        <v>3850</v>
      </c>
      <c r="G92" s="30"/>
      <c r="H92" s="27">
        <v>800</v>
      </c>
      <c r="I92" t="b">
        <v>0</v>
      </c>
      <c r="J92" s="28" t="s">
        <v>17</v>
      </c>
      <c r="K92" s="27" t="s">
        <v>3851</v>
      </c>
      <c r="L92" s="27">
        <v>0</v>
      </c>
      <c r="M92" s="7" t="b">
        <v>0</v>
      </c>
      <c r="N92" s="7" t="b">
        <v>0</v>
      </c>
      <c r="O92" s="1" t="s">
        <v>19</v>
      </c>
      <c r="P92" s="1" t="s">
        <v>17</v>
      </c>
      <c r="Q92" s="1" t="s">
        <v>17</v>
      </c>
      <c r="R92" s="1" t="s">
        <v>17</v>
      </c>
      <c r="S92" s="1" t="s">
        <v>19</v>
      </c>
      <c r="T92" s="1" t="s">
        <v>19</v>
      </c>
      <c r="U92" t="str">
        <f t="shared" si="9"/>
        <v>filter|dataset|sample</v>
      </c>
      <c r="V92" t="str">
        <f t="shared" si="10"/>
        <v/>
      </c>
      <c r="W92" t="str">
        <f t="shared" si="11"/>
        <v>filter</v>
      </c>
      <c r="X92" t="str">
        <f t="shared" si="12"/>
        <v/>
      </c>
      <c r="Y92" t="str">
        <f t="shared" si="13"/>
        <v/>
      </c>
      <c r="Z92" t="str">
        <f t="shared" si="14"/>
        <v/>
      </c>
      <c r="AA92" t="str">
        <f t="shared" si="15"/>
        <v>dataset</v>
      </c>
      <c r="AB92" t="str">
        <f t="shared" si="16"/>
        <v>sample</v>
      </c>
      <c r="AC92" t="str">
        <f t="shared" si="17"/>
        <v/>
      </c>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c r="BE92" s="27"/>
      <c r="BF92" s="27"/>
      <c r="BG92" s="27"/>
      <c r="BH92" s="27"/>
      <c r="BI92" s="27"/>
      <c r="BJ92" s="27"/>
      <c r="BK92" s="27"/>
      <c r="BL92" s="27"/>
      <c r="BM92" s="27"/>
      <c r="BN92" s="27"/>
      <c r="BO92" s="27"/>
      <c r="BP92" s="27"/>
      <c r="BQ92" s="27"/>
      <c r="BR92" s="27"/>
      <c r="BS92" s="27"/>
      <c r="BT92" s="27"/>
      <c r="BU92" s="27"/>
      <c r="BV92" s="27"/>
      <c r="BW92" s="27"/>
      <c r="BX92" s="27"/>
      <c r="BY92" s="27"/>
      <c r="BZ92" s="27"/>
      <c r="CA92" s="27"/>
      <c r="CB92" s="27"/>
      <c r="CC92" s="27"/>
      <c r="CD92" s="27"/>
      <c r="CE92" s="27"/>
      <c r="CF92" s="27"/>
      <c r="CG92" s="27"/>
      <c r="CH92" s="27"/>
      <c r="CI92" s="27"/>
      <c r="CJ92" s="27"/>
      <c r="CK92" s="27"/>
      <c r="CL92" s="27"/>
      <c r="CM92" s="27"/>
      <c r="CN92" s="27"/>
      <c r="CO92" s="27"/>
      <c r="CP92" s="27"/>
      <c r="CQ92" s="27"/>
      <c r="CR92" s="27"/>
      <c r="CS92" s="27"/>
      <c r="CT92" s="27"/>
      <c r="CU92" s="27"/>
      <c r="CV92" s="27"/>
      <c r="CW92" s="27"/>
      <c r="CX92" s="27"/>
      <c r="CY92" s="27"/>
      <c r="CZ92" s="27"/>
      <c r="DA92" s="27"/>
      <c r="DB92" s="27"/>
      <c r="DC92" s="27"/>
      <c r="DD92" s="27"/>
      <c r="DE92" s="27"/>
      <c r="DF92" s="27"/>
      <c r="DG92" s="27"/>
      <c r="DH92" s="27"/>
      <c r="DI92" s="27"/>
      <c r="DJ92" s="27"/>
      <c r="DK92" s="27"/>
      <c r="DL92" s="27"/>
      <c r="DM92" s="27"/>
      <c r="DN92" s="27"/>
      <c r="DO92" s="27"/>
      <c r="DP92" s="27"/>
      <c r="DQ92" s="27"/>
      <c r="DR92" s="27"/>
      <c r="DS92" s="27"/>
      <c r="DT92" s="27"/>
      <c r="DU92" s="27"/>
      <c r="DV92" s="27"/>
      <c r="DW92" s="27"/>
      <c r="DX92" s="27"/>
      <c r="DY92" s="27"/>
      <c r="DZ92" s="27"/>
      <c r="EA92" s="27"/>
      <c r="EB92" s="27"/>
      <c r="EC92" s="27"/>
      <c r="ED92" s="27"/>
      <c r="EE92" s="27"/>
      <c r="EF92" s="27"/>
      <c r="EG92" s="27"/>
      <c r="EH92" s="27"/>
      <c r="EI92" s="27"/>
      <c r="EJ92" s="27"/>
      <c r="EK92" s="27"/>
      <c r="EL92" s="27"/>
      <c r="EM92" s="27"/>
      <c r="EN92" s="27"/>
      <c r="EO92" s="27"/>
      <c r="EP92" s="27"/>
      <c r="EQ92" s="27"/>
      <c r="ER92" s="27"/>
      <c r="ES92" s="27"/>
      <c r="ET92" s="27"/>
      <c r="EU92" s="27"/>
      <c r="EV92" s="27"/>
      <c r="EW92" s="27"/>
      <c r="EX92" s="27"/>
      <c r="EY92" s="27"/>
      <c r="EZ92" s="27"/>
      <c r="FA92" s="27"/>
      <c r="FB92" s="27"/>
      <c r="FC92" s="27"/>
      <c r="FD92" s="27"/>
      <c r="FE92" s="27"/>
      <c r="FF92" s="27"/>
      <c r="FG92" s="27"/>
      <c r="FH92" s="27"/>
      <c r="FI92" s="27"/>
      <c r="FJ92" s="27"/>
      <c r="FK92" s="27"/>
      <c r="FL92" s="27"/>
      <c r="FM92" s="27"/>
      <c r="FN92" s="27"/>
      <c r="FO92" s="27"/>
      <c r="FP92" s="27"/>
      <c r="FQ92" s="27"/>
      <c r="FR92" s="27"/>
      <c r="FS92" s="27"/>
      <c r="FT92" s="27"/>
      <c r="FU92" s="27"/>
      <c r="FV92" s="27"/>
      <c r="FW92" s="27"/>
      <c r="FX92" s="27"/>
      <c r="FY92" s="27"/>
      <c r="FZ92" s="27"/>
      <c r="GA92" s="27"/>
      <c r="GB92" s="27"/>
      <c r="GC92" s="27"/>
      <c r="GD92" s="27"/>
      <c r="GE92" s="27"/>
      <c r="GF92" s="27"/>
      <c r="GG92" s="27"/>
      <c r="GH92" s="27"/>
      <c r="GI92" s="27"/>
      <c r="GJ92" s="27"/>
      <c r="GK92" s="27"/>
      <c r="GL92" s="27"/>
      <c r="GM92" s="27"/>
      <c r="GN92" s="27"/>
      <c r="GO92" s="27"/>
      <c r="GP92" s="27"/>
      <c r="GQ92" s="27"/>
      <c r="GR92" s="27"/>
      <c r="GS92" s="27"/>
      <c r="GT92" s="27"/>
      <c r="GU92" s="27"/>
      <c r="GV92" s="27"/>
      <c r="GW92" s="27"/>
      <c r="GX92" s="27"/>
      <c r="GY92" s="27"/>
      <c r="GZ92" s="27"/>
      <c r="HA92" s="27"/>
      <c r="HB92" s="27"/>
      <c r="HC92" s="27"/>
      <c r="HD92" s="27"/>
      <c r="HE92" s="27"/>
      <c r="HF92" s="27"/>
      <c r="HG92" s="27"/>
      <c r="HH92" s="27"/>
      <c r="HI92" s="27"/>
      <c r="HJ92" s="27"/>
      <c r="HK92" s="27"/>
      <c r="HL92" s="27"/>
      <c r="HM92" s="27"/>
      <c r="HN92" s="27"/>
      <c r="HO92" s="27"/>
      <c r="HP92" s="27"/>
      <c r="HQ92" s="27"/>
      <c r="HR92" s="27"/>
      <c r="HS92" s="27"/>
      <c r="HT92" s="27"/>
      <c r="HU92" s="27"/>
      <c r="HV92" s="27"/>
      <c r="HW92" s="27"/>
      <c r="HX92" s="27"/>
      <c r="HY92" s="27"/>
      <c r="HZ92" s="27"/>
      <c r="IA92" s="27"/>
      <c r="IB92" s="27"/>
      <c r="IC92" s="27"/>
      <c r="ID92" s="27"/>
      <c r="IE92" s="27"/>
      <c r="IF92" s="27"/>
      <c r="IG92" s="27"/>
      <c r="IH92" s="27"/>
      <c r="II92" s="27"/>
      <c r="IJ92" s="27"/>
      <c r="IK92" s="27"/>
      <c r="IL92" s="27"/>
      <c r="IM92" s="27"/>
      <c r="IN92" s="27"/>
      <c r="IO92" s="27"/>
      <c r="IP92" s="27"/>
      <c r="IQ92" s="27"/>
      <c r="IR92" s="27"/>
      <c r="IS92" s="27"/>
      <c r="IT92" s="27"/>
      <c r="IU92" s="27"/>
      <c r="IV92" s="27"/>
      <c r="IW92" s="27"/>
      <c r="IX92" s="27"/>
      <c r="IY92" s="27"/>
      <c r="IZ92" s="27"/>
      <c r="JA92" s="27"/>
      <c r="JB92" s="27"/>
      <c r="JC92" s="27"/>
      <c r="JD92" s="27"/>
      <c r="JE92" s="27"/>
      <c r="JF92" s="27"/>
      <c r="JG92" s="27"/>
      <c r="JH92" s="27"/>
      <c r="JI92" s="27"/>
      <c r="JJ92" s="27"/>
      <c r="JK92" s="27"/>
      <c r="JL92" s="27"/>
      <c r="JM92" s="27"/>
      <c r="JN92" s="27"/>
      <c r="JO92" s="27"/>
      <c r="JP92" s="27"/>
      <c r="JQ92" s="27"/>
      <c r="JR92" s="27"/>
      <c r="JS92" s="27"/>
      <c r="JT92" s="27"/>
      <c r="JU92" s="27"/>
      <c r="JV92" s="27"/>
      <c r="JW92" s="27"/>
      <c r="JX92" s="27"/>
      <c r="JY92" s="27"/>
      <c r="JZ92" s="27"/>
      <c r="KA92" s="27"/>
      <c r="KB92" s="27"/>
      <c r="KC92" s="27"/>
      <c r="KD92" s="27"/>
      <c r="KE92" s="27"/>
      <c r="KF92" s="27"/>
      <c r="KG92" s="27"/>
      <c r="KH92" s="27"/>
      <c r="KI92" s="27"/>
      <c r="KJ92" s="27"/>
      <c r="KK92" s="27"/>
      <c r="KL92" s="27"/>
      <c r="KM92" s="27"/>
      <c r="KN92" s="27"/>
      <c r="KO92" s="27"/>
      <c r="KP92" s="27"/>
      <c r="KQ92" s="27"/>
      <c r="KR92" s="27"/>
      <c r="KS92" s="27"/>
      <c r="KT92" s="27"/>
      <c r="KU92" s="27"/>
      <c r="KV92" s="27"/>
      <c r="KW92" s="27"/>
      <c r="KX92" s="27"/>
      <c r="KY92" s="27"/>
      <c r="KZ92" s="27"/>
      <c r="LA92" s="27"/>
      <c r="LB92" s="27"/>
      <c r="LC92" s="27"/>
      <c r="LD92" s="27"/>
      <c r="LE92" s="27"/>
      <c r="LF92" s="27"/>
      <c r="LG92" s="27"/>
      <c r="LH92" s="27"/>
      <c r="LI92" s="27"/>
      <c r="LJ92" s="27"/>
      <c r="LK92" s="27"/>
      <c r="LL92" s="27"/>
      <c r="LM92" s="27"/>
      <c r="LN92" s="27"/>
      <c r="LO92" s="27"/>
      <c r="LP92" s="27"/>
      <c r="LQ92" s="27"/>
      <c r="LR92" s="27"/>
      <c r="LS92" s="27"/>
      <c r="LT92" s="27"/>
      <c r="LU92" s="27"/>
      <c r="LV92" s="27"/>
      <c r="LW92" s="27"/>
      <c r="LX92" s="27"/>
      <c r="LY92" s="27"/>
      <c r="LZ92" s="27"/>
      <c r="MA92" s="27"/>
      <c r="MB92" s="27"/>
      <c r="MC92" s="27"/>
      <c r="MD92" s="27"/>
      <c r="ME92" s="27"/>
      <c r="MF92" s="27"/>
      <c r="MG92" s="27"/>
      <c r="MH92" s="27"/>
      <c r="MI92" s="27"/>
      <c r="MJ92" s="27"/>
      <c r="MK92" s="27"/>
      <c r="ML92" s="27"/>
      <c r="MM92" s="27"/>
      <c r="MN92" s="27"/>
      <c r="MO92" s="27"/>
      <c r="MP92" s="27"/>
      <c r="MQ92" s="27"/>
      <c r="MR92" s="27"/>
      <c r="MS92" s="27"/>
      <c r="MT92" s="27"/>
      <c r="MU92" s="27"/>
      <c r="MV92" s="27"/>
      <c r="MW92" s="27"/>
      <c r="MX92" s="27"/>
      <c r="MY92" s="27"/>
      <c r="MZ92" s="27"/>
      <c r="NA92" s="27"/>
      <c r="NB92" s="27"/>
      <c r="NC92" s="27"/>
      <c r="ND92" s="27"/>
      <c r="NE92" s="27"/>
      <c r="NF92" s="27"/>
      <c r="NG92" s="27"/>
      <c r="NH92" s="27"/>
      <c r="NI92" s="27"/>
      <c r="NJ92" s="27"/>
      <c r="NK92" s="27"/>
      <c r="NL92" s="27"/>
      <c r="NM92" s="27"/>
      <c r="NN92" s="27"/>
      <c r="NO92" s="27"/>
      <c r="NP92" s="27"/>
      <c r="NQ92" s="27"/>
      <c r="NR92" s="27"/>
      <c r="NS92" s="27"/>
      <c r="NT92" s="27"/>
      <c r="NU92" s="27"/>
      <c r="NV92" s="27"/>
      <c r="NW92" s="27"/>
      <c r="NX92" s="27"/>
      <c r="NY92" s="27"/>
      <c r="NZ92" s="27"/>
      <c r="OA92" s="27"/>
      <c r="OB92" s="27"/>
      <c r="OC92" s="27"/>
      <c r="OD92" s="27"/>
      <c r="OE92" s="27"/>
      <c r="OF92" s="27"/>
      <c r="OG92" s="27"/>
      <c r="OH92" s="27"/>
      <c r="OI92" s="27"/>
      <c r="OJ92" s="27"/>
      <c r="OK92" s="27"/>
      <c r="OL92" s="27"/>
      <c r="OM92" s="27"/>
      <c r="ON92" s="27"/>
      <c r="OO92" s="27"/>
      <c r="OP92" s="27"/>
      <c r="OQ92" s="27"/>
      <c r="OR92" s="27"/>
      <c r="OS92" s="27"/>
      <c r="OT92" s="27"/>
      <c r="OU92" s="27"/>
      <c r="OV92" s="27"/>
      <c r="OW92" s="27"/>
      <c r="OX92" s="27"/>
      <c r="OY92" s="27"/>
      <c r="OZ92" s="27"/>
      <c r="PA92" s="27"/>
      <c r="PB92" s="27"/>
      <c r="PC92" s="27"/>
      <c r="PD92" s="27"/>
      <c r="PE92" s="27"/>
      <c r="PF92" s="27"/>
      <c r="PG92" s="27"/>
      <c r="PH92" s="27"/>
      <c r="PI92" s="27"/>
      <c r="PJ92" s="27"/>
      <c r="PK92" s="27"/>
      <c r="PL92" s="27"/>
      <c r="PM92" s="27"/>
      <c r="PN92" s="27"/>
      <c r="PO92" s="27"/>
      <c r="PP92" s="27"/>
      <c r="PQ92" s="27"/>
      <c r="PR92" s="27"/>
      <c r="PS92" s="27"/>
      <c r="PT92" s="27"/>
      <c r="PU92" s="27"/>
      <c r="PV92" s="27"/>
      <c r="PW92" s="27"/>
      <c r="PX92" s="27"/>
      <c r="PY92" s="27"/>
      <c r="PZ92" s="27"/>
      <c r="QA92" s="27"/>
      <c r="QB92" s="27"/>
      <c r="QC92" s="27"/>
      <c r="QD92" s="27"/>
      <c r="QE92" s="27"/>
      <c r="QF92" s="27"/>
      <c r="QG92" s="27"/>
      <c r="QH92" s="27"/>
      <c r="QI92" s="27"/>
      <c r="QJ92" s="27"/>
      <c r="QK92" s="27"/>
      <c r="QL92" s="27"/>
      <c r="QM92" s="27"/>
      <c r="QN92" s="27"/>
      <c r="QO92" s="27"/>
      <c r="QP92" s="27"/>
      <c r="QQ92" s="27"/>
      <c r="QR92" s="27"/>
      <c r="QS92" s="27"/>
      <c r="QT92" s="27"/>
      <c r="QU92" s="27"/>
      <c r="QV92" s="27"/>
      <c r="QW92" s="27"/>
      <c r="QX92" s="27"/>
      <c r="QY92" s="27"/>
      <c r="QZ92" s="27"/>
      <c r="RA92" s="27"/>
      <c r="RB92" s="27"/>
      <c r="RC92" s="27"/>
      <c r="RD92" s="27"/>
      <c r="RE92" s="27"/>
      <c r="RF92" s="27"/>
      <c r="RG92" s="27"/>
      <c r="RH92" s="27"/>
      <c r="RI92" s="27"/>
      <c r="RJ92" s="27"/>
      <c r="RK92" s="27"/>
      <c r="RL92" s="27"/>
      <c r="RM92" s="27"/>
      <c r="RN92" s="27"/>
      <c r="RO92" s="27"/>
      <c r="RP92" s="27"/>
      <c r="RQ92" s="27"/>
      <c r="RR92" s="27"/>
      <c r="RS92" s="27"/>
      <c r="RT92" s="27"/>
      <c r="RU92" s="27"/>
      <c r="RV92" s="27"/>
      <c r="RW92" s="27"/>
      <c r="RX92" s="27"/>
      <c r="RY92" s="27"/>
      <c r="RZ92" s="27"/>
      <c r="SA92" s="27"/>
      <c r="SB92" s="27"/>
      <c r="SC92" s="27"/>
      <c r="SD92" s="27"/>
      <c r="SE92" s="27"/>
      <c r="SF92" s="27"/>
      <c r="SG92" s="27"/>
      <c r="SH92" s="27"/>
      <c r="SI92" s="27"/>
      <c r="SJ92" s="27"/>
      <c r="SK92" s="27"/>
      <c r="SL92" s="27"/>
      <c r="SM92" s="27"/>
      <c r="SN92" s="27"/>
      <c r="SO92" s="27"/>
      <c r="SP92" s="27"/>
      <c r="SQ92" s="27"/>
      <c r="SR92" s="27"/>
      <c r="SS92" s="27"/>
      <c r="ST92" s="27"/>
      <c r="SU92" s="27"/>
      <c r="SV92" s="27"/>
      <c r="SW92" s="27"/>
      <c r="SX92" s="27"/>
      <c r="SY92" s="27"/>
      <c r="SZ92" s="27"/>
      <c r="TA92" s="27"/>
      <c r="TB92" s="27"/>
      <c r="TC92" s="27"/>
      <c r="TD92" s="27"/>
      <c r="TE92" s="27"/>
      <c r="TF92" s="27"/>
      <c r="TG92" s="27"/>
      <c r="TH92" s="27"/>
      <c r="TI92" s="27"/>
      <c r="TJ92" s="27"/>
      <c r="TK92" s="27"/>
      <c r="TL92" s="27"/>
      <c r="TM92" s="27"/>
      <c r="TN92" s="27"/>
      <c r="TO92" s="27"/>
      <c r="TP92" s="27"/>
      <c r="TQ92" s="27"/>
      <c r="TR92" s="27"/>
      <c r="TS92" s="27"/>
      <c r="TT92" s="27"/>
      <c r="TU92" s="27"/>
      <c r="TV92" s="27"/>
      <c r="TW92" s="27"/>
      <c r="TX92" s="27"/>
      <c r="TY92" s="27"/>
      <c r="TZ92" s="27"/>
      <c r="UA92" s="27"/>
      <c r="UB92" s="27"/>
      <c r="UC92" s="27"/>
      <c r="UD92" s="27"/>
      <c r="UE92" s="27"/>
      <c r="UF92" s="27"/>
      <c r="UG92" s="27"/>
      <c r="UH92" s="27"/>
      <c r="UI92" s="27"/>
      <c r="UJ92" s="27"/>
      <c r="UK92" s="27"/>
      <c r="UL92" s="27"/>
      <c r="UM92" s="27"/>
      <c r="UN92" s="27"/>
      <c r="UO92" s="27"/>
      <c r="UP92" s="27"/>
      <c r="UQ92" s="27"/>
      <c r="UR92" s="27"/>
      <c r="US92" s="27"/>
      <c r="UT92" s="27"/>
      <c r="UU92" s="27"/>
      <c r="UV92" s="27"/>
      <c r="UW92" s="27"/>
      <c r="UX92" s="27"/>
      <c r="UY92" s="27"/>
      <c r="UZ92" s="27"/>
      <c r="VA92" s="27"/>
      <c r="VB92" s="27"/>
      <c r="VC92" s="27"/>
      <c r="VD92" s="27"/>
      <c r="VE92" s="27"/>
      <c r="VF92" s="27"/>
      <c r="VG92" s="27"/>
      <c r="VH92" s="27"/>
      <c r="VI92" s="27"/>
      <c r="VJ92" s="27"/>
      <c r="VK92" s="27"/>
      <c r="VL92" s="27"/>
      <c r="VM92" s="27"/>
      <c r="VN92" s="27"/>
      <c r="VO92" s="27"/>
      <c r="VP92" s="27"/>
      <c r="VQ92" s="27"/>
      <c r="VR92" s="27"/>
      <c r="VS92" s="27"/>
      <c r="VT92" s="27"/>
      <c r="VU92" s="27"/>
      <c r="VV92" s="27"/>
      <c r="VW92" s="27"/>
      <c r="VX92" s="27"/>
      <c r="VY92" s="27"/>
      <c r="VZ92" s="27"/>
      <c r="WA92" s="27"/>
      <c r="WB92" s="27"/>
      <c r="WC92" s="27"/>
      <c r="WD92" s="27"/>
      <c r="WE92" s="27"/>
      <c r="WF92" s="27"/>
      <c r="WG92" s="27"/>
      <c r="WH92" s="27"/>
      <c r="WI92" s="27"/>
      <c r="WJ92" s="27"/>
      <c r="WK92" s="27"/>
      <c r="WL92" s="27"/>
      <c r="WM92" s="27"/>
      <c r="WN92" s="27"/>
      <c r="WO92" s="27"/>
      <c r="WP92" s="27"/>
      <c r="WQ92" s="27"/>
      <c r="WR92" s="27"/>
      <c r="WS92" s="27"/>
      <c r="WT92" s="27"/>
      <c r="WU92" s="27"/>
      <c r="WV92" s="27"/>
      <c r="WW92" s="27"/>
      <c r="WX92" s="27"/>
      <c r="WY92" s="27"/>
      <c r="WZ92" s="27"/>
      <c r="XA92" s="27"/>
      <c r="XB92" s="27"/>
      <c r="XC92" s="27"/>
      <c r="XD92" s="27"/>
      <c r="XE92" s="27"/>
      <c r="XF92" s="27"/>
      <c r="XG92" s="27"/>
      <c r="XH92" s="27"/>
      <c r="XI92" s="27"/>
      <c r="XJ92" s="27"/>
      <c r="XK92" s="27"/>
      <c r="XL92" s="27"/>
      <c r="XM92" s="27"/>
      <c r="XN92" s="27"/>
      <c r="XO92" s="27"/>
      <c r="XP92" s="27"/>
      <c r="XQ92" s="27"/>
      <c r="XR92" s="27"/>
      <c r="XS92" s="27"/>
      <c r="XT92" s="27"/>
      <c r="XU92" s="27"/>
      <c r="XV92" s="27"/>
      <c r="XW92" s="27"/>
      <c r="XX92" s="27"/>
      <c r="XY92" s="27"/>
      <c r="XZ92" s="27"/>
      <c r="YA92" s="27"/>
      <c r="YB92" s="27"/>
      <c r="YC92" s="27"/>
      <c r="YD92" s="27"/>
      <c r="YE92" s="27"/>
      <c r="YF92" s="27"/>
      <c r="YG92" s="27"/>
      <c r="YH92" s="27"/>
      <c r="YI92" s="27"/>
      <c r="YJ92" s="27"/>
      <c r="YK92" s="27"/>
      <c r="YL92" s="27"/>
      <c r="YM92" s="27"/>
      <c r="YN92" s="27"/>
      <c r="YO92" s="27"/>
      <c r="YP92" s="27"/>
      <c r="YQ92" s="27"/>
      <c r="YR92" s="27"/>
      <c r="YS92" s="27"/>
      <c r="YT92" s="27"/>
      <c r="YU92" s="27"/>
      <c r="YV92" s="27"/>
      <c r="YW92" s="27"/>
      <c r="YX92" s="27"/>
      <c r="YY92" s="27"/>
      <c r="YZ92" s="27"/>
      <c r="ZA92" s="27"/>
      <c r="ZB92" s="27"/>
      <c r="ZC92" s="27"/>
      <c r="ZD92" s="27"/>
      <c r="ZE92" s="27"/>
      <c r="ZF92" s="27"/>
      <c r="ZG92" s="27"/>
      <c r="ZH92" s="27"/>
      <c r="ZI92" s="27"/>
      <c r="ZJ92" s="27"/>
      <c r="ZK92" s="27"/>
      <c r="ZL92" s="27"/>
      <c r="ZM92" s="27"/>
      <c r="ZN92" s="27"/>
      <c r="ZO92" s="27"/>
      <c r="ZP92" s="27"/>
      <c r="ZQ92" s="27"/>
      <c r="ZR92" s="27"/>
      <c r="ZS92" s="27"/>
      <c r="ZT92" s="27"/>
      <c r="ZU92" s="27"/>
      <c r="ZV92" s="27"/>
      <c r="ZW92" s="27"/>
      <c r="ZX92" s="27"/>
      <c r="ZY92" s="27"/>
      <c r="ZZ92" s="27"/>
      <c r="AAA92" s="27"/>
      <c r="AAB92" s="27"/>
      <c r="AAC92" s="27"/>
      <c r="AAD92" s="27"/>
      <c r="AAE92" s="27"/>
      <c r="AAF92" s="27"/>
      <c r="AAG92" s="27"/>
      <c r="AAH92" s="27"/>
      <c r="AAI92" s="27"/>
      <c r="AAJ92" s="27"/>
      <c r="AAK92" s="27"/>
      <c r="AAL92" s="27"/>
      <c r="AAM92" s="27"/>
      <c r="AAN92" s="27"/>
      <c r="AAO92" s="27"/>
      <c r="AAP92" s="27"/>
      <c r="AAQ92" s="27"/>
      <c r="AAR92" s="27"/>
      <c r="AAS92" s="27"/>
      <c r="AAT92" s="27"/>
      <c r="AAU92" s="27"/>
      <c r="AAV92" s="27"/>
      <c r="AAW92" s="27"/>
      <c r="AAX92" s="27"/>
      <c r="AAY92" s="27"/>
      <c r="AAZ92" s="27"/>
      <c r="ABA92" s="27"/>
      <c r="ABB92" s="27"/>
      <c r="ABC92" s="27"/>
      <c r="ABD92" s="27"/>
      <c r="ABE92" s="27"/>
      <c r="ABF92" s="27"/>
      <c r="ABG92" s="27"/>
      <c r="ABH92" s="27"/>
      <c r="ABI92" s="27"/>
      <c r="ABJ92" s="27"/>
      <c r="ABK92" s="27"/>
      <c r="ABL92" s="27"/>
      <c r="ABM92" s="27"/>
      <c r="ABN92" s="27"/>
      <c r="ABO92" s="27"/>
      <c r="ABP92" s="27"/>
      <c r="ABQ92" s="27"/>
      <c r="ABR92" s="27"/>
      <c r="ABS92" s="27"/>
      <c r="ABT92" s="27"/>
      <c r="ABU92" s="27"/>
      <c r="ABV92" s="27"/>
      <c r="ABW92" s="27"/>
      <c r="ABX92" s="27"/>
      <c r="ABY92" s="27"/>
      <c r="ABZ92" s="27"/>
      <c r="ACA92" s="27"/>
      <c r="ACB92" s="27"/>
      <c r="ACC92" s="27"/>
      <c r="ACD92" s="27"/>
      <c r="ACE92" s="27"/>
      <c r="ACF92" s="27"/>
      <c r="ACG92" s="27"/>
      <c r="ACH92" s="27"/>
      <c r="ACI92" s="27"/>
      <c r="ACJ92" s="27"/>
      <c r="ACK92" s="27"/>
      <c r="ACL92" s="27"/>
      <c r="ACM92" s="27"/>
      <c r="ACN92" s="27"/>
      <c r="ACO92" s="27"/>
      <c r="ACP92" s="27"/>
      <c r="ACQ92" s="27"/>
      <c r="ACR92" s="27"/>
      <c r="ACS92" s="27"/>
      <c r="ACT92" s="27"/>
      <c r="ACU92" s="27"/>
      <c r="ACV92" s="27"/>
      <c r="ACW92" s="27"/>
      <c r="ACX92" s="27"/>
      <c r="ACY92" s="27"/>
      <c r="ACZ92" s="27"/>
      <c r="ADA92" s="27"/>
      <c r="ADB92" s="27"/>
      <c r="ADC92" s="27"/>
      <c r="ADD92" s="27"/>
      <c r="ADE92" s="27"/>
      <c r="ADF92" s="27"/>
      <c r="ADG92" s="27"/>
      <c r="ADH92" s="27"/>
      <c r="ADI92" s="27"/>
      <c r="ADJ92" s="27"/>
      <c r="ADK92" s="27"/>
      <c r="ADL92" s="27"/>
      <c r="ADM92" s="27"/>
      <c r="ADN92" s="27"/>
      <c r="ADO92" s="27"/>
      <c r="ADP92" s="27"/>
      <c r="ADQ92" s="27"/>
      <c r="ADR92" s="27"/>
      <c r="ADS92" s="27"/>
      <c r="ADT92" s="27"/>
      <c r="ADU92" s="27"/>
      <c r="ADV92" s="27"/>
      <c r="ADW92" s="27"/>
      <c r="ADX92" s="27"/>
      <c r="ADY92" s="27"/>
      <c r="ADZ92" s="27"/>
      <c r="AEA92" s="27"/>
      <c r="AEB92" s="27"/>
      <c r="AEC92" s="27"/>
      <c r="AED92" s="27"/>
      <c r="AEE92" s="27"/>
      <c r="AEF92" s="27"/>
      <c r="AEG92" s="27"/>
      <c r="AEH92" s="27"/>
      <c r="AEI92" s="27"/>
      <c r="AEJ92" s="27"/>
      <c r="AEK92" s="27"/>
      <c r="AEL92" s="27"/>
      <c r="AEM92" s="27"/>
      <c r="AEN92" s="27"/>
      <c r="AEO92" s="27"/>
      <c r="AEP92" s="27"/>
      <c r="AEQ92" s="27"/>
      <c r="AER92" s="27"/>
      <c r="AES92" s="27"/>
      <c r="AET92" s="27"/>
      <c r="AEU92" s="27"/>
      <c r="AEV92" s="27"/>
      <c r="AEW92" s="27"/>
      <c r="AEX92" s="27"/>
      <c r="AEY92" s="27"/>
      <c r="AEZ92" s="27"/>
      <c r="AFA92" s="27"/>
      <c r="AFB92" s="27"/>
      <c r="AFC92" s="27"/>
      <c r="AFD92" s="27"/>
      <c r="AFE92" s="27"/>
      <c r="AFF92" s="27"/>
      <c r="AFG92" s="27"/>
      <c r="AFH92" s="27"/>
      <c r="AFI92" s="27"/>
      <c r="AFJ92" s="27"/>
      <c r="AFK92" s="27"/>
      <c r="AFL92" s="27"/>
      <c r="AFM92" s="27"/>
      <c r="AFN92" s="27"/>
      <c r="AFO92" s="27"/>
      <c r="AFP92" s="27"/>
      <c r="AFQ92" s="27"/>
      <c r="AFR92" s="27"/>
      <c r="AFS92" s="27"/>
      <c r="AFT92" s="27"/>
      <c r="AFU92" s="27"/>
      <c r="AFV92" s="27"/>
      <c r="AFW92" s="27"/>
      <c r="AFX92" s="27"/>
      <c r="AFY92" s="27"/>
      <c r="AFZ92" s="27"/>
      <c r="AGA92" s="27"/>
      <c r="AGB92" s="27"/>
      <c r="AGC92" s="27"/>
      <c r="AGD92" s="27"/>
      <c r="AGE92" s="27"/>
      <c r="AGF92" s="27"/>
      <c r="AGG92" s="27"/>
      <c r="AGH92" s="27"/>
      <c r="AGI92" s="27"/>
      <c r="AGJ92" s="27"/>
      <c r="AGK92" s="27"/>
      <c r="AGL92" s="27"/>
      <c r="AGM92" s="27"/>
      <c r="AGN92" s="27"/>
      <c r="AGO92" s="27"/>
      <c r="AGP92" s="27"/>
      <c r="AGQ92" s="27"/>
      <c r="AGR92" s="27"/>
      <c r="AGS92" s="27"/>
      <c r="AGT92" s="27"/>
      <c r="AGU92" s="27"/>
      <c r="AGV92" s="27"/>
      <c r="AGW92" s="27"/>
      <c r="AGX92" s="27"/>
      <c r="AGY92" s="27"/>
      <c r="AGZ92" s="27"/>
      <c r="AHA92" s="27"/>
      <c r="AHB92" s="27"/>
      <c r="AHC92" s="27"/>
      <c r="AHD92" s="27"/>
      <c r="AHE92" s="27"/>
      <c r="AHF92" s="27"/>
      <c r="AHG92" s="27"/>
      <c r="AHH92" s="27"/>
      <c r="AHI92" s="27"/>
      <c r="AHJ92" s="27"/>
      <c r="AHK92" s="27"/>
      <c r="AHL92" s="27"/>
      <c r="AHM92" s="27"/>
      <c r="AHN92" s="27"/>
      <c r="AHO92" s="27"/>
      <c r="AHP92" s="27"/>
      <c r="AHQ92" s="27"/>
      <c r="AHR92" s="27"/>
      <c r="AHS92" s="27"/>
      <c r="AHT92" s="27"/>
      <c r="AHU92" s="27"/>
      <c r="AHV92" s="27"/>
      <c r="AHW92" s="27"/>
      <c r="AHX92" s="27"/>
      <c r="AHY92" s="27"/>
      <c r="AHZ92" s="27"/>
      <c r="AIA92" s="27"/>
      <c r="AIB92" s="27"/>
      <c r="AIC92" s="27"/>
      <c r="AID92" s="27"/>
      <c r="AIE92" s="27"/>
      <c r="AIF92" s="27"/>
      <c r="AIG92" s="27"/>
      <c r="AIH92" s="27"/>
      <c r="AII92" s="27"/>
      <c r="AIJ92" s="27"/>
      <c r="AIK92" s="27"/>
      <c r="AIL92" s="27"/>
      <c r="AIM92" s="27"/>
      <c r="AIN92" s="27"/>
      <c r="AIO92" s="27"/>
      <c r="AIP92" s="27"/>
      <c r="AIQ92" s="27"/>
      <c r="AIR92" s="27"/>
      <c r="AIS92" s="27"/>
      <c r="AIT92" s="27"/>
      <c r="AIU92" s="27"/>
      <c r="AIV92" s="27"/>
      <c r="AIW92" s="27"/>
      <c r="AIX92" s="27"/>
      <c r="AIY92" s="27"/>
      <c r="AIZ92" s="27"/>
      <c r="AJA92" s="27"/>
      <c r="AJB92" s="27"/>
      <c r="AJC92" s="27"/>
      <c r="AJD92" s="27"/>
      <c r="AJE92" s="27"/>
      <c r="AJF92" s="27"/>
      <c r="AJG92" s="27"/>
      <c r="AJH92" s="27"/>
      <c r="AJI92" s="27"/>
      <c r="AJJ92" s="27"/>
      <c r="AJK92" s="27"/>
      <c r="AJL92" s="27"/>
      <c r="AJM92" s="27"/>
      <c r="AJN92" s="27"/>
      <c r="AJO92" s="27"/>
      <c r="AJP92" s="27"/>
      <c r="AJQ92" s="27"/>
      <c r="AJR92" s="27"/>
      <c r="AJS92" s="27"/>
      <c r="AJT92" s="27"/>
      <c r="AJU92" s="27"/>
      <c r="AJV92" s="27"/>
      <c r="AJW92" s="27"/>
      <c r="AJX92" s="27"/>
      <c r="AJY92" s="27"/>
      <c r="AJZ92" s="27"/>
      <c r="AKA92" s="27"/>
      <c r="AKB92" s="27"/>
      <c r="AKC92" s="27"/>
      <c r="AKD92" s="27"/>
      <c r="AKE92" s="27"/>
      <c r="AKF92" s="27"/>
      <c r="AKG92" s="27"/>
      <c r="AKH92" s="27"/>
      <c r="AKI92" s="27"/>
      <c r="AKJ92" s="27"/>
      <c r="AKK92" s="27"/>
      <c r="AKL92" s="27"/>
      <c r="AKM92" s="27"/>
      <c r="AKN92" s="27"/>
      <c r="AKO92" s="27"/>
      <c r="AKP92" s="27"/>
      <c r="AKQ92" s="27"/>
      <c r="AKR92" s="27"/>
      <c r="AKS92" s="27"/>
      <c r="AKT92" s="27"/>
      <c r="AKU92" s="27"/>
      <c r="AKV92" s="27"/>
      <c r="AKW92" s="27"/>
      <c r="AKX92" s="27"/>
      <c r="AKY92" s="27"/>
      <c r="AKZ92" s="27"/>
      <c r="ALA92" s="27"/>
      <c r="ALB92" s="27"/>
      <c r="ALC92" s="27"/>
      <c r="ALD92" s="27"/>
      <c r="ALE92" s="27"/>
      <c r="ALF92" s="27"/>
      <c r="ALG92" s="27"/>
      <c r="ALH92" s="27"/>
      <c r="ALI92" s="27"/>
      <c r="ALJ92" s="27"/>
      <c r="ALK92" s="27"/>
      <c r="ALL92" s="27"/>
      <c r="ALM92" s="27"/>
      <c r="ALN92" s="27"/>
      <c r="ALO92" s="27"/>
      <c r="ALP92" s="27"/>
      <c r="ALQ92" s="27"/>
      <c r="ALR92" s="27"/>
      <c r="ALS92" s="27"/>
      <c r="ALT92" s="27"/>
      <c r="ALU92" s="27"/>
      <c r="ALV92" s="27"/>
      <c r="ALW92" s="27"/>
      <c r="ALX92" s="27"/>
      <c r="ALY92" s="27"/>
      <c r="ALZ92" s="27"/>
      <c r="AMA92" s="27"/>
      <c r="AMB92" s="27"/>
      <c r="AMC92" s="27"/>
      <c r="AMD92" s="27"/>
      <c r="AME92" s="27"/>
      <c r="AMF92" s="27"/>
      <c r="AMG92" s="27"/>
      <c r="AMH92" s="27"/>
      <c r="AMI92" s="27"/>
      <c r="AMJ92" s="27"/>
    </row>
    <row r="93" spans="1:1024" x14ac:dyDescent="0.15">
      <c r="A93" t="s">
        <v>108</v>
      </c>
      <c r="E93" t="s">
        <v>15</v>
      </c>
      <c r="F93" t="s">
        <v>109</v>
      </c>
      <c r="H93">
        <v>650</v>
      </c>
      <c r="I93" t="b">
        <v>0</v>
      </c>
      <c r="J93" s="1" t="s">
        <v>17</v>
      </c>
      <c r="K93" t="s">
        <v>107</v>
      </c>
      <c r="L93">
        <v>0</v>
      </c>
      <c r="M93" s="7" t="b">
        <v>0</v>
      </c>
      <c r="N93" s="7" t="b">
        <v>0</v>
      </c>
      <c r="O93" s="1" t="s">
        <v>19</v>
      </c>
      <c r="P93" s="1" t="s">
        <v>17</v>
      </c>
      <c r="Q93" s="1" t="s">
        <v>19</v>
      </c>
      <c r="R93" s="1" t="s">
        <v>17</v>
      </c>
      <c r="S93" s="1" t="s">
        <v>17</v>
      </c>
      <c r="T93" s="1" t="s">
        <v>17</v>
      </c>
      <c r="U93" t="str">
        <f t="shared" si="9"/>
        <v>filter|genotype</v>
      </c>
      <c r="V93" t="str">
        <f t="shared" si="10"/>
        <v/>
      </c>
      <c r="W93" t="str">
        <f t="shared" si="11"/>
        <v>filter</v>
      </c>
      <c r="X93" t="str">
        <f t="shared" si="12"/>
        <v/>
      </c>
      <c r="Y93" t="str">
        <f t="shared" si="13"/>
        <v>genotype</v>
      </c>
      <c r="Z93" t="str">
        <f t="shared" si="14"/>
        <v/>
      </c>
      <c r="AA93" t="str">
        <f t="shared" si="15"/>
        <v/>
      </c>
      <c r="AB93" t="str">
        <f t="shared" si="16"/>
        <v/>
      </c>
      <c r="AC93" t="str">
        <f t="shared" si="17"/>
        <v/>
      </c>
    </row>
    <row r="94" spans="1:1024" x14ac:dyDescent="0.15">
      <c r="A94" t="s">
        <v>2776</v>
      </c>
      <c r="E94" t="s">
        <v>15</v>
      </c>
      <c r="F94" t="s">
        <v>3233</v>
      </c>
      <c r="H94">
        <v>500</v>
      </c>
      <c r="I94" t="b">
        <v>0</v>
      </c>
      <c r="J94" s="1" t="s">
        <v>19</v>
      </c>
      <c r="K94" t="s">
        <v>39</v>
      </c>
      <c r="L94">
        <v>0</v>
      </c>
      <c r="M94" s="2" t="b">
        <v>0</v>
      </c>
      <c r="N94" s="7" t="b">
        <v>0</v>
      </c>
      <c r="O94" s="1" t="s">
        <v>19</v>
      </c>
      <c r="P94" s="1" t="s">
        <v>17</v>
      </c>
      <c r="Q94" s="1" t="s">
        <v>17</v>
      </c>
      <c r="R94" s="1" t="s">
        <v>17</v>
      </c>
      <c r="S94" s="1" t="s">
        <v>19</v>
      </c>
      <c r="T94" s="1" t="s">
        <v>17</v>
      </c>
      <c r="U94" t="str">
        <f t="shared" si="9"/>
        <v>filter|dataset</v>
      </c>
      <c r="V94" t="str">
        <f t="shared" si="10"/>
        <v/>
      </c>
      <c r="W94" t="str">
        <f t="shared" si="11"/>
        <v>filter</v>
      </c>
      <c r="X94" t="str">
        <f t="shared" si="12"/>
        <v/>
      </c>
      <c r="Y94" t="str">
        <f t="shared" si="13"/>
        <v/>
      </c>
      <c r="Z94" t="str">
        <f t="shared" si="14"/>
        <v/>
      </c>
      <c r="AA94" t="str">
        <f t="shared" si="15"/>
        <v>dataset</v>
      </c>
      <c r="AB94" t="str">
        <f t="shared" si="16"/>
        <v/>
      </c>
      <c r="AC94" t="str">
        <f t="shared" si="17"/>
        <v/>
      </c>
    </row>
    <row r="95" spans="1:1024" x14ac:dyDescent="0.15">
      <c r="A95" s="6" t="s">
        <v>148</v>
      </c>
      <c r="B95" s="6"/>
      <c r="C95" s="6"/>
      <c r="D95" s="6"/>
      <c r="E95" t="s">
        <v>15</v>
      </c>
      <c r="F95" t="s">
        <v>154</v>
      </c>
      <c r="H95">
        <v>400</v>
      </c>
      <c r="I95" t="b">
        <v>0</v>
      </c>
      <c r="J95" s="1" t="s">
        <v>17</v>
      </c>
      <c r="K95" t="s">
        <v>150</v>
      </c>
      <c r="L95">
        <v>1</v>
      </c>
      <c r="M95" s="7" t="b">
        <v>0</v>
      </c>
      <c r="N95" s="7" t="b">
        <v>0</v>
      </c>
      <c r="O95" s="1" t="s">
        <v>19</v>
      </c>
      <c r="P95" s="1" t="s">
        <v>17</v>
      </c>
      <c r="Q95" s="1" t="s">
        <v>17</v>
      </c>
      <c r="R95" s="1" t="s">
        <v>17</v>
      </c>
      <c r="S95" s="1" t="s">
        <v>19</v>
      </c>
      <c r="T95" s="1" t="s">
        <v>17</v>
      </c>
      <c r="U95" t="str">
        <f t="shared" si="9"/>
        <v>filter|dataset</v>
      </c>
      <c r="V95" t="str">
        <f t="shared" si="10"/>
        <v/>
      </c>
      <c r="W95" t="str">
        <f t="shared" si="11"/>
        <v>filter</v>
      </c>
      <c r="X95" t="str">
        <f t="shared" si="12"/>
        <v/>
      </c>
      <c r="Y95" t="str">
        <f t="shared" si="13"/>
        <v/>
      </c>
      <c r="Z95" t="str">
        <f t="shared" si="14"/>
        <v/>
      </c>
      <c r="AA95" t="str">
        <f t="shared" si="15"/>
        <v>dataset</v>
      </c>
      <c r="AB95" t="str">
        <f t="shared" si="16"/>
        <v/>
      </c>
      <c r="AC95" t="str">
        <f t="shared" si="17"/>
        <v/>
      </c>
    </row>
    <row r="96" spans="1:1024" x14ac:dyDescent="0.15">
      <c r="A96" t="s">
        <v>2746</v>
      </c>
      <c r="E96" t="s">
        <v>15</v>
      </c>
      <c r="F96" t="s">
        <v>2747</v>
      </c>
      <c r="H96">
        <v>500</v>
      </c>
      <c r="I96" t="b">
        <v>0</v>
      </c>
      <c r="J96" s="1" t="s">
        <v>17</v>
      </c>
      <c r="K96" t="s">
        <v>18</v>
      </c>
      <c r="L96">
        <v>0</v>
      </c>
      <c r="M96" s="2" t="b">
        <v>0</v>
      </c>
      <c r="N96" s="7" t="b">
        <v>0</v>
      </c>
      <c r="O96" s="1" t="s">
        <v>19</v>
      </c>
      <c r="P96" s="1" t="s">
        <v>17</v>
      </c>
      <c r="Q96" s="1" t="s">
        <v>17</v>
      </c>
      <c r="R96" s="1" t="s">
        <v>17</v>
      </c>
      <c r="S96" s="1" t="s">
        <v>19</v>
      </c>
      <c r="T96" s="1" t="s">
        <v>17</v>
      </c>
      <c r="U96" t="str">
        <f t="shared" si="9"/>
        <v>filter|dataset</v>
      </c>
      <c r="V96" t="str">
        <f t="shared" si="10"/>
        <v/>
      </c>
      <c r="W96" t="str">
        <f t="shared" si="11"/>
        <v>filter</v>
      </c>
      <c r="X96" t="str">
        <f t="shared" si="12"/>
        <v/>
      </c>
      <c r="Y96" t="str">
        <f t="shared" si="13"/>
        <v/>
      </c>
      <c r="Z96" t="str">
        <f t="shared" si="14"/>
        <v/>
      </c>
      <c r="AA96" t="str">
        <f t="shared" si="15"/>
        <v>dataset</v>
      </c>
      <c r="AB96" t="str">
        <f t="shared" si="16"/>
        <v/>
      </c>
      <c r="AC96" t="str">
        <f t="shared" si="17"/>
        <v/>
      </c>
    </row>
    <row r="97" spans="1:29" x14ac:dyDescent="0.15">
      <c r="A97" s="6" t="s">
        <v>61</v>
      </c>
      <c r="B97" s="6"/>
      <c r="C97" s="6"/>
      <c r="D97" s="6" t="s">
        <v>3973</v>
      </c>
      <c r="E97" t="s">
        <v>15</v>
      </c>
      <c r="F97" t="s">
        <v>62</v>
      </c>
      <c r="H97">
        <v>600</v>
      </c>
      <c r="I97" t="b">
        <v>0</v>
      </c>
      <c r="J97" s="1" t="s">
        <v>17</v>
      </c>
      <c r="K97" t="s">
        <v>18</v>
      </c>
      <c r="L97">
        <v>0</v>
      </c>
      <c r="M97" s="7" t="b">
        <v>0</v>
      </c>
      <c r="N97" s="7" t="b">
        <v>0</v>
      </c>
      <c r="O97" s="1" t="s">
        <v>19</v>
      </c>
      <c r="P97" s="1" t="s">
        <v>17</v>
      </c>
      <c r="Q97" s="1" t="s">
        <v>17</v>
      </c>
      <c r="R97" s="1" t="s">
        <v>17</v>
      </c>
      <c r="S97" s="1" t="s">
        <v>19</v>
      </c>
      <c r="T97" s="1" t="s">
        <v>19</v>
      </c>
      <c r="U97" t="str">
        <f t="shared" si="9"/>
        <v>filter|dataset|sample</v>
      </c>
      <c r="V97" t="str">
        <f t="shared" si="10"/>
        <v/>
      </c>
      <c r="W97" t="str">
        <f t="shared" si="11"/>
        <v>filter</v>
      </c>
      <c r="X97" t="str">
        <f t="shared" si="12"/>
        <v/>
      </c>
      <c r="Y97" t="str">
        <f t="shared" si="13"/>
        <v/>
      </c>
      <c r="Z97" t="str">
        <f t="shared" si="14"/>
        <v/>
      </c>
      <c r="AA97" t="str">
        <f t="shared" si="15"/>
        <v>dataset</v>
      </c>
      <c r="AB97" t="str">
        <f t="shared" si="16"/>
        <v>sample</v>
      </c>
      <c r="AC97" t="str">
        <f t="shared" si="17"/>
        <v/>
      </c>
    </row>
    <row r="98" spans="1:29" x14ac:dyDescent="0.15">
      <c r="A98" s="6" t="s">
        <v>24</v>
      </c>
      <c r="B98" s="6"/>
      <c r="C98" s="6"/>
      <c r="D98" s="6" t="s">
        <v>3973</v>
      </c>
      <c r="E98" s="6" t="s">
        <v>25</v>
      </c>
      <c r="F98" s="6" t="s">
        <v>26</v>
      </c>
      <c r="G98" s="6"/>
      <c r="H98">
        <v>550</v>
      </c>
      <c r="I98" t="b">
        <v>0</v>
      </c>
      <c r="J98" s="1" t="s">
        <v>17</v>
      </c>
      <c r="K98" t="s">
        <v>27</v>
      </c>
      <c r="L98">
        <v>1</v>
      </c>
      <c r="M98" s="7" t="b">
        <v>0</v>
      </c>
      <c r="N98" s="7" t="b">
        <v>0</v>
      </c>
      <c r="O98" s="1" t="s">
        <v>19</v>
      </c>
      <c r="P98" s="1" t="s">
        <v>17</v>
      </c>
      <c r="Q98" s="1" t="s">
        <v>17</v>
      </c>
      <c r="R98" s="1" t="s">
        <v>17</v>
      </c>
      <c r="S98" s="1" t="s">
        <v>19</v>
      </c>
      <c r="T98" s="1" t="s">
        <v>17</v>
      </c>
      <c r="U98" t="str">
        <f t="shared" si="9"/>
        <v>filter|dataset</v>
      </c>
      <c r="V98" t="str">
        <f t="shared" si="10"/>
        <v/>
      </c>
      <c r="W98" t="str">
        <f t="shared" si="11"/>
        <v>filter</v>
      </c>
      <c r="X98" t="str">
        <f t="shared" si="12"/>
        <v/>
      </c>
      <c r="Y98" t="str">
        <f t="shared" si="13"/>
        <v/>
      </c>
      <c r="Z98" t="str">
        <f t="shared" si="14"/>
        <v/>
      </c>
      <c r="AA98" t="str">
        <f t="shared" si="15"/>
        <v>dataset</v>
      </c>
      <c r="AB98" t="str">
        <f t="shared" si="16"/>
        <v/>
      </c>
      <c r="AC98" t="str">
        <f t="shared" si="17"/>
        <v/>
      </c>
    </row>
    <row r="99" spans="1:29" x14ac:dyDescent="0.15">
      <c r="A99" t="s">
        <v>63</v>
      </c>
      <c r="E99" t="s">
        <v>15</v>
      </c>
      <c r="F99" t="s">
        <v>64</v>
      </c>
      <c r="H99">
        <v>200</v>
      </c>
      <c r="I99" t="b">
        <v>0</v>
      </c>
      <c r="J99" s="1" t="s">
        <v>17</v>
      </c>
      <c r="K99" t="s">
        <v>65</v>
      </c>
      <c r="L99">
        <v>0</v>
      </c>
      <c r="M99" s="7" t="b">
        <v>0</v>
      </c>
      <c r="N99" s="7" t="b">
        <v>0</v>
      </c>
      <c r="O99" s="1" t="s">
        <v>19</v>
      </c>
      <c r="P99" s="1" t="s">
        <v>17</v>
      </c>
      <c r="Q99" s="1" t="s">
        <v>17</v>
      </c>
      <c r="R99" s="1" t="s">
        <v>17</v>
      </c>
      <c r="S99" s="1" t="s">
        <v>19</v>
      </c>
      <c r="T99" s="1" t="s">
        <v>17</v>
      </c>
      <c r="U99" t="str">
        <f t="shared" si="9"/>
        <v>filter|dataset</v>
      </c>
      <c r="V99" t="str">
        <f t="shared" si="10"/>
        <v/>
      </c>
      <c r="W99" t="str">
        <f t="shared" si="11"/>
        <v>filter</v>
      </c>
      <c r="X99" t="str">
        <f t="shared" si="12"/>
        <v/>
      </c>
      <c r="Y99" t="str">
        <f t="shared" si="13"/>
        <v/>
      </c>
      <c r="Z99" t="str">
        <f t="shared" si="14"/>
        <v/>
      </c>
      <c r="AA99" t="str">
        <f t="shared" si="15"/>
        <v>dataset</v>
      </c>
      <c r="AB99" t="str">
        <f t="shared" si="16"/>
        <v/>
      </c>
      <c r="AC99" t="str">
        <f t="shared" si="17"/>
        <v/>
      </c>
    </row>
    <row r="100" spans="1:29" x14ac:dyDescent="0.15">
      <c r="A100" t="s">
        <v>66</v>
      </c>
      <c r="E100" t="s">
        <v>15</v>
      </c>
      <c r="F100" t="s">
        <v>67</v>
      </c>
      <c r="H100">
        <v>200</v>
      </c>
      <c r="I100" t="b">
        <v>0</v>
      </c>
      <c r="J100" s="1" t="s">
        <v>17</v>
      </c>
      <c r="K100" t="s">
        <v>65</v>
      </c>
      <c r="L100">
        <v>0</v>
      </c>
      <c r="M100" s="7" t="b">
        <v>0</v>
      </c>
      <c r="N100" s="7" t="b">
        <v>0</v>
      </c>
      <c r="O100" s="1" t="s">
        <v>19</v>
      </c>
      <c r="P100" s="1" t="s">
        <v>17</v>
      </c>
      <c r="Q100" s="1" t="s">
        <v>17</v>
      </c>
      <c r="R100" s="1" t="s">
        <v>17</v>
      </c>
      <c r="S100" s="1" t="s">
        <v>19</v>
      </c>
      <c r="T100" s="1" t="s">
        <v>17</v>
      </c>
      <c r="U100" t="str">
        <f t="shared" si="9"/>
        <v>filter|dataset</v>
      </c>
      <c r="V100" t="str">
        <f t="shared" si="10"/>
        <v/>
      </c>
      <c r="W100" t="str">
        <f t="shared" si="11"/>
        <v>filter</v>
      </c>
      <c r="X100" t="str">
        <f t="shared" si="12"/>
        <v/>
      </c>
      <c r="Y100" t="str">
        <f t="shared" si="13"/>
        <v/>
      </c>
      <c r="Z100" t="str">
        <f t="shared" si="14"/>
        <v/>
      </c>
      <c r="AA100" t="str">
        <f t="shared" si="15"/>
        <v>dataset</v>
      </c>
      <c r="AB100" t="str">
        <f t="shared" si="16"/>
        <v/>
      </c>
      <c r="AC100" t="str">
        <f t="shared" si="17"/>
        <v/>
      </c>
    </row>
    <row r="101" spans="1:29" x14ac:dyDescent="0.15">
      <c r="A101" s="6" t="s">
        <v>68</v>
      </c>
      <c r="B101" s="6"/>
      <c r="C101" s="6"/>
      <c r="D101" s="6"/>
      <c r="E101" t="s">
        <v>15</v>
      </c>
      <c r="F101" t="s">
        <v>69</v>
      </c>
      <c r="H101">
        <v>200</v>
      </c>
      <c r="I101" t="b">
        <v>0</v>
      </c>
      <c r="J101" s="1" t="s">
        <v>17</v>
      </c>
      <c r="K101" t="s">
        <v>65</v>
      </c>
      <c r="L101">
        <v>0</v>
      </c>
      <c r="M101" s="7" t="b">
        <v>0</v>
      </c>
      <c r="N101" s="7" t="b">
        <v>0</v>
      </c>
      <c r="O101" s="1" t="s">
        <v>19</v>
      </c>
      <c r="P101" s="1" t="s">
        <v>17</v>
      </c>
      <c r="Q101" s="1" t="s">
        <v>17</v>
      </c>
      <c r="R101" s="1" t="s">
        <v>17</v>
      </c>
      <c r="S101" s="1" t="s">
        <v>19</v>
      </c>
      <c r="T101" s="1" t="s">
        <v>17</v>
      </c>
      <c r="U101" t="str">
        <f t="shared" si="9"/>
        <v>filter|dataset</v>
      </c>
      <c r="V101" t="str">
        <f t="shared" si="10"/>
        <v/>
      </c>
      <c r="W101" t="str">
        <f t="shared" si="11"/>
        <v>filter</v>
      </c>
      <c r="X101" t="str">
        <f t="shared" si="12"/>
        <v/>
      </c>
      <c r="Y101" t="str">
        <f t="shared" si="13"/>
        <v/>
      </c>
      <c r="Z101" t="str">
        <f t="shared" si="14"/>
        <v/>
      </c>
      <c r="AA101" t="str">
        <f t="shared" si="15"/>
        <v>dataset</v>
      </c>
      <c r="AB101" t="str">
        <f t="shared" si="16"/>
        <v/>
      </c>
      <c r="AC101" t="str">
        <f t="shared" si="17"/>
        <v/>
      </c>
    </row>
    <row r="102" spans="1:29" x14ac:dyDescent="0.15">
      <c r="A102" t="s">
        <v>70</v>
      </c>
      <c r="E102" t="s">
        <v>15</v>
      </c>
      <c r="F102" t="s">
        <v>71</v>
      </c>
      <c r="H102">
        <v>200</v>
      </c>
      <c r="I102" t="b">
        <v>0</v>
      </c>
      <c r="J102" s="1" t="s">
        <v>17</v>
      </c>
      <c r="K102" t="s">
        <v>65</v>
      </c>
      <c r="L102">
        <v>0</v>
      </c>
      <c r="M102" s="7" t="b">
        <v>0</v>
      </c>
      <c r="N102" s="7" t="b">
        <v>0</v>
      </c>
      <c r="O102" s="1" t="s">
        <v>19</v>
      </c>
      <c r="P102" s="1" t="s">
        <v>17</v>
      </c>
      <c r="Q102" s="1" t="s">
        <v>17</v>
      </c>
      <c r="R102" s="1" t="s">
        <v>17</v>
      </c>
      <c r="S102" s="1" t="s">
        <v>19</v>
      </c>
      <c r="T102" s="1" t="s">
        <v>17</v>
      </c>
      <c r="U102" t="str">
        <f t="shared" si="9"/>
        <v>filter|dataset</v>
      </c>
      <c r="V102" t="str">
        <f t="shared" si="10"/>
        <v/>
      </c>
      <c r="W102" t="str">
        <f t="shared" si="11"/>
        <v>filter</v>
      </c>
      <c r="X102" t="str">
        <f t="shared" si="12"/>
        <v/>
      </c>
      <c r="Y102" t="str">
        <f t="shared" si="13"/>
        <v/>
      </c>
      <c r="Z102" t="str">
        <f t="shared" si="14"/>
        <v/>
      </c>
      <c r="AA102" t="str">
        <f t="shared" si="15"/>
        <v>dataset</v>
      </c>
      <c r="AB102" t="str">
        <f t="shared" si="16"/>
        <v/>
      </c>
      <c r="AC102" t="str">
        <f t="shared" si="17"/>
        <v/>
      </c>
    </row>
    <row r="103" spans="1:29" x14ac:dyDescent="0.15">
      <c r="A103" t="s">
        <v>3959</v>
      </c>
      <c r="D103" t="s">
        <v>3973</v>
      </c>
      <c r="E103" t="s">
        <v>15</v>
      </c>
      <c r="F103" t="s">
        <v>3960</v>
      </c>
      <c r="H103">
        <v>200</v>
      </c>
      <c r="I103" t="b">
        <v>0</v>
      </c>
      <c r="J103" s="1" t="s">
        <v>17</v>
      </c>
      <c r="K103" t="s">
        <v>39</v>
      </c>
      <c r="L103">
        <v>0</v>
      </c>
      <c r="M103" s="7" t="b">
        <v>0</v>
      </c>
      <c r="N103" s="7" t="b">
        <v>0</v>
      </c>
      <c r="O103" s="1" t="s">
        <v>19</v>
      </c>
      <c r="P103" s="1" t="s">
        <v>17</v>
      </c>
      <c r="Q103" s="1" t="s">
        <v>17</v>
      </c>
      <c r="R103" s="1" t="s">
        <v>17</v>
      </c>
      <c r="S103" s="1" t="s">
        <v>19</v>
      </c>
      <c r="T103" s="1" t="s">
        <v>19</v>
      </c>
      <c r="U103" t="str">
        <f t="shared" si="9"/>
        <v>filter|dataset|sample</v>
      </c>
      <c r="V103" t="str">
        <f t="shared" si="10"/>
        <v/>
      </c>
      <c r="W103" t="str">
        <f t="shared" si="11"/>
        <v>filter</v>
      </c>
      <c r="X103" t="str">
        <f t="shared" si="12"/>
        <v/>
      </c>
      <c r="Y103" t="str">
        <f t="shared" si="13"/>
        <v/>
      </c>
      <c r="Z103" t="str">
        <f t="shared" si="14"/>
        <v/>
      </c>
      <c r="AA103" t="str">
        <f t="shared" si="15"/>
        <v>dataset</v>
      </c>
      <c r="AB103" t="str">
        <f t="shared" si="16"/>
        <v>sample</v>
      </c>
      <c r="AC103" t="str">
        <f t="shared" si="17"/>
        <v/>
      </c>
    </row>
    <row r="104" spans="1:29" x14ac:dyDescent="0.15">
      <c r="A104" s="6" t="s">
        <v>73</v>
      </c>
      <c r="B104" s="6"/>
      <c r="C104" s="6"/>
      <c r="D104" s="6" t="s">
        <v>4073</v>
      </c>
      <c r="E104" s="6" t="s">
        <v>74</v>
      </c>
      <c r="F104" s="6" t="s">
        <v>75</v>
      </c>
      <c r="G104" s="6"/>
      <c r="H104">
        <v>450</v>
      </c>
      <c r="I104" t="b">
        <v>0</v>
      </c>
      <c r="J104" s="1" t="s">
        <v>17</v>
      </c>
      <c r="K104" t="s">
        <v>76</v>
      </c>
      <c r="L104">
        <v>1</v>
      </c>
      <c r="M104" s="7" t="b">
        <v>0</v>
      </c>
      <c r="N104" s="7" t="b">
        <v>0</v>
      </c>
      <c r="O104" s="1" t="s">
        <v>19</v>
      </c>
      <c r="P104" s="1" t="s">
        <v>17</v>
      </c>
      <c r="Q104" s="1" t="s">
        <v>17</v>
      </c>
      <c r="R104" s="1" t="s">
        <v>17</v>
      </c>
      <c r="S104" s="1" t="s">
        <v>19</v>
      </c>
      <c r="T104" s="1" t="s">
        <v>19</v>
      </c>
      <c r="U104" t="str">
        <f t="shared" si="9"/>
        <v>filter|dataset|sample</v>
      </c>
      <c r="V104" t="str">
        <f t="shared" si="10"/>
        <v/>
      </c>
      <c r="W104" t="str">
        <f t="shared" si="11"/>
        <v>filter</v>
      </c>
      <c r="X104" t="str">
        <f t="shared" si="12"/>
        <v/>
      </c>
      <c r="Y104" t="str">
        <f t="shared" si="13"/>
        <v/>
      </c>
      <c r="Z104" t="str">
        <f t="shared" si="14"/>
        <v/>
      </c>
      <c r="AA104" t="str">
        <f t="shared" si="15"/>
        <v>dataset</v>
      </c>
      <c r="AB104" t="str">
        <f t="shared" si="16"/>
        <v>sample</v>
      </c>
      <c r="AC104" t="str">
        <f t="shared" si="17"/>
        <v/>
      </c>
    </row>
    <row r="105" spans="1:29" x14ac:dyDescent="0.15">
      <c r="A105" t="s">
        <v>137</v>
      </c>
      <c r="D105" t="s">
        <v>4080</v>
      </c>
      <c r="E105" s="6" t="s">
        <v>20</v>
      </c>
      <c r="F105" s="6" t="s">
        <v>139</v>
      </c>
      <c r="G105" s="6"/>
      <c r="H105">
        <v>500</v>
      </c>
      <c r="I105" t="b">
        <v>0</v>
      </c>
      <c r="J105" s="1" t="s">
        <v>17</v>
      </c>
      <c r="K105" t="s">
        <v>23</v>
      </c>
      <c r="L105">
        <v>2</v>
      </c>
      <c r="M105" s="7" t="b">
        <v>0</v>
      </c>
      <c r="N105" s="7" t="b">
        <v>0</v>
      </c>
      <c r="O105" s="1" t="s">
        <v>19</v>
      </c>
      <c r="P105" s="1" t="s">
        <v>17</v>
      </c>
      <c r="Q105" s="1" t="s">
        <v>17</v>
      </c>
      <c r="R105" s="1" t="s">
        <v>17</v>
      </c>
      <c r="S105" s="1" t="s">
        <v>19</v>
      </c>
      <c r="T105" s="1" t="s">
        <v>19</v>
      </c>
      <c r="U105" t="str">
        <f t="shared" si="9"/>
        <v>filter|dataset|sample</v>
      </c>
      <c r="V105" t="str">
        <f t="shared" si="10"/>
        <v/>
      </c>
      <c r="W105" t="str">
        <f t="shared" si="11"/>
        <v>filter</v>
      </c>
      <c r="X105" t="str">
        <f t="shared" si="12"/>
        <v/>
      </c>
      <c r="Y105" t="str">
        <f t="shared" si="13"/>
        <v/>
      </c>
      <c r="Z105" t="str">
        <f t="shared" si="14"/>
        <v/>
      </c>
      <c r="AA105" t="str">
        <f t="shared" si="15"/>
        <v>dataset</v>
      </c>
      <c r="AB105" t="str">
        <f t="shared" si="16"/>
        <v>sample</v>
      </c>
      <c r="AC105" t="str">
        <f t="shared" si="17"/>
        <v/>
      </c>
    </row>
    <row r="106" spans="1:29" x14ac:dyDescent="0.15">
      <c r="A106" t="s">
        <v>141</v>
      </c>
      <c r="D106" t="s">
        <v>4080</v>
      </c>
      <c r="E106" s="6" t="s">
        <v>20</v>
      </c>
      <c r="F106" s="6" t="s">
        <v>143</v>
      </c>
      <c r="G106" s="6"/>
      <c r="H106">
        <v>500</v>
      </c>
      <c r="I106" t="b">
        <v>0</v>
      </c>
      <c r="J106" s="1" t="s">
        <v>17</v>
      </c>
      <c r="K106" t="s">
        <v>23</v>
      </c>
      <c r="L106">
        <v>2</v>
      </c>
      <c r="M106" s="7" t="b">
        <v>0</v>
      </c>
      <c r="N106" s="7" t="b">
        <v>0</v>
      </c>
      <c r="O106" s="1" t="s">
        <v>19</v>
      </c>
      <c r="P106" s="1" t="s">
        <v>17</v>
      </c>
      <c r="Q106" s="1" t="s">
        <v>17</v>
      </c>
      <c r="R106" s="1" t="s">
        <v>17</v>
      </c>
      <c r="S106" s="1" t="s">
        <v>19</v>
      </c>
      <c r="T106" s="1" t="s">
        <v>19</v>
      </c>
      <c r="U106" t="str">
        <f t="shared" si="9"/>
        <v>filter|dataset|sample</v>
      </c>
      <c r="V106" t="str">
        <f t="shared" si="10"/>
        <v/>
      </c>
      <c r="W106" t="str">
        <f t="shared" si="11"/>
        <v>filter</v>
      </c>
      <c r="X106" t="str">
        <f t="shared" si="12"/>
        <v/>
      </c>
      <c r="Y106" t="str">
        <f t="shared" si="13"/>
        <v/>
      </c>
      <c r="Z106" t="str">
        <f t="shared" si="14"/>
        <v/>
      </c>
      <c r="AA106" t="str">
        <f t="shared" si="15"/>
        <v>dataset</v>
      </c>
      <c r="AB106" t="str">
        <f t="shared" si="16"/>
        <v>sample</v>
      </c>
      <c r="AC106" t="str">
        <f t="shared" si="17"/>
        <v/>
      </c>
    </row>
    <row r="107" spans="1:29" x14ac:dyDescent="0.15">
      <c r="A107" s="6" t="s">
        <v>3052</v>
      </c>
      <c r="B107" s="6"/>
      <c r="C107" s="6"/>
      <c r="D107" s="6"/>
      <c r="E107" s="6" t="s">
        <v>21</v>
      </c>
      <c r="F107" s="6" t="s">
        <v>3067</v>
      </c>
      <c r="G107" s="6"/>
      <c r="H107">
        <v>500</v>
      </c>
      <c r="I107" t="b">
        <v>0</v>
      </c>
      <c r="J107" s="1" t="s">
        <v>17</v>
      </c>
      <c r="K107" t="s">
        <v>23</v>
      </c>
      <c r="L107">
        <v>2</v>
      </c>
      <c r="M107" s="7" t="b">
        <v>0</v>
      </c>
      <c r="N107" s="7" t="b">
        <v>0</v>
      </c>
      <c r="O107" s="1" t="s">
        <v>19</v>
      </c>
      <c r="P107" s="1" t="s">
        <v>17</v>
      </c>
      <c r="Q107" s="1" t="s">
        <v>17</v>
      </c>
      <c r="R107" s="1" t="s">
        <v>17</v>
      </c>
      <c r="S107" s="1" t="s">
        <v>19</v>
      </c>
      <c r="T107" s="1" t="s">
        <v>19</v>
      </c>
      <c r="U107" t="str">
        <f t="shared" si="9"/>
        <v>filter|dataset|sample</v>
      </c>
      <c r="V107" t="str">
        <f t="shared" si="10"/>
        <v/>
      </c>
      <c r="W107" t="str">
        <f t="shared" si="11"/>
        <v>filter</v>
      </c>
      <c r="X107" t="str">
        <f t="shared" si="12"/>
        <v/>
      </c>
      <c r="Y107" t="str">
        <f t="shared" si="13"/>
        <v/>
      </c>
      <c r="Z107" t="str">
        <f t="shared" si="14"/>
        <v/>
      </c>
      <c r="AA107" t="str">
        <f t="shared" si="15"/>
        <v>dataset</v>
      </c>
      <c r="AB107" t="str">
        <f t="shared" si="16"/>
        <v>sample</v>
      </c>
      <c r="AC107" t="str">
        <f t="shared" si="17"/>
        <v/>
      </c>
    </row>
    <row r="108" spans="1:29" x14ac:dyDescent="0.15">
      <c r="A108" s="6" t="s">
        <v>3053</v>
      </c>
      <c r="B108" s="6"/>
      <c r="C108" s="6"/>
      <c r="D108" s="6"/>
      <c r="E108" s="6" t="s">
        <v>21</v>
      </c>
      <c r="F108" s="6" t="s">
        <v>3068</v>
      </c>
      <c r="G108" s="6"/>
      <c r="H108">
        <v>500</v>
      </c>
      <c r="I108" t="b">
        <v>0</v>
      </c>
      <c r="J108" s="1" t="s">
        <v>17</v>
      </c>
      <c r="K108" t="s">
        <v>23</v>
      </c>
      <c r="L108">
        <v>2</v>
      </c>
      <c r="M108" s="7" t="b">
        <v>0</v>
      </c>
      <c r="N108" s="7" t="b">
        <v>0</v>
      </c>
      <c r="O108" s="1" t="s">
        <v>19</v>
      </c>
      <c r="P108" s="1" t="s">
        <v>17</v>
      </c>
      <c r="Q108" s="1" t="s">
        <v>17</v>
      </c>
      <c r="R108" s="1" t="s">
        <v>17</v>
      </c>
      <c r="S108" s="1" t="s">
        <v>19</v>
      </c>
      <c r="T108" s="1" t="s">
        <v>19</v>
      </c>
      <c r="U108" t="str">
        <f t="shared" si="9"/>
        <v>filter|dataset|sample</v>
      </c>
      <c r="V108" t="str">
        <f t="shared" si="10"/>
        <v/>
      </c>
      <c r="W108" t="str">
        <f t="shared" si="11"/>
        <v>filter</v>
      </c>
      <c r="X108" t="str">
        <f t="shared" si="12"/>
        <v/>
      </c>
      <c r="Y108" t="str">
        <f t="shared" si="13"/>
        <v/>
      </c>
      <c r="Z108" t="str">
        <f t="shared" si="14"/>
        <v/>
      </c>
      <c r="AA108" t="str">
        <f t="shared" si="15"/>
        <v>dataset</v>
      </c>
      <c r="AB108" t="str">
        <f t="shared" si="16"/>
        <v>sample</v>
      </c>
      <c r="AC108" t="str">
        <f t="shared" si="17"/>
        <v/>
      </c>
    </row>
    <row r="109" spans="1:29" x14ac:dyDescent="0.15">
      <c r="A109" s="6" t="s">
        <v>151</v>
      </c>
      <c r="B109" s="6"/>
      <c r="C109" s="6"/>
      <c r="D109" s="6"/>
      <c r="E109" s="6" t="s">
        <v>152</v>
      </c>
      <c r="F109" s="6" t="s">
        <v>153</v>
      </c>
      <c r="G109" s="6"/>
      <c r="H109">
        <v>400</v>
      </c>
      <c r="I109" t="b">
        <v>0</v>
      </c>
      <c r="J109" s="1" t="s">
        <v>17</v>
      </c>
      <c r="K109" t="s">
        <v>150</v>
      </c>
      <c r="L109">
        <v>1</v>
      </c>
      <c r="M109" s="7" t="b">
        <v>0</v>
      </c>
      <c r="N109" s="7" t="b">
        <v>0</v>
      </c>
      <c r="O109" s="1" t="s">
        <v>17</v>
      </c>
      <c r="P109" s="1" t="s">
        <v>17</v>
      </c>
      <c r="Q109" s="1" t="s">
        <v>17</v>
      </c>
      <c r="R109" s="1" t="s">
        <v>17</v>
      </c>
      <c r="S109" s="1" t="s">
        <v>17</v>
      </c>
      <c r="T109" s="1" t="s">
        <v>19</v>
      </c>
      <c r="U109" t="str">
        <f t="shared" si="9"/>
        <v>sample</v>
      </c>
      <c r="V109" t="str">
        <f t="shared" si="10"/>
        <v/>
      </c>
      <c r="W109" t="str">
        <f t="shared" si="11"/>
        <v/>
      </c>
      <c r="X109" t="str">
        <f t="shared" si="12"/>
        <v/>
      </c>
      <c r="Y109" t="str">
        <f t="shared" si="13"/>
        <v/>
      </c>
      <c r="Z109" t="str">
        <f t="shared" si="14"/>
        <v/>
      </c>
      <c r="AA109" t="str">
        <f t="shared" si="15"/>
        <v/>
      </c>
      <c r="AB109" t="str">
        <f t="shared" si="16"/>
        <v>sample</v>
      </c>
      <c r="AC109" t="str">
        <f t="shared" si="17"/>
        <v/>
      </c>
    </row>
    <row r="110" spans="1:29" x14ac:dyDescent="0.15">
      <c r="A110" s="6" t="s">
        <v>3251</v>
      </c>
      <c r="B110" s="6"/>
      <c r="C110" s="6"/>
      <c r="D110" s="6"/>
      <c r="E110" t="s">
        <v>3120</v>
      </c>
      <c r="F110" t="s">
        <v>3252</v>
      </c>
      <c r="H110">
        <v>659</v>
      </c>
      <c r="I110" t="b">
        <v>0</v>
      </c>
      <c r="J110" s="1" t="s">
        <v>17</v>
      </c>
      <c r="K110" t="s">
        <v>39</v>
      </c>
      <c r="L110">
        <v>0</v>
      </c>
      <c r="M110" s="7" t="b">
        <v>0</v>
      </c>
      <c r="N110" s="7" t="b">
        <v>0</v>
      </c>
      <c r="O110" s="1" t="s">
        <v>19</v>
      </c>
      <c r="P110" s="1" t="s">
        <v>17</v>
      </c>
      <c r="Q110" s="1" t="s">
        <v>17</v>
      </c>
      <c r="R110" s="1" t="s">
        <v>17</v>
      </c>
      <c r="S110" s="1" t="s">
        <v>19</v>
      </c>
      <c r="T110" s="1" t="s">
        <v>19</v>
      </c>
      <c r="U110" t="str">
        <f t="shared" si="9"/>
        <v>filter|dataset|sample</v>
      </c>
      <c r="V110" t="str">
        <f t="shared" si="10"/>
        <v/>
      </c>
      <c r="W110" t="str">
        <f t="shared" si="11"/>
        <v>filter</v>
      </c>
      <c r="X110" t="str">
        <f t="shared" si="12"/>
        <v/>
      </c>
      <c r="Y110" t="str">
        <f t="shared" si="13"/>
        <v/>
      </c>
      <c r="Z110" t="str">
        <f t="shared" si="14"/>
        <v/>
      </c>
      <c r="AA110" t="str">
        <f t="shared" si="15"/>
        <v>dataset</v>
      </c>
      <c r="AB110" t="str">
        <f t="shared" si="16"/>
        <v>sample</v>
      </c>
      <c r="AC110" t="str">
        <f t="shared" si="17"/>
        <v/>
      </c>
    </row>
    <row r="111" spans="1:29" x14ac:dyDescent="0.15">
      <c r="A111" s="31" t="s">
        <v>4073</v>
      </c>
      <c r="B111" s="31"/>
      <c r="C111" t="s">
        <v>4125</v>
      </c>
      <c r="D111" t="s">
        <v>15</v>
      </c>
      <c r="E111" s="6" t="s">
        <v>15</v>
      </c>
      <c r="F111" s="6" t="s">
        <v>4149</v>
      </c>
      <c r="G111" s="6" t="s">
        <v>4151</v>
      </c>
      <c r="H111">
        <v>500</v>
      </c>
      <c r="I111" t="b">
        <v>1</v>
      </c>
      <c r="J111" s="1" t="s">
        <v>17</v>
      </c>
      <c r="K111" t="s">
        <v>3119</v>
      </c>
      <c r="L111">
        <v>2</v>
      </c>
      <c r="M111" s="7" t="b">
        <v>0</v>
      </c>
      <c r="N111" s="7" t="b">
        <v>0</v>
      </c>
      <c r="O111" s="1" t="s">
        <v>19</v>
      </c>
      <c r="P111" s="1" t="s">
        <v>17</v>
      </c>
      <c r="Q111" s="1" t="s">
        <v>17</v>
      </c>
      <c r="R111" s="1" t="s">
        <v>17</v>
      </c>
      <c r="S111" s="1" t="s">
        <v>19</v>
      </c>
      <c r="T111" s="1" t="s">
        <v>19</v>
      </c>
      <c r="U111" t="str">
        <f t="shared" si="9"/>
        <v>filter|dataset|sample|unit</v>
      </c>
      <c r="V111" t="str">
        <f t="shared" si="10"/>
        <v/>
      </c>
      <c r="W111" t="str">
        <f t="shared" si="11"/>
        <v>filter</v>
      </c>
      <c r="X111" t="str">
        <f t="shared" si="12"/>
        <v/>
      </c>
      <c r="Y111" t="str">
        <f t="shared" si="13"/>
        <v/>
      </c>
      <c r="Z111" t="str">
        <f t="shared" si="14"/>
        <v/>
      </c>
      <c r="AA111" t="str">
        <f t="shared" si="15"/>
        <v>dataset</v>
      </c>
      <c r="AB111" t="str">
        <f t="shared" si="16"/>
        <v>sample</v>
      </c>
      <c r="AC111" t="str">
        <f t="shared" si="17"/>
        <v>unit</v>
      </c>
    </row>
    <row r="112" spans="1:29" x14ac:dyDescent="0.15">
      <c r="A112" s="8" t="s">
        <v>4074</v>
      </c>
      <c r="B112" s="8"/>
      <c r="C112" t="s">
        <v>4125</v>
      </c>
      <c r="E112" s="6" t="s">
        <v>15</v>
      </c>
      <c r="F112" s="6" t="s">
        <v>3993</v>
      </c>
      <c r="G112" s="6" t="s">
        <v>2743</v>
      </c>
      <c r="H112">
        <v>500</v>
      </c>
      <c r="I112" t="b">
        <v>1</v>
      </c>
      <c r="J112" s="1" t="s">
        <v>17</v>
      </c>
      <c r="K112" t="s">
        <v>3119</v>
      </c>
      <c r="L112">
        <v>2</v>
      </c>
      <c r="M112" s="7" t="b">
        <v>0</v>
      </c>
      <c r="N112" s="7" t="b">
        <v>0</v>
      </c>
      <c r="O112" s="1" t="s">
        <v>19</v>
      </c>
      <c r="P112" s="1" t="s">
        <v>17</v>
      </c>
      <c r="Q112" s="1" t="s">
        <v>17</v>
      </c>
      <c r="R112" s="1" t="s">
        <v>17</v>
      </c>
      <c r="S112" s="1" t="s">
        <v>19</v>
      </c>
      <c r="T112" s="1" t="s">
        <v>19</v>
      </c>
      <c r="U112" t="str">
        <f t="shared" si="9"/>
        <v>filter|dataset|sample|unit</v>
      </c>
      <c r="V112" t="str">
        <f t="shared" si="10"/>
        <v/>
      </c>
      <c r="W112" t="str">
        <f t="shared" si="11"/>
        <v>filter</v>
      </c>
      <c r="X112" t="str">
        <f t="shared" si="12"/>
        <v/>
      </c>
      <c r="Y112" t="str">
        <f t="shared" si="13"/>
        <v/>
      </c>
      <c r="Z112" t="str">
        <f t="shared" si="14"/>
        <v/>
      </c>
      <c r="AA112" t="str">
        <f t="shared" si="15"/>
        <v>dataset</v>
      </c>
      <c r="AB112" t="str">
        <f t="shared" si="16"/>
        <v>sample</v>
      </c>
      <c r="AC112" t="str">
        <f t="shared" si="17"/>
        <v>unit</v>
      </c>
    </row>
    <row r="113" spans="1:29" x14ac:dyDescent="0.15">
      <c r="A113" s="8" t="s">
        <v>4075</v>
      </c>
      <c r="B113" s="8"/>
      <c r="C113" t="s">
        <v>4125</v>
      </c>
      <c r="E113" s="6" t="s">
        <v>15</v>
      </c>
      <c r="F113" s="6" t="s">
        <v>4000</v>
      </c>
      <c r="G113" s="6" t="s">
        <v>4150</v>
      </c>
      <c r="H113">
        <v>500</v>
      </c>
      <c r="I113" t="b">
        <v>1</v>
      </c>
      <c r="J113" s="1" t="s">
        <v>17</v>
      </c>
      <c r="K113" t="s">
        <v>3119</v>
      </c>
      <c r="L113">
        <v>2</v>
      </c>
      <c r="M113" s="7" t="b">
        <v>0</v>
      </c>
      <c r="N113" s="7" t="b">
        <v>0</v>
      </c>
      <c r="O113" s="1" t="s">
        <v>19</v>
      </c>
      <c r="P113" s="1" t="s">
        <v>17</v>
      </c>
      <c r="Q113" s="1" t="s">
        <v>17</v>
      </c>
      <c r="R113" s="1" t="s">
        <v>17</v>
      </c>
      <c r="S113" s="1" t="s">
        <v>19</v>
      </c>
      <c r="T113" s="1" t="s">
        <v>19</v>
      </c>
      <c r="U113" t="str">
        <f t="shared" si="9"/>
        <v>filter|dataset|sample|unit</v>
      </c>
      <c r="V113" t="str">
        <f t="shared" si="10"/>
        <v/>
      </c>
      <c r="W113" t="str">
        <f t="shared" si="11"/>
        <v>filter</v>
      </c>
      <c r="X113" t="str">
        <f t="shared" si="12"/>
        <v/>
      </c>
      <c r="Y113" t="str">
        <f t="shared" si="13"/>
        <v/>
      </c>
      <c r="Z113" t="str">
        <f t="shared" si="14"/>
        <v/>
      </c>
      <c r="AA113" t="str">
        <f t="shared" si="15"/>
        <v>dataset</v>
      </c>
      <c r="AB113" t="str">
        <f t="shared" si="16"/>
        <v>sample</v>
      </c>
      <c r="AC113" t="str">
        <f t="shared" si="17"/>
        <v>unit</v>
      </c>
    </row>
    <row r="114" spans="1:29" x14ac:dyDescent="0.15">
      <c r="A114" s="8" t="s">
        <v>4076</v>
      </c>
      <c r="B114" s="8"/>
      <c r="C114" t="s">
        <v>4125</v>
      </c>
      <c r="E114" s="6" t="s">
        <v>15</v>
      </c>
      <c r="F114" s="6" t="s">
        <v>4013</v>
      </c>
      <c r="G114" s="6"/>
      <c r="H114">
        <v>500</v>
      </c>
      <c r="I114" t="b">
        <v>1</v>
      </c>
      <c r="J114" s="1" t="s">
        <v>17</v>
      </c>
      <c r="K114" t="s">
        <v>3119</v>
      </c>
      <c r="L114">
        <v>2</v>
      </c>
      <c r="M114" s="7" t="b">
        <v>0</v>
      </c>
      <c r="N114" s="7" t="b">
        <v>0</v>
      </c>
      <c r="O114" s="1" t="s">
        <v>19</v>
      </c>
      <c r="P114" s="1" t="s">
        <v>17</v>
      </c>
      <c r="Q114" s="1" t="s">
        <v>17</v>
      </c>
      <c r="R114" s="1" t="s">
        <v>17</v>
      </c>
      <c r="S114" s="1" t="s">
        <v>19</v>
      </c>
      <c r="T114" s="1" t="s">
        <v>19</v>
      </c>
      <c r="U114" t="str">
        <f t="shared" si="9"/>
        <v>filter|dataset|sample|unit</v>
      </c>
      <c r="V114" t="str">
        <f t="shared" si="10"/>
        <v/>
      </c>
      <c r="W114" t="str">
        <f t="shared" si="11"/>
        <v>filter</v>
      </c>
      <c r="X114" t="str">
        <f t="shared" si="12"/>
        <v/>
      </c>
      <c r="Y114" t="str">
        <f t="shared" si="13"/>
        <v/>
      </c>
      <c r="Z114" t="str">
        <f t="shared" si="14"/>
        <v/>
      </c>
      <c r="AA114" t="str">
        <f t="shared" si="15"/>
        <v>dataset</v>
      </c>
      <c r="AB114" t="str">
        <f t="shared" si="16"/>
        <v>sample</v>
      </c>
      <c r="AC114" t="str">
        <f t="shared" si="17"/>
        <v>unit</v>
      </c>
    </row>
    <row r="115" spans="1:29" x14ac:dyDescent="0.15">
      <c r="A115" s="8" t="s">
        <v>4077</v>
      </c>
      <c r="B115" s="8"/>
      <c r="C115" t="s">
        <v>4125</v>
      </c>
      <c r="E115" s="6" t="s">
        <v>15</v>
      </c>
      <c r="F115" s="6" t="s">
        <v>4111</v>
      </c>
      <c r="G115" s="6" t="s">
        <v>4035</v>
      </c>
      <c r="H115">
        <v>500</v>
      </c>
      <c r="I115" t="b">
        <v>1</v>
      </c>
      <c r="J115" s="1" t="s">
        <v>17</v>
      </c>
      <c r="K115" t="s">
        <v>3119</v>
      </c>
      <c r="L115">
        <v>2</v>
      </c>
      <c r="M115" s="7" t="b">
        <v>0</v>
      </c>
      <c r="N115" s="7" t="b">
        <v>0</v>
      </c>
      <c r="O115" s="1" t="s">
        <v>19</v>
      </c>
      <c r="P115" s="1" t="s">
        <v>17</v>
      </c>
      <c r="Q115" s="1" t="s">
        <v>17</v>
      </c>
      <c r="R115" s="1" t="s">
        <v>17</v>
      </c>
      <c r="S115" s="1" t="s">
        <v>19</v>
      </c>
      <c r="T115" s="1" t="s">
        <v>19</v>
      </c>
      <c r="U115" t="str">
        <f t="shared" si="9"/>
        <v>filter|dataset|sample|unit</v>
      </c>
      <c r="V115" t="str">
        <f t="shared" si="10"/>
        <v/>
      </c>
      <c r="W115" t="str">
        <f t="shared" si="11"/>
        <v>filter</v>
      </c>
      <c r="X115" t="str">
        <f t="shared" si="12"/>
        <v/>
      </c>
      <c r="Y115" t="str">
        <f t="shared" si="13"/>
        <v/>
      </c>
      <c r="Z115" t="str">
        <f t="shared" si="14"/>
        <v/>
      </c>
      <c r="AA115" t="str">
        <f t="shared" si="15"/>
        <v>dataset</v>
      </c>
      <c r="AB115" t="str">
        <f t="shared" si="16"/>
        <v>sample</v>
      </c>
      <c r="AC115" t="str">
        <f t="shared" si="17"/>
        <v>unit</v>
      </c>
    </row>
    <row r="116" spans="1:29" x14ac:dyDescent="0.15">
      <c r="A116" s="8" t="s">
        <v>4078</v>
      </c>
      <c r="B116" s="8"/>
      <c r="C116" t="s">
        <v>4125</v>
      </c>
      <c r="E116" s="6" t="s">
        <v>15</v>
      </c>
      <c r="F116" s="6" t="s">
        <v>4112</v>
      </c>
      <c r="G116" s="6" t="s">
        <v>4155</v>
      </c>
      <c r="H116">
        <v>500</v>
      </c>
      <c r="I116" t="b">
        <v>1</v>
      </c>
      <c r="J116" s="1" t="s">
        <v>17</v>
      </c>
      <c r="K116" t="s">
        <v>3119</v>
      </c>
      <c r="L116">
        <v>2</v>
      </c>
      <c r="M116" s="7" t="b">
        <v>0</v>
      </c>
      <c r="N116" s="7" t="b">
        <v>0</v>
      </c>
      <c r="O116" s="1" t="s">
        <v>19</v>
      </c>
      <c r="P116" s="1" t="s">
        <v>17</v>
      </c>
      <c r="Q116" s="1" t="s">
        <v>17</v>
      </c>
      <c r="R116" s="1" t="s">
        <v>17</v>
      </c>
      <c r="S116" s="1" t="s">
        <v>19</v>
      </c>
      <c r="T116" s="1" t="s">
        <v>19</v>
      </c>
      <c r="U116" t="str">
        <f t="shared" si="9"/>
        <v>filter|dataset|sample|unit</v>
      </c>
      <c r="V116" t="str">
        <f t="shared" si="10"/>
        <v/>
      </c>
      <c r="W116" t="str">
        <f t="shared" si="11"/>
        <v>filter</v>
      </c>
      <c r="X116" t="str">
        <f t="shared" si="12"/>
        <v/>
      </c>
      <c r="Y116" t="str">
        <f t="shared" si="13"/>
        <v/>
      </c>
      <c r="Z116" t="str">
        <f t="shared" si="14"/>
        <v/>
      </c>
      <c r="AA116" t="str">
        <f t="shared" si="15"/>
        <v>dataset</v>
      </c>
      <c r="AB116" t="str">
        <f t="shared" si="16"/>
        <v>sample</v>
      </c>
      <c r="AC116" t="str">
        <f t="shared" si="17"/>
        <v>unit</v>
      </c>
    </row>
    <row r="117" spans="1:29" x14ac:dyDescent="0.15">
      <c r="A117" s="8" t="s">
        <v>3977</v>
      </c>
      <c r="B117" s="8"/>
      <c r="C117" t="s">
        <v>4125</v>
      </c>
      <c r="E117" s="6" t="s">
        <v>15</v>
      </c>
      <c r="F117" s="6" t="s">
        <v>3979</v>
      </c>
      <c r="G117" s="6" t="s">
        <v>2533</v>
      </c>
      <c r="H117">
        <v>500</v>
      </c>
      <c r="I117" t="b">
        <v>1</v>
      </c>
      <c r="J117" s="1" t="s">
        <v>17</v>
      </c>
      <c r="K117" t="s">
        <v>3119</v>
      </c>
      <c r="L117">
        <v>2</v>
      </c>
      <c r="M117" s="7" t="b">
        <v>0</v>
      </c>
      <c r="N117" s="7" t="b">
        <v>0</v>
      </c>
      <c r="O117" s="1" t="s">
        <v>19</v>
      </c>
      <c r="P117" s="1" t="s">
        <v>17</v>
      </c>
      <c r="Q117" s="1" t="s">
        <v>17</v>
      </c>
      <c r="R117" s="1" t="s">
        <v>17</v>
      </c>
      <c r="S117" s="1" t="s">
        <v>19</v>
      </c>
      <c r="T117" s="1" t="s">
        <v>19</v>
      </c>
      <c r="U117" t="str">
        <f t="shared" si="9"/>
        <v>filter|dataset|sample|unit</v>
      </c>
      <c r="V117" t="str">
        <f t="shared" si="10"/>
        <v/>
      </c>
      <c r="W117" t="str">
        <f t="shared" si="11"/>
        <v>filter</v>
      </c>
      <c r="X117" t="str">
        <f t="shared" si="12"/>
        <v/>
      </c>
      <c r="Y117" t="str">
        <f t="shared" si="13"/>
        <v/>
      </c>
      <c r="Z117" t="str">
        <f t="shared" si="14"/>
        <v/>
      </c>
      <c r="AA117" t="str">
        <f t="shared" si="15"/>
        <v>dataset</v>
      </c>
      <c r="AB117" t="str">
        <f t="shared" si="16"/>
        <v>sample</v>
      </c>
      <c r="AC117" t="str">
        <f t="shared" si="17"/>
        <v>unit</v>
      </c>
    </row>
    <row r="118" spans="1:29" x14ac:dyDescent="0.15">
      <c r="A118" s="8" t="s">
        <v>3975</v>
      </c>
      <c r="B118" s="8"/>
      <c r="C118" t="s">
        <v>4125</v>
      </c>
      <c r="E118" s="6" t="s">
        <v>15</v>
      </c>
      <c r="F118" s="6" t="s">
        <v>4030</v>
      </c>
      <c r="G118" s="6" t="s">
        <v>4152</v>
      </c>
      <c r="H118">
        <v>500</v>
      </c>
      <c r="I118" t="b">
        <v>1</v>
      </c>
      <c r="J118" s="1" t="s">
        <v>17</v>
      </c>
      <c r="K118" t="s">
        <v>3119</v>
      </c>
      <c r="L118">
        <v>2</v>
      </c>
      <c r="M118" s="7" t="b">
        <v>0</v>
      </c>
      <c r="N118" s="7" t="b">
        <v>0</v>
      </c>
      <c r="O118" s="1" t="s">
        <v>19</v>
      </c>
      <c r="P118" s="1" t="s">
        <v>17</v>
      </c>
      <c r="Q118" s="1" t="s">
        <v>17</v>
      </c>
      <c r="R118" s="1" t="s">
        <v>17</v>
      </c>
      <c r="S118" s="1" t="s">
        <v>19</v>
      </c>
      <c r="T118" s="1" t="s">
        <v>19</v>
      </c>
      <c r="U118" t="str">
        <f t="shared" si="9"/>
        <v>filter|dataset|sample|unit</v>
      </c>
      <c r="V118" t="str">
        <f t="shared" si="10"/>
        <v/>
      </c>
      <c r="W118" t="str">
        <f t="shared" si="11"/>
        <v>filter</v>
      </c>
      <c r="X118" t="str">
        <f t="shared" si="12"/>
        <v/>
      </c>
      <c r="Y118" t="str">
        <f t="shared" si="13"/>
        <v/>
      </c>
      <c r="Z118" t="str">
        <f t="shared" si="14"/>
        <v/>
      </c>
      <c r="AA118" t="str">
        <f t="shared" si="15"/>
        <v>dataset</v>
      </c>
      <c r="AB118" t="str">
        <f t="shared" si="16"/>
        <v>sample</v>
      </c>
      <c r="AC118" t="str">
        <f t="shared" si="17"/>
        <v>unit</v>
      </c>
    </row>
    <row r="119" spans="1:29" x14ac:dyDescent="0.15">
      <c r="A119" s="8" t="s">
        <v>3980</v>
      </c>
      <c r="B119" s="8"/>
      <c r="C119" t="s">
        <v>4125</v>
      </c>
      <c r="E119" s="6" t="s">
        <v>15</v>
      </c>
      <c r="F119" s="6" t="s">
        <v>3981</v>
      </c>
      <c r="G119" s="6" t="s">
        <v>3237</v>
      </c>
      <c r="H119">
        <v>500</v>
      </c>
      <c r="I119" t="b">
        <v>1</v>
      </c>
      <c r="J119" s="1" t="s">
        <v>17</v>
      </c>
      <c r="K119" t="s">
        <v>3119</v>
      </c>
      <c r="L119">
        <v>2</v>
      </c>
      <c r="M119" s="7" t="b">
        <v>0</v>
      </c>
      <c r="N119" s="7" t="b">
        <v>0</v>
      </c>
      <c r="O119" s="1" t="s">
        <v>19</v>
      </c>
      <c r="P119" s="1" t="s">
        <v>17</v>
      </c>
      <c r="Q119" s="1" t="s">
        <v>17</v>
      </c>
      <c r="R119" s="1" t="s">
        <v>17</v>
      </c>
      <c r="S119" s="1" t="s">
        <v>19</v>
      </c>
      <c r="T119" s="1" t="s">
        <v>19</v>
      </c>
      <c r="U119" t="str">
        <f t="shared" si="9"/>
        <v>filter|dataset|sample|unit</v>
      </c>
      <c r="V119" t="str">
        <f t="shared" si="10"/>
        <v/>
      </c>
      <c r="W119" t="str">
        <f t="shared" si="11"/>
        <v>filter</v>
      </c>
      <c r="X119" t="str">
        <f t="shared" si="12"/>
        <v/>
      </c>
      <c r="Y119" t="str">
        <f t="shared" si="13"/>
        <v/>
      </c>
      <c r="Z119" t="str">
        <f t="shared" si="14"/>
        <v/>
      </c>
      <c r="AA119" t="str">
        <f t="shared" si="15"/>
        <v>dataset</v>
      </c>
      <c r="AB119" t="str">
        <f t="shared" si="16"/>
        <v>sample</v>
      </c>
      <c r="AC119" t="str">
        <f t="shared" si="17"/>
        <v>unit</v>
      </c>
    </row>
    <row r="120" spans="1:29" x14ac:dyDescent="0.15">
      <c r="A120" s="8" t="s">
        <v>4079</v>
      </c>
      <c r="B120" s="8"/>
      <c r="C120" t="s">
        <v>4125</v>
      </c>
      <c r="E120" s="6" t="s">
        <v>15</v>
      </c>
      <c r="F120" s="6" t="s">
        <v>4044</v>
      </c>
      <c r="G120" s="6" t="s">
        <v>4031</v>
      </c>
      <c r="H120">
        <v>500</v>
      </c>
      <c r="I120" t="b">
        <v>1</v>
      </c>
      <c r="J120" s="1" t="s">
        <v>17</v>
      </c>
      <c r="K120" t="s">
        <v>3119</v>
      </c>
      <c r="L120">
        <v>2</v>
      </c>
      <c r="M120" s="7" t="b">
        <v>0</v>
      </c>
      <c r="N120" s="7" t="b">
        <v>0</v>
      </c>
      <c r="O120" s="1" t="s">
        <v>19</v>
      </c>
      <c r="P120" s="1" t="s">
        <v>17</v>
      </c>
      <c r="Q120" s="1" t="s">
        <v>17</v>
      </c>
      <c r="R120" s="1" t="s">
        <v>17</v>
      </c>
      <c r="S120" s="1" t="s">
        <v>19</v>
      </c>
      <c r="T120" s="1" t="s">
        <v>19</v>
      </c>
      <c r="U120" t="str">
        <f t="shared" si="9"/>
        <v>filter|dataset|sample|unit</v>
      </c>
      <c r="V120" t="str">
        <f t="shared" si="10"/>
        <v/>
      </c>
      <c r="W120" t="str">
        <f t="shared" si="11"/>
        <v>filter</v>
      </c>
      <c r="X120" t="str">
        <f t="shared" si="12"/>
        <v/>
      </c>
      <c r="Y120" t="str">
        <f t="shared" si="13"/>
        <v/>
      </c>
      <c r="Z120" t="str">
        <f t="shared" si="14"/>
        <v/>
      </c>
      <c r="AA120" t="str">
        <f t="shared" si="15"/>
        <v>dataset</v>
      </c>
      <c r="AB120" t="str">
        <f t="shared" si="16"/>
        <v>sample</v>
      </c>
      <c r="AC120" t="str">
        <f t="shared" si="17"/>
        <v>unit</v>
      </c>
    </row>
    <row r="121" spans="1:29" x14ac:dyDescent="0.15">
      <c r="A121" s="8" t="s">
        <v>4080</v>
      </c>
      <c r="B121" s="8"/>
      <c r="C121" t="s">
        <v>4125</v>
      </c>
      <c r="E121" s="6" t="s">
        <v>15</v>
      </c>
      <c r="F121" s="6" t="s">
        <v>1773</v>
      </c>
      <c r="G121" s="6"/>
      <c r="H121">
        <v>500</v>
      </c>
      <c r="I121" t="b">
        <v>1</v>
      </c>
      <c r="J121" s="1" t="s">
        <v>17</v>
      </c>
      <c r="K121" t="s">
        <v>3119</v>
      </c>
      <c r="L121">
        <v>2</v>
      </c>
      <c r="M121" s="7" t="b">
        <v>0</v>
      </c>
      <c r="N121" s="7" t="b">
        <v>0</v>
      </c>
      <c r="O121" s="1" t="s">
        <v>19</v>
      </c>
      <c r="P121" s="1" t="s">
        <v>17</v>
      </c>
      <c r="Q121" s="1" t="s">
        <v>17</v>
      </c>
      <c r="R121" s="1" t="s">
        <v>17</v>
      </c>
      <c r="S121" s="1" t="s">
        <v>19</v>
      </c>
      <c r="T121" s="1" t="s">
        <v>19</v>
      </c>
      <c r="U121" t="str">
        <f t="shared" si="9"/>
        <v>filter|dataset|sample|unit</v>
      </c>
      <c r="V121" t="str">
        <f t="shared" si="10"/>
        <v/>
      </c>
      <c r="W121" t="str">
        <f t="shared" si="11"/>
        <v>filter</v>
      </c>
      <c r="X121" t="str">
        <f t="shared" si="12"/>
        <v/>
      </c>
      <c r="Y121" t="str">
        <f t="shared" si="13"/>
        <v/>
      </c>
      <c r="Z121" t="str">
        <f t="shared" si="14"/>
        <v/>
      </c>
      <c r="AA121" t="str">
        <f t="shared" si="15"/>
        <v>dataset</v>
      </c>
      <c r="AB121" t="str">
        <f t="shared" si="16"/>
        <v>sample</v>
      </c>
      <c r="AC121" t="str">
        <f t="shared" si="17"/>
        <v>unit</v>
      </c>
    </row>
    <row r="122" spans="1:29" x14ac:dyDescent="0.15">
      <c r="A122" s="8" t="s">
        <v>1170</v>
      </c>
      <c r="B122" s="8"/>
      <c r="C122" t="s">
        <v>4125</v>
      </c>
      <c r="E122" s="6" t="s">
        <v>15</v>
      </c>
      <c r="F122" s="6" t="s">
        <v>4059</v>
      </c>
      <c r="G122" s="6"/>
      <c r="H122">
        <v>500</v>
      </c>
      <c r="I122" t="b">
        <v>1</v>
      </c>
      <c r="J122" s="1" t="s">
        <v>17</v>
      </c>
      <c r="K122" t="s">
        <v>3119</v>
      </c>
      <c r="L122">
        <v>2</v>
      </c>
      <c r="M122" s="7" t="b">
        <v>0</v>
      </c>
      <c r="N122" s="7" t="b">
        <v>0</v>
      </c>
      <c r="O122" s="1" t="s">
        <v>19</v>
      </c>
      <c r="P122" s="1" t="s">
        <v>17</v>
      </c>
      <c r="Q122" s="1" t="s">
        <v>17</v>
      </c>
      <c r="R122" s="1" t="s">
        <v>17</v>
      </c>
      <c r="S122" s="1" t="s">
        <v>19</v>
      </c>
      <c r="T122" s="1" t="s">
        <v>19</v>
      </c>
      <c r="U122" t="str">
        <f t="shared" si="9"/>
        <v>filter|dataset|sample|unit</v>
      </c>
      <c r="V122" t="str">
        <f t="shared" si="10"/>
        <v/>
      </c>
      <c r="W122" t="str">
        <f t="shared" si="11"/>
        <v>filter</v>
      </c>
      <c r="X122" t="str">
        <f t="shared" si="12"/>
        <v/>
      </c>
      <c r="Y122" t="str">
        <f t="shared" si="13"/>
        <v/>
      </c>
      <c r="Z122" t="str">
        <f t="shared" si="14"/>
        <v/>
      </c>
      <c r="AA122" t="str">
        <f t="shared" si="15"/>
        <v>dataset</v>
      </c>
      <c r="AB122" t="str">
        <f t="shared" si="16"/>
        <v>sample</v>
      </c>
      <c r="AC122" t="str">
        <f t="shared" si="17"/>
        <v>unit</v>
      </c>
    </row>
    <row r="123" spans="1:29" x14ac:dyDescent="0.15">
      <c r="A123" s="8" t="s">
        <v>4081</v>
      </c>
      <c r="B123" s="8"/>
      <c r="C123" t="s">
        <v>4125</v>
      </c>
      <c r="E123" s="6" t="s">
        <v>15</v>
      </c>
      <c r="F123" s="6" t="s">
        <v>4063</v>
      </c>
      <c r="G123" s="6" t="s">
        <v>4064</v>
      </c>
      <c r="H123">
        <v>500</v>
      </c>
      <c r="I123" t="b">
        <v>1</v>
      </c>
      <c r="J123" s="1" t="s">
        <v>17</v>
      </c>
      <c r="K123" t="s">
        <v>3119</v>
      </c>
      <c r="L123">
        <v>2</v>
      </c>
      <c r="M123" s="7" t="b">
        <v>0</v>
      </c>
      <c r="N123" s="7" t="b">
        <v>0</v>
      </c>
      <c r="O123" s="1" t="s">
        <v>19</v>
      </c>
      <c r="P123" s="1" t="s">
        <v>17</v>
      </c>
      <c r="Q123" s="1" t="s">
        <v>17</v>
      </c>
      <c r="R123" s="1" t="s">
        <v>17</v>
      </c>
      <c r="S123" s="1" t="s">
        <v>19</v>
      </c>
      <c r="T123" s="1" t="s">
        <v>19</v>
      </c>
      <c r="U123" t="str">
        <f t="shared" si="9"/>
        <v>filter|dataset|sample|unit</v>
      </c>
      <c r="V123" t="str">
        <f t="shared" si="10"/>
        <v/>
      </c>
      <c r="W123" t="str">
        <f t="shared" si="11"/>
        <v>filter</v>
      </c>
      <c r="X123" t="str">
        <f t="shared" si="12"/>
        <v/>
      </c>
      <c r="Y123" t="str">
        <f t="shared" si="13"/>
        <v/>
      </c>
      <c r="Z123" t="str">
        <f t="shared" si="14"/>
        <v/>
      </c>
      <c r="AA123" t="str">
        <f t="shared" si="15"/>
        <v>dataset</v>
      </c>
      <c r="AB123" t="str">
        <f t="shared" si="16"/>
        <v>sample</v>
      </c>
      <c r="AC123" t="str">
        <f t="shared" si="17"/>
        <v>unit</v>
      </c>
    </row>
    <row r="124" spans="1:29" x14ac:dyDescent="0.15">
      <c r="A124" s="8" t="s">
        <v>4082</v>
      </c>
      <c r="B124" s="8"/>
      <c r="C124" t="s">
        <v>4125</v>
      </c>
      <c r="E124" s="6" t="s">
        <v>15</v>
      </c>
      <c r="F124" s="6" t="s">
        <v>4066</v>
      </c>
      <c r="G124" s="6"/>
      <c r="H124">
        <v>500</v>
      </c>
      <c r="I124" t="b">
        <v>1</v>
      </c>
      <c r="J124" s="1" t="s">
        <v>17</v>
      </c>
      <c r="K124" t="s">
        <v>3119</v>
      </c>
      <c r="L124">
        <v>2</v>
      </c>
      <c r="M124" s="7" t="b">
        <v>0</v>
      </c>
      <c r="N124" s="7" t="b">
        <v>0</v>
      </c>
      <c r="O124" s="1" t="s">
        <v>19</v>
      </c>
      <c r="P124" s="1" t="s">
        <v>17</v>
      </c>
      <c r="Q124" s="1" t="s">
        <v>17</v>
      </c>
      <c r="R124" s="1" t="s">
        <v>17</v>
      </c>
      <c r="S124" s="1" t="s">
        <v>19</v>
      </c>
      <c r="T124" s="1" t="s">
        <v>19</v>
      </c>
      <c r="U124" t="str">
        <f t="shared" si="9"/>
        <v>filter|dataset|sample|unit</v>
      </c>
      <c r="V124" t="str">
        <f t="shared" si="10"/>
        <v/>
      </c>
      <c r="W124" t="str">
        <f t="shared" si="11"/>
        <v>filter</v>
      </c>
      <c r="X124" t="str">
        <f t="shared" si="12"/>
        <v/>
      </c>
      <c r="Y124" t="str">
        <f t="shared" si="13"/>
        <v/>
      </c>
      <c r="Z124" t="str">
        <f t="shared" si="14"/>
        <v/>
      </c>
      <c r="AA124" t="str">
        <f t="shared" si="15"/>
        <v>dataset</v>
      </c>
      <c r="AB124" t="str">
        <f t="shared" si="16"/>
        <v>sample</v>
      </c>
      <c r="AC124" t="str">
        <f t="shared" si="17"/>
        <v>unit</v>
      </c>
    </row>
    <row r="125" spans="1:29" x14ac:dyDescent="0.15">
      <c r="A125" s="8" t="s">
        <v>4083</v>
      </c>
      <c r="B125" s="8"/>
      <c r="C125" t="s">
        <v>4125</v>
      </c>
      <c r="E125" s="6" t="s">
        <v>15</v>
      </c>
      <c r="F125" s="6" t="s">
        <v>4067</v>
      </c>
      <c r="G125" s="6"/>
      <c r="H125">
        <v>500</v>
      </c>
      <c r="I125" t="b">
        <v>1</v>
      </c>
      <c r="J125" s="1" t="s">
        <v>17</v>
      </c>
      <c r="K125" t="s">
        <v>3119</v>
      </c>
      <c r="L125">
        <v>2</v>
      </c>
      <c r="M125" s="7" t="b">
        <v>0</v>
      </c>
      <c r="N125" s="7" t="b">
        <v>0</v>
      </c>
      <c r="O125" s="1" t="s">
        <v>19</v>
      </c>
      <c r="P125" s="1" t="s">
        <v>17</v>
      </c>
      <c r="Q125" s="1" t="s">
        <v>17</v>
      </c>
      <c r="R125" s="1" t="s">
        <v>17</v>
      </c>
      <c r="S125" s="1" t="s">
        <v>19</v>
      </c>
      <c r="T125" s="1" t="s">
        <v>19</v>
      </c>
      <c r="U125" t="str">
        <f t="shared" si="9"/>
        <v>filter|dataset|sample|unit</v>
      </c>
      <c r="V125" t="str">
        <f t="shared" si="10"/>
        <v/>
      </c>
      <c r="W125" t="str">
        <f t="shared" si="11"/>
        <v>filter</v>
      </c>
      <c r="X125" t="str">
        <f t="shared" si="12"/>
        <v/>
      </c>
      <c r="Y125" t="str">
        <f t="shared" si="13"/>
        <v/>
      </c>
      <c r="Z125" t="str">
        <f t="shared" si="14"/>
        <v/>
      </c>
      <c r="AA125" t="str">
        <f t="shared" si="15"/>
        <v>dataset</v>
      </c>
      <c r="AB125" t="str">
        <f t="shared" si="16"/>
        <v>sample</v>
      </c>
      <c r="AC125" t="str">
        <f t="shared" si="17"/>
        <v>unit</v>
      </c>
    </row>
    <row r="126" spans="1:29" x14ac:dyDescent="0.15">
      <c r="A126" t="s">
        <v>4091</v>
      </c>
      <c r="C126" t="s">
        <v>4125</v>
      </c>
      <c r="E126" s="6" t="s">
        <v>15</v>
      </c>
      <c r="F126" s="6" t="s">
        <v>4113</v>
      </c>
      <c r="G126" s="6" t="s">
        <v>4153</v>
      </c>
      <c r="H126">
        <v>500</v>
      </c>
      <c r="I126" t="b">
        <v>1</v>
      </c>
      <c r="J126" s="1" t="s">
        <v>17</v>
      </c>
      <c r="K126" t="s">
        <v>3119</v>
      </c>
      <c r="L126">
        <v>2</v>
      </c>
      <c r="M126" s="7" t="b">
        <v>0</v>
      </c>
      <c r="N126" s="7" t="b">
        <v>0</v>
      </c>
      <c r="O126" s="1" t="s">
        <v>19</v>
      </c>
      <c r="P126" s="1" t="s">
        <v>17</v>
      </c>
      <c r="Q126" s="1" t="s">
        <v>17</v>
      </c>
      <c r="R126" s="1" t="s">
        <v>17</v>
      </c>
      <c r="S126" s="1" t="s">
        <v>19</v>
      </c>
      <c r="T126" s="1" t="s">
        <v>19</v>
      </c>
      <c r="U126" t="str">
        <f t="shared" si="9"/>
        <v>filter|dataset|sample|unit</v>
      </c>
      <c r="V126" t="str">
        <f t="shared" si="10"/>
        <v/>
      </c>
      <c r="W126" t="str">
        <f t="shared" si="11"/>
        <v>filter</v>
      </c>
      <c r="X126" t="str">
        <f t="shared" si="12"/>
        <v/>
      </c>
      <c r="Y126" t="str">
        <f t="shared" si="13"/>
        <v/>
      </c>
      <c r="Z126" t="str">
        <f t="shared" si="14"/>
        <v/>
      </c>
      <c r="AA126" t="str">
        <f t="shared" si="15"/>
        <v>dataset</v>
      </c>
      <c r="AB126" t="str">
        <f t="shared" si="16"/>
        <v>sample</v>
      </c>
      <c r="AC126" t="str">
        <f t="shared" si="17"/>
        <v>unit</v>
      </c>
    </row>
  </sheetData>
  <autoFilter ref="A1:AMJ108" xr:uid="{00000000-0001-0000-0000-000000000000}"/>
  <conditionalFormatting sqref="J1:J100 M2:T100">
    <cfRule type="containsText" dxfId="8" priority="2" operator="containsText" text="TRUE">
      <formula>NOT(ISERROR(SEARCH("TRUE",J1)))</formula>
    </cfRule>
  </conditionalFormatting>
  <conditionalFormatting sqref="N101:T102">
    <cfRule type="containsText" dxfId="7" priority="4" operator="containsText" text="TRUE">
      <formula>NOT(ISERROR(SEARCH("TRUE",N101)))</formula>
    </cfRule>
  </conditionalFormatting>
  <conditionalFormatting sqref="O1:T1">
    <cfRule type="containsText" dxfId="6" priority="7" operator="containsText" text="TRUE">
      <formula>NOT(ISERROR(SEARCH("TRUE",O1)))</formula>
    </cfRule>
  </conditionalFormatting>
  <conditionalFormatting sqref="Q103:T103">
    <cfRule type="containsText" dxfId="5" priority="3" operator="containsText" text="TRUE">
      <formula>NOT(ISERROR(SEARCH("TRUE",Q103)))</formula>
    </cfRule>
  </conditionalFormatting>
  <conditionalFormatting sqref="W1:AB1">
    <cfRule type="containsText" dxfId="4" priority="1" operator="containsText" text="TRUE">
      <formula>NOT(ISERROR(SEARCH("TRUE",W1)))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319"/>
  <sheetViews>
    <sheetView topLeftCell="A1115" zoomScale="120" zoomScaleNormal="120" workbookViewId="0">
      <selection activeCell="E1259" sqref="E1259"/>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08" width="10.6640625" style="8"/>
  </cols>
  <sheetData>
    <row r="1" spans="1:1010" s="17" customFormat="1" x14ac:dyDescent="0.15">
      <c r="A1" s="17" t="s">
        <v>2731</v>
      </c>
      <c r="B1" s="17" t="s">
        <v>195</v>
      </c>
      <c r="C1" s="17" t="s">
        <v>0</v>
      </c>
      <c r="D1" s="17" t="s">
        <v>196</v>
      </c>
      <c r="E1" s="17" t="s">
        <v>2</v>
      </c>
      <c r="F1" s="17" t="s">
        <v>197</v>
      </c>
      <c r="G1" s="17" t="s">
        <v>3</v>
      </c>
      <c r="H1" s="17" t="s">
        <v>4124</v>
      </c>
      <c r="ALR1" s="18"/>
      <c r="ALS1" s="18"/>
      <c r="ALT1" s="18"/>
      <c r="ALU1" s="19"/>
      <c r="ALV1" s="19"/>
    </row>
    <row r="2" spans="1:1010" x14ac:dyDescent="0.15">
      <c r="A2" s="8" t="s">
        <v>198</v>
      </c>
      <c r="B2" s="8" t="s">
        <v>126</v>
      </c>
      <c r="C2" s="8" t="str">
        <f>A2</f>
        <v>steroid_synthesis</v>
      </c>
      <c r="D2" s="9" t="s">
        <v>15</v>
      </c>
      <c r="E2" s="8" t="s">
        <v>199</v>
      </c>
      <c r="F2" s="8" t="s">
        <v>200</v>
      </c>
      <c r="G2" s="8">
        <v>500</v>
      </c>
    </row>
    <row r="3" spans="1:1010" x14ac:dyDescent="0.15">
      <c r="A3" s="8" t="s">
        <v>201</v>
      </c>
      <c r="B3" s="8" t="s">
        <v>126</v>
      </c>
      <c r="C3" s="8" t="str">
        <f t="shared" ref="C3:C66" si="0">A3</f>
        <v>q_linked_reactions</v>
      </c>
      <c r="D3" s="9" t="s">
        <v>15</v>
      </c>
      <c r="E3" s="8" t="s">
        <v>202</v>
      </c>
      <c r="F3" s="8" t="s">
        <v>203</v>
      </c>
      <c r="G3" s="8">
        <v>500</v>
      </c>
    </row>
    <row r="4" spans="1:1010" x14ac:dyDescent="0.15">
      <c r="A4" s="8" t="s">
        <v>204</v>
      </c>
      <c r="B4" s="8" t="s">
        <v>126</v>
      </c>
      <c r="C4" s="8" t="str">
        <f t="shared" si="0"/>
        <v>protein_import</v>
      </c>
      <c r="D4" s="9" t="s">
        <v>15</v>
      </c>
      <c r="E4" s="8" t="s">
        <v>205</v>
      </c>
      <c r="F4" s="8" t="s">
        <v>205</v>
      </c>
      <c r="G4" s="8">
        <v>500</v>
      </c>
    </row>
    <row r="5" spans="1:1010" x14ac:dyDescent="0.15">
      <c r="A5" s="8" t="s">
        <v>206</v>
      </c>
      <c r="B5" s="8" t="s">
        <v>53</v>
      </c>
      <c r="C5" s="8" t="str">
        <f t="shared" si="0"/>
        <v>360um</v>
      </c>
      <c r="D5" s="9" t="s">
        <v>15</v>
      </c>
      <c r="E5" s="8">
        <v>360</v>
      </c>
      <c r="F5" s="8" t="s">
        <v>207</v>
      </c>
      <c r="G5" s="8">
        <v>500</v>
      </c>
    </row>
    <row r="6" spans="1:1010" x14ac:dyDescent="0.15">
      <c r="A6" s="8" t="s">
        <v>208</v>
      </c>
      <c r="B6" s="8" t="s">
        <v>209</v>
      </c>
      <c r="C6" s="8" t="str">
        <f t="shared" si="0"/>
        <v>arginine</v>
      </c>
      <c r="D6" s="8" t="s">
        <v>208</v>
      </c>
      <c r="E6" s="8" t="s">
        <v>210</v>
      </c>
      <c r="F6" s="8" t="s">
        <v>211</v>
      </c>
      <c r="G6" s="8">
        <v>500</v>
      </c>
    </row>
    <row r="7" spans="1:1010" x14ac:dyDescent="0.15">
      <c r="A7" s="8" t="s">
        <v>212</v>
      </c>
      <c r="B7" s="8" t="s">
        <v>209</v>
      </c>
      <c r="C7" s="8" t="str">
        <f t="shared" si="0"/>
        <v>asparagine</v>
      </c>
      <c r="D7" s="8" t="s">
        <v>212</v>
      </c>
      <c r="E7" s="8" t="s">
        <v>213</v>
      </c>
      <c r="F7" s="8" t="s">
        <v>214</v>
      </c>
      <c r="G7" s="8">
        <v>500</v>
      </c>
    </row>
    <row r="8" spans="1:1010" x14ac:dyDescent="0.15">
      <c r="A8" s="8" t="s">
        <v>215</v>
      </c>
      <c r="B8" s="8" t="s">
        <v>209</v>
      </c>
      <c r="C8" s="8" t="str">
        <f t="shared" si="0"/>
        <v>asparticacid</v>
      </c>
      <c r="D8" s="8" t="s">
        <v>215</v>
      </c>
      <c r="E8" s="8" t="s">
        <v>216</v>
      </c>
      <c r="F8" s="8" t="s">
        <v>217</v>
      </c>
      <c r="G8" s="8">
        <v>500</v>
      </c>
    </row>
    <row r="9" spans="1:1010" x14ac:dyDescent="0.15">
      <c r="A9" s="8" t="s">
        <v>218</v>
      </c>
      <c r="B9" s="8" t="s">
        <v>209</v>
      </c>
      <c r="C9" s="8" t="str">
        <f t="shared" si="0"/>
        <v>cysteine</v>
      </c>
      <c r="D9" s="8" t="s">
        <v>218</v>
      </c>
      <c r="E9" s="8" t="s">
        <v>219</v>
      </c>
      <c r="F9" s="8" t="s">
        <v>220</v>
      </c>
      <c r="G9" s="8">
        <v>500</v>
      </c>
    </row>
    <row r="10" spans="1:1010" x14ac:dyDescent="0.15">
      <c r="A10" s="8" t="s">
        <v>221</v>
      </c>
      <c r="B10" s="8" t="s">
        <v>209</v>
      </c>
      <c r="C10" s="8" t="str">
        <f t="shared" si="0"/>
        <v>glutamicacid</v>
      </c>
      <c r="D10" s="8" t="s">
        <v>221</v>
      </c>
      <c r="E10" s="8" t="s">
        <v>222</v>
      </c>
      <c r="F10" s="8" t="s">
        <v>223</v>
      </c>
      <c r="G10" s="8">
        <v>500</v>
      </c>
    </row>
    <row r="11" spans="1:1010" x14ac:dyDescent="0.15">
      <c r="A11" s="8" t="s">
        <v>224</v>
      </c>
      <c r="B11" s="8" t="s">
        <v>209</v>
      </c>
      <c r="C11" s="8" t="str">
        <f t="shared" si="0"/>
        <v>glutamine</v>
      </c>
      <c r="D11" s="8" t="s">
        <v>224</v>
      </c>
      <c r="E11" s="8" t="s">
        <v>225</v>
      </c>
      <c r="F11" s="8" t="s">
        <v>226</v>
      </c>
      <c r="G11" s="8">
        <v>500</v>
      </c>
    </row>
    <row r="12" spans="1:1010" x14ac:dyDescent="0.15">
      <c r="A12" s="8" t="s">
        <v>227</v>
      </c>
      <c r="B12" s="8" t="s">
        <v>209</v>
      </c>
      <c r="C12" s="8" t="str">
        <f t="shared" si="0"/>
        <v>glycine</v>
      </c>
      <c r="D12" s="8" t="s">
        <v>227</v>
      </c>
      <c r="E12" s="8" t="s">
        <v>228</v>
      </c>
      <c r="F12" s="8" t="s">
        <v>229</v>
      </c>
      <c r="G12" s="8">
        <v>500</v>
      </c>
    </row>
    <row r="13" spans="1:1010" x14ac:dyDescent="0.15">
      <c r="A13" s="8" t="s">
        <v>230</v>
      </c>
      <c r="B13" s="8" t="s">
        <v>209</v>
      </c>
      <c r="C13" s="8" t="str">
        <f t="shared" si="0"/>
        <v>histidine</v>
      </c>
      <c r="D13" s="8" t="s">
        <v>230</v>
      </c>
      <c r="E13" s="8" t="s">
        <v>231</v>
      </c>
      <c r="F13" s="8" t="s">
        <v>232</v>
      </c>
      <c r="G13" s="8">
        <v>500</v>
      </c>
    </row>
    <row r="14" spans="1:1010" x14ac:dyDescent="0.15">
      <c r="A14" s="8" t="s">
        <v>233</v>
      </c>
      <c r="B14" s="8" t="s">
        <v>209</v>
      </c>
      <c r="C14" s="8" t="str">
        <f t="shared" si="0"/>
        <v>isoleucine</v>
      </c>
      <c r="D14" s="8" t="s">
        <v>233</v>
      </c>
      <c r="E14" s="8" t="s">
        <v>234</v>
      </c>
      <c r="F14" s="8" t="s">
        <v>235</v>
      </c>
      <c r="G14" s="8">
        <v>500</v>
      </c>
    </row>
    <row r="15" spans="1:1010" x14ac:dyDescent="0.15">
      <c r="A15" s="8" t="s">
        <v>236</v>
      </c>
      <c r="B15" s="8" t="s">
        <v>209</v>
      </c>
      <c r="C15" s="8" t="str">
        <f t="shared" si="0"/>
        <v>leucine</v>
      </c>
      <c r="D15" s="8" t="s">
        <v>236</v>
      </c>
      <c r="E15" s="8" t="s">
        <v>237</v>
      </c>
      <c r="F15" s="8" t="s">
        <v>238</v>
      </c>
      <c r="G15" s="8">
        <v>500</v>
      </c>
    </row>
    <row r="16" spans="1:1010" x14ac:dyDescent="0.15">
      <c r="A16" s="8" t="s">
        <v>239</v>
      </c>
      <c r="B16" s="8" t="s">
        <v>209</v>
      </c>
      <c r="C16" s="8" t="str">
        <f t="shared" si="0"/>
        <v>lysine</v>
      </c>
      <c r="D16" s="8" t="s">
        <v>239</v>
      </c>
      <c r="E16" s="8" t="s">
        <v>240</v>
      </c>
      <c r="F16" s="8" t="s">
        <v>241</v>
      </c>
      <c r="G16" s="8">
        <v>500</v>
      </c>
    </row>
    <row r="17" spans="1:7" x14ac:dyDescent="0.15">
      <c r="A17" s="8" t="s">
        <v>242</v>
      </c>
      <c r="B17" s="8" t="s">
        <v>209</v>
      </c>
      <c r="C17" s="8" t="str">
        <f t="shared" si="0"/>
        <v>methionine</v>
      </c>
      <c r="D17" s="8" t="s">
        <v>242</v>
      </c>
      <c r="E17" s="8" t="s">
        <v>243</v>
      </c>
      <c r="F17" s="8" t="s">
        <v>244</v>
      </c>
      <c r="G17" s="8">
        <v>500</v>
      </c>
    </row>
    <row r="18" spans="1:7" x14ac:dyDescent="0.15">
      <c r="A18" s="8" t="s">
        <v>245</v>
      </c>
      <c r="B18" s="8" t="s">
        <v>209</v>
      </c>
      <c r="C18" s="8" t="str">
        <f t="shared" si="0"/>
        <v>phenylalanine</v>
      </c>
      <c r="D18" s="8" t="s">
        <v>245</v>
      </c>
      <c r="E18" s="8" t="s">
        <v>246</v>
      </c>
      <c r="F18" s="8" t="s">
        <v>247</v>
      </c>
      <c r="G18" s="8">
        <v>500</v>
      </c>
    </row>
    <row r="19" spans="1:7" x14ac:dyDescent="0.15">
      <c r="A19" s="8" t="s">
        <v>248</v>
      </c>
      <c r="B19" s="8" t="s">
        <v>209</v>
      </c>
      <c r="C19" s="8" t="str">
        <f t="shared" si="0"/>
        <v>proline</v>
      </c>
      <c r="D19" s="8" t="s">
        <v>248</v>
      </c>
      <c r="E19" s="8" t="s">
        <v>249</v>
      </c>
      <c r="F19" s="8" t="s">
        <v>250</v>
      </c>
      <c r="G19" s="8">
        <v>500</v>
      </c>
    </row>
    <row r="20" spans="1:7" x14ac:dyDescent="0.15">
      <c r="A20" s="8" t="s">
        <v>251</v>
      </c>
      <c r="B20" s="8" t="s">
        <v>209</v>
      </c>
      <c r="C20" s="8" t="str">
        <f t="shared" si="0"/>
        <v>serine</v>
      </c>
      <c r="D20" s="8" t="s">
        <v>251</v>
      </c>
      <c r="E20" s="8" t="s">
        <v>252</v>
      </c>
      <c r="F20" s="8" t="s">
        <v>253</v>
      </c>
      <c r="G20" s="8">
        <v>500</v>
      </c>
    </row>
    <row r="21" spans="1:7" x14ac:dyDescent="0.15">
      <c r="A21" s="8" t="s">
        <v>254</v>
      </c>
      <c r="B21" s="8" t="s">
        <v>209</v>
      </c>
      <c r="C21" s="8" t="str">
        <f t="shared" si="0"/>
        <v>threonine</v>
      </c>
      <c r="D21" s="8" t="s">
        <v>254</v>
      </c>
      <c r="E21" s="8" t="s">
        <v>255</v>
      </c>
      <c r="F21" s="8" t="s">
        <v>256</v>
      </c>
      <c r="G21" s="8">
        <v>500</v>
      </c>
    </row>
    <row r="22" spans="1:7" x14ac:dyDescent="0.15">
      <c r="A22" s="8" t="s">
        <v>257</v>
      </c>
      <c r="B22" s="8" t="s">
        <v>209</v>
      </c>
      <c r="C22" s="8" t="str">
        <f t="shared" si="0"/>
        <v>tryptophan</v>
      </c>
      <c r="D22" s="8" t="s">
        <v>257</v>
      </c>
      <c r="E22" s="8" t="s">
        <v>258</v>
      </c>
      <c r="F22" s="8" t="s">
        <v>259</v>
      </c>
      <c r="G22" s="8">
        <v>500</v>
      </c>
    </row>
    <row r="23" spans="1:7" x14ac:dyDescent="0.15">
      <c r="A23" s="8" t="s">
        <v>260</v>
      </c>
      <c r="B23" s="8" t="s">
        <v>209</v>
      </c>
      <c r="C23" s="8" t="str">
        <f t="shared" si="0"/>
        <v>tyrosine</v>
      </c>
      <c r="D23" s="8" t="s">
        <v>260</v>
      </c>
      <c r="E23" s="8" t="s">
        <v>261</v>
      </c>
      <c r="F23" s="8" t="s">
        <v>262</v>
      </c>
      <c r="G23" s="8">
        <v>500</v>
      </c>
    </row>
    <row r="24" spans="1:7" x14ac:dyDescent="0.15">
      <c r="A24" s="8" t="s">
        <v>263</v>
      </c>
      <c r="B24" s="8" t="s">
        <v>209</v>
      </c>
      <c r="C24" s="8" t="str">
        <f t="shared" si="0"/>
        <v>valine</v>
      </c>
      <c r="D24" s="8" t="s">
        <v>263</v>
      </c>
      <c r="E24" s="8" t="s">
        <v>264</v>
      </c>
      <c r="F24" s="8" t="s">
        <v>265</v>
      </c>
      <c r="G24" s="8">
        <v>500</v>
      </c>
    </row>
    <row r="25" spans="1:7" x14ac:dyDescent="0.15">
      <c r="A25" s="8" t="s">
        <v>208</v>
      </c>
      <c r="B25" s="8" t="s">
        <v>14</v>
      </c>
      <c r="C25" s="8" t="str">
        <f t="shared" si="0"/>
        <v>arginine</v>
      </c>
      <c r="D25" s="9" t="s">
        <v>15</v>
      </c>
      <c r="E25" s="8" t="s">
        <v>210</v>
      </c>
      <c r="F25" s="8" t="s">
        <v>211</v>
      </c>
      <c r="G25" s="8">
        <v>500</v>
      </c>
    </row>
    <row r="26" spans="1:7" x14ac:dyDescent="0.15">
      <c r="A26" s="8" t="s">
        <v>212</v>
      </c>
      <c r="B26" s="8" t="s">
        <v>14</v>
      </c>
      <c r="C26" s="8" t="str">
        <f t="shared" si="0"/>
        <v>asparagine</v>
      </c>
      <c r="D26" s="9" t="s">
        <v>15</v>
      </c>
      <c r="E26" s="8" t="s">
        <v>213</v>
      </c>
      <c r="F26" s="8" t="s">
        <v>214</v>
      </c>
      <c r="G26" s="8">
        <v>500</v>
      </c>
    </row>
    <row r="27" spans="1:7" x14ac:dyDescent="0.15">
      <c r="A27" s="8" t="s">
        <v>215</v>
      </c>
      <c r="B27" s="8" t="s">
        <v>14</v>
      </c>
      <c r="C27" s="8" t="str">
        <f t="shared" si="0"/>
        <v>asparticacid</v>
      </c>
      <c r="D27" s="9" t="s">
        <v>15</v>
      </c>
      <c r="E27" s="8" t="s">
        <v>216</v>
      </c>
      <c r="F27" s="8" t="s">
        <v>217</v>
      </c>
      <c r="G27" s="8">
        <v>500</v>
      </c>
    </row>
    <row r="28" spans="1:7" x14ac:dyDescent="0.15">
      <c r="A28" s="8" t="s">
        <v>218</v>
      </c>
      <c r="B28" s="8" t="s">
        <v>14</v>
      </c>
      <c r="C28" s="8" t="str">
        <f t="shared" si="0"/>
        <v>cysteine</v>
      </c>
      <c r="D28" s="9" t="s">
        <v>15</v>
      </c>
      <c r="E28" s="8" t="s">
        <v>219</v>
      </c>
      <c r="F28" s="8" t="s">
        <v>220</v>
      </c>
      <c r="G28" s="8">
        <v>500</v>
      </c>
    </row>
    <row r="29" spans="1:7" x14ac:dyDescent="0.15">
      <c r="A29" s="8" t="s">
        <v>221</v>
      </c>
      <c r="B29" s="8" t="s">
        <v>14</v>
      </c>
      <c r="C29" s="8" t="str">
        <f t="shared" si="0"/>
        <v>glutamicacid</v>
      </c>
      <c r="D29" s="9" t="s">
        <v>15</v>
      </c>
      <c r="E29" s="8" t="s">
        <v>222</v>
      </c>
      <c r="F29" s="8" t="s">
        <v>223</v>
      </c>
      <c r="G29" s="8">
        <v>500</v>
      </c>
    </row>
    <row r="30" spans="1:7" x14ac:dyDescent="0.15">
      <c r="A30" s="8" t="s">
        <v>224</v>
      </c>
      <c r="B30" s="8" t="s">
        <v>14</v>
      </c>
      <c r="C30" s="8" t="str">
        <f t="shared" si="0"/>
        <v>glutamine</v>
      </c>
      <c r="D30" s="9" t="s">
        <v>15</v>
      </c>
      <c r="E30" s="8" t="s">
        <v>225</v>
      </c>
      <c r="F30" s="8" t="s">
        <v>226</v>
      </c>
      <c r="G30" s="8">
        <v>500</v>
      </c>
    </row>
    <row r="31" spans="1:7" x14ac:dyDescent="0.15">
      <c r="A31" s="8" t="s">
        <v>227</v>
      </c>
      <c r="B31" s="8" t="s">
        <v>14</v>
      </c>
      <c r="C31" s="8" t="str">
        <f t="shared" si="0"/>
        <v>glycine</v>
      </c>
      <c r="D31" s="9" t="s">
        <v>15</v>
      </c>
      <c r="E31" s="8" t="s">
        <v>228</v>
      </c>
      <c r="F31" s="8" t="s">
        <v>229</v>
      </c>
      <c r="G31" s="8">
        <v>500</v>
      </c>
    </row>
    <row r="32" spans="1:7" x14ac:dyDescent="0.15">
      <c r="A32" s="8" t="s">
        <v>230</v>
      </c>
      <c r="B32" s="8" t="s">
        <v>14</v>
      </c>
      <c r="C32" s="8" t="str">
        <f t="shared" si="0"/>
        <v>histidine</v>
      </c>
      <c r="D32" s="9" t="s">
        <v>15</v>
      </c>
      <c r="E32" s="8" t="s">
        <v>231</v>
      </c>
      <c r="F32" s="8" t="s">
        <v>232</v>
      </c>
      <c r="G32" s="8">
        <v>500</v>
      </c>
    </row>
    <row r="33" spans="1:7" x14ac:dyDescent="0.15">
      <c r="A33" s="8" t="s">
        <v>233</v>
      </c>
      <c r="B33" s="8" t="s">
        <v>14</v>
      </c>
      <c r="C33" s="8" t="str">
        <f t="shared" si="0"/>
        <v>isoleucine</v>
      </c>
      <c r="D33" s="9" t="s">
        <v>15</v>
      </c>
      <c r="E33" s="8" t="s">
        <v>234</v>
      </c>
      <c r="F33" s="8" t="s">
        <v>235</v>
      </c>
      <c r="G33" s="8">
        <v>500</v>
      </c>
    </row>
    <row r="34" spans="1:7" x14ac:dyDescent="0.15">
      <c r="A34" s="8" t="s">
        <v>236</v>
      </c>
      <c r="B34" s="8" t="s">
        <v>14</v>
      </c>
      <c r="C34" s="8" t="str">
        <f t="shared" si="0"/>
        <v>leucine</v>
      </c>
      <c r="D34" s="9" t="s">
        <v>15</v>
      </c>
      <c r="E34" s="8" t="s">
        <v>237</v>
      </c>
      <c r="F34" s="8" t="s">
        <v>238</v>
      </c>
      <c r="G34" s="8">
        <v>500</v>
      </c>
    </row>
    <row r="35" spans="1:7" x14ac:dyDescent="0.15">
      <c r="A35" s="8" t="s">
        <v>239</v>
      </c>
      <c r="B35" s="8" t="s">
        <v>14</v>
      </c>
      <c r="C35" s="8" t="str">
        <f t="shared" si="0"/>
        <v>lysine</v>
      </c>
      <c r="D35" s="9" t="s">
        <v>15</v>
      </c>
      <c r="E35" s="8" t="s">
        <v>240</v>
      </c>
      <c r="F35" s="8" t="s">
        <v>241</v>
      </c>
      <c r="G35" s="8">
        <v>500</v>
      </c>
    </row>
    <row r="36" spans="1:7" x14ac:dyDescent="0.15">
      <c r="A36" s="8" t="s">
        <v>242</v>
      </c>
      <c r="B36" s="8" t="s">
        <v>14</v>
      </c>
      <c r="C36" s="8" t="str">
        <f t="shared" si="0"/>
        <v>methionine</v>
      </c>
      <c r="D36" s="9" t="s">
        <v>15</v>
      </c>
      <c r="E36" s="8" t="s">
        <v>243</v>
      </c>
      <c r="F36" s="8" t="s">
        <v>244</v>
      </c>
      <c r="G36" s="8">
        <v>500</v>
      </c>
    </row>
    <row r="37" spans="1:7" x14ac:dyDescent="0.15">
      <c r="A37" s="8" t="s">
        <v>245</v>
      </c>
      <c r="B37" s="8" t="s">
        <v>14</v>
      </c>
      <c r="C37" s="8" t="str">
        <f t="shared" si="0"/>
        <v>phenylalanine</v>
      </c>
      <c r="D37" s="9" t="s">
        <v>15</v>
      </c>
      <c r="E37" s="8" t="s">
        <v>246</v>
      </c>
      <c r="F37" s="8" t="s">
        <v>247</v>
      </c>
      <c r="G37" s="8">
        <v>500</v>
      </c>
    </row>
    <row r="38" spans="1:7" x14ac:dyDescent="0.15">
      <c r="A38" s="8" t="s">
        <v>248</v>
      </c>
      <c r="B38" s="8" t="s">
        <v>14</v>
      </c>
      <c r="C38" s="8" t="str">
        <f t="shared" si="0"/>
        <v>proline</v>
      </c>
      <c r="D38" s="9" t="s">
        <v>15</v>
      </c>
      <c r="E38" s="8" t="s">
        <v>249</v>
      </c>
      <c r="F38" s="8" t="s">
        <v>250</v>
      </c>
      <c r="G38" s="8">
        <v>500</v>
      </c>
    </row>
    <row r="39" spans="1:7" x14ac:dyDescent="0.15">
      <c r="A39" s="8" t="s">
        <v>251</v>
      </c>
      <c r="B39" s="8" t="s">
        <v>14</v>
      </c>
      <c r="C39" s="8" t="str">
        <f t="shared" si="0"/>
        <v>serine</v>
      </c>
      <c r="D39" s="9" t="s">
        <v>15</v>
      </c>
      <c r="E39" s="8" t="s">
        <v>252</v>
      </c>
      <c r="F39" s="8" t="s">
        <v>253</v>
      </c>
      <c r="G39" s="8">
        <v>500</v>
      </c>
    </row>
    <row r="40" spans="1:7" x14ac:dyDescent="0.15">
      <c r="A40" s="8" t="s">
        <v>254</v>
      </c>
      <c r="B40" s="8" t="s">
        <v>14</v>
      </c>
      <c r="C40" s="8" t="str">
        <f t="shared" si="0"/>
        <v>threonine</v>
      </c>
      <c r="D40" s="9" t="s">
        <v>15</v>
      </c>
      <c r="E40" s="8" t="s">
        <v>255</v>
      </c>
      <c r="F40" s="8" t="s">
        <v>256</v>
      </c>
      <c r="G40" s="8">
        <v>500</v>
      </c>
    </row>
    <row r="41" spans="1:7" x14ac:dyDescent="0.15">
      <c r="A41" s="8" t="s">
        <v>257</v>
      </c>
      <c r="B41" s="8" t="s">
        <v>14</v>
      </c>
      <c r="C41" s="8" t="str">
        <f t="shared" si="0"/>
        <v>tryptophan</v>
      </c>
      <c r="D41" s="9" t="s">
        <v>15</v>
      </c>
      <c r="E41" s="8" t="s">
        <v>258</v>
      </c>
      <c r="F41" s="8" t="s">
        <v>259</v>
      </c>
      <c r="G41" s="8">
        <v>500</v>
      </c>
    </row>
    <row r="42" spans="1:7" x14ac:dyDescent="0.15">
      <c r="A42" s="8" t="s">
        <v>260</v>
      </c>
      <c r="B42" s="8" t="s">
        <v>14</v>
      </c>
      <c r="C42" s="8" t="str">
        <f t="shared" si="0"/>
        <v>tyrosine</v>
      </c>
      <c r="D42" s="9" t="s">
        <v>15</v>
      </c>
      <c r="E42" s="8" t="s">
        <v>261</v>
      </c>
      <c r="F42" s="8" t="s">
        <v>262</v>
      </c>
      <c r="G42" s="8">
        <v>500</v>
      </c>
    </row>
    <row r="43" spans="1:7" x14ac:dyDescent="0.15">
      <c r="A43" s="8" t="s">
        <v>263</v>
      </c>
      <c r="B43" s="8" t="s">
        <v>14</v>
      </c>
      <c r="C43" s="8" t="str">
        <f t="shared" si="0"/>
        <v>valine</v>
      </c>
      <c r="D43" s="9" t="s">
        <v>15</v>
      </c>
      <c r="E43" s="8" t="s">
        <v>264</v>
      </c>
      <c r="F43" s="8" t="s">
        <v>265</v>
      </c>
      <c r="G43" s="8">
        <v>500</v>
      </c>
    </row>
    <row r="44" spans="1:7" x14ac:dyDescent="0.15">
      <c r="A44" s="8" t="s">
        <v>281</v>
      </c>
      <c r="B44" s="8" t="s">
        <v>14</v>
      </c>
      <c r="C44" s="8" t="str">
        <f t="shared" si="0"/>
        <v>none</v>
      </c>
      <c r="D44" s="9" t="s">
        <v>15</v>
      </c>
      <c r="E44" s="8" t="s">
        <v>3015</v>
      </c>
      <c r="F44" s="8" t="s">
        <v>3016</v>
      </c>
      <c r="G44" s="8">
        <v>500</v>
      </c>
    </row>
    <row r="45" spans="1:7" x14ac:dyDescent="0.15">
      <c r="A45" s="8" t="s">
        <v>266</v>
      </c>
      <c r="B45" s="8" t="s">
        <v>20</v>
      </c>
      <c r="C45" s="8" t="str">
        <f t="shared" si="0"/>
        <v>dda</v>
      </c>
      <c r="D45" s="8" t="s">
        <v>266</v>
      </c>
      <c r="E45" s="8" t="s">
        <v>267</v>
      </c>
      <c r="F45" s="8" t="s">
        <v>268</v>
      </c>
      <c r="G45" s="8">
        <v>500</v>
      </c>
    </row>
    <row r="46" spans="1:7" x14ac:dyDescent="0.15">
      <c r="A46" s="8" t="s">
        <v>269</v>
      </c>
      <c r="B46" s="8" t="s">
        <v>20</v>
      </c>
      <c r="C46" s="8" t="str">
        <f t="shared" si="0"/>
        <v>dia</v>
      </c>
      <c r="D46" s="8" t="s">
        <v>269</v>
      </c>
      <c r="E46" s="8" t="s">
        <v>270</v>
      </c>
      <c r="F46" s="8" t="s">
        <v>271</v>
      </c>
      <c r="G46" s="8">
        <v>500</v>
      </c>
    </row>
    <row r="47" spans="1:7" x14ac:dyDescent="0.15">
      <c r="A47" s="8" t="s">
        <v>272</v>
      </c>
      <c r="B47" s="8" t="s">
        <v>20</v>
      </c>
      <c r="C47" s="8" t="str">
        <f t="shared" si="0"/>
        <v>srm</v>
      </c>
      <c r="D47" s="8" t="s">
        <v>272</v>
      </c>
      <c r="E47" s="8" t="s">
        <v>273</v>
      </c>
      <c r="F47" s="8" t="s">
        <v>274</v>
      </c>
      <c r="G47" s="8">
        <v>500</v>
      </c>
    </row>
    <row r="48" spans="1:7" x14ac:dyDescent="0.15">
      <c r="A48" s="8" t="s">
        <v>275</v>
      </c>
      <c r="B48" s="8" t="s">
        <v>24</v>
      </c>
      <c r="C48" s="8" t="str">
        <f t="shared" si="0"/>
        <v>caa</v>
      </c>
      <c r="D48" s="9" t="s">
        <v>15</v>
      </c>
      <c r="E48" s="8" t="s">
        <v>276</v>
      </c>
      <c r="F48" s="8" t="s">
        <v>277</v>
      </c>
      <c r="G48" s="8">
        <v>500</v>
      </c>
    </row>
    <row r="49" spans="1:7" x14ac:dyDescent="0.15">
      <c r="A49" s="8" t="s">
        <v>278</v>
      </c>
      <c r="B49" s="8" t="s">
        <v>24</v>
      </c>
      <c r="C49" s="8" t="str">
        <f t="shared" si="0"/>
        <v>iaa</v>
      </c>
      <c r="D49" s="9" t="s">
        <v>15</v>
      </c>
      <c r="E49" s="8" t="s">
        <v>279</v>
      </c>
      <c r="F49" s="8" t="s">
        <v>280</v>
      </c>
      <c r="G49" s="8">
        <v>500</v>
      </c>
    </row>
    <row r="50" spans="1:7" x14ac:dyDescent="0.15">
      <c r="A50" s="8" t="s">
        <v>281</v>
      </c>
      <c r="B50" s="8" t="s">
        <v>24</v>
      </c>
      <c r="C50" s="8" t="str">
        <f t="shared" si="0"/>
        <v>none</v>
      </c>
      <c r="D50" s="9" t="s">
        <v>15</v>
      </c>
      <c r="E50" s="8" t="s">
        <v>282</v>
      </c>
      <c r="F50" s="8" t="s">
        <v>283</v>
      </c>
      <c r="G50" s="8">
        <v>500</v>
      </c>
    </row>
    <row r="51" spans="1:7" x14ac:dyDescent="0.15">
      <c r="A51" s="8" t="s">
        <v>284</v>
      </c>
      <c r="B51" s="8" t="s">
        <v>28</v>
      </c>
      <c r="C51" s="8" t="str">
        <f t="shared" si="0"/>
        <v>directdia</v>
      </c>
      <c r="D51" s="9" t="s">
        <v>15</v>
      </c>
      <c r="E51" s="8" t="s">
        <v>285</v>
      </c>
      <c r="F51" s="8" t="s">
        <v>286</v>
      </c>
      <c r="G51" s="8">
        <v>500</v>
      </c>
    </row>
    <row r="52" spans="1:7" x14ac:dyDescent="0.15">
      <c r="A52" s="8" t="s">
        <v>287</v>
      </c>
      <c r="B52" s="8" t="s">
        <v>28</v>
      </c>
      <c r="C52" s="8" t="str">
        <f t="shared" si="0"/>
        <v>libdia</v>
      </c>
      <c r="D52" s="9" t="s">
        <v>15</v>
      </c>
      <c r="E52" s="8" t="s">
        <v>288</v>
      </c>
      <c r="F52" s="8" t="s">
        <v>289</v>
      </c>
      <c r="G52" s="8">
        <v>500</v>
      </c>
    </row>
    <row r="53" spans="1:7" x14ac:dyDescent="0.15">
      <c r="A53" s="8" t="s">
        <v>290</v>
      </c>
      <c r="B53" s="8" t="s">
        <v>291</v>
      </c>
      <c r="C53" s="8" t="str">
        <f t="shared" si="0"/>
        <v>adipoq_cre</v>
      </c>
      <c r="D53" s="9" t="s">
        <v>15</v>
      </c>
      <c r="E53" s="8" t="s">
        <v>292</v>
      </c>
      <c r="F53" s="8" t="s">
        <v>293</v>
      </c>
      <c r="G53" s="8">
        <v>500</v>
      </c>
    </row>
    <row r="54" spans="1:7" x14ac:dyDescent="0.15">
      <c r="A54" s="8" t="s">
        <v>294</v>
      </c>
      <c r="B54" s="8" t="s">
        <v>291</v>
      </c>
      <c r="C54" s="8" t="str">
        <f t="shared" si="0"/>
        <v>alb_cre</v>
      </c>
      <c r="D54" s="9" t="s">
        <v>15</v>
      </c>
      <c r="E54" s="8" t="s">
        <v>295</v>
      </c>
      <c r="F54" s="8" t="s">
        <v>296</v>
      </c>
      <c r="G54" s="8">
        <v>500</v>
      </c>
    </row>
    <row r="55" spans="1:7" x14ac:dyDescent="0.15">
      <c r="A55" s="8" t="s">
        <v>297</v>
      </c>
      <c r="B55" s="8" t="s">
        <v>291</v>
      </c>
      <c r="C55" s="8" t="str">
        <f t="shared" si="0"/>
        <v>asc_ko</v>
      </c>
      <c r="D55" s="9" t="s">
        <v>15</v>
      </c>
      <c r="E55" s="8" t="s">
        <v>298</v>
      </c>
      <c r="F55" s="8" t="s">
        <v>298</v>
      </c>
      <c r="G55" s="8">
        <v>500</v>
      </c>
    </row>
    <row r="56" spans="1:7" x14ac:dyDescent="0.15">
      <c r="A56" s="8" t="s">
        <v>299</v>
      </c>
      <c r="B56" s="8" t="s">
        <v>291</v>
      </c>
      <c r="C56" s="8" t="str">
        <f t="shared" si="0"/>
        <v>baf53b_cre</v>
      </c>
      <c r="D56" s="9" t="s">
        <v>15</v>
      </c>
      <c r="E56" s="8" t="s">
        <v>300</v>
      </c>
      <c r="F56" s="8" t="s">
        <v>301</v>
      </c>
      <c r="G56" s="8">
        <v>500</v>
      </c>
    </row>
    <row r="57" spans="1:7" x14ac:dyDescent="0.15">
      <c r="A57" s="8" t="s">
        <v>302</v>
      </c>
      <c r="B57" s="8" t="s">
        <v>291</v>
      </c>
      <c r="C57" s="8" t="str">
        <f t="shared" si="0"/>
        <v>c57_bl6j</v>
      </c>
      <c r="D57" s="9" t="s">
        <v>15</v>
      </c>
      <c r="E57" s="8" t="s">
        <v>303</v>
      </c>
      <c r="F57" s="8" t="s">
        <v>303</v>
      </c>
      <c r="G57" s="8">
        <v>500</v>
      </c>
    </row>
    <row r="58" spans="1:7" x14ac:dyDescent="0.15">
      <c r="A58" s="8" t="s">
        <v>304</v>
      </c>
      <c r="B58" s="8" t="s">
        <v>291</v>
      </c>
      <c r="C58" s="8" t="str">
        <f t="shared" si="0"/>
        <v>clec4f_cre</v>
      </c>
      <c r="D58" s="9" t="s">
        <v>15</v>
      </c>
      <c r="E58" s="8" t="s">
        <v>305</v>
      </c>
      <c r="F58" s="8" t="s">
        <v>306</v>
      </c>
      <c r="G58" s="8">
        <v>500</v>
      </c>
    </row>
    <row r="59" spans="1:7" x14ac:dyDescent="0.15">
      <c r="A59" s="8" t="s">
        <v>307</v>
      </c>
      <c r="B59" s="8" t="s">
        <v>291</v>
      </c>
      <c r="C59" s="8" t="str">
        <f t="shared" si="0"/>
        <v>cx3cr1_cre</v>
      </c>
      <c r="D59" s="9" t="s">
        <v>15</v>
      </c>
      <c r="E59" s="8" t="s">
        <v>308</v>
      </c>
      <c r="F59" s="8" t="s">
        <v>309</v>
      </c>
      <c r="G59" s="8">
        <v>500</v>
      </c>
    </row>
    <row r="60" spans="1:7" x14ac:dyDescent="0.15">
      <c r="A60" s="8" t="s">
        <v>310</v>
      </c>
      <c r="B60" s="8" t="s">
        <v>291</v>
      </c>
      <c r="C60" s="8" t="str">
        <f t="shared" si="0"/>
        <v>cxcr4creert2</v>
      </c>
      <c r="D60" s="9" t="s">
        <v>15</v>
      </c>
      <c r="E60" s="8" t="s">
        <v>311</v>
      </c>
      <c r="F60" s="8" t="s">
        <v>311</v>
      </c>
      <c r="G60" s="8">
        <v>500</v>
      </c>
    </row>
    <row r="61" spans="1:7" x14ac:dyDescent="0.15">
      <c r="A61" s="8" t="s">
        <v>312</v>
      </c>
      <c r="B61" s="8" t="s">
        <v>291</v>
      </c>
      <c r="C61" s="8" t="str">
        <f t="shared" si="0"/>
        <v>glast_cre</v>
      </c>
      <c r="D61" s="9" t="s">
        <v>15</v>
      </c>
      <c r="E61" s="8" t="s">
        <v>313</v>
      </c>
      <c r="F61" s="8" t="s">
        <v>314</v>
      </c>
      <c r="G61" s="8">
        <v>500</v>
      </c>
    </row>
    <row r="62" spans="1:7" x14ac:dyDescent="0.15">
      <c r="A62" s="8" t="s">
        <v>315</v>
      </c>
      <c r="B62" s="8" t="s">
        <v>291</v>
      </c>
      <c r="C62" s="8" t="str">
        <f t="shared" si="0"/>
        <v>lrat_cre</v>
      </c>
      <c r="D62" s="9" t="s">
        <v>15</v>
      </c>
      <c r="E62" s="8" t="s">
        <v>316</v>
      </c>
      <c r="F62" s="8" t="s">
        <v>317</v>
      </c>
      <c r="G62" s="8">
        <v>500</v>
      </c>
    </row>
    <row r="63" spans="1:7" x14ac:dyDescent="0.15">
      <c r="A63" s="8" t="s">
        <v>318</v>
      </c>
      <c r="B63" s="8" t="s">
        <v>291</v>
      </c>
      <c r="C63" s="8" t="str">
        <f t="shared" si="0"/>
        <v>lysm_cre</v>
      </c>
      <c r="D63" s="9" t="s">
        <v>15</v>
      </c>
      <c r="E63" s="8" t="s">
        <v>319</v>
      </c>
      <c r="F63" s="8" t="s">
        <v>320</v>
      </c>
      <c r="G63" s="8">
        <v>500</v>
      </c>
    </row>
    <row r="64" spans="1:7" x14ac:dyDescent="0.15">
      <c r="A64" s="8" t="s">
        <v>321</v>
      </c>
      <c r="B64" s="8" t="s">
        <v>291</v>
      </c>
      <c r="C64" s="8" t="str">
        <f t="shared" si="0"/>
        <v>ms4a3_cre</v>
      </c>
      <c r="D64" s="9" t="s">
        <v>15</v>
      </c>
      <c r="E64" s="8" t="s">
        <v>322</v>
      </c>
      <c r="F64" s="8" t="s">
        <v>323</v>
      </c>
      <c r="G64" s="8">
        <v>500</v>
      </c>
    </row>
    <row r="65" spans="1:7" x14ac:dyDescent="0.15">
      <c r="A65" s="8" t="s">
        <v>324</v>
      </c>
      <c r="B65" s="8" t="s">
        <v>291</v>
      </c>
      <c r="C65" s="8" t="str">
        <f t="shared" si="0"/>
        <v>mt_nlrp3_cre</v>
      </c>
      <c r="D65" s="9" t="s">
        <v>15</v>
      </c>
      <c r="E65" s="8" t="s">
        <v>325</v>
      </c>
      <c r="F65" s="8" t="s">
        <v>326</v>
      </c>
      <c r="G65" s="8">
        <v>500</v>
      </c>
    </row>
    <row r="66" spans="1:7" x14ac:dyDescent="0.15">
      <c r="A66" s="8" t="s">
        <v>327</v>
      </c>
      <c r="B66" s="8" t="s">
        <v>291</v>
      </c>
      <c r="C66" s="8" t="str">
        <f t="shared" si="0"/>
        <v>nlrp3_flox</v>
      </c>
      <c r="D66" s="9" t="s">
        <v>15</v>
      </c>
      <c r="E66" s="8" t="s">
        <v>328</v>
      </c>
      <c r="F66" s="8" t="s">
        <v>328</v>
      </c>
      <c r="G66" s="8">
        <v>500</v>
      </c>
    </row>
    <row r="67" spans="1:7" x14ac:dyDescent="0.15">
      <c r="A67" s="8" t="s">
        <v>329</v>
      </c>
      <c r="B67" s="8" t="s">
        <v>291</v>
      </c>
      <c r="C67" s="8" t="str">
        <f t="shared" ref="C67:C131" si="1">A67</f>
        <v>nlrp3_ko</v>
      </c>
      <c r="D67" s="9" t="s">
        <v>15</v>
      </c>
      <c r="E67" s="8" t="s">
        <v>330</v>
      </c>
      <c r="F67" s="8" t="s">
        <v>330</v>
      </c>
      <c r="G67" s="8">
        <v>500</v>
      </c>
    </row>
    <row r="68" spans="1:7" x14ac:dyDescent="0.15">
      <c r="A68" s="8" t="s">
        <v>331</v>
      </c>
      <c r="B68" s="8" t="s">
        <v>291</v>
      </c>
      <c r="C68" s="8" t="str">
        <f t="shared" si="1"/>
        <v>oaf</v>
      </c>
      <c r="D68" s="9" t="s">
        <v>15</v>
      </c>
      <c r="E68" s="8" t="s">
        <v>332</v>
      </c>
      <c r="F68" s="8" t="s">
        <v>332</v>
      </c>
      <c r="G68" s="8">
        <v>500</v>
      </c>
    </row>
    <row r="69" spans="1:7" x14ac:dyDescent="0.15">
      <c r="A69" s="8" t="s">
        <v>333</v>
      </c>
      <c r="B69" s="8" t="s">
        <v>291</v>
      </c>
      <c r="C69" s="8" t="str">
        <f t="shared" si="1"/>
        <v>r26_ert2cre</v>
      </c>
      <c r="D69" s="9" t="s">
        <v>15</v>
      </c>
      <c r="E69" s="8" t="s">
        <v>334</v>
      </c>
      <c r="F69" s="8" t="s">
        <v>335</v>
      </c>
      <c r="G69" s="8">
        <v>500</v>
      </c>
    </row>
    <row r="70" spans="1:7" x14ac:dyDescent="0.15">
      <c r="A70" s="8" t="s">
        <v>336</v>
      </c>
      <c r="B70" s="8" t="s">
        <v>291</v>
      </c>
      <c r="C70" s="8" t="str">
        <f t="shared" si="1"/>
        <v>r26_metrs_flox</v>
      </c>
      <c r="D70" s="9" t="s">
        <v>15</v>
      </c>
      <c r="E70" s="9" t="s">
        <v>337</v>
      </c>
      <c r="F70" s="8" t="s">
        <v>338</v>
      </c>
      <c r="G70" s="8">
        <v>500</v>
      </c>
    </row>
    <row r="71" spans="1:7" x14ac:dyDescent="0.15">
      <c r="A71" s="8" t="s">
        <v>339</v>
      </c>
      <c r="B71" s="8" t="s">
        <v>291</v>
      </c>
      <c r="C71" s="8" t="str">
        <f t="shared" si="1"/>
        <v>r26_nlrp3_flox</v>
      </c>
      <c r="D71" s="9" t="s">
        <v>15</v>
      </c>
      <c r="E71" s="8" t="s">
        <v>340</v>
      </c>
      <c r="F71" s="8" t="s">
        <v>340</v>
      </c>
      <c r="G71" s="8">
        <v>500</v>
      </c>
    </row>
    <row r="72" spans="1:7" x14ac:dyDescent="0.15">
      <c r="A72" s="8" t="s">
        <v>341</v>
      </c>
      <c r="B72" s="8" t="s">
        <v>291</v>
      </c>
      <c r="C72" s="8" t="str">
        <f t="shared" si="1"/>
        <v>ribotag_lox</v>
      </c>
      <c r="D72" s="9" t="s">
        <v>15</v>
      </c>
      <c r="E72" s="8" t="s">
        <v>342</v>
      </c>
      <c r="F72" s="9" t="s">
        <v>15</v>
      </c>
      <c r="G72" s="8">
        <v>500</v>
      </c>
    </row>
    <row r="73" spans="1:7" x14ac:dyDescent="0.15">
      <c r="A73" s="8" t="s">
        <v>343</v>
      </c>
      <c r="B73" s="8" t="s">
        <v>291</v>
      </c>
      <c r="C73" s="8" t="str">
        <f t="shared" si="1"/>
        <v>sox10_cre</v>
      </c>
      <c r="D73" s="9" t="s">
        <v>15</v>
      </c>
      <c r="E73" s="8" t="s">
        <v>344</v>
      </c>
      <c r="F73" s="8" t="s">
        <v>345</v>
      </c>
      <c r="G73" s="8">
        <v>500</v>
      </c>
    </row>
    <row r="74" spans="1:7" x14ac:dyDescent="0.15">
      <c r="A74" s="8" t="s">
        <v>346</v>
      </c>
      <c r="B74" s="8" t="s">
        <v>291</v>
      </c>
      <c r="C74" s="8" t="str">
        <f t="shared" si="1"/>
        <v>ucp1_cre</v>
      </c>
      <c r="D74" s="9" t="s">
        <v>15</v>
      </c>
      <c r="E74" s="8" t="s">
        <v>347</v>
      </c>
      <c r="F74" s="8" t="s">
        <v>348</v>
      </c>
      <c r="G74" s="8">
        <v>500</v>
      </c>
    </row>
    <row r="75" spans="1:7" x14ac:dyDescent="0.15">
      <c r="A75" s="8" t="s">
        <v>349</v>
      </c>
      <c r="B75" s="8" t="s">
        <v>291</v>
      </c>
      <c r="C75" s="8" t="str">
        <f t="shared" si="1"/>
        <v>vil_cre</v>
      </c>
      <c r="D75" s="9" t="s">
        <v>15</v>
      </c>
      <c r="E75" s="8" t="s">
        <v>350</v>
      </c>
      <c r="F75" s="8" t="s">
        <v>351</v>
      </c>
      <c r="G75" s="8">
        <v>500</v>
      </c>
    </row>
    <row r="76" spans="1:7" x14ac:dyDescent="0.15">
      <c r="A76" s="8" t="s">
        <v>352</v>
      </c>
      <c r="B76" s="8" t="s">
        <v>37</v>
      </c>
      <c r="C76" s="8" t="str">
        <f t="shared" si="1"/>
        <v>adipose_macrophages</v>
      </c>
      <c r="D76" s="8" t="s">
        <v>353</v>
      </c>
      <c r="E76" s="8" t="s">
        <v>354</v>
      </c>
      <c r="F76" s="8" t="s">
        <v>355</v>
      </c>
      <c r="G76" s="8">
        <v>500</v>
      </c>
    </row>
    <row r="77" spans="1:7" x14ac:dyDescent="0.15">
      <c r="A77" s="8" t="s">
        <v>356</v>
      </c>
      <c r="B77" s="8" t="s">
        <v>37</v>
      </c>
      <c r="C77" s="8" t="str">
        <f t="shared" si="1"/>
        <v>astrocytes</v>
      </c>
      <c r="D77" s="8" t="s">
        <v>356</v>
      </c>
      <c r="E77" s="8" t="s">
        <v>314</v>
      </c>
      <c r="F77" s="8" t="s">
        <v>314</v>
      </c>
      <c r="G77" s="8">
        <v>500</v>
      </c>
    </row>
    <row r="78" spans="1:7" x14ac:dyDescent="0.15">
      <c r="A78" s="8" t="s">
        <v>357</v>
      </c>
      <c r="B78" s="8" t="s">
        <v>37</v>
      </c>
      <c r="C78" s="8" t="str">
        <f t="shared" si="1"/>
        <v>basophils</v>
      </c>
      <c r="D78" s="8" t="s">
        <v>357</v>
      </c>
      <c r="E78" s="8" t="s">
        <v>358</v>
      </c>
      <c r="F78" s="8" t="s">
        <v>359</v>
      </c>
      <c r="G78" s="8">
        <v>500</v>
      </c>
    </row>
    <row r="79" spans="1:7" x14ac:dyDescent="0.15">
      <c r="A79" s="8" t="s">
        <v>360</v>
      </c>
      <c r="B79" s="8" t="s">
        <v>37</v>
      </c>
      <c r="C79" s="8" t="str">
        <f t="shared" si="1"/>
        <v>bcells</v>
      </c>
      <c r="D79" s="8" t="s">
        <v>360</v>
      </c>
      <c r="E79" s="8" t="s">
        <v>361</v>
      </c>
      <c r="F79" s="8" t="s">
        <v>361</v>
      </c>
      <c r="G79" s="8">
        <v>500</v>
      </c>
    </row>
    <row r="80" spans="1:7" x14ac:dyDescent="0.15">
      <c r="A80" s="8" t="s">
        <v>362</v>
      </c>
      <c r="B80" s="8" t="s">
        <v>37</v>
      </c>
      <c r="C80" s="8" t="str">
        <f t="shared" si="1"/>
        <v>cytotoxict</v>
      </c>
      <c r="D80" s="8" t="s">
        <v>362</v>
      </c>
      <c r="E80" s="8" t="s">
        <v>363</v>
      </c>
      <c r="F80" s="8" t="s">
        <v>364</v>
      </c>
      <c r="G80" s="8">
        <v>500</v>
      </c>
    </row>
    <row r="81" spans="1:7" x14ac:dyDescent="0.15">
      <c r="A81" s="8" t="s">
        <v>365</v>
      </c>
      <c r="B81" s="8" t="s">
        <v>37</v>
      </c>
      <c r="C81" s="8" t="str">
        <f t="shared" si="1"/>
        <v>endothelial</v>
      </c>
      <c r="D81" s="8" t="s">
        <v>365</v>
      </c>
      <c r="E81" s="8" t="s">
        <v>366</v>
      </c>
      <c r="F81" s="8" t="s">
        <v>367</v>
      </c>
      <c r="G81" s="8">
        <v>500</v>
      </c>
    </row>
    <row r="82" spans="1:7" x14ac:dyDescent="0.15">
      <c r="A82" s="8" t="s">
        <v>368</v>
      </c>
      <c r="B82" s="8" t="s">
        <v>37</v>
      </c>
      <c r="C82" s="8" t="str">
        <f t="shared" si="1"/>
        <v>eosinophils</v>
      </c>
      <c r="D82" s="8" t="s">
        <v>368</v>
      </c>
      <c r="E82" s="8" t="s">
        <v>369</v>
      </c>
      <c r="F82" s="8" t="s">
        <v>370</v>
      </c>
      <c r="G82" s="8">
        <v>500</v>
      </c>
    </row>
    <row r="83" spans="1:7" x14ac:dyDescent="0.15">
      <c r="A83" s="8" t="s">
        <v>371</v>
      </c>
      <c r="B83" s="8" t="s">
        <v>37</v>
      </c>
      <c r="C83" s="8" t="str">
        <f t="shared" si="1"/>
        <v>epithelioid</v>
      </c>
      <c r="D83" s="8" t="s">
        <v>371</v>
      </c>
      <c r="E83" s="8" t="s">
        <v>372</v>
      </c>
      <c r="F83" s="8" t="s">
        <v>373</v>
      </c>
      <c r="G83" s="8">
        <v>500</v>
      </c>
    </row>
    <row r="84" spans="1:7" x14ac:dyDescent="0.15">
      <c r="A84" s="8" t="s">
        <v>374</v>
      </c>
      <c r="B84" s="8" t="s">
        <v>37</v>
      </c>
      <c r="C84" s="8" t="str">
        <f t="shared" si="1"/>
        <v>erythrocytes</v>
      </c>
      <c r="D84" s="8" t="s">
        <v>374</v>
      </c>
      <c r="E84" s="8" t="s">
        <v>375</v>
      </c>
      <c r="F84" s="8" t="s">
        <v>376</v>
      </c>
      <c r="G84" s="8">
        <v>500</v>
      </c>
    </row>
    <row r="85" spans="1:7" x14ac:dyDescent="0.15">
      <c r="A85" s="8" t="s">
        <v>377</v>
      </c>
      <c r="B85" s="8" t="s">
        <v>37</v>
      </c>
      <c r="C85" s="8" t="str">
        <f t="shared" si="1"/>
        <v>gammadeltat</v>
      </c>
      <c r="D85" s="8" t="s">
        <v>377</v>
      </c>
      <c r="E85" s="8" t="s">
        <v>378</v>
      </c>
      <c r="F85" s="8" t="s">
        <v>379</v>
      </c>
      <c r="G85" s="8">
        <v>500</v>
      </c>
    </row>
    <row r="86" spans="1:7" x14ac:dyDescent="0.15">
      <c r="A86" s="8" t="s">
        <v>380</v>
      </c>
      <c r="B86" s="8" t="s">
        <v>37</v>
      </c>
      <c r="C86" s="8" t="str">
        <f t="shared" si="1"/>
        <v>hofbauer</v>
      </c>
      <c r="D86" s="8" t="s">
        <v>380</v>
      </c>
      <c r="E86" s="8" t="s">
        <v>381</v>
      </c>
      <c r="F86" s="8" t="s">
        <v>382</v>
      </c>
      <c r="G86" s="8">
        <v>500</v>
      </c>
    </row>
    <row r="87" spans="1:7" x14ac:dyDescent="0.15">
      <c r="A87" s="8" t="s">
        <v>383</v>
      </c>
      <c r="B87" s="8" t="s">
        <v>37</v>
      </c>
      <c r="C87" s="8" t="str">
        <f t="shared" si="1"/>
        <v>keratinocytes</v>
      </c>
      <c r="D87" s="8" t="s">
        <v>383</v>
      </c>
      <c r="E87" s="8" t="s">
        <v>384</v>
      </c>
      <c r="F87" s="8" t="s">
        <v>385</v>
      </c>
      <c r="G87" s="8">
        <v>500</v>
      </c>
    </row>
    <row r="88" spans="1:7" x14ac:dyDescent="0.15">
      <c r="A88" s="8" t="s">
        <v>386</v>
      </c>
      <c r="B88" s="8" t="s">
        <v>37</v>
      </c>
      <c r="C88" s="8" t="str">
        <f t="shared" si="1"/>
        <v>kupffer</v>
      </c>
      <c r="D88" s="8" t="s">
        <v>386</v>
      </c>
      <c r="E88" s="8" t="s">
        <v>387</v>
      </c>
      <c r="F88" s="8" t="s">
        <v>388</v>
      </c>
      <c r="G88" s="8">
        <v>500</v>
      </c>
    </row>
    <row r="89" spans="1:7" x14ac:dyDescent="0.15">
      <c r="A89" s="8" t="s">
        <v>389</v>
      </c>
      <c r="B89" s="8" t="s">
        <v>37</v>
      </c>
      <c r="C89" s="8" t="str">
        <f t="shared" si="1"/>
        <v>langerhans</v>
      </c>
      <c r="D89" s="8" t="s">
        <v>389</v>
      </c>
      <c r="E89" s="8" t="s">
        <v>390</v>
      </c>
      <c r="F89" s="8" t="s">
        <v>391</v>
      </c>
      <c r="G89" s="8">
        <v>500</v>
      </c>
    </row>
    <row r="90" spans="1:7" x14ac:dyDescent="0.15">
      <c r="A90" s="8" t="s">
        <v>392</v>
      </c>
      <c r="B90" s="8" t="s">
        <v>37</v>
      </c>
      <c r="C90" s="8" t="str">
        <f t="shared" si="1"/>
        <v>leukocytes</v>
      </c>
      <c r="D90" s="8" t="s">
        <v>392</v>
      </c>
      <c r="E90" s="8" t="s">
        <v>393</v>
      </c>
      <c r="F90" s="8" t="s">
        <v>394</v>
      </c>
      <c r="G90" s="8">
        <v>500</v>
      </c>
    </row>
    <row r="91" spans="1:7" x14ac:dyDescent="0.15">
      <c r="A91" s="8" t="s">
        <v>395</v>
      </c>
      <c r="B91" s="8" t="s">
        <v>37</v>
      </c>
      <c r="C91" s="8" t="str">
        <f t="shared" si="1"/>
        <v>lymphocytes</v>
      </c>
      <c r="D91" s="8" t="s">
        <v>395</v>
      </c>
      <c r="E91" s="8" t="s">
        <v>396</v>
      </c>
      <c r="F91" s="8" t="s">
        <v>397</v>
      </c>
      <c r="G91" s="8">
        <v>500</v>
      </c>
    </row>
    <row r="92" spans="1:7" x14ac:dyDescent="0.15">
      <c r="A92" s="8" t="s">
        <v>398</v>
      </c>
      <c r="B92" s="8" t="s">
        <v>37</v>
      </c>
      <c r="C92" s="8" t="str">
        <f t="shared" si="1"/>
        <v>macrophage</v>
      </c>
      <c r="D92" s="8" t="s">
        <v>398</v>
      </c>
      <c r="E92" s="8" t="s">
        <v>399</v>
      </c>
      <c r="F92" s="8" t="s">
        <v>399</v>
      </c>
      <c r="G92" s="8">
        <v>500</v>
      </c>
    </row>
    <row r="93" spans="1:7" x14ac:dyDescent="0.15">
      <c r="A93" s="8" t="s">
        <v>400</v>
      </c>
      <c r="B93" s="8" t="s">
        <v>37</v>
      </c>
      <c r="C93" s="8" t="str">
        <f t="shared" si="1"/>
        <v>microglia</v>
      </c>
      <c r="D93" s="8" t="s">
        <v>400</v>
      </c>
      <c r="E93" s="8" t="s">
        <v>401</v>
      </c>
      <c r="F93" s="8" t="s">
        <v>402</v>
      </c>
      <c r="G93" s="8">
        <v>500</v>
      </c>
    </row>
    <row r="94" spans="1:7" x14ac:dyDescent="0.15">
      <c r="A94" s="8" t="s">
        <v>403</v>
      </c>
      <c r="B94" s="8" t="s">
        <v>37</v>
      </c>
      <c r="C94" s="8" t="str">
        <f t="shared" si="1"/>
        <v>monoblast</v>
      </c>
      <c r="D94" s="8" t="s">
        <v>403</v>
      </c>
      <c r="E94" s="8" t="s">
        <v>404</v>
      </c>
      <c r="F94" s="8" t="s">
        <v>404</v>
      </c>
      <c r="G94" s="8">
        <v>500</v>
      </c>
    </row>
    <row r="95" spans="1:7" x14ac:dyDescent="0.15">
      <c r="A95" s="8" t="s">
        <v>405</v>
      </c>
      <c r="B95" s="8" t="s">
        <v>37</v>
      </c>
      <c r="C95" s="8" t="str">
        <f t="shared" si="1"/>
        <v>monocytes</v>
      </c>
      <c r="D95" s="8" t="s">
        <v>405</v>
      </c>
      <c r="E95" s="8" t="s">
        <v>323</v>
      </c>
      <c r="F95" s="8" t="s">
        <v>406</v>
      </c>
      <c r="G95" s="8">
        <v>500</v>
      </c>
    </row>
    <row r="96" spans="1:7" x14ac:dyDescent="0.15">
      <c r="A96" s="8" t="s">
        <v>407</v>
      </c>
      <c r="B96" s="8" t="s">
        <v>37</v>
      </c>
      <c r="C96" s="8" t="str">
        <f t="shared" si="1"/>
        <v>neutrophils</v>
      </c>
      <c r="D96" s="8" t="s">
        <v>407</v>
      </c>
      <c r="E96" s="8" t="s">
        <v>408</v>
      </c>
      <c r="F96" s="8" t="s">
        <v>409</v>
      </c>
      <c r="G96" s="8">
        <v>500</v>
      </c>
    </row>
    <row r="97" spans="1:7" x14ac:dyDescent="0.15">
      <c r="A97" s="8" t="s">
        <v>410</v>
      </c>
      <c r="B97" s="8" t="s">
        <v>37</v>
      </c>
      <c r="C97" s="8" t="str">
        <f t="shared" si="1"/>
        <v>nk</v>
      </c>
      <c r="D97" s="8" t="s">
        <v>410</v>
      </c>
      <c r="E97" s="8" t="s">
        <v>411</v>
      </c>
      <c r="F97" s="8" t="s">
        <v>412</v>
      </c>
      <c r="G97" s="8">
        <v>500</v>
      </c>
    </row>
    <row r="98" spans="1:7" x14ac:dyDescent="0.15">
      <c r="A98" s="8" t="s">
        <v>413</v>
      </c>
      <c r="B98" s="8" t="s">
        <v>37</v>
      </c>
      <c r="C98" s="8" t="str">
        <f t="shared" si="1"/>
        <v>osteoblast</v>
      </c>
      <c r="D98" s="8" t="s">
        <v>413</v>
      </c>
      <c r="E98" s="8" t="s">
        <v>414</v>
      </c>
      <c r="F98" s="8" t="s">
        <v>415</v>
      </c>
      <c r="G98" s="8">
        <v>500</v>
      </c>
    </row>
    <row r="99" spans="1:7" x14ac:dyDescent="0.15">
      <c r="A99" s="8" t="s">
        <v>416</v>
      </c>
      <c r="B99" s="8" t="s">
        <v>37</v>
      </c>
      <c r="C99" s="8" t="str">
        <f t="shared" si="1"/>
        <v>osteoclast</v>
      </c>
      <c r="D99" s="8" t="s">
        <v>416</v>
      </c>
      <c r="E99" s="8" t="s">
        <v>417</v>
      </c>
      <c r="F99" s="8" t="s">
        <v>418</v>
      </c>
      <c r="G99" s="8">
        <v>500</v>
      </c>
    </row>
    <row r="100" spans="1:7" x14ac:dyDescent="0.15">
      <c r="A100" s="8" t="s">
        <v>419</v>
      </c>
      <c r="B100" s="8" t="s">
        <v>37</v>
      </c>
      <c r="C100" s="8" t="str">
        <f t="shared" si="1"/>
        <v>osteocytes</v>
      </c>
      <c r="D100" s="8" t="s">
        <v>419</v>
      </c>
      <c r="E100" s="8" t="s">
        <v>420</v>
      </c>
      <c r="F100" s="8" t="s">
        <v>421</v>
      </c>
      <c r="G100" s="8">
        <v>500</v>
      </c>
    </row>
    <row r="101" spans="1:7" x14ac:dyDescent="0.15">
      <c r="A101" s="8" t="s">
        <v>422</v>
      </c>
      <c r="B101" s="8" t="s">
        <v>37</v>
      </c>
      <c r="C101" s="8" t="str">
        <f t="shared" si="1"/>
        <v>osteogenic</v>
      </c>
      <c r="D101" s="8" t="s">
        <v>422</v>
      </c>
      <c r="E101" s="8" t="s">
        <v>423</v>
      </c>
      <c r="F101" s="8" t="s">
        <v>424</v>
      </c>
      <c r="G101" s="8">
        <v>500</v>
      </c>
    </row>
    <row r="102" spans="1:7" x14ac:dyDescent="0.15">
      <c r="A102" s="8" t="s">
        <v>425</v>
      </c>
      <c r="B102" s="8" t="s">
        <v>37</v>
      </c>
      <c r="C102" s="8" t="str">
        <f t="shared" si="1"/>
        <v>regt</v>
      </c>
      <c r="D102" s="8" t="s">
        <v>425</v>
      </c>
      <c r="E102" s="8" t="s">
        <v>426</v>
      </c>
      <c r="F102" s="8" t="s">
        <v>427</v>
      </c>
      <c r="G102" s="8">
        <v>500</v>
      </c>
    </row>
    <row r="103" spans="1:7" x14ac:dyDescent="0.15">
      <c r="A103" s="8" t="s">
        <v>428</v>
      </c>
      <c r="B103" s="8" t="s">
        <v>37</v>
      </c>
      <c r="C103" s="8" t="str">
        <f t="shared" si="1"/>
        <v>stemcells</v>
      </c>
      <c r="D103" s="8" t="s">
        <v>428</v>
      </c>
      <c r="E103" s="8" t="s">
        <v>429</v>
      </c>
      <c r="F103" s="8" t="s">
        <v>430</v>
      </c>
      <c r="G103" s="8">
        <v>500</v>
      </c>
    </row>
    <row r="104" spans="1:7" x14ac:dyDescent="0.15">
      <c r="A104" s="8" t="s">
        <v>431</v>
      </c>
      <c r="B104" s="8" t="s">
        <v>37</v>
      </c>
      <c r="C104" s="8" t="str">
        <f t="shared" si="1"/>
        <v>tcells</v>
      </c>
      <c r="D104" s="8" t="s">
        <v>431</v>
      </c>
      <c r="E104" s="8" t="s">
        <v>432</v>
      </c>
      <c r="F104" s="8" t="s">
        <v>432</v>
      </c>
      <c r="G104" s="8">
        <v>500</v>
      </c>
    </row>
    <row r="105" spans="1:7" x14ac:dyDescent="0.15">
      <c r="A105" s="8" t="s">
        <v>433</v>
      </c>
      <c r="B105" s="8" t="s">
        <v>37</v>
      </c>
      <c r="C105" s="8" t="str">
        <f t="shared" si="1"/>
        <v>thelper</v>
      </c>
      <c r="D105" s="8" t="s">
        <v>433</v>
      </c>
      <c r="E105" s="8" t="s">
        <v>434</v>
      </c>
      <c r="F105" s="8" t="s">
        <v>435</v>
      </c>
      <c r="G105" s="8">
        <v>500</v>
      </c>
    </row>
    <row r="106" spans="1:7" x14ac:dyDescent="0.15">
      <c r="A106" s="8" t="s">
        <v>436</v>
      </c>
      <c r="B106" s="8" t="s">
        <v>37</v>
      </c>
      <c r="C106" s="8" t="str">
        <f t="shared" si="1"/>
        <v>thrombocytes</v>
      </c>
      <c r="D106" s="8" t="s">
        <v>436</v>
      </c>
      <c r="E106" s="8" t="s">
        <v>437</v>
      </c>
      <c r="F106" s="8" t="s">
        <v>438</v>
      </c>
      <c r="G106" s="8">
        <v>500</v>
      </c>
    </row>
    <row r="107" spans="1:7" x14ac:dyDescent="0.15">
      <c r="A107" s="8" t="s">
        <v>439</v>
      </c>
      <c r="B107" s="8" t="s">
        <v>40</v>
      </c>
      <c r="C107" s="8" t="str">
        <f t="shared" si="1"/>
        <v>786_0</v>
      </c>
      <c r="D107" s="8">
        <v>786</v>
      </c>
      <c r="E107" s="8" t="s">
        <v>440</v>
      </c>
      <c r="F107" s="8" t="s">
        <v>441</v>
      </c>
      <c r="G107" s="8">
        <v>500</v>
      </c>
    </row>
    <row r="108" spans="1:7" x14ac:dyDescent="0.15">
      <c r="A108" s="8" t="s">
        <v>442</v>
      </c>
      <c r="B108" s="8" t="s">
        <v>40</v>
      </c>
      <c r="C108" s="8" t="str">
        <f t="shared" si="1"/>
        <v>a498</v>
      </c>
      <c r="D108" s="8" t="s">
        <v>442</v>
      </c>
      <c r="E108" s="8" t="s">
        <v>443</v>
      </c>
      <c r="F108" s="8" t="s">
        <v>441</v>
      </c>
      <c r="G108" s="8">
        <v>500</v>
      </c>
    </row>
    <row r="109" spans="1:7" x14ac:dyDescent="0.15">
      <c r="A109" s="8" t="s">
        <v>444</v>
      </c>
      <c r="B109" s="8" t="s">
        <v>40</v>
      </c>
      <c r="C109" s="8" t="str">
        <f t="shared" si="1"/>
        <v>a549</v>
      </c>
      <c r="D109" s="8" t="s">
        <v>444</v>
      </c>
      <c r="E109" s="8" t="s">
        <v>445</v>
      </c>
      <c r="F109" s="8" t="s">
        <v>446</v>
      </c>
      <c r="G109" s="8">
        <v>500</v>
      </c>
    </row>
    <row r="110" spans="1:7" x14ac:dyDescent="0.15">
      <c r="A110" s="8" t="s">
        <v>447</v>
      </c>
      <c r="B110" s="8" t="s">
        <v>40</v>
      </c>
      <c r="C110" s="8" t="str">
        <f t="shared" si="1"/>
        <v>achn</v>
      </c>
      <c r="D110" s="8" t="s">
        <v>447</v>
      </c>
      <c r="E110" s="8" t="s">
        <v>448</v>
      </c>
      <c r="F110" s="8" t="s">
        <v>441</v>
      </c>
      <c r="G110" s="8">
        <v>500</v>
      </c>
    </row>
    <row r="111" spans="1:7" x14ac:dyDescent="0.15">
      <c r="A111" s="8" t="s">
        <v>449</v>
      </c>
      <c r="B111" s="8" t="s">
        <v>40</v>
      </c>
      <c r="C111" s="8" t="str">
        <f t="shared" si="1"/>
        <v>bmdc</v>
      </c>
      <c r="D111" s="8" t="s">
        <v>449</v>
      </c>
      <c r="E111" s="8" t="s">
        <v>450</v>
      </c>
      <c r="F111" s="8" t="s">
        <v>450</v>
      </c>
      <c r="G111" s="8">
        <v>500</v>
      </c>
    </row>
    <row r="112" spans="1:7" x14ac:dyDescent="0.15">
      <c r="A112" s="8" t="s">
        <v>451</v>
      </c>
      <c r="B112" s="8" t="s">
        <v>40</v>
      </c>
      <c r="C112" s="8" t="str">
        <f t="shared" si="1"/>
        <v>bmm</v>
      </c>
      <c r="D112" s="8" t="s">
        <v>451</v>
      </c>
      <c r="E112" s="8" t="s">
        <v>452</v>
      </c>
      <c r="F112" s="8" t="s">
        <v>453</v>
      </c>
      <c r="G112" s="8">
        <v>500</v>
      </c>
    </row>
    <row r="113" spans="1:7" x14ac:dyDescent="0.15">
      <c r="A113" s="8" t="s">
        <v>454</v>
      </c>
      <c r="B113" s="8" t="s">
        <v>40</v>
      </c>
      <c r="C113" s="8" t="str">
        <f t="shared" si="1"/>
        <v>bt549</v>
      </c>
      <c r="D113" s="8" t="s">
        <v>454</v>
      </c>
      <c r="E113" s="8" t="s">
        <v>455</v>
      </c>
      <c r="F113" s="8" t="s">
        <v>456</v>
      </c>
      <c r="G113" s="8">
        <v>500</v>
      </c>
    </row>
    <row r="114" spans="1:7" x14ac:dyDescent="0.15">
      <c r="A114" s="8" t="s">
        <v>457</v>
      </c>
      <c r="B114" s="8" t="s">
        <v>40</v>
      </c>
      <c r="C114" s="8" t="str">
        <f t="shared" si="1"/>
        <v>caki1</v>
      </c>
      <c r="D114" s="8" t="s">
        <v>457</v>
      </c>
      <c r="E114" s="8" t="s">
        <v>458</v>
      </c>
      <c r="F114" s="8" t="s">
        <v>441</v>
      </c>
      <c r="G114" s="8">
        <v>500</v>
      </c>
    </row>
    <row r="115" spans="1:7" x14ac:dyDescent="0.15">
      <c r="A115" s="8" t="s">
        <v>459</v>
      </c>
      <c r="B115" s="8" t="s">
        <v>40</v>
      </c>
      <c r="C115" s="8" t="str">
        <f t="shared" si="1"/>
        <v>cho</v>
      </c>
      <c r="D115" s="8" t="s">
        <v>459</v>
      </c>
      <c r="E115" s="8" t="s">
        <v>460</v>
      </c>
      <c r="F115" s="8" t="s">
        <v>461</v>
      </c>
      <c r="G115" s="8">
        <v>500</v>
      </c>
    </row>
    <row r="116" spans="1:7" x14ac:dyDescent="0.15">
      <c r="A116" s="8" t="s">
        <v>462</v>
      </c>
      <c r="B116" s="8" t="s">
        <v>40</v>
      </c>
      <c r="C116" s="8" t="str">
        <f t="shared" si="1"/>
        <v>colo205</v>
      </c>
      <c r="D116" s="8" t="s">
        <v>462</v>
      </c>
      <c r="E116" s="8" t="s">
        <v>463</v>
      </c>
      <c r="F116" s="8" t="s">
        <v>464</v>
      </c>
      <c r="G116" s="8">
        <v>500</v>
      </c>
    </row>
    <row r="117" spans="1:7" x14ac:dyDescent="0.15">
      <c r="A117" s="8" t="s">
        <v>465</v>
      </c>
      <c r="B117" s="8" t="s">
        <v>40</v>
      </c>
      <c r="C117" s="8" t="str">
        <f t="shared" si="1"/>
        <v>crfcem</v>
      </c>
      <c r="D117" s="8" t="s">
        <v>465</v>
      </c>
      <c r="E117" s="8" t="s">
        <v>466</v>
      </c>
      <c r="F117" s="8" t="s">
        <v>467</v>
      </c>
      <c r="G117" s="8">
        <v>500</v>
      </c>
    </row>
    <row r="118" spans="1:7" x14ac:dyDescent="0.15">
      <c r="A118" s="8" t="s">
        <v>468</v>
      </c>
      <c r="B118" s="8" t="s">
        <v>40</v>
      </c>
      <c r="C118" s="8" t="str">
        <f t="shared" si="1"/>
        <v>du145</v>
      </c>
      <c r="D118" s="8" t="s">
        <v>468</v>
      </c>
      <c r="E118" s="8" t="s">
        <v>469</v>
      </c>
      <c r="F118" s="8" t="s">
        <v>470</v>
      </c>
      <c r="G118" s="8">
        <v>500</v>
      </c>
    </row>
    <row r="119" spans="1:7" x14ac:dyDescent="0.15">
      <c r="A119" s="8" t="s">
        <v>471</v>
      </c>
      <c r="B119" s="8" t="s">
        <v>40</v>
      </c>
      <c r="C119" s="8" t="str">
        <f t="shared" si="1"/>
        <v>ekvx</v>
      </c>
      <c r="D119" s="8" t="s">
        <v>471</v>
      </c>
      <c r="E119" s="8" t="s">
        <v>472</v>
      </c>
      <c r="F119" s="8" t="s">
        <v>446</v>
      </c>
      <c r="G119" s="8">
        <v>500</v>
      </c>
    </row>
    <row r="120" spans="1:7" x14ac:dyDescent="0.15">
      <c r="A120" s="8" t="s">
        <v>473</v>
      </c>
      <c r="B120" s="8" t="s">
        <v>40</v>
      </c>
      <c r="C120" s="8" t="str">
        <f t="shared" si="1"/>
        <v>hcc2998</v>
      </c>
      <c r="D120" s="8" t="s">
        <v>473</v>
      </c>
      <c r="E120" s="8" t="s">
        <v>474</v>
      </c>
      <c r="F120" s="8" t="s">
        <v>464</v>
      </c>
      <c r="G120" s="8">
        <v>500</v>
      </c>
    </row>
    <row r="121" spans="1:7" x14ac:dyDescent="0.15">
      <c r="A121" s="8" t="s">
        <v>475</v>
      </c>
      <c r="B121" s="8" t="s">
        <v>40</v>
      </c>
      <c r="C121" s="8" t="str">
        <f t="shared" si="1"/>
        <v>hct116</v>
      </c>
      <c r="D121" s="8" t="s">
        <v>475</v>
      </c>
      <c r="E121" s="8" t="s">
        <v>476</v>
      </c>
      <c r="F121" s="8" t="s">
        <v>464</v>
      </c>
      <c r="G121" s="8">
        <v>500</v>
      </c>
    </row>
    <row r="122" spans="1:7" x14ac:dyDescent="0.15">
      <c r="A122" s="8" t="s">
        <v>477</v>
      </c>
      <c r="B122" s="8" t="s">
        <v>40</v>
      </c>
      <c r="C122" s="8" t="str">
        <f t="shared" si="1"/>
        <v>hct15</v>
      </c>
      <c r="D122" s="8" t="s">
        <v>477</v>
      </c>
      <c r="E122" s="8" t="s">
        <v>478</v>
      </c>
      <c r="F122" s="8" t="s">
        <v>464</v>
      </c>
      <c r="G122" s="8">
        <v>500</v>
      </c>
    </row>
    <row r="123" spans="1:7" x14ac:dyDescent="0.15">
      <c r="A123" s="8" t="s">
        <v>479</v>
      </c>
      <c r="B123" s="8" t="s">
        <v>40</v>
      </c>
      <c r="C123" s="8" t="str">
        <f t="shared" si="1"/>
        <v>hek293</v>
      </c>
      <c r="D123" s="8" t="s">
        <v>479</v>
      </c>
      <c r="E123" s="8" t="s">
        <v>480</v>
      </c>
      <c r="F123" s="8" t="s">
        <v>481</v>
      </c>
      <c r="G123" s="8">
        <v>500</v>
      </c>
    </row>
    <row r="124" spans="1:7" x14ac:dyDescent="0.15">
      <c r="A124" s="8" t="s">
        <v>482</v>
      </c>
      <c r="B124" s="8" t="s">
        <v>40</v>
      </c>
      <c r="C124" s="8" t="str">
        <f t="shared" si="1"/>
        <v>hek293t</v>
      </c>
      <c r="D124" s="8" t="s">
        <v>482</v>
      </c>
      <c r="E124" s="8" t="s">
        <v>483</v>
      </c>
      <c r="F124" s="8" t="s">
        <v>484</v>
      </c>
      <c r="G124" s="8">
        <v>500</v>
      </c>
    </row>
    <row r="125" spans="1:7" x14ac:dyDescent="0.15">
      <c r="A125" s="8" t="s">
        <v>485</v>
      </c>
      <c r="B125" s="8" t="s">
        <v>40</v>
      </c>
      <c r="C125" s="8" t="str">
        <f t="shared" si="1"/>
        <v>hela</v>
      </c>
      <c r="D125" s="8" t="s">
        <v>485</v>
      </c>
      <c r="E125" s="8" t="s">
        <v>486</v>
      </c>
      <c r="F125" s="8" t="s">
        <v>487</v>
      </c>
      <c r="G125" s="8">
        <v>500</v>
      </c>
    </row>
    <row r="126" spans="1:7" x14ac:dyDescent="0.15">
      <c r="A126" s="8" t="s">
        <v>3199</v>
      </c>
      <c r="B126" s="8" t="s">
        <v>40</v>
      </c>
      <c r="C126" s="8" t="str">
        <f t="shared" si="1"/>
        <v>trexflip</v>
      </c>
      <c r="D126" s="8" t="s">
        <v>3200</v>
      </c>
      <c r="E126" s="8" t="s">
        <v>3201</v>
      </c>
      <c r="F126" s="8" t="s">
        <v>3202</v>
      </c>
      <c r="G126" s="8">
        <v>500</v>
      </c>
    </row>
    <row r="127" spans="1:7" x14ac:dyDescent="0.15">
      <c r="A127" s="8" t="s">
        <v>488</v>
      </c>
      <c r="B127" s="8" t="s">
        <v>40</v>
      </c>
      <c r="C127" s="8" t="str">
        <f t="shared" si="1"/>
        <v>hl60</v>
      </c>
      <c r="D127" s="8" t="s">
        <v>488</v>
      </c>
      <c r="E127" s="8" t="s">
        <v>489</v>
      </c>
      <c r="F127" s="8" t="s">
        <v>467</v>
      </c>
      <c r="G127" s="8">
        <v>500</v>
      </c>
    </row>
    <row r="128" spans="1:7" x14ac:dyDescent="0.15">
      <c r="A128" s="8" t="s">
        <v>490</v>
      </c>
      <c r="B128" s="8" t="s">
        <v>40</v>
      </c>
      <c r="C128" s="8" t="str">
        <f t="shared" si="1"/>
        <v>hop62</v>
      </c>
      <c r="D128" s="8" t="s">
        <v>490</v>
      </c>
      <c r="E128" s="8" t="s">
        <v>491</v>
      </c>
      <c r="F128" s="8" t="s">
        <v>446</v>
      </c>
      <c r="G128" s="8">
        <v>500</v>
      </c>
    </row>
    <row r="129" spans="1:7" x14ac:dyDescent="0.15">
      <c r="A129" s="8" t="s">
        <v>492</v>
      </c>
      <c r="B129" s="8" t="s">
        <v>40</v>
      </c>
      <c r="C129" s="8" t="str">
        <f t="shared" si="1"/>
        <v>hop92</v>
      </c>
      <c r="D129" s="8" t="s">
        <v>492</v>
      </c>
      <c r="E129" s="8" t="s">
        <v>493</v>
      </c>
      <c r="F129" s="8" t="s">
        <v>446</v>
      </c>
      <c r="G129" s="8">
        <v>500</v>
      </c>
    </row>
    <row r="130" spans="1:7" x14ac:dyDescent="0.15">
      <c r="A130" s="8" t="s">
        <v>494</v>
      </c>
      <c r="B130" s="8" t="s">
        <v>40</v>
      </c>
      <c r="C130" s="8" t="str">
        <f t="shared" si="1"/>
        <v>hs578t</v>
      </c>
      <c r="D130" s="8" t="s">
        <v>494</v>
      </c>
      <c r="E130" s="8" t="s">
        <v>495</v>
      </c>
      <c r="F130" s="8" t="s">
        <v>456</v>
      </c>
      <c r="G130" s="8">
        <v>500</v>
      </c>
    </row>
    <row r="131" spans="1:7" x14ac:dyDescent="0.15">
      <c r="A131" s="8" t="s">
        <v>496</v>
      </c>
      <c r="B131" s="8" t="s">
        <v>40</v>
      </c>
      <c r="C131" s="8" t="str">
        <f t="shared" si="1"/>
        <v>ht29</v>
      </c>
      <c r="D131" s="8" t="s">
        <v>496</v>
      </c>
      <c r="E131" s="8" t="s">
        <v>497</v>
      </c>
      <c r="F131" s="8" t="s">
        <v>464</v>
      </c>
      <c r="G131" s="8">
        <v>500</v>
      </c>
    </row>
    <row r="132" spans="1:7" x14ac:dyDescent="0.15">
      <c r="A132" s="8" t="s">
        <v>498</v>
      </c>
      <c r="B132" s="8" t="s">
        <v>40</v>
      </c>
      <c r="C132" s="8" t="str">
        <f t="shared" ref="C132:C196" si="2">A132</f>
        <v>igrov1</v>
      </c>
      <c r="D132" s="8" t="s">
        <v>498</v>
      </c>
      <c r="E132" s="8" t="s">
        <v>499</v>
      </c>
      <c r="F132" s="8" t="s">
        <v>500</v>
      </c>
      <c r="G132" s="8">
        <v>500</v>
      </c>
    </row>
    <row r="133" spans="1:7" x14ac:dyDescent="0.15">
      <c r="A133" s="8" t="s">
        <v>501</v>
      </c>
      <c r="B133" s="8" t="s">
        <v>40</v>
      </c>
      <c r="C133" s="8" t="str">
        <f t="shared" si="2"/>
        <v>immmef</v>
      </c>
      <c r="D133" s="8" t="s">
        <v>501</v>
      </c>
      <c r="E133" s="8" t="s">
        <v>502</v>
      </c>
      <c r="F133" s="8" t="s">
        <v>503</v>
      </c>
      <c r="G133" s="8">
        <v>500</v>
      </c>
    </row>
    <row r="134" spans="1:7" x14ac:dyDescent="0.15">
      <c r="A134" s="8" t="s">
        <v>504</v>
      </c>
      <c r="B134" s="8" t="s">
        <v>40</v>
      </c>
      <c r="C134" s="8" t="str">
        <f t="shared" si="2"/>
        <v>jeko1</v>
      </c>
      <c r="D134" s="8" t="s">
        <v>504</v>
      </c>
      <c r="E134" s="8" t="s">
        <v>505</v>
      </c>
      <c r="F134" s="8" t="s">
        <v>506</v>
      </c>
      <c r="G134" s="8">
        <v>500</v>
      </c>
    </row>
    <row r="135" spans="1:7" x14ac:dyDescent="0.15">
      <c r="A135" s="8" t="s">
        <v>507</v>
      </c>
      <c r="B135" s="8" t="s">
        <v>40</v>
      </c>
      <c r="C135" s="8" t="str">
        <f t="shared" si="2"/>
        <v>jurkat</v>
      </c>
      <c r="D135" s="8" t="s">
        <v>507</v>
      </c>
      <c r="E135" s="8" t="s">
        <v>508</v>
      </c>
      <c r="F135" s="8" t="s">
        <v>509</v>
      </c>
      <c r="G135" s="8">
        <v>500</v>
      </c>
    </row>
    <row r="136" spans="1:7" x14ac:dyDescent="0.15">
      <c r="A136" s="8" t="s">
        <v>510</v>
      </c>
      <c r="B136" s="8" t="s">
        <v>40</v>
      </c>
      <c r="C136" s="8" t="str">
        <f t="shared" si="2"/>
        <v>jvm13</v>
      </c>
      <c r="D136" s="8" t="s">
        <v>510</v>
      </c>
      <c r="E136" s="8" t="s">
        <v>511</v>
      </c>
      <c r="F136" s="8" t="s">
        <v>506</v>
      </c>
      <c r="G136" s="8">
        <v>500</v>
      </c>
    </row>
    <row r="137" spans="1:7" x14ac:dyDescent="0.15">
      <c r="A137" s="8" t="s">
        <v>512</v>
      </c>
      <c r="B137" s="8" t="s">
        <v>40</v>
      </c>
      <c r="C137" s="8" t="str">
        <f t="shared" si="2"/>
        <v>jvm2</v>
      </c>
      <c r="D137" s="8" t="s">
        <v>512</v>
      </c>
      <c r="E137" s="8" t="s">
        <v>513</v>
      </c>
      <c r="F137" s="8" t="s">
        <v>506</v>
      </c>
      <c r="G137" s="8">
        <v>500</v>
      </c>
    </row>
    <row r="138" spans="1:7" x14ac:dyDescent="0.15">
      <c r="A138" s="8" t="s">
        <v>514</v>
      </c>
      <c r="B138" s="8" t="s">
        <v>40</v>
      </c>
      <c r="C138" s="8" t="str">
        <f t="shared" si="2"/>
        <v>k562</v>
      </c>
      <c r="D138" s="8" t="s">
        <v>514</v>
      </c>
      <c r="E138" s="8" t="s">
        <v>515</v>
      </c>
      <c r="F138" s="8" t="s">
        <v>467</v>
      </c>
      <c r="G138" s="8">
        <v>500</v>
      </c>
    </row>
    <row r="139" spans="1:7" x14ac:dyDescent="0.15">
      <c r="A139" s="8" t="s">
        <v>516</v>
      </c>
      <c r="B139" s="8" t="s">
        <v>40</v>
      </c>
      <c r="C139" s="8" t="str">
        <f t="shared" si="2"/>
        <v>km12</v>
      </c>
      <c r="D139" s="8" t="s">
        <v>516</v>
      </c>
      <c r="E139" s="8" t="s">
        <v>517</v>
      </c>
      <c r="F139" s="8" t="s">
        <v>464</v>
      </c>
      <c r="G139" s="8">
        <v>500</v>
      </c>
    </row>
    <row r="140" spans="1:7" x14ac:dyDescent="0.15">
      <c r="A140" s="8" t="s">
        <v>518</v>
      </c>
      <c r="B140" s="8" t="s">
        <v>40</v>
      </c>
      <c r="C140" s="8" t="str">
        <f t="shared" si="2"/>
        <v>lox_imvi</v>
      </c>
      <c r="D140" s="8" t="s">
        <v>518</v>
      </c>
      <c r="E140" s="8" t="s">
        <v>519</v>
      </c>
      <c r="F140" s="8" t="s">
        <v>520</v>
      </c>
      <c r="G140" s="8">
        <v>500</v>
      </c>
    </row>
    <row r="141" spans="1:7" x14ac:dyDescent="0.15">
      <c r="A141" s="8" t="s">
        <v>521</v>
      </c>
      <c r="B141" s="8" t="s">
        <v>40</v>
      </c>
      <c r="C141" s="8" t="str">
        <f t="shared" si="2"/>
        <v>m14</v>
      </c>
      <c r="D141" s="8" t="s">
        <v>521</v>
      </c>
      <c r="E141" s="8" t="s">
        <v>522</v>
      </c>
      <c r="F141" s="8" t="s">
        <v>520</v>
      </c>
      <c r="G141" s="8">
        <v>500</v>
      </c>
    </row>
    <row r="142" spans="1:7" x14ac:dyDescent="0.15">
      <c r="A142" s="8" t="s">
        <v>523</v>
      </c>
      <c r="B142" s="8" t="s">
        <v>40</v>
      </c>
      <c r="C142" s="8" t="str">
        <f t="shared" si="2"/>
        <v>malme3m</v>
      </c>
      <c r="D142" s="8" t="s">
        <v>523</v>
      </c>
      <c r="E142" s="8" t="s">
        <v>524</v>
      </c>
      <c r="F142" s="8" t="s">
        <v>520</v>
      </c>
      <c r="G142" s="8">
        <v>500</v>
      </c>
    </row>
    <row r="143" spans="1:7" x14ac:dyDescent="0.15">
      <c r="A143" s="8" t="s">
        <v>525</v>
      </c>
      <c r="B143" s="8" t="s">
        <v>40</v>
      </c>
      <c r="C143" s="8" t="str">
        <f t="shared" si="2"/>
        <v>maver1</v>
      </c>
      <c r="D143" s="8" t="s">
        <v>525</v>
      </c>
      <c r="E143" s="8" t="s">
        <v>526</v>
      </c>
      <c r="F143" s="8" t="s">
        <v>506</v>
      </c>
      <c r="G143" s="8">
        <v>500</v>
      </c>
    </row>
    <row r="144" spans="1:7" x14ac:dyDescent="0.15">
      <c r="A144" s="8" t="s">
        <v>527</v>
      </c>
      <c r="B144" s="8" t="s">
        <v>40</v>
      </c>
      <c r="C144" s="8" t="str">
        <f t="shared" si="2"/>
        <v>mcf7</v>
      </c>
      <c r="D144" s="8" t="s">
        <v>527</v>
      </c>
      <c r="E144" s="8" t="s">
        <v>528</v>
      </c>
      <c r="F144" s="8" t="s">
        <v>456</v>
      </c>
      <c r="G144" s="8">
        <v>500</v>
      </c>
    </row>
    <row r="145" spans="1:7" x14ac:dyDescent="0.15">
      <c r="A145" s="8" t="s">
        <v>529</v>
      </c>
      <c r="B145" s="8" t="s">
        <v>40</v>
      </c>
      <c r="C145" s="8" t="str">
        <f t="shared" si="2"/>
        <v>mdamb231</v>
      </c>
      <c r="D145" s="8" t="s">
        <v>529</v>
      </c>
      <c r="E145" s="8" t="s">
        <v>530</v>
      </c>
      <c r="F145" s="8" t="s">
        <v>456</v>
      </c>
      <c r="G145" s="8">
        <v>500</v>
      </c>
    </row>
    <row r="146" spans="1:7" x14ac:dyDescent="0.15">
      <c r="A146" s="8" t="s">
        <v>531</v>
      </c>
      <c r="B146" s="8" t="s">
        <v>40</v>
      </c>
      <c r="C146" s="8" t="str">
        <f t="shared" si="2"/>
        <v>mdamb435</v>
      </c>
      <c r="D146" s="8" t="s">
        <v>531</v>
      </c>
      <c r="E146" s="8" t="s">
        <v>532</v>
      </c>
      <c r="F146" s="8" t="s">
        <v>520</v>
      </c>
      <c r="G146" s="8">
        <v>500</v>
      </c>
    </row>
    <row r="147" spans="1:7" x14ac:dyDescent="0.15">
      <c r="A147" s="8" t="s">
        <v>533</v>
      </c>
      <c r="B147" s="8" t="s">
        <v>40</v>
      </c>
      <c r="C147" s="8" t="str">
        <f t="shared" si="2"/>
        <v>mdamb468</v>
      </c>
      <c r="D147" s="8" t="s">
        <v>533</v>
      </c>
      <c r="E147" s="8" t="s">
        <v>534</v>
      </c>
      <c r="F147" s="8" t="s">
        <v>456</v>
      </c>
      <c r="G147" s="8">
        <v>500</v>
      </c>
    </row>
    <row r="148" spans="1:7" x14ac:dyDescent="0.15">
      <c r="A148" s="8" t="s">
        <v>535</v>
      </c>
      <c r="B148" s="8" t="s">
        <v>40</v>
      </c>
      <c r="C148" s="8" t="str">
        <f t="shared" si="2"/>
        <v>mef</v>
      </c>
      <c r="D148" s="8" t="s">
        <v>535</v>
      </c>
      <c r="E148" s="8" t="s">
        <v>536</v>
      </c>
      <c r="F148" s="8" t="s">
        <v>537</v>
      </c>
      <c r="G148" s="8">
        <v>500</v>
      </c>
    </row>
    <row r="149" spans="1:7" x14ac:dyDescent="0.15">
      <c r="A149" s="8" t="s">
        <v>538</v>
      </c>
      <c r="B149" s="8" t="s">
        <v>40</v>
      </c>
      <c r="C149" s="8" t="str">
        <f t="shared" si="2"/>
        <v>mino</v>
      </c>
      <c r="D149" s="8" t="s">
        <v>538</v>
      </c>
      <c r="E149" s="8" t="s">
        <v>539</v>
      </c>
      <c r="F149" s="8" t="s">
        <v>506</v>
      </c>
      <c r="G149" s="8">
        <v>500</v>
      </c>
    </row>
    <row r="150" spans="1:7" x14ac:dyDescent="0.15">
      <c r="A150" s="8" t="s">
        <v>540</v>
      </c>
      <c r="B150" s="8" t="s">
        <v>40</v>
      </c>
      <c r="C150" s="8" t="str">
        <f t="shared" si="2"/>
        <v>molt4</v>
      </c>
      <c r="D150" s="8" t="s">
        <v>540</v>
      </c>
      <c r="E150" s="8" t="s">
        <v>541</v>
      </c>
      <c r="F150" s="8" t="s">
        <v>467</v>
      </c>
      <c r="G150" s="8">
        <v>500</v>
      </c>
    </row>
    <row r="151" spans="1:7" x14ac:dyDescent="0.15">
      <c r="A151" s="8" t="s">
        <v>542</v>
      </c>
      <c r="B151" s="8" t="s">
        <v>40</v>
      </c>
      <c r="C151" s="8" t="str">
        <f t="shared" si="2"/>
        <v>nceb1</v>
      </c>
      <c r="D151" s="8" t="s">
        <v>542</v>
      </c>
      <c r="E151" s="8" t="s">
        <v>543</v>
      </c>
      <c r="F151" s="8" t="s">
        <v>506</v>
      </c>
      <c r="G151" s="8">
        <v>500</v>
      </c>
    </row>
    <row r="152" spans="1:7" x14ac:dyDescent="0.15">
      <c r="A152" s="8" t="s">
        <v>544</v>
      </c>
      <c r="B152" s="8" t="s">
        <v>40</v>
      </c>
      <c r="C152" s="8" t="str">
        <f t="shared" si="2"/>
        <v>nci_adrres</v>
      </c>
      <c r="D152" s="8" t="s">
        <v>545</v>
      </c>
      <c r="E152" s="8" t="s">
        <v>546</v>
      </c>
      <c r="F152" s="8" t="s">
        <v>500</v>
      </c>
      <c r="G152" s="8">
        <v>500</v>
      </c>
    </row>
    <row r="153" spans="1:7" x14ac:dyDescent="0.15">
      <c r="A153" s="8" t="s">
        <v>547</v>
      </c>
      <c r="B153" s="8" t="s">
        <v>40</v>
      </c>
      <c r="C153" s="8" t="str">
        <f t="shared" si="2"/>
        <v>nci_h226</v>
      </c>
      <c r="D153" s="8" t="s">
        <v>548</v>
      </c>
      <c r="E153" s="8" t="s">
        <v>549</v>
      </c>
      <c r="F153" s="8" t="s">
        <v>446</v>
      </c>
      <c r="G153" s="8">
        <v>500</v>
      </c>
    </row>
    <row r="154" spans="1:7" x14ac:dyDescent="0.15">
      <c r="A154" s="8" t="s">
        <v>550</v>
      </c>
      <c r="B154" s="8" t="s">
        <v>40</v>
      </c>
      <c r="C154" s="8" t="str">
        <f t="shared" si="2"/>
        <v>nci_h23</v>
      </c>
      <c r="D154" s="8" t="s">
        <v>551</v>
      </c>
      <c r="E154" s="8" t="s">
        <v>552</v>
      </c>
      <c r="F154" s="8" t="s">
        <v>446</v>
      </c>
      <c r="G154" s="8">
        <v>500</v>
      </c>
    </row>
    <row r="155" spans="1:7" x14ac:dyDescent="0.15">
      <c r="A155" s="8" t="s">
        <v>553</v>
      </c>
      <c r="B155" s="8" t="s">
        <v>40</v>
      </c>
      <c r="C155" s="8" t="str">
        <f t="shared" si="2"/>
        <v>nci_h322m</v>
      </c>
      <c r="D155" s="8" t="s">
        <v>554</v>
      </c>
      <c r="E155" s="8" t="s">
        <v>555</v>
      </c>
      <c r="F155" s="8" t="s">
        <v>446</v>
      </c>
      <c r="G155" s="8">
        <v>500</v>
      </c>
    </row>
    <row r="156" spans="1:7" x14ac:dyDescent="0.15">
      <c r="A156" s="8" t="s">
        <v>556</v>
      </c>
      <c r="B156" s="8" t="s">
        <v>40</v>
      </c>
      <c r="C156" s="8" t="str">
        <f t="shared" si="2"/>
        <v>nci_h460</v>
      </c>
      <c r="D156" s="8" t="s">
        <v>557</v>
      </c>
      <c r="E156" s="8" t="s">
        <v>558</v>
      </c>
      <c r="F156" s="8" t="s">
        <v>446</v>
      </c>
      <c r="G156" s="8">
        <v>500</v>
      </c>
    </row>
    <row r="157" spans="1:7" x14ac:dyDescent="0.15">
      <c r="A157" s="8" t="s">
        <v>559</v>
      </c>
      <c r="B157" s="8" t="s">
        <v>40</v>
      </c>
      <c r="C157" s="8" t="str">
        <f t="shared" si="2"/>
        <v>nci_h522</v>
      </c>
      <c r="D157" s="8" t="s">
        <v>560</v>
      </c>
      <c r="E157" s="8" t="s">
        <v>561</v>
      </c>
      <c r="F157" s="8" t="s">
        <v>446</v>
      </c>
      <c r="G157" s="8">
        <v>500</v>
      </c>
    </row>
    <row r="158" spans="1:7" x14ac:dyDescent="0.15">
      <c r="A158" s="8" t="s">
        <v>562</v>
      </c>
      <c r="B158" s="8" t="s">
        <v>40</v>
      </c>
      <c r="C158" s="8" t="str">
        <f t="shared" si="2"/>
        <v>ovcar3</v>
      </c>
      <c r="D158" s="8" t="s">
        <v>562</v>
      </c>
      <c r="E158" s="8" t="s">
        <v>563</v>
      </c>
      <c r="F158" s="8" t="s">
        <v>500</v>
      </c>
      <c r="G158" s="8">
        <v>500</v>
      </c>
    </row>
    <row r="159" spans="1:7" x14ac:dyDescent="0.15">
      <c r="A159" s="8" t="s">
        <v>564</v>
      </c>
      <c r="B159" s="8" t="s">
        <v>40</v>
      </c>
      <c r="C159" s="8" t="str">
        <f t="shared" si="2"/>
        <v>ovcar4</v>
      </c>
      <c r="D159" s="8" t="s">
        <v>564</v>
      </c>
      <c r="E159" s="8" t="s">
        <v>565</v>
      </c>
      <c r="F159" s="8" t="s">
        <v>500</v>
      </c>
      <c r="G159" s="8">
        <v>500</v>
      </c>
    </row>
    <row r="160" spans="1:7" x14ac:dyDescent="0.15">
      <c r="A160" s="8" t="s">
        <v>566</v>
      </c>
      <c r="B160" s="8" t="s">
        <v>40</v>
      </c>
      <c r="C160" s="8" t="str">
        <f t="shared" si="2"/>
        <v>ovcar5</v>
      </c>
      <c r="D160" s="8" t="s">
        <v>566</v>
      </c>
      <c r="E160" s="8" t="s">
        <v>567</v>
      </c>
      <c r="F160" s="8" t="s">
        <v>500</v>
      </c>
      <c r="G160" s="8">
        <v>500</v>
      </c>
    </row>
    <row r="161" spans="1:7" x14ac:dyDescent="0.15">
      <c r="A161" s="8" t="s">
        <v>568</v>
      </c>
      <c r="B161" s="8" t="s">
        <v>40</v>
      </c>
      <c r="C161" s="8" t="str">
        <f t="shared" si="2"/>
        <v>ovcar8</v>
      </c>
      <c r="D161" s="8" t="s">
        <v>568</v>
      </c>
      <c r="E161" s="8" t="s">
        <v>569</v>
      </c>
      <c r="F161" s="8" t="s">
        <v>500</v>
      </c>
      <c r="G161" s="8">
        <v>500</v>
      </c>
    </row>
    <row r="162" spans="1:7" x14ac:dyDescent="0.15">
      <c r="A162" s="8" t="s">
        <v>570</v>
      </c>
      <c r="B162" s="8" t="s">
        <v>40</v>
      </c>
      <c r="C162" s="8" t="str">
        <f t="shared" si="2"/>
        <v>p388</v>
      </c>
      <c r="D162" s="8" t="s">
        <v>570</v>
      </c>
      <c r="E162" s="8" t="s">
        <v>571</v>
      </c>
      <c r="F162" s="8" t="s">
        <v>572</v>
      </c>
      <c r="G162" s="8">
        <v>500</v>
      </c>
    </row>
    <row r="163" spans="1:7" x14ac:dyDescent="0.15">
      <c r="A163" s="8" t="s">
        <v>573</v>
      </c>
      <c r="B163" s="8" t="s">
        <v>40</v>
      </c>
      <c r="C163" s="8" t="str">
        <f t="shared" si="2"/>
        <v>pc3</v>
      </c>
      <c r="D163" s="8" t="s">
        <v>573</v>
      </c>
      <c r="E163" s="8" t="s">
        <v>574</v>
      </c>
      <c r="F163" s="8" t="s">
        <v>470</v>
      </c>
      <c r="G163" s="8">
        <v>500</v>
      </c>
    </row>
    <row r="164" spans="1:7" x14ac:dyDescent="0.15">
      <c r="A164" s="8" t="s">
        <v>575</v>
      </c>
      <c r="B164" s="8" t="s">
        <v>40</v>
      </c>
      <c r="C164" s="8" t="str">
        <f t="shared" si="2"/>
        <v>rec1</v>
      </c>
      <c r="D164" s="8" t="s">
        <v>575</v>
      </c>
      <c r="E164" s="8" t="s">
        <v>576</v>
      </c>
      <c r="F164" s="8" t="s">
        <v>506</v>
      </c>
      <c r="G164" s="8">
        <v>500</v>
      </c>
    </row>
    <row r="165" spans="1:7" x14ac:dyDescent="0.15">
      <c r="A165" s="8" t="s">
        <v>577</v>
      </c>
      <c r="B165" s="8" t="s">
        <v>40</v>
      </c>
      <c r="C165" s="8" t="str">
        <f t="shared" si="2"/>
        <v>rpmi8226</v>
      </c>
      <c r="D165" s="8" t="s">
        <v>577</v>
      </c>
      <c r="E165" s="8" t="s">
        <v>578</v>
      </c>
      <c r="F165" s="8" t="s">
        <v>467</v>
      </c>
      <c r="G165" s="8">
        <v>500</v>
      </c>
    </row>
    <row r="166" spans="1:7" x14ac:dyDescent="0.15">
      <c r="A166" s="8" t="s">
        <v>579</v>
      </c>
      <c r="B166" s="8" t="s">
        <v>40</v>
      </c>
      <c r="C166" s="8" t="str">
        <f t="shared" si="2"/>
        <v>rxf393</v>
      </c>
      <c r="D166" s="8" t="s">
        <v>579</v>
      </c>
      <c r="E166" s="8" t="s">
        <v>580</v>
      </c>
      <c r="F166" s="8" t="s">
        <v>441</v>
      </c>
      <c r="G166" s="8">
        <v>500</v>
      </c>
    </row>
    <row r="167" spans="1:7" x14ac:dyDescent="0.15">
      <c r="A167" s="8" t="s">
        <v>581</v>
      </c>
      <c r="B167" s="8" t="s">
        <v>40</v>
      </c>
      <c r="C167" s="8" t="str">
        <f t="shared" si="2"/>
        <v>sf268</v>
      </c>
      <c r="D167" s="8" t="s">
        <v>581</v>
      </c>
      <c r="E167" s="8" t="s">
        <v>582</v>
      </c>
      <c r="F167" s="8" t="s">
        <v>583</v>
      </c>
      <c r="G167" s="8">
        <v>500</v>
      </c>
    </row>
    <row r="168" spans="1:7" x14ac:dyDescent="0.15">
      <c r="A168" s="8" t="s">
        <v>584</v>
      </c>
      <c r="B168" s="8" t="s">
        <v>40</v>
      </c>
      <c r="C168" s="8" t="str">
        <f t="shared" si="2"/>
        <v>sf295</v>
      </c>
      <c r="D168" s="8" t="s">
        <v>584</v>
      </c>
      <c r="E168" s="8" t="s">
        <v>585</v>
      </c>
      <c r="F168" s="8" t="s">
        <v>583</v>
      </c>
      <c r="G168" s="8">
        <v>500</v>
      </c>
    </row>
    <row r="169" spans="1:7" x14ac:dyDescent="0.15">
      <c r="A169" s="8" t="s">
        <v>586</v>
      </c>
      <c r="B169" s="8" t="s">
        <v>40</v>
      </c>
      <c r="C169" s="8" t="str">
        <f t="shared" si="2"/>
        <v>sf539</v>
      </c>
      <c r="D169" s="8" t="s">
        <v>586</v>
      </c>
      <c r="E169" s="8" t="s">
        <v>587</v>
      </c>
      <c r="F169" s="8" t="s">
        <v>583</v>
      </c>
      <c r="G169" s="8">
        <v>500</v>
      </c>
    </row>
    <row r="170" spans="1:7" x14ac:dyDescent="0.15">
      <c r="A170" s="8" t="s">
        <v>588</v>
      </c>
      <c r="B170" s="8" t="s">
        <v>40</v>
      </c>
      <c r="C170" s="8" t="str">
        <f t="shared" si="2"/>
        <v>skmel2</v>
      </c>
      <c r="D170" s="8" t="s">
        <v>588</v>
      </c>
      <c r="E170" s="8" t="s">
        <v>589</v>
      </c>
      <c r="F170" s="8" t="s">
        <v>520</v>
      </c>
      <c r="G170" s="8">
        <v>500</v>
      </c>
    </row>
    <row r="171" spans="1:7" x14ac:dyDescent="0.15">
      <c r="A171" s="8" t="s">
        <v>590</v>
      </c>
      <c r="B171" s="8" t="s">
        <v>40</v>
      </c>
      <c r="C171" s="8" t="str">
        <f t="shared" si="2"/>
        <v>skmel28</v>
      </c>
      <c r="D171" s="8" t="s">
        <v>590</v>
      </c>
      <c r="E171" s="8" t="s">
        <v>591</v>
      </c>
      <c r="F171" s="8" t="s">
        <v>520</v>
      </c>
      <c r="G171" s="8">
        <v>500</v>
      </c>
    </row>
    <row r="172" spans="1:7" x14ac:dyDescent="0.15">
      <c r="A172" s="8" t="s">
        <v>592</v>
      </c>
      <c r="B172" s="8" t="s">
        <v>40</v>
      </c>
      <c r="C172" s="8" t="str">
        <f t="shared" si="2"/>
        <v>skmel5</v>
      </c>
      <c r="D172" s="8" t="s">
        <v>592</v>
      </c>
      <c r="E172" s="8" t="s">
        <v>593</v>
      </c>
      <c r="F172" s="8" t="s">
        <v>520</v>
      </c>
      <c r="G172" s="8">
        <v>500</v>
      </c>
    </row>
    <row r="173" spans="1:7" x14ac:dyDescent="0.15">
      <c r="A173" s="8" t="s">
        <v>594</v>
      </c>
      <c r="B173" s="8" t="s">
        <v>40</v>
      </c>
      <c r="C173" s="8" t="str">
        <f t="shared" si="2"/>
        <v>skov3</v>
      </c>
      <c r="D173" s="8" t="s">
        <v>594</v>
      </c>
      <c r="E173" s="8" t="s">
        <v>595</v>
      </c>
      <c r="F173" s="8" t="s">
        <v>500</v>
      </c>
      <c r="G173" s="8">
        <v>500</v>
      </c>
    </row>
    <row r="174" spans="1:7" x14ac:dyDescent="0.15">
      <c r="A174" s="8" t="s">
        <v>596</v>
      </c>
      <c r="B174" s="8" t="s">
        <v>40</v>
      </c>
      <c r="C174" s="8" t="str">
        <f t="shared" si="2"/>
        <v>sn12c</v>
      </c>
      <c r="D174" s="8" t="s">
        <v>596</v>
      </c>
      <c r="E174" s="8" t="s">
        <v>597</v>
      </c>
      <c r="F174" s="8" t="s">
        <v>441</v>
      </c>
      <c r="G174" s="8">
        <v>500</v>
      </c>
    </row>
    <row r="175" spans="1:7" x14ac:dyDescent="0.15">
      <c r="A175" s="8" t="s">
        <v>598</v>
      </c>
      <c r="B175" s="8" t="s">
        <v>40</v>
      </c>
      <c r="C175" s="8" t="str">
        <f t="shared" si="2"/>
        <v>snb19</v>
      </c>
      <c r="D175" s="8" t="s">
        <v>598</v>
      </c>
      <c r="E175" s="8" t="s">
        <v>599</v>
      </c>
      <c r="F175" s="8" t="s">
        <v>583</v>
      </c>
      <c r="G175" s="8">
        <v>500</v>
      </c>
    </row>
    <row r="176" spans="1:7" x14ac:dyDescent="0.15">
      <c r="A176" s="8" t="s">
        <v>600</v>
      </c>
      <c r="B176" s="8" t="s">
        <v>40</v>
      </c>
      <c r="C176" s="8" t="str">
        <f t="shared" si="2"/>
        <v>snb75</v>
      </c>
      <c r="D176" s="8" t="s">
        <v>600</v>
      </c>
      <c r="E176" s="8" t="s">
        <v>601</v>
      </c>
      <c r="F176" s="8" t="s">
        <v>583</v>
      </c>
      <c r="G176" s="8">
        <v>500</v>
      </c>
    </row>
    <row r="177" spans="1:7" x14ac:dyDescent="0.15">
      <c r="A177" s="8" t="s">
        <v>602</v>
      </c>
      <c r="B177" s="8" t="s">
        <v>40</v>
      </c>
      <c r="C177" s="8" t="str">
        <f t="shared" si="2"/>
        <v>sr</v>
      </c>
      <c r="D177" s="8" t="s">
        <v>602</v>
      </c>
      <c r="E177" s="8" t="s">
        <v>603</v>
      </c>
      <c r="F177" s="8" t="s">
        <v>467</v>
      </c>
      <c r="G177" s="8">
        <v>500</v>
      </c>
    </row>
    <row r="178" spans="1:7" x14ac:dyDescent="0.15">
      <c r="A178" s="8" t="s">
        <v>604</v>
      </c>
      <c r="B178" s="8" t="s">
        <v>40</v>
      </c>
      <c r="C178" s="8" t="str">
        <f t="shared" si="2"/>
        <v>sw620</v>
      </c>
      <c r="D178" s="8" t="s">
        <v>604</v>
      </c>
      <c r="E178" s="8" t="s">
        <v>605</v>
      </c>
      <c r="F178" s="8" t="s">
        <v>464</v>
      </c>
      <c r="G178" s="8">
        <v>500</v>
      </c>
    </row>
    <row r="179" spans="1:7" x14ac:dyDescent="0.15">
      <c r="A179" s="8" t="s">
        <v>606</v>
      </c>
      <c r="B179" s="8" t="s">
        <v>40</v>
      </c>
      <c r="C179" s="8" t="str">
        <f t="shared" si="2"/>
        <v>t47d</v>
      </c>
      <c r="D179" s="8" t="s">
        <v>606</v>
      </c>
      <c r="E179" s="8" t="s">
        <v>607</v>
      </c>
      <c r="F179" s="8" t="s">
        <v>456</v>
      </c>
      <c r="G179" s="8">
        <v>500</v>
      </c>
    </row>
    <row r="180" spans="1:7" x14ac:dyDescent="0.15">
      <c r="A180" s="8" t="s">
        <v>608</v>
      </c>
      <c r="B180" s="8" t="s">
        <v>40</v>
      </c>
      <c r="C180" s="8" t="str">
        <f t="shared" si="2"/>
        <v>thp1</v>
      </c>
      <c r="D180" s="8" t="s">
        <v>608</v>
      </c>
      <c r="E180" s="8" t="s">
        <v>609</v>
      </c>
      <c r="F180" s="8" t="s">
        <v>610</v>
      </c>
      <c r="G180" s="8">
        <v>500</v>
      </c>
    </row>
    <row r="181" spans="1:7" x14ac:dyDescent="0.15">
      <c r="A181" s="8" t="s">
        <v>611</v>
      </c>
      <c r="B181" s="8" t="s">
        <v>40</v>
      </c>
      <c r="C181" s="8" t="str">
        <f t="shared" si="2"/>
        <v>tk10</v>
      </c>
      <c r="D181" s="8" t="s">
        <v>611</v>
      </c>
      <c r="E181" s="8" t="s">
        <v>612</v>
      </c>
      <c r="F181" s="8" t="s">
        <v>441</v>
      </c>
      <c r="G181" s="8">
        <v>500</v>
      </c>
    </row>
    <row r="182" spans="1:7" x14ac:dyDescent="0.15">
      <c r="A182" s="8" t="s">
        <v>613</v>
      </c>
      <c r="B182" s="8" t="s">
        <v>40</v>
      </c>
      <c r="C182" s="8" t="str">
        <f t="shared" si="2"/>
        <v>u251</v>
      </c>
      <c r="D182" s="8" t="s">
        <v>613</v>
      </c>
      <c r="E182" s="8" t="s">
        <v>614</v>
      </c>
      <c r="F182" s="8" t="s">
        <v>583</v>
      </c>
      <c r="G182" s="8">
        <v>500</v>
      </c>
    </row>
    <row r="183" spans="1:7" x14ac:dyDescent="0.15">
      <c r="A183" s="8" t="s">
        <v>615</v>
      </c>
      <c r="B183" s="8" t="s">
        <v>40</v>
      </c>
      <c r="C183" s="8" t="str">
        <f t="shared" si="2"/>
        <v>u937</v>
      </c>
      <c r="D183" s="8" t="s">
        <v>615</v>
      </c>
      <c r="E183" s="8" t="s">
        <v>616</v>
      </c>
      <c r="F183" s="8" t="s">
        <v>617</v>
      </c>
      <c r="G183" s="8">
        <v>500</v>
      </c>
    </row>
    <row r="184" spans="1:7" x14ac:dyDescent="0.15">
      <c r="A184" s="8" t="s">
        <v>618</v>
      </c>
      <c r="B184" s="8" t="s">
        <v>40</v>
      </c>
      <c r="C184" s="8" t="str">
        <f t="shared" si="2"/>
        <v>uacc257</v>
      </c>
      <c r="D184" s="8" t="s">
        <v>618</v>
      </c>
      <c r="E184" s="8" t="s">
        <v>619</v>
      </c>
      <c r="F184" s="8" t="s">
        <v>520</v>
      </c>
      <c r="G184" s="8">
        <v>500</v>
      </c>
    </row>
    <row r="185" spans="1:7" x14ac:dyDescent="0.15">
      <c r="A185" s="8" t="s">
        <v>620</v>
      </c>
      <c r="B185" s="8" t="s">
        <v>40</v>
      </c>
      <c r="C185" s="8" t="str">
        <f t="shared" si="2"/>
        <v>uacc62</v>
      </c>
      <c r="D185" s="8" t="s">
        <v>620</v>
      </c>
      <c r="E185" s="8" t="s">
        <v>621</v>
      </c>
      <c r="F185" s="8" t="s">
        <v>520</v>
      </c>
      <c r="G185" s="8">
        <v>500</v>
      </c>
    </row>
    <row r="186" spans="1:7" x14ac:dyDescent="0.15">
      <c r="A186" s="8" t="s">
        <v>622</v>
      </c>
      <c r="B186" s="8" t="s">
        <v>40</v>
      </c>
      <c r="C186" s="8" t="str">
        <f t="shared" si="2"/>
        <v>uo31</v>
      </c>
      <c r="D186" s="8" t="s">
        <v>622</v>
      </c>
      <c r="E186" s="8" t="s">
        <v>623</v>
      </c>
      <c r="F186" s="8" t="s">
        <v>441</v>
      </c>
      <c r="G186" s="8">
        <v>500</v>
      </c>
    </row>
    <row r="187" spans="1:7" x14ac:dyDescent="0.15">
      <c r="A187" s="8" t="s">
        <v>624</v>
      </c>
      <c r="B187" s="8" t="s">
        <v>40</v>
      </c>
      <c r="C187" s="8" t="str">
        <f t="shared" si="2"/>
        <v>z138</v>
      </c>
      <c r="D187" s="8" t="s">
        <v>624</v>
      </c>
      <c r="E187" s="8" t="s">
        <v>625</v>
      </c>
      <c r="F187" s="8" t="s">
        <v>506</v>
      </c>
      <c r="G187" s="8">
        <v>500</v>
      </c>
    </row>
    <row r="188" spans="1:7" x14ac:dyDescent="0.15">
      <c r="A188" s="8" t="s">
        <v>3180</v>
      </c>
      <c r="B188" s="8" t="s">
        <v>40</v>
      </c>
      <c r="C188" s="8" t="str">
        <f t="shared" si="2"/>
        <v>bv2</v>
      </c>
      <c r="D188" s="8" t="s">
        <v>3180</v>
      </c>
      <c r="E188" s="8" t="s">
        <v>3178</v>
      </c>
      <c r="F188" s="25" t="s">
        <v>3179</v>
      </c>
      <c r="G188" s="8">
        <v>500</v>
      </c>
    </row>
    <row r="189" spans="1:7" x14ac:dyDescent="0.15">
      <c r="A189" s="8" t="s">
        <v>626</v>
      </c>
      <c r="B189" s="8" t="s">
        <v>49</v>
      </c>
      <c r="C189" s="8" t="str">
        <f t="shared" si="2"/>
        <v>75um</v>
      </c>
      <c r="D189" s="9" t="s">
        <v>15</v>
      </c>
      <c r="E189" s="8">
        <v>75</v>
      </c>
      <c r="F189" s="8" t="s">
        <v>627</v>
      </c>
      <c r="G189" s="8">
        <v>500</v>
      </c>
    </row>
    <row r="190" spans="1:7" x14ac:dyDescent="0.15">
      <c r="A190" s="8" t="s">
        <v>628</v>
      </c>
      <c r="B190" s="8" t="s">
        <v>52</v>
      </c>
      <c r="C190" s="8" t="str">
        <f t="shared" si="2"/>
        <v>15cm</v>
      </c>
      <c r="D190" s="8" t="s">
        <v>628</v>
      </c>
      <c r="E190" s="8">
        <v>15</v>
      </c>
      <c r="F190" s="8" t="s">
        <v>629</v>
      </c>
      <c r="G190" s="8">
        <v>500</v>
      </c>
    </row>
    <row r="191" spans="1:7" x14ac:dyDescent="0.15">
      <c r="A191" s="8" t="s">
        <v>630</v>
      </c>
      <c r="B191" s="8" t="s">
        <v>52</v>
      </c>
      <c r="C191" s="8" t="str">
        <f t="shared" si="2"/>
        <v>30cm</v>
      </c>
      <c r="D191" s="8" t="s">
        <v>630</v>
      </c>
      <c r="E191" s="8">
        <v>30</v>
      </c>
      <c r="F191" s="8" t="s">
        <v>631</v>
      </c>
      <c r="G191" s="8">
        <v>500</v>
      </c>
    </row>
    <row r="192" spans="1:7" x14ac:dyDescent="0.15">
      <c r="A192" s="8" t="s">
        <v>632</v>
      </c>
      <c r="B192" s="8" t="s">
        <v>52</v>
      </c>
      <c r="C192" s="8" t="str">
        <f t="shared" si="2"/>
        <v>50cm</v>
      </c>
      <c r="D192" s="8" t="s">
        <v>632</v>
      </c>
      <c r="E192" s="8">
        <v>50</v>
      </c>
      <c r="F192" s="8" t="s">
        <v>633</v>
      </c>
      <c r="G192" s="8">
        <v>500</v>
      </c>
    </row>
    <row r="193" spans="1:7" x14ac:dyDescent="0.15">
      <c r="A193" s="8" t="s">
        <v>634</v>
      </c>
      <c r="B193" s="8" t="s">
        <v>52</v>
      </c>
      <c r="C193" s="8" t="str">
        <f t="shared" si="2"/>
        <v>5cm</v>
      </c>
      <c r="D193" s="8" t="s">
        <v>634</v>
      </c>
      <c r="E193" s="8">
        <v>5</v>
      </c>
      <c r="F193" s="8" t="s">
        <v>3006</v>
      </c>
      <c r="G193" s="8">
        <v>500</v>
      </c>
    </row>
    <row r="194" spans="1:7" x14ac:dyDescent="0.15">
      <c r="A194" s="8" t="s">
        <v>3005</v>
      </c>
      <c r="B194" s="8" t="s">
        <v>52</v>
      </c>
      <c r="C194" s="8" t="str">
        <f t="shared" si="2"/>
        <v>40cm</v>
      </c>
      <c r="D194" s="8">
        <v>40</v>
      </c>
      <c r="E194" s="8">
        <v>40</v>
      </c>
      <c r="F194" s="8" t="s">
        <v>3007</v>
      </c>
      <c r="G194" s="8">
        <v>500</v>
      </c>
    </row>
    <row r="195" spans="1:7" x14ac:dyDescent="0.15">
      <c r="A195" s="8" t="s">
        <v>3114</v>
      </c>
      <c r="B195" s="8" t="s">
        <v>52</v>
      </c>
      <c r="C195" s="8" t="str">
        <f t="shared" si="2"/>
        <v>60cm</v>
      </c>
      <c r="D195" s="8" t="s">
        <v>3114</v>
      </c>
      <c r="E195" s="8">
        <v>60</v>
      </c>
      <c r="F195" s="8" t="s">
        <v>3115</v>
      </c>
      <c r="G195" s="8">
        <v>500</v>
      </c>
    </row>
    <row r="196" spans="1:7" x14ac:dyDescent="0.15">
      <c r="A196" s="8" t="s">
        <v>635</v>
      </c>
      <c r="B196" s="8" t="s">
        <v>54</v>
      </c>
      <c r="C196" s="8" t="str">
        <f t="shared" si="2"/>
        <v>40c</v>
      </c>
      <c r="D196" s="9" t="s">
        <v>15</v>
      </c>
      <c r="E196" s="8">
        <v>40</v>
      </c>
      <c r="F196" s="9" t="s">
        <v>3009</v>
      </c>
      <c r="G196" s="8">
        <v>500</v>
      </c>
    </row>
    <row r="197" spans="1:7" x14ac:dyDescent="0.15">
      <c r="A197" s="8" t="s">
        <v>3008</v>
      </c>
      <c r="B197" s="8" t="s">
        <v>54</v>
      </c>
      <c r="C197" s="8" t="str">
        <f t="shared" ref="C197:C261" si="3">A197</f>
        <v>50c</v>
      </c>
      <c r="D197" s="9" t="s">
        <v>15</v>
      </c>
      <c r="E197" s="8">
        <v>50</v>
      </c>
      <c r="F197" s="9" t="s">
        <v>3010</v>
      </c>
      <c r="G197" s="8">
        <v>500</v>
      </c>
    </row>
    <row r="198" spans="1:7" x14ac:dyDescent="0.15">
      <c r="A198" s="8" t="s">
        <v>636</v>
      </c>
      <c r="B198" s="8" t="s">
        <v>54</v>
      </c>
      <c r="C198" s="8" t="str">
        <f t="shared" si="3"/>
        <v>55c</v>
      </c>
      <c r="D198" s="9" t="s">
        <v>15</v>
      </c>
      <c r="E198" s="8">
        <v>55</v>
      </c>
      <c r="F198" s="9" t="s">
        <v>3011</v>
      </c>
      <c r="G198" s="8">
        <v>500</v>
      </c>
    </row>
    <row r="199" spans="1:7" x14ac:dyDescent="0.15">
      <c r="A199" s="8" t="s">
        <v>637</v>
      </c>
      <c r="B199" s="8" t="s">
        <v>55</v>
      </c>
      <c r="C199" s="8" t="str">
        <f t="shared" si="3"/>
        <v>170nm</v>
      </c>
      <c r="D199" s="9" t="s">
        <v>15</v>
      </c>
      <c r="E199" s="8">
        <v>1.7</v>
      </c>
      <c r="F199" s="8" t="s">
        <v>638</v>
      </c>
      <c r="G199" s="8">
        <v>500</v>
      </c>
    </row>
    <row r="200" spans="1:7" x14ac:dyDescent="0.15">
      <c r="A200" s="8" t="s">
        <v>639</v>
      </c>
      <c r="B200" s="8" t="s">
        <v>55</v>
      </c>
      <c r="C200" s="8" t="str">
        <f t="shared" si="3"/>
        <v>270nm</v>
      </c>
      <c r="D200" s="9" t="s">
        <v>15</v>
      </c>
      <c r="E200" s="8">
        <v>2.7</v>
      </c>
      <c r="F200" s="8" t="s">
        <v>640</v>
      </c>
      <c r="G200" s="8">
        <v>500</v>
      </c>
    </row>
    <row r="201" spans="1:7" x14ac:dyDescent="0.15">
      <c r="A201" s="8" t="s">
        <v>641</v>
      </c>
      <c r="B201" s="8" t="s">
        <v>58</v>
      </c>
      <c r="C201" s="8" t="str">
        <f t="shared" si="3"/>
        <v>c18</v>
      </c>
      <c r="D201" s="9" t="s">
        <v>15</v>
      </c>
      <c r="E201" s="8" t="s">
        <v>642</v>
      </c>
      <c r="F201" s="8" t="s">
        <v>643</v>
      </c>
      <c r="G201" s="8">
        <v>500</v>
      </c>
    </row>
    <row r="202" spans="1:7" x14ac:dyDescent="0.15">
      <c r="A202" s="8" t="s">
        <v>644</v>
      </c>
      <c r="B202" s="8" t="s">
        <v>58</v>
      </c>
      <c r="C202" s="8" t="str">
        <f t="shared" si="3"/>
        <v>c8</v>
      </c>
      <c r="D202" s="9" t="s">
        <v>15</v>
      </c>
      <c r="E202" s="8" t="s">
        <v>645</v>
      </c>
      <c r="F202" s="8" t="s">
        <v>646</v>
      </c>
      <c r="G202" s="8">
        <v>500</v>
      </c>
    </row>
    <row r="203" spans="1:7" x14ac:dyDescent="0.15">
      <c r="A203" s="8" t="s">
        <v>647</v>
      </c>
      <c r="B203" s="8" t="s">
        <v>50</v>
      </c>
      <c r="C203" s="8" t="str">
        <f t="shared" si="3"/>
        <v>aurora</v>
      </c>
      <c r="D203" s="9" t="s">
        <v>15</v>
      </c>
      <c r="E203" s="8" t="s">
        <v>2782</v>
      </c>
      <c r="F203" s="8" t="s">
        <v>2783</v>
      </c>
      <c r="G203" s="8">
        <v>500</v>
      </c>
    </row>
    <row r="204" spans="1:7" x14ac:dyDescent="0.15">
      <c r="A204" s="8" t="s">
        <v>650</v>
      </c>
      <c r="B204" s="8" t="s">
        <v>50</v>
      </c>
      <c r="C204" s="8" t="str">
        <f t="shared" si="3"/>
        <v>easyspray</v>
      </c>
      <c r="D204" s="9" t="s">
        <v>15</v>
      </c>
      <c r="E204" s="8" t="s">
        <v>651</v>
      </c>
      <c r="F204" s="8" t="s">
        <v>652</v>
      </c>
      <c r="G204" s="8">
        <v>500</v>
      </c>
    </row>
    <row r="205" spans="1:7" x14ac:dyDescent="0.15">
      <c r="A205" s="8" t="s">
        <v>653</v>
      </c>
      <c r="B205" s="8" t="s">
        <v>50</v>
      </c>
      <c r="C205" s="8" t="str">
        <f t="shared" si="3"/>
        <v>inhouse</v>
      </c>
      <c r="D205" s="9" t="s">
        <v>15</v>
      </c>
      <c r="E205" s="8" t="s">
        <v>654</v>
      </c>
      <c r="F205" s="8" t="s">
        <v>655</v>
      </c>
      <c r="G205" s="8">
        <v>500</v>
      </c>
    </row>
    <row r="206" spans="1:7" x14ac:dyDescent="0.15">
      <c r="A206" s="8" t="s">
        <v>656</v>
      </c>
      <c r="B206" s="8" t="s">
        <v>50</v>
      </c>
      <c r="C206" s="8" t="str">
        <f t="shared" si="3"/>
        <v>upac_doubleviper</v>
      </c>
      <c r="D206" s="9" t="s">
        <v>15</v>
      </c>
      <c r="E206" s="8" t="s">
        <v>657</v>
      </c>
      <c r="F206" s="8" t="s">
        <v>658</v>
      </c>
      <c r="G206" s="8">
        <v>500</v>
      </c>
    </row>
    <row r="207" spans="1:7" x14ac:dyDescent="0.15">
      <c r="A207" s="8" t="s">
        <v>659</v>
      </c>
      <c r="B207" s="8" t="s">
        <v>50</v>
      </c>
      <c r="C207" s="8" t="str">
        <f t="shared" si="3"/>
        <v>upac_low_loadneo</v>
      </c>
      <c r="D207" s="9" t="s">
        <v>15</v>
      </c>
      <c r="E207" s="8" t="s">
        <v>660</v>
      </c>
      <c r="F207" s="8" t="s">
        <v>661</v>
      </c>
      <c r="G207" s="8">
        <v>500</v>
      </c>
    </row>
    <row r="208" spans="1:7" x14ac:dyDescent="0.15">
      <c r="A208" s="8" t="s">
        <v>662</v>
      </c>
      <c r="B208" s="8" t="s">
        <v>50</v>
      </c>
      <c r="C208" s="8" t="str">
        <f t="shared" si="3"/>
        <v>upac_neo</v>
      </c>
      <c r="D208" s="9" t="s">
        <v>15</v>
      </c>
      <c r="E208" s="8" t="s">
        <v>663</v>
      </c>
      <c r="F208" s="8" t="s">
        <v>664</v>
      </c>
      <c r="G208" s="8">
        <v>500</v>
      </c>
    </row>
    <row r="209" spans="1:7" x14ac:dyDescent="0.15">
      <c r="A209" s="8" t="s">
        <v>3054</v>
      </c>
      <c r="B209" s="8" t="s">
        <v>50</v>
      </c>
      <c r="C209" s="8" t="str">
        <f t="shared" si="3"/>
        <v>pepsep</v>
      </c>
      <c r="D209" s="9" t="s">
        <v>3054</v>
      </c>
      <c r="E209" s="8" t="s">
        <v>3055</v>
      </c>
      <c r="F209" s="8" t="s">
        <v>3056</v>
      </c>
      <c r="G209" s="8">
        <v>500</v>
      </c>
    </row>
    <row r="210" spans="1:7" x14ac:dyDescent="0.15">
      <c r="A210" s="8" t="s">
        <v>3057</v>
      </c>
      <c r="B210" s="8" t="s">
        <v>50</v>
      </c>
      <c r="C210" s="8" t="str">
        <f t="shared" si="3"/>
        <v>pepsepultra</v>
      </c>
      <c r="D210" s="9" t="s">
        <v>3054</v>
      </c>
      <c r="E210" s="8" t="s">
        <v>3058</v>
      </c>
      <c r="F210" s="8" t="s">
        <v>3066</v>
      </c>
      <c r="G210" s="8">
        <v>500</v>
      </c>
    </row>
    <row r="211" spans="1:7" x14ac:dyDescent="0.15">
      <c r="A211" s="8" t="s">
        <v>3059</v>
      </c>
      <c r="B211" s="8" t="s">
        <v>50</v>
      </c>
      <c r="C211" s="8" t="str">
        <f t="shared" si="3"/>
        <v>pepsepmax</v>
      </c>
      <c r="D211" s="9" t="s">
        <v>3054</v>
      </c>
      <c r="E211" s="8" t="s">
        <v>3060</v>
      </c>
      <c r="F211" s="8" t="s">
        <v>3065</v>
      </c>
      <c r="G211" s="8">
        <v>500</v>
      </c>
    </row>
    <row r="212" spans="1:7" x14ac:dyDescent="0.15">
      <c r="A212" s="8" t="s">
        <v>3061</v>
      </c>
      <c r="B212" s="8" t="s">
        <v>50</v>
      </c>
      <c r="C212" s="8" t="str">
        <f t="shared" si="3"/>
        <v>pepsepmaxht</v>
      </c>
      <c r="D212" s="9" t="s">
        <v>3062</v>
      </c>
      <c r="E212" s="8" t="s">
        <v>3063</v>
      </c>
      <c r="F212" s="8" t="s">
        <v>3064</v>
      </c>
      <c r="G212" s="8">
        <v>500</v>
      </c>
    </row>
    <row r="213" spans="1:7" x14ac:dyDescent="0.15">
      <c r="A213" s="8" t="s">
        <v>665</v>
      </c>
      <c r="B213" s="8" t="s">
        <v>61</v>
      </c>
      <c r="C213" s="8" t="str">
        <f t="shared" si="3"/>
        <v>5_fluorouracil</v>
      </c>
      <c r="D213" s="8" t="s">
        <v>666</v>
      </c>
      <c r="E213" s="8" t="s">
        <v>667</v>
      </c>
      <c r="F213" s="8" t="s">
        <v>668</v>
      </c>
      <c r="G213" s="8">
        <v>500</v>
      </c>
    </row>
    <row r="214" spans="1:7" x14ac:dyDescent="0.15">
      <c r="A214" s="8" t="s">
        <v>669</v>
      </c>
      <c r="B214" s="8" t="s">
        <v>61</v>
      </c>
      <c r="C214" s="8" t="str">
        <f t="shared" si="3"/>
        <v>anisomycin</v>
      </c>
      <c r="D214" s="8" t="s">
        <v>669</v>
      </c>
      <c r="E214" s="8" t="s">
        <v>670</v>
      </c>
      <c r="F214" s="8" t="s">
        <v>670</v>
      </c>
      <c r="G214" s="8">
        <v>500</v>
      </c>
    </row>
    <row r="215" spans="1:7" x14ac:dyDescent="0.15">
      <c r="A215" s="8" t="s">
        <v>671</v>
      </c>
      <c r="B215" s="8" t="s">
        <v>61</v>
      </c>
      <c r="C215" s="8" t="str">
        <f t="shared" si="3"/>
        <v>antimycin</v>
      </c>
      <c r="D215" s="8" t="s">
        <v>671</v>
      </c>
      <c r="E215" s="8" t="s">
        <v>672</v>
      </c>
      <c r="F215" s="8" t="s">
        <v>673</v>
      </c>
      <c r="G215" s="8">
        <v>500</v>
      </c>
    </row>
    <row r="216" spans="1:7" x14ac:dyDescent="0.15">
      <c r="A216" s="8" t="s">
        <v>674</v>
      </c>
      <c r="B216" s="8" t="s">
        <v>61</v>
      </c>
      <c r="C216" s="8" t="str">
        <f t="shared" si="3"/>
        <v>atp</v>
      </c>
      <c r="D216" s="8" t="s">
        <v>674</v>
      </c>
      <c r="E216" s="8" t="s">
        <v>675</v>
      </c>
      <c r="F216" s="8" t="s">
        <v>676</v>
      </c>
      <c r="G216" s="8">
        <v>500</v>
      </c>
    </row>
    <row r="217" spans="1:7" x14ac:dyDescent="0.15">
      <c r="A217" s="8" t="s">
        <v>677</v>
      </c>
      <c r="B217" s="8" t="s">
        <v>61</v>
      </c>
      <c r="C217" s="8" t="str">
        <f t="shared" si="3"/>
        <v>berzosertib</v>
      </c>
      <c r="D217" s="8" t="s">
        <v>677</v>
      </c>
      <c r="E217" s="8" t="s">
        <v>677</v>
      </c>
      <c r="F217" s="8" t="s">
        <v>678</v>
      </c>
      <c r="G217" s="8">
        <v>500</v>
      </c>
    </row>
    <row r="218" spans="1:7" x14ac:dyDescent="0.15">
      <c r="A218" s="8" t="s">
        <v>679</v>
      </c>
      <c r="B218" s="8" t="s">
        <v>61</v>
      </c>
      <c r="C218" s="8" t="str">
        <f t="shared" si="3"/>
        <v>bortezomib</v>
      </c>
      <c r="D218" s="8" t="s">
        <v>679</v>
      </c>
      <c r="E218" s="8" t="s">
        <v>679</v>
      </c>
      <c r="F218" s="8" t="s">
        <v>680</v>
      </c>
      <c r="G218" s="8">
        <v>500</v>
      </c>
    </row>
    <row r="219" spans="1:7" x14ac:dyDescent="0.15">
      <c r="A219" s="8" t="s">
        <v>681</v>
      </c>
      <c r="B219" s="8" t="s">
        <v>61</v>
      </c>
      <c r="C219" s="8" t="str">
        <f t="shared" si="3"/>
        <v>cccp</v>
      </c>
      <c r="D219" s="8" t="s">
        <v>681</v>
      </c>
      <c r="E219" s="8" t="s">
        <v>682</v>
      </c>
      <c r="F219" s="8" t="s">
        <v>683</v>
      </c>
      <c r="G219" s="8">
        <v>500</v>
      </c>
    </row>
    <row r="220" spans="1:7" x14ac:dyDescent="0.15">
      <c r="A220" s="8" t="s">
        <v>684</v>
      </c>
      <c r="B220" s="8" t="s">
        <v>61</v>
      </c>
      <c r="C220" s="8" t="str">
        <f t="shared" si="3"/>
        <v>cycloheximide</v>
      </c>
      <c r="D220" s="8" t="s">
        <v>684</v>
      </c>
      <c r="E220" s="8" t="s">
        <v>685</v>
      </c>
      <c r="F220" s="8" t="s">
        <v>685</v>
      </c>
      <c r="G220" s="8">
        <v>500</v>
      </c>
    </row>
    <row r="221" spans="1:7" x14ac:dyDescent="0.15">
      <c r="A221" s="8" t="s">
        <v>686</v>
      </c>
      <c r="B221" s="8" t="s">
        <v>61</v>
      </c>
      <c r="C221" s="8" t="str">
        <f t="shared" si="3"/>
        <v>dmso</v>
      </c>
      <c r="D221" s="8" t="s">
        <v>686</v>
      </c>
      <c r="E221" s="8" t="s">
        <v>687</v>
      </c>
      <c r="F221" s="8" t="s">
        <v>688</v>
      </c>
      <c r="G221" s="8">
        <v>500</v>
      </c>
    </row>
    <row r="222" spans="1:7" x14ac:dyDescent="0.15">
      <c r="A222" s="8" t="s">
        <v>689</v>
      </c>
      <c r="B222" s="8" t="s">
        <v>61</v>
      </c>
      <c r="C222" s="8" t="str">
        <f t="shared" si="3"/>
        <v>doxorubicin</v>
      </c>
      <c r="D222" s="8" t="s">
        <v>689</v>
      </c>
      <c r="E222" s="8" t="s">
        <v>690</v>
      </c>
      <c r="F222" s="8" t="s">
        <v>691</v>
      </c>
      <c r="G222" s="8">
        <v>500</v>
      </c>
    </row>
    <row r="223" spans="1:7" x14ac:dyDescent="0.15">
      <c r="A223" s="8" t="s">
        <v>692</v>
      </c>
      <c r="B223" s="8" t="s">
        <v>61</v>
      </c>
      <c r="C223" s="8" t="str">
        <f t="shared" si="3"/>
        <v>doxycycline</v>
      </c>
      <c r="D223" s="8" t="s">
        <v>692</v>
      </c>
      <c r="E223" s="8" t="s">
        <v>693</v>
      </c>
      <c r="F223" s="8" t="s">
        <v>694</v>
      </c>
      <c r="G223" s="8">
        <v>500</v>
      </c>
    </row>
    <row r="224" spans="1:7" x14ac:dyDescent="0.15">
      <c r="A224" s="8" t="s">
        <v>2794</v>
      </c>
      <c r="B224" s="8" t="s">
        <v>61</v>
      </c>
      <c r="C224" s="8" t="str">
        <f t="shared" si="3"/>
        <v>epoximicin</v>
      </c>
      <c r="D224" s="8" t="s">
        <v>2793</v>
      </c>
      <c r="E224" s="8" t="s">
        <v>2792</v>
      </c>
      <c r="F224" s="8" t="s">
        <v>2795</v>
      </c>
      <c r="G224" s="8">
        <v>500</v>
      </c>
    </row>
    <row r="225" spans="1:7" x14ac:dyDescent="0.15">
      <c r="A225" s="8" t="s">
        <v>695</v>
      </c>
      <c r="B225" s="8" t="s">
        <v>61</v>
      </c>
      <c r="C225" s="8" t="str">
        <f t="shared" si="3"/>
        <v>etoposide</v>
      </c>
      <c r="D225" s="8" t="s">
        <v>695</v>
      </c>
      <c r="E225" s="8" t="s">
        <v>696</v>
      </c>
      <c r="F225" s="8" t="s">
        <v>697</v>
      </c>
      <c r="G225" s="8">
        <v>500</v>
      </c>
    </row>
    <row r="226" spans="1:7" x14ac:dyDescent="0.15">
      <c r="A226" s="8" t="s">
        <v>698</v>
      </c>
      <c r="B226" s="8" t="s">
        <v>61</v>
      </c>
      <c r="C226" s="8" t="str">
        <f t="shared" si="3"/>
        <v>fccp</v>
      </c>
      <c r="D226" s="8" t="s">
        <v>698</v>
      </c>
      <c r="E226" s="8" t="s">
        <v>699</v>
      </c>
      <c r="F226" s="8" t="s">
        <v>700</v>
      </c>
      <c r="G226" s="8">
        <v>500</v>
      </c>
    </row>
    <row r="227" spans="1:7" x14ac:dyDescent="0.15">
      <c r="A227" s="8" t="s">
        <v>701</v>
      </c>
      <c r="B227" s="8" t="s">
        <v>61</v>
      </c>
      <c r="C227" s="8" t="str">
        <f t="shared" si="3"/>
        <v>h2o</v>
      </c>
      <c r="D227" s="8" t="s">
        <v>701</v>
      </c>
      <c r="E227" s="8" t="s">
        <v>702</v>
      </c>
      <c r="F227" s="8" t="s">
        <v>703</v>
      </c>
      <c r="G227" s="8">
        <v>500</v>
      </c>
    </row>
    <row r="228" spans="1:7" x14ac:dyDescent="0.15">
      <c r="A228" s="8" t="s">
        <v>2789</v>
      </c>
      <c r="B228" s="8" t="s">
        <v>61</v>
      </c>
      <c r="C228" s="8" t="str">
        <f t="shared" si="3"/>
        <v>h2o2</v>
      </c>
      <c r="D228" s="8" t="s">
        <v>2789</v>
      </c>
      <c r="E228" s="8" t="s">
        <v>2790</v>
      </c>
      <c r="F228" s="8" t="s">
        <v>2791</v>
      </c>
      <c r="G228" s="8">
        <v>500</v>
      </c>
    </row>
    <row r="229" spans="1:7" x14ac:dyDescent="0.15">
      <c r="A229" s="8" t="s">
        <v>704</v>
      </c>
      <c r="B229" s="8" t="s">
        <v>61</v>
      </c>
      <c r="C229" s="8" t="str">
        <f t="shared" si="3"/>
        <v>hydroxyurea</v>
      </c>
      <c r="D229" s="8" t="s">
        <v>704</v>
      </c>
      <c r="E229" s="8" t="s">
        <v>705</v>
      </c>
      <c r="F229" s="8" t="s">
        <v>706</v>
      </c>
      <c r="G229" s="8">
        <v>500</v>
      </c>
    </row>
    <row r="230" spans="1:7" x14ac:dyDescent="0.15">
      <c r="A230" s="8" t="s">
        <v>707</v>
      </c>
      <c r="B230" s="8" t="s">
        <v>61</v>
      </c>
      <c r="C230" s="8" t="str">
        <f t="shared" si="3"/>
        <v>oligomycin</v>
      </c>
      <c r="D230" s="8" t="s">
        <v>707</v>
      </c>
      <c r="E230" s="8" t="s">
        <v>708</v>
      </c>
      <c r="F230" s="8" t="s">
        <v>709</v>
      </c>
      <c r="G230" s="8">
        <v>500</v>
      </c>
    </row>
    <row r="231" spans="1:7" x14ac:dyDescent="0.15">
      <c r="A231" s="8" t="s">
        <v>710</v>
      </c>
      <c r="B231" s="8" t="s">
        <v>61</v>
      </c>
      <c r="C231" s="8" t="str">
        <f t="shared" si="3"/>
        <v>rapamycin</v>
      </c>
      <c r="D231" s="8" t="s">
        <v>710</v>
      </c>
      <c r="E231" s="8" t="s">
        <v>711</v>
      </c>
      <c r="F231" s="8" t="s">
        <v>712</v>
      </c>
      <c r="G231" s="8">
        <v>500</v>
      </c>
    </row>
    <row r="232" spans="1:7" x14ac:dyDescent="0.15">
      <c r="A232" s="8" t="s">
        <v>713</v>
      </c>
      <c r="B232" s="8" t="s">
        <v>61</v>
      </c>
      <c r="C232" s="8" t="str">
        <f t="shared" si="3"/>
        <v>rotenone</v>
      </c>
      <c r="D232" s="8" t="s">
        <v>713</v>
      </c>
      <c r="E232" s="8" t="s">
        <v>714</v>
      </c>
      <c r="F232" s="8" t="s">
        <v>715</v>
      </c>
      <c r="G232" s="8">
        <v>500</v>
      </c>
    </row>
    <row r="233" spans="1:7" x14ac:dyDescent="0.15">
      <c r="A233" s="8" t="s">
        <v>716</v>
      </c>
      <c r="B233" s="8" t="s">
        <v>61</v>
      </c>
      <c r="C233" s="8" t="str">
        <f t="shared" si="3"/>
        <v>tamoxifen</v>
      </c>
      <c r="D233" s="8" t="s">
        <v>716</v>
      </c>
      <c r="E233" s="8" t="s">
        <v>716</v>
      </c>
      <c r="F233" s="8" t="s">
        <v>717</v>
      </c>
      <c r="G233" s="8">
        <v>500</v>
      </c>
    </row>
    <row r="234" spans="1:7" x14ac:dyDescent="0.15">
      <c r="A234" s="8" t="s">
        <v>718</v>
      </c>
      <c r="B234" s="8" t="s">
        <v>61</v>
      </c>
      <c r="C234" s="8" t="str">
        <f t="shared" si="3"/>
        <v>torin</v>
      </c>
      <c r="D234" s="8" t="s">
        <v>718</v>
      </c>
      <c r="E234" s="8" t="s">
        <v>719</v>
      </c>
      <c r="F234" s="8" t="s">
        <v>720</v>
      </c>
      <c r="G234" s="8">
        <v>500</v>
      </c>
    </row>
    <row r="235" spans="1:7" x14ac:dyDescent="0.15">
      <c r="A235" s="8" t="s">
        <v>721</v>
      </c>
      <c r="B235" s="8" t="s">
        <v>61</v>
      </c>
      <c r="C235" s="8" t="str">
        <f t="shared" si="3"/>
        <v>trametinib</v>
      </c>
      <c r="D235" s="8" t="s">
        <v>721</v>
      </c>
      <c r="E235" s="8" t="s">
        <v>721</v>
      </c>
      <c r="F235" s="8" t="s">
        <v>722</v>
      </c>
      <c r="G235" s="8">
        <v>500</v>
      </c>
    </row>
    <row r="236" spans="1:7" x14ac:dyDescent="0.15">
      <c r="A236" s="8" t="s">
        <v>723</v>
      </c>
      <c r="B236" s="8" t="s">
        <v>61</v>
      </c>
      <c r="C236" s="8" t="str">
        <f t="shared" si="3"/>
        <v>unstimulated</v>
      </c>
      <c r="D236" s="8" t="s">
        <v>723</v>
      </c>
      <c r="E236" s="8" t="s">
        <v>724</v>
      </c>
      <c r="F236" s="8" t="s">
        <v>725</v>
      </c>
      <c r="G236" s="8">
        <v>500</v>
      </c>
    </row>
    <row r="237" spans="1:7" x14ac:dyDescent="0.15">
      <c r="A237" s="8" t="s">
        <v>3196</v>
      </c>
      <c r="B237" s="8" t="s">
        <v>61</v>
      </c>
      <c r="C237" s="8" t="str">
        <f t="shared" si="3"/>
        <v>pbs</v>
      </c>
      <c r="D237" s="8" t="s">
        <v>3196</v>
      </c>
      <c r="E237" s="8" t="s">
        <v>3197</v>
      </c>
      <c r="F237" s="8" t="s">
        <v>3198</v>
      </c>
      <c r="G237" s="8">
        <v>500</v>
      </c>
    </row>
    <row r="238" spans="1:7" x14ac:dyDescent="0.15">
      <c r="A238" s="8" t="s">
        <v>726</v>
      </c>
      <c r="B238" s="8" t="s">
        <v>61</v>
      </c>
      <c r="C238" s="8" t="str">
        <f t="shared" si="3"/>
        <v>microenvironment</v>
      </c>
      <c r="D238" s="9" t="s">
        <v>15</v>
      </c>
      <c r="E238" s="8" t="s">
        <v>726</v>
      </c>
      <c r="F238" s="8" t="s">
        <v>726</v>
      </c>
      <c r="G238" s="8">
        <v>500</v>
      </c>
    </row>
    <row r="239" spans="1:7" x14ac:dyDescent="0.15">
      <c r="A239" s="8" t="s">
        <v>727</v>
      </c>
      <c r="B239" s="8" t="s">
        <v>63</v>
      </c>
      <c r="C239" s="8" t="str">
        <f t="shared" si="3"/>
        <v>egs</v>
      </c>
      <c r="D239" s="9" t="s">
        <v>15</v>
      </c>
      <c r="E239" s="8" t="s">
        <v>728</v>
      </c>
      <c r="F239" s="8" t="s">
        <v>729</v>
      </c>
      <c r="G239" s="8">
        <v>500</v>
      </c>
    </row>
    <row r="240" spans="1:7" x14ac:dyDescent="0.15">
      <c r="A240" s="8" t="s">
        <v>730</v>
      </c>
      <c r="B240" s="8" t="s">
        <v>63</v>
      </c>
      <c r="C240" s="8" t="str">
        <f t="shared" si="3"/>
        <v>suflo_egs</v>
      </c>
      <c r="D240" s="9" t="s">
        <v>15</v>
      </c>
      <c r="E240" s="8" t="s">
        <v>731</v>
      </c>
      <c r="F240" s="8" t="s">
        <v>732</v>
      </c>
      <c r="G240" s="8">
        <v>500</v>
      </c>
    </row>
    <row r="241" spans="1:7" x14ac:dyDescent="0.15">
      <c r="A241" s="8" t="s">
        <v>733</v>
      </c>
      <c r="B241" s="8" t="s">
        <v>66</v>
      </c>
      <c r="C241" s="8" t="str">
        <f t="shared" si="3"/>
        <v>dsbu</v>
      </c>
      <c r="D241" s="9" t="s">
        <v>15</v>
      </c>
      <c r="E241" s="8" t="s">
        <v>734</v>
      </c>
      <c r="F241" s="8" t="s">
        <v>735</v>
      </c>
      <c r="G241" s="8">
        <v>500</v>
      </c>
    </row>
    <row r="242" spans="1:7" x14ac:dyDescent="0.15">
      <c r="A242" s="8" t="s">
        <v>736</v>
      </c>
      <c r="B242" s="8" t="s">
        <v>66</v>
      </c>
      <c r="C242" s="8" t="str">
        <f t="shared" si="3"/>
        <v>dsso</v>
      </c>
      <c r="D242" s="9" t="s">
        <v>15</v>
      </c>
      <c r="E242" s="8" t="s">
        <v>737</v>
      </c>
      <c r="F242" s="8" t="s">
        <v>738</v>
      </c>
      <c r="G242" s="8">
        <v>500</v>
      </c>
    </row>
    <row r="243" spans="1:7" x14ac:dyDescent="0.15">
      <c r="A243" s="8" t="s">
        <v>739</v>
      </c>
      <c r="B243" s="8" t="s">
        <v>68</v>
      </c>
      <c r="C243" s="8" t="str">
        <f t="shared" si="3"/>
        <v>amas</v>
      </c>
      <c r="D243" s="9" t="s">
        <v>15</v>
      </c>
      <c r="E243" s="8" t="s">
        <v>740</v>
      </c>
      <c r="F243" s="8" t="s">
        <v>741</v>
      </c>
      <c r="G243" s="8">
        <v>500</v>
      </c>
    </row>
    <row r="244" spans="1:7" x14ac:dyDescent="0.15">
      <c r="A244" s="8" t="s">
        <v>742</v>
      </c>
      <c r="B244" s="8" t="s">
        <v>68</v>
      </c>
      <c r="C244" s="8" t="str">
        <f t="shared" si="3"/>
        <v>bm_peg_3</v>
      </c>
      <c r="D244" s="9" t="s">
        <v>15</v>
      </c>
      <c r="E244" s="8" t="s">
        <v>743</v>
      </c>
      <c r="F244" s="8" t="s">
        <v>744</v>
      </c>
      <c r="G244" s="8">
        <v>500</v>
      </c>
    </row>
    <row r="245" spans="1:7" x14ac:dyDescent="0.15">
      <c r="A245" s="8" t="s">
        <v>745</v>
      </c>
      <c r="B245" s="8" t="s">
        <v>68</v>
      </c>
      <c r="C245" s="8" t="str">
        <f t="shared" si="3"/>
        <v>bmb</v>
      </c>
      <c r="D245" s="9" t="s">
        <v>15</v>
      </c>
      <c r="E245" s="8" t="s">
        <v>746</v>
      </c>
      <c r="F245" s="8" t="s">
        <v>747</v>
      </c>
      <c r="G245" s="8">
        <v>500</v>
      </c>
    </row>
    <row r="246" spans="1:7" x14ac:dyDescent="0.15">
      <c r="A246" s="8" t="s">
        <v>748</v>
      </c>
      <c r="B246" s="8" t="s">
        <v>68</v>
      </c>
      <c r="C246" s="8" t="str">
        <f t="shared" si="3"/>
        <v>bmh</v>
      </c>
      <c r="D246" s="9" t="s">
        <v>15</v>
      </c>
      <c r="E246" s="8" t="s">
        <v>749</v>
      </c>
      <c r="F246" s="8" t="s">
        <v>750</v>
      </c>
      <c r="G246" s="8">
        <v>500</v>
      </c>
    </row>
    <row r="247" spans="1:7" x14ac:dyDescent="0.15">
      <c r="A247" s="8" t="s">
        <v>751</v>
      </c>
      <c r="B247" s="8" t="s">
        <v>68</v>
      </c>
      <c r="C247" s="8" t="str">
        <f t="shared" si="3"/>
        <v>bmoe</v>
      </c>
      <c r="D247" s="9" t="s">
        <v>15</v>
      </c>
      <c r="E247" s="8" t="s">
        <v>752</v>
      </c>
      <c r="F247" s="8" t="s">
        <v>753</v>
      </c>
      <c r="G247" s="8">
        <v>500</v>
      </c>
    </row>
    <row r="248" spans="1:7" x14ac:dyDescent="0.15">
      <c r="A248" s="8" t="s">
        <v>754</v>
      </c>
      <c r="B248" s="8" t="s">
        <v>68</v>
      </c>
      <c r="C248" s="8" t="str">
        <f t="shared" si="3"/>
        <v>bmph</v>
      </c>
      <c r="D248" s="9" t="s">
        <v>15</v>
      </c>
      <c r="E248" s="8" t="s">
        <v>755</v>
      </c>
      <c r="F248" s="8" t="s">
        <v>756</v>
      </c>
      <c r="G248" s="8">
        <v>500</v>
      </c>
    </row>
    <row r="249" spans="1:7" x14ac:dyDescent="0.15">
      <c r="A249" s="8" t="s">
        <v>757</v>
      </c>
      <c r="B249" s="8" t="s">
        <v>68</v>
      </c>
      <c r="C249" s="8" t="str">
        <f t="shared" si="3"/>
        <v>bmps</v>
      </c>
      <c r="D249" s="9" t="s">
        <v>15</v>
      </c>
      <c r="E249" s="8" t="s">
        <v>758</v>
      </c>
      <c r="F249" s="8" t="s">
        <v>759</v>
      </c>
      <c r="G249" s="8">
        <v>500</v>
      </c>
    </row>
    <row r="250" spans="1:7" x14ac:dyDescent="0.15">
      <c r="A250" s="8" t="s">
        <v>760</v>
      </c>
      <c r="B250" s="8" t="s">
        <v>68</v>
      </c>
      <c r="C250" s="8" t="str">
        <f t="shared" si="3"/>
        <v>bs_peg_5</v>
      </c>
      <c r="D250" s="9" t="s">
        <v>15</v>
      </c>
      <c r="E250" s="8" t="s">
        <v>761</v>
      </c>
      <c r="F250" s="8" t="s">
        <v>762</v>
      </c>
      <c r="G250" s="8">
        <v>500</v>
      </c>
    </row>
    <row r="251" spans="1:7" x14ac:dyDescent="0.15">
      <c r="A251" s="8" t="s">
        <v>763</v>
      </c>
      <c r="B251" s="8" t="s">
        <v>68</v>
      </c>
      <c r="C251" s="8" t="str">
        <f t="shared" si="3"/>
        <v>bs_peg_9</v>
      </c>
      <c r="D251" s="9" t="s">
        <v>15</v>
      </c>
      <c r="E251" s="8" t="s">
        <v>764</v>
      </c>
      <c r="F251" s="8" t="s">
        <v>765</v>
      </c>
      <c r="G251" s="8">
        <v>500</v>
      </c>
    </row>
    <row r="252" spans="1:7" x14ac:dyDescent="0.15">
      <c r="A252" s="8" t="s">
        <v>766</v>
      </c>
      <c r="B252" s="8" t="s">
        <v>68</v>
      </c>
      <c r="C252" s="8" t="str">
        <f t="shared" si="3"/>
        <v>bs2g_d0</v>
      </c>
      <c r="D252" s="9" t="s">
        <v>15</v>
      </c>
      <c r="E252" s="8" t="s">
        <v>767</v>
      </c>
      <c r="F252" s="8" t="s">
        <v>768</v>
      </c>
      <c r="G252" s="8">
        <v>500</v>
      </c>
    </row>
    <row r="253" spans="1:7" x14ac:dyDescent="0.15">
      <c r="A253" s="8" t="s">
        <v>769</v>
      </c>
      <c r="B253" s="8" t="s">
        <v>68</v>
      </c>
      <c r="C253" s="8" t="str">
        <f t="shared" si="3"/>
        <v>bs3</v>
      </c>
      <c r="D253" s="9" t="s">
        <v>15</v>
      </c>
      <c r="E253" s="8" t="s">
        <v>770</v>
      </c>
      <c r="F253" s="8" t="s">
        <v>771</v>
      </c>
      <c r="G253" s="8">
        <v>500</v>
      </c>
    </row>
    <row r="254" spans="1:7" ht="10.5" customHeight="1" x14ac:dyDescent="0.15">
      <c r="A254" s="8" t="s">
        <v>772</v>
      </c>
      <c r="B254" s="8" t="s">
        <v>68</v>
      </c>
      <c r="C254" s="8" t="str">
        <f t="shared" si="3"/>
        <v>bs3_d0</v>
      </c>
      <c r="D254" s="9" t="s">
        <v>15</v>
      </c>
      <c r="E254" s="8" t="s">
        <v>773</v>
      </c>
      <c r="F254" s="8" t="s">
        <v>774</v>
      </c>
      <c r="G254" s="8">
        <v>500</v>
      </c>
    </row>
    <row r="255" spans="1:7" x14ac:dyDescent="0.15">
      <c r="A255" s="8" t="s">
        <v>775</v>
      </c>
      <c r="B255" s="8" t="s">
        <v>68</v>
      </c>
      <c r="C255" s="8" t="str">
        <f t="shared" si="3"/>
        <v>bs3_d4</v>
      </c>
      <c r="D255" s="9" t="s">
        <v>15</v>
      </c>
      <c r="E255" s="8" t="s">
        <v>776</v>
      </c>
      <c r="F255" s="8" t="s">
        <v>774</v>
      </c>
      <c r="G255" s="8">
        <v>500</v>
      </c>
    </row>
    <row r="256" spans="1:7" x14ac:dyDescent="0.15">
      <c r="A256" s="8" t="s">
        <v>777</v>
      </c>
      <c r="B256" s="8" t="s">
        <v>68</v>
      </c>
      <c r="C256" s="8" t="str">
        <f t="shared" si="3"/>
        <v>dmp</v>
      </c>
      <c r="D256" s="9" t="s">
        <v>15</v>
      </c>
      <c r="E256" s="8" t="s">
        <v>778</v>
      </c>
      <c r="F256" s="8" t="s">
        <v>779</v>
      </c>
      <c r="G256" s="8">
        <v>500</v>
      </c>
    </row>
    <row r="257" spans="1:7" x14ac:dyDescent="0.15">
      <c r="A257" s="8" t="s">
        <v>780</v>
      </c>
      <c r="B257" s="8" t="s">
        <v>68</v>
      </c>
      <c r="C257" s="8" t="str">
        <f t="shared" si="3"/>
        <v>dms</v>
      </c>
      <c r="D257" s="9" t="s">
        <v>15</v>
      </c>
      <c r="E257" s="8" t="s">
        <v>781</v>
      </c>
      <c r="F257" s="8" t="s">
        <v>782</v>
      </c>
      <c r="G257" s="8">
        <v>500</v>
      </c>
    </row>
    <row r="258" spans="1:7" x14ac:dyDescent="0.15">
      <c r="A258" s="8" t="s">
        <v>783</v>
      </c>
      <c r="B258" s="8" t="s">
        <v>68</v>
      </c>
      <c r="C258" s="8" t="str">
        <f t="shared" si="3"/>
        <v>dss</v>
      </c>
      <c r="D258" s="9" t="s">
        <v>15</v>
      </c>
      <c r="E258" s="8" t="s">
        <v>784</v>
      </c>
      <c r="F258" s="8" t="s">
        <v>785</v>
      </c>
      <c r="G258" s="8">
        <v>500</v>
      </c>
    </row>
    <row r="259" spans="1:7" x14ac:dyDescent="0.15">
      <c r="A259" s="8" t="s">
        <v>786</v>
      </c>
      <c r="B259" s="8" t="s">
        <v>68</v>
      </c>
      <c r="C259" s="8" t="str">
        <f t="shared" si="3"/>
        <v>edc</v>
      </c>
      <c r="D259" s="9" t="s">
        <v>15</v>
      </c>
      <c r="E259" s="8" t="s">
        <v>787</v>
      </c>
      <c r="F259" s="8" t="s">
        <v>788</v>
      </c>
      <c r="G259" s="8">
        <v>500</v>
      </c>
    </row>
    <row r="260" spans="1:7" x14ac:dyDescent="0.15">
      <c r="A260" s="8" t="s">
        <v>789</v>
      </c>
      <c r="B260" s="8" t="s">
        <v>68</v>
      </c>
      <c r="C260" s="8" t="str">
        <f t="shared" si="3"/>
        <v>emch</v>
      </c>
      <c r="D260" s="9" t="s">
        <v>15</v>
      </c>
      <c r="E260" s="8" t="s">
        <v>790</v>
      </c>
      <c r="F260" s="8" t="s">
        <v>791</v>
      </c>
      <c r="G260" s="8">
        <v>500</v>
      </c>
    </row>
    <row r="261" spans="1:7" x14ac:dyDescent="0.15">
      <c r="A261" s="8" t="s">
        <v>792</v>
      </c>
      <c r="B261" s="8" t="s">
        <v>68</v>
      </c>
      <c r="C261" s="8" t="str">
        <f t="shared" si="3"/>
        <v>emcs</v>
      </c>
      <c r="D261" s="9" t="s">
        <v>15</v>
      </c>
      <c r="E261" s="8" t="s">
        <v>793</v>
      </c>
      <c r="F261" s="8" t="s">
        <v>794</v>
      </c>
      <c r="G261" s="8">
        <v>500</v>
      </c>
    </row>
    <row r="262" spans="1:7" x14ac:dyDescent="0.15">
      <c r="A262" s="8" t="s">
        <v>795</v>
      </c>
      <c r="B262" s="8" t="s">
        <v>68</v>
      </c>
      <c r="C262" s="8" t="str">
        <f t="shared" ref="C262:C325" si="4">A262</f>
        <v>gmbs</v>
      </c>
      <c r="D262" s="9" t="s">
        <v>15</v>
      </c>
      <c r="E262" s="8" t="s">
        <v>796</v>
      </c>
      <c r="F262" s="8" t="s">
        <v>797</v>
      </c>
      <c r="G262" s="8">
        <v>500</v>
      </c>
    </row>
    <row r="263" spans="1:7" x14ac:dyDescent="0.15">
      <c r="A263" s="8" t="s">
        <v>798</v>
      </c>
      <c r="B263" s="8" t="s">
        <v>68</v>
      </c>
      <c r="C263" s="8" t="str">
        <f t="shared" si="4"/>
        <v>kmuh</v>
      </c>
      <c r="D263" s="9" t="s">
        <v>15</v>
      </c>
      <c r="E263" s="8" t="s">
        <v>799</v>
      </c>
      <c r="F263" s="8" t="s">
        <v>800</v>
      </c>
      <c r="G263" s="8">
        <v>500</v>
      </c>
    </row>
    <row r="264" spans="1:7" x14ac:dyDescent="0.15">
      <c r="A264" s="8" t="s">
        <v>801</v>
      </c>
      <c r="B264" s="8" t="s">
        <v>68</v>
      </c>
      <c r="C264" s="8" t="str">
        <f t="shared" si="4"/>
        <v>l_photo_methionine</v>
      </c>
      <c r="D264" s="9" t="s">
        <v>15</v>
      </c>
      <c r="E264" s="8" t="s">
        <v>802</v>
      </c>
      <c r="F264" s="8" t="s">
        <v>803</v>
      </c>
      <c r="G264" s="8">
        <v>500</v>
      </c>
    </row>
    <row r="265" spans="1:7" x14ac:dyDescent="0.15">
      <c r="A265" s="8" t="s">
        <v>804</v>
      </c>
      <c r="B265" s="8" t="s">
        <v>68</v>
      </c>
      <c r="C265" s="8" t="str">
        <f t="shared" si="4"/>
        <v>lc_smcc</v>
      </c>
      <c r="D265" s="9" t="s">
        <v>15</v>
      </c>
      <c r="E265" s="8" t="s">
        <v>805</v>
      </c>
      <c r="F265" s="8" t="s">
        <v>806</v>
      </c>
      <c r="G265" s="8">
        <v>500</v>
      </c>
    </row>
    <row r="266" spans="1:7" x14ac:dyDescent="0.15">
      <c r="A266" s="8" t="s">
        <v>807</v>
      </c>
      <c r="B266" s="8" t="s">
        <v>68</v>
      </c>
      <c r="C266" s="8" t="str">
        <f t="shared" si="4"/>
        <v>maleimide_peg4_dbco</v>
      </c>
      <c r="D266" s="9" t="s">
        <v>15</v>
      </c>
      <c r="E266" s="8" t="s">
        <v>808</v>
      </c>
      <c r="F266" s="8" t="s">
        <v>809</v>
      </c>
      <c r="G266" s="8">
        <v>500</v>
      </c>
    </row>
    <row r="267" spans="1:7" x14ac:dyDescent="0.15">
      <c r="A267" s="8" t="s">
        <v>810</v>
      </c>
      <c r="B267" s="8" t="s">
        <v>68</v>
      </c>
      <c r="C267" s="8" t="str">
        <f t="shared" si="4"/>
        <v>mpbh</v>
      </c>
      <c r="D267" s="9" t="s">
        <v>15</v>
      </c>
      <c r="E267" s="8" t="s">
        <v>811</v>
      </c>
      <c r="F267" s="8" t="s">
        <v>812</v>
      </c>
      <c r="G267" s="8">
        <v>500</v>
      </c>
    </row>
    <row r="268" spans="1:7" x14ac:dyDescent="0.15">
      <c r="A268" s="8" t="s">
        <v>813</v>
      </c>
      <c r="B268" s="8" t="s">
        <v>68</v>
      </c>
      <c r="C268" s="8" t="str">
        <f t="shared" si="4"/>
        <v>nhs</v>
      </c>
      <c r="D268" s="9" t="s">
        <v>15</v>
      </c>
      <c r="E268" s="8" t="s">
        <v>814</v>
      </c>
      <c r="F268" s="8" t="s">
        <v>815</v>
      </c>
      <c r="G268" s="8">
        <v>500</v>
      </c>
    </row>
    <row r="269" spans="1:7" x14ac:dyDescent="0.15">
      <c r="A269" s="8" t="s">
        <v>816</v>
      </c>
      <c r="B269" s="8" t="s">
        <v>68</v>
      </c>
      <c r="C269" s="8" t="str">
        <f t="shared" si="4"/>
        <v>nhs_azide</v>
      </c>
      <c r="D269" s="9" t="s">
        <v>15</v>
      </c>
      <c r="E269" s="8" t="s">
        <v>817</v>
      </c>
      <c r="F269" s="8" t="s">
        <v>818</v>
      </c>
      <c r="G269" s="8">
        <v>500</v>
      </c>
    </row>
    <row r="270" spans="1:7" x14ac:dyDescent="0.15">
      <c r="A270" s="8" t="s">
        <v>819</v>
      </c>
      <c r="B270" s="8" t="s">
        <v>68</v>
      </c>
      <c r="C270" s="8" t="str">
        <f t="shared" si="4"/>
        <v>nhs_peg4_azide</v>
      </c>
      <c r="D270" s="9" t="s">
        <v>15</v>
      </c>
      <c r="E270" s="8" t="s">
        <v>820</v>
      </c>
      <c r="F270" s="8" t="s">
        <v>821</v>
      </c>
      <c r="G270" s="8">
        <v>500</v>
      </c>
    </row>
    <row r="271" spans="1:7" x14ac:dyDescent="0.15">
      <c r="A271" s="8" t="s">
        <v>822</v>
      </c>
      <c r="B271" s="8" t="s">
        <v>68</v>
      </c>
      <c r="C271" s="8" t="str">
        <f t="shared" si="4"/>
        <v>nhs_phosphine</v>
      </c>
      <c r="D271" s="9" t="s">
        <v>15</v>
      </c>
      <c r="E271" s="8" t="s">
        <v>823</v>
      </c>
      <c r="F271" s="8" t="s">
        <v>824</v>
      </c>
      <c r="G271" s="8">
        <v>500</v>
      </c>
    </row>
    <row r="272" spans="1:7" x14ac:dyDescent="0.15">
      <c r="A272" s="8" t="s">
        <v>825</v>
      </c>
      <c r="B272" s="8" t="s">
        <v>68</v>
      </c>
      <c r="C272" s="8" t="str">
        <f t="shared" si="4"/>
        <v>pmpi</v>
      </c>
      <c r="D272" s="9" t="s">
        <v>15</v>
      </c>
      <c r="E272" s="8" t="s">
        <v>826</v>
      </c>
      <c r="F272" s="8" t="s">
        <v>827</v>
      </c>
      <c r="G272" s="8">
        <v>500</v>
      </c>
    </row>
    <row r="273" spans="1:7" x14ac:dyDescent="0.15">
      <c r="A273" s="8" t="s">
        <v>828</v>
      </c>
      <c r="B273" s="8" t="s">
        <v>68</v>
      </c>
      <c r="C273" s="8" t="str">
        <f t="shared" si="4"/>
        <v>sbap</v>
      </c>
      <c r="D273" s="9" t="s">
        <v>15</v>
      </c>
      <c r="E273" s="8" t="s">
        <v>829</v>
      </c>
      <c r="F273" s="8" t="s">
        <v>830</v>
      </c>
      <c r="G273" s="8">
        <v>500</v>
      </c>
    </row>
    <row r="274" spans="1:7" x14ac:dyDescent="0.15">
      <c r="A274" s="8" t="s">
        <v>831</v>
      </c>
      <c r="B274" s="8" t="s">
        <v>68</v>
      </c>
      <c r="C274" s="8" t="str">
        <f t="shared" si="4"/>
        <v>sda</v>
      </c>
      <c r="D274" s="9" t="s">
        <v>15</v>
      </c>
      <c r="E274" s="8" t="s">
        <v>832</v>
      </c>
      <c r="F274" s="8" t="s">
        <v>833</v>
      </c>
      <c r="G274" s="8">
        <v>500</v>
      </c>
    </row>
    <row r="275" spans="1:7" x14ac:dyDescent="0.15">
      <c r="A275" s="8" t="s">
        <v>834</v>
      </c>
      <c r="B275" s="8" t="s">
        <v>68</v>
      </c>
      <c r="C275" s="8" t="str">
        <f t="shared" si="4"/>
        <v>sia</v>
      </c>
      <c r="D275" s="9" t="s">
        <v>15</v>
      </c>
      <c r="E275" s="8" t="s">
        <v>835</v>
      </c>
      <c r="F275" s="8" t="s">
        <v>836</v>
      </c>
      <c r="G275" s="8">
        <v>500</v>
      </c>
    </row>
    <row r="276" spans="1:7" x14ac:dyDescent="0.15">
      <c r="A276" s="8" t="s">
        <v>837</v>
      </c>
      <c r="B276" s="8" t="s">
        <v>68</v>
      </c>
      <c r="C276" s="8" t="str">
        <f t="shared" si="4"/>
        <v>smpb</v>
      </c>
      <c r="D276" s="9" t="s">
        <v>15</v>
      </c>
      <c r="E276" s="8" t="s">
        <v>838</v>
      </c>
      <c r="F276" s="8" t="s">
        <v>839</v>
      </c>
      <c r="G276" s="8">
        <v>500</v>
      </c>
    </row>
    <row r="277" spans="1:7" x14ac:dyDescent="0.15">
      <c r="A277" s="8" t="s">
        <v>840</v>
      </c>
      <c r="B277" s="8" t="s">
        <v>68</v>
      </c>
      <c r="C277" s="8" t="str">
        <f t="shared" si="4"/>
        <v>smph</v>
      </c>
      <c r="D277" s="9" t="s">
        <v>15</v>
      </c>
      <c r="E277" s="8" t="s">
        <v>841</v>
      </c>
      <c r="F277" s="8" t="s">
        <v>842</v>
      </c>
      <c r="G277" s="8">
        <v>500</v>
      </c>
    </row>
    <row r="278" spans="1:7" x14ac:dyDescent="0.15">
      <c r="A278" s="8" t="s">
        <v>843</v>
      </c>
      <c r="B278" s="8" t="s">
        <v>68</v>
      </c>
      <c r="C278" s="8" t="str">
        <f t="shared" si="4"/>
        <v>spb</v>
      </c>
      <c r="D278" s="9" t="s">
        <v>15</v>
      </c>
      <c r="E278" s="8" t="s">
        <v>844</v>
      </c>
      <c r="F278" s="8" t="s">
        <v>845</v>
      </c>
      <c r="G278" s="8">
        <v>500</v>
      </c>
    </row>
    <row r="279" spans="1:7" x14ac:dyDescent="0.15">
      <c r="A279" s="8" t="s">
        <v>846</v>
      </c>
      <c r="B279" s="8" t="s">
        <v>68</v>
      </c>
      <c r="C279" s="8" t="str">
        <f t="shared" si="4"/>
        <v>sulfo_emcs</v>
      </c>
      <c r="D279" s="9" t="s">
        <v>15</v>
      </c>
      <c r="E279" s="8" t="s">
        <v>847</v>
      </c>
      <c r="F279" s="8" t="s">
        <v>848</v>
      </c>
      <c r="G279" s="8">
        <v>500</v>
      </c>
    </row>
    <row r="280" spans="1:7" x14ac:dyDescent="0.15">
      <c r="A280" s="8" t="s">
        <v>849</v>
      </c>
      <c r="B280" s="8" t="s">
        <v>68</v>
      </c>
      <c r="C280" s="8" t="str">
        <f t="shared" si="4"/>
        <v>sulfo_kmus</v>
      </c>
      <c r="D280" s="9" t="s">
        <v>15</v>
      </c>
      <c r="E280" s="8" t="s">
        <v>850</v>
      </c>
      <c r="F280" s="8" t="s">
        <v>851</v>
      </c>
      <c r="G280" s="8">
        <v>500</v>
      </c>
    </row>
    <row r="281" spans="1:7" x14ac:dyDescent="0.15">
      <c r="A281" s="8" t="s">
        <v>852</v>
      </c>
      <c r="B281" s="8" t="s">
        <v>68</v>
      </c>
      <c r="C281" s="8" t="str">
        <f t="shared" si="4"/>
        <v>sulfo_lc_sda</v>
      </c>
      <c r="D281" s="9" t="s">
        <v>15</v>
      </c>
      <c r="E281" s="8" t="s">
        <v>853</v>
      </c>
      <c r="F281" s="8" t="s">
        <v>854</v>
      </c>
      <c r="G281" s="8">
        <v>500</v>
      </c>
    </row>
    <row r="282" spans="1:7" x14ac:dyDescent="0.15">
      <c r="A282" s="8" t="s">
        <v>855</v>
      </c>
      <c r="B282" s="8" t="s">
        <v>68</v>
      </c>
      <c r="C282" s="8" t="str">
        <f t="shared" si="4"/>
        <v>sulfo_mbs</v>
      </c>
      <c r="D282" s="9" t="s">
        <v>15</v>
      </c>
      <c r="E282" s="8" t="s">
        <v>856</v>
      </c>
      <c r="F282" s="8" t="s">
        <v>857</v>
      </c>
      <c r="G282" s="8">
        <v>500</v>
      </c>
    </row>
    <row r="283" spans="1:7" x14ac:dyDescent="0.15">
      <c r="A283" s="8" t="s">
        <v>858</v>
      </c>
      <c r="B283" s="8" t="s">
        <v>68</v>
      </c>
      <c r="C283" s="8" t="str">
        <f t="shared" si="4"/>
        <v>sulfo_sda</v>
      </c>
      <c r="D283" s="9" t="s">
        <v>15</v>
      </c>
      <c r="E283" s="8" t="s">
        <v>859</v>
      </c>
      <c r="F283" s="8" t="s">
        <v>860</v>
      </c>
      <c r="G283" s="8">
        <v>500</v>
      </c>
    </row>
    <row r="284" spans="1:7" x14ac:dyDescent="0.15">
      <c r="A284" s="8" t="s">
        <v>861</v>
      </c>
      <c r="B284" s="8" t="s">
        <v>68</v>
      </c>
      <c r="C284" s="8" t="str">
        <f t="shared" si="4"/>
        <v>sulfo_siab</v>
      </c>
      <c r="D284" s="9" t="s">
        <v>15</v>
      </c>
      <c r="E284" s="8" t="s">
        <v>862</v>
      </c>
      <c r="F284" s="8" t="s">
        <v>863</v>
      </c>
      <c r="G284" s="8">
        <v>500</v>
      </c>
    </row>
    <row r="285" spans="1:7" x14ac:dyDescent="0.15">
      <c r="A285" s="8" t="s">
        <v>864</v>
      </c>
      <c r="B285" s="8" t="s">
        <v>68</v>
      </c>
      <c r="C285" s="8" t="str">
        <f t="shared" si="4"/>
        <v>sulfo_smcc</v>
      </c>
      <c r="D285" s="9" t="s">
        <v>15</v>
      </c>
      <c r="E285" s="8" t="s">
        <v>865</v>
      </c>
      <c r="F285" s="8" t="s">
        <v>866</v>
      </c>
      <c r="G285" s="8">
        <v>500</v>
      </c>
    </row>
    <row r="286" spans="1:7" x14ac:dyDescent="0.15">
      <c r="A286" s="8" t="s">
        <v>867</v>
      </c>
      <c r="B286" s="8" t="s">
        <v>68</v>
      </c>
      <c r="C286" s="8" t="str">
        <f t="shared" si="4"/>
        <v>sulfo_smpb</v>
      </c>
      <c r="D286" s="9" t="s">
        <v>15</v>
      </c>
      <c r="E286" s="8" t="s">
        <v>868</v>
      </c>
      <c r="F286" s="8" t="s">
        <v>869</v>
      </c>
      <c r="G286" s="8">
        <v>500</v>
      </c>
    </row>
    <row r="287" spans="1:7" x14ac:dyDescent="0.15">
      <c r="A287" s="8" t="s">
        <v>870</v>
      </c>
      <c r="B287" s="8" t="s">
        <v>68</v>
      </c>
      <c r="C287" s="8" t="str">
        <f t="shared" si="4"/>
        <v>tbdspp</v>
      </c>
      <c r="D287" s="9" t="s">
        <v>15</v>
      </c>
      <c r="E287" s="8" t="s">
        <v>871</v>
      </c>
      <c r="F287" s="8" t="s">
        <v>872</v>
      </c>
      <c r="G287" s="8">
        <v>500</v>
      </c>
    </row>
    <row r="288" spans="1:7" x14ac:dyDescent="0.15">
      <c r="A288" s="8" t="s">
        <v>873</v>
      </c>
      <c r="B288" s="8" t="s">
        <v>68</v>
      </c>
      <c r="C288" s="8" t="str">
        <f t="shared" si="4"/>
        <v>tfpester_peg12_dbco</v>
      </c>
      <c r="D288" s="9" t="s">
        <v>15</v>
      </c>
      <c r="E288" s="8" t="s">
        <v>874</v>
      </c>
      <c r="F288" s="8" t="s">
        <v>875</v>
      </c>
      <c r="G288" s="8">
        <v>500</v>
      </c>
    </row>
    <row r="289" spans="1:7" x14ac:dyDescent="0.15">
      <c r="A289" s="8" t="s">
        <v>876</v>
      </c>
      <c r="B289" s="8" t="s">
        <v>68</v>
      </c>
      <c r="C289" s="8" t="str">
        <f t="shared" si="4"/>
        <v>tfpester_peg4_dbco</v>
      </c>
      <c r="D289" s="9" t="s">
        <v>15</v>
      </c>
      <c r="E289" s="8" t="s">
        <v>877</v>
      </c>
      <c r="F289" s="8" t="s">
        <v>878</v>
      </c>
      <c r="G289" s="8">
        <v>500</v>
      </c>
    </row>
    <row r="290" spans="1:7" x14ac:dyDescent="0.15">
      <c r="A290" s="8" t="s">
        <v>879</v>
      </c>
      <c r="B290" s="8" t="s">
        <v>68</v>
      </c>
      <c r="C290" s="8" t="str">
        <f t="shared" si="4"/>
        <v>tmea</v>
      </c>
      <c r="D290" s="9" t="s">
        <v>15</v>
      </c>
      <c r="E290" s="8" t="s">
        <v>880</v>
      </c>
      <c r="F290" s="8" t="s">
        <v>881</v>
      </c>
      <c r="G290" s="8">
        <v>500</v>
      </c>
    </row>
    <row r="291" spans="1:7" x14ac:dyDescent="0.15">
      <c r="A291" s="8" t="s">
        <v>882</v>
      </c>
      <c r="B291" s="8" t="s">
        <v>68</v>
      </c>
      <c r="C291" s="8" t="str">
        <f t="shared" si="4"/>
        <v>tsat</v>
      </c>
      <c r="D291" s="9" t="s">
        <v>15</v>
      </c>
      <c r="E291" s="8" t="s">
        <v>883</v>
      </c>
      <c r="F291" s="8" t="s">
        <v>884</v>
      </c>
      <c r="G291" s="8">
        <v>500</v>
      </c>
    </row>
    <row r="292" spans="1:7" x14ac:dyDescent="0.15">
      <c r="A292" s="8" t="s">
        <v>885</v>
      </c>
      <c r="B292" s="8" t="s">
        <v>70</v>
      </c>
      <c r="C292" s="8" t="str">
        <f t="shared" si="4"/>
        <v>dsp</v>
      </c>
      <c r="D292" s="9" t="s">
        <v>15</v>
      </c>
      <c r="E292" s="8" t="s">
        <v>886</v>
      </c>
      <c r="F292" s="8" t="s">
        <v>887</v>
      </c>
      <c r="G292" s="8">
        <v>500</v>
      </c>
    </row>
    <row r="293" spans="1:7" x14ac:dyDescent="0.15">
      <c r="A293" s="8" t="s">
        <v>888</v>
      </c>
      <c r="B293" s="8" t="s">
        <v>70</v>
      </c>
      <c r="C293" s="8" t="str">
        <f t="shared" si="4"/>
        <v>dtbp</v>
      </c>
      <c r="D293" s="9" t="s">
        <v>15</v>
      </c>
      <c r="E293" s="8" t="s">
        <v>889</v>
      </c>
      <c r="F293" s="8" t="s">
        <v>890</v>
      </c>
      <c r="G293" s="8">
        <v>500</v>
      </c>
    </row>
    <row r="294" spans="1:7" x14ac:dyDescent="0.15">
      <c r="A294" s="8" t="s">
        <v>891</v>
      </c>
      <c r="B294" s="8" t="s">
        <v>70</v>
      </c>
      <c r="C294" s="8" t="str">
        <f t="shared" si="4"/>
        <v>dtme</v>
      </c>
      <c r="D294" s="9" t="s">
        <v>15</v>
      </c>
      <c r="E294" s="8" t="s">
        <v>892</v>
      </c>
      <c r="F294" s="8" t="s">
        <v>893</v>
      </c>
      <c r="G294" s="8">
        <v>500</v>
      </c>
    </row>
    <row r="295" spans="1:7" x14ac:dyDescent="0.15">
      <c r="A295" s="8" t="s">
        <v>894</v>
      </c>
      <c r="B295" s="8" t="s">
        <v>70</v>
      </c>
      <c r="C295" s="8" t="str">
        <f t="shared" si="4"/>
        <v>dtssp</v>
      </c>
      <c r="D295" s="9" t="s">
        <v>15</v>
      </c>
      <c r="E295" s="8" t="s">
        <v>895</v>
      </c>
      <c r="F295" s="8" t="s">
        <v>896</v>
      </c>
      <c r="G295" s="8">
        <v>500</v>
      </c>
    </row>
    <row r="296" spans="1:7" x14ac:dyDescent="0.15">
      <c r="A296" s="8" t="s">
        <v>897</v>
      </c>
      <c r="B296" s="8" t="s">
        <v>70</v>
      </c>
      <c r="C296" s="8" t="str">
        <f t="shared" si="4"/>
        <v>lc_spdp</v>
      </c>
      <c r="D296" s="9" t="s">
        <v>15</v>
      </c>
      <c r="E296" s="8" t="s">
        <v>898</v>
      </c>
      <c r="F296" s="8" t="s">
        <v>899</v>
      </c>
      <c r="G296" s="8">
        <v>500</v>
      </c>
    </row>
    <row r="297" spans="1:7" x14ac:dyDescent="0.15">
      <c r="A297" s="8" t="s">
        <v>900</v>
      </c>
      <c r="B297" s="8" t="s">
        <v>70</v>
      </c>
      <c r="C297" s="8" t="str">
        <f t="shared" si="4"/>
        <v>pdph</v>
      </c>
      <c r="D297" s="9" t="s">
        <v>15</v>
      </c>
      <c r="E297" s="8" t="s">
        <v>901</v>
      </c>
      <c r="F297" s="8" t="s">
        <v>902</v>
      </c>
      <c r="G297" s="8">
        <v>500</v>
      </c>
    </row>
    <row r="298" spans="1:7" x14ac:dyDescent="0.15">
      <c r="A298" s="8" t="s">
        <v>903</v>
      </c>
      <c r="B298" s="8" t="s">
        <v>70</v>
      </c>
      <c r="C298" s="8" t="str">
        <f t="shared" si="4"/>
        <v>peg12_spdp</v>
      </c>
      <c r="D298" s="9" t="s">
        <v>15</v>
      </c>
      <c r="E298" s="8" t="s">
        <v>904</v>
      </c>
      <c r="F298" s="8" t="s">
        <v>905</v>
      </c>
      <c r="G298" s="8">
        <v>500</v>
      </c>
    </row>
    <row r="299" spans="1:7" x14ac:dyDescent="0.15">
      <c r="A299" s="8" t="s">
        <v>906</v>
      </c>
      <c r="B299" s="8" t="s">
        <v>70</v>
      </c>
      <c r="C299" s="8" t="str">
        <f t="shared" si="4"/>
        <v>peg4_spdp</v>
      </c>
      <c r="D299" s="9" t="s">
        <v>15</v>
      </c>
      <c r="E299" s="8" t="s">
        <v>907</v>
      </c>
      <c r="F299" s="8" t="s">
        <v>908</v>
      </c>
      <c r="G299" s="8">
        <v>500</v>
      </c>
    </row>
    <row r="300" spans="1:7" x14ac:dyDescent="0.15">
      <c r="A300" s="8" t="s">
        <v>909</v>
      </c>
      <c r="B300" s="8" t="s">
        <v>70</v>
      </c>
      <c r="C300" s="8" t="str">
        <f t="shared" si="4"/>
        <v>sdad</v>
      </c>
      <c r="D300" s="9" t="s">
        <v>15</v>
      </c>
      <c r="E300" s="8" t="s">
        <v>910</v>
      </c>
      <c r="F300" s="8" t="s">
        <v>911</v>
      </c>
      <c r="G300" s="8">
        <v>500</v>
      </c>
    </row>
    <row r="301" spans="1:7" x14ac:dyDescent="0.15">
      <c r="A301" s="8" t="s">
        <v>912</v>
      </c>
      <c r="B301" s="8" t="s">
        <v>70</v>
      </c>
      <c r="C301" s="8" t="str">
        <f t="shared" si="4"/>
        <v>smcc</v>
      </c>
      <c r="D301" s="9" t="s">
        <v>15</v>
      </c>
      <c r="E301" s="8" t="s">
        <v>913</v>
      </c>
      <c r="F301" s="8" t="s">
        <v>914</v>
      </c>
      <c r="G301" s="8">
        <v>500</v>
      </c>
    </row>
    <row r="302" spans="1:7" x14ac:dyDescent="0.15">
      <c r="A302" s="8" t="s">
        <v>915</v>
      </c>
      <c r="B302" s="8" t="s">
        <v>70</v>
      </c>
      <c r="C302" s="8" t="str">
        <f t="shared" si="4"/>
        <v>smpt</v>
      </c>
      <c r="D302" s="9" t="s">
        <v>15</v>
      </c>
      <c r="E302" s="8" t="s">
        <v>916</v>
      </c>
      <c r="F302" s="8" t="s">
        <v>917</v>
      </c>
      <c r="G302" s="8">
        <v>500</v>
      </c>
    </row>
    <row r="303" spans="1:7" x14ac:dyDescent="0.15">
      <c r="A303" s="8" t="s">
        <v>918</v>
      </c>
      <c r="B303" s="8" t="s">
        <v>70</v>
      </c>
      <c r="C303" s="8" t="str">
        <f t="shared" si="4"/>
        <v>spdp</v>
      </c>
      <c r="D303" s="9" t="s">
        <v>15</v>
      </c>
      <c r="E303" s="8" t="s">
        <v>919</v>
      </c>
      <c r="F303" s="8" t="s">
        <v>920</v>
      </c>
      <c r="G303" s="8">
        <v>500</v>
      </c>
    </row>
    <row r="304" spans="1:7" x14ac:dyDescent="0.15">
      <c r="A304" s="8" t="s">
        <v>921</v>
      </c>
      <c r="B304" s="8" t="s">
        <v>70</v>
      </c>
      <c r="C304" s="8" t="str">
        <f t="shared" si="4"/>
        <v>sulfo_lc_spdp</v>
      </c>
      <c r="D304" s="9" t="s">
        <v>15</v>
      </c>
      <c r="E304" s="8" t="s">
        <v>922</v>
      </c>
      <c r="F304" s="8" t="s">
        <v>923</v>
      </c>
      <c r="G304" s="8">
        <v>500</v>
      </c>
    </row>
    <row r="305" spans="1:7" x14ac:dyDescent="0.15">
      <c r="A305" s="8" t="s">
        <v>924</v>
      </c>
      <c r="B305" s="8" t="s">
        <v>70</v>
      </c>
      <c r="C305" s="8" t="str">
        <f t="shared" si="4"/>
        <v>sulfo_sanpah</v>
      </c>
      <c r="D305" s="9" t="s">
        <v>15</v>
      </c>
      <c r="E305" s="8" t="s">
        <v>925</v>
      </c>
      <c r="F305" s="8" t="s">
        <v>926</v>
      </c>
      <c r="G305" s="8">
        <v>500</v>
      </c>
    </row>
    <row r="306" spans="1:7" x14ac:dyDescent="0.15">
      <c r="A306" s="8" t="s">
        <v>927</v>
      </c>
      <c r="B306" s="8" t="s">
        <v>70</v>
      </c>
      <c r="C306" s="8" t="str">
        <f t="shared" si="4"/>
        <v>sulfo_sdad</v>
      </c>
      <c r="D306" s="9" t="s">
        <v>15</v>
      </c>
      <c r="E306" s="8" t="s">
        <v>928</v>
      </c>
      <c r="F306" s="8" t="s">
        <v>929</v>
      </c>
      <c r="G306" s="8">
        <v>500</v>
      </c>
    </row>
    <row r="307" spans="1:7" x14ac:dyDescent="0.15">
      <c r="A307" s="8" t="s">
        <v>930</v>
      </c>
      <c r="B307" s="8" t="s">
        <v>931</v>
      </c>
      <c r="C307" s="8" t="str">
        <f t="shared" si="4"/>
        <v>database_orf_search</v>
      </c>
      <c r="D307" s="9" t="s">
        <v>15</v>
      </c>
      <c r="E307" s="8" t="s">
        <v>932</v>
      </c>
      <c r="F307" s="8" t="s">
        <v>933</v>
      </c>
      <c r="G307" s="8">
        <v>500</v>
      </c>
    </row>
    <row r="308" spans="1:7" x14ac:dyDescent="0.15">
      <c r="A308" s="8" t="s">
        <v>934</v>
      </c>
      <c r="B308" s="8" t="s">
        <v>931</v>
      </c>
      <c r="C308" s="8" t="str">
        <f t="shared" si="4"/>
        <v>database_search</v>
      </c>
      <c r="D308" s="9" t="s">
        <v>15</v>
      </c>
      <c r="E308" s="8" t="s">
        <v>935</v>
      </c>
      <c r="F308" s="8" t="s">
        <v>936</v>
      </c>
      <c r="G308" s="8">
        <v>500</v>
      </c>
    </row>
    <row r="309" spans="1:7" x14ac:dyDescent="0.15">
      <c r="A309" s="8" t="s">
        <v>937</v>
      </c>
      <c r="B309" s="8" t="s">
        <v>931</v>
      </c>
      <c r="C309" s="8" t="str">
        <f t="shared" si="4"/>
        <v>de_novo</v>
      </c>
      <c r="D309" s="9" t="s">
        <v>15</v>
      </c>
      <c r="E309" s="8" t="s">
        <v>938</v>
      </c>
      <c r="F309" s="8" t="s">
        <v>938</v>
      </c>
      <c r="G309" s="8">
        <v>500</v>
      </c>
    </row>
    <row r="310" spans="1:7" x14ac:dyDescent="0.15">
      <c r="A310" s="8" t="s">
        <v>939</v>
      </c>
      <c r="B310" s="8" t="s">
        <v>73</v>
      </c>
      <c r="C310" s="8" t="str">
        <f t="shared" si="4"/>
        <v>chaps</v>
      </c>
      <c r="D310" s="9" t="s">
        <v>15</v>
      </c>
      <c r="E310" s="8" t="s">
        <v>940</v>
      </c>
      <c r="F310" s="8" t="s">
        <v>941</v>
      </c>
      <c r="G310" s="8">
        <v>500</v>
      </c>
    </row>
    <row r="311" spans="1:7" x14ac:dyDescent="0.15">
      <c r="A311" s="8" t="s">
        <v>942</v>
      </c>
      <c r="B311" s="8" t="s">
        <v>73</v>
      </c>
      <c r="C311" s="8" t="str">
        <f t="shared" si="4"/>
        <v>dmm</v>
      </c>
      <c r="D311" s="9" t="s">
        <v>15</v>
      </c>
      <c r="E311" s="8" t="s">
        <v>943</v>
      </c>
      <c r="F311" s="8" t="s">
        <v>944</v>
      </c>
      <c r="G311" s="8">
        <v>500</v>
      </c>
    </row>
    <row r="312" spans="1:7" x14ac:dyDescent="0.15">
      <c r="A312" s="8" t="s">
        <v>945</v>
      </c>
      <c r="B312" s="8" t="s">
        <v>73</v>
      </c>
      <c r="C312" s="8" t="str">
        <f t="shared" si="4"/>
        <v>np40</v>
      </c>
      <c r="D312" s="9" t="s">
        <v>15</v>
      </c>
      <c r="E312" s="8" t="s">
        <v>946</v>
      </c>
      <c r="F312" s="8" t="s">
        <v>947</v>
      </c>
      <c r="G312" s="8">
        <v>500</v>
      </c>
    </row>
    <row r="313" spans="1:7" x14ac:dyDescent="0.15">
      <c r="A313" s="8" t="s">
        <v>948</v>
      </c>
      <c r="B313" s="8" t="s">
        <v>73</v>
      </c>
      <c r="C313" s="8" t="str">
        <f t="shared" si="4"/>
        <v>og</v>
      </c>
      <c r="D313" s="9" t="s">
        <v>15</v>
      </c>
      <c r="E313" s="8" t="s">
        <v>949</v>
      </c>
      <c r="F313" s="8" t="s">
        <v>950</v>
      </c>
      <c r="G313" s="8">
        <v>500</v>
      </c>
    </row>
    <row r="314" spans="1:7" x14ac:dyDescent="0.15">
      <c r="A314" s="8" t="s">
        <v>951</v>
      </c>
      <c r="B314" s="8" t="s">
        <v>73</v>
      </c>
      <c r="C314" s="8" t="str">
        <f t="shared" si="4"/>
        <v>otg</v>
      </c>
      <c r="D314" s="9" t="s">
        <v>15</v>
      </c>
      <c r="E314" s="8" t="s">
        <v>952</v>
      </c>
      <c r="F314" s="8" t="s">
        <v>953</v>
      </c>
      <c r="G314" s="8">
        <v>500</v>
      </c>
    </row>
    <row r="315" spans="1:7" x14ac:dyDescent="0.15">
      <c r="A315" s="8" t="s">
        <v>954</v>
      </c>
      <c r="B315" s="8" t="s">
        <v>73</v>
      </c>
      <c r="C315" s="8" t="str">
        <f t="shared" si="4"/>
        <v>sds</v>
      </c>
      <c r="D315" s="9" t="s">
        <v>15</v>
      </c>
      <c r="E315" s="8" t="s">
        <v>955</v>
      </c>
      <c r="F315" s="8" t="s">
        <v>956</v>
      </c>
      <c r="G315" s="8">
        <v>500</v>
      </c>
    </row>
    <row r="316" spans="1:7" x14ac:dyDescent="0.15">
      <c r="A316" s="8" t="s">
        <v>957</v>
      </c>
      <c r="B316" s="8" t="s">
        <v>73</v>
      </c>
      <c r="C316" s="8" t="str">
        <f t="shared" si="4"/>
        <v>tritonx100</v>
      </c>
      <c r="D316" s="9" t="s">
        <v>15</v>
      </c>
      <c r="E316" s="8" t="s">
        <v>958</v>
      </c>
      <c r="F316" s="8" t="s">
        <v>959</v>
      </c>
      <c r="G316" s="8">
        <v>500</v>
      </c>
    </row>
    <row r="317" spans="1:7" x14ac:dyDescent="0.15">
      <c r="A317" s="8" t="s">
        <v>960</v>
      </c>
      <c r="B317" s="8" t="s">
        <v>73</v>
      </c>
      <c r="C317" s="8" t="str">
        <f t="shared" si="4"/>
        <v>tween20</v>
      </c>
      <c r="D317" s="9" t="s">
        <v>15</v>
      </c>
      <c r="E317" s="8" t="s">
        <v>961</v>
      </c>
      <c r="F317" s="8" t="s">
        <v>962</v>
      </c>
      <c r="G317" s="8">
        <v>500</v>
      </c>
    </row>
    <row r="318" spans="1:7" x14ac:dyDescent="0.15">
      <c r="A318" s="8" t="s">
        <v>963</v>
      </c>
      <c r="B318" s="8" t="s">
        <v>73</v>
      </c>
      <c r="C318" s="8" t="str">
        <f t="shared" si="4"/>
        <v>tween80</v>
      </c>
      <c r="D318" s="9" t="s">
        <v>15</v>
      </c>
      <c r="E318" s="8" t="s">
        <v>964</v>
      </c>
      <c r="F318" s="8" t="s">
        <v>965</v>
      </c>
      <c r="G318" s="8">
        <v>500</v>
      </c>
    </row>
    <row r="319" spans="1:7" x14ac:dyDescent="0.15">
      <c r="A319" s="8">
        <v>1200</v>
      </c>
      <c r="B319" s="8" t="s">
        <v>77</v>
      </c>
      <c r="C319" s="8">
        <f t="shared" si="4"/>
        <v>1200</v>
      </c>
      <c r="D319" s="9" t="s">
        <v>15</v>
      </c>
      <c r="E319" s="8">
        <v>1200</v>
      </c>
      <c r="F319" s="9" t="s">
        <v>15</v>
      </c>
      <c r="G319" s="8">
        <v>500</v>
      </c>
    </row>
    <row r="320" spans="1:7" x14ac:dyDescent="0.15">
      <c r="A320" s="8">
        <v>800</v>
      </c>
      <c r="B320" s="8" t="s">
        <v>77</v>
      </c>
      <c r="C320" s="8">
        <f t="shared" si="4"/>
        <v>800</v>
      </c>
      <c r="D320" s="9" t="s">
        <v>15</v>
      </c>
      <c r="E320" s="8">
        <v>800</v>
      </c>
      <c r="F320" s="9" t="s">
        <v>15</v>
      </c>
      <c r="G320" s="8">
        <v>500</v>
      </c>
    </row>
    <row r="321" spans="1:7" x14ac:dyDescent="0.15">
      <c r="A321" s="8">
        <v>400</v>
      </c>
      <c r="B321" s="8" t="s">
        <v>79</v>
      </c>
      <c r="C321" s="8">
        <f t="shared" si="4"/>
        <v>400</v>
      </c>
      <c r="D321" s="9" t="s">
        <v>15</v>
      </c>
      <c r="E321" s="8">
        <v>400</v>
      </c>
      <c r="F321" s="9" t="s">
        <v>15</v>
      </c>
      <c r="G321" s="8">
        <v>500</v>
      </c>
    </row>
    <row r="322" spans="1:7" x14ac:dyDescent="0.15">
      <c r="A322" s="8">
        <v>30</v>
      </c>
      <c r="B322" s="8" t="s">
        <v>78</v>
      </c>
      <c r="C322" s="8">
        <f t="shared" si="4"/>
        <v>30</v>
      </c>
      <c r="D322" s="9" t="s">
        <v>15</v>
      </c>
      <c r="E322" s="8">
        <v>30</v>
      </c>
      <c r="F322" s="8" t="s">
        <v>966</v>
      </c>
      <c r="G322" s="8">
        <v>500</v>
      </c>
    </row>
    <row r="323" spans="1:7" x14ac:dyDescent="0.15">
      <c r="A323" s="8">
        <v>34</v>
      </c>
      <c r="B323" s="8" t="s">
        <v>78</v>
      </c>
      <c r="C323" s="8">
        <f t="shared" si="4"/>
        <v>34</v>
      </c>
      <c r="D323" s="9" t="s">
        <v>15</v>
      </c>
      <c r="E323" s="8">
        <v>30</v>
      </c>
      <c r="F323" s="8" t="s">
        <v>3128</v>
      </c>
      <c r="G323" s="8">
        <v>500</v>
      </c>
    </row>
    <row r="324" spans="1:7" x14ac:dyDescent="0.15">
      <c r="A324" s="8">
        <v>40</v>
      </c>
      <c r="B324" s="8" t="s">
        <v>78</v>
      </c>
      <c r="C324" s="8">
        <f t="shared" si="4"/>
        <v>40</v>
      </c>
      <c r="D324" s="9" t="s">
        <v>15</v>
      </c>
      <c r="E324" s="8">
        <v>40</v>
      </c>
      <c r="F324" s="8" t="s">
        <v>967</v>
      </c>
      <c r="G324" s="8">
        <v>500</v>
      </c>
    </row>
    <row r="325" spans="1:7" x14ac:dyDescent="0.15">
      <c r="A325" s="8" t="s">
        <v>968</v>
      </c>
      <c r="B325" s="8" t="s">
        <v>25</v>
      </c>
      <c r="C325" s="8" t="str">
        <f t="shared" si="4"/>
        <v>fasp</v>
      </c>
      <c r="D325" s="9" t="s">
        <v>15</v>
      </c>
      <c r="E325" s="8" t="s">
        <v>969</v>
      </c>
      <c r="F325" s="8" t="s">
        <v>970</v>
      </c>
      <c r="G325" s="8">
        <v>500</v>
      </c>
    </row>
    <row r="326" spans="1:7" x14ac:dyDescent="0.15">
      <c r="A326" s="8" t="s">
        <v>971</v>
      </c>
      <c r="B326" s="8" t="s">
        <v>25</v>
      </c>
      <c r="C326" s="8" t="str">
        <f t="shared" ref="C326:C391" si="5">A326</f>
        <v>ingel</v>
      </c>
      <c r="D326" s="9" t="s">
        <v>15</v>
      </c>
      <c r="E326" s="8" t="s">
        <v>972</v>
      </c>
      <c r="F326" s="8" t="s">
        <v>973</v>
      </c>
      <c r="G326" s="8">
        <v>500</v>
      </c>
    </row>
    <row r="327" spans="1:7" x14ac:dyDescent="0.15">
      <c r="A327" s="8" t="s">
        <v>974</v>
      </c>
      <c r="B327" s="8" t="s">
        <v>25</v>
      </c>
      <c r="C327" s="8" t="str">
        <f t="shared" si="5"/>
        <v>insol</v>
      </c>
      <c r="D327" s="9" t="s">
        <v>15</v>
      </c>
      <c r="E327" s="8" t="s">
        <v>975</v>
      </c>
      <c r="F327" s="8" t="s">
        <v>976</v>
      </c>
      <c r="G327" s="8">
        <v>500</v>
      </c>
    </row>
    <row r="328" spans="1:7" x14ac:dyDescent="0.15">
      <c r="A328" s="8" t="s">
        <v>977</v>
      </c>
      <c r="B328" s="8" t="s">
        <v>25</v>
      </c>
      <c r="C328" s="8" t="str">
        <f t="shared" si="5"/>
        <v>sp3</v>
      </c>
      <c r="D328" s="9" t="s">
        <v>15</v>
      </c>
      <c r="E328" s="8" t="s">
        <v>978</v>
      </c>
      <c r="F328" s="8" t="s">
        <v>979</v>
      </c>
      <c r="G328" s="8">
        <v>500</v>
      </c>
    </row>
    <row r="329" spans="1:7" x14ac:dyDescent="0.15">
      <c r="A329" s="8" t="s">
        <v>980</v>
      </c>
      <c r="B329" s="8" t="s">
        <v>81</v>
      </c>
      <c r="C329" s="8" t="str">
        <f t="shared" si="5"/>
        <v>23c</v>
      </c>
      <c r="D329" s="9" t="s">
        <v>15</v>
      </c>
      <c r="E329" s="8" t="s">
        <v>981</v>
      </c>
      <c r="F329" s="8" t="s">
        <v>982</v>
      </c>
      <c r="G329" s="8">
        <v>500</v>
      </c>
    </row>
    <row r="330" spans="1:7" x14ac:dyDescent="0.15">
      <c r="A330" s="8" t="s">
        <v>983</v>
      </c>
      <c r="B330" s="8" t="s">
        <v>81</v>
      </c>
      <c r="C330" s="8" t="str">
        <f t="shared" si="5"/>
        <v>37c</v>
      </c>
      <c r="D330" s="9" t="s">
        <v>15</v>
      </c>
      <c r="E330" s="8" t="s">
        <v>984</v>
      </c>
      <c r="F330" s="8" t="s">
        <v>985</v>
      </c>
      <c r="G330" s="8">
        <v>500</v>
      </c>
    </row>
    <row r="331" spans="1:7" x14ac:dyDescent="0.15">
      <c r="A331" s="8" t="s">
        <v>986</v>
      </c>
      <c r="B331" s="8" t="s">
        <v>82</v>
      </c>
      <c r="C331" s="8" t="str">
        <f t="shared" si="5"/>
        <v>12h</v>
      </c>
      <c r="D331" s="9" t="s">
        <v>15</v>
      </c>
      <c r="E331" s="8" t="s">
        <v>987</v>
      </c>
      <c r="F331" s="8" t="s">
        <v>988</v>
      </c>
      <c r="G331" s="8">
        <v>500</v>
      </c>
    </row>
    <row r="332" spans="1:7" x14ac:dyDescent="0.15">
      <c r="A332" s="8" t="s">
        <v>989</v>
      </c>
      <c r="B332" s="8" t="s">
        <v>82</v>
      </c>
      <c r="C332" s="8" t="str">
        <f t="shared" si="5"/>
        <v>16h</v>
      </c>
      <c r="D332" s="9" t="s">
        <v>15</v>
      </c>
      <c r="E332" s="8" t="s">
        <v>990</v>
      </c>
      <c r="F332" s="8" t="s">
        <v>991</v>
      </c>
      <c r="G332" s="8">
        <v>500</v>
      </c>
    </row>
    <row r="333" spans="1:7" x14ac:dyDescent="0.15">
      <c r="A333" s="8" t="s">
        <v>992</v>
      </c>
      <c r="B333" s="8" t="s">
        <v>82</v>
      </c>
      <c r="C333" s="8" t="str">
        <f t="shared" si="5"/>
        <v>8h</v>
      </c>
      <c r="D333" s="9" t="s">
        <v>15</v>
      </c>
      <c r="E333" s="8" t="s">
        <v>993</v>
      </c>
      <c r="F333" s="8" t="s">
        <v>994</v>
      </c>
      <c r="G333" s="8">
        <v>500</v>
      </c>
    </row>
    <row r="334" spans="1:7" x14ac:dyDescent="0.15">
      <c r="A334" s="8" t="s">
        <v>995</v>
      </c>
      <c r="B334" s="8" t="s">
        <v>83</v>
      </c>
      <c r="C334" s="8" t="str">
        <f t="shared" si="5"/>
        <v>384well_plate</v>
      </c>
      <c r="D334" s="9" t="s">
        <v>15</v>
      </c>
      <c r="E334" s="8" t="s">
        <v>996</v>
      </c>
      <c r="F334" s="8" t="s">
        <v>996</v>
      </c>
      <c r="G334" s="8">
        <v>500</v>
      </c>
    </row>
    <row r="335" spans="1:7" x14ac:dyDescent="0.15">
      <c r="A335" s="8" t="s">
        <v>997</v>
      </c>
      <c r="B335" s="8" t="s">
        <v>83</v>
      </c>
      <c r="C335" s="8" t="str">
        <f t="shared" si="5"/>
        <v>96well_plate</v>
      </c>
      <c r="D335" s="9" t="s">
        <v>15</v>
      </c>
      <c r="E335" s="8" t="s">
        <v>998</v>
      </c>
      <c r="F335" s="8" t="s">
        <v>999</v>
      </c>
      <c r="G335" s="8">
        <v>500</v>
      </c>
    </row>
    <row r="336" spans="1:7" x14ac:dyDescent="0.15">
      <c r="A336" s="8" t="s">
        <v>1000</v>
      </c>
      <c r="B336" s="8" t="s">
        <v>83</v>
      </c>
      <c r="C336" s="8" t="str">
        <f t="shared" si="5"/>
        <v>onefive_ml_tube</v>
      </c>
      <c r="D336" s="9" t="s">
        <v>15</v>
      </c>
      <c r="E336" s="8" t="s">
        <v>1001</v>
      </c>
      <c r="F336" s="8" t="s">
        <v>1002</v>
      </c>
      <c r="G336" s="8">
        <v>500</v>
      </c>
    </row>
    <row r="337" spans="1:7" x14ac:dyDescent="0.15">
      <c r="A337" s="8" t="s">
        <v>1003</v>
      </c>
      <c r="B337" s="8" t="s">
        <v>83</v>
      </c>
      <c r="C337" s="8" t="str">
        <f t="shared" si="5"/>
        <v>pcrstripe</v>
      </c>
      <c r="D337" s="9" t="s">
        <v>15</v>
      </c>
      <c r="E337" s="8" t="s">
        <v>1004</v>
      </c>
      <c r="F337" s="8" t="s">
        <v>1004</v>
      </c>
      <c r="G337" s="8">
        <v>500</v>
      </c>
    </row>
    <row r="338" spans="1:7" x14ac:dyDescent="0.15">
      <c r="A338" s="8" t="s">
        <v>1005</v>
      </c>
      <c r="B338" s="8" t="s">
        <v>83</v>
      </c>
      <c r="C338" s="8" t="str">
        <f t="shared" si="5"/>
        <v>two_ml_tube</v>
      </c>
      <c r="D338" s="9" t="s">
        <v>15</v>
      </c>
      <c r="E338" s="8" t="s">
        <v>1006</v>
      </c>
      <c r="F338" s="8" t="s">
        <v>1007</v>
      </c>
      <c r="G338" s="8">
        <v>500</v>
      </c>
    </row>
    <row r="339" spans="1:7" x14ac:dyDescent="0.15">
      <c r="A339" s="8" t="s">
        <v>1008</v>
      </c>
      <c r="B339" s="8" t="s">
        <v>85</v>
      </c>
      <c r="C339" s="8" t="str">
        <f t="shared" si="5"/>
        <v>als</v>
      </c>
      <c r="D339" s="8" t="s">
        <v>1008</v>
      </c>
      <c r="E339" s="8" t="s">
        <v>1009</v>
      </c>
      <c r="F339" s="8" t="s">
        <v>1010</v>
      </c>
      <c r="G339" s="8">
        <v>500</v>
      </c>
    </row>
    <row r="340" spans="1:7" x14ac:dyDescent="0.15">
      <c r="A340" s="8" t="s">
        <v>1011</v>
      </c>
      <c r="B340" s="8" t="s">
        <v>85</v>
      </c>
      <c r="C340" s="8" t="str">
        <f t="shared" si="5"/>
        <v>alzheimer</v>
      </c>
      <c r="D340" s="8" t="s">
        <v>1011</v>
      </c>
      <c r="E340" s="8" t="s">
        <v>1012</v>
      </c>
      <c r="F340" s="8" t="s">
        <v>1013</v>
      </c>
      <c r="G340" s="8">
        <v>500</v>
      </c>
    </row>
    <row r="341" spans="1:7" x14ac:dyDescent="0.15">
      <c r="A341" s="8" t="s">
        <v>1014</v>
      </c>
      <c r="B341" s="8" t="s">
        <v>85</v>
      </c>
      <c r="C341" s="8" t="str">
        <f t="shared" si="5"/>
        <v>autoimmune</v>
      </c>
      <c r="D341" s="8" t="s">
        <v>1014</v>
      </c>
      <c r="E341" s="8" t="s">
        <v>1015</v>
      </c>
      <c r="F341" s="8" t="s">
        <v>1016</v>
      </c>
      <c r="G341" s="8">
        <v>500</v>
      </c>
    </row>
    <row r="342" spans="1:7" x14ac:dyDescent="0.15">
      <c r="A342" s="8" t="s">
        <v>1017</v>
      </c>
      <c r="B342" s="8" t="s">
        <v>85</v>
      </c>
      <c r="C342" s="8" t="str">
        <f t="shared" si="5"/>
        <v>cancer</v>
      </c>
      <c r="D342" s="8" t="s">
        <v>1017</v>
      </c>
      <c r="E342" s="8" t="s">
        <v>1018</v>
      </c>
      <c r="F342" s="8" t="s">
        <v>1019</v>
      </c>
      <c r="G342" s="8">
        <v>500</v>
      </c>
    </row>
    <row r="343" spans="1:7" x14ac:dyDescent="0.15">
      <c r="A343" s="8" t="s">
        <v>1020</v>
      </c>
      <c r="B343" s="8" t="s">
        <v>85</v>
      </c>
      <c r="C343" s="8" t="str">
        <f t="shared" si="5"/>
        <v>cardiovascular_diseases</v>
      </c>
      <c r="D343" s="8" t="s">
        <v>1021</v>
      </c>
      <c r="E343" s="8" t="s">
        <v>1022</v>
      </c>
      <c r="F343" s="8" t="s">
        <v>1023</v>
      </c>
      <c r="G343" s="8">
        <v>500</v>
      </c>
    </row>
    <row r="344" spans="1:7" x14ac:dyDescent="0.15">
      <c r="A344" s="8" t="s">
        <v>1024</v>
      </c>
      <c r="B344" s="8" t="s">
        <v>85</v>
      </c>
      <c r="C344" s="8" t="str">
        <f t="shared" si="5"/>
        <v>chronic_inflammation</v>
      </c>
      <c r="D344" s="8" t="s">
        <v>1025</v>
      </c>
      <c r="E344" s="8" t="s">
        <v>1026</v>
      </c>
      <c r="F344" s="8" t="s">
        <v>1027</v>
      </c>
      <c r="G344" s="8">
        <v>500</v>
      </c>
    </row>
    <row r="345" spans="1:7" x14ac:dyDescent="0.15">
      <c r="A345" s="8" t="s">
        <v>1028</v>
      </c>
      <c r="B345" s="8" t="s">
        <v>85</v>
      </c>
      <c r="C345" s="8" t="str">
        <f t="shared" si="5"/>
        <v>coeliac</v>
      </c>
      <c r="D345" s="8" t="s">
        <v>1028</v>
      </c>
      <c r="E345" s="8" t="s">
        <v>1029</v>
      </c>
      <c r="F345" s="8" t="s">
        <v>1030</v>
      </c>
      <c r="G345" s="8">
        <v>500</v>
      </c>
    </row>
    <row r="346" spans="1:7" x14ac:dyDescent="0.15">
      <c r="A346" s="8" t="s">
        <v>1031</v>
      </c>
      <c r="B346" s="8" t="s">
        <v>85</v>
      </c>
      <c r="C346" s="8" t="str">
        <f t="shared" si="5"/>
        <v>covid19</v>
      </c>
      <c r="D346" s="8" t="s">
        <v>1031</v>
      </c>
      <c r="E346" s="8" t="s">
        <v>1032</v>
      </c>
      <c r="F346" s="8" t="s">
        <v>1033</v>
      </c>
      <c r="G346" s="8">
        <v>500</v>
      </c>
    </row>
    <row r="347" spans="1:7" x14ac:dyDescent="0.15">
      <c r="A347" s="8" t="s">
        <v>1034</v>
      </c>
      <c r="B347" s="8" t="s">
        <v>85</v>
      </c>
      <c r="C347" s="8" t="str">
        <f t="shared" si="5"/>
        <v>dementia</v>
      </c>
      <c r="D347" s="8" t="s">
        <v>1034</v>
      </c>
      <c r="E347" s="8" t="s">
        <v>1035</v>
      </c>
      <c r="F347" s="8" t="s">
        <v>1035</v>
      </c>
      <c r="G347" s="8">
        <v>500</v>
      </c>
    </row>
    <row r="348" spans="1:7" x14ac:dyDescent="0.15">
      <c r="A348" s="8" t="s">
        <v>1036</v>
      </c>
      <c r="B348" s="8" t="s">
        <v>85</v>
      </c>
      <c r="C348" s="8" t="str">
        <f t="shared" si="5"/>
        <v>demyelinating</v>
      </c>
      <c r="D348" s="8" t="s">
        <v>1036</v>
      </c>
      <c r="E348" s="8" t="s">
        <v>1037</v>
      </c>
      <c r="F348" s="8" t="s">
        <v>1038</v>
      </c>
      <c r="G348" s="8">
        <v>500</v>
      </c>
    </row>
    <row r="349" spans="1:7" x14ac:dyDescent="0.15">
      <c r="A349" s="8" t="s">
        <v>1039</v>
      </c>
      <c r="B349" s="8" t="s">
        <v>85</v>
      </c>
      <c r="C349" s="8" t="str">
        <f t="shared" si="5"/>
        <v>diabetes</v>
      </c>
      <c r="D349" s="8" t="s">
        <v>1039</v>
      </c>
      <c r="E349" s="8" t="s">
        <v>1040</v>
      </c>
      <c r="F349" s="8" t="s">
        <v>1040</v>
      </c>
      <c r="G349" s="8">
        <v>500</v>
      </c>
    </row>
    <row r="350" spans="1:7" x14ac:dyDescent="0.15">
      <c r="A350" s="8" t="s">
        <v>1041</v>
      </c>
      <c r="B350" s="8" t="s">
        <v>85</v>
      </c>
      <c r="C350" s="8" t="str">
        <f t="shared" si="5"/>
        <v>glioblastoma</v>
      </c>
      <c r="D350" s="8" t="s">
        <v>1041</v>
      </c>
      <c r="E350" s="8" t="s">
        <v>1042</v>
      </c>
      <c r="F350" s="8" t="s">
        <v>1043</v>
      </c>
      <c r="G350" s="8">
        <v>500</v>
      </c>
    </row>
    <row r="351" spans="1:7" x14ac:dyDescent="0.15">
      <c r="A351" s="8" t="s">
        <v>1044</v>
      </c>
      <c r="B351" s="8" t="s">
        <v>85</v>
      </c>
      <c r="C351" s="8" t="str">
        <f t="shared" si="5"/>
        <v>hiv</v>
      </c>
      <c r="D351" s="8" t="s">
        <v>1044</v>
      </c>
      <c r="E351" s="8" t="s">
        <v>1045</v>
      </c>
      <c r="F351" s="8" t="s">
        <v>1046</v>
      </c>
      <c r="G351" s="8">
        <v>500</v>
      </c>
    </row>
    <row r="352" spans="1:7" x14ac:dyDescent="0.15">
      <c r="A352" s="8" t="s">
        <v>1047</v>
      </c>
      <c r="B352" s="8" t="s">
        <v>85</v>
      </c>
      <c r="C352" s="8" t="str">
        <f t="shared" si="5"/>
        <v>huntington</v>
      </c>
      <c r="D352" s="8" t="s">
        <v>1047</v>
      </c>
      <c r="E352" s="8" t="s">
        <v>1048</v>
      </c>
      <c r="F352" s="8" t="s">
        <v>1049</v>
      </c>
      <c r="G352" s="8">
        <v>500</v>
      </c>
    </row>
    <row r="353" spans="1:7" x14ac:dyDescent="0.15">
      <c r="A353" s="8" t="s">
        <v>1050</v>
      </c>
      <c r="B353" s="8" t="s">
        <v>85</v>
      </c>
      <c r="C353" s="8" t="str">
        <f t="shared" si="5"/>
        <v>ibd</v>
      </c>
      <c r="D353" s="8" t="s">
        <v>1050</v>
      </c>
      <c r="E353" s="8" t="s">
        <v>1051</v>
      </c>
      <c r="F353" s="8" t="s">
        <v>1052</v>
      </c>
      <c r="G353" s="8">
        <v>500</v>
      </c>
    </row>
    <row r="354" spans="1:7" x14ac:dyDescent="0.15">
      <c r="A354" s="8" t="s">
        <v>1053</v>
      </c>
      <c r="B354" s="8" t="s">
        <v>85</v>
      </c>
      <c r="C354" s="8" t="str">
        <f t="shared" si="5"/>
        <v>infection</v>
      </c>
      <c r="D354" s="8" t="s">
        <v>1053</v>
      </c>
      <c r="E354" s="8" t="s">
        <v>1054</v>
      </c>
      <c r="F354" s="8" t="s">
        <v>1055</v>
      </c>
      <c r="G354" s="8">
        <v>500</v>
      </c>
    </row>
    <row r="355" spans="1:7" x14ac:dyDescent="0.15">
      <c r="A355" s="8" t="s">
        <v>1056</v>
      </c>
      <c r="B355" s="8" t="s">
        <v>85</v>
      </c>
      <c r="C355" s="8" t="str">
        <f t="shared" si="5"/>
        <v>influenza</v>
      </c>
      <c r="D355" s="8" t="s">
        <v>1056</v>
      </c>
      <c r="E355" s="8" t="s">
        <v>1057</v>
      </c>
      <c r="F355" s="8" t="s">
        <v>1058</v>
      </c>
      <c r="G355" s="8">
        <v>500</v>
      </c>
    </row>
    <row r="356" spans="1:7" x14ac:dyDescent="0.15">
      <c r="A356" s="8" t="s">
        <v>1059</v>
      </c>
      <c r="B356" s="8" t="s">
        <v>85</v>
      </c>
      <c r="C356" s="8" t="str">
        <f t="shared" si="5"/>
        <v>leukemia</v>
      </c>
      <c r="D356" s="8" t="s">
        <v>1059</v>
      </c>
      <c r="E356" s="8" t="s">
        <v>572</v>
      </c>
      <c r="F356" s="8" t="s">
        <v>1060</v>
      </c>
      <c r="G356" s="8">
        <v>500</v>
      </c>
    </row>
    <row r="357" spans="1:7" x14ac:dyDescent="0.15">
      <c r="A357" s="8" t="s">
        <v>1061</v>
      </c>
      <c r="B357" s="8" t="s">
        <v>85</v>
      </c>
      <c r="C357" s="8" t="str">
        <f t="shared" si="5"/>
        <v>lymphoma</v>
      </c>
      <c r="D357" s="8" t="s">
        <v>1061</v>
      </c>
      <c r="E357" s="8" t="s">
        <v>1062</v>
      </c>
      <c r="F357" s="8" t="s">
        <v>1063</v>
      </c>
      <c r="G357" s="8">
        <v>500</v>
      </c>
    </row>
    <row r="358" spans="1:7" x14ac:dyDescent="0.15">
      <c r="A358" s="8" t="s">
        <v>1064</v>
      </c>
      <c r="B358" s="8" t="s">
        <v>85</v>
      </c>
      <c r="C358" s="8" t="str">
        <f t="shared" si="5"/>
        <v>malaria</v>
      </c>
      <c r="D358" s="8" t="s">
        <v>1064</v>
      </c>
      <c r="E358" s="8" t="s">
        <v>1065</v>
      </c>
      <c r="F358" s="8" t="s">
        <v>1066</v>
      </c>
      <c r="G358" s="8">
        <v>500</v>
      </c>
    </row>
    <row r="359" spans="1:7" x14ac:dyDescent="0.15">
      <c r="A359" s="8" t="s">
        <v>23</v>
      </c>
      <c r="B359" s="8" t="s">
        <v>85</v>
      </c>
      <c r="C359" s="8" t="str">
        <f t="shared" si="5"/>
        <v>ms</v>
      </c>
      <c r="D359" s="8" t="s">
        <v>23</v>
      </c>
      <c r="E359" s="8" t="s">
        <v>1067</v>
      </c>
      <c r="F359" s="8" t="s">
        <v>1068</v>
      </c>
      <c r="G359" s="8">
        <v>500</v>
      </c>
    </row>
    <row r="360" spans="1:7" x14ac:dyDescent="0.15">
      <c r="A360" s="8" t="s">
        <v>1069</v>
      </c>
      <c r="B360" s="8" t="s">
        <v>85</v>
      </c>
      <c r="C360" s="8" t="str">
        <f t="shared" si="5"/>
        <v>msa</v>
      </c>
      <c r="D360" s="8" t="s">
        <v>1069</v>
      </c>
      <c r="E360" s="8" t="s">
        <v>1070</v>
      </c>
      <c r="F360" s="8" t="s">
        <v>1071</v>
      </c>
      <c r="G360" s="8">
        <v>500</v>
      </c>
    </row>
    <row r="361" spans="1:7" x14ac:dyDescent="0.15">
      <c r="A361" s="8" t="s">
        <v>1072</v>
      </c>
      <c r="B361" s="8" t="s">
        <v>85</v>
      </c>
      <c r="C361" s="8" t="str">
        <f t="shared" si="5"/>
        <v>neurodegenerative</v>
      </c>
      <c r="D361" s="8" t="s">
        <v>1072</v>
      </c>
      <c r="E361" s="8" t="s">
        <v>1073</v>
      </c>
      <c r="F361" s="8" t="s">
        <v>1074</v>
      </c>
      <c r="G361" s="8">
        <v>500</v>
      </c>
    </row>
    <row r="362" spans="1:7" x14ac:dyDescent="0.15">
      <c r="A362" s="8" t="s">
        <v>1075</v>
      </c>
      <c r="B362" s="8" t="s">
        <v>85</v>
      </c>
      <c r="C362" s="8" t="str">
        <f t="shared" si="5"/>
        <v>parkinson</v>
      </c>
      <c r="D362" s="8" t="s">
        <v>1075</v>
      </c>
      <c r="E362" s="8" t="s">
        <v>1076</v>
      </c>
      <c r="F362" s="8" t="s">
        <v>1077</v>
      </c>
      <c r="G362" s="8">
        <v>500</v>
      </c>
    </row>
    <row r="363" spans="1:7" x14ac:dyDescent="0.15">
      <c r="A363" s="8" t="s">
        <v>1078</v>
      </c>
      <c r="B363" s="8" t="s">
        <v>85</v>
      </c>
      <c r="C363" s="8" t="str">
        <f t="shared" si="5"/>
        <v>prion</v>
      </c>
      <c r="D363" s="8" t="s">
        <v>1078</v>
      </c>
      <c r="E363" s="8" t="s">
        <v>1079</v>
      </c>
      <c r="F363" s="8" t="s">
        <v>1080</v>
      </c>
      <c r="G363" s="8">
        <v>500</v>
      </c>
    </row>
    <row r="364" spans="1:7" x14ac:dyDescent="0.15">
      <c r="A364" s="8" t="s">
        <v>1081</v>
      </c>
      <c r="B364" s="8" t="s">
        <v>85</v>
      </c>
      <c r="C364" s="8" t="str">
        <f t="shared" si="5"/>
        <v>rheumatoid</v>
      </c>
      <c r="D364" s="8" t="s">
        <v>1081</v>
      </c>
      <c r="E364" s="8" t="s">
        <v>1082</v>
      </c>
      <c r="F364" s="8" t="s">
        <v>1083</v>
      </c>
      <c r="G364" s="8">
        <v>500</v>
      </c>
    </row>
    <row r="365" spans="1:7" x14ac:dyDescent="0.15">
      <c r="A365" s="8" t="s">
        <v>1084</v>
      </c>
      <c r="B365" s="8" t="s">
        <v>85</v>
      </c>
      <c r="C365" s="8" t="str">
        <f t="shared" si="5"/>
        <v>stress</v>
      </c>
      <c r="D365" s="8" t="s">
        <v>1084</v>
      </c>
      <c r="E365" s="8" t="s">
        <v>1085</v>
      </c>
      <c r="F365" s="8" t="s">
        <v>1086</v>
      </c>
      <c r="G365" s="8">
        <v>500</v>
      </c>
    </row>
    <row r="366" spans="1:7" x14ac:dyDescent="0.15">
      <c r="A366" s="8" t="s">
        <v>1087</v>
      </c>
      <c r="B366" s="8" t="s">
        <v>85</v>
      </c>
      <c r="C366" s="8" t="str">
        <f t="shared" si="5"/>
        <v>stroke</v>
      </c>
      <c r="D366" s="8" t="s">
        <v>1087</v>
      </c>
      <c r="E366" s="8" t="s">
        <v>1088</v>
      </c>
      <c r="F366" s="8" t="s">
        <v>1089</v>
      </c>
      <c r="G366" s="8">
        <v>500</v>
      </c>
    </row>
    <row r="367" spans="1:7" x14ac:dyDescent="0.15">
      <c r="A367" s="8" t="s">
        <v>1090</v>
      </c>
      <c r="B367" s="8" t="s">
        <v>85</v>
      </c>
      <c r="C367" s="8" t="str">
        <f t="shared" si="5"/>
        <v>tuberculosis</v>
      </c>
      <c r="D367" s="8" t="s">
        <v>1090</v>
      </c>
      <c r="E367" s="8" t="s">
        <v>1091</v>
      </c>
      <c r="F367" s="8" t="s">
        <v>1092</v>
      </c>
      <c r="G367" s="8">
        <v>500</v>
      </c>
    </row>
    <row r="368" spans="1:7" x14ac:dyDescent="0.15">
      <c r="A368" s="8" t="s">
        <v>1093</v>
      </c>
      <c r="B368" s="8" t="s">
        <v>87</v>
      </c>
      <c r="C368" s="8" t="str">
        <f t="shared" si="5"/>
        <v>hypoxia</v>
      </c>
      <c r="D368" s="8" t="s">
        <v>1093</v>
      </c>
      <c r="E368" s="8" t="s">
        <v>1094</v>
      </c>
      <c r="F368" s="8" t="s">
        <v>1095</v>
      </c>
      <c r="G368" s="8">
        <v>500</v>
      </c>
    </row>
    <row r="369" spans="1:7" x14ac:dyDescent="0.15">
      <c r="A369" s="8" t="s">
        <v>1096</v>
      </c>
      <c r="B369" s="8" t="s">
        <v>87</v>
      </c>
      <c r="C369" s="8" t="str">
        <f t="shared" si="5"/>
        <v>normoxia</v>
      </c>
      <c r="D369" s="8" t="s">
        <v>1096</v>
      </c>
      <c r="E369" s="8" t="s">
        <v>1097</v>
      </c>
      <c r="F369" s="8" t="s">
        <v>1098</v>
      </c>
      <c r="G369" s="8">
        <v>500</v>
      </c>
    </row>
    <row r="370" spans="1:7" x14ac:dyDescent="0.15">
      <c r="A370" s="8" t="s">
        <v>1099</v>
      </c>
      <c r="B370" s="8" t="s">
        <v>89</v>
      </c>
      <c r="C370" s="8" t="str">
        <f t="shared" si="5"/>
        <v>acetylome</v>
      </c>
      <c r="D370" s="8" t="s">
        <v>1099</v>
      </c>
      <c r="E370" s="8" t="s">
        <v>1100</v>
      </c>
      <c r="F370" s="8" t="s">
        <v>1100</v>
      </c>
      <c r="G370" s="8">
        <v>500</v>
      </c>
    </row>
    <row r="371" spans="1:7" x14ac:dyDescent="0.15">
      <c r="A371" s="8" t="s">
        <v>1101</v>
      </c>
      <c r="B371" s="8" t="s">
        <v>89</v>
      </c>
      <c r="C371" s="8" t="str">
        <f t="shared" si="5"/>
        <v>dvp</v>
      </c>
      <c r="D371" s="8" t="s">
        <v>1101</v>
      </c>
      <c r="E371" s="8" t="s">
        <v>1102</v>
      </c>
      <c r="F371" s="8" t="s">
        <v>1103</v>
      </c>
      <c r="G371" s="8">
        <v>500</v>
      </c>
    </row>
    <row r="372" spans="1:7" x14ac:dyDescent="0.15">
      <c r="A372" s="8" t="s">
        <v>1104</v>
      </c>
      <c r="B372" s="8" t="s">
        <v>89</v>
      </c>
      <c r="C372" s="8" t="str">
        <f t="shared" si="5"/>
        <v>expression_proteome</v>
      </c>
      <c r="D372" s="8" t="s">
        <v>1105</v>
      </c>
      <c r="E372" s="8" t="s">
        <v>1106</v>
      </c>
      <c r="F372" s="8" t="s">
        <v>1106</v>
      </c>
      <c r="G372" s="8">
        <v>500</v>
      </c>
    </row>
    <row r="373" spans="1:7" x14ac:dyDescent="0.15">
      <c r="A373" s="8" t="s">
        <v>3123</v>
      </c>
      <c r="B373" s="8" t="s">
        <v>89</v>
      </c>
      <c r="C373" s="8" t="str">
        <f t="shared" si="5"/>
        <v>proximity</v>
      </c>
      <c r="D373" s="8" t="s">
        <v>3124</v>
      </c>
      <c r="E373" s="8" t="s">
        <v>3125</v>
      </c>
      <c r="F373" s="8" t="s">
        <v>3126</v>
      </c>
      <c r="G373" s="8">
        <v>500</v>
      </c>
    </row>
    <row r="374" spans="1:7" x14ac:dyDescent="0.15">
      <c r="A374" s="8" t="s">
        <v>1107</v>
      </c>
      <c r="B374" s="8" t="s">
        <v>89</v>
      </c>
      <c r="C374" s="8" t="str">
        <f t="shared" si="5"/>
        <v>interaction</v>
      </c>
      <c r="D374" s="8" t="s">
        <v>1107</v>
      </c>
      <c r="E374" s="8" t="s">
        <v>1108</v>
      </c>
      <c r="F374" s="8" t="s">
        <v>1108</v>
      </c>
      <c r="G374" s="8">
        <v>500</v>
      </c>
    </row>
    <row r="375" spans="1:7" x14ac:dyDescent="0.15">
      <c r="A375" s="8" t="s">
        <v>1109</v>
      </c>
      <c r="B375" s="8" t="s">
        <v>89</v>
      </c>
      <c r="C375" s="8" t="str">
        <f t="shared" si="5"/>
        <v>metrs</v>
      </c>
      <c r="D375" s="8" t="s">
        <v>1109</v>
      </c>
      <c r="E375" s="8" t="s">
        <v>1110</v>
      </c>
      <c r="F375" s="8" t="s">
        <v>1110</v>
      </c>
      <c r="G375" s="8">
        <v>500</v>
      </c>
    </row>
    <row r="376" spans="1:7" x14ac:dyDescent="0.15">
      <c r="A376" s="8" t="s">
        <v>1111</v>
      </c>
      <c r="B376" s="8" t="s">
        <v>89</v>
      </c>
      <c r="C376" s="8" t="str">
        <f t="shared" si="5"/>
        <v>neo_nterm_enrichment</v>
      </c>
      <c r="D376" s="8" t="s">
        <v>1112</v>
      </c>
      <c r="E376" s="8" t="s">
        <v>1113</v>
      </c>
      <c r="F376" s="8" t="s">
        <v>1113</v>
      </c>
      <c r="G376" s="8">
        <v>500</v>
      </c>
    </row>
    <row r="377" spans="1:7" x14ac:dyDescent="0.15">
      <c r="A377" s="8" t="s">
        <v>1114</v>
      </c>
      <c r="B377" s="8" t="s">
        <v>89</v>
      </c>
      <c r="C377" s="8" t="str">
        <f t="shared" si="5"/>
        <v>oxinome</v>
      </c>
      <c r="D377" s="8" t="s">
        <v>1114</v>
      </c>
      <c r="E377" s="8" t="s">
        <v>1115</v>
      </c>
      <c r="F377" s="8" t="s">
        <v>1115</v>
      </c>
      <c r="G377" s="8">
        <v>500</v>
      </c>
    </row>
    <row r="378" spans="1:7" x14ac:dyDescent="0.15">
      <c r="A378" s="8" t="s">
        <v>1116</v>
      </c>
      <c r="B378" s="8" t="s">
        <v>89</v>
      </c>
      <c r="C378" s="8" t="str">
        <f t="shared" si="5"/>
        <v>phosphoproteome</v>
      </c>
      <c r="D378" s="8" t="s">
        <v>1116</v>
      </c>
      <c r="E378" s="8" t="s">
        <v>1117</v>
      </c>
      <c r="F378" s="8" t="s">
        <v>1117</v>
      </c>
      <c r="G378" s="8">
        <v>500</v>
      </c>
    </row>
    <row r="379" spans="1:7" x14ac:dyDescent="0.15">
      <c r="A379" s="8" t="s">
        <v>1118</v>
      </c>
      <c r="B379" s="8" t="s">
        <v>89</v>
      </c>
      <c r="C379" s="8" t="str">
        <f t="shared" si="5"/>
        <v>pulse_silac</v>
      </c>
      <c r="D379" s="8" t="s">
        <v>1118</v>
      </c>
      <c r="E379" s="8" t="s">
        <v>1119</v>
      </c>
      <c r="F379" s="8" t="s">
        <v>1119</v>
      </c>
      <c r="G379" s="8">
        <v>500</v>
      </c>
    </row>
    <row r="380" spans="1:7" x14ac:dyDescent="0.15">
      <c r="A380" s="8" t="s">
        <v>1120</v>
      </c>
      <c r="B380" s="8" t="s">
        <v>89</v>
      </c>
      <c r="C380" s="8" t="str">
        <f t="shared" si="5"/>
        <v>secretome</v>
      </c>
      <c r="D380" s="8" t="s">
        <v>1120</v>
      </c>
      <c r="E380" s="8" t="s">
        <v>1121</v>
      </c>
      <c r="F380" s="8" t="s">
        <v>1121</v>
      </c>
      <c r="G380" s="8">
        <v>500</v>
      </c>
    </row>
    <row r="381" spans="1:7" x14ac:dyDescent="0.15">
      <c r="A381" s="8" t="s">
        <v>1122</v>
      </c>
      <c r="B381" s="8" t="s">
        <v>89</v>
      </c>
      <c r="C381" s="8" t="str">
        <f t="shared" si="5"/>
        <v>spatial</v>
      </c>
      <c r="D381" s="8" t="s">
        <v>1122</v>
      </c>
      <c r="E381" s="8" t="s">
        <v>1123</v>
      </c>
      <c r="F381" s="8" t="s">
        <v>1123</v>
      </c>
      <c r="G381" s="8">
        <v>500</v>
      </c>
    </row>
    <row r="382" spans="1:7" x14ac:dyDescent="0.15">
      <c r="A382" s="8" t="s">
        <v>1124</v>
      </c>
      <c r="B382" s="8" t="s">
        <v>89</v>
      </c>
      <c r="C382" s="8" t="str">
        <f t="shared" si="5"/>
        <v>ubiquitinome</v>
      </c>
      <c r="D382" s="8" t="s">
        <v>1124</v>
      </c>
      <c r="E382" s="8" t="s">
        <v>1125</v>
      </c>
      <c r="F382" s="8" t="s">
        <v>1125</v>
      </c>
      <c r="G382" s="8">
        <v>500</v>
      </c>
    </row>
    <row r="383" spans="1:7" x14ac:dyDescent="0.15">
      <c r="A383" s="8" t="s">
        <v>3106</v>
      </c>
      <c r="B383" s="8" t="s">
        <v>89</v>
      </c>
      <c r="C383" s="8" t="str">
        <f t="shared" si="5"/>
        <v>solub</v>
      </c>
      <c r="D383" s="8" t="s">
        <v>3107</v>
      </c>
      <c r="E383" s="8" t="s">
        <v>3108</v>
      </c>
      <c r="F383" s="8" t="s">
        <v>3109</v>
      </c>
      <c r="G383" s="8">
        <v>500</v>
      </c>
    </row>
    <row r="384" spans="1:7" x14ac:dyDescent="0.15">
      <c r="A384" s="8" t="s">
        <v>3203</v>
      </c>
      <c r="B384" s="8" t="s">
        <v>89</v>
      </c>
      <c r="C384" s="8" t="str">
        <f t="shared" si="5"/>
        <v>pisa</v>
      </c>
      <c r="D384" s="8" t="s">
        <v>3204</v>
      </c>
      <c r="E384" s="8" t="s">
        <v>3205</v>
      </c>
      <c r="F384" s="8" t="s">
        <v>3206</v>
      </c>
      <c r="G384" s="8">
        <v>500</v>
      </c>
    </row>
    <row r="385" spans="1:7" x14ac:dyDescent="0.15">
      <c r="A385" s="8" t="s">
        <v>3209</v>
      </c>
      <c r="B385" s="8" t="s">
        <v>3207</v>
      </c>
      <c r="C385" s="8" t="s">
        <v>3203</v>
      </c>
      <c r="D385" s="8" t="s">
        <v>3203</v>
      </c>
      <c r="E385" s="8" t="s">
        <v>3208</v>
      </c>
      <c r="F385" s="8" t="s">
        <v>3210</v>
      </c>
      <c r="G385" s="8">
        <v>500</v>
      </c>
    </row>
    <row r="386" spans="1:7" x14ac:dyDescent="0.15">
      <c r="A386" s="8" t="s">
        <v>1126</v>
      </c>
      <c r="B386" s="8" t="s">
        <v>95</v>
      </c>
      <c r="C386" s="8" t="str">
        <f t="shared" si="5"/>
        <v>100c</v>
      </c>
      <c r="D386" s="9" t="s">
        <v>15</v>
      </c>
      <c r="E386" s="8">
        <v>100</v>
      </c>
      <c r="F386" s="9" t="s">
        <v>15</v>
      </c>
      <c r="G386" s="8">
        <v>500</v>
      </c>
    </row>
    <row r="387" spans="1:7" x14ac:dyDescent="0.15">
      <c r="A387" s="8" t="s">
        <v>1127</v>
      </c>
      <c r="B387" s="8" t="s">
        <v>95</v>
      </c>
      <c r="C387" s="8" t="str">
        <f t="shared" si="5"/>
        <v>95c</v>
      </c>
      <c r="D387" s="9" t="s">
        <v>15</v>
      </c>
      <c r="E387" s="8">
        <v>95</v>
      </c>
      <c r="F387" s="9" t="s">
        <v>15</v>
      </c>
      <c r="G387" s="8">
        <v>500</v>
      </c>
    </row>
    <row r="388" spans="1:7" x14ac:dyDescent="0.15">
      <c r="A388" s="8" t="s">
        <v>1128</v>
      </c>
      <c r="B388" s="8" t="s">
        <v>95</v>
      </c>
      <c r="C388" s="8" t="str">
        <f t="shared" si="5"/>
        <v>96c</v>
      </c>
      <c r="D388" s="9" t="s">
        <v>15</v>
      </c>
      <c r="E388" s="8">
        <v>96</v>
      </c>
      <c r="F388" s="9" t="s">
        <v>15</v>
      </c>
      <c r="G388" s="8">
        <v>500</v>
      </c>
    </row>
    <row r="389" spans="1:7" x14ac:dyDescent="0.15">
      <c r="A389" s="8" t="s">
        <v>1129</v>
      </c>
      <c r="B389" s="8" t="s">
        <v>95</v>
      </c>
      <c r="C389" s="8" t="str">
        <f t="shared" si="5"/>
        <v>97c</v>
      </c>
      <c r="D389" s="9" t="s">
        <v>15</v>
      </c>
      <c r="E389" s="8">
        <v>97</v>
      </c>
      <c r="F389" s="9" t="s">
        <v>15</v>
      </c>
      <c r="G389" s="8">
        <v>500</v>
      </c>
    </row>
    <row r="390" spans="1:7" x14ac:dyDescent="0.15">
      <c r="A390" s="8" t="s">
        <v>1130</v>
      </c>
      <c r="B390" s="8" t="s">
        <v>95</v>
      </c>
      <c r="C390" s="8" t="str">
        <f t="shared" si="5"/>
        <v>98c</v>
      </c>
      <c r="D390" s="9" t="s">
        <v>15</v>
      </c>
      <c r="E390" s="8">
        <v>98</v>
      </c>
      <c r="F390" s="9" t="s">
        <v>15</v>
      </c>
      <c r="G390" s="8">
        <v>500</v>
      </c>
    </row>
    <row r="391" spans="1:7" x14ac:dyDescent="0.15">
      <c r="A391" s="8" t="s">
        <v>1131</v>
      </c>
      <c r="B391" s="8" t="s">
        <v>95</v>
      </c>
      <c r="C391" s="8" t="str">
        <f t="shared" si="5"/>
        <v>99c</v>
      </c>
      <c r="D391" s="9" t="s">
        <v>15</v>
      </c>
      <c r="E391" s="8">
        <v>99</v>
      </c>
      <c r="F391" s="9" t="s">
        <v>15</v>
      </c>
      <c r="G391" s="8">
        <v>500</v>
      </c>
    </row>
    <row r="392" spans="1:7" x14ac:dyDescent="0.15">
      <c r="A392" s="8" t="s">
        <v>1126</v>
      </c>
      <c r="B392" s="8" t="s">
        <v>97</v>
      </c>
      <c r="C392" s="8" t="str">
        <f t="shared" ref="C392:C453" si="6">A392</f>
        <v>100c</v>
      </c>
      <c r="D392" s="9" t="s">
        <v>15</v>
      </c>
      <c r="E392" s="8">
        <v>100</v>
      </c>
      <c r="F392" s="9" t="s">
        <v>15</v>
      </c>
      <c r="G392" s="8">
        <v>500</v>
      </c>
    </row>
    <row r="393" spans="1:7" x14ac:dyDescent="0.15">
      <c r="A393" s="8" t="s">
        <v>1127</v>
      </c>
      <c r="B393" s="8" t="s">
        <v>97</v>
      </c>
      <c r="C393" s="8" t="str">
        <f t="shared" si="6"/>
        <v>95c</v>
      </c>
      <c r="D393" s="9" t="s">
        <v>15</v>
      </c>
      <c r="E393" s="8">
        <v>95</v>
      </c>
      <c r="F393" s="9" t="s">
        <v>15</v>
      </c>
      <c r="G393" s="8">
        <v>500</v>
      </c>
    </row>
    <row r="394" spans="1:7" x14ac:dyDescent="0.15">
      <c r="A394" s="8" t="s">
        <v>1128</v>
      </c>
      <c r="B394" s="8" t="s">
        <v>97</v>
      </c>
      <c r="C394" s="8" t="str">
        <f t="shared" si="6"/>
        <v>96c</v>
      </c>
      <c r="D394" s="9" t="s">
        <v>15</v>
      </c>
      <c r="E394" s="8">
        <v>96</v>
      </c>
      <c r="F394" s="9" t="s">
        <v>15</v>
      </c>
      <c r="G394" s="8">
        <v>500</v>
      </c>
    </row>
    <row r="395" spans="1:7" x14ac:dyDescent="0.15">
      <c r="A395" s="8" t="s">
        <v>1129</v>
      </c>
      <c r="B395" s="8" t="s">
        <v>97</v>
      </c>
      <c r="C395" s="8" t="str">
        <f t="shared" si="6"/>
        <v>97c</v>
      </c>
      <c r="D395" s="9" t="s">
        <v>15</v>
      </c>
      <c r="E395" s="8">
        <v>97</v>
      </c>
      <c r="F395" s="9" t="s">
        <v>15</v>
      </c>
      <c r="G395" s="8">
        <v>500</v>
      </c>
    </row>
    <row r="396" spans="1:7" x14ac:dyDescent="0.15">
      <c r="A396" s="8" t="s">
        <v>1130</v>
      </c>
      <c r="B396" s="8" t="s">
        <v>97</v>
      </c>
      <c r="C396" s="8" t="str">
        <f t="shared" si="6"/>
        <v>98c</v>
      </c>
      <c r="D396" s="9" t="s">
        <v>15</v>
      </c>
      <c r="E396" s="8">
        <v>98</v>
      </c>
      <c r="F396" s="9" t="s">
        <v>15</v>
      </c>
      <c r="G396" s="8">
        <v>500</v>
      </c>
    </row>
    <row r="397" spans="1:7" x14ac:dyDescent="0.15">
      <c r="A397" s="8" t="s">
        <v>1131</v>
      </c>
      <c r="B397" s="8" t="s">
        <v>97</v>
      </c>
      <c r="C397" s="8" t="str">
        <f t="shared" si="6"/>
        <v>99c</v>
      </c>
      <c r="D397" s="9" t="s">
        <v>15</v>
      </c>
      <c r="E397" s="8">
        <v>99</v>
      </c>
      <c r="F397" s="9" t="s">
        <v>15</v>
      </c>
      <c r="G397" s="8">
        <v>500</v>
      </c>
    </row>
    <row r="398" spans="1:7" x14ac:dyDescent="0.15">
      <c r="A398" s="8" t="s">
        <v>1132</v>
      </c>
      <c r="B398" s="8" t="s">
        <v>1133</v>
      </c>
      <c r="C398" s="8" t="str">
        <f t="shared" si="6"/>
        <v>bal</v>
      </c>
      <c r="D398" s="9" t="s">
        <v>15</v>
      </c>
      <c r="E398" s="8" t="s">
        <v>1134</v>
      </c>
      <c r="F398" s="8" t="s">
        <v>1135</v>
      </c>
      <c r="G398" s="8">
        <v>500</v>
      </c>
    </row>
    <row r="399" spans="1:7" x14ac:dyDescent="0.15">
      <c r="A399" s="8" t="s">
        <v>1136</v>
      </c>
      <c r="B399" s="8" t="s">
        <v>1133</v>
      </c>
      <c r="C399" s="8" t="str">
        <f t="shared" si="6"/>
        <v>cerebrospinal</v>
      </c>
      <c r="D399" s="9" t="s">
        <v>15</v>
      </c>
      <c r="E399" s="8" t="s">
        <v>1137</v>
      </c>
      <c r="F399" s="8" t="s">
        <v>1138</v>
      </c>
      <c r="G399" s="8">
        <v>500</v>
      </c>
    </row>
    <row r="400" spans="1:7" x14ac:dyDescent="0.15">
      <c r="A400" s="8" t="s">
        <v>1139</v>
      </c>
      <c r="B400" s="8" t="s">
        <v>1133</v>
      </c>
      <c r="C400" s="8" t="str">
        <f t="shared" si="6"/>
        <v>feces</v>
      </c>
      <c r="D400" s="9" t="s">
        <v>15</v>
      </c>
      <c r="E400" s="8" t="s">
        <v>1140</v>
      </c>
      <c r="F400" s="8" t="s">
        <v>1141</v>
      </c>
      <c r="G400" s="8">
        <v>500</v>
      </c>
    </row>
    <row r="401" spans="1:7" x14ac:dyDescent="0.15">
      <c r="A401" s="8" t="s">
        <v>1142</v>
      </c>
      <c r="B401" s="8" t="s">
        <v>1133</v>
      </c>
      <c r="C401" s="8" t="str">
        <f t="shared" si="6"/>
        <v>interstitial</v>
      </c>
      <c r="D401" s="9" t="s">
        <v>15</v>
      </c>
      <c r="E401" s="8" t="s">
        <v>1143</v>
      </c>
      <c r="F401" s="8" t="s">
        <v>1144</v>
      </c>
      <c r="G401" s="8">
        <v>500</v>
      </c>
    </row>
    <row r="402" spans="1:7" x14ac:dyDescent="0.15">
      <c r="A402" s="8" t="s">
        <v>1145</v>
      </c>
      <c r="B402" s="8" t="s">
        <v>1133</v>
      </c>
      <c r="C402" s="8" t="str">
        <f t="shared" si="6"/>
        <v>lymph</v>
      </c>
      <c r="D402" s="9" t="s">
        <v>15</v>
      </c>
      <c r="E402" s="8" t="s">
        <v>1146</v>
      </c>
      <c r="F402" s="8" t="s">
        <v>1147</v>
      </c>
      <c r="G402" s="8">
        <v>500</v>
      </c>
    </row>
    <row r="403" spans="1:7" x14ac:dyDescent="0.15">
      <c r="A403" s="8" t="s">
        <v>1148</v>
      </c>
      <c r="B403" s="8" t="s">
        <v>1133</v>
      </c>
      <c r="C403" s="8" t="str">
        <f t="shared" si="6"/>
        <v>peritoneal</v>
      </c>
      <c r="D403" s="9" t="s">
        <v>15</v>
      </c>
      <c r="E403" s="8" t="s">
        <v>1149</v>
      </c>
      <c r="F403" s="8" t="s">
        <v>1150</v>
      </c>
      <c r="G403" s="8">
        <v>500</v>
      </c>
    </row>
    <row r="404" spans="1:7" x14ac:dyDescent="0.15">
      <c r="A404" s="8" t="s">
        <v>1151</v>
      </c>
      <c r="B404" s="8" t="s">
        <v>1133</v>
      </c>
      <c r="C404" s="8" t="str">
        <f t="shared" si="6"/>
        <v>plasma</v>
      </c>
      <c r="D404" s="9" t="s">
        <v>15</v>
      </c>
      <c r="E404" s="8" t="s">
        <v>1152</v>
      </c>
      <c r="F404" s="8" t="s">
        <v>1153</v>
      </c>
      <c r="G404" s="8">
        <v>500</v>
      </c>
    </row>
    <row r="405" spans="1:7" x14ac:dyDescent="0.15">
      <c r="A405" s="8" t="s">
        <v>1154</v>
      </c>
      <c r="B405" s="8" t="s">
        <v>1133</v>
      </c>
      <c r="C405" s="8" t="str">
        <f t="shared" si="6"/>
        <v>pleural</v>
      </c>
      <c r="D405" s="9" t="s">
        <v>15</v>
      </c>
      <c r="E405" s="8" t="s">
        <v>1155</v>
      </c>
      <c r="F405" s="8" t="s">
        <v>1156</v>
      </c>
      <c r="G405" s="8">
        <v>500</v>
      </c>
    </row>
    <row r="406" spans="1:7" x14ac:dyDescent="0.15">
      <c r="A406" s="8" t="s">
        <v>1157</v>
      </c>
      <c r="B406" s="8" t="s">
        <v>1133</v>
      </c>
      <c r="C406" s="8" t="str">
        <f t="shared" si="6"/>
        <v>saliva</v>
      </c>
      <c r="D406" s="9" t="s">
        <v>15</v>
      </c>
      <c r="E406" s="8" t="s">
        <v>1158</v>
      </c>
      <c r="F406" s="8" t="s">
        <v>1159</v>
      </c>
      <c r="G406" s="8">
        <v>500</v>
      </c>
    </row>
    <row r="407" spans="1:7" x14ac:dyDescent="0.15">
      <c r="A407" s="8" t="s">
        <v>1160</v>
      </c>
      <c r="B407" s="8" t="s">
        <v>1133</v>
      </c>
      <c r="C407" s="8" t="str">
        <f t="shared" si="6"/>
        <v>seminal</v>
      </c>
      <c r="D407" s="9" t="s">
        <v>15</v>
      </c>
      <c r="E407" s="8" t="s">
        <v>1161</v>
      </c>
      <c r="F407" s="8" t="s">
        <v>1162</v>
      </c>
      <c r="G407" s="8">
        <v>500</v>
      </c>
    </row>
    <row r="408" spans="1:7" x14ac:dyDescent="0.15">
      <c r="A408" s="8" t="s">
        <v>1163</v>
      </c>
      <c r="B408" s="8" t="s">
        <v>1133</v>
      </c>
      <c r="C408" s="8" t="str">
        <f t="shared" si="6"/>
        <v>serum</v>
      </c>
      <c r="D408" s="9" t="s">
        <v>15</v>
      </c>
      <c r="E408" s="8" t="s">
        <v>1164</v>
      </c>
      <c r="F408" s="8" t="s">
        <v>1165</v>
      </c>
      <c r="G408" s="8">
        <v>500</v>
      </c>
    </row>
    <row r="409" spans="1:7" x14ac:dyDescent="0.15">
      <c r="A409" s="8" t="s">
        <v>1166</v>
      </c>
      <c r="B409" s="8" t="s">
        <v>1133</v>
      </c>
      <c r="C409" s="8" t="str">
        <f t="shared" si="6"/>
        <v>urine</v>
      </c>
      <c r="D409" s="9" t="s">
        <v>15</v>
      </c>
      <c r="E409" s="8" t="s">
        <v>1167</v>
      </c>
      <c r="F409" s="8" t="s">
        <v>1168</v>
      </c>
      <c r="G409" s="8">
        <v>500</v>
      </c>
    </row>
    <row r="410" spans="1:7" x14ac:dyDescent="0.15">
      <c r="A410" s="8" t="s">
        <v>1169</v>
      </c>
      <c r="B410" s="8" t="s">
        <v>1170</v>
      </c>
      <c r="C410" s="8" t="str">
        <f t="shared" si="6"/>
        <v>01k</v>
      </c>
      <c r="D410" s="8" t="s">
        <v>1169</v>
      </c>
      <c r="E410" s="8" t="s">
        <v>1169</v>
      </c>
      <c r="F410" s="8" t="s">
        <v>1171</v>
      </c>
      <c r="G410" s="8">
        <v>500</v>
      </c>
    </row>
    <row r="411" spans="1:7" x14ac:dyDescent="0.15">
      <c r="A411" s="8" t="s">
        <v>1172</v>
      </c>
      <c r="B411" s="8" t="s">
        <v>1170</v>
      </c>
      <c r="C411" s="8" t="str">
        <f t="shared" si="6"/>
        <v>05k</v>
      </c>
      <c r="D411" s="8" t="s">
        <v>1172</v>
      </c>
      <c r="E411" s="8" t="s">
        <v>1172</v>
      </c>
      <c r="F411" s="8" t="s">
        <v>1173</v>
      </c>
      <c r="G411" s="8">
        <v>500</v>
      </c>
    </row>
    <row r="412" spans="1:7" x14ac:dyDescent="0.15">
      <c r="A412" s="8" t="s">
        <v>1174</v>
      </c>
      <c r="B412" s="8" t="s">
        <v>1170</v>
      </c>
      <c r="C412" s="8" t="str">
        <f t="shared" si="6"/>
        <v>12k</v>
      </c>
      <c r="D412" s="8" t="s">
        <v>1174</v>
      </c>
      <c r="E412" s="8" t="s">
        <v>1174</v>
      </c>
      <c r="F412" s="8" t="s">
        <v>1175</v>
      </c>
      <c r="G412" s="8">
        <v>500</v>
      </c>
    </row>
    <row r="413" spans="1:7" x14ac:dyDescent="0.15">
      <c r="A413" s="8" t="s">
        <v>1176</v>
      </c>
      <c r="B413" s="8" t="s">
        <v>1170</v>
      </c>
      <c r="C413" s="8" t="str">
        <f t="shared" si="6"/>
        <v>24k</v>
      </c>
      <c r="D413" s="8" t="s">
        <v>1176</v>
      </c>
      <c r="E413" s="8" t="s">
        <v>1176</v>
      </c>
      <c r="F413" s="8" t="s">
        <v>1177</v>
      </c>
      <c r="G413" s="8">
        <v>500</v>
      </c>
    </row>
    <row r="414" spans="1:7" x14ac:dyDescent="0.15">
      <c r="A414" s="8" t="s">
        <v>1178</v>
      </c>
      <c r="B414" s="8" t="s">
        <v>1170</v>
      </c>
      <c r="C414" s="8" t="str">
        <f t="shared" si="6"/>
        <v>79k</v>
      </c>
      <c r="D414" s="8" t="s">
        <v>1178</v>
      </c>
      <c r="E414" s="8" t="s">
        <v>1178</v>
      </c>
      <c r="F414" s="8" t="s">
        <v>1179</v>
      </c>
      <c r="G414" s="8">
        <v>500</v>
      </c>
    </row>
    <row r="415" spans="1:7" x14ac:dyDescent="0.15">
      <c r="A415" s="8" t="s">
        <v>1180</v>
      </c>
      <c r="B415" s="8" t="s">
        <v>1170</v>
      </c>
      <c r="C415" s="8" t="str">
        <f t="shared" si="6"/>
        <v>crude_mito</v>
      </c>
      <c r="D415" s="8" t="s">
        <v>1181</v>
      </c>
      <c r="E415" s="8" t="s">
        <v>1182</v>
      </c>
      <c r="F415" s="8" t="s">
        <v>1183</v>
      </c>
      <c r="G415" s="8">
        <v>500</v>
      </c>
    </row>
    <row r="416" spans="1:7" x14ac:dyDescent="0.15">
      <c r="A416" s="8" t="s">
        <v>1184</v>
      </c>
      <c r="B416" s="8" t="s">
        <v>1170</v>
      </c>
      <c r="C416" s="8" t="str">
        <f t="shared" si="6"/>
        <v>cytosolic</v>
      </c>
      <c r="D416" s="8" t="s">
        <v>1184</v>
      </c>
      <c r="E416" s="8" t="s">
        <v>1185</v>
      </c>
      <c r="F416" s="8" t="s">
        <v>1186</v>
      </c>
      <c r="G416" s="8">
        <v>500</v>
      </c>
    </row>
    <row r="417" spans="1:7" x14ac:dyDescent="0.15">
      <c r="A417" s="8" t="s">
        <v>1187</v>
      </c>
      <c r="B417" s="8" t="s">
        <v>1170</v>
      </c>
      <c r="C417" s="8" t="str">
        <f t="shared" si="6"/>
        <v>total</v>
      </c>
      <c r="D417" s="8" t="s">
        <v>1187</v>
      </c>
      <c r="E417" s="8" t="s">
        <v>1188</v>
      </c>
      <c r="F417" s="8" t="s">
        <v>1189</v>
      </c>
      <c r="G417" s="8">
        <v>500</v>
      </c>
    </row>
    <row r="418" spans="1:7" x14ac:dyDescent="0.15">
      <c r="A418" s="8" t="s">
        <v>3089</v>
      </c>
      <c r="B418" s="8" t="s">
        <v>1170</v>
      </c>
      <c r="C418" s="8" t="str">
        <f t="shared" si="6"/>
        <v>pellet</v>
      </c>
      <c r="D418" s="8" t="s">
        <v>3089</v>
      </c>
      <c r="E418" s="8" t="s">
        <v>3090</v>
      </c>
      <c r="F418" s="8" t="s">
        <v>3092</v>
      </c>
      <c r="G418" s="8">
        <v>500</v>
      </c>
    </row>
    <row r="419" spans="1:7" x14ac:dyDescent="0.15">
      <c r="A419" s="8" t="s">
        <v>2926</v>
      </c>
      <c r="B419" s="8" t="s">
        <v>1170</v>
      </c>
      <c r="C419" s="8" t="str">
        <f t="shared" si="6"/>
        <v>supernatant</v>
      </c>
      <c r="D419" s="8" t="s">
        <v>2926</v>
      </c>
      <c r="E419" s="8" t="s">
        <v>2927</v>
      </c>
      <c r="F419" s="8" t="s">
        <v>3091</v>
      </c>
      <c r="G419" s="8">
        <v>500</v>
      </c>
    </row>
    <row r="420" spans="1:7" x14ac:dyDescent="0.15">
      <c r="A420" s="8" t="s">
        <v>2885</v>
      </c>
      <c r="B420" s="8" t="s">
        <v>104</v>
      </c>
      <c r="C420" s="8" t="str">
        <f t="shared" si="6"/>
        <v>homologrecombination</v>
      </c>
      <c r="D420" s="8" t="s">
        <v>15</v>
      </c>
      <c r="E420" s="8" t="s">
        <v>2886</v>
      </c>
      <c r="F420" s="8" t="s">
        <v>2887</v>
      </c>
      <c r="G420" s="8">
        <v>500</v>
      </c>
    </row>
    <row r="421" spans="1:7" x14ac:dyDescent="0.15">
      <c r="A421" s="8" t="s">
        <v>1190</v>
      </c>
      <c r="B421" s="8" t="s">
        <v>104</v>
      </c>
      <c r="C421" s="8" t="str">
        <f t="shared" si="6"/>
        <v>biggybac</v>
      </c>
      <c r="D421" s="9" t="s">
        <v>15</v>
      </c>
      <c r="E421" s="8" t="s">
        <v>1191</v>
      </c>
      <c r="F421" s="8" t="s">
        <v>1192</v>
      </c>
      <c r="G421" s="8">
        <v>500</v>
      </c>
    </row>
    <row r="422" spans="1:7" x14ac:dyDescent="0.15">
      <c r="A422" s="8" t="s">
        <v>1193</v>
      </c>
      <c r="B422" s="8" t="s">
        <v>104</v>
      </c>
      <c r="C422" s="8" t="str">
        <f t="shared" si="6"/>
        <v>crispr</v>
      </c>
      <c r="D422" s="9" t="s">
        <v>15</v>
      </c>
      <c r="E422" s="8" t="s">
        <v>1194</v>
      </c>
      <c r="F422" s="8" t="s">
        <v>1195</v>
      </c>
      <c r="G422" s="8">
        <v>500</v>
      </c>
    </row>
    <row r="423" spans="1:7" x14ac:dyDescent="0.15">
      <c r="A423" s="8" t="s">
        <v>1196</v>
      </c>
      <c r="B423" s="8" t="s">
        <v>104</v>
      </c>
      <c r="C423" s="8" t="str">
        <f t="shared" si="6"/>
        <v>crispr_hdr</v>
      </c>
      <c r="D423" s="9" t="s">
        <v>15</v>
      </c>
      <c r="E423" s="8" t="s">
        <v>1197</v>
      </c>
      <c r="F423" s="8" t="s">
        <v>1198</v>
      </c>
      <c r="G423" s="8">
        <v>500</v>
      </c>
    </row>
    <row r="424" spans="1:7" x14ac:dyDescent="0.15">
      <c r="A424" s="8" t="s">
        <v>1199</v>
      </c>
      <c r="B424" s="8" t="s">
        <v>104</v>
      </c>
      <c r="C424" s="8" t="str">
        <f t="shared" si="6"/>
        <v>lentiviral</v>
      </c>
      <c r="D424" s="9" t="s">
        <v>15</v>
      </c>
      <c r="E424" s="8" t="s">
        <v>1200</v>
      </c>
      <c r="F424" s="8" t="s">
        <v>1201</v>
      </c>
      <c r="G424" s="8">
        <v>500</v>
      </c>
    </row>
    <row r="425" spans="1:7" x14ac:dyDescent="0.15">
      <c r="A425" s="8" t="s">
        <v>1202</v>
      </c>
      <c r="B425" s="8" t="s">
        <v>104</v>
      </c>
      <c r="C425" s="8" t="str">
        <f t="shared" si="6"/>
        <v>talen</v>
      </c>
      <c r="D425" s="9" t="s">
        <v>15</v>
      </c>
      <c r="E425" s="8" t="s">
        <v>1203</v>
      </c>
      <c r="F425" s="8" t="s">
        <v>1204</v>
      </c>
      <c r="G425" s="8">
        <v>500</v>
      </c>
    </row>
    <row r="426" spans="1:7" x14ac:dyDescent="0.15">
      <c r="A426" s="8" t="s">
        <v>1205</v>
      </c>
      <c r="B426" s="8" t="s">
        <v>104</v>
      </c>
      <c r="C426" s="8" t="str">
        <f t="shared" si="6"/>
        <v>zincfinger</v>
      </c>
      <c r="D426" s="9" t="s">
        <v>15</v>
      </c>
      <c r="E426" s="8" t="s">
        <v>1206</v>
      </c>
      <c r="F426" s="8" t="s">
        <v>1207</v>
      </c>
      <c r="G426" s="8">
        <v>500</v>
      </c>
    </row>
    <row r="427" spans="1:7" x14ac:dyDescent="0.15">
      <c r="A427" s="8" t="s">
        <v>1208</v>
      </c>
      <c r="B427" s="8" t="s">
        <v>108</v>
      </c>
      <c r="C427" s="8" t="str">
        <f t="shared" si="6"/>
        <v>deletion</v>
      </c>
      <c r="D427" s="9" t="s">
        <v>15</v>
      </c>
      <c r="E427" s="8" t="s">
        <v>1209</v>
      </c>
      <c r="F427" s="8" t="s">
        <v>1210</v>
      </c>
      <c r="G427" s="8">
        <v>500</v>
      </c>
    </row>
    <row r="428" spans="1:7" x14ac:dyDescent="0.15">
      <c r="A428" s="8" t="s">
        <v>1211</v>
      </c>
      <c r="B428" s="8" t="s">
        <v>108</v>
      </c>
      <c r="C428" s="8" t="str">
        <f t="shared" si="6"/>
        <v>inducible_expression</v>
      </c>
      <c r="D428" s="9" t="s">
        <v>15</v>
      </c>
      <c r="E428" s="8" t="s">
        <v>1212</v>
      </c>
      <c r="F428" s="8" t="s">
        <v>1213</v>
      </c>
      <c r="G428" s="8">
        <v>500</v>
      </c>
    </row>
    <row r="429" spans="1:7" x14ac:dyDescent="0.15">
      <c r="A429" s="8" t="s">
        <v>1214</v>
      </c>
      <c r="B429" s="8" t="s">
        <v>108</v>
      </c>
      <c r="C429" s="8" t="str">
        <f t="shared" si="6"/>
        <v>knockin</v>
      </c>
      <c r="D429" s="9" t="s">
        <v>15</v>
      </c>
      <c r="E429" s="8" t="s">
        <v>1215</v>
      </c>
      <c r="F429" s="8" t="s">
        <v>1216</v>
      </c>
      <c r="G429" s="8">
        <v>500</v>
      </c>
    </row>
    <row r="430" spans="1:7" x14ac:dyDescent="0.15">
      <c r="A430" s="8" t="s">
        <v>1217</v>
      </c>
      <c r="B430" s="8" t="s">
        <v>108</v>
      </c>
      <c r="C430" s="8" t="str">
        <f t="shared" si="6"/>
        <v>ko</v>
      </c>
      <c r="D430" s="9" t="s">
        <v>15</v>
      </c>
      <c r="E430" s="8" t="s">
        <v>1218</v>
      </c>
      <c r="F430" s="8" t="s">
        <v>1219</v>
      </c>
      <c r="G430" s="8">
        <v>500</v>
      </c>
    </row>
    <row r="431" spans="1:7" x14ac:dyDescent="0.15">
      <c r="A431" s="8" t="s">
        <v>1220</v>
      </c>
      <c r="B431" s="8" t="s">
        <v>108</v>
      </c>
      <c r="C431" s="8" t="str">
        <f t="shared" si="6"/>
        <v>stable_expression</v>
      </c>
      <c r="D431" s="9" t="s">
        <v>15</v>
      </c>
      <c r="E431" s="8" t="s">
        <v>1221</v>
      </c>
      <c r="F431" s="8" t="s">
        <v>1222</v>
      </c>
      <c r="G431" s="8">
        <v>500</v>
      </c>
    </row>
    <row r="432" spans="1:7" x14ac:dyDescent="0.15">
      <c r="A432" s="8" t="s">
        <v>3954</v>
      </c>
      <c r="B432" s="8" t="s">
        <v>105</v>
      </c>
      <c r="C432" s="8" t="str">
        <f t="shared" si="6"/>
        <v>hetero</v>
      </c>
      <c r="D432" s="9" t="s">
        <v>15</v>
      </c>
      <c r="E432" s="8" t="s">
        <v>1223</v>
      </c>
      <c r="F432" s="8" t="s">
        <v>1224</v>
      </c>
      <c r="G432" s="8">
        <v>500</v>
      </c>
    </row>
    <row r="433" spans="1:7" x14ac:dyDescent="0.15">
      <c r="A433" s="8" t="s">
        <v>3955</v>
      </c>
      <c r="B433" s="8" t="s">
        <v>105</v>
      </c>
      <c r="C433" s="8" t="str">
        <f t="shared" si="6"/>
        <v>homozygot</v>
      </c>
      <c r="D433" s="9" t="s">
        <v>15</v>
      </c>
      <c r="E433" s="8" t="s">
        <v>1225</v>
      </c>
      <c r="F433" s="8" t="s">
        <v>1226</v>
      </c>
      <c r="G433" s="8">
        <v>500</v>
      </c>
    </row>
    <row r="434" spans="1:7" x14ac:dyDescent="0.15">
      <c r="A434" s="8" t="s">
        <v>2616</v>
      </c>
      <c r="B434" s="8" t="s">
        <v>105</v>
      </c>
      <c r="C434" s="8" t="str">
        <f t="shared" si="6"/>
        <v>wt</v>
      </c>
      <c r="D434" s="9" t="s">
        <v>15</v>
      </c>
      <c r="E434" s="8" t="s">
        <v>2732</v>
      </c>
      <c r="F434" s="8" t="s">
        <v>2733</v>
      </c>
      <c r="G434" s="8">
        <v>500</v>
      </c>
    </row>
    <row r="435" spans="1:7" x14ac:dyDescent="0.15">
      <c r="A435" s="8" t="s">
        <v>2947</v>
      </c>
      <c r="B435" s="8" t="s">
        <v>105</v>
      </c>
      <c r="C435" s="8" t="str">
        <f t="shared" si="6"/>
        <v>hemi</v>
      </c>
      <c r="D435" s="9" t="s">
        <v>15</v>
      </c>
      <c r="E435" s="8" t="s">
        <v>2948</v>
      </c>
      <c r="F435" s="8" t="s">
        <v>2949</v>
      </c>
      <c r="G435" s="8">
        <v>500</v>
      </c>
    </row>
    <row r="436" spans="1:7" x14ac:dyDescent="0.15">
      <c r="A436" s="8" t="s">
        <v>2740</v>
      </c>
      <c r="B436" s="8" t="s">
        <v>105</v>
      </c>
      <c r="C436" s="8" t="str">
        <f t="shared" si="6"/>
        <v>unknown</v>
      </c>
      <c r="D436" s="9" t="s">
        <v>15</v>
      </c>
      <c r="E436" s="8" t="s">
        <v>2785</v>
      </c>
      <c r="F436" s="8" t="s">
        <v>2741</v>
      </c>
      <c r="G436" s="8">
        <v>500</v>
      </c>
    </row>
    <row r="437" spans="1:7" x14ac:dyDescent="0.15">
      <c r="A437" s="8" t="s">
        <v>2881</v>
      </c>
      <c r="B437" s="8" t="s">
        <v>2879</v>
      </c>
      <c r="C437" s="8" t="str">
        <f t="shared" si="6"/>
        <v>male</v>
      </c>
      <c r="D437" s="9" t="s">
        <v>15</v>
      </c>
      <c r="E437" s="8" t="s">
        <v>2882</v>
      </c>
      <c r="F437" s="8" t="s">
        <v>2882</v>
      </c>
      <c r="G437" s="8">
        <v>500</v>
      </c>
    </row>
    <row r="438" spans="1:7" x14ac:dyDescent="0.15">
      <c r="A438" s="8" t="s">
        <v>2883</v>
      </c>
      <c r="B438" s="8" t="s">
        <v>2879</v>
      </c>
      <c r="C438" s="8" t="str">
        <f t="shared" si="6"/>
        <v>female</v>
      </c>
      <c r="D438" s="9" t="s">
        <v>15</v>
      </c>
      <c r="E438" s="8" t="s">
        <v>2884</v>
      </c>
      <c r="F438" s="8" t="s">
        <v>2884</v>
      </c>
      <c r="G438" s="8">
        <v>500</v>
      </c>
    </row>
    <row r="439" spans="1:7" x14ac:dyDescent="0.15">
      <c r="A439" s="8" t="s">
        <v>3222</v>
      </c>
      <c r="B439" s="8" t="s">
        <v>3221</v>
      </c>
      <c r="C439" s="8" t="str">
        <f t="shared" si="6"/>
        <v>binary</v>
      </c>
      <c r="D439" s="9" t="s">
        <v>15</v>
      </c>
      <c r="E439" s="8" t="s">
        <v>3223</v>
      </c>
      <c r="F439" s="8" t="s">
        <v>3224</v>
      </c>
      <c r="G439" s="8">
        <v>500</v>
      </c>
    </row>
    <row r="440" spans="1:7" x14ac:dyDescent="0.15">
      <c r="A440" s="8" t="s">
        <v>1227</v>
      </c>
      <c r="B440" s="8" t="s">
        <v>111</v>
      </c>
      <c r="C440" s="8" t="str">
        <f t="shared" si="6"/>
        <v>14dia</v>
      </c>
      <c r="D440" s="9" t="s">
        <v>15</v>
      </c>
      <c r="E440" s="8">
        <v>14</v>
      </c>
      <c r="F440" s="8" t="s">
        <v>1228</v>
      </c>
      <c r="G440" s="8">
        <v>500</v>
      </c>
    </row>
    <row r="441" spans="1:7" x14ac:dyDescent="0.15">
      <c r="A441" s="8" t="s">
        <v>1229</v>
      </c>
      <c r="B441" s="8" t="s">
        <v>111</v>
      </c>
      <c r="C441" s="8" t="str">
        <f t="shared" si="6"/>
        <v>onepointfour</v>
      </c>
      <c r="D441" s="9" t="s">
        <v>15</v>
      </c>
      <c r="E441" s="8">
        <v>1.4</v>
      </c>
      <c r="F441" s="8" t="s">
        <v>1230</v>
      </c>
      <c r="G441" s="8">
        <v>500</v>
      </c>
    </row>
    <row r="442" spans="1:7" x14ac:dyDescent="0.15">
      <c r="A442" s="8" t="s">
        <v>1231</v>
      </c>
      <c r="B442" s="8" t="s">
        <v>112</v>
      </c>
      <c r="C442" s="8" t="str">
        <f t="shared" si="6"/>
        <v>esirna</v>
      </c>
      <c r="D442" s="8" t="s">
        <v>1231</v>
      </c>
      <c r="E442" s="8" t="s">
        <v>1232</v>
      </c>
      <c r="F442" s="8" t="s">
        <v>1233</v>
      </c>
      <c r="G442" s="8">
        <v>500</v>
      </c>
    </row>
    <row r="443" spans="1:7" x14ac:dyDescent="0.15">
      <c r="A443" s="8" t="s">
        <v>1234</v>
      </c>
      <c r="B443" s="8" t="s">
        <v>112</v>
      </c>
      <c r="C443" s="8" t="str">
        <f t="shared" si="6"/>
        <v>grna</v>
      </c>
      <c r="D443" s="8" t="s">
        <v>1234</v>
      </c>
      <c r="E443" s="8" t="s">
        <v>1235</v>
      </c>
      <c r="F443" s="8" t="s">
        <v>1236</v>
      </c>
      <c r="G443" s="8">
        <v>500</v>
      </c>
    </row>
    <row r="444" spans="1:7" x14ac:dyDescent="0.15">
      <c r="A444" s="8" t="s">
        <v>1237</v>
      </c>
      <c r="B444" s="8" t="s">
        <v>112</v>
      </c>
      <c r="C444" s="8" t="str">
        <f t="shared" si="6"/>
        <v>mirna</v>
      </c>
      <c r="D444" s="8" t="s">
        <v>1237</v>
      </c>
      <c r="E444" s="8" t="s">
        <v>1238</v>
      </c>
      <c r="F444" s="8" t="s">
        <v>1239</v>
      </c>
      <c r="G444" s="8">
        <v>500</v>
      </c>
    </row>
    <row r="445" spans="1:7" x14ac:dyDescent="0.15">
      <c r="A445" s="8" t="s">
        <v>1240</v>
      </c>
      <c r="B445" s="8" t="s">
        <v>112</v>
      </c>
      <c r="C445" s="8" t="str">
        <f t="shared" si="6"/>
        <v>shrna</v>
      </c>
      <c r="D445" s="8" t="s">
        <v>1240</v>
      </c>
      <c r="E445" s="8" t="s">
        <v>1241</v>
      </c>
      <c r="F445" s="8" t="s">
        <v>1242</v>
      </c>
      <c r="G445" s="8">
        <v>500</v>
      </c>
    </row>
    <row r="446" spans="1:7" x14ac:dyDescent="0.15">
      <c r="A446" s="8" t="s">
        <v>1243</v>
      </c>
      <c r="B446" s="8" t="s">
        <v>112</v>
      </c>
      <c r="C446" s="8" t="str">
        <f t="shared" si="6"/>
        <v>sirna</v>
      </c>
      <c r="D446" s="8" t="s">
        <v>1243</v>
      </c>
      <c r="E446" s="8" t="s">
        <v>1244</v>
      </c>
      <c r="F446" s="8" t="s">
        <v>1245</v>
      </c>
      <c r="G446" s="8">
        <v>500</v>
      </c>
    </row>
    <row r="447" spans="1:7" x14ac:dyDescent="0.15">
      <c r="A447" s="8" t="s">
        <v>3111</v>
      </c>
      <c r="B447" s="8" t="s">
        <v>115</v>
      </c>
      <c r="C447" s="8" t="str">
        <f t="shared" si="6"/>
        <v>185nlmin</v>
      </c>
      <c r="D447" s="9" t="s">
        <v>15</v>
      </c>
      <c r="E447" s="8">
        <v>185</v>
      </c>
      <c r="F447" s="8" t="s">
        <v>3110</v>
      </c>
      <c r="G447" s="8">
        <v>500</v>
      </c>
    </row>
    <row r="448" spans="1:7" x14ac:dyDescent="0.15">
      <c r="A448" s="8" t="s">
        <v>1246</v>
      </c>
      <c r="B448" s="8" t="s">
        <v>115</v>
      </c>
      <c r="C448" s="8" t="str">
        <f t="shared" si="6"/>
        <v>200nlmin</v>
      </c>
      <c r="D448" s="9" t="s">
        <v>15</v>
      </c>
      <c r="E448" s="8">
        <v>200</v>
      </c>
      <c r="F448" s="8" t="s">
        <v>1247</v>
      </c>
      <c r="G448" s="8">
        <v>500</v>
      </c>
    </row>
    <row r="449" spans="1:7" x14ac:dyDescent="0.15">
      <c r="A449" s="8" t="s">
        <v>1248</v>
      </c>
      <c r="B449" s="8" t="s">
        <v>115</v>
      </c>
      <c r="C449" s="8" t="str">
        <f t="shared" si="6"/>
        <v>250nlmin</v>
      </c>
      <c r="D449" s="9" t="s">
        <v>15</v>
      </c>
      <c r="E449" s="8">
        <v>250</v>
      </c>
      <c r="F449" s="8" t="s">
        <v>1249</v>
      </c>
      <c r="G449" s="8">
        <v>500</v>
      </c>
    </row>
    <row r="450" spans="1:7" x14ac:dyDescent="0.15">
      <c r="A450" s="8" t="s">
        <v>1250</v>
      </c>
      <c r="B450" s="8" t="s">
        <v>115</v>
      </c>
      <c r="C450" s="8" t="str">
        <f t="shared" si="6"/>
        <v>500nlmin</v>
      </c>
      <c r="D450" s="9" t="s">
        <v>15</v>
      </c>
      <c r="E450" s="8">
        <v>500</v>
      </c>
      <c r="F450" s="8" t="s">
        <v>1251</v>
      </c>
      <c r="G450" s="8">
        <v>500</v>
      </c>
    </row>
    <row r="451" spans="1:7" x14ac:dyDescent="0.15">
      <c r="A451" s="8" t="s">
        <v>1252</v>
      </c>
      <c r="B451" s="8" t="s">
        <v>4121</v>
      </c>
      <c r="C451" s="8" t="str">
        <f t="shared" si="6"/>
        <v>e1000</v>
      </c>
      <c r="D451" s="8" t="s">
        <v>1252</v>
      </c>
      <c r="E451" s="8" t="s">
        <v>1253</v>
      </c>
      <c r="F451" s="8" t="s">
        <v>1254</v>
      </c>
      <c r="G451" s="8">
        <v>500</v>
      </c>
    </row>
    <row r="452" spans="1:7" x14ac:dyDescent="0.15">
      <c r="A452" s="8" t="s">
        <v>1255</v>
      </c>
      <c r="B452" s="8" t="s">
        <v>4121</v>
      </c>
      <c r="C452" s="8" t="str">
        <f t="shared" si="6"/>
        <v>e1200</v>
      </c>
      <c r="D452" s="8" t="s">
        <v>1255</v>
      </c>
      <c r="E452" s="8" t="s">
        <v>1256</v>
      </c>
      <c r="F452" s="8" t="s">
        <v>1257</v>
      </c>
      <c r="G452" s="8">
        <v>500</v>
      </c>
    </row>
    <row r="453" spans="1:7" x14ac:dyDescent="0.15">
      <c r="A453" s="8" t="s">
        <v>1258</v>
      </c>
      <c r="B453" s="8" t="s">
        <v>4121</v>
      </c>
      <c r="C453" s="8" t="str">
        <f t="shared" si="6"/>
        <v>evosep</v>
      </c>
      <c r="D453" s="8" t="s">
        <v>1258</v>
      </c>
      <c r="E453" s="8" t="s">
        <v>1259</v>
      </c>
      <c r="F453" s="8" t="s">
        <v>1259</v>
      </c>
      <c r="G453" s="8">
        <v>500</v>
      </c>
    </row>
    <row r="454" spans="1:7" x14ac:dyDescent="0.15">
      <c r="A454" s="8" t="s">
        <v>1260</v>
      </c>
      <c r="B454" s="8" t="s">
        <v>4121</v>
      </c>
      <c r="C454" s="8" t="str">
        <f t="shared" ref="C454:C520" si="7">A454</f>
        <v>nanoelute</v>
      </c>
      <c r="D454" s="8" t="s">
        <v>1260</v>
      </c>
      <c r="E454" s="8" t="s">
        <v>1261</v>
      </c>
      <c r="F454" s="8" t="s">
        <v>1262</v>
      </c>
      <c r="G454" s="8">
        <v>500</v>
      </c>
    </row>
    <row r="455" spans="1:7" x14ac:dyDescent="0.15">
      <c r="A455" s="8" t="s">
        <v>1263</v>
      </c>
      <c r="B455" s="8" t="s">
        <v>4121</v>
      </c>
      <c r="C455" s="8" t="str">
        <f t="shared" si="7"/>
        <v>ultimate</v>
      </c>
      <c r="D455" s="8" t="s">
        <v>1263</v>
      </c>
      <c r="E455" s="8" t="s">
        <v>1264</v>
      </c>
      <c r="F455" s="8" t="s">
        <v>1265</v>
      </c>
      <c r="G455" s="8">
        <v>500</v>
      </c>
    </row>
    <row r="456" spans="1:7" x14ac:dyDescent="0.15">
      <c r="A456" s="8" t="s">
        <v>1266</v>
      </c>
      <c r="B456" s="8" t="s">
        <v>4121</v>
      </c>
      <c r="C456" s="8" t="str">
        <f t="shared" si="7"/>
        <v>vanquish</v>
      </c>
      <c r="D456" s="8" t="s">
        <v>1266</v>
      </c>
      <c r="E456" s="8" t="s">
        <v>1267</v>
      </c>
      <c r="F456" s="8" t="s">
        <v>1268</v>
      </c>
      <c r="G456" s="8">
        <v>500</v>
      </c>
    </row>
    <row r="457" spans="1:7" x14ac:dyDescent="0.15">
      <c r="A457" s="8" t="s">
        <v>2941</v>
      </c>
      <c r="B457" s="8" t="s">
        <v>4122</v>
      </c>
      <c r="C457" s="8" t="str">
        <f t="shared" si="7"/>
        <v>easy1200mpi</v>
      </c>
      <c r="D457" s="8" t="s">
        <v>15</v>
      </c>
      <c r="E457" s="8" t="s">
        <v>2942</v>
      </c>
      <c r="F457" s="8" t="s">
        <v>2943</v>
      </c>
      <c r="G457" s="8">
        <v>500</v>
      </c>
    </row>
    <row r="458" spans="1:7" x14ac:dyDescent="0.15">
      <c r="A458" s="8" t="s">
        <v>1269</v>
      </c>
      <c r="B458" s="8" t="s">
        <v>4122</v>
      </c>
      <c r="C458" s="8" t="str">
        <f t="shared" si="7"/>
        <v>easylc1</v>
      </c>
      <c r="D458" s="9" t="s">
        <v>15</v>
      </c>
      <c r="E458" s="8" t="s">
        <v>1270</v>
      </c>
      <c r="F458" s="8" t="s">
        <v>1270</v>
      </c>
      <c r="G458" s="8">
        <v>500</v>
      </c>
    </row>
    <row r="459" spans="1:7" x14ac:dyDescent="0.15">
      <c r="A459" s="8" t="s">
        <v>1271</v>
      </c>
      <c r="B459" s="8" t="s">
        <v>4122</v>
      </c>
      <c r="C459" s="8" t="str">
        <f t="shared" si="7"/>
        <v>easylc2</v>
      </c>
      <c r="D459" s="9" t="s">
        <v>15</v>
      </c>
      <c r="E459" s="8" t="s">
        <v>1272</v>
      </c>
      <c r="F459" s="8" t="s">
        <v>1272</v>
      </c>
      <c r="G459" s="8">
        <v>500</v>
      </c>
    </row>
    <row r="460" spans="1:7" x14ac:dyDescent="0.15">
      <c r="A460" s="8" t="s">
        <v>1273</v>
      </c>
      <c r="B460" s="8" t="s">
        <v>4122</v>
      </c>
      <c r="C460" s="8" t="str">
        <f t="shared" si="7"/>
        <v>evosep1</v>
      </c>
      <c r="D460" s="9" t="s">
        <v>15</v>
      </c>
      <c r="E460" s="8" t="s">
        <v>1274</v>
      </c>
      <c r="F460" s="8" t="s">
        <v>1275</v>
      </c>
      <c r="G460" s="8">
        <v>500</v>
      </c>
    </row>
    <row r="461" spans="1:7" x14ac:dyDescent="0.15">
      <c r="A461" s="8" t="s">
        <v>1276</v>
      </c>
      <c r="B461" s="8" t="s">
        <v>4122</v>
      </c>
      <c r="C461" s="8" t="str">
        <f t="shared" si="7"/>
        <v>vanquishneo1</v>
      </c>
      <c r="D461" s="9" t="s">
        <v>15</v>
      </c>
      <c r="E461" s="8" t="s">
        <v>1277</v>
      </c>
      <c r="F461" s="8" t="s">
        <v>1277</v>
      </c>
      <c r="G461" s="8">
        <v>500</v>
      </c>
    </row>
    <row r="462" spans="1:7" x14ac:dyDescent="0.15">
      <c r="A462" s="8" t="s">
        <v>1278</v>
      </c>
      <c r="B462" s="8" t="s">
        <v>119</v>
      </c>
      <c r="C462" s="8" t="str">
        <f t="shared" si="7"/>
        <v>bravo</v>
      </c>
      <c r="D462" s="8" t="s">
        <v>1278</v>
      </c>
      <c r="E462" s="8" t="s">
        <v>1279</v>
      </c>
      <c r="F462" s="8" t="s">
        <v>1280</v>
      </c>
      <c r="G462" s="8">
        <v>500</v>
      </c>
    </row>
    <row r="463" spans="1:7" x14ac:dyDescent="0.15">
      <c r="A463" s="8" t="s">
        <v>1281</v>
      </c>
      <c r="B463" s="8" t="s">
        <v>119</v>
      </c>
      <c r="C463" s="8" t="str">
        <f t="shared" si="7"/>
        <v>felix</v>
      </c>
      <c r="D463" s="8" t="s">
        <v>1281</v>
      </c>
      <c r="E463" s="8" t="s">
        <v>1282</v>
      </c>
      <c r="F463" s="8" t="s">
        <v>1283</v>
      </c>
      <c r="G463" s="8">
        <v>500</v>
      </c>
    </row>
    <row r="464" spans="1:7" x14ac:dyDescent="0.15">
      <c r="A464" s="8" t="s">
        <v>1284</v>
      </c>
      <c r="B464" s="8" t="s">
        <v>119</v>
      </c>
      <c r="C464" s="8" t="str">
        <f t="shared" si="7"/>
        <v>kingfisher</v>
      </c>
      <c r="D464" s="8" t="s">
        <v>1284</v>
      </c>
      <c r="E464" s="8" t="s">
        <v>1285</v>
      </c>
      <c r="F464" s="8" t="s">
        <v>1286</v>
      </c>
      <c r="G464" s="8">
        <v>500</v>
      </c>
    </row>
    <row r="465" spans="1:7" x14ac:dyDescent="0.15">
      <c r="A465" s="8" t="s">
        <v>1287</v>
      </c>
      <c r="B465" s="8" t="s">
        <v>119</v>
      </c>
      <c r="C465" s="8" t="str">
        <f t="shared" si="7"/>
        <v>microlabhamilton</v>
      </c>
      <c r="D465" s="8" t="s">
        <v>1287</v>
      </c>
      <c r="E465" s="8" t="s">
        <v>1288</v>
      </c>
      <c r="F465" s="8" t="s">
        <v>1289</v>
      </c>
      <c r="G465" s="8">
        <v>500</v>
      </c>
    </row>
    <row r="466" spans="1:7" x14ac:dyDescent="0.15">
      <c r="A466" s="8" t="s">
        <v>1290</v>
      </c>
      <c r="B466" s="8" t="s">
        <v>119</v>
      </c>
      <c r="C466" s="8" t="str">
        <f t="shared" si="7"/>
        <v>mosquitoHV</v>
      </c>
      <c r="D466" s="8" t="s">
        <v>1290</v>
      </c>
      <c r="E466" s="8" t="s">
        <v>1291</v>
      </c>
      <c r="F466" s="8" t="s">
        <v>1292</v>
      </c>
      <c r="G466" s="8">
        <v>500</v>
      </c>
    </row>
    <row r="467" spans="1:7" x14ac:dyDescent="0.15">
      <c r="A467" s="8" t="s">
        <v>1293</v>
      </c>
      <c r="B467" s="8" t="s">
        <v>119</v>
      </c>
      <c r="C467" s="8" t="str">
        <f t="shared" si="7"/>
        <v>mosquitoLV</v>
      </c>
      <c r="D467" s="8" t="s">
        <v>1293</v>
      </c>
      <c r="E467" s="8" t="s">
        <v>1294</v>
      </c>
      <c r="F467" s="8" t="s">
        <v>1295</v>
      </c>
      <c r="G467" s="8">
        <v>500</v>
      </c>
    </row>
    <row r="468" spans="1:7" x14ac:dyDescent="0.15">
      <c r="A468" s="8" t="s">
        <v>1296</v>
      </c>
      <c r="B468" s="8" t="s">
        <v>119</v>
      </c>
      <c r="C468" s="8" t="str">
        <f t="shared" si="7"/>
        <v>opentrons</v>
      </c>
      <c r="D468" s="8" t="s">
        <v>1296</v>
      </c>
      <c r="E468" s="8" t="s">
        <v>2780</v>
      </c>
      <c r="F468" s="8" t="s">
        <v>2780</v>
      </c>
      <c r="G468" s="8">
        <v>500</v>
      </c>
    </row>
    <row r="469" spans="1:7" x14ac:dyDescent="0.15">
      <c r="A469" s="8" t="s">
        <v>2944</v>
      </c>
      <c r="B469" s="8" t="s">
        <v>119</v>
      </c>
      <c r="C469" s="8" t="str">
        <f t="shared" si="7"/>
        <v>opentronsot2</v>
      </c>
      <c r="D469" s="8" t="s">
        <v>1296</v>
      </c>
      <c r="E469" s="8" t="s">
        <v>2781</v>
      </c>
      <c r="F469" s="8" t="s">
        <v>2781</v>
      </c>
      <c r="G469" s="8">
        <v>500</v>
      </c>
    </row>
    <row r="470" spans="1:7" x14ac:dyDescent="0.15">
      <c r="A470" s="8" t="s">
        <v>1298</v>
      </c>
      <c r="B470" s="8" t="s">
        <v>119</v>
      </c>
      <c r="C470" s="8" t="str">
        <f t="shared" si="7"/>
        <v>tecan</v>
      </c>
      <c r="D470" s="8" t="s">
        <v>1298</v>
      </c>
      <c r="E470" s="8" t="s">
        <v>1299</v>
      </c>
      <c r="F470" s="8" t="s">
        <v>1300</v>
      </c>
      <c r="G470" s="8">
        <v>500</v>
      </c>
    </row>
    <row r="471" spans="1:7" x14ac:dyDescent="0.15">
      <c r="A471" s="8" t="s">
        <v>281</v>
      </c>
      <c r="B471" s="8" t="s">
        <v>119</v>
      </c>
      <c r="C471" s="8" t="str">
        <f t="shared" si="7"/>
        <v>none</v>
      </c>
      <c r="D471" s="8" t="s">
        <v>3116</v>
      </c>
      <c r="E471" s="8" t="s">
        <v>3117</v>
      </c>
      <c r="F471" s="8" t="s">
        <v>3118</v>
      </c>
      <c r="G471" s="8">
        <v>500</v>
      </c>
    </row>
    <row r="472" spans="1:7" x14ac:dyDescent="0.15">
      <c r="A472" s="8" t="s">
        <v>1301</v>
      </c>
      <c r="B472" s="8" t="s">
        <v>121</v>
      </c>
      <c r="C472" s="8" t="str">
        <f t="shared" si="7"/>
        <v>one_sdc</v>
      </c>
      <c r="D472" s="9" t="s">
        <v>15</v>
      </c>
      <c r="E472" s="8" t="s">
        <v>1302</v>
      </c>
      <c r="F472" s="8" t="s">
        <v>1303</v>
      </c>
      <c r="G472" s="8">
        <v>500</v>
      </c>
    </row>
    <row r="473" spans="1:7" x14ac:dyDescent="0.15">
      <c r="A473" s="8" t="s">
        <v>954</v>
      </c>
      <c r="B473" s="8" t="s">
        <v>121</v>
      </c>
      <c r="C473" s="8" t="str">
        <f t="shared" si="7"/>
        <v>sds</v>
      </c>
      <c r="D473" s="9" t="s">
        <v>15</v>
      </c>
      <c r="E473" s="8" t="s">
        <v>1304</v>
      </c>
      <c r="F473" s="8" t="s">
        <v>1305</v>
      </c>
      <c r="G473" s="8">
        <v>500</v>
      </c>
    </row>
    <row r="474" spans="1:7" x14ac:dyDescent="0.15">
      <c r="A474" s="8" t="s">
        <v>1306</v>
      </c>
      <c r="B474" s="8" t="s">
        <v>121</v>
      </c>
      <c r="C474" s="8" t="str">
        <f t="shared" si="7"/>
        <v>two_sdc</v>
      </c>
      <c r="D474" s="9" t="s">
        <v>15</v>
      </c>
      <c r="E474" s="8" t="s">
        <v>1307</v>
      </c>
      <c r="F474" s="8" t="s">
        <v>1308</v>
      </c>
      <c r="G474" s="8">
        <v>500</v>
      </c>
    </row>
    <row r="475" spans="1:7" x14ac:dyDescent="0.15">
      <c r="A475" s="8" t="s">
        <v>1309</v>
      </c>
      <c r="B475" s="8" t="s">
        <v>121</v>
      </c>
      <c r="C475" s="8" t="str">
        <f t="shared" si="7"/>
        <v>urea</v>
      </c>
      <c r="D475" s="9" t="s">
        <v>15</v>
      </c>
      <c r="E475" s="8" t="s">
        <v>1310</v>
      </c>
      <c r="F475" s="8" t="s">
        <v>1311</v>
      </c>
      <c r="G475" s="8">
        <v>500</v>
      </c>
    </row>
    <row r="476" spans="1:7" x14ac:dyDescent="0.15">
      <c r="A476" s="8" t="s">
        <v>3099</v>
      </c>
      <c r="B476" s="8" t="s">
        <v>121</v>
      </c>
      <c r="C476" s="8" t="str">
        <f t="shared" si="7"/>
        <v>ripa</v>
      </c>
      <c r="D476" s="9" t="s">
        <v>15</v>
      </c>
      <c r="E476" s="8" t="s">
        <v>3100</v>
      </c>
      <c r="F476" s="8" t="s">
        <v>3101</v>
      </c>
      <c r="G476" s="8">
        <v>500</v>
      </c>
    </row>
    <row r="477" spans="1:7" x14ac:dyDescent="0.15">
      <c r="A477" s="8" t="s">
        <v>3102</v>
      </c>
      <c r="B477" s="8" t="s">
        <v>121</v>
      </c>
      <c r="C477" s="8" t="str">
        <f t="shared" si="7"/>
        <v>ripasds</v>
      </c>
      <c r="D477" s="9" t="s">
        <v>15</v>
      </c>
      <c r="E477" s="8" t="s">
        <v>3103</v>
      </c>
      <c r="F477" s="8" t="s">
        <v>3104</v>
      </c>
      <c r="G477" s="8">
        <v>500</v>
      </c>
    </row>
    <row r="478" spans="1:7" x14ac:dyDescent="0.15">
      <c r="A478" s="8" t="s">
        <v>2777</v>
      </c>
      <c r="B478" s="8" t="s">
        <v>74</v>
      </c>
      <c r="C478" s="8" t="str">
        <f t="shared" si="7"/>
        <v>chemical</v>
      </c>
      <c r="D478" s="9" t="s">
        <v>15</v>
      </c>
      <c r="E478" s="8" t="s">
        <v>2778</v>
      </c>
      <c r="F478" s="8" t="s">
        <v>2779</v>
      </c>
      <c r="G478" s="8">
        <v>500</v>
      </c>
    </row>
    <row r="479" spans="1:7" x14ac:dyDescent="0.15">
      <c r="A479" s="8" t="s">
        <v>2787</v>
      </c>
      <c r="B479" s="8" t="s">
        <v>74</v>
      </c>
      <c r="C479" s="8" t="str">
        <f t="shared" si="7"/>
        <v>sonicaton</v>
      </c>
      <c r="D479" s="9" t="s">
        <v>15</v>
      </c>
      <c r="E479" s="8" t="s">
        <v>2788</v>
      </c>
      <c r="F479" s="8" t="s">
        <v>2786</v>
      </c>
      <c r="G479" s="8">
        <v>500</v>
      </c>
    </row>
    <row r="480" spans="1:7" x14ac:dyDescent="0.15">
      <c r="A480" s="8" t="s">
        <v>1312</v>
      </c>
      <c r="B480" s="8" t="s">
        <v>74</v>
      </c>
      <c r="C480" s="8" t="str">
        <f t="shared" si="7"/>
        <v>dounce</v>
      </c>
      <c r="D480" s="9" t="s">
        <v>15</v>
      </c>
      <c r="E480" s="8" t="s">
        <v>1313</v>
      </c>
      <c r="F480" s="8" t="s">
        <v>1314</v>
      </c>
      <c r="G480" s="8">
        <v>500</v>
      </c>
    </row>
    <row r="481" spans="1:1008" x14ac:dyDescent="0.15">
      <c r="A481" s="8" t="s">
        <v>1315</v>
      </c>
      <c r="B481" s="8" t="s">
        <v>74</v>
      </c>
      <c r="C481" s="8" t="str">
        <f t="shared" si="7"/>
        <v>motar_pestle</v>
      </c>
      <c r="D481" s="9" t="s">
        <v>15</v>
      </c>
      <c r="E481" s="8" t="s">
        <v>1316</v>
      </c>
      <c r="F481" s="8" t="s">
        <v>1317</v>
      </c>
      <c r="G481" s="8">
        <v>500</v>
      </c>
    </row>
    <row r="482" spans="1:1008" x14ac:dyDescent="0.15">
      <c r="A482" s="8" t="s">
        <v>1318</v>
      </c>
      <c r="B482" s="8" t="s">
        <v>74</v>
      </c>
      <c r="C482" s="8" t="str">
        <f t="shared" si="7"/>
        <v>paracyllus</v>
      </c>
      <c r="D482" s="9" t="s">
        <v>15</v>
      </c>
      <c r="E482" s="8" t="s">
        <v>1319</v>
      </c>
      <c r="F482" s="8" t="s">
        <v>1320</v>
      </c>
      <c r="G482" s="8">
        <v>500</v>
      </c>
    </row>
    <row r="483" spans="1:1008" ht="56" x14ac:dyDescent="0.15">
      <c r="A483" s="8" t="s">
        <v>2464</v>
      </c>
      <c r="B483" s="8" t="s">
        <v>3120</v>
      </c>
      <c r="C483" s="8" t="str">
        <f t="shared" si="7"/>
        <v>c57bl6j</v>
      </c>
      <c r="D483" s="9" t="s">
        <v>15</v>
      </c>
      <c r="E483" s="8" t="s">
        <v>3121</v>
      </c>
      <c r="F483" s="23" t="s">
        <v>3122</v>
      </c>
      <c r="G483" s="8">
        <v>500</v>
      </c>
      <c r="H483"/>
      <c r="I483"/>
      <c r="J483"/>
      <c r="K483"/>
      <c r="L483"/>
      <c r="M483"/>
      <c r="N483"/>
      <c r="O483"/>
      <c r="P483"/>
      <c r="Q483"/>
      <c r="R483"/>
      <c r="S483"/>
      <c r="T483"/>
      <c r="U483"/>
      <c r="V483"/>
      <c r="W483"/>
      <c r="X483"/>
      <c r="Y483"/>
      <c r="Z483"/>
      <c r="AA483"/>
      <c r="AB483"/>
      <c r="AC483"/>
      <c r="AD483"/>
      <c r="AE483"/>
      <c r="AF483"/>
      <c r="AG483"/>
      <c r="AH483"/>
      <c r="AI483"/>
      <c r="AJ483"/>
      <c r="AK483"/>
      <c r="AL483"/>
      <c r="AM483"/>
      <c r="AN483"/>
      <c r="AO483"/>
      <c r="AP483"/>
      <c r="AQ483"/>
      <c r="AR483"/>
      <c r="AS483"/>
      <c r="AT483"/>
      <c r="AU483"/>
      <c r="AV483"/>
      <c r="AW483"/>
      <c r="AX483"/>
      <c r="AY483"/>
      <c r="AZ483"/>
      <c r="BA483"/>
      <c r="BB483"/>
      <c r="BC483"/>
      <c r="BD483"/>
      <c r="BE483"/>
      <c r="BF483"/>
      <c r="BG483"/>
      <c r="BH483"/>
      <c r="BI483"/>
      <c r="BJ483"/>
      <c r="BK483"/>
      <c r="BL483"/>
      <c r="BM483"/>
      <c r="BN483"/>
      <c r="BO483"/>
      <c r="BP483"/>
      <c r="BQ483"/>
      <c r="BR483"/>
      <c r="BS483"/>
      <c r="BT483"/>
      <c r="BU483"/>
      <c r="BV483"/>
      <c r="BW483"/>
      <c r="BX483"/>
      <c r="BY483"/>
      <c r="BZ483"/>
      <c r="CA483"/>
      <c r="CB483"/>
      <c r="CC483"/>
      <c r="CD483"/>
      <c r="CE483"/>
      <c r="CF483"/>
      <c r="CG483"/>
      <c r="CH483"/>
      <c r="CI483"/>
      <c r="CJ483"/>
      <c r="CK483"/>
      <c r="CL483"/>
      <c r="CM483"/>
      <c r="CN483"/>
      <c r="CO483"/>
      <c r="CP483"/>
      <c r="CQ483"/>
      <c r="CR483"/>
      <c r="CS483"/>
      <c r="CT483"/>
      <c r="CU483"/>
      <c r="CV483"/>
      <c r="CW483"/>
      <c r="CX483"/>
      <c r="CY483"/>
      <c r="CZ483"/>
      <c r="DA483"/>
      <c r="DB483"/>
      <c r="DC483"/>
      <c r="DD483"/>
      <c r="DE483"/>
      <c r="DF483"/>
      <c r="DG483"/>
      <c r="DH483"/>
      <c r="DI483"/>
      <c r="DJ483"/>
      <c r="DK483"/>
      <c r="DL483"/>
      <c r="DM483"/>
      <c r="DN483"/>
      <c r="DO483"/>
      <c r="DP483"/>
      <c r="DQ483"/>
      <c r="DR483"/>
      <c r="DS483"/>
      <c r="DT483"/>
      <c r="DU483"/>
      <c r="DV483"/>
      <c r="DW483"/>
      <c r="DX483"/>
      <c r="DY483"/>
      <c r="DZ483"/>
      <c r="EA483"/>
      <c r="EB483"/>
      <c r="EC483"/>
      <c r="ED483"/>
      <c r="EE483"/>
      <c r="EF483"/>
      <c r="EG483"/>
      <c r="EH483"/>
      <c r="EI483"/>
      <c r="EJ483"/>
      <c r="EK483"/>
      <c r="EL483"/>
      <c r="EM483"/>
      <c r="EN483"/>
      <c r="EO483"/>
      <c r="EP483"/>
      <c r="EQ483"/>
      <c r="ER483"/>
      <c r="ES483"/>
      <c r="ET483"/>
      <c r="EU483"/>
      <c r="EV483"/>
      <c r="EW483"/>
      <c r="EX483"/>
      <c r="EY483"/>
      <c r="EZ483"/>
      <c r="FA483"/>
      <c r="FB483"/>
      <c r="FC483"/>
      <c r="FD483"/>
      <c r="FE483"/>
      <c r="FF483"/>
      <c r="FG483"/>
      <c r="FH483"/>
      <c r="FI483"/>
      <c r="FJ483"/>
      <c r="FK483"/>
      <c r="FL483"/>
      <c r="FM483"/>
      <c r="FN483"/>
      <c r="FO483"/>
      <c r="FP483"/>
      <c r="FQ483"/>
      <c r="FR483"/>
      <c r="FS483"/>
      <c r="FT483"/>
      <c r="FU483"/>
      <c r="FV483"/>
      <c r="FW483"/>
      <c r="FX483"/>
      <c r="FY483"/>
      <c r="FZ483"/>
      <c r="GA483"/>
      <c r="GB483"/>
      <c r="GC483"/>
      <c r="GD483"/>
      <c r="GE483"/>
      <c r="GF483"/>
      <c r="GG483"/>
      <c r="GH483"/>
      <c r="GI483"/>
      <c r="GJ483"/>
      <c r="GK483"/>
      <c r="GL483"/>
      <c r="GM483"/>
      <c r="GN483"/>
      <c r="GO483"/>
      <c r="GP483"/>
      <c r="GQ483"/>
      <c r="GR483"/>
      <c r="GS483"/>
      <c r="GT483"/>
      <c r="GU483"/>
      <c r="GV483"/>
      <c r="GW483"/>
      <c r="GX483"/>
      <c r="GY483"/>
      <c r="GZ483"/>
      <c r="HA483"/>
      <c r="HB483"/>
      <c r="HC483"/>
      <c r="HD483"/>
      <c r="HE483"/>
      <c r="HF483"/>
      <c r="HG483"/>
      <c r="HH483"/>
      <c r="HI483"/>
      <c r="HJ483"/>
      <c r="HK483"/>
      <c r="HL483"/>
      <c r="HM483"/>
      <c r="HN483"/>
      <c r="HO483"/>
      <c r="HP483"/>
      <c r="HQ483"/>
      <c r="HR483"/>
      <c r="HS483"/>
      <c r="HT483"/>
      <c r="HU483"/>
      <c r="HV483"/>
      <c r="HW483"/>
      <c r="HX483"/>
      <c r="HY483"/>
      <c r="HZ483"/>
      <c r="IA483"/>
      <c r="IB483"/>
      <c r="IC483"/>
      <c r="ID483"/>
      <c r="IE483"/>
      <c r="IF483"/>
      <c r="IG483"/>
      <c r="IH483"/>
      <c r="II483"/>
      <c r="IJ483"/>
      <c r="IK483"/>
      <c r="IL483"/>
      <c r="IM483"/>
      <c r="IN483"/>
      <c r="IO483"/>
      <c r="IP483"/>
      <c r="IQ483"/>
      <c r="IR483"/>
      <c r="IS483"/>
      <c r="IT483"/>
      <c r="IU483"/>
      <c r="IV483"/>
      <c r="IW483"/>
      <c r="IX483"/>
      <c r="IY483"/>
      <c r="IZ483"/>
      <c r="JA483"/>
      <c r="JB483"/>
      <c r="JC483"/>
      <c r="JD483"/>
      <c r="JE483"/>
      <c r="JF483"/>
      <c r="JG483"/>
      <c r="JH483"/>
      <c r="JI483"/>
      <c r="JJ483"/>
      <c r="JK483"/>
      <c r="JL483"/>
      <c r="JM483"/>
      <c r="JN483"/>
      <c r="JO483"/>
      <c r="JP483"/>
      <c r="JQ483"/>
      <c r="JR483"/>
      <c r="JS483"/>
      <c r="JT483"/>
      <c r="JU483"/>
      <c r="JV483"/>
      <c r="JW483"/>
      <c r="JX483"/>
      <c r="JY483"/>
      <c r="JZ483"/>
      <c r="KA483"/>
      <c r="KB483"/>
      <c r="KC483"/>
      <c r="KD483"/>
      <c r="KE483"/>
      <c r="KF483"/>
      <c r="KG483"/>
      <c r="KH483"/>
      <c r="KI483"/>
      <c r="KJ483"/>
      <c r="KK483"/>
      <c r="KL483"/>
      <c r="KM483"/>
      <c r="KN483"/>
      <c r="KO483"/>
      <c r="KP483"/>
      <c r="KQ483"/>
      <c r="KR483"/>
      <c r="KS483"/>
      <c r="KT483"/>
      <c r="KU483"/>
      <c r="KV483"/>
      <c r="KW483"/>
      <c r="KX483"/>
      <c r="KY483"/>
      <c r="KZ483"/>
      <c r="LA483"/>
      <c r="LB483"/>
      <c r="LC483"/>
      <c r="LD483"/>
      <c r="LE483"/>
      <c r="LF483"/>
      <c r="LG483"/>
      <c r="LH483"/>
      <c r="LI483"/>
      <c r="LJ483"/>
      <c r="LK483"/>
      <c r="LL483"/>
      <c r="LM483"/>
      <c r="LN483"/>
      <c r="LO483"/>
      <c r="LP483"/>
      <c r="LQ483"/>
      <c r="LR483"/>
      <c r="LS483"/>
      <c r="LT483"/>
      <c r="LU483"/>
      <c r="LV483"/>
      <c r="LW483"/>
      <c r="LX483"/>
      <c r="LY483"/>
      <c r="LZ483"/>
      <c r="MA483"/>
      <c r="MB483"/>
      <c r="MC483"/>
      <c r="MD483"/>
      <c r="ME483"/>
      <c r="MF483"/>
      <c r="MG483"/>
      <c r="MH483"/>
      <c r="MI483"/>
      <c r="MJ483"/>
      <c r="MK483"/>
      <c r="ML483"/>
      <c r="MM483"/>
      <c r="MN483"/>
      <c r="MO483"/>
      <c r="MP483"/>
      <c r="MQ483"/>
      <c r="MR483"/>
      <c r="MS483"/>
      <c r="MT483"/>
      <c r="MU483"/>
      <c r="MV483"/>
      <c r="MW483"/>
      <c r="MX483"/>
      <c r="MY483"/>
      <c r="MZ483"/>
      <c r="NA483"/>
      <c r="NB483"/>
      <c r="NC483"/>
      <c r="ND483"/>
      <c r="NE483"/>
      <c r="NF483"/>
      <c r="NG483"/>
      <c r="NH483"/>
      <c r="NI483"/>
      <c r="NJ483"/>
      <c r="NK483"/>
      <c r="NL483"/>
      <c r="NM483"/>
      <c r="NN483"/>
      <c r="NO483"/>
      <c r="NP483"/>
      <c r="NQ483"/>
      <c r="NR483"/>
      <c r="NS483"/>
      <c r="NT483"/>
      <c r="NU483"/>
      <c r="NV483"/>
      <c r="NW483"/>
      <c r="NX483"/>
      <c r="NY483"/>
      <c r="NZ483"/>
      <c r="OA483"/>
      <c r="OB483"/>
      <c r="OC483"/>
      <c r="OD483"/>
      <c r="OE483"/>
      <c r="OF483"/>
      <c r="OG483"/>
      <c r="OH483"/>
      <c r="OI483"/>
      <c r="OJ483"/>
      <c r="OK483"/>
      <c r="OL483"/>
      <c r="OM483"/>
      <c r="ON483"/>
      <c r="OO483"/>
      <c r="OP483"/>
      <c r="OQ483"/>
      <c r="OR483"/>
      <c r="OS483"/>
      <c r="OT483"/>
      <c r="OU483"/>
      <c r="OV483"/>
      <c r="OW483"/>
      <c r="OX483"/>
      <c r="OY483"/>
      <c r="OZ483"/>
      <c r="PA483"/>
      <c r="PB483"/>
      <c r="PC483"/>
      <c r="PD483"/>
      <c r="PE483"/>
      <c r="PF483"/>
      <c r="PG483"/>
      <c r="PH483"/>
      <c r="PI483"/>
      <c r="PJ483"/>
      <c r="PK483"/>
      <c r="PL483"/>
      <c r="PM483"/>
      <c r="PN483"/>
      <c r="PO483"/>
      <c r="PP483"/>
      <c r="PQ483"/>
      <c r="PR483"/>
      <c r="PS483"/>
      <c r="PT483"/>
      <c r="PU483"/>
      <c r="PV483"/>
      <c r="PW483"/>
      <c r="PX483"/>
      <c r="PY483"/>
      <c r="PZ483"/>
      <c r="QA483"/>
      <c r="QB483"/>
      <c r="QC483"/>
      <c r="QD483"/>
      <c r="QE483"/>
      <c r="QF483"/>
      <c r="QG483"/>
      <c r="QH483"/>
      <c r="QI483"/>
      <c r="QJ483"/>
      <c r="QK483"/>
      <c r="QL483"/>
      <c r="QM483"/>
      <c r="QN483"/>
      <c r="QO483"/>
      <c r="QP483"/>
      <c r="QQ483"/>
      <c r="QR483"/>
      <c r="QS483"/>
      <c r="QT483"/>
      <c r="QU483"/>
      <c r="QV483"/>
      <c r="QW483"/>
      <c r="QX483"/>
      <c r="QY483"/>
      <c r="QZ483"/>
      <c r="RA483"/>
      <c r="RB483"/>
      <c r="RC483"/>
      <c r="RD483"/>
      <c r="RE483"/>
      <c r="RF483"/>
      <c r="RG483"/>
      <c r="RH483"/>
      <c r="RI483"/>
      <c r="RJ483"/>
      <c r="RK483"/>
      <c r="RL483"/>
      <c r="RM483"/>
      <c r="RN483"/>
      <c r="RO483"/>
      <c r="RP483"/>
      <c r="RQ483"/>
      <c r="RR483"/>
      <c r="RS483"/>
      <c r="RT483"/>
      <c r="RU483"/>
      <c r="RV483"/>
      <c r="RW483"/>
      <c r="RX483"/>
      <c r="RY483"/>
      <c r="RZ483"/>
      <c r="SA483"/>
      <c r="SB483"/>
      <c r="SC483"/>
      <c r="SD483"/>
      <c r="SE483"/>
      <c r="SF483"/>
      <c r="SG483"/>
      <c r="SH483"/>
      <c r="SI483"/>
      <c r="SJ483"/>
      <c r="SK483"/>
      <c r="SL483"/>
      <c r="SM483"/>
      <c r="SN483"/>
      <c r="SO483"/>
      <c r="SP483"/>
      <c r="SQ483"/>
      <c r="SR483"/>
      <c r="SS483"/>
      <c r="ST483"/>
      <c r="SU483"/>
      <c r="SV483"/>
      <c r="SW483"/>
      <c r="SX483"/>
      <c r="SY483"/>
      <c r="SZ483"/>
      <c r="TA483"/>
      <c r="TB483"/>
      <c r="TC483"/>
      <c r="TD483"/>
      <c r="TE483"/>
      <c r="TF483"/>
      <c r="TG483"/>
      <c r="TH483"/>
      <c r="TI483"/>
      <c r="TJ483"/>
      <c r="TK483"/>
      <c r="TL483"/>
      <c r="TM483"/>
      <c r="TN483"/>
      <c r="TO483"/>
      <c r="TP483"/>
      <c r="TQ483"/>
      <c r="TR483"/>
      <c r="TS483"/>
      <c r="TT483"/>
      <c r="TU483"/>
      <c r="TV483"/>
      <c r="TW483"/>
      <c r="TX483"/>
      <c r="TY483"/>
      <c r="TZ483"/>
      <c r="UA483"/>
      <c r="UB483"/>
      <c r="UC483"/>
      <c r="UD483"/>
      <c r="UE483"/>
      <c r="UF483"/>
      <c r="UG483"/>
      <c r="UH483"/>
      <c r="UI483"/>
      <c r="UJ483"/>
      <c r="UK483"/>
      <c r="UL483"/>
      <c r="UM483"/>
      <c r="UN483"/>
      <c r="UO483"/>
      <c r="UP483"/>
      <c r="UQ483"/>
      <c r="UR483"/>
      <c r="US483"/>
      <c r="UT483"/>
      <c r="UU483"/>
      <c r="UV483"/>
      <c r="UW483"/>
      <c r="UX483"/>
      <c r="UY483"/>
      <c r="UZ483"/>
      <c r="VA483"/>
      <c r="VB483"/>
      <c r="VC483"/>
      <c r="VD483"/>
      <c r="VE483"/>
      <c r="VF483"/>
      <c r="VG483"/>
      <c r="VH483"/>
      <c r="VI483"/>
      <c r="VJ483"/>
      <c r="VK483"/>
      <c r="VL483"/>
      <c r="VM483"/>
      <c r="VN483"/>
      <c r="VO483"/>
      <c r="VP483"/>
      <c r="VQ483"/>
      <c r="VR483"/>
      <c r="VS483"/>
      <c r="VT483"/>
      <c r="VU483"/>
      <c r="VV483"/>
      <c r="VW483"/>
      <c r="VX483"/>
      <c r="VY483"/>
      <c r="VZ483"/>
      <c r="WA483"/>
      <c r="WB483"/>
      <c r="WC483"/>
      <c r="WD483"/>
      <c r="WE483"/>
      <c r="WF483"/>
      <c r="WG483"/>
      <c r="WH483"/>
      <c r="WI483"/>
      <c r="WJ483"/>
      <c r="WK483"/>
      <c r="WL483"/>
      <c r="WM483"/>
      <c r="WN483"/>
      <c r="WO483"/>
      <c r="WP483"/>
      <c r="WQ483"/>
      <c r="WR483"/>
      <c r="WS483"/>
      <c r="WT483"/>
      <c r="WU483"/>
      <c r="WV483"/>
      <c r="WW483"/>
      <c r="WX483"/>
      <c r="WY483"/>
      <c r="WZ483"/>
      <c r="XA483"/>
      <c r="XB483"/>
      <c r="XC483"/>
      <c r="XD483"/>
      <c r="XE483"/>
      <c r="XF483"/>
      <c r="XG483"/>
      <c r="XH483"/>
      <c r="XI483"/>
      <c r="XJ483"/>
      <c r="XK483"/>
      <c r="XL483"/>
      <c r="XM483"/>
      <c r="XN483"/>
      <c r="XO483"/>
      <c r="XP483"/>
      <c r="XQ483"/>
      <c r="XR483"/>
      <c r="XS483"/>
      <c r="XT483"/>
      <c r="XU483"/>
      <c r="XV483"/>
      <c r="XW483"/>
      <c r="XX483"/>
      <c r="XY483"/>
      <c r="XZ483"/>
      <c r="YA483"/>
      <c r="YB483"/>
      <c r="YC483"/>
      <c r="YD483"/>
      <c r="YE483"/>
      <c r="YF483"/>
      <c r="YG483"/>
      <c r="YH483"/>
      <c r="YI483"/>
      <c r="YJ483"/>
      <c r="YK483"/>
      <c r="YL483"/>
      <c r="YM483"/>
      <c r="YN483"/>
      <c r="YO483"/>
      <c r="YP483"/>
      <c r="YQ483"/>
      <c r="YR483"/>
      <c r="YS483"/>
      <c r="YT483"/>
      <c r="YU483"/>
      <c r="YV483"/>
      <c r="YW483"/>
      <c r="YX483"/>
      <c r="YY483"/>
      <c r="YZ483"/>
      <c r="ZA483"/>
      <c r="ZB483"/>
      <c r="ZC483"/>
      <c r="ZD483"/>
      <c r="ZE483"/>
      <c r="ZF483"/>
      <c r="ZG483"/>
      <c r="ZH483"/>
      <c r="ZI483"/>
      <c r="ZJ483"/>
      <c r="ZK483"/>
      <c r="ZL483"/>
      <c r="ZM483"/>
      <c r="ZN483"/>
      <c r="ZO483"/>
      <c r="ZP483"/>
      <c r="ZQ483"/>
      <c r="ZR483"/>
      <c r="ZS483"/>
      <c r="ZT483"/>
      <c r="ZU483"/>
      <c r="ZV483"/>
      <c r="ZW483"/>
      <c r="ZX483"/>
      <c r="ZY483"/>
      <c r="ZZ483"/>
      <c r="AAA483"/>
      <c r="AAB483"/>
      <c r="AAC483"/>
      <c r="AAD483"/>
      <c r="AAE483"/>
      <c r="AAF483"/>
      <c r="AAG483"/>
      <c r="AAH483"/>
      <c r="AAI483"/>
      <c r="AAJ483"/>
      <c r="AAK483"/>
      <c r="AAL483"/>
      <c r="AAM483"/>
      <c r="AAN483"/>
      <c r="AAO483"/>
      <c r="AAP483"/>
      <c r="AAQ483"/>
      <c r="AAR483"/>
      <c r="AAS483"/>
      <c r="AAT483"/>
      <c r="AAU483"/>
      <c r="AAV483"/>
      <c r="AAW483"/>
      <c r="AAX483"/>
      <c r="AAY483"/>
      <c r="AAZ483"/>
      <c r="ABA483"/>
      <c r="ABB483"/>
      <c r="ABC483"/>
      <c r="ABD483"/>
      <c r="ABE483"/>
      <c r="ABF483"/>
      <c r="ABG483"/>
      <c r="ABH483"/>
      <c r="ABI483"/>
      <c r="ABJ483"/>
      <c r="ABK483"/>
      <c r="ABL483"/>
      <c r="ABM483"/>
      <c r="ABN483"/>
      <c r="ABO483"/>
      <c r="ABP483"/>
      <c r="ABQ483"/>
      <c r="ABR483"/>
      <c r="ABS483"/>
      <c r="ABT483"/>
      <c r="ABU483"/>
      <c r="ABV483"/>
      <c r="ABW483"/>
      <c r="ABX483"/>
      <c r="ABY483"/>
      <c r="ABZ483"/>
      <c r="ACA483"/>
      <c r="ACB483"/>
      <c r="ACC483"/>
      <c r="ACD483"/>
      <c r="ACE483"/>
      <c r="ACF483"/>
      <c r="ACG483"/>
      <c r="ACH483"/>
      <c r="ACI483"/>
      <c r="ACJ483"/>
      <c r="ACK483"/>
      <c r="ACL483"/>
      <c r="ACM483"/>
      <c r="ACN483"/>
      <c r="ACO483"/>
      <c r="ACP483"/>
      <c r="ACQ483"/>
      <c r="ACR483"/>
      <c r="ACS483"/>
      <c r="ACT483"/>
      <c r="ACU483"/>
      <c r="ACV483"/>
      <c r="ACW483"/>
      <c r="ACX483"/>
      <c r="ACY483"/>
      <c r="ACZ483"/>
      <c r="ADA483"/>
      <c r="ADB483"/>
      <c r="ADC483"/>
      <c r="ADD483"/>
      <c r="ADE483"/>
      <c r="ADF483"/>
      <c r="ADG483"/>
      <c r="ADH483"/>
      <c r="ADI483"/>
      <c r="ADJ483"/>
      <c r="ADK483"/>
      <c r="ADL483"/>
      <c r="ADM483"/>
      <c r="ADN483"/>
      <c r="ADO483"/>
      <c r="ADP483"/>
      <c r="ADQ483"/>
      <c r="ADR483"/>
      <c r="ADS483"/>
      <c r="ADT483"/>
      <c r="ADU483"/>
      <c r="ADV483"/>
      <c r="ADW483"/>
      <c r="ADX483"/>
      <c r="ADY483"/>
      <c r="ADZ483"/>
      <c r="AEA483"/>
      <c r="AEB483"/>
      <c r="AEC483"/>
      <c r="AED483"/>
      <c r="AEE483"/>
      <c r="AEF483"/>
      <c r="AEG483"/>
      <c r="AEH483"/>
      <c r="AEI483"/>
      <c r="AEJ483"/>
      <c r="AEK483"/>
      <c r="AEL483"/>
      <c r="AEM483"/>
      <c r="AEN483"/>
      <c r="AEO483"/>
      <c r="AEP483"/>
      <c r="AEQ483"/>
      <c r="AER483"/>
      <c r="AES483"/>
      <c r="AET483"/>
      <c r="AEU483"/>
      <c r="AEV483"/>
      <c r="AEW483"/>
      <c r="AEX483"/>
      <c r="AEY483"/>
      <c r="AEZ483"/>
      <c r="AFA483"/>
      <c r="AFB483"/>
      <c r="AFC483"/>
      <c r="AFD483"/>
      <c r="AFE483"/>
      <c r="AFF483"/>
      <c r="AFG483"/>
      <c r="AFH483"/>
      <c r="AFI483"/>
      <c r="AFJ483"/>
      <c r="AFK483"/>
      <c r="AFL483"/>
      <c r="AFM483"/>
      <c r="AFN483"/>
      <c r="AFO483"/>
      <c r="AFP483"/>
      <c r="AFQ483"/>
      <c r="AFR483"/>
      <c r="AFS483"/>
      <c r="AFT483"/>
      <c r="AFU483"/>
      <c r="AFV483"/>
      <c r="AFW483"/>
      <c r="AFX483"/>
      <c r="AFY483"/>
      <c r="AFZ483"/>
      <c r="AGA483"/>
      <c r="AGB483"/>
      <c r="AGC483"/>
      <c r="AGD483"/>
      <c r="AGE483"/>
      <c r="AGF483"/>
      <c r="AGG483"/>
      <c r="AGH483"/>
      <c r="AGI483"/>
      <c r="AGJ483"/>
      <c r="AGK483"/>
      <c r="AGL483"/>
      <c r="AGM483"/>
      <c r="AGN483"/>
      <c r="AGO483"/>
      <c r="AGP483"/>
      <c r="AGQ483"/>
      <c r="AGR483"/>
      <c r="AGS483"/>
      <c r="AGT483"/>
      <c r="AGU483"/>
      <c r="AGV483"/>
      <c r="AGW483"/>
      <c r="AGX483"/>
      <c r="AGY483"/>
      <c r="AGZ483"/>
      <c r="AHA483"/>
      <c r="AHB483"/>
      <c r="AHC483"/>
      <c r="AHD483"/>
      <c r="AHE483"/>
      <c r="AHF483"/>
      <c r="AHG483"/>
      <c r="AHH483"/>
      <c r="AHI483"/>
      <c r="AHJ483"/>
      <c r="AHK483"/>
      <c r="AHL483"/>
      <c r="AHM483"/>
      <c r="AHN483"/>
      <c r="AHO483"/>
      <c r="AHP483"/>
      <c r="AHQ483"/>
      <c r="AHR483"/>
      <c r="AHS483"/>
      <c r="AHT483"/>
      <c r="AHU483"/>
      <c r="AHV483"/>
      <c r="AHW483"/>
      <c r="AHX483"/>
      <c r="AHY483"/>
      <c r="AHZ483"/>
      <c r="AIA483"/>
      <c r="AIB483"/>
      <c r="AIC483"/>
      <c r="AID483"/>
      <c r="AIE483"/>
      <c r="AIF483"/>
      <c r="AIG483"/>
      <c r="AIH483"/>
      <c r="AII483"/>
      <c r="AIJ483"/>
      <c r="AIK483"/>
      <c r="AIL483"/>
      <c r="AIM483"/>
      <c r="AIN483"/>
      <c r="AIO483"/>
      <c r="AIP483"/>
      <c r="AIQ483"/>
      <c r="AIR483"/>
      <c r="AIS483"/>
      <c r="AIT483"/>
      <c r="AIU483"/>
      <c r="AIV483"/>
      <c r="AIW483"/>
      <c r="AIX483"/>
      <c r="AIY483"/>
      <c r="AIZ483"/>
      <c r="AJA483"/>
      <c r="AJB483"/>
      <c r="AJC483"/>
      <c r="AJD483"/>
      <c r="AJE483"/>
      <c r="AJF483"/>
      <c r="AJG483"/>
      <c r="AJH483"/>
      <c r="AJI483"/>
      <c r="AJJ483"/>
      <c r="AJK483"/>
      <c r="AJL483"/>
      <c r="AJM483"/>
      <c r="AJN483"/>
      <c r="AJO483"/>
      <c r="AJP483"/>
      <c r="AJQ483"/>
      <c r="AJR483"/>
      <c r="AJS483"/>
      <c r="AJT483"/>
      <c r="AJU483"/>
      <c r="AJV483"/>
      <c r="AJW483"/>
      <c r="AJX483"/>
      <c r="AJY483"/>
      <c r="AJZ483"/>
      <c r="AKA483"/>
      <c r="AKB483"/>
      <c r="AKC483"/>
      <c r="AKD483"/>
      <c r="AKE483"/>
      <c r="AKF483"/>
      <c r="AKG483"/>
      <c r="AKH483"/>
      <c r="AKI483"/>
      <c r="AKJ483"/>
      <c r="AKK483"/>
      <c r="AKL483"/>
      <c r="AKM483"/>
      <c r="AKN483"/>
      <c r="AKO483"/>
      <c r="AKP483"/>
      <c r="AKQ483"/>
      <c r="AKR483"/>
      <c r="AKS483"/>
      <c r="AKT483"/>
      <c r="AKU483"/>
      <c r="AKV483"/>
      <c r="AKW483"/>
      <c r="AKX483"/>
      <c r="AKY483"/>
      <c r="AKZ483"/>
      <c r="ALA483"/>
      <c r="ALB483"/>
      <c r="ALC483"/>
      <c r="ALD483"/>
      <c r="ALE483"/>
      <c r="ALF483"/>
      <c r="ALG483"/>
      <c r="ALH483"/>
      <c r="ALI483"/>
      <c r="ALJ483"/>
      <c r="ALK483"/>
      <c r="ALL483"/>
      <c r="ALM483"/>
      <c r="ALN483"/>
      <c r="ALO483"/>
      <c r="ALP483"/>
      <c r="ALQ483"/>
      <c r="ALR483"/>
      <c r="ALS483"/>
      <c r="ALT483"/>
    </row>
    <row r="484" spans="1:1008" ht="14" x14ac:dyDescent="0.15">
      <c r="A484" s="8" t="s">
        <v>3245</v>
      </c>
      <c r="B484" s="8" t="s">
        <v>3120</v>
      </c>
      <c r="C484" s="8" t="str">
        <f t="shared" si="7"/>
        <v>c57bl6n</v>
      </c>
      <c r="D484" s="9" t="s">
        <v>15</v>
      </c>
      <c r="E484" s="8" t="s">
        <v>3246</v>
      </c>
      <c r="F484" s="23" t="s">
        <v>3247</v>
      </c>
      <c r="G484" s="8">
        <v>500</v>
      </c>
      <c r="H484"/>
      <c r="I484"/>
      <c r="J484"/>
      <c r="K484"/>
      <c r="L484"/>
      <c r="M484"/>
      <c r="N484"/>
      <c r="O484"/>
      <c r="P484"/>
      <c r="Q484"/>
      <c r="R484"/>
      <c r="S484"/>
      <c r="T484"/>
      <c r="U484"/>
      <c r="V484"/>
      <c r="W484"/>
      <c r="X484"/>
      <c r="Y484"/>
      <c r="Z484"/>
      <c r="AA484"/>
      <c r="AB484"/>
      <c r="AC484"/>
      <c r="AD484"/>
      <c r="AE484"/>
      <c r="AF484"/>
      <c r="AG484"/>
      <c r="AH484"/>
      <c r="AI484"/>
      <c r="AJ484"/>
      <c r="AK484"/>
      <c r="AL484"/>
      <c r="AM484"/>
      <c r="AN484"/>
      <c r="AO484"/>
      <c r="AP484"/>
      <c r="AQ484"/>
      <c r="AR484"/>
      <c r="AS484"/>
      <c r="AT484"/>
      <c r="AU484"/>
      <c r="AV484"/>
      <c r="AW484"/>
      <c r="AX484"/>
      <c r="AY484"/>
      <c r="AZ484"/>
      <c r="BA484"/>
      <c r="BB484"/>
      <c r="BC484"/>
      <c r="BD484"/>
      <c r="BE484"/>
      <c r="BF484"/>
      <c r="BG484"/>
      <c r="BH484"/>
      <c r="BI484"/>
      <c r="BJ484"/>
      <c r="BK484"/>
      <c r="BL484"/>
      <c r="BM484"/>
      <c r="BN484"/>
      <c r="BO484"/>
      <c r="BP484"/>
      <c r="BQ484"/>
      <c r="BR484"/>
      <c r="BS484"/>
      <c r="BT484"/>
      <c r="BU484"/>
      <c r="BV484"/>
      <c r="BW484"/>
      <c r="BX484"/>
      <c r="BY484"/>
      <c r="BZ484"/>
      <c r="CA484"/>
      <c r="CB484"/>
      <c r="CC484"/>
      <c r="CD484"/>
      <c r="CE484"/>
      <c r="CF484"/>
      <c r="CG484"/>
      <c r="CH484"/>
      <c r="CI484"/>
      <c r="CJ484"/>
      <c r="CK484"/>
      <c r="CL484"/>
      <c r="CM484"/>
      <c r="CN484"/>
      <c r="CO484"/>
      <c r="CP484"/>
      <c r="CQ484"/>
      <c r="CR484"/>
      <c r="CS484"/>
      <c r="CT484"/>
      <c r="CU484"/>
      <c r="CV484"/>
      <c r="CW484"/>
      <c r="CX484"/>
      <c r="CY484"/>
      <c r="CZ484"/>
      <c r="DA484"/>
      <c r="DB484"/>
      <c r="DC484"/>
      <c r="DD484"/>
      <c r="DE484"/>
      <c r="DF484"/>
      <c r="DG484"/>
      <c r="DH484"/>
      <c r="DI484"/>
      <c r="DJ484"/>
      <c r="DK484"/>
      <c r="DL484"/>
      <c r="DM484"/>
      <c r="DN484"/>
      <c r="DO484"/>
      <c r="DP484"/>
      <c r="DQ484"/>
      <c r="DR484"/>
      <c r="DS484"/>
      <c r="DT484"/>
      <c r="DU484"/>
      <c r="DV484"/>
      <c r="DW484"/>
      <c r="DX484"/>
      <c r="DY484"/>
      <c r="DZ484"/>
      <c r="EA484"/>
      <c r="EB484"/>
      <c r="EC484"/>
      <c r="ED484"/>
      <c r="EE484"/>
      <c r="EF484"/>
      <c r="EG484"/>
      <c r="EH484"/>
      <c r="EI484"/>
      <c r="EJ484"/>
      <c r="EK484"/>
      <c r="EL484"/>
      <c r="EM484"/>
      <c r="EN484"/>
      <c r="EO484"/>
      <c r="EP484"/>
      <c r="EQ484"/>
      <c r="ER484"/>
      <c r="ES484"/>
      <c r="ET484"/>
      <c r="EU484"/>
      <c r="EV484"/>
      <c r="EW484"/>
      <c r="EX484"/>
      <c r="EY484"/>
      <c r="EZ484"/>
      <c r="FA484"/>
      <c r="FB484"/>
      <c r="FC484"/>
      <c r="FD484"/>
      <c r="FE484"/>
      <c r="FF484"/>
      <c r="FG484"/>
      <c r="FH484"/>
      <c r="FI484"/>
      <c r="FJ484"/>
      <c r="FK484"/>
      <c r="FL484"/>
      <c r="FM484"/>
      <c r="FN484"/>
      <c r="FO484"/>
      <c r="FP484"/>
      <c r="FQ484"/>
      <c r="FR484"/>
      <c r="FS484"/>
      <c r="FT484"/>
      <c r="FU484"/>
      <c r="FV484"/>
      <c r="FW484"/>
      <c r="FX484"/>
      <c r="FY484"/>
      <c r="FZ484"/>
      <c r="GA484"/>
      <c r="GB484"/>
      <c r="GC484"/>
      <c r="GD484"/>
      <c r="GE484"/>
      <c r="GF484"/>
      <c r="GG484"/>
      <c r="GH484"/>
      <c r="GI484"/>
      <c r="GJ484"/>
      <c r="GK484"/>
      <c r="GL484"/>
      <c r="GM484"/>
      <c r="GN484"/>
      <c r="GO484"/>
      <c r="GP484"/>
      <c r="GQ484"/>
      <c r="GR484"/>
      <c r="GS484"/>
      <c r="GT484"/>
      <c r="GU484"/>
      <c r="GV484"/>
      <c r="GW484"/>
      <c r="GX484"/>
      <c r="GY484"/>
      <c r="GZ484"/>
      <c r="HA484"/>
      <c r="HB484"/>
      <c r="HC484"/>
      <c r="HD484"/>
      <c r="HE484"/>
      <c r="HF484"/>
      <c r="HG484"/>
      <c r="HH484"/>
      <c r="HI484"/>
      <c r="HJ484"/>
      <c r="HK484"/>
      <c r="HL484"/>
      <c r="HM484"/>
      <c r="HN484"/>
      <c r="HO484"/>
      <c r="HP484"/>
      <c r="HQ484"/>
      <c r="HR484"/>
      <c r="HS484"/>
      <c r="HT484"/>
      <c r="HU484"/>
      <c r="HV484"/>
      <c r="HW484"/>
      <c r="HX484"/>
      <c r="HY484"/>
      <c r="HZ484"/>
      <c r="IA484"/>
      <c r="IB484"/>
      <c r="IC484"/>
      <c r="ID484"/>
      <c r="IE484"/>
      <c r="IF484"/>
      <c r="IG484"/>
      <c r="IH484"/>
      <c r="II484"/>
      <c r="IJ484"/>
      <c r="IK484"/>
      <c r="IL484"/>
      <c r="IM484"/>
      <c r="IN484"/>
      <c r="IO484"/>
      <c r="IP484"/>
      <c r="IQ484"/>
      <c r="IR484"/>
      <c r="IS484"/>
      <c r="IT484"/>
      <c r="IU484"/>
      <c r="IV484"/>
      <c r="IW484"/>
      <c r="IX484"/>
      <c r="IY484"/>
      <c r="IZ484"/>
      <c r="JA484"/>
      <c r="JB484"/>
      <c r="JC484"/>
      <c r="JD484"/>
      <c r="JE484"/>
      <c r="JF484"/>
      <c r="JG484"/>
      <c r="JH484"/>
      <c r="JI484"/>
      <c r="JJ484"/>
      <c r="JK484"/>
      <c r="JL484"/>
      <c r="JM484"/>
      <c r="JN484"/>
      <c r="JO484"/>
      <c r="JP484"/>
      <c r="JQ484"/>
      <c r="JR484"/>
      <c r="JS484"/>
      <c r="JT484"/>
      <c r="JU484"/>
      <c r="JV484"/>
      <c r="JW484"/>
      <c r="JX484"/>
      <c r="JY484"/>
      <c r="JZ484"/>
      <c r="KA484"/>
      <c r="KB484"/>
      <c r="KC484"/>
      <c r="KD484"/>
      <c r="KE484"/>
      <c r="KF484"/>
      <c r="KG484"/>
      <c r="KH484"/>
      <c r="KI484"/>
      <c r="KJ484"/>
      <c r="KK484"/>
      <c r="KL484"/>
      <c r="KM484"/>
      <c r="KN484"/>
      <c r="KO484"/>
      <c r="KP484"/>
      <c r="KQ484"/>
      <c r="KR484"/>
      <c r="KS484"/>
      <c r="KT484"/>
      <c r="KU484"/>
      <c r="KV484"/>
      <c r="KW484"/>
      <c r="KX484"/>
      <c r="KY484"/>
      <c r="KZ484"/>
      <c r="LA484"/>
      <c r="LB484"/>
      <c r="LC484"/>
      <c r="LD484"/>
      <c r="LE484"/>
      <c r="LF484"/>
      <c r="LG484"/>
      <c r="LH484"/>
      <c r="LI484"/>
      <c r="LJ484"/>
      <c r="LK484"/>
      <c r="LL484"/>
      <c r="LM484"/>
      <c r="LN484"/>
      <c r="LO484"/>
      <c r="LP484"/>
      <c r="LQ484"/>
      <c r="LR484"/>
      <c r="LS484"/>
      <c r="LT484"/>
      <c r="LU484"/>
      <c r="LV484"/>
      <c r="LW484"/>
      <c r="LX484"/>
      <c r="LY484"/>
      <c r="LZ484"/>
      <c r="MA484"/>
      <c r="MB484"/>
      <c r="MC484"/>
      <c r="MD484"/>
      <c r="ME484"/>
      <c r="MF484"/>
      <c r="MG484"/>
      <c r="MH484"/>
      <c r="MI484"/>
      <c r="MJ484"/>
      <c r="MK484"/>
      <c r="ML484"/>
      <c r="MM484"/>
      <c r="MN484"/>
      <c r="MO484"/>
      <c r="MP484"/>
      <c r="MQ484"/>
      <c r="MR484"/>
      <c r="MS484"/>
      <c r="MT484"/>
      <c r="MU484"/>
      <c r="MV484"/>
      <c r="MW484"/>
      <c r="MX484"/>
      <c r="MY484"/>
      <c r="MZ484"/>
      <c r="NA484"/>
      <c r="NB484"/>
      <c r="NC484"/>
      <c r="ND484"/>
      <c r="NE484"/>
      <c r="NF484"/>
      <c r="NG484"/>
      <c r="NH484"/>
      <c r="NI484"/>
      <c r="NJ484"/>
      <c r="NK484"/>
      <c r="NL484"/>
      <c r="NM484"/>
      <c r="NN484"/>
      <c r="NO484"/>
      <c r="NP484"/>
      <c r="NQ484"/>
      <c r="NR484"/>
      <c r="NS484"/>
      <c r="NT484"/>
      <c r="NU484"/>
      <c r="NV484"/>
      <c r="NW484"/>
      <c r="NX484"/>
      <c r="NY484"/>
      <c r="NZ484"/>
      <c r="OA484"/>
      <c r="OB484"/>
      <c r="OC484"/>
      <c r="OD484"/>
      <c r="OE484"/>
      <c r="OF484"/>
      <c r="OG484"/>
      <c r="OH484"/>
      <c r="OI484"/>
      <c r="OJ484"/>
      <c r="OK484"/>
      <c r="OL484"/>
      <c r="OM484"/>
      <c r="ON484"/>
      <c r="OO484"/>
      <c r="OP484"/>
      <c r="OQ484"/>
      <c r="OR484"/>
      <c r="OS484"/>
      <c r="OT484"/>
      <c r="OU484"/>
      <c r="OV484"/>
      <c r="OW484"/>
      <c r="OX484"/>
      <c r="OY484"/>
      <c r="OZ484"/>
      <c r="PA484"/>
      <c r="PB484"/>
      <c r="PC484"/>
      <c r="PD484"/>
      <c r="PE484"/>
      <c r="PF484"/>
      <c r="PG484"/>
      <c r="PH484"/>
      <c r="PI484"/>
      <c r="PJ484"/>
      <c r="PK484"/>
      <c r="PL484"/>
      <c r="PM484"/>
      <c r="PN484"/>
      <c r="PO484"/>
      <c r="PP484"/>
      <c r="PQ484"/>
      <c r="PR484"/>
      <c r="PS484"/>
      <c r="PT484"/>
      <c r="PU484"/>
      <c r="PV484"/>
      <c r="PW484"/>
      <c r="PX484"/>
      <c r="PY484"/>
      <c r="PZ484"/>
      <c r="QA484"/>
      <c r="QB484"/>
      <c r="QC484"/>
      <c r="QD484"/>
      <c r="QE484"/>
      <c r="QF484"/>
      <c r="QG484"/>
      <c r="QH484"/>
      <c r="QI484"/>
      <c r="QJ484"/>
      <c r="QK484"/>
      <c r="QL484"/>
      <c r="QM484"/>
      <c r="QN484"/>
      <c r="QO484"/>
      <c r="QP484"/>
      <c r="QQ484"/>
      <c r="QR484"/>
      <c r="QS484"/>
      <c r="QT484"/>
      <c r="QU484"/>
      <c r="QV484"/>
      <c r="QW484"/>
      <c r="QX484"/>
      <c r="QY484"/>
      <c r="QZ484"/>
      <c r="RA484"/>
      <c r="RB484"/>
      <c r="RC484"/>
      <c r="RD484"/>
      <c r="RE484"/>
      <c r="RF484"/>
      <c r="RG484"/>
      <c r="RH484"/>
      <c r="RI484"/>
      <c r="RJ484"/>
      <c r="RK484"/>
      <c r="RL484"/>
      <c r="RM484"/>
      <c r="RN484"/>
      <c r="RO484"/>
      <c r="RP484"/>
      <c r="RQ484"/>
      <c r="RR484"/>
      <c r="RS484"/>
      <c r="RT484"/>
      <c r="RU484"/>
      <c r="RV484"/>
      <c r="RW484"/>
      <c r="RX484"/>
      <c r="RY484"/>
      <c r="RZ484"/>
      <c r="SA484"/>
      <c r="SB484"/>
      <c r="SC484"/>
      <c r="SD484"/>
      <c r="SE484"/>
      <c r="SF484"/>
      <c r="SG484"/>
      <c r="SH484"/>
      <c r="SI484"/>
      <c r="SJ484"/>
      <c r="SK484"/>
      <c r="SL484"/>
      <c r="SM484"/>
      <c r="SN484"/>
      <c r="SO484"/>
      <c r="SP484"/>
      <c r="SQ484"/>
      <c r="SR484"/>
      <c r="SS484"/>
      <c r="ST484"/>
      <c r="SU484"/>
      <c r="SV484"/>
      <c r="SW484"/>
      <c r="SX484"/>
      <c r="SY484"/>
      <c r="SZ484"/>
      <c r="TA484"/>
      <c r="TB484"/>
      <c r="TC484"/>
      <c r="TD484"/>
      <c r="TE484"/>
      <c r="TF484"/>
      <c r="TG484"/>
      <c r="TH484"/>
      <c r="TI484"/>
      <c r="TJ484"/>
      <c r="TK484"/>
      <c r="TL484"/>
      <c r="TM484"/>
      <c r="TN484"/>
      <c r="TO484"/>
      <c r="TP484"/>
      <c r="TQ484"/>
      <c r="TR484"/>
      <c r="TS484"/>
      <c r="TT484"/>
      <c r="TU484"/>
      <c r="TV484"/>
      <c r="TW484"/>
      <c r="TX484"/>
      <c r="TY484"/>
      <c r="TZ484"/>
      <c r="UA484"/>
      <c r="UB484"/>
      <c r="UC484"/>
      <c r="UD484"/>
      <c r="UE484"/>
      <c r="UF484"/>
      <c r="UG484"/>
      <c r="UH484"/>
      <c r="UI484"/>
      <c r="UJ484"/>
      <c r="UK484"/>
      <c r="UL484"/>
      <c r="UM484"/>
      <c r="UN484"/>
      <c r="UO484"/>
      <c r="UP484"/>
      <c r="UQ484"/>
      <c r="UR484"/>
      <c r="US484"/>
      <c r="UT484"/>
      <c r="UU484"/>
      <c r="UV484"/>
      <c r="UW484"/>
      <c r="UX484"/>
      <c r="UY484"/>
      <c r="UZ484"/>
      <c r="VA484"/>
      <c r="VB484"/>
      <c r="VC484"/>
      <c r="VD484"/>
      <c r="VE484"/>
      <c r="VF484"/>
      <c r="VG484"/>
      <c r="VH484"/>
      <c r="VI484"/>
      <c r="VJ484"/>
      <c r="VK484"/>
      <c r="VL484"/>
      <c r="VM484"/>
      <c r="VN484"/>
      <c r="VO484"/>
      <c r="VP484"/>
      <c r="VQ484"/>
      <c r="VR484"/>
      <c r="VS484"/>
      <c r="VT484"/>
      <c r="VU484"/>
      <c r="VV484"/>
      <c r="VW484"/>
      <c r="VX484"/>
      <c r="VY484"/>
      <c r="VZ484"/>
      <c r="WA484"/>
      <c r="WB484"/>
      <c r="WC484"/>
      <c r="WD484"/>
      <c r="WE484"/>
      <c r="WF484"/>
      <c r="WG484"/>
      <c r="WH484"/>
      <c r="WI484"/>
      <c r="WJ484"/>
      <c r="WK484"/>
      <c r="WL484"/>
      <c r="WM484"/>
      <c r="WN484"/>
      <c r="WO484"/>
      <c r="WP484"/>
      <c r="WQ484"/>
      <c r="WR484"/>
      <c r="WS484"/>
      <c r="WT484"/>
      <c r="WU484"/>
      <c r="WV484"/>
      <c r="WW484"/>
      <c r="WX484"/>
      <c r="WY484"/>
      <c r="WZ484"/>
      <c r="XA484"/>
      <c r="XB484"/>
      <c r="XC484"/>
      <c r="XD484"/>
      <c r="XE484"/>
      <c r="XF484"/>
      <c r="XG484"/>
      <c r="XH484"/>
      <c r="XI484"/>
      <c r="XJ484"/>
      <c r="XK484"/>
      <c r="XL484"/>
      <c r="XM484"/>
      <c r="XN484"/>
      <c r="XO484"/>
      <c r="XP484"/>
      <c r="XQ484"/>
      <c r="XR484"/>
      <c r="XS484"/>
      <c r="XT484"/>
      <c r="XU484"/>
      <c r="XV484"/>
      <c r="XW484"/>
      <c r="XX484"/>
      <c r="XY484"/>
      <c r="XZ484"/>
      <c r="YA484"/>
      <c r="YB484"/>
      <c r="YC484"/>
      <c r="YD484"/>
      <c r="YE484"/>
      <c r="YF484"/>
      <c r="YG484"/>
      <c r="YH484"/>
      <c r="YI484"/>
      <c r="YJ484"/>
      <c r="YK484"/>
      <c r="YL484"/>
      <c r="YM484"/>
      <c r="YN484"/>
      <c r="YO484"/>
      <c r="YP484"/>
      <c r="YQ484"/>
      <c r="YR484"/>
      <c r="YS484"/>
      <c r="YT484"/>
      <c r="YU484"/>
      <c r="YV484"/>
      <c r="YW484"/>
      <c r="YX484"/>
      <c r="YY484"/>
      <c r="YZ484"/>
      <c r="ZA484"/>
      <c r="ZB484"/>
      <c r="ZC484"/>
      <c r="ZD484"/>
      <c r="ZE484"/>
      <c r="ZF484"/>
      <c r="ZG484"/>
      <c r="ZH484"/>
      <c r="ZI484"/>
      <c r="ZJ484"/>
      <c r="ZK484"/>
      <c r="ZL484"/>
      <c r="ZM484"/>
      <c r="ZN484"/>
      <c r="ZO484"/>
      <c r="ZP484"/>
      <c r="ZQ484"/>
      <c r="ZR484"/>
      <c r="ZS484"/>
      <c r="ZT484"/>
      <c r="ZU484"/>
      <c r="ZV484"/>
      <c r="ZW484"/>
      <c r="ZX484"/>
      <c r="ZY484"/>
      <c r="ZZ484"/>
      <c r="AAA484"/>
      <c r="AAB484"/>
      <c r="AAC484"/>
      <c r="AAD484"/>
      <c r="AAE484"/>
      <c r="AAF484"/>
      <c r="AAG484"/>
      <c r="AAH484"/>
      <c r="AAI484"/>
      <c r="AAJ484"/>
      <c r="AAK484"/>
      <c r="AAL484"/>
      <c r="AAM484"/>
      <c r="AAN484"/>
      <c r="AAO484"/>
      <c r="AAP484"/>
      <c r="AAQ484"/>
      <c r="AAR484"/>
      <c r="AAS484"/>
      <c r="AAT484"/>
      <c r="AAU484"/>
      <c r="AAV484"/>
      <c r="AAW484"/>
      <c r="AAX484"/>
      <c r="AAY484"/>
      <c r="AAZ484"/>
      <c r="ABA484"/>
      <c r="ABB484"/>
      <c r="ABC484"/>
      <c r="ABD484"/>
      <c r="ABE484"/>
      <c r="ABF484"/>
      <c r="ABG484"/>
      <c r="ABH484"/>
      <c r="ABI484"/>
      <c r="ABJ484"/>
      <c r="ABK484"/>
      <c r="ABL484"/>
      <c r="ABM484"/>
      <c r="ABN484"/>
      <c r="ABO484"/>
      <c r="ABP484"/>
      <c r="ABQ484"/>
      <c r="ABR484"/>
      <c r="ABS484"/>
      <c r="ABT484"/>
      <c r="ABU484"/>
      <c r="ABV484"/>
      <c r="ABW484"/>
      <c r="ABX484"/>
      <c r="ABY484"/>
      <c r="ABZ484"/>
      <c r="ACA484"/>
      <c r="ACB484"/>
      <c r="ACC484"/>
      <c r="ACD484"/>
      <c r="ACE484"/>
      <c r="ACF484"/>
      <c r="ACG484"/>
      <c r="ACH484"/>
      <c r="ACI484"/>
      <c r="ACJ484"/>
      <c r="ACK484"/>
      <c r="ACL484"/>
      <c r="ACM484"/>
      <c r="ACN484"/>
      <c r="ACO484"/>
      <c r="ACP484"/>
      <c r="ACQ484"/>
      <c r="ACR484"/>
      <c r="ACS484"/>
      <c r="ACT484"/>
      <c r="ACU484"/>
      <c r="ACV484"/>
      <c r="ACW484"/>
      <c r="ACX484"/>
      <c r="ACY484"/>
      <c r="ACZ484"/>
      <c r="ADA484"/>
      <c r="ADB484"/>
      <c r="ADC484"/>
      <c r="ADD484"/>
      <c r="ADE484"/>
      <c r="ADF484"/>
      <c r="ADG484"/>
      <c r="ADH484"/>
      <c r="ADI484"/>
      <c r="ADJ484"/>
      <c r="ADK484"/>
      <c r="ADL484"/>
      <c r="ADM484"/>
      <c r="ADN484"/>
      <c r="ADO484"/>
      <c r="ADP484"/>
      <c r="ADQ484"/>
      <c r="ADR484"/>
      <c r="ADS484"/>
      <c r="ADT484"/>
      <c r="ADU484"/>
      <c r="ADV484"/>
      <c r="ADW484"/>
      <c r="ADX484"/>
      <c r="ADY484"/>
      <c r="ADZ484"/>
      <c r="AEA484"/>
      <c r="AEB484"/>
      <c r="AEC484"/>
      <c r="AED484"/>
      <c r="AEE484"/>
      <c r="AEF484"/>
      <c r="AEG484"/>
      <c r="AEH484"/>
      <c r="AEI484"/>
      <c r="AEJ484"/>
      <c r="AEK484"/>
      <c r="AEL484"/>
      <c r="AEM484"/>
      <c r="AEN484"/>
      <c r="AEO484"/>
      <c r="AEP484"/>
      <c r="AEQ484"/>
      <c r="AER484"/>
      <c r="AES484"/>
      <c r="AET484"/>
      <c r="AEU484"/>
      <c r="AEV484"/>
      <c r="AEW484"/>
      <c r="AEX484"/>
      <c r="AEY484"/>
      <c r="AEZ484"/>
      <c r="AFA484"/>
      <c r="AFB484"/>
      <c r="AFC484"/>
      <c r="AFD484"/>
      <c r="AFE484"/>
      <c r="AFF484"/>
      <c r="AFG484"/>
      <c r="AFH484"/>
      <c r="AFI484"/>
      <c r="AFJ484"/>
      <c r="AFK484"/>
      <c r="AFL484"/>
      <c r="AFM484"/>
      <c r="AFN484"/>
      <c r="AFO484"/>
      <c r="AFP484"/>
      <c r="AFQ484"/>
      <c r="AFR484"/>
      <c r="AFS484"/>
      <c r="AFT484"/>
      <c r="AFU484"/>
      <c r="AFV484"/>
      <c r="AFW484"/>
      <c r="AFX484"/>
      <c r="AFY484"/>
      <c r="AFZ484"/>
      <c r="AGA484"/>
      <c r="AGB484"/>
      <c r="AGC484"/>
      <c r="AGD484"/>
      <c r="AGE484"/>
      <c r="AGF484"/>
      <c r="AGG484"/>
      <c r="AGH484"/>
      <c r="AGI484"/>
      <c r="AGJ484"/>
      <c r="AGK484"/>
      <c r="AGL484"/>
      <c r="AGM484"/>
      <c r="AGN484"/>
      <c r="AGO484"/>
      <c r="AGP484"/>
      <c r="AGQ484"/>
      <c r="AGR484"/>
      <c r="AGS484"/>
      <c r="AGT484"/>
      <c r="AGU484"/>
      <c r="AGV484"/>
      <c r="AGW484"/>
      <c r="AGX484"/>
      <c r="AGY484"/>
      <c r="AGZ484"/>
      <c r="AHA484"/>
      <c r="AHB484"/>
      <c r="AHC484"/>
      <c r="AHD484"/>
      <c r="AHE484"/>
      <c r="AHF484"/>
      <c r="AHG484"/>
      <c r="AHH484"/>
      <c r="AHI484"/>
      <c r="AHJ484"/>
      <c r="AHK484"/>
      <c r="AHL484"/>
      <c r="AHM484"/>
      <c r="AHN484"/>
      <c r="AHO484"/>
      <c r="AHP484"/>
      <c r="AHQ484"/>
      <c r="AHR484"/>
      <c r="AHS484"/>
      <c r="AHT484"/>
      <c r="AHU484"/>
      <c r="AHV484"/>
      <c r="AHW484"/>
      <c r="AHX484"/>
      <c r="AHY484"/>
      <c r="AHZ484"/>
      <c r="AIA484"/>
      <c r="AIB484"/>
      <c r="AIC484"/>
      <c r="AID484"/>
      <c r="AIE484"/>
      <c r="AIF484"/>
      <c r="AIG484"/>
      <c r="AIH484"/>
      <c r="AII484"/>
      <c r="AIJ484"/>
      <c r="AIK484"/>
      <c r="AIL484"/>
      <c r="AIM484"/>
      <c r="AIN484"/>
      <c r="AIO484"/>
      <c r="AIP484"/>
      <c r="AIQ484"/>
      <c r="AIR484"/>
      <c r="AIS484"/>
      <c r="AIT484"/>
      <c r="AIU484"/>
      <c r="AIV484"/>
      <c r="AIW484"/>
      <c r="AIX484"/>
      <c r="AIY484"/>
      <c r="AIZ484"/>
      <c r="AJA484"/>
      <c r="AJB484"/>
      <c r="AJC484"/>
      <c r="AJD484"/>
      <c r="AJE484"/>
      <c r="AJF484"/>
      <c r="AJG484"/>
      <c r="AJH484"/>
      <c r="AJI484"/>
      <c r="AJJ484"/>
      <c r="AJK484"/>
      <c r="AJL484"/>
      <c r="AJM484"/>
      <c r="AJN484"/>
      <c r="AJO484"/>
      <c r="AJP484"/>
      <c r="AJQ484"/>
      <c r="AJR484"/>
      <c r="AJS484"/>
      <c r="AJT484"/>
      <c r="AJU484"/>
      <c r="AJV484"/>
      <c r="AJW484"/>
      <c r="AJX484"/>
      <c r="AJY484"/>
      <c r="AJZ484"/>
      <c r="AKA484"/>
      <c r="AKB484"/>
      <c r="AKC484"/>
      <c r="AKD484"/>
      <c r="AKE484"/>
      <c r="AKF484"/>
      <c r="AKG484"/>
      <c r="AKH484"/>
      <c r="AKI484"/>
      <c r="AKJ484"/>
      <c r="AKK484"/>
      <c r="AKL484"/>
      <c r="AKM484"/>
      <c r="AKN484"/>
      <c r="AKO484"/>
      <c r="AKP484"/>
      <c r="AKQ484"/>
      <c r="AKR484"/>
      <c r="AKS484"/>
      <c r="AKT484"/>
      <c r="AKU484"/>
      <c r="AKV484"/>
      <c r="AKW484"/>
      <c r="AKX484"/>
      <c r="AKY484"/>
      <c r="AKZ484"/>
      <c r="ALA484"/>
      <c r="ALB484"/>
      <c r="ALC484"/>
      <c r="ALD484"/>
      <c r="ALE484"/>
      <c r="ALF484"/>
      <c r="ALG484"/>
      <c r="ALH484"/>
      <c r="ALI484"/>
      <c r="ALJ484"/>
      <c r="ALK484"/>
      <c r="ALL484"/>
      <c r="ALM484"/>
      <c r="ALN484"/>
      <c r="ALO484"/>
      <c r="ALP484"/>
      <c r="ALQ484"/>
      <c r="ALR484"/>
      <c r="ALS484"/>
      <c r="ALT484"/>
    </row>
    <row r="485" spans="1:1008" ht="71" x14ac:dyDescent="0.2">
      <c r="A485" s="8" t="s">
        <v>3248</v>
      </c>
      <c r="B485" s="8" t="s">
        <v>3120</v>
      </c>
      <c r="C485" s="8" t="s">
        <v>3248</v>
      </c>
      <c r="D485" s="9" t="s">
        <v>15</v>
      </c>
      <c r="E485" s="8" t="s">
        <v>3249</v>
      </c>
      <c r="F485" s="23" t="s">
        <v>3250</v>
      </c>
      <c r="G485" s="8">
        <v>500</v>
      </c>
      <c r="H485"/>
      <c r="I485" s="36"/>
      <c r="J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row>
    <row r="486" spans="1:1008" ht="127" x14ac:dyDescent="0.2">
      <c r="A486" s="8" t="s">
        <v>4118</v>
      </c>
      <c r="B486" s="8" t="s">
        <v>3120</v>
      </c>
      <c r="C486" s="8" t="s">
        <v>4118</v>
      </c>
      <c r="D486" s="9"/>
      <c r="E486" s="8" t="s">
        <v>4116</v>
      </c>
      <c r="F486" s="23" t="s">
        <v>4117</v>
      </c>
      <c r="H486"/>
      <c r="I486" s="36"/>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row>
    <row r="487" spans="1:1008" x14ac:dyDescent="0.15">
      <c r="A487" s="8" t="s">
        <v>1321</v>
      </c>
      <c r="B487" s="8" t="s">
        <v>124</v>
      </c>
      <c r="C487" s="8" t="str">
        <f t="shared" si="7"/>
        <v>arg0</v>
      </c>
      <c r="D487" s="9" t="s">
        <v>15</v>
      </c>
      <c r="E487" s="8" t="s">
        <v>1322</v>
      </c>
      <c r="F487" s="8" t="s">
        <v>1323</v>
      </c>
      <c r="G487" s="8">
        <v>500</v>
      </c>
    </row>
    <row r="488" spans="1:1008" x14ac:dyDescent="0.15">
      <c r="A488" s="8" t="s">
        <v>1324</v>
      </c>
      <c r="B488" s="8" t="s">
        <v>124</v>
      </c>
      <c r="C488" s="8" t="str">
        <f t="shared" si="7"/>
        <v>arg10</v>
      </c>
      <c r="D488" s="9" t="s">
        <v>15</v>
      </c>
      <c r="E488" s="8" t="s">
        <v>1325</v>
      </c>
      <c r="F488" s="8" t="s">
        <v>1326</v>
      </c>
      <c r="G488" s="8">
        <v>500</v>
      </c>
    </row>
    <row r="489" spans="1:1008" x14ac:dyDescent="0.15">
      <c r="A489" s="8" t="s">
        <v>1327</v>
      </c>
      <c r="B489" s="8" t="s">
        <v>124</v>
      </c>
      <c r="C489" s="8" t="str">
        <f t="shared" si="7"/>
        <v>arg6</v>
      </c>
      <c r="D489" s="9" t="s">
        <v>15</v>
      </c>
      <c r="E489" s="8" t="s">
        <v>1328</v>
      </c>
      <c r="F489" s="8" t="s">
        <v>1329</v>
      </c>
      <c r="G489" s="8">
        <v>500</v>
      </c>
    </row>
    <row r="490" spans="1:1008" x14ac:dyDescent="0.15">
      <c r="A490" s="8" t="s">
        <v>1330</v>
      </c>
      <c r="B490" s="8" t="s">
        <v>124</v>
      </c>
      <c r="C490" s="8" t="str">
        <f t="shared" si="7"/>
        <v>lys0</v>
      </c>
      <c r="D490" s="9" t="s">
        <v>15</v>
      </c>
      <c r="E490" s="8" t="s">
        <v>1331</v>
      </c>
      <c r="F490" s="9" t="s">
        <v>2866</v>
      </c>
      <c r="G490" s="8">
        <v>500</v>
      </c>
    </row>
    <row r="491" spans="1:1008" x14ac:dyDescent="0.15">
      <c r="A491" s="8" t="s">
        <v>1332</v>
      </c>
      <c r="B491" s="8" t="s">
        <v>124</v>
      </c>
      <c r="C491" s="8" t="str">
        <f t="shared" si="7"/>
        <v>lys4</v>
      </c>
      <c r="D491" s="9" t="s">
        <v>15</v>
      </c>
      <c r="E491" s="8" t="s">
        <v>1333</v>
      </c>
      <c r="F491" s="8" t="s">
        <v>1334</v>
      </c>
      <c r="G491" s="8">
        <v>500</v>
      </c>
    </row>
    <row r="492" spans="1:1008" x14ac:dyDescent="0.15">
      <c r="A492" s="8" t="s">
        <v>1335</v>
      </c>
      <c r="B492" s="8" t="s">
        <v>124</v>
      </c>
      <c r="C492" s="8" t="str">
        <f t="shared" si="7"/>
        <v>lys6</v>
      </c>
      <c r="D492" s="9" t="s">
        <v>15</v>
      </c>
      <c r="E492" s="8" t="s">
        <v>1336</v>
      </c>
      <c r="F492" s="8" t="s">
        <v>1337</v>
      </c>
      <c r="G492" s="8">
        <v>500</v>
      </c>
    </row>
    <row r="493" spans="1:1008" x14ac:dyDescent="0.15">
      <c r="A493" s="8" t="s">
        <v>1338</v>
      </c>
      <c r="B493" s="8" t="s">
        <v>124</v>
      </c>
      <c r="C493" s="8" t="str">
        <f t="shared" si="7"/>
        <v>lys8</v>
      </c>
      <c r="D493" s="9" t="s">
        <v>15</v>
      </c>
      <c r="E493" s="8" t="s">
        <v>1339</v>
      </c>
      <c r="F493" s="8" t="s">
        <v>1340</v>
      </c>
      <c r="G493" s="8">
        <v>500</v>
      </c>
    </row>
    <row r="494" spans="1:1008" x14ac:dyDescent="0.15">
      <c r="A494" s="8" t="s">
        <v>2868</v>
      </c>
      <c r="B494" s="8" t="s">
        <v>124</v>
      </c>
      <c r="C494" s="8" t="str">
        <f t="shared" si="7"/>
        <v>lys0arg0</v>
      </c>
      <c r="D494" s="9" t="s">
        <v>15</v>
      </c>
      <c r="E494" s="8" t="s">
        <v>2867</v>
      </c>
      <c r="F494" s="8" t="s">
        <v>2875</v>
      </c>
      <c r="G494" s="8">
        <v>500</v>
      </c>
    </row>
    <row r="495" spans="1:1008" x14ac:dyDescent="0.15">
      <c r="A495" s="8" t="s">
        <v>2869</v>
      </c>
      <c r="B495" s="8" t="s">
        <v>124</v>
      </c>
      <c r="C495" s="8" t="str">
        <f t="shared" si="7"/>
        <v>lys4arg6</v>
      </c>
      <c r="D495" s="9"/>
      <c r="E495" s="8" t="s">
        <v>2870</v>
      </c>
      <c r="F495" s="8" t="s">
        <v>2874</v>
      </c>
      <c r="G495" s="8">
        <v>500</v>
      </c>
    </row>
    <row r="496" spans="1:1008" x14ac:dyDescent="0.15">
      <c r="A496" s="8" t="s">
        <v>2871</v>
      </c>
      <c r="B496" s="8" t="s">
        <v>124</v>
      </c>
      <c r="C496" s="8" t="str">
        <f t="shared" si="7"/>
        <v>lys8arg10</v>
      </c>
      <c r="D496" s="9"/>
      <c r="E496" s="8" t="s">
        <v>2872</v>
      </c>
      <c r="F496" s="8" t="s">
        <v>2873</v>
      </c>
      <c r="G496" s="8">
        <v>500</v>
      </c>
    </row>
    <row r="497" spans="1:7" x14ac:dyDescent="0.15">
      <c r="A497" s="8" t="s">
        <v>1341</v>
      </c>
      <c r="B497" s="8" t="s">
        <v>126</v>
      </c>
      <c r="C497" s="8" t="str">
        <f t="shared" si="7"/>
        <v>abc_transporters</v>
      </c>
      <c r="D497" s="9" t="s">
        <v>15</v>
      </c>
      <c r="E497" s="8" t="s">
        <v>1342</v>
      </c>
      <c r="F497" s="8" t="s">
        <v>1343</v>
      </c>
      <c r="G497" s="8">
        <v>500</v>
      </c>
    </row>
    <row r="498" spans="1:7" x14ac:dyDescent="0.15">
      <c r="A498" s="8" t="s">
        <v>1344</v>
      </c>
      <c r="B498" s="8" t="s">
        <v>126</v>
      </c>
      <c r="C498" s="8" t="str">
        <f t="shared" si="7"/>
        <v>amidoxime_reducing_complex</v>
      </c>
      <c r="D498" s="9" t="s">
        <v>15</v>
      </c>
      <c r="E498" s="8" t="s">
        <v>1345</v>
      </c>
      <c r="F498" s="8" t="s">
        <v>1346</v>
      </c>
      <c r="G498" s="8">
        <v>500</v>
      </c>
    </row>
    <row r="499" spans="1:7" x14ac:dyDescent="0.15">
      <c r="A499" s="8" t="s">
        <v>1347</v>
      </c>
      <c r="B499" s="8" t="s">
        <v>126</v>
      </c>
      <c r="C499" s="8" t="str">
        <f t="shared" si="7"/>
        <v>amino_acid_metabolism</v>
      </c>
      <c r="D499" s="9" t="s">
        <v>15</v>
      </c>
      <c r="E499" s="8" t="s">
        <v>1348</v>
      </c>
      <c r="F499" s="8" t="s">
        <v>1349</v>
      </c>
      <c r="G499" s="8">
        <v>500</v>
      </c>
    </row>
    <row r="500" spans="1:7" x14ac:dyDescent="0.15">
      <c r="A500" s="8" t="s">
        <v>1350</v>
      </c>
      <c r="B500" s="8" t="s">
        <v>126</v>
      </c>
      <c r="C500" s="8" t="str">
        <f t="shared" si="7"/>
        <v>apoptosis</v>
      </c>
      <c r="D500" s="9" t="s">
        <v>15</v>
      </c>
      <c r="E500" s="8" t="s">
        <v>1351</v>
      </c>
      <c r="F500" s="8" t="s">
        <v>1352</v>
      </c>
      <c r="G500" s="8">
        <v>500</v>
      </c>
    </row>
    <row r="501" spans="1:7" x14ac:dyDescent="0.15">
      <c r="A501" s="8" t="s">
        <v>1353</v>
      </c>
      <c r="B501" s="8" t="s">
        <v>126</v>
      </c>
      <c r="C501" s="8" t="str">
        <f t="shared" si="7"/>
        <v>autophagy</v>
      </c>
      <c r="D501" s="9" t="s">
        <v>15</v>
      </c>
      <c r="E501" s="8" t="s">
        <v>1354</v>
      </c>
      <c r="F501" s="8" t="s">
        <v>1355</v>
      </c>
      <c r="G501" s="8">
        <v>500</v>
      </c>
    </row>
    <row r="502" spans="1:7" x14ac:dyDescent="0.15">
      <c r="A502" s="8" t="s">
        <v>1356</v>
      </c>
      <c r="B502" s="8" t="s">
        <v>126</v>
      </c>
      <c r="C502" s="8" t="str">
        <f t="shared" si="7"/>
        <v>biotin_utilizing_proteins</v>
      </c>
      <c r="D502" s="9" t="s">
        <v>15</v>
      </c>
      <c r="E502" s="8" t="s">
        <v>1357</v>
      </c>
      <c r="F502" s="8" t="s">
        <v>1358</v>
      </c>
      <c r="G502" s="8">
        <v>500</v>
      </c>
    </row>
    <row r="503" spans="1:7" x14ac:dyDescent="0.15">
      <c r="A503" s="8" t="s">
        <v>1359</v>
      </c>
      <c r="B503" s="8" t="s">
        <v>126</v>
      </c>
      <c r="C503" s="8" t="str">
        <f t="shared" si="7"/>
        <v>branched_chain_amino_acid_dehydrogenase_complex</v>
      </c>
      <c r="D503" s="9" t="s">
        <v>15</v>
      </c>
      <c r="E503" s="8" t="s">
        <v>1360</v>
      </c>
      <c r="F503" s="8" t="s">
        <v>1361</v>
      </c>
      <c r="G503" s="8">
        <v>500</v>
      </c>
    </row>
    <row r="504" spans="1:7" x14ac:dyDescent="0.15">
      <c r="A504" s="8" t="s">
        <v>1362</v>
      </c>
      <c r="B504" s="8" t="s">
        <v>126</v>
      </c>
      <c r="C504" s="8" t="str">
        <f t="shared" si="7"/>
        <v>branched_chain_amino_acid_metabolism</v>
      </c>
      <c r="D504" s="9" t="s">
        <v>15</v>
      </c>
      <c r="E504" s="8" t="s">
        <v>1363</v>
      </c>
      <c r="F504" s="8" t="s">
        <v>1364</v>
      </c>
      <c r="G504" s="8">
        <v>500</v>
      </c>
    </row>
    <row r="505" spans="1:7" x14ac:dyDescent="0.15">
      <c r="A505" s="8" t="s">
        <v>1365</v>
      </c>
      <c r="B505" s="8" t="s">
        <v>126</v>
      </c>
      <c r="C505" s="8" t="str">
        <f t="shared" si="7"/>
        <v>calcium_cycle</v>
      </c>
      <c r="D505" s="9" t="s">
        <v>15</v>
      </c>
      <c r="E505" s="8" t="s">
        <v>1366</v>
      </c>
      <c r="F505" s="8" t="s">
        <v>1367</v>
      </c>
      <c r="G505" s="8">
        <v>500</v>
      </c>
    </row>
    <row r="506" spans="1:7" x14ac:dyDescent="0.15">
      <c r="A506" s="8" t="s">
        <v>1368</v>
      </c>
      <c r="B506" s="8" t="s">
        <v>126</v>
      </c>
      <c r="C506" s="8" t="str">
        <f t="shared" si="7"/>
        <v>calcium_homeostasis</v>
      </c>
      <c r="D506" s="9" t="s">
        <v>15</v>
      </c>
      <c r="E506" s="8" t="s">
        <v>1369</v>
      </c>
      <c r="F506" s="8" t="s">
        <v>1370</v>
      </c>
      <c r="G506" s="8">
        <v>500</v>
      </c>
    </row>
    <row r="507" spans="1:7" x14ac:dyDescent="0.15">
      <c r="A507" s="8" t="s">
        <v>1371</v>
      </c>
      <c r="B507" s="8" t="s">
        <v>126</v>
      </c>
      <c r="C507" s="8" t="str">
        <f t="shared" si="7"/>
        <v>calcium_uniporter</v>
      </c>
      <c r="D507" s="9" t="s">
        <v>15</v>
      </c>
      <c r="E507" s="8" t="s">
        <v>1372</v>
      </c>
      <c r="F507" s="8" t="s">
        <v>1373</v>
      </c>
      <c r="G507" s="8">
        <v>500</v>
      </c>
    </row>
    <row r="508" spans="1:7" x14ac:dyDescent="0.15">
      <c r="A508" s="8" t="s">
        <v>1374</v>
      </c>
      <c r="B508" s="8" t="s">
        <v>126</v>
      </c>
      <c r="C508" s="8" t="str">
        <f t="shared" si="7"/>
        <v>camp_pka_signaling</v>
      </c>
      <c r="D508" s="9" t="s">
        <v>15</v>
      </c>
      <c r="E508" s="8" t="s">
        <v>1375</v>
      </c>
      <c r="F508" s="8" t="s">
        <v>1376</v>
      </c>
      <c r="G508" s="8">
        <v>500</v>
      </c>
    </row>
    <row r="509" spans="1:7" x14ac:dyDescent="0.15">
      <c r="A509" s="8" t="s">
        <v>1377</v>
      </c>
      <c r="B509" s="8" t="s">
        <v>126</v>
      </c>
      <c r="C509" s="8" t="str">
        <f t="shared" si="7"/>
        <v>carbohydrate_metabolism</v>
      </c>
      <c r="D509" s="9" t="s">
        <v>15</v>
      </c>
      <c r="E509" s="8" t="s">
        <v>1378</v>
      </c>
      <c r="F509" s="8" t="s">
        <v>1379</v>
      </c>
      <c r="G509" s="8">
        <v>500</v>
      </c>
    </row>
    <row r="510" spans="1:7" x14ac:dyDescent="0.15">
      <c r="A510" s="8" t="s">
        <v>1380</v>
      </c>
      <c r="B510" s="8" t="s">
        <v>126</v>
      </c>
      <c r="C510" s="8" t="str">
        <f t="shared" si="7"/>
        <v>cardiolipin_synthesis</v>
      </c>
      <c r="D510" s="9" t="s">
        <v>15</v>
      </c>
      <c r="E510" s="8" t="s">
        <v>1381</v>
      </c>
      <c r="F510" s="8" t="s">
        <v>1382</v>
      </c>
      <c r="G510" s="8">
        <v>500</v>
      </c>
    </row>
    <row r="511" spans="1:7" x14ac:dyDescent="0.15">
      <c r="A511" s="8" t="s">
        <v>1383</v>
      </c>
      <c r="B511" s="8" t="s">
        <v>126</v>
      </c>
      <c r="C511" s="8" t="str">
        <f t="shared" si="7"/>
        <v>carnitine_shuttle</v>
      </c>
      <c r="D511" s="9" t="s">
        <v>15</v>
      </c>
      <c r="E511" s="8" t="s">
        <v>1384</v>
      </c>
      <c r="F511" s="8" t="s">
        <v>1385</v>
      </c>
      <c r="G511" s="8">
        <v>500</v>
      </c>
    </row>
    <row r="512" spans="1:7" x14ac:dyDescent="0.15">
      <c r="A512" s="8" t="s">
        <v>1386</v>
      </c>
      <c r="B512" s="8" t="s">
        <v>126</v>
      </c>
      <c r="C512" s="8" t="str">
        <f t="shared" si="7"/>
        <v>carnitine_synthesis_and_transport</v>
      </c>
      <c r="D512" s="9" t="s">
        <v>15</v>
      </c>
      <c r="E512" s="8" t="s">
        <v>1387</v>
      </c>
      <c r="F512" s="8" t="s">
        <v>1388</v>
      </c>
      <c r="G512" s="8">
        <v>500</v>
      </c>
    </row>
    <row r="513" spans="1:7" x14ac:dyDescent="0.15">
      <c r="A513" s="8" t="s">
        <v>1389</v>
      </c>
      <c r="B513" s="8" t="s">
        <v>126</v>
      </c>
      <c r="C513" s="8" t="str">
        <f t="shared" si="7"/>
        <v>catechol_metabolism</v>
      </c>
      <c r="D513" s="9" t="s">
        <v>15</v>
      </c>
      <c r="E513" s="8" t="s">
        <v>1390</v>
      </c>
      <c r="F513" s="8" t="s">
        <v>1391</v>
      </c>
      <c r="G513" s="8">
        <v>500</v>
      </c>
    </row>
    <row r="514" spans="1:7" x14ac:dyDescent="0.15">
      <c r="A514" s="8" t="s">
        <v>1392</v>
      </c>
      <c r="B514" s="8" t="s">
        <v>126</v>
      </c>
      <c r="C514" s="8" t="str">
        <f t="shared" si="7"/>
        <v>chaperones</v>
      </c>
      <c r="D514" s="9" t="s">
        <v>15</v>
      </c>
      <c r="E514" s="8" t="s">
        <v>1393</v>
      </c>
      <c r="F514" s="8" t="s">
        <v>1394</v>
      </c>
      <c r="G514" s="8">
        <v>500</v>
      </c>
    </row>
    <row r="515" spans="1:7" x14ac:dyDescent="0.15">
      <c r="A515" s="8" t="s">
        <v>1395</v>
      </c>
      <c r="B515" s="8" t="s">
        <v>126</v>
      </c>
      <c r="C515" s="8" t="str">
        <f t="shared" si="7"/>
        <v>cholesterol_associated</v>
      </c>
      <c r="D515" s="9" t="s">
        <v>15</v>
      </c>
      <c r="E515" s="8" t="s">
        <v>1396</v>
      </c>
      <c r="F515" s="8" t="s">
        <v>1397</v>
      </c>
      <c r="G515" s="8">
        <v>500</v>
      </c>
    </row>
    <row r="516" spans="1:7" x14ac:dyDescent="0.15">
      <c r="A516" s="8" t="s">
        <v>1398</v>
      </c>
      <c r="B516" s="8" t="s">
        <v>126</v>
      </c>
      <c r="C516" s="8" t="str">
        <f t="shared" si="7"/>
        <v>choline_and_betaine_metabolism</v>
      </c>
      <c r="D516" s="9" t="s">
        <v>15</v>
      </c>
      <c r="E516" s="8" t="s">
        <v>1399</v>
      </c>
      <c r="F516" s="8" t="s">
        <v>1400</v>
      </c>
      <c r="G516" s="8">
        <v>500</v>
      </c>
    </row>
    <row r="517" spans="1:7" x14ac:dyDescent="0.15">
      <c r="A517" s="8" t="s">
        <v>1401</v>
      </c>
      <c r="B517" s="8" t="s">
        <v>126</v>
      </c>
      <c r="C517" s="8" t="str">
        <f t="shared" si="7"/>
        <v>ci_assembly_factors</v>
      </c>
      <c r="D517" s="9" t="s">
        <v>15</v>
      </c>
      <c r="E517" s="8" t="s">
        <v>1402</v>
      </c>
      <c r="F517" s="8" t="s">
        <v>1403</v>
      </c>
      <c r="G517" s="8">
        <v>500</v>
      </c>
    </row>
    <row r="518" spans="1:7" x14ac:dyDescent="0.15">
      <c r="A518" s="8" t="s">
        <v>1404</v>
      </c>
      <c r="B518" s="8" t="s">
        <v>126</v>
      </c>
      <c r="C518" s="8" t="str">
        <f t="shared" si="7"/>
        <v>ci_subunits</v>
      </c>
      <c r="D518" s="9" t="s">
        <v>15</v>
      </c>
      <c r="E518" s="8" t="s">
        <v>1405</v>
      </c>
      <c r="F518" s="8" t="s">
        <v>1406</v>
      </c>
      <c r="G518" s="8">
        <v>500</v>
      </c>
    </row>
    <row r="519" spans="1:7" x14ac:dyDescent="0.15">
      <c r="A519" s="8" t="s">
        <v>1407</v>
      </c>
      <c r="B519" s="8" t="s">
        <v>126</v>
      </c>
      <c r="C519" s="8" t="str">
        <f t="shared" si="7"/>
        <v>cii_assembly_factors</v>
      </c>
      <c r="D519" s="9" t="s">
        <v>15</v>
      </c>
      <c r="E519" s="8" t="s">
        <v>1408</v>
      </c>
      <c r="F519" s="8" t="s">
        <v>1409</v>
      </c>
      <c r="G519" s="8">
        <v>500</v>
      </c>
    </row>
    <row r="520" spans="1:7" x14ac:dyDescent="0.15">
      <c r="A520" s="8" t="s">
        <v>1410</v>
      </c>
      <c r="B520" s="8" t="s">
        <v>126</v>
      </c>
      <c r="C520" s="8" t="str">
        <f t="shared" si="7"/>
        <v>cii_subunits</v>
      </c>
      <c r="D520" s="9" t="s">
        <v>15</v>
      </c>
      <c r="E520" s="8" t="s">
        <v>1411</v>
      </c>
      <c r="F520" s="8" t="s">
        <v>1412</v>
      </c>
      <c r="G520" s="8">
        <v>500</v>
      </c>
    </row>
    <row r="521" spans="1:7" x14ac:dyDescent="0.15">
      <c r="A521" s="8" t="s">
        <v>1413</v>
      </c>
      <c r="B521" s="8" t="s">
        <v>126</v>
      </c>
      <c r="C521" s="8" t="str">
        <f t="shared" ref="C521:C584" si="8">A521</f>
        <v>ciii_assembly_factors</v>
      </c>
      <c r="D521" s="9" t="s">
        <v>15</v>
      </c>
      <c r="E521" s="8" t="s">
        <v>1414</v>
      </c>
      <c r="F521" s="8" t="s">
        <v>1415</v>
      </c>
      <c r="G521" s="8">
        <v>500</v>
      </c>
    </row>
    <row r="522" spans="1:7" x14ac:dyDescent="0.15">
      <c r="A522" s="8" t="s">
        <v>1416</v>
      </c>
      <c r="B522" s="8" t="s">
        <v>126</v>
      </c>
      <c r="C522" s="8" t="str">
        <f t="shared" si="8"/>
        <v>ciii_subunits</v>
      </c>
      <c r="D522" s="9" t="s">
        <v>15</v>
      </c>
      <c r="E522" s="8" t="s">
        <v>1417</v>
      </c>
      <c r="F522" s="8" t="s">
        <v>1418</v>
      </c>
      <c r="G522" s="8">
        <v>500</v>
      </c>
    </row>
    <row r="523" spans="1:7" x14ac:dyDescent="0.15">
      <c r="A523" s="8" t="s">
        <v>1419</v>
      </c>
      <c r="B523" s="8" t="s">
        <v>126</v>
      </c>
      <c r="C523" s="8" t="str">
        <f t="shared" si="8"/>
        <v>civ_assembly_factors</v>
      </c>
      <c r="D523" s="9" t="s">
        <v>15</v>
      </c>
      <c r="E523" s="8" t="s">
        <v>1420</v>
      </c>
      <c r="F523" s="8" t="s">
        <v>1421</v>
      </c>
      <c r="G523" s="8">
        <v>500</v>
      </c>
    </row>
    <row r="524" spans="1:7" x14ac:dyDescent="0.15">
      <c r="A524" s="8" t="s">
        <v>1422</v>
      </c>
      <c r="B524" s="8" t="s">
        <v>126</v>
      </c>
      <c r="C524" s="8" t="str">
        <f t="shared" si="8"/>
        <v>civ_subunits</v>
      </c>
      <c r="D524" s="9" t="s">
        <v>15</v>
      </c>
      <c r="E524" s="8" t="s">
        <v>1423</v>
      </c>
      <c r="F524" s="8" t="s">
        <v>1424</v>
      </c>
      <c r="G524" s="8">
        <v>500</v>
      </c>
    </row>
    <row r="525" spans="1:7" x14ac:dyDescent="0.15">
      <c r="A525" s="8" t="s">
        <v>1425</v>
      </c>
      <c r="B525" s="8" t="s">
        <v>126</v>
      </c>
      <c r="C525" s="8" t="str">
        <f t="shared" si="8"/>
        <v>coenzyme_a_metabolism</v>
      </c>
      <c r="D525" s="9" t="s">
        <v>15</v>
      </c>
      <c r="E525" s="8" t="s">
        <v>1426</v>
      </c>
      <c r="F525" s="8" t="s">
        <v>1427</v>
      </c>
      <c r="G525" s="8">
        <v>500</v>
      </c>
    </row>
    <row r="526" spans="1:7" x14ac:dyDescent="0.15">
      <c r="A526" s="8" t="s">
        <v>1428</v>
      </c>
      <c r="B526" s="8" t="s">
        <v>126</v>
      </c>
      <c r="C526" s="8" t="str">
        <f t="shared" si="8"/>
        <v>coenzyme_q_metabolism</v>
      </c>
      <c r="D526" s="9" t="s">
        <v>15</v>
      </c>
      <c r="E526" s="8" t="s">
        <v>1429</v>
      </c>
      <c r="F526" s="8" t="s">
        <v>1430</v>
      </c>
      <c r="G526" s="8">
        <v>500</v>
      </c>
    </row>
    <row r="527" spans="1:7" x14ac:dyDescent="0.15">
      <c r="A527" s="8" t="s">
        <v>1431</v>
      </c>
      <c r="B527" s="8" t="s">
        <v>126</v>
      </c>
      <c r="C527" s="8" t="str">
        <f t="shared" si="8"/>
        <v>complex_i</v>
      </c>
      <c r="D527" s="9" t="s">
        <v>15</v>
      </c>
      <c r="E527" s="8" t="s">
        <v>1432</v>
      </c>
      <c r="F527" s="8" t="s">
        <v>1433</v>
      </c>
      <c r="G527" s="8">
        <v>500</v>
      </c>
    </row>
    <row r="528" spans="1:7" x14ac:dyDescent="0.15">
      <c r="A528" s="8" t="s">
        <v>1434</v>
      </c>
      <c r="B528" s="8" t="s">
        <v>126</v>
      </c>
      <c r="C528" s="8" t="str">
        <f t="shared" si="8"/>
        <v>complex_ii</v>
      </c>
      <c r="D528" s="9" t="s">
        <v>15</v>
      </c>
      <c r="E528" s="8" t="s">
        <v>1435</v>
      </c>
      <c r="F528" s="8" t="s">
        <v>1436</v>
      </c>
      <c r="G528" s="8">
        <v>500</v>
      </c>
    </row>
    <row r="529" spans="1:7" x14ac:dyDescent="0.15">
      <c r="A529" s="8" t="s">
        <v>1437</v>
      </c>
      <c r="B529" s="8" t="s">
        <v>126</v>
      </c>
      <c r="C529" s="8" t="str">
        <f t="shared" si="8"/>
        <v>complex_iii</v>
      </c>
      <c r="D529" s="9" t="s">
        <v>15</v>
      </c>
      <c r="E529" s="8" t="s">
        <v>1438</v>
      </c>
      <c r="F529" s="8" t="s">
        <v>1439</v>
      </c>
      <c r="G529" s="8">
        <v>500</v>
      </c>
    </row>
    <row r="530" spans="1:7" x14ac:dyDescent="0.15">
      <c r="A530" s="8" t="s">
        <v>1440</v>
      </c>
      <c r="B530" s="8" t="s">
        <v>126</v>
      </c>
      <c r="C530" s="8" t="str">
        <f t="shared" si="8"/>
        <v>complex_iv</v>
      </c>
      <c r="D530" s="9" t="s">
        <v>15</v>
      </c>
      <c r="E530" s="8" t="s">
        <v>1441</v>
      </c>
      <c r="F530" s="8" t="s">
        <v>1442</v>
      </c>
      <c r="G530" s="8">
        <v>500</v>
      </c>
    </row>
    <row r="531" spans="1:7" x14ac:dyDescent="0.15">
      <c r="A531" s="8" t="s">
        <v>1443</v>
      </c>
      <c r="B531" s="8" t="s">
        <v>126</v>
      </c>
      <c r="C531" s="8" t="str">
        <f t="shared" si="8"/>
        <v>complex_v</v>
      </c>
      <c r="D531" s="9" t="s">
        <v>15</v>
      </c>
      <c r="E531" s="8" t="s">
        <v>1444</v>
      </c>
      <c r="F531" s="8" t="s">
        <v>1445</v>
      </c>
      <c r="G531" s="8">
        <v>500</v>
      </c>
    </row>
    <row r="532" spans="1:7" x14ac:dyDescent="0.15">
      <c r="A532" s="8" t="s">
        <v>1446</v>
      </c>
      <c r="B532" s="8" t="s">
        <v>126</v>
      </c>
      <c r="C532" s="8" t="str">
        <f t="shared" si="8"/>
        <v>copper_metabolism</v>
      </c>
      <c r="D532" s="9" t="s">
        <v>15</v>
      </c>
      <c r="E532" s="8" t="s">
        <v>1447</v>
      </c>
      <c r="F532" s="8" t="s">
        <v>1448</v>
      </c>
      <c r="G532" s="8">
        <v>500</v>
      </c>
    </row>
    <row r="533" spans="1:7" x14ac:dyDescent="0.15">
      <c r="A533" s="8" t="s">
        <v>1449</v>
      </c>
      <c r="B533" s="8" t="s">
        <v>126</v>
      </c>
      <c r="C533" s="8" t="str">
        <f t="shared" si="8"/>
        <v>creatine_metabolism</v>
      </c>
      <c r="D533" s="9" t="s">
        <v>15</v>
      </c>
      <c r="E533" s="8" t="s">
        <v>1450</v>
      </c>
      <c r="F533" s="8" t="s">
        <v>1451</v>
      </c>
      <c r="G533" s="8">
        <v>500</v>
      </c>
    </row>
    <row r="534" spans="1:7" x14ac:dyDescent="0.15">
      <c r="A534" s="8" t="s">
        <v>1452</v>
      </c>
      <c r="B534" s="8" t="s">
        <v>126</v>
      </c>
      <c r="C534" s="8" t="str">
        <f t="shared" si="8"/>
        <v>cristae_formation</v>
      </c>
      <c r="D534" s="9" t="s">
        <v>15</v>
      </c>
      <c r="E534" s="8" t="s">
        <v>1453</v>
      </c>
      <c r="F534" s="8" t="s">
        <v>1454</v>
      </c>
      <c r="G534" s="8">
        <v>500</v>
      </c>
    </row>
    <row r="535" spans="1:7" x14ac:dyDescent="0.15">
      <c r="A535" s="8" t="s">
        <v>1455</v>
      </c>
      <c r="B535" s="8" t="s">
        <v>126</v>
      </c>
      <c r="C535" s="8" t="str">
        <f t="shared" si="8"/>
        <v>cv_assembly_factors</v>
      </c>
      <c r="D535" s="9" t="s">
        <v>15</v>
      </c>
      <c r="E535" s="8" t="s">
        <v>1456</v>
      </c>
      <c r="F535" s="8" t="s">
        <v>1457</v>
      </c>
      <c r="G535" s="8">
        <v>500</v>
      </c>
    </row>
    <row r="536" spans="1:7" x14ac:dyDescent="0.15">
      <c r="A536" s="8" t="s">
        <v>1458</v>
      </c>
      <c r="B536" s="8" t="s">
        <v>126</v>
      </c>
      <c r="C536" s="8" t="str">
        <f t="shared" si="8"/>
        <v>cv_subunits</v>
      </c>
      <c r="D536" s="9" t="s">
        <v>15</v>
      </c>
      <c r="E536" s="8" t="s">
        <v>1459</v>
      </c>
      <c r="F536" s="8" t="s">
        <v>1460</v>
      </c>
      <c r="G536" s="8">
        <v>500</v>
      </c>
    </row>
    <row r="537" spans="1:7" x14ac:dyDescent="0.15">
      <c r="A537" s="8" t="s">
        <v>1461</v>
      </c>
      <c r="B537" s="8" t="s">
        <v>126</v>
      </c>
      <c r="C537" s="8" t="str">
        <f t="shared" si="8"/>
        <v>cytochrome_c</v>
      </c>
      <c r="D537" s="9" t="s">
        <v>15</v>
      </c>
      <c r="E537" s="8" t="s">
        <v>1462</v>
      </c>
      <c r="F537" s="8" t="s">
        <v>1463</v>
      </c>
      <c r="G537" s="8">
        <v>500</v>
      </c>
    </row>
    <row r="538" spans="1:7" x14ac:dyDescent="0.15">
      <c r="A538" s="8" t="s">
        <v>1464</v>
      </c>
      <c r="B538" s="8" t="s">
        <v>126</v>
      </c>
      <c r="C538" s="8" t="str">
        <f t="shared" si="8"/>
        <v>cytochromes</v>
      </c>
      <c r="D538" s="9" t="s">
        <v>15</v>
      </c>
      <c r="E538" s="8" t="s">
        <v>1465</v>
      </c>
      <c r="F538" s="8" t="s">
        <v>1466</v>
      </c>
      <c r="G538" s="8">
        <v>500</v>
      </c>
    </row>
    <row r="539" spans="1:7" x14ac:dyDescent="0.15">
      <c r="A539" s="8" t="s">
        <v>1467</v>
      </c>
      <c r="B539" s="8" t="s">
        <v>126</v>
      </c>
      <c r="C539" s="8" t="str">
        <f t="shared" si="8"/>
        <v>detoxification</v>
      </c>
      <c r="D539" s="9" t="s">
        <v>15</v>
      </c>
      <c r="E539" s="8" t="s">
        <v>1468</v>
      </c>
      <c r="F539" s="8" t="s">
        <v>1469</v>
      </c>
      <c r="G539" s="8">
        <v>500</v>
      </c>
    </row>
    <row r="540" spans="1:7" x14ac:dyDescent="0.15">
      <c r="A540" s="8" t="s">
        <v>1470</v>
      </c>
      <c r="B540" s="8" t="s">
        <v>126</v>
      </c>
      <c r="C540" s="8" t="str">
        <f t="shared" si="8"/>
        <v>ef_hand_proteins</v>
      </c>
      <c r="D540" s="9" t="s">
        <v>15</v>
      </c>
      <c r="E540" s="8" t="s">
        <v>1471</v>
      </c>
      <c r="F540" s="8" t="s">
        <v>1472</v>
      </c>
      <c r="G540" s="8">
        <v>500</v>
      </c>
    </row>
    <row r="541" spans="1:7" x14ac:dyDescent="0.15">
      <c r="A541" s="8" t="s">
        <v>1473</v>
      </c>
      <c r="B541" s="8" t="s">
        <v>126</v>
      </c>
      <c r="C541" s="8" t="str">
        <f t="shared" si="8"/>
        <v>eicosanoid_metabolism</v>
      </c>
      <c r="D541" s="9" t="s">
        <v>15</v>
      </c>
      <c r="E541" s="8" t="s">
        <v>1474</v>
      </c>
      <c r="F541" s="8" t="s">
        <v>1475</v>
      </c>
      <c r="G541" s="8">
        <v>500</v>
      </c>
    </row>
    <row r="542" spans="1:7" x14ac:dyDescent="0.15">
      <c r="A542" s="8" t="s">
        <v>1476</v>
      </c>
      <c r="B542" s="8" t="s">
        <v>126</v>
      </c>
      <c r="C542" s="8" t="str">
        <f t="shared" si="8"/>
        <v>electron_carriers</v>
      </c>
      <c r="D542" s="9" t="s">
        <v>15</v>
      </c>
      <c r="E542" s="8" t="s">
        <v>1477</v>
      </c>
      <c r="F542" s="8" t="s">
        <v>1478</v>
      </c>
      <c r="G542" s="8">
        <v>500</v>
      </c>
    </row>
    <row r="543" spans="1:7" x14ac:dyDescent="0.15">
      <c r="A543" s="8" t="s">
        <v>1479</v>
      </c>
      <c r="B543" s="8" t="s">
        <v>126</v>
      </c>
      <c r="C543" s="8" t="str">
        <f t="shared" si="8"/>
        <v>fatty_acid_oxidation</v>
      </c>
      <c r="D543" s="9" t="s">
        <v>15</v>
      </c>
      <c r="E543" s="8" t="s">
        <v>1480</v>
      </c>
      <c r="F543" s="8" t="s">
        <v>1481</v>
      </c>
      <c r="G543" s="8">
        <v>500</v>
      </c>
    </row>
    <row r="544" spans="1:7" x14ac:dyDescent="0.15">
      <c r="A544" s="8" t="s">
        <v>1482</v>
      </c>
      <c r="B544" s="8" t="s">
        <v>126</v>
      </c>
      <c r="C544" s="8" t="str">
        <f t="shared" si="8"/>
        <v>fe_s_cluster_biosynthesis</v>
      </c>
      <c r="D544" s="9" t="s">
        <v>15</v>
      </c>
      <c r="E544" s="8" t="s">
        <v>1483</v>
      </c>
      <c r="F544" s="8" t="s">
        <v>1484</v>
      </c>
      <c r="G544" s="8">
        <v>500</v>
      </c>
    </row>
    <row r="545" spans="1:7" x14ac:dyDescent="0.15">
      <c r="A545" s="8" t="s">
        <v>1485</v>
      </c>
      <c r="B545" s="8" t="s">
        <v>126</v>
      </c>
      <c r="C545" s="8" t="str">
        <f t="shared" si="8"/>
        <v>fe_s_containing_proteins</v>
      </c>
      <c r="D545" s="9" t="s">
        <v>15</v>
      </c>
      <c r="E545" s="8" t="s">
        <v>1486</v>
      </c>
      <c r="F545" s="8" t="s">
        <v>1487</v>
      </c>
      <c r="G545" s="8">
        <v>500</v>
      </c>
    </row>
    <row r="546" spans="1:7" x14ac:dyDescent="0.15">
      <c r="A546" s="8" t="s">
        <v>1488</v>
      </c>
      <c r="B546" s="8" t="s">
        <v>126</v>
      </c>
      <c r="C546" s="8" t="str">
        <f t="shared" si="8"/>
        <v>fission</v>
      </c>
      <c r="D546" s="9" t="s">
        <v>15</v>
      </c>
      <c r="E546" s="8" t="s">
        <v>1489</v>
      </c>
      <c r="F546" s="8" t="s">
        <v>1490</v>
      </c>
      <c r="G546" s="8">
        <v>500</v>
      </c>
    </row>
    <row r="547" spans="1:7" x14ac:dyDescent="0.15">
      <c r="A547" s="8" t="s">
        <v>1491</v>
      </c>
      <c r="B547" s="8" t="s">
        <v>126</v>
      </c>
      <c r="C547" s="8" t="str">
        <f t="shared" si="8"/>
        <v>fmet_processing</v>
      </c>
      <c r="D547" s="9" t="s">
        <v>15</v>
      </c>
      <c r="E547" s="8" t="s">
        <v>1492</v>
      </c>
      <c r="F547" s="8" t="s">
        <v>1493</v>
      </c>
      <c r="G547" s="8">
        <v>500</v>
      </c>
    </row>
    <row r="548" spans="1:7" x14ac:dyDescent="0.15">
      <c r="A548" s="8" t="s">
        <v>1494</v>
      </c>
      <c r="B548" s="8" t="s">
        <v>126</v>
      </c>
      <c r="C548" s="8" t="str">
        <f t="shared" si="8"/>
        <v>folate_and_1_c_metabolism</v>
      </c>
      <c r="D548" s="9" t="s">
        <v>15</v>
      </c>
      <c r="E548" s="8" t="s">
        <v>1495</v>
      </c>
      <c r="F548" s="8" t="s">
        <v>1496</v>
      </c>
      <c r="G548" s="8">
        <v>500</v>
      </c>
    </row>
    <row r="549" spans="1:7" x14ac:dyDescent="0.15">
      <c r="A549" s="8" t="s">
        <v>1497</v>
      </c>
      <c r="B549" s="8" t="s">
        <v>126</v>
      </c>
      <c r="C549" s="8" t="str">
        <f t="shared" si="8"/>
        <v>fusion</v>
      </c>
      <c r="D549" s="9" t="s">
        <v>15</v>
      </c>
      <c r="E549" s="8" t="s">
        <v>1498</v>
      </c>
      <c r="F549" s="8" t="s">
        <v>1499</v>
      </c>
      <c r="G549" s="8">
        <v>500</v>
      </c>
    </row>
    <row r="550" spans="1:7" x14ac:dyDescent="0.15">
      <c r="A550" s="8" t="s">
        <v>1500</v>
      </c>
      <c r="B550" s="8" t="s">
        <v>126</v>
      </c>
      <c r="C550" s="8" t="str">
        <f t="shared" si="8"/>
        <v>gaba_metabolism</v>
      </c>
      <c r="D550" s="9" t="s">
        <v>15</v>
      </c>
      <c r="E550" s="8" t="s">
        <v>1501</v>
      </c>
      <c r="F550" s="8" t="s">
        <v>1502</v>
      </c>
      <c r="G550" s="8">
        <v>500</v>
      </c>
    </row>
    <row r="551" spans="1:7" x14ac:dyDescent="0.15">
      <c r="A551" s="8" t="s">
        <v>1503</v>
      </c>
      <c r="B551" s="8" t="s">
        <v>126</v>
      </c>
      <c r="C551" s="8" t="str">
        <f t="shared" si="8"/>
        <v>gluconeogenesis</v>
      </c>
      <c r="D551" s="9" t="s">
        <v>15</v>
      </c>
      <c r="E551" s="8" t="s">
        <v>1504</v>
      </c>
      <c r="F551" s="8" t="s">
        <v>1505</v>
      </c>
      <c r="G551" s="8">
        <v>500</v>
      </c>
    </row>
    <row r="552" spans="1:7" x14ac:dyDescent="0.15">
      <c r="A552" s="8" t="s">
        <v>1506</v>
      </c>
      <c r="B552" s="8" t="s">
        <v>126</v>
      </c>
      <c r="C552" s="8" t="str">
        <f t="shared" si="8"/>
        <v>glutamate_metabolism</v>
      </c>
      <c r="D552" s="9" t="s">
        <v>15</v>
      </c>
      <c r="E552" s="8" t="s">
        <v>1507</v>
      </c>
      <c r="F552" s="8" t="s">
        <v>1508</v>
      </c>
      <c r="G552" s="8">
        <v>500</v>
      </c>
    </row>
    <row r="553" spans="1:7" x14ac:dyDescent="0.15">
      <c r="A553" s="8" t="s">
        <v>1509</v>
      </c>
      <c r="B553" s="8" t="s">
        <v>126</v>
      </c>
      <c r="C553" s="8" t="str">
        <f t="shared" si="8"/>
        <v>glycerol_phosphate_shuttle</v>
      </c>
      <c r="D553" s="9" t="s">
        <v>15</v>
      </c>
      <c r="E553" s="8" t="s">
        <v>1510</v>
      </c>
      <c r="F553" s="8" t="s">
        <v>1511</v>
      </c>
      <c r="G553" s="8">
        <v>500</v>
      </c>
    </row>
    <row r="554" spans="1:7" x14ac:dyDescent="0.15">
      <c r="A554" s="8" t="s">
        <v>1512</v>
      </c>
      <c r="B554" s="8" t="s">
        <v>126</v>
      </c>
      <c r="C554" s="8" t="str">
        <f t="shared" si="8"/>
        <v>glycine_cleavage_system</v>
      </c>
      <c r="D554" s="9" t="s">
        <v>15</v>
      </c>
      <c r="E554" s="8" t="s">
        <v>1513</v>
      </c>
      <c r="F554" s="8" t="s">
        <v>1514</v>
      </c>
      <c r="G554" s="8">
        <v>500</v>
      </c>
    </row>
    <row r="555" spans="1:7" x14ac:dyDescent="0.15">
      <c r="A555" s="8" t="s">
        <v>1515</v>
      </c>
      <c r="B555" s="8" t="s">
        <v>126</v>
      </c>
      <c r="C555" s="8" t="str">
        <f t="shared" si="8"/>
        <v>glycine_metabolism</v>
      </c>
      <c r="D555" s="9" t="s">
        <v>15</v>
      </c>
      <c r="E555" s="8" t="s">
        <v>1516</v>
      </c>
      <c r="F555" s="8" t="s">
        <v>1517</v>
      </c>
      <c r="G555" s="8">
        <v>500</v>
      </c>
    </row>
    <row r="556" spans="1:7" x14ac:dyDescent="0.15">
      <c r="A556" s="8" t="s">
        <v>1518</v>
      </c>
      <c r="B556" s="8" t="s">
        <v>126</v>
      </c>
      <c r="C556" s="8" t="str">
        <f t="shared" si="8"/>
        <v>glyoxylate_metabolism</v>
      </c>
      <c r="D556" s="9" t="s">
        <v>15</v>
      </c>
      <c r="E556" s="8" t="s">
        <v>1519</v>
      </c>
      <c r="F556" s="8" t="s">
        <v>1520</v>
      </c>
      <c r="G556" s="8">
        <v>500</v>
      </c>
    </row>
    <row r="557" spans="1:7" x14ac:dyDescent="0.15">
      <c r="A557" s="8" t="s">
        <v>1521</v>
      </c>
      <c r="B557" s="8" t="s">
        <v>126</v>
      </c>
      <c r="C557" s="8" t="str">
        <f t="shared" si="8"/>
        <v>heme_containing_proteins</v>
      </c>
      <c r="D557" s="9" t="s">
        <v>15</v>
      </c>
      <c r="E557" s="8" t="s">
        <v>1522</v>
      </c>
      <c r="F557" s="8" t="s">
        <v>1523</v>
      </c>
      <c r="G557" s="8">
        <v>500</v>
      </c>
    </row>
    <row r="558" spans="1:7" x14ac:dyDescent="0.15">
      <c r="A558" s="8" t="s">
        <v>1524</v>
      </c>
      <c r="B558" s="8" t="s">
        <v>126</v>
      </c>
      <c r="C558" s="8" t="str">
        <f t="shared" si="8"/>
        <v>heme_synthesis_and_processing</v>
      </c>
      <c r="D558" s="9" t="s">
        <v>15</v>
      </c>
      <c r="E558" s="8" t="s">
        <v>1525</v>
      </c>
      <c r="F558" s="8" t="s">
        <v>1526</v>
      </c>
      <c r="G558" s="8">
        <v>500</v>
      </c>
    </row>
    <row r="559" spans="1:7" x14ac:dyDescent="0.15">
      <c r="A559" s="8" t="s">
        <v>1527</v>
      </c>
      <c r="B559" s="8" t="s">
        <v>126</v>
      </c>
      <c r="C559" s="8" t="str">
        <f t="shared" si="8"/>
        <v>immune_response</v>
      </c>
      <c r="D559" s="9" t="s">
        <v>15</v>
      </c>
      <c r="E559" s="8" t="s">
        <v>1528</v>
      </c>
      <c r="F559" s="8" t="s">
        <v>1529</v>
      </c>
      <c r="G559" s="8">
        <v>500</v>
      </c>
    </row>
    <row r="560" spans="1:7" x14ac:dyDescent="0.15">
      <c r="A560" s="8" t="s">
        <v>1530</v>
      </c>
      <c r="B560" s="8" t="s">
        <v>126</v>
      </c>
      <c r="C560" s="8" t="str">
        <f t="shared" si="8"/>
        <v>import_motor</v>
      </c>
      <c r="D560" s="9" t="s">
        <v>15</v>
      </c>
      <c r="E560" s="8" t="s">
        <v>1531</v>
      </c>
      <c r="F560" s="8" t="s">
        <v>1532</v>
      </c>
      <c r="G560" s="8">
        <v>500</v>
      </c>
    </row>
    <row r="561" spans="1:7" x14ac:dyDescent="0.15">
      <c r="A561" s="8" t="s">
        <v>1533</v>
      </c>
      <c r="B561" s="8" t="s">
        <v>126</v>
      </c>
      <c r="C561" s="8" t="str">
        <f t="shared" si="8"/>
        <v>intramitochondrial_membrane_interactions</v>
      </c>
      <c r="D561" s="9" t="s">
        <v>15</v>
      </c>
      <c r="E561" s="8" t="s">
        <v>1534</v>
      </c>
      <c r="F561" s="8" t="s">
        <v>1535</v>
      </c>
      <c r="G561" s="8">
        <v>500</v>
      </c>
    </row>
    <row r="562" spans="1:7" x14ac:dyDescent="0.15">
      <c r="A562" s="8" t="s">
        <v>1536</v>
      </c>
      <c r="B562" s="8" t="s">
        <v>126</v>
      </c>
      <c r="C562" s="8" t="str">
        <f t="shared" si="8"/>
        <v>iron_homeostasis</v>
      </c>
      <c r="D562" s="9" t="s">
        <v>15</v>
      </c>
      <c r="E562" s="8" t="s">
        <v>1537</v>
      </c>
      <c r="F562" s="8" t="s">
        <v>1538</v>
      </c>
      <c r="G562" s="8">
        <v>500</v>
      </c>
    </row>
    <row r="563" spans="1:7" x14ac:dyDescent="0.15">
      <c r="A563" s="8" t="s">
        <v>1539</v>
      </c>
      <c r="B563" s="8" t="s">
        <v>126</v>
      </c>
      <c r="C563" s="8" t="str">
        <f t="shared" si="8"/>
        <v>itaconate_metabolism</v>
      </c>
      <c r="D563" s="9" t="s">
        <v>15</v>
      </c>
      <c r="E563" s="8" t="s">
        <v>1540</v>
      </c>
      <c r="F563" s="8" t="s">
        <v>1541</v>
      </c>
      <c r="G563" s="8">
        <v>500</v>
      </c>
    </row>
    <row r="564" spans="1:7" x14ac:dyDescent="0.15">
      <c r="A564" s="8" t="s">
        <v>1542</v>
      </c>
      <c r="B564" s="8" t="s">
        <v>126</v>
      </c>
      <c r="C564" s="8" t="str">
        <f t="shared" si="8"/>
        <v>ketone_metabolism</v>
      </c>
      <c r="D564" s="9" t="s">
        <v>15</v>
      </c>
      <c r="E564" s="8" t="s">
        <v>1543</v>
      </c>
      <c r="F564" s="8" t="s">
        <v>1544</v>
      </c>
      <c r="G564" s="8">
        <v>500</v>
      </c>
    </row>
    <row r="565" spans="1:7" x14ac:dyDescent="0.15">
      <c r="A565" s="8" t="s">
        <v>1545</v>
      </c>
      <c r="B565" s="8" t="s">
        <v>126</v>
      </c>
      <c r="C565" s="8" t="str">
        <f t="shared" si="8"/>
        <v>kynurenine_metabolism</v>
      </c>
      <c r="D565" s="9" t="s">
        <v>15</v>
      </c>
      <c r="E565" s="8" t="s">
        <v>1546</v>
      </c>
      <c r="F565" s="8" t="s">
        <v>1547</v>
      </c>
      <c r="G565" s="8">
        <v>500</v>
      </c>
    </row>
    <row r="566" spans="1:7" x14ac:dyDescent="0.15">
      <c r="A566" s="8" t="s">
        <v>1548</v>
      </c>
      <c r="B566" s="8" t="s">
        <v>126</v>
      </c>
      <c r="C566" s="8" t="str">
        <f t="shared" si="8"/>
        <v>lipid_metabolism</v>
      </c>
      <c r="D566" s="9" t="s">
        <v>15</v>
      </c>
      <c r="E566" s="8" t="s">
        <v>1549</v>
      </c>
      <c r="F566" s="8" t="s">
        <v>1550</v>
      </c>
      <c r="G566" s="8">
        <v>500</v>
      </c>
    </row>
    <row r="567" spans="1:7" x14ac:dyDescent="0.15">
      <c r="A567" s="8" t="s">
        <v>1551</v>
      </c>
      <c r="B567" s="8" t="s">
        <v>126</v>
      </c>
      <c r="C567" s="8" t="str">
        <f t="shared" si="8"/>
        <v>lipoate_insertion</v>
      </c>
      <c r="D567" s="9" t="s">
        <v>15</v>
      </c>
      <c r="E567" s="8" t="s">
        <v>1552</v>
      </c>
      <c r="F567" s="8" t="s">
        <v>1553</v>
      </c>
      <c r="G567" s="8">
        <v>500</v>
      </c>
    </row>
    <row r="568" spans="1:7" x14ac:dyDescent="0.15">
      <c r="A568" s="8" t="s">
        <v>1554</v>
      </c>
      <c r="B568" s="8" t="s">
        <v>126</v>
      </c>
      <c r="C568" s="8" t="str">
        <f t="shared" si="8"/>
        <v>lysine_metabolism</v>
      </c>
      <c r="D568" s="9" t="s">
        <v>15</v>
      </c>
      <c r="E568" s="8" t="s">
        <v>1555</v>
      </c>
      <c r="F568" s="8" t="s">
        <v>1556</v>
      </c>
      <c r="G568" s="8">
        <v>500</v>
      </c>
    </row>
    <row r="569" spans="1:7" x14ac:dyDescent="0.15">
      <c r="A569" s="8" t="s">
        <v>1557</v>
      </c>
      <c r="B569" s="8" t="s">
        <v>126</v>
      </c>
      <c r="C569" s="8" t="str">
        <f t="shared" si="8"/>
        <v>malate_aspartate_shuttle</v>
      </c>
      <c r="D569" s="9" t="s">
        <v>15</v>
      </c>
      <c r="E569" s="8" t="s">
        <v>1558</v>
      </c>
      <c r="F569" s="8" t="s">
        <v>1559</v>
      </c>
      <c r="G569" s="8">
        <v>500</v>
      </c>
    </row>
    <row r="570" spans="1:7" x14ac:dyDescent="0.15">
      <c r="A570" s="8" t="s">
        <v>1560</v>
      </c>
      <c r="B570" s="8" t="s">
        <v>126</v>
      </c>
      <c r="C570" s="8" t="str">
        <f t="shared" si="8"/>
        <v>metabolism</v>
      </c>
      <c r="D570" s="9" t="s">
        <v>15</v>
      </c>
      <c r="E570" s="8" t="s">
        <v>1561</v>
      </c>
      <c r="F570" s="8" t="s">
        <v>1561</v>
      </c>
      <c r="G570" s="8">
        <v>500</v>
      </c>
    </row>
    <row r="571" spans="1:7" x14ac:dyDescent="0.15">
      <c r="A571" s="8" t="s">
        <v>1562</v>
      </c>
      <c r="B571" s="8" t="s">
        <v>126</v>
      </c>
      <c r="C571" s="8" t="str">
        <f t="shared" si="8"/>
        <v>metals_and_cofactors</v>
      </c>
      <c r="D571" s="9" t="s">
        <v>15</v>
      </c>
      <c r="E571" s="8" t="s">
        <v>1563</v>
      </c>
      <c r="F571" s="8" t="s">
        <v>1564</v>
      </c>
      <c r="G571" s="8">
        <v>500</v>
      </c>
    </row>
    <row r="572" spans="1:7" x14ac:dyDescent="0.15">
      <c r="A572" s="8" t="s">
        <v>1565</v>
      </c>
      <c r="B572" s="8" t="s">
        <v>126</v>
      </c>
      <c r="C572" s="8" t="str">
        <f t="shared" si="8"/>
        <v>mia40</v>
      </c>
      <c r="D572" s="9" t="s">
        <v>15</v>
      </c>
      <c r="E572" s="8" t="s">
        <v>1566</v>
      </c>
      <c r="F572" s="8" t="s">
        <v>1567</v>
      </c>
      <c r="G572" s="8">
        <v>500</v>
      </c>
    </row>
    <row r="573" spans="1:7" x14ac:dyDescent="0.15">
      <c r="A573" s="8" t="s">
        <v>1568</v>
      </c>
      <c r="B573" s="8" t="s">
        <v>126</v>
      </c>
      <c r="C573" s="8" t="str">
        <f t="shared" si="8"/>
        <v>micos_complex</v>
      </c>
      <c r="D573" s="9" t="s">
        <v>15</v>
      </c>
      <c r="E573" s="8" t="s">
        <v>1569</v>
      </c>
      <c r="F573" s="8" t="s">
        <v>1570</v>
      </c>
      <c r="G573" s="8">
        <v>500</v>
      </c>
    </row>
    <row r="574" spans="1:7" x14ac:dyDescent="0.15">
      <c r="A574" s="8" t="s">
        <v>1571</v>
      </c>
      <c r="B574" s="8" t="s">
        <v>126</v>
      </c>
      <c r="C574" s="8" t="str">
        <f t="shared" si="8"/>
        <v>mitochondrial_dynamics_and_surveillance</v>
      </c>
      <c r="D574" s="9" t="s">
        <v>15</v>
      </c>
      <c r="E574" s="8" t="s">
        <v>1572</v>
      </c>
      <c r="F574" s="8" t="s">
        <v>1572</v>
      </c>
      <c r="G574" s="8">
        <v>500</v>
      </c>
    </row>
    <row r="575" spans="1:7" x14ac:dyDescent="0.15">
      <c r="A575" s="8" t="s">
        <v>1573</v>
      </c>
      <c r="B575" s="8" t="s">
        <v>126</v>
      </c>
      <c r="C575" s="8" t="str">
        <f t="shared" si="8"/>
        <v>mitochondrial_permeability_transition_pore</v>
      </c>
      <c r="D575" s="9" t="s">
        <v>15</v>
      </c>
      <c r="E575" s="8" t="s">
        <v>1574</v>
      </c>
      <c r="F575" s="8" t="s">
        <v>1575</v>
      </c>
      <c r="G575" s="8">
        <v>500</v>
      </c>
    </row>
    <row r="576" spans="1:7" x14ac:dyDescent="0.15">
      <c r="A576" s="8" t="s">
        <v>1576</v>
      </c>
      <c r="B576" s="8" t="s">
        <v>126</v>
      </c>
      <c r="C576" s="8" t="str">
        <f t="shared" si="8"/>
        <v>mitochondrial_ribosome</v>
      </c>
      <c r="D576" s="9" t="s">
        <v>15</v>
      </c>
      <c r="E576" s="8" t="s">
        <v>1577</v>
      </c>
      <c r="F576" s="8" t="s">
        <v>1578</v>
      </c>
      <c r="G576" s="8">
        <v>500</v>
      </c>
    </row>
    <row r="577" spans="1:7" x14ac:dyDescent="0.15">
      <c r="A577" s="8" t="s">
        <v>1579</v>
      </c>
      <c r="B577" s="8" t="s">
        <v>126</v>
      </c>
      <c r="C577" s="8" t="str">
        <f t="shared" si="8"/>
        <v>mitochondrial_ribosome_assembly</v>
      </c>
      <c r="D577" s="9" t="s">
        <v>15</v>
      </c>
      <c r="E577" s="8" t="s">
        <v>1580</v>
      </c>
      <c r="F577" s="8" t="s">
        <v>1581</v>
      </c>
      <c r="G577" s="8">
        <v>500</v>
      </c>
    </row>
    <row r="578" spans="1:7" x14ac:dyDescent="0.15">
      <c r="A578" s="8" t="s">
        <v>1582</v>
      </c>
      <c r="B578" s="8" t="s">
        <v>126</v>
      </c>
      <c r="C578" s="8" t="str">
        <f t="shared" si="8"/>
        <v>mitophagy</v>
      </c>
      <c r="D578" s="9" t="s">
        <v>15</v>
      </c>
      <c r="E578" s="8" t="s">
        <v>1583</v>
      </c>
      <c r="F578" s="8" t="s">
        <v>1584</v>
      </c>
      <c r="G578" s="8">
        <v>500</v>
      </c>
    </row>
    <row r="579" spans="1:7" x14ac:dyDescent="0.15">
      <c r="A579" s="8" t="s">
        <v>1585</v>
      </c>
      <c r="B579" s="8" t="s">
        <v>126</v>
      </c>
      <c r="C579" s="8" t="str">
        <f t="shared" si="8"/>
        <v>molybdenum_cofactor_synthesis_and_proteins</v>
      </c>
      <c r="D579" s="9" t="s">
        <v>15</v>
      </c>
      <c r="E579" s="8" t="s">
        <v>1586</v>
      </c>
      <c r="F579" s="8" t="s">
        <v>1587</v>
      </c>
      <c r="G579" s="8">
        <v>500</v>
      </c>
    </row>
    <row r="580" spans="1:7" x14ac:dyDescent="0.15">
      <c r="A580" s="8" t="s">
        <v>1588</v>
      </c>
      <c r="B580" s="8" t="s">
        <v>126</v>
      </c>
      <c r="C580" s="8" t="str">
        <f t="shared" si="8"/>
        <v>mt_mrna_modifications</v>
      </c>
      <c r="D580" s="9" t="s">
        <v>15</v>
      </c>
      <c r="E580" s="8" t="s">
        <v>1589</v>
      </c>
      <c r="F580" s="8" t="s">
        <v>1590</v>
      </c>
      <c r="G580" s="8">
        <v>500</v>
      </c>
    </row>
    <row r="581" spans="1:7" x14ac:dyDescent="0.15">
      <c r="A581" s="8" t="s">
        <v>1591</v>
      </c>
      <c r="B581" s="8" t="s">
        <v>126</v>
      </c>
      <c r="C581" s="8" t="str">
        <f t="shared" si="8"/>
        <v>mt_rrna_modifications</v>
      </c>
      <c r="D581" s="9" t="s">
        <v>15</v>
      </c>
      <c r="E581" s="8" t="s">
        <v>1592</v>
      </c>
      <c r="F581" s="8" t="s">
        <v>1593</v>
      </c>
      <c r="G581" s="8">
        <v>500</v>
      </c>
    </row>
    <row r="582" spans="1:7" x14ac:dyDescent="0.15">
      <c r="A582" s="8" t="s">
        <v>1594</v>
      </c>
      <c r="B582" s="8" t="s">
        <v>126</v>
      </c>
      <c r="C582" s="8" t="str">
        <f t="shared" si="8"/>
        <v>mt_trna_modifications</v>
      </c>
      <c r="D582" s="9" t="s">
        <v>15</v>
      </c>
      <c r="E582" s="8" t="s">
        <v>1595</v>
      </c>
      <c r="F582" s="8" t="s">
        <v>1596</v>
      </c>
      <c r="G582" s="8">
        <v>500</v>
      </c>
    </row>
    <row r="583" spans="1:7" x14ac:dyDescent="0.15">
      <c r="A583" s="8" t="s">
        <v>1597</v>
      </c>
      <c r="B583" s="8" t="s">
        <v>126</v>
      </c>
      <c r="C583" s="8" t="str">
        <f t="shared" si="8"/>
        <v>mt_trna_synthetases</v>
      </c>
      <c r="D583" s="9" t="s">
        <v>15</v>
      </c>
      <c r="E583" s="8" t="s">
        <v>1598</v>
      </c>
      <c r="F583" s="8" t="s">
        <v>1599</v>
      </c>
      <c r="G583" s="8">
        <v>500</v>
      </c>
    </row>
    <row r="584" spans="1:7" x14ac:dyDescent="0.15">
      <c r="A584" s="8" t="s">
        <v>1600</v>
      </c>
      <c r="B584" s="8" t="s">
        <v>126</v>
      </c>
      <c r="C584" s="8" t="str">
        <f t="shared" si="8"/>
        <v>mtdna_maintenance</v>
      </c>
      <c r="D584" s="9" t="s">
        <v>15</v>
      </c>
      <c r="E584" s="8" t="s">
        <v>1601</v>
      </c>
      <c r="F584" s="8" t="s">
        <v>1602</v>
      </c>
      <c r="G584" s="8">
        <v>500</v>
      </c>
    </row>
    <row r="585" spans="1:7" x14ac:dyDescent="0.15">
      <c r="A585" s="8" t="s">
        <v>1603</v>
      </c>
      <c r="B585" s="8" t="s">
        <v>126</v>
      </c>
      <c r="C585" s="8" t="str">
        <f t="shared" ref="C585:C648" si="9">A585</f>
        <v>mtdna_modifications</v>
      </c>
      <c r="D585" s="9" t="s">
        <v>15</v>
      </c>
      <c r="E585" s="8" t="s">
        <v>1604</v>
      </c>
      <c r="F585" s="8" t="s">
        <v>1605</v>
      </c>
      <c r="G585" s="8">
        <v>500</v>
      </c>
    </row>
    <row r="586" spans="1:7" x14ac:dyDescent="0.15">
      <c r="A586" s="8" t="s">
        <v>1606</v>
      </c>
      <c r="B586" s="8" t="s">
        <v>126</v>
      </c>
      <c r="C586" s="8" t="str">
        <f t="shared" si="9"/>
        <v>mtdna_nucleoid</v>
      </c>
      <c r="D586" s="9" t="s">
        <v>15</v>
      </c>
      <c r="E586" s="8" t="s">
        <v>1607</v>
      </c>
      <c r="F586" s="8" t="s">
        <v>1608</v>
      </c>
      <c r="G586" s="8">
        <v>500</v>
      </c>
    </row>
    <row r="587" spans="1:7" x14ac:dyDescent="0.15">
      <c r="A587" s="8" t="s">
        <v>1609</v>
      </c>
      <c r="B587" s="8" t="s">
        <v>126</v>
      </c>
      <c r="C587" s="8" t="str">
        <f t="shared" si="9"/>
        <v>mtdna_repair</v>
      </c>
      <c r="D587" s="9" t="s">
        <v>15</v>
      </c>
      <c r="E587" s="8" t="s">
        <v>1610</v>
      </c>
      <c r="F587" s="8" t="s">
        <v>1611</v>
      </c>
      <c r="G587" s="8">
        <v>500</v>
      </c>
    </row>
    <row r="588" spans="1:7" x14ac:dyDescent="0.15">
      <c r="A588" s="8" t="s">
        <v>1612</v>
      </c>
      <c r="B588" s="8" t="s">
        <v>126</v>
      </c>
      <c r="C588" s="8" t="str">
        <f t="shared" si="9"/>
        <v>mtdna_replication</v>
      </c>
      <c r="D588" s="9" t="s">
        <v>15</v>
      </c>
      <c r="E588" s="8" t="s">
        <v>1613</v>
      </c>
      <c r="F588" s="8" t="s">
        <v>1614</v>
      </c>
      <c r="G588" s="8">
        <v>500</v>
      </c>
    </row>
    <row r="589" spans="1:7" x14ac:dyDescent="0.15">
      <c r="A589" s="8" t="s">
        <v>1615</v>
      </c>
      <c r="B589" s="8" t="s">
        <v>126</v>
      </c>
      <c r="C589" s="8" t="str">
        <f t="shared" si="9"/>
        <v>mtdna_stability_and_decay</v>
      </c>
      <c r="D589" s="9" t="s">
        <v>15</v>
      </c>
      <c r="E589" s="8" t="s">
        <v>1616</v>
      </c>
      <c r="F589" s="8" t="s">
        <v>1617</v>
      </c>
      <c r="G589" s="8">
        <v>500</v>
      </c>
    </row>
    <row r="590" spans="1:7" x14ac:dyDescent="0.15">
      <c r="A590" s="8" t="s">
        <v>1618</v>
      </c>
      <c r="B590" s="8" t="s">
        <v>126</v>
      </c>
      <c r="C590" s="8" t="str">
        <f t="shared" si="9"/>
        <v>mtrna_granules</v>
      </c>
      <c r="D590" s="9" t="s">
        <v>15</v>
      </c>
      <c r="E590" s="8" t="s">
        <v>1619</v>
      </c>
      <c r="F590" s="8" t="s">
        <v>1620</v>
      </c>
      <c r="G590" s="8">
        <v>500</v>
      </c>
    </row>
    <row r="591" spans="1:7" x14ac:dyDescent="0.15">
      <c r="A591" s="8" t="s">
        <v>1621</v>
      </c>
      <c r="B591" s="8" t="s">
        <v>126</v>
      </c>
      <c r="C591" s="8" t="str">
        <f t="shared" si="9"/>
        <v>mtrna_metabolism</v>
      </c>
      <c r="D591" s="9" t="s">
        <v>15</v>
      </c>
      <c r="E591" s="8" t="s">
        <v>1622</v>
      </c>
      <c r="F591" s="8" t="s">
        <v>1623</v>
      </c>
      <c r="G591" s="8">
        <v>500</v>
      </c>
    </row>
    <row r="592" spans="1:7" x14ac:dyDescent="0.15">
      <c r="A592" s="8" t="s">
        <v>1624</v>
      </c>
      <c r="B592" s="8" t="s">
        <v>126</v>
      </c>
      <c r="C592" s="8" t="str">
        <f t="shared" si="9"/>
        <v>mtrna_stability_and_decay</v>
      </c>
      <c r="D592" s="9" t="s">
        <v>15</v>
      </c>
      <c r="E592" s="8" t="s">
        <v>1625</v>
      </c>
      <c r="F592" s="8" t="s">
        <v>1626</v>
      </c>
      <c r="G592" s="8">
        <v>500</v>
      </c>
    </row>
    <row r="593" spans="1:7" x14ac:dyDescent="0.15">
      <c r="A593" s="8" t="s">
        <v>1627</v>
      </c>
      <c r="B593" s="8" t="s">
        <v>126</v>
      </c>
      <c r="C593" s="8" t="str">
        <f t="shared" si="9"/>
        <v>nad_biosynthesis_and_metabolism</v>
      </c>
      <c r="D593" s="9" t="s">
        <v>15</v>
      </c>
      <c r="E593" s="8" t="s">
        <v>1628</v>
      </c>
      <c r="F593" s="8" t="s">
        <v>1629</v>
      </c>
      <c r="G593" s="8">
        <v>500</v>
      </c>
    </row>
    <row r="594" spans="1:7" x14ac:dyDescent="0.15">
      <c r="A594" s="8" t="s">
        <v>1630</v>
      </c>
      <c r="B594" s="8" t="s">
        <v>126</v>
      </c>
      <c r="C594" s="8" t="str">
        <f t="shared" si="9"/>
        <v>nucleotide_import</v>
      </c>
      <c r="D594" s="9" t="s">
        <v>15</v>
      </c>
      <c r="E594" s="8" t="s">
        <v>1631</v>
      </c>
      <c r="F594" s="8" t="s">
        <v>1632</v>
      </c>
      <c r="G594" s="8">
        <v>500</v>
      </c>
    </row>
    <row r="595" spans="1:7" x14ac:dyDescent="0.15">
      <c r="A595" s="8" t="s">
        <v>1633</v>
      </c>
      <c r="B595" s="8" t="s">
        <v>126</v>
      </c>
      <c r="C595" s="8" t="str">
        <f t="shared" si="9"/>
        <v>nucleotide_metabolism</v>
      </c>
      <c r="D595" s="9" t="s">
        <v>15</v>
      </c>
      <c r="E595" s="8" t="s">
        <v>1634</v>
      </c>
      <c r="F595" s="8" t="s">
        <v>1635</v>
      </c>
      <c r="G595" s="8">
        <v>500</v>
      </c>
    </row>
    <row r="596" spans="1:7" x14ac:dyDescent="0.15">
      <c r="A596" s="8" t="s">
        <v>1636</v>
      </c>
      <c r="B596" s="8" t="s">
        <v>126</v>
      </c>
      <c r="C596" s="8" t="str">
        <f t="shared" si="9"/>
        <v>nucleotide_synthesis_and_processing</v>
      </c>
      <c r="D596" s="9" t="s">
        <v>15</v>
      </c>
      <c r="E596" s="8" t="s">
        <v>1637</v>
      </c>
      <c r="F596" s="8" t="s">
        <v>1638</v>
      </c>
      <c r="G596" s="8">
        <v>500</v>
      </c>
    </row>
    <row r="597" spans="1:7" x14ac:dyDescent="0.15">
      <c r="A597" s="8" t="s">
        <v>1639</v>
      </c>
      <c r="B597" s="8" t="s">
        <v>126</v>
      </c>
      <c r="C597" s="8" t="str">
        <f t="shared" si="9"/>
        <v>organelle_contact_sites</v>
      </c>
      <c r="D597" s="9" t="s">
        <v>15</v>
      </c>
      <c r="E597" s="8" t="s">
        <v>1640</v>
      </c>
      <c r="F597" s="8" t="s">
        <v>1641</v>
      </c>
      <c r="G597" s="8">
        <v>500</v>
      </c>
    </row>
    <row r="598" spans="1:7" x14ac:dyDescent="0.15">
      <c r="A598" s="8" t="s">
        <v>1642</v>
      </c>
      <c r="B598" s="8" t="s">
        <v>126</v>
      </c>
      <c r="C598" s="8" t="str">
        <f t="shared" si="9"/>
        <v>oxa</v>
      </c>
      <c r="D598" s="9" t="s">
        <v>15</v>
      </c>
      <c r="E598" s="8" t="s">
        <v>1643</v>
      </c>
      <c r="F598" s="8" t="s">
        <v>1644</v>
      </c>
      <c r="G598" s="8">
        <v>500</v>
      </c>
    </row>
    <row r="599" spans="1:7" x14ac:dyDescent="0.15">
      <c r="A599" s="8" t="s">
        <v>1645</v>
      </c>
      <c r="B599" s="8" t="s">
        <v>126</v>
      </c>
      <c r="C599" s="8" t="str">
        <f t="shared" si="9"/>
        <v>oxphos</v>
      </c>
      <c r="D599" s="9" t="s">
        <v>15</v>
      </c>
      <c r="E599" s="8" t="s">
        <v>1646</v>
      </c>
      <c r="F599" s="8" t="s">
        <v>1646</v>
      </c>
      <c r="G599" s="8">
        <v>500</v>
      </c>
    </row>
    <row r="600" spans="1:7" x14ac:dyDescent="0.15">
      <c r="A600" s="8" t="s">
        <v>1647</v>
      </c>
      <c r="B600" s="8" t="s">
        <v>126</v>
      </c>
      <c r="C600" s="8" t="str">
        <f t="shared" si="9"/>
        <v>oxphos_assembly_factors</v>
      </c>
      <c r="D600" s="9" t="s">
        <v>15</v>
      </c>
      <c r="E600" s="8" t="s">
        <v>1648</v>
      </c>
      <c r="F600" s="8" t="s">
        <v>1649</v>
      </c>
      <c r="G600" s="8">
        <v>500</v>
      </c>
    </row>
    <row r="601" spans="1:7" x14ac:dyDescent="0.15">
      <c r="A601" s="8" t="s">
        <v>1650</v>
      </c>
      <c r="B601" s="8" t="s">
        <v>126</v>
      </c>
      <c r="C601" s="8" t="str">
        <f t="shared" si="9"/>
        <v>oxphos_subunits</v>
      </c>
      <c r="D601" s="9" t="s">
        <v>15</v>
      </c>
      <c r="E601" s="8" t="s">
        <v>1651</v>
      </c>
      <c r="F601" s="8" t="s">
        <v>1652</v>
      </c>
      <c r="G601" s="8">
        <v>500</v>
      </c>
    </row>
    <row r="602" spans="1:7" x14ac:dyDescent="0.15">
      <c r="A602" s="8" t="s">
        <v>1653</v>
      </c>
      <c r="B602" s="8" t="s">
        <v>126</v>
      </c>
      <c r="C602" s="8" t="str">
        <f t="shared" si="9"/>
        <v>phospholipid_metabolism</v>
      </c>
      <c r="D602" s="9" t="s">
        <v>15</v>
      </c>
      <c r="E602" s="8" t="s">
        <v>1654</v>
      </c>
      <c r="F602" s="8" t="s">
        <v>1655</v>
      </c>
      <c r="G602" s="8">
        <v>500</v>
      </c>
    </row>
    <row r="603" spans="1:7" x14ac:dyDescent="0.15">
      <c r="A603" s="8" t="s">
        <v>1656</v>
      </c>
      <c r="B603" s="8" t="s">
        <v>126</v>
      </c>
      <c r="C603" s="8" t="str">
        <f t="shared" si="9"/>
        <v>polycistronic_mtrna_processing</v>
      </c>
      <c r="D603" s="9" t="s">
        <v>15</v>
      </c>
      <c r="E603" s="8" t="s">
        <v>1657</v>
      </c>
      <c r="F603" s="8" t="s">
        <v>1658</v>
      </c>
      <c r="G603" s="8">
        <v>500</v>
      </c>
    </row>
    <row r="604" spans="1:7" x14ac:dyDescent="0.15">
      <c r="A604" s="8" t="s">
        <v>1659</v>
      </c>
      <c r="B604" s="8" t="s">
        <v>126</v>
      </c>
      <c r="C604" s="8" t="str">
        <f t="shared" si="9"/>
        <v>preprotein_cleavage</v>
      </c>
      <c r="D604" s="9" t="s">
        <v>15</v>
      </c>
      <c r="E604" s="8" t="s">
        <v>1660</v>
      </c>
      <c r="F604" s="8" t="s">
        <v>1661</v>
      </c>
      <c r="G604" s="8">
        <v>500</v>
      </c>
    </row>
    <row r="605" spans="1:7" x14ac:dyDescent="0.15">
      <c r="A605" s="8" t="s">
        <v>1662</v>
      </c>
      <c r="B605" s="8" t="s">
        <v>126</v>
      </c>
      <c r="C605" s="8" t="str">
        <f t="shared" si="9"/>
        <v>proline_metabolism</v>
      </c>
      <c r="D605" s="9" t="s">
        <v>15</v>
      </c>
      <c r="E605" s="8" t="s">
        <v>1663</v>
      </c>
      <c r="F605" s="8" t="s">
        <v>1664</v>
      </c>
      <c r="G605" s="8">
        <v>500</v>
      </c>
    </row>
    <row r="606" spans="1:7" x14ac:dyDescent="0.15">
      <c r="A606" s="8" t="s">
        <v>1665</v>
      </c>
      <c r="B606" s="8" t="s">
        <v>126</v>
      </c>
      <c r="C606" s="8" t="str">
        <f t="shared" si="9"/>
        <v>propanoate_metabolism</v>
      </c>
      <c r="D606" s="9" t="s">
        <v>15</v>
      </c>
      <c r="E606" s="8" t="s">
        <v>1666</v>
      </c>
      <c r="F606" s="8" t="s">
        <v>1667</v>
      </c>
      <c r="G606" s="8">
        <v>500</v>
      </c>
    </row>
    <row r="607" spans="1:7" x14ac:dyDescent="0.15">
      <c r="A607" s="8" t="s">
        <v>1668</v>
      </c>
      <c r="B607" s="8" t="s">
        <v>126</v>
      </c>
      <c r="C607" s="8" t="str">
        <f t="shared" si="9"/>
        <v>proteases</v>
      </c>
      <c r="D607" s="9" t="s">
        <v>15</v>
      </c>
      <c r="E607" s="8" t="s">
        <v>1669</v>
      </c>
      <c r="F607" s="8" t="s">
        <v>1670</v>
      </c>
      <c r="G607" s="8">
        <v>500</v>
      </c>
    </row>
    <row r="608" spans="1:7" x14ac:dyDescent="0.15">
      <c r="A608" s="8" t="s">
        <v>1671</v>
      </c>
      <c r="B608" s="8" t="s">
        <v>126</v>
      </c>
      <c r="C608" s="8" t="str">
        <f t="shared" si="9"/>
        <v>protein_homeostasis</v>
      </c>
      <c r="D608" s="9" t="s">
        <v>15</v>
      </c>
      <c r="E608" s="8" t="s">
        <v>1672</v>
      </c>
      <c r="F608" s="8" t="s">
        <v>1673</v>
      </c>
      <c r="G608" s="8">
        <v>500</v>
      </c>
    </row>
    <row r="609" spans="1:7" x14ac:dyDescent="0.15">
      <c r="A609" s="8" t="s">
        <v>1674</v>
      </c>
      <c r="B609" s="8" t="s">
        <v>126</v>
      </c>
      <c r="C609" s="8" t="str">
        <f t="shared" si="9"/>
        <v>protein_import_and_sorting</v>
      </c>
      <c r="D609" s="9" t="s">
        <v>15</v>
      </c>
      <c r="E609" s="8" t="s">
        <v>1675</v>
      </c>
      <c r="F609" s="8" t="s">
        <v>1676</v>
      </c>
      <c r="G609" s="8">
        <v>500</v>
      </c>
    </row>
    <row r="610" spans="1:7" x14ac:dyDescent="0.15">
      <c r="A610" s="8" t="s">
        <v>1677</v>
      </c>
      <c r="B610" s="8" t="s">
        <v>126</v>
      </c>
      <c r="C610" s="8" t="str">
        <f t="shared" si="9"/>
        <v>pyruvate_metabolism</v>
      </c>
      <c r="D610" s="9" t="s">
        <v>15</v>
      </c>
      <c r="E610" s="8" t="s">
        <v>1678</v>
      </c>
      <c r="F610" s="8" t="s">
        <v>1679</v>
      </c>
      <c r="G610" s="8">
        <v>500</v>
      </c>
    </row>
    <row r="611" spans="1:7" x14ac:dyDescent="0.15">
      <c r="A611" s="8" t="s">
        <v>1680</v>
      </c>
      <c r="B611" s="8" t="s">
        <v>126</v>
      </c>
      <c r="C611" s="8" t="str">
        <f t="shared" si="9"/>
        <v>respirasome_assembly</v>
      </c>
      <c r="D611" s="9" t="s">
        <v>15</v>
      </c>
      <c r="E611" s="8" t="s">
        <v>1681</v>
      </c>
      <c r="F611" s="8" t="s">
        <v>1682</v>
      </c>
      <c r="G611" s="8">
        <v>500</v>
      </c>
    </row>
    <row r="612" spans="1:7" x14ac:dyDescent="0.15">
      <c r="A612" s="8" t="s">
        <v>1683</v>
      </c>
      <c r="B612" s="8" t="s">
        <v>126</v>
      </c>
      <c r="C612" s="8" t="str">
        <f t="shared" si="9"/>
        <v>ros_and_glutathione_metabolism</v>
      </c>
      <c r="D612" s="9" t="s">
        <v>15</v>
      </c>
      <c r="E612" s="8" t="s">
        <v>1684</v>
      </c>
      <c r="F612" s="8" t="s">
        <v>1685</v>
      </c>
      <c r="G612" s="8">
        <v>500</v>
      </c>
    </row>
    <row r="613" spans="1:7" x14ac:dyDescent="0.15">
      <c r="A613" s="8" t="s">
        <v>1686</v>
      </c>
      <c r="B613" s="8" t="s">
        <v>126</v>
      </c>
      <c r="C613" s="8" t="str">
        <f t="shared" si="9"/>
        <v>sam</v>
      </c>
      <c r="D613" s="9" t="s">
        <v>15</v>
      </c>
      <c r="E613" s="8" t="s">
        <v>1687</v>
      </c>
      <c r="F613" s="8" t="s">
        <v>1688</v>
      </c>
      <c r="G613" s="8">
        <v>500</v>
      </c>
    </row>
    <row r="614" spans="1:7" x14ac:dyDescent="0.15">
      <c r="A614" s="8" t="s">
        <v>1689</v>
      </c>
      <c r="B614" s="8" t="s">
        <v>126</v>
      </c>
      <c r="C614" s="8" t="str">
        <f t="shared" si="9"/>
        <v>selenoproteins</v>
      </c>
      <c r="D614" s="9" t="s">
        <v>15</v>
      </c>
      <c r="E614" s="8" t="s">
        <v>1690</v>
      </c>
      <c r="F614" s="8" t="s">
        <v>1691</v>
      </c>
      <c r="G614" s="8">
        <v>500</v>
      </c>
    </row>
    <row r="615" spans="1:7" x14ac:dyDescent="0.15">
      <c r="A615" s="8" t="s">
        <v>1692</v>
      </c>
      <c r="B615" s="8" t="s">
        <v>126</v>
      </c>
      <c r="C615" s="8" t="str">
        <f t="shared" si="9"/>
        <v>serine_metabolism</v>
      </c>
      <c r="D615" s="9" t="s">
        <v>15</v>
      </c>
      <c r="E615" s="8" t="s">
        <v>1693</v>
      </c>
      <c r="F615" s="8" t="s">
        <v>1694</v>
      </c>
      <c r="G615" s="8">
        <v>500</v>
      </c>
    </row>
    <row r="616" spans="1:7" x14ac:dyDescent="0.15">
      <c r="A616" s="8" t="s">
        <v>1695</v>
      </c>
      <c r="B616" s="8" t="s">
        <v>126</v>
      </c>
      <c r="C616" s="8" t="str">
        <f t="shared" si="9"/>
        <v>sideroflexins</v>
      </c>
      <c r="D616" s="9" t="s">
        <v>15</v>
      </c>
      <c r="E616" s="8" t="s">
        <v>1696</v>
      </c>
      <c r="F616" s="8" t="s">
        <v>1697</v>
      </c>
      <c r="G616" s="8">
        <v>500</v>
      </c>
    </row>
    <row r="617" spans="1:7" x14ac:dyDescent="0.15">
      <c r="A617" s="8" t="s">
        <v>1698</v>
      </c>
      <c r="B617" s="8" t="s">
        <v>126</v>
      </c>
      <c r="C617" s="8" t="str">
        <f t="shared" si="9"/>
        <v>signaling</v>
      </c>
      <c r="D617" s="9" t="s">
        <v>15</v>
      </c>
      <c r="E617" s="8" t="s">
        <v>1699</v>
      </c>
      <c r="F617" s="8" t="s">
        <v>1699</v>
      </c>
      <c r="G617" s="8">
        <v>500</v>
      </c>
    </row>
    <row r="618" spans="1:7" x14ac:dyDescent="0.15">
      <c r="A618" s="8" t="s">
        <v>1700</v>
      </c>
      <c r="B618" s="8" t="s">
        <v>126</v>
      </c>
      <c r="C618" s="8" t="str">
        <f t="shared" si="9"/>
        <v>slc25a_family</v>
      </c>
      <c r="D618" s="9" t="s">
        <v>15</v>
      </c>
      <c r="E618" s="8" t="s">
        <v>1701</v>
      </c>
      <c r="F618" s="8" t="s">
        <v>1702</v>
      </c>
      <c r="G618" s="8">
        <v>500</v>
      </c>
    </row>
    <row r="619" spans="1:7" x14ac:dyDescent="0.15">
      <c r="A619" s="8" t="s">
        <v>1703</v>
      </c>
      <c r="B619" s="8" t="s">
        <v>126</v>
      </c>
      <c r="C619" s="8" t="str">
        <f t="shared" si="9"/>
        <v>small_molecule_transport</v>
      </c>
      <c r="D619" s="9" t="s">
        <v>15</v>
      </c>
      <c r="E619" s="8" t="s">
        <v>1704</v>
      </c>
      <c r="F619" s="8" t="s">
        <v>1704</v>
      </c>
      <c r="G619" s="8">
        <v>500</v>
      </c>
    </row>
    <row r="620" spans="1:7" x14ac:dyDescent="0.15">
      <c r="A620" s="8" t="s">
        <v>1705</v>
      </c>
      <c r="B620" s="8" t="s">
        <v>126</v>
      </c>
      <c r="C620" s="8" t="str">
        <f t="shared" si="9"/>
        <v>sulfur_metabolism</v>
      </c>
      <c r="D620" s="9" t="s">
        <v>15</v>
      </c>
      <c r="E620" s="8" t="s">
        <v>1706</v>
      </c>
      <c r="F620" s="8" t="s">
        <v>1707</v>
      </c>
      <c r="G620" s="8">
        <v>500</v>
      </c>
    </row>
    <row r="621" spans="1:7" x14ac:dyDescent="0.15">
      <c r="A621" s="8" t="s">
        <v>1708</v>
      </c>
      <c r="B621" s="8" t="s">
        <v>126</v>
      </c>
      <c r="C621" s="8" t="str">
        <f t="shared" si="9"/>
        <v>tca_associated</v>
      </c>
      <c r="D621" s="9" t="s">
        <v>15</v>
      </c>
      <c r="E621" s="8" t="s">
        <v>1709</v>
      </c>
      <c r="F621" s="8" t="s">
        <v>1710</v>
      </c>
      <c r="G621" s="8">
        <v>500</v>
      </c>
    </row>
    <row r="622" spans="1:7" x14ac:dyDescent="0.15">
      <c r="A622" s="8" t="s">
        <v>1711</v>
      </c>
      <c r="B622" s="8" t="s">
        <v>126</v>
      </c>
      <c r="C622" s="8" t="str">
        <f t="shared" si="9"/>
        <v>tca_cycle</v>
      </c>
      <c r="D622" s="9" t="s">
        <v>15</v>
      </c>
      <c r="E622" s="8" t="s">
        <v>1712</v>
      </c>
      <c r="F622" s="8" t="s">
        <v>1713</v>
      </c>
      <c r="G622" s="8">
        <v>500</v>
      </c>
    </row>
    <row r="623" spans="1:7" x14ac:dyDescent="0.15">
      <c r="A623" s="8" t="s">
        <v>1714</v>
      </c>
      <c r="B623" s="8" t="s">
        <v>126</v>
      </c>
      <c r="C623" s="8" t="str">
        <f t="shared" si="9"/>
        <v>tetrahydrobiopterin_synthesis</v>
      </c>
      <c r="D623" s="9" t="s">
        <v>15</v>
      </c>
      <c r="E623" s="8" t="s">
        <v>1715</v>
      </c>
      <c r="F623" s="8" t="s">
        <v>1716</v>
      </c>
      <c r="G623" s="8">
        <v>500</v>
      </c>
    </row>
    <row r="624" spans="1:7" x14ac:dyDescent="0.15">
      <c r="A624" s="8" t="s">
        <v>1717</v>
      </c>
      <c r="B624" s="8" t="s">
        <v>126</v>
      </c>
      <c r="C624" s="8" t="str">
        <f t="shared" si="9"/>
        <v>tim22_carrier_pathway</v>
      </c>
      <c r="D624" s="9" t="s">
        <v>15</v>
      </c>
      <c r="E624" s="8" t="s">
        <v>1718</v>
      </c>
      <c r="F624" s="8" t="s">
        <v>1719</v>
      </c>
      <c r="G624" s="8">
        <v>500</v>
      </c>
    </row>
    <row r="625" spans="1:7" x14ac:dyDescent="0.15">
      <c r="A625" s="8" t="s">
        <v>1720</v>
      </c>
      <c r="B625" s="8" t="s">
        <v>126</v>
      </c>
      <c r="C625" s="8" t="str">
        <f t="shared" si="9"/>
        <v>tim23_presequence_pathway</v>
      </c>
      <c r="D625" s="9" t="s">
        <v>15</v>
      </c>
      <c r="E625" s="8" t="s">
        <v>1721</v>
      </c>
      <c r="F625" s="8" t="s">
        <v>1722</v>
      </c>
      <c r="G625" s="8">
        <v>500</v>
      </c>
    </row>
    <row r="626" spans="1:7" x14ac:dyDescent="0.15">
      <c r="A626" s="8" t="s">
        <v>1723</v>
      </c>
      <c r="B626" s="8" t="s">
        <v>126</v>
      </c>
      <c r="C626" s="8" t="str">
        <f t="shared" si="9"/>
        <v>tom</v>
      </c>
      <c r="D626" s="9" t="s">
        <v>15</v>
      </c>
      <c r="E626" s="8" t="s">
        <v>1724</v>
      </c>
      <c r="F626" s="8" t="s">
        <v>1725</v>
      </c>
      <c r="G626" s="8">
        <v>500</v>
      </c>
    </row>
    <row r="627" spans="1:7" x14ac:dyDescent="0.15">
      <c r="A627" s="8" t="s">
        <v>1726</v>
      </c>
      <c r="B627" s="8" t="s">
        <v>126</v>
      </c>
      <c r="C627" s="8" t="str">
        <f t="shared" si="9"/>
        <v>trafficking</v>
      </c>
      <c r="D627" s="9" t="s">
        <v>15</v>
      </c>
      <c r="E627" s="8" t="s">
        <v>1727</v>
      </c>
      <c r="F627" s="8" t="s">
        <v>1728</v>
      </c>
      <c r="G627" s="8">
        <v>500</v>
      </c>
    </row>
    <row r="628" spans="1:7" x14ac:dyDescent="0.15">
      <c r="A628" s="8" t="s">
        <v>1729</v>
      </c>
      <c r="B628" s="8" t="s">
        <v>126</v>
      </c>
      <c r="C628" s="8" t="str">
        <f t="shared" si="9"/>
        <v>transcription</v>
      </c>
      <c r="D628" s="9" t="s">
        <v>15</v>
      </c>
      <c r="E628" s="8" t="s">
        <v>1730</v>
      </c>
      <c r="F628" s="8" t="s">
        <v>1731</v>
      </c>
      <c r="G628" s="8">
        <v>500</v>
      </c>
    </row>
    <row r="629" spans="1:7" x14ac:dyDescent="0.15">
      <c r="A629" s="8" t="s">
        <v>1732</v>
      </c>
      <c r="B629" s="8" t="s">
        <v>126</v>
      </c>
      <c r="C629" s="8" t="str">
        <f t="shared" si="9"/>
        <v>translation</v>
      </c>
      <c r="D629" s="9" t="s">
        <v>15</v>
      </c>
      <c r="E629" s="8" t="s">
        <v>1733</v>
      </c>
      <c r="F629" s="8" t="s">
        <v>1734</v>
      </c>
      <c r="G629" s="8">
        <v>500</v>
      </c>
    </row>
    <row r="630" spans="1:7" x14ac:dyDescent="0.15">
      <c r="A630" s="8" t="s">
        <v>1735</v>
      </c>
      <c r="B630" s="8" t="s">
        <v>126</v>
      </c>
      <c r="C630" s="8" t="str">
        <f t="shared" si="9"/>
        <v>translation_factors</v>
      </c>
      <c r="D630" s="9" t="s">
        <v>15</v>
      </c>
      <c r="E630" s="8" t="s">
        <v>1736</v>
      </c>
      <c r="F630" s="8" t="s">
        <v>1737</v>
      </c>
      <c r="G630" s="8">
        <v>500</v>
      </c>
    </row>
    <row r="631" spans="1:7" x14ac:dyDescent="0.15">
      <c r="A631" s="8" t="s">
        <v>1738</v>
      </c>
      <c r="B631" s="8" t="s">
        <v>126</v>
      </c>
      <c r="C631" s="8" t="str">
        <f t="shared" si="9"/>
        <v>type_ii_fatty_acid_synthesis</v>
      </c>
      <c r="D631" s="9" t="s">
        <v>15</v>
      </c>
      <c r="E631" s="8" t="s">
        <v>1739</v>
      </c>
      <c r="F631" s="8" t="s">
        <v>1740</v>
      </c>
      <c r="G631" s="8">
        <v>500</v>
      </c>
    </row>
    <row r="632" spans="1:7" x14ac:dyDescent="0.15">
      <c r="A632" s="8" t="s">
        <v>1741</v>
      </c>
      <c r="B632" s="8" t="s">
        <v>126</v>
      </c>
      <c r="C632" s="8" t="str">
        <f t="shared" si="9"/>
        <v>urea_cycle</v>
      </c>
      <c r="D632" s="9" t="s">
        <v>15</v>
      </c>
      <c r="E632" s="8" t="s">
        <v>1742</v>
      </c>
      <c r="F632" s="8" t="s">
        <v>1743</v>
      </c>
      <c r="G632" s="8">
        <v>500</v>
      </c>
    </row>
    <row r="633" spans="1:7" x14ac:dyDescent="0.15">
      <c r="A633" s="8" t="s">
        <v>1744</v>
      </c>
      <c r="B633" s="8" t="s">
        <v>126</v>
      </c>
      <c r="C633" s="8" t="str">
        <f t="shared" si="9"/>
        <v>vitamin_a_metabolism</v>
      </c>
      <c r="D633" s="9" t="s">
        <v>15</v>
      </c>
      <c r="E633" s="8" t="s">
        <v>1745</v>
      </c>
      <c r="F633" s="8" t="s">
        <v>1746</v>
      </c>
      <c r="G633" s="8">
        <v>500</v>
      </c>
    </row>
    <row r="634" spans="1:7" x14ac:dyDescent="0.15">
      <c r="A634" s="8" t="s">
        <v>1747</v>
      </c>
      <c r="B634" s="8" t="s">
        <v>126</v>
      </c>
      <c r="C634" s="8" t="str">
        <f t="shared" si="9"/>
        <v>vitamin_b1_metabolism</v>
      </c>
      <c r="D634" s="9" t="s">
        <v>15</v>
      </c>
      <c r="E634" s="8" t="s">
        <v>1748</v>
      </c>
      <c r="F634" s="8" t="s">
        <v>1749</v>
      </c>
      <c r="G634" s="8">
        <v>500</v>
      </c>
    </row>
    <row r="635" spans="1:7" x14ac:dyDescent="0.15">
      <c r="A635" s="8" t="s">
        <v>1750</v>
      </c>
      <c r="B635" s="8" t="s">
        <v>126</v>
      </c>
      <c r="C635" s="8" t="str">
        <f t="shared" si="9"/>
        <v>vitamin_b12_metabolism</v>
      </c>
      <c r="D635" s="9" t="s">
        <v>15</v>
      </c>
      <c r="E635" s="8" t="s">
        <v>1751</v>
      </c>
      <c r="F635" s="8" t="s">
        <v>1752</v>
      </c>
      <c r="G635" s="8">
        <v>500</v>
      </c>
    </row>
    <row r="636" spans="1:7" x14ac:dyDescent="0.15">
      <c r="A636" s="8" t="s">
        <v>1753</v>
      </c>
      <c r="B636" s="8" t="s">
        <v>126</v>
      </c>
      <c r="C636" s="8" t="str">
        <f t="shared" si="9"/>
        <v>vitamin_b2_metabolism</v>
      </c>
      <c r="D636" s="9" t="s">
        <v>15</v>
      </c>
      <c r="E636" s="8" t="s">
        <v>1754</v>
      </c>
      <c r="F636" s="8" t="s">
        <v>1755</v>
      </c>
      <c r="G636" s="8">
        <v>500</v>
      </c>
    </row>
    <row r="637" spans="1:7" x14ac:dyDescent="0.15">
      <c r="A637" s="8" t="s">
        <v>1756</v>
      </c>
      <c r="B637" s="8" t="s">
        <v>126</v>
      </c>
      <c r="C637" s="8" t="str">
        <f t="shared" si="9"/>
        <v>vitamin_b6_metabolism</v>
      </c>
      <c r="D637" s="9" t="s">
        <v>15</v>
      </c>
      <c r="E637" s="8" t="s">
        <v>1757</v>
      </c>
      <c r="F637" s="8" t="s">
        <v>1758</v>
      </c>
      <c r="G637" s="8">
        <v>500</v>
      </c>
    </row>
    <row r="638" spans="1:7" x14ac:dyDescent="0.15">
      <c r="A638" s="8" t="s">
        <v>1759</v>
      </c>
      <c r="B638" s="8" t="s">
        <v>126</v>
      </c>
      <c r="C638" s="8" t="str">
        <f t="shared" si="9"/>
        <v>vitamin_c_metabolism</v>
      </c>
      <c r="D638" s="9" t="s">
        <v>15</v>
      </c>
      <c r="E638" s="8" t="s">
        <v>1760</v>
      </c>
      <c r="F638" s="8" t="s">
        <v>1761</v>
      </c>
      <c r="G638" s="8">
        <v>500</v>
      </c>
    </row>
    <row r="639" spans="1:7" x14ac:dyDescent="0.15">
      <c r="A639" s="8" t="s">
        <v>1762</v>
      </c>
      <c r="B639" s="8" t="s">
        <v>126</v>
      </c>
      <c r="C639" s="8" t="str">
        <f t="shared" si="9"/>
        <v>vitamin_d_metabolism</v>
      </c>
      <c r="D639" s="9" t="s">
        <v>15</v>
      </c>
      <c r="E639" s="8" t="s">
        <v>1763</v>
      </c>
      <c r="F639" s="8" t="s">
        <v>1764</v>
      </c>
      <c r="G639" s="8">
        <v>500</v>
      </c>
    </row>
    <row r="640" spans="1:7" x14ac:dyDescent="0.15">
      <c r="A640" s="8" t="s">
        <v>1765</v>
      </c>
      <c r="B640" s="8" t="s">
        <v>126</v>
      </c>
      <c r="C640" s="8" t="str">
        <f t="shared" si="9"/>
        <v>vitamin_metabolism</v>
      </c>
      <c r="D640" s="9" t="s">
        <v>15</v>
      </c>
      <c r="E640" s="8" t="s">
        <v>1766</v>
      </c>
      <c r="F640" s="8" t="s">
        <v>1767</v>
      </c>
      <c r="G640" s="8">
        <v>500</v>
      </c>
    </row>
    <row r="641" spans="1:7" x14ac:dyDescent="0.15">
      <c r="A641" s="8" t="s">
        <v>1768</v>
      </c>
      <c r="B641" s="8" t="s">
        <v>126</v>
      </c>
      <c r="C641" s="8" t="str">
        <f t="shared" si="9"/>
        <v>xenobiotic_metabolism</v>
      </c>
      <c r="D641" s="9" t="s">
        <v>15</v>
      </c>
      <c r="E641" s="8" t="s">
        <v>1769</v>
      </c>
      <c r="F641" s="8" t="s">
        <v>1770</v>
      </c>
      <c r="G641" s="8">
        <v>500</v>
      </c>
    </row>
    <row r="642" spans="1:7" x14ac:dyDescent="0.15">
      <c r="A642" s="8" t="s">
        <v>1771</v>
      </c>
      <c r="B642" s="8" t="s">
        <v>1772</v>
      </c>
      <c r="C642" s="8" t="str">
        <f t="shared" si="9"/>
        <v>arbitrary</v>
      </c>
      <c r="D642" s="9" t="s">
        <v>15</v>
      </c>
      <c r="E642" s="8" t="s">
        <v>1773</v>
      </c>
      <c r="F642" s="8" t="s">
        <v>1774</v>
      </c>
      <c r="G642" s="8">
        <v>500</v>
      </c>
    </row>
    <row r="643" spans="1:7" x14ac:dyDescent="0.15">
      <c r="A643" s="8" t="s">
        <v>1775</v>
      </c>
      <c r="B643" s="8" t="s">
        <v>1772</v>
      </c>
      <c r="C643" s="8" t="str">
        <f t="shared" si="9"/>
        <v>random</v>
      </c>
      <c r="D643" s="9" t="s">
        <v>15</v>
      </c>
      <c r="E643" s="8" t="s">
        <v>1776</v>
      </c>
      <c r="F643" s="8" t="s">
        <v>1774</v>
      </c>
      <c r="G643" s="8">
        <v>500</v>
      </c>
    </row>
    <row r="644" spans="1:7" x14ac:dyDescent="0.15">
      <c r="A644" s="8" t="s">
        <v>1777</v>
      </c>
      <c r="B644" s="8" t="s">
        <v>129</v>
      </c>
      <c r="C644" s="8" t="str">
        <f t="shared" si="9"/>
        <v>in_vitro</v>
      </c>
      <c r="D644" s="9" t="s">
        <v>15</v>
      </c>
      <c r="E644" s="8" t="s">
        <v>1778</v>
      </c>
      <c r="F644" s="8" t="s">
        <v>1779</v>
      </c>
      <c r="G644" s="8">
        <v>500</v>
      </c>
    </row>
    <row r="645" spans="1:7" x14ac:dyDescent="0.15">
      <c r="A645" s="8" t="s">
        <v>1780</v>
      </c>
      <c r="B645" s="8" t="s">
        <v>129</v>
      </c>
      <c r="C645" s="8" t="str">
        <f t="shared" si="9"/>
        <v>in_vivo</v>
      </c>
      <c r="D645" s="9" t="s">
        <v>15</v>
      </c>
      <c r="E645" s="8" t="s">
        <v>1781</v>
      </c>
      <c r="F645" s="8" t="s">
        <v>1782</v>
      </c>
      <c r="G645" s="8">
        <v>500</v>
      </c>
    </row>
    <row r="646" spans="1:7" s="6" customFormat="1" x14ac:dyDescent="0.15">
      <c r="A646" s="8" t="s">
        <v>1783</v>
      </c>
      <c r="B646" s="8" t="s">
        <v>129</v>
      </c>
      <c r="C646" s="8" t="str">
        <f t="shared" si="9"/>
        <v>xenografts</v>
      </c>
      <c r="D646" s="9" t="s">
        <v>15</v>
      </c>
      <c r="E646" s="8" t="s">
        <v>1783</v>
      </c>
      <c r="F646" s="8" t="s">
        <v>1784</v>
      </c>
      <c r="G646" s="8">
        <v>500</v>
      </c>
    </row>
    <row r="647" spans="1:7" s="6" customFormat="1" x14ac:dyDescent="0.15">
      <c r="A647" s="8" t="s">
        <v>2990</v>
      </c>
      <c r="B647" s="8" t="s">
        <v>2988</v>
      </c>
      <c r="C647" s="8" t="str">
        <f t="shared" si="9"/>
        <v>nestincre</v>
      </c>
      <c r="D647" s="8" t="s">
        <v>15</v>
      </c>
      <c r="E647" s="8" t="s">
        <v>2989</v>
      </c>
      <c r="F647" s="8" t="s">
        <v>3002</v>
      </c>
      <c r="G647" s="8">
        <v>500</v>
      </c>
    </row>
    <row r="648" spans="1:7" x14ac:dyDescent="0.15">
      <c r="A648" s="8" t="s">
        <v>2992</v>
      </c>
      <c r="B648" s="8" t="s">
        <v>2988</v>
      </c>
      <c r="C648" s="8" t="str">
        <f t="shared" si="9"/>
        <v>cmvcre</v>
      </c>
      <c r="D648" s="8" t="s">
        <v>15</v>
      </c>
      <c r="E648" s="8" t="s">
        <v>2991</v>
      </c>
      <c r="F648" s="8" t="s">
        <v>3001</v>
      </c>
      <c r="G648" s="8">
        <v>500</v>
      </c>
    </row>
    <row r="649" spans="1:7" x14ac:dyDescent="0.15">
      <c r="A649" s="8" t="s">
        <v>2995</v>
      </c>
      <c r="B649" s="8" t="s">
        <v>2988</v>
      </c>
      <c r="C649" s="8" t="str">
        <f t="shared" ref="C649:C712" si="10">A649</f>
        <v>myh6cre</v>
      </c>
      <c r="D649" s="8" t="s">
        <v>15</v>
      </c>
      <c r="E649" s="8" t="s">
        <v>2994</v>
      </c>
      <c r="F649" s="8" t="s">
        <v>2993</v>
      </c>
      <c r="G649" s="8">
        <v>500</v>
      </c>
    </row>
    <row r="650" spans="1:7" x14ac:dyDescent="0.15">
      <c r="A650" s="8" t="s">
        <v>2461</v>
      </c>
      <c r="B650" s="8" t="s">
        <v>2988</v>
      </c>
      <c r="C650" s="8" t="str">
        <f t="shared" si="10"/>
        <v>albcre</v>
      </c>
      <c r="D650" s="8" t="s">
        <v>15</v>
      </c>
      <c r="E650" s="8" t="s">
        <v>2996</v>
      </c>
      <c r="F650" s="8" t="s">
        <v>3000</v>
      </c>
      <c r="G650" s="8">
        <v>500</v>
      </c>
    </row>
    <row r="651" spans="1:7" x14ac:dyDescent="0.15">
      <c r="A651" s="8" t="s">
        <v>2997</v>
      </c>
      <c r="B651" s="8" t="s">
        <v>2988</v>
      </c>
      <c r="C651" s="8" t="str">
        <f t="shared" si="10"/>
        <v>ucpcre</v>
      </c>
      <c r="D651" s="8" t="s">
        <v>15</v>
      </c>
      <c r="E651" s="8" t="s">
        <v>2998</v>
      </c>
      <c r="F651" s="8" t="s">
        <v>2999</v>
      </c>
      <c r="G651" s="8">
        <v>500</v>
      </c>
    </row>
    <row r="652" spans="1:7" x14ac:dyDescent="0.15">
      <c r="A652" s="8" t="s">
        <v>2458</v>
      </c>
      <c r="B652" s="8" t="s">
        <v>2988</v>
      </c>
      <c r="C652" s="8" t="str">
        <f t="shared" si="10"/>
        <v>adipoqcre</v>
      </c>
      <c r="D652" s="8" t="s">
        <v>15</v>
      </c>
      <c r="E652" s="8" t="s">
        <v>3003</v>
      </c>
      <c r="F652" s="8" t="s">
        <v>3004</v>
      </c>
      <c r="G652" s="8">
        <v>500</v>
      </c>
    </row>
    <row r="653" spans="1:7" x14ac:dyDescent="0.15">
      <c r="A653" s="8" t="s">
        <v>3012</v>
      </c>
      <c r="B653" s="8" t="s">
        <v>2988</v>
      </c>
      <c r="C653" s="8" t="str">
        <f t="shared" si="10"/>
        <v>ckmmcre</v>
      </c>
      <c r="D653" s="8" t="s">
        <v>15</v>
      </c>
      <c r="E653" s="8" t="s">
        <v>3013</v>
      </c>
      <c r="F653" s="8" t="s">
        <v>3014</v>
      </c>
      <c r="G653" s="8">
        <v>500</v>
      </c>
    </row>
    <row r="654" spans="1:7" x14ac:dyDescent="0.15">
      <c r="A654" s="8" t="s">
        <v>1785</v>
      </c>
      <c r="B654" s="8" t="s">
        <v>3859</v>
      </c>
      <c r="C654" s="8" t="str">
        <f t="shared" si="10"/>
        <v>eclips</v>
      </c>
      <c r="D654" s="9" t="s">
        <v>15</v>
      </c>
      <c r="E654" s="8" t="s">
        <v>1786</v>
      </c>
      <c r="F654" s="8" t="s">
        <v>1786</v>
      </c>
      <c r="G654" s="8">
        <v>500</v>
      </c>
    </row>
    <row r="655" spans="1:7" x14ac:dyDescent="0.15">
      <c r="A655" s="8" t="s">
        <v>1787</v>
      </c>
      <c r="B655" s="8" t="s">
        <v>3859</v>
      </c>
      <c r="C655" s="8" t="str">
        <f t="shared" si="10"/>
        <v>exploris240</v>
      </c>
      <c r="D655" s="9" t="s">
        <v>15</v>
      </c>
      <c r="E655" s="8" t="s">
        <v>1788</v>
      </c>
      <c r="F655" s="8" t="s">
        <v>1789</v>
      </c>
      <c r="G655" s="8">
        <v>500</v>
      </c>
    </row>
    <row r="656" spans="1:7" x14ac:dyDescent="0.15">
      <c r="A656" s="8" t="s">
        <v>1790</v>
      </c>
      <c r="B656" s="8" t="s">
        <v>3859</v>
      </c>
      <c r="C656" s="8" t="str">
        <f t="shared" si="10"/>
        <v>exploris480</v>
      </c>
      <c r="D656" s="9" t="s">
        <v>15</v>
      </c>
      <c r="E656" s="8" t="s">
        <v>1791</v>
      </c>
      <c r="F656" s="8" t="s">
        <v>1792</v>
      </c>
      <c r="G656" s="8">
        <v>500</v>
      </c>
    </row>
    <row r="657" spans="1:7" x14ac:dyDescent="0.15">
      <c r="A657" s="8" t="s">
        <v>1793</v>
      </c>
      <c r="B657" s="8" t="s">
        <v>3859</v>
      </c>
      <c r="C657" s="8" t="str">
        <f t="shared" si="10"/>
        <v>qex</v>
      </c>
      <c r="D657" s="9" t="s">
        <v>15</v>
      </c>
      <c r="E657" s="8" t="s">
        <v>1794</v>
      </c>
      <c r="F657" s="8" t="s">
        <v>1795</v>
      </c>
      <c r="G657" s="8">
        <v>500</v>
      </c>
    </row>
    <row r="658" spans="1:7" x14ac:dyDescent="0.15">
      <c r="A658" s="8" t="s">
        <v>1796</v>
      </c>
      <c r="B658" s="8" t="s">
        <v>3859</v>
      </c>
      <c r="C658" s="8" t="str">
        <f t="shared" si="10"/>
        <v>qexplus</v>
      </c>
      <c r="D658" s="9" t="s">
        <v>15</v>
      </c>
      <c r="E658" s="8" t="s">
        <v>1797</v>
      </c>
      <c r="F658" s="8" t="s">
        <v>1798</v>
      </c>
      <c r="G658" s="8">
        <v>500</v>
      </c>
    </row>
    <row r="659" spans="1:7" x14ac:dyDescent="0.15">
      <c r="A659" s="8" t="s">
        <v>3084</v>
      </c>
      <c r="B659" s="8" t="s">
        <v>3859</v>
      </c>
      <c r="C659" s="8" t="str">
        <f t="shared" si="10"/>
        <v>tofpro2</v>
      </c>
      <c r="D659" s="9" t="s">
        <v>15</v>
      </c>
      <c r="E659" s="8" t="s">
        <v>3085</v>
      </c>
      <c r="F659" s="8" t="s">
        <v>3086</v>
      </c>
      <c r="G659" s="8">
        <v>500</v>
      </c>
    </row>
    <row r="660" spans="1:7" x14ac:dyDescent="0.15">
      <c r="A660" s="8" t="s">
        <v>1799</v>
      </c>
      <c r="B660" s="8" t="s">
        <v>3859</v>
      </c>
      <c r="C660" s="8" t="str">
        <f t="shared" si="10"/>
        <v>ttofhct</v>
      </c>
      <c r="D660" s="9" t="s">
        <v>15</v>
      </c>
      <c r="E660" s="8" t="s">
        <v>1800</v>
      </c>
      <c r="F660" s="8" t="s">
        <v>3087</v>
      </c>
      <c r="G660" s="8">
        <v>500</v>
      </c>
    </row>
    <row r="661" spans="1:7" x14ac:dyDescent="0.15">
      <c r="A661" s="8" t="s">
        <v>1801</v>
      </c>
      <c r="B661" s="8" t="s">
        <v>3859</v>
      </c>
      <c r="C661" s="8" t="str">
        <f t="shared" si="10"/>
        <v>ttofscp</v>
      </c>
      <c r="D661" s="9" t="s">
        <v>15</v>
      </c>
      <c r="E661" s="8" t="s">
        <v>1802</v>
      </c>
      <c r="F661" s="8" t="s">
        <v>3088</v>
      </c>
      <c r="G661" s="8">
        <v>500</v>
      </c>
    </row>
    <row r="662" spans="1:7" x14ac:dyDescent="0.15">
      <c r="A662" s="8" t="s">
        <v>1803</v>
      </c>
      <c r="B662" s="8" t="s">
        <v>93</v>
      </c>
      <c r="C662" s="8" t="str">
        <f t="shared" si="10"/>
        <v>faims</v>
      </c>
      <c r="D662" s="9" t="s">
        <v>15</v>
      </c>
      <c r="E662" s="8" t="s">
        <v>1804</v>
      </c>
      <c r="F662" s="8" t="s">
        <v>1805</v>
      </c>
      <c r="G662" s="8">
        <v>500</v>
      </c>
    </row>
    <row r="663" spans="1:7" x14ac:dyDescent="0.15">
      <c r="A663" s="8" t="s">
        <v>3177</v>
      </c>
      <c r="B663" s="8" t="s">
        <v>93</v>
      </c>
      <c r="C663" s="8" t="str">
        <f t="shared" si="10"/>
        <v>no_interface</v>
      </c>
      <c r="D663" s="9" t="s">
        <v>15</v>
      </c>
      <c r="E663" s="8" t="s">
        <v>1806</v>
      </c>
      <c r="F663" s="8" t="s">
        <v>1807</v>
      </c>
      <c r="G663" s="8">
        <v>500</v>
      </c>
    </row>
    <row r="664" spans="1:7" x14ac:dyDescent="0.15">
      <c r="A664" s="8" t="s">
        <v>1808</v>
      </c>
      <c r="B664" s="8" t="s">
        <v>36</v>
      </c>
      <c r="C664" s="8" t="str">
        <f t="shared" si="10"/>
        <v>easy_spray</v>
      </c>
      <c r="D664" s="9" t="s">
        <v>15</v>
      </c>
      <c r="E664" s="8" t="s">
        <v>1809</v>
      </c>
      <c r="F664" s="8" t="s">
        <v>1810</v>
      </c>
      <c r="G664" s="8">
        <v>500</v>
      </c>
    </row>
    <row r="665" spans="1:7" x14ac:dyDescent="0.15">
      <c r="A665" s="8" t="s">
        <v>1811</v>
      </c>
      <c r="B665" s="8" t="s">
        <v>36</v>
      </c>
      <c r="C665" s="8" t="str">
        <f t="shared" si="10"/>
        <v>flex</v>
      </c>
      <c r="D665" s="9" t="s">
        <v>15</v>
      </c>
      <c r="E665" s="8" t="s">
        <v>1812</v>
      </c>
      <c r="F665" s="8" t="s">
        <v>1813</v>
      </c>
      <c r="G665" s="8">
        <v>500</v>
      </c>
    </row>
    <row r="666" spans="1:7" x14ac:dyDescent="0.15">
      <c r="A666" s="8" t="s">
        <v>1814</v>
      </c>
      <c r="B666" s="8" t="s">
        <v>36</v>
      </c>
      <c r="C666" s="8" t="str">
        <f t="shared" si="10"/>
        <v>ion_max</v>
      </c>
      <c r="D666" s="9" t="s">
        <v>15</v>
      </c>
      <c r="E666" s="8" t="s">
        <v>1815</v>
      </c>
      <c r="F666" s="8" t="s">
        <v>1816</v>
      </c>
      <c r="G666" s="8">
        <v>500</v>
      </c>
    </row>
    <row r="667" spans="1:7" x14ac:dyDescent="0.15">
      <c r="A667" s="8" t="s">
        <v>3070</v>
      </c>
      <c r="B667" s="8" t="s">
        <v>36</v>
      </c>
      <c r="C667" s="8" t="str">
        <f t="shared" si="10"/>
        <v>captivespray</v>
      </c>
      <c r="D667" s="9" t="s">
        <v>3069</v>
      </c>
      <c r="E667" s="8" t="s">
        <v>3074</v>
      </c>
      <c r="F667" s="8" t="s">
        <v>3076</v>
      </c>
      <c r="G667" s="8">
        <v>500</v>
      </c>
    </row>
    <row r="668" spans="1:7" x14ac:dyDescent="0.15">
      <c r="A668" s="8" t="s">
        <v>3071</v>
      </c>
      <c r="B668" s="8" t="s">
        <v>36</v>
      </c>
      <c r="C668" s="8" t="str">
        <f t="shared" si="10"/>
        <v>captivespraytwo</v>
      </c>
      <c r="D668" s="9" t="s">
        <v>3072</v>
      </c>
      <c r="E668" s="8" t="s">
        <v>3073</v>
      </c>
      <c r="F668" s="8" t="s">
        <v>3075</v>
      </c>
      <c r="G668" s="8">
        <v>500</v>
      </c>
    </row>
    <row r="669" spans="1:7" x14ac:dyDescent="0.15">
      <c r="A669" s="8" t="s">
        <v>3077</v>
      </c>
      <c r="B669" s="8" t="s">
        <v>36</v>
      </c>
      <c r="C669" s="8" t="str">
        <f t="shared" si="10"/>
        <v>captiivespraypro</v>
      </c>
      <c r="D669" s="9" t="s">
        <v>3078</v>
      </c>
      <c r="E669" s="8" t="s">
        <v>3079</v>
      </c>
      <c r="F669" s="8" t="s">
        <v>3080</v>
      </c>
      <c r="G669" s="8">
        <v>500</v>
      </c>
    </row>
    <row r="670" spans="1:7" x14ac:dyDescent="0.15">
      <c r="A670" s="8" t="s">
        <v>1817</v>
      </c>
      <c r="B670" s="8" t="s">
        <v>21</v>
      </c>
      <c r="C670" s="8" t="str">
        <f t="shared" si="10"/>
        <v>e1</v>
      </c>
      <c r="D670" s="8" t="s">
        <v>1817</v>
      </c>
      <c r="E670" s="8" t="s">
        <v>1818</v>
      </c>
      <c r="F670" s="8" t="s">
        <v>1819</v>
      </c>
      <c r="G670" s="8">
        <v>500</v>
      </c>
    </row>
    <row r="671" spans="1:7" x14ac:dyDescent="0.15">
      <c r="A671" s="8" t="s">
        <v>1820</v>
      </c>
      <c r="B671" s="8" t="s">
        <v>21</v>
      </c>
      <c r="C671" s="8" t="str">
        <f t="shared" si="10"/>
        <v>e2</v>
      </c>
      <c r="D671" s="8" t="s">
        <v>1820</v>
      </c>
      <c r="E671" s="8" t="s">
        <v>1821</v>
      </c>
      <c r="F671" s="8" t="s">
        <v>1822</v>
      </c>
      <c r="G671" s="8">
        <v>500</v>
      </c>
    </row>
    <row r="672" spans="1:7" x14ac:dyDescent="0.15">
      <c r="A672" s="8" t="s">
        <v>1823</v>
      </c>
      <c r="B672" s="8" t="s">
        <v>21</v>
      </c>
      <c r="C672" s="8" t="str">
        <f t="shared" si="10"/>
        <v>expl480</v>
      </c>
      <c r="D672" s="8" t="s">
        <v>1823</v>
      </c>
      <c r="E672" s="8" t="s">
        <v>1824</v>
      </c>
      <c r="F672" s="8" t="s">
        <v>2940</v>
      </c>
      <c r="G672" s="8">
        <v>500</v>
      </c>
    </row>
    <row r="673" spans="1:7" x14ac:dyDescent="0.15">
      <c r="A673" s="8" t="s">
        <v>2937</v>
      </c>
      <c r="B673" s="8" t="s">
        <v>21</v>
      </c>
      <c r="C673" s="8" t="str">
        <f t="shared" si="10"/>
        <v>hfxage</v>
      </c>
      <c r="D673" s="8" t="s">
        <v>15</v>
      </c>
      <c r="E673" s="8" t="s">
        <v>2938</v>
      </c>
      <c r="F673" s="8" t="s">
        <v>2939</v>
      </c>
      <c r="G673" s="8">
        <v>500</v>
      </c>
    </row>
    <row r="674" spans="1:7" x14ac:dyDescent="0.15">
      <c r="A674" s="8" t="s">
        <v>1825</v>
      </c>
      <c r="B674" s="8" t="s">
        <v>21</v>
      </c>
      <c r="C674" s="8" t="str">
        <f t="shared" si="10"/>
        <v>ignarius</v>
      </c>
      <c r="D674" s="8" t="s">
        <v>1825</v>
      </c>
      <c r="E674" s="8" t="s">
        <v>1826</v>
      </c>
      <c r="F674" s="8" t="s">
        <v>1827</v>
      </c>
      <c r="G674" s="8">
        <v>500</v>
      </c>
    </row>
    <row r="675" spans="1:7" x14ac:dyDescent="0.15">
      <c r="A675" s="8" t="s">
        <v>1828</v>
      </c>
      <c r="B675" s="8" t="s">
        <v>21</v>
      </c>
      <c r="C675" s="8" t="str">
        <f t="shared" si="10"/>
        <v>timstof</v>
      </c>
      <c r="D675" s="8" t="s">
        <v>1828</v>
      </c>
      <c r="E675" s="8" t="s">
        <v>1829</v>
      </c>
      <c r="F675" s="8" t="s">
        <v>1830</v>
      </c>
      <c r="G675" s="8">
        <v>500</v>
      </c>
    </row>
    <row r="676" spans="1:7" x14ac:dyDescent="0.15">
      <c r="A676" s="8" t="s">
        <v>1831</v>
      </c>
      <c r="B676" s="8" t="s">
        <v>141</v>
      </c>
      <c r="C676" s="8" t="str">
        <f t="shared" si="10"/>
        <v>120000res</v>
      </c>
      <c r="D676" s="9" t="s">
        <v>15</v>
      </c>
      <c r="E676" s="8">
        <v>120000</v>
      </c>
      <c r="F676" s="8" t="s">
        <v>1832</v>
      </c>
      <c r="G676" s="8">
        <v>500</v>
      </c>
    </row>
    <row r="677" spans="1:7" x14ac:dyDescent="0.15">
      <c r="A677" s="8" t="s">
        <v>1833</v>
      </c>
      <c r="B677" s="8" t="s">
        <v>141</v>
      </c>
      <c r="C677" s="8" t="str">
        <f t="shared" si="10"/>
        <v>15000res</v>
      </c>
      <c r="D677" s="9" t="s">
        <v>15</v>
      </c>
      <c r="E677" s="8">
        <v>15000</v>
      </c>
      <c r="F677" s="8" t="s">
        <v>1832</v>
      </c>
      <c r="G677" s="8">
        <v>500</v>
      </c>
    </row>
    <row r="678" spans="1:7" x14ac:dyDescent="0.15">
      <c r="A678" s="8" t="s">
        <v>1834</v>
      </c>
      <c r="B678" s="8" t="s">
        <v>141</v>
      </c>
      <c r="C678" s="8" t="str">
        <f t="shared" si="10"/>
        <v>17500res</v>
      </c>
      <c r="D678" s="9" t="s">
        <v>15</v>
      </c>
      <c r="E678" s="8">
        <v>17500</v>
      </c>
      <c r="F678" s="8" t="s">
        <v>1835</v>
      </c>
      <c r="G678" s="8">
        <v>500</v>
      </c>
    </row>
    <row r="679" spans="1:7" x14ac:dyDescent="0.15">
      <c r="A679" s="8" t="s">
        <v>1836</v>
      </c>
      <c r="B679" s="8" t="s">
        <v>141</v>
      </c>
      <c r="C679" s="8" t="str">
        <f t="shared" si="10"/>
        <v>30000res</v>
      </c>
      <c r="D679" s="9" t="s">
        <v>15</v>
      </c>
      <c r="E679" s="8">
        <v>30000</v>
      </c>
      <c r="F679" s="8" t="s">
        <v>1832</v>
      </c>
      <c r="G679" s="8">
        <v>500</v>
      </c>
    </row>
    <row r="680" spans="1:7" x14ac:dyDescent="0.15">
      <c r="A680" s="8" t="s">
        <v>1837</v>
      </c>
      <c r="B680" s="8" t="s">
        <v>141</v>
      </c>
      <c r="C680" s="8" t="str">
        <f t="shared" si="10"/>
        <v>35000res</v>
      </c>
      <c r="D680" s="9" t="s">
        <v>15</v>
      </c>
      <c r="E680" s="8">
        <v>35000</v>
      </c>
      <c r="F680" s="8" t="s">
        <v>1835</v>
      </c>
      <c r="G680" s="8">
        <v>500</v>
      </c>
    </row>
    <row r="681" spans="1:7" x14ac:dyDescent="0.15">
      <c r="A681" s="8" t="s">
        <v>1838</v>
      </c>
      <c r="B681" s="8" t="s">
        <v>141</v>
      </c>
      <c r="C681" s="8" t="str">
        <f t="shared" si="10"/>
        <v>45000res</v>
      </c>
      <c r="D681" s="9" t="s">
        <v>15</v>
      </c>
      <c r="E681" s="8">
        <v>45000</v>
      </c>
      <c r="F681" s="8" t="s">
        <v>1832</v>
      </c>
      <c r="G681" s="8">
        <v>500</v>
      </c>
    </row>
    <row r="682" spans="1:7" x14ac:dyDescent="0.15">
      <c r="A682" s="8" t="s">
        <v>1839</v>
      </c>
      <c r="B682" s="8" t="s">
        <v>141</v>
      </c>
      <c r="C682" s="8" t="str">
        <f t="shared" si="10"/>
        <v>60000res</v>
      </c>
      <c r="D682" s="9" t="s">
        <v>15</v>
      </c>
      <c r="E682" s="8">
        <v>60000</v>
      </c>
      <c r="F682" s="8" t="s">
        <v>1832</v>
      </c>
      <c r="G682" s="8">
        <v>500</v>
      </c>
    </row>
    <row r="683" spans="1:7" x14ac:dyDescent="0.15">
      <c r="A683" s="8" t="s">
        <v>1840</v>
      </c>
      <c r="B683" s="8" t="s">
        <v>141</v>
      </c>
      <c r="C683" s="8" t="str">
        <f t="shared" si="10"/>
        <v>7500res</v>
      </c>
      <c r="D683" s="9" t="s">
        <v>15</v>
      </c>
      <c r="E683" s="8">
        <v>7500</v>
      </c>
      <c r="F683" s="8" t="s">
        <v>1832</v>
      </c>
      <c r="G683" s="8">
        <v>500</v>
      </c>
    </row>
    <row r="684" spans="1:7" x14ac:dyDescent="0.15">
      <c r="A684" s="8" t="s">
        <v>1841</v>
      </c>
      <c r="B684" s="8" t="s">
        <v>144</v>
      </c>
      <c r="C684" s="8" t="str">
        <f t="shared" si="10"/>
        <v>ab</v>
      </c>
      <c r="D684" s="9" t="s">
        <v>15</v>
      </c>
      <c r="E684" s="8" t="s">
        <v>1843</v>
      </c>
      <c r="F684" s="8" t="s">
        <v>1842</v>
      </c>
      <c r="G684" s="8">
        <v>500</v>
      </c>
    </row>
    <row r="685" spans="1:7" x14ac:dyDescent="0.15">
      <c r="A685" s="8" t="s">
        <v>1844</v>
      </c>
      <c r="B685" s="8" t="s">
        <v>144</v>
      </c>
      <c r="C685" s="8" t="str">
        <f t="shared" si="10"/>
        <v>al</v>
      </c>
      <c r="D685" s="9" t="s">
        <v>15</v>
      </c>
      <c r="E685" s="8" t="s">
        <v>1846</v>
      </c>
      <c r="F685" s="8" t="s">
        <v>1845</v>
      </c>
      <c r="G685" s="8">
        <v>500</v>
      </c>
    </row>
    <row r="686" spans="1:7" x14ac:dyDescent="0.15">
      <c r="A686" s="8" t="s">
        <v>1847</v>
      </c>
      <c r="B686" s="8" t="s">
        <v>144</v>
      </c>
      <c r="C686" s="8" t="str">
        <f t="shared" si="10"/>
        <v>am</v>
      </c>
      <c r="D686" s="9" t="s">
        <v>15</v>
      </c>
      <c r="E686" s="8" t="s">
        <v>1849</v>
      </c>
      <c r="F686" s="8" t="s">
        <v>1848</v>
      </c>
      <c r="G686" s="8">
        <v>500</v>
      </c>
    </row>
    <row r="687" spans="1:7" x14ac:dyDescent="0.15">
      <c r="A687" s="8" t="s">
        <v>1850</v>
      </c>
      <c r="B687" s="8" t="s">
        <v>144</v>
      </c>
      <c r="C687" s="8" t="str">
        <f t="shared" si="10"/>
        <v>an</v>
      </c>
      <c r="D687" s="9" t="s">
        <v>15</v>
      </c>
      <c r="E687" s="8" t="s">
        <v>1852</v>
      </c>
      <c r="F687" s="8" t="s">
        <v>1851</v>
      </c>
      <c r="G687" s="8">
        <v>500</v>
      </c>
    </row>
    <row r="688" spans="1:7" x14ac:dyDescent="0.15">
      <c r="A688" s="8" t="s">
        <v>1853</v>
      </c>
      <c r="B688" s="8" t="s">
        <v>144</v>
      </c>
      <c r="C688" s="8" t="str">
        <f t="shared" si="10"/>
        <v>bbl</v>
      </c>
      <c r="D688" s="9" t="s">
        <v>15</v>
      </c>
      <c r="E688" s="8" t="s">
        <v>1855</v>
      </c>
      <c r="F688" s="8" t="s">
        <v>1854</v>
      </c>
      <c r="G688" s="8">
        <v>500</v>
      </c>
    </row>
    <row r="689" spans="1:7" x14ac:dyDescent="0.15">
      <c r="A689" s="8" t="s">
        <v>1856</v>
      </c>
      <c r="B689" s="8" t="s">
        <v>144</v>
      </c>
      <c r="C689" s="8" t="str">
        <f t="shared" si="10"/>
        <v>bbs</v>
      </c>
      <c r="D689" s="9" t="s">
        <v>15</v>
      </c>
      <c r="E689" s="8" t="s">
        <v>1858</v>
      </c>
      <c r="F689" s="8" t="s">
        <v>1857</v>
      </c>
      <c r="G689" s="8">
        <v>500</v>
      </c>
    </row>
    <row r="690" spans="1:7" x14ac:dyDescent="0.15">
      <c r="A690" s="8" t="s">
        <v>1859</v>
      </c>
      <c r="B690" s="8" t="s">
        <v>144</v>
      </c>
      <c r="C690" s="8" t="str">
        <f t="shared" si="10"/>
        <v>bfa</v>
      </c>
      <c r="D690" s="9" t="s">
        <v>15</v>
      </c>
      <c r="E690" s="8" t="s">
        <v>1861</v>
      </c>
      <c r="F690" s="8" t="s">
        <v>1860</v>
      </c>
      <c r="G690" s="8">
        <v>500</v>
      </c>
    </row>
    <row r="691" spans="1:7" x14ac:dyDescent="0.15">
      <c r="A691" s="8" t="s">
        <v>1862</v>
      </c>
      <c r="B691" s="8" t="s">
        <v>144</v>
      </c>
      <c r="C691" s="8" t="str">
        <f t="shared" si="10"/>
        <v>bfp_ca</v>
      </c>
      <c r="D691" s="9" t="s">
        <v>15</v>
      </c>
      <c r="E691" s="8" t="s">
        <v>1864</v>
      </c>
      <c r="F691" s="8" t="s">
        <v>1863</v>
      </c>
      <c r="G691" s="8">
        <v>500</v>
      </c>
    </row>
    <row r="692" spans="1:7" x14ac:dyDescent="0.15">
      <c r="A692" s="8" t="s">
        <v>1865</v>
      </c>
      <c r="B692" s="8" t="s">
        <v>144</v>
      </c>
      <c r="C692" s="8" t="str">
        <f t="shared" si="10"/>
        <v>bfp_cr</v>
      </c>
      <c r="D692" s="9" t="s">
        <v>15</v>
      </c>
      <c r="E692" s="8" t="s">
        <v>1867</v>
      </c>
      <c r="F692" s="8" t="s">
        <v>1866</v>
      </c>
      <c r="G692" s="8">
        <v>500</v>
      </c>
    </row>
    <row r="693" spans="1:7" x14ac:dyDescent="0.15">
      <c r="A693" s="8" t="s">
        <v>1868</v>
      </c>
      <c r="B693" s="8" t="s">
        <v>144</v>
      </c>
      <c r="C693" s="8" t="str">
        <f t="shared" si="10"/>
        <v>bfp_mi</v>
      </c>
      <c r="D693" s="9" t="s">
        <v>15</v>
      </c>
      <c r="E693" s="8" t="s">
        <v>1870</v>
      </c>
      <c r="F693" s="8" t="s">
        <v>1869</v>
      </c>
      <c r="G693" s="8">
        <v>500</v>
      </c>
    </row>
    <row r="694" spans="1:7" x14ac:dyDescent="0.15">
      <c r="A694" s="8" t="s">
        <v>1871</v>
      </c>
      <c r="B694" s="8" t="s">
        <v>144</v>
      </c>
      <c r="C694" s="8" t="str">
        <f t="shared" si="10"/>
        <v>bra</v>
      </c>
      <c r="D694" s="9" t="s">
        <v>15</v>
      </c>
      <c r="E694" s="8" t="s">
        <v>1873</v>
      </c>
      <c r="F694" s="8" t="s">
        <v>1872</v>
      </c>
      <c r="G694" s="8">
        <v>500</v>
      </c>
    </row>
    <row r="695" spans="1:7" x14ac:dyDescent="0.15">
      <c r="A695" s="8" t="s">
        <v>1874</v>
      </c>
      <c r="B695" s="8" t="s">
        <v>144</v>
      </c>
      <c r="C695" s="8" t="str">
        <f t="shared" si="10"/>
        <v>cf</v>
      </c>
      <c r="D695" s="9" t="s">
        <v>15</v>
      </c>
      <c r="E695" s="8" t="s">
        <v>1876</v>
      </c>
      <c r="F695" s="8" t="s">
        <v>1875</v>
      </c>
      <c r="G695" s="8">
        <v>500</v>
      </c>
    </row>
    <row r="696" spans="1:7" x14ac:dyDescent="0.15">
      <c r="A696" s="8" t="s">
        <v>1877</v>
      </c>
      <c r="B696" s="8" t="s">
        <v>144</v>
      </c>
      <c r="C696" s="8" t="str">
        <f t="shared" si="10"/>
        <v>cor</v>
      </c>
      <c r="D696" s="9" t="s">
        <v>15</v>
      </c>
      <c r="E696" s="8" t="s">
        <v>1879</v>
      </c>
      <c r="F696" s="8" t="s">
        <v>1878</v>
      </c>
      <c r="G696" s="8">
        <v>500</v>
      </c>
    </row>
    <row r="697" spans="1:7" x14ac:dyDescent="0.15">
      <c r="A697" s="8" t="s">
        <v>1880</v>
      </c>
      <c r="B697" s="8" t="s">
        <v>144</v>
      </c>
      <c r="C697" s="8" t="str">
        <f t="shared" si="10"/>
        <v>ecrb</v>
      </c>
      <c r="D697" s="9" t="s">
        <v>15</v>
      </c>
      <c r="E697" s="8" t="s">
        <v>1882</v>
      </c>
      <c r="F697" s="8" t="s">
        <v>1881</v>
      </c>
      <c r="G697" s="8">
        <v>500</v>
      </c>
    </row>
    <row r="698" spans="1:7" x14ac:dyDescent="0.15">
      <c r="A698" s="8" t="s">
        <v>1883</v>
      </c>
      <c r="B698" s="8" t="s">
        <v>144</v>
      </c>
      <c r="C698" s="8" t="str">
        <f t="shared" si="10"/>
        <v>ecrl</v>
      </c>
      <c r="D698" s="9" t="s">
        <v>15</v>
      </c>
      <c r="E698" s="8" t="s">
        <v>1885</v>
      </c>
      <c r="F698" s="8" t="s">
        <v>1884</v>
      </c>
      <c r="G698" s="8">
        <v>500</v>
      </c>
    </row>
    <row r="699" spans="1:7" x14ac:dyDescent="0.15">
      <c r="A699" s="8" t="s">
        <v>1886</v>
      </c>
      <c r="B699" s="8" t="s">
        <v>144</v>
      </c>
      <c r="C699" s="8" t="str">
        <f t="shared" si="10"/>
        <v>ecu</v>
      </c>
      <c r="D699" s="9" t="s">
        <v>15</v>
      </c>
      <c r="E699" s="8" t="s">
        <v>1888</v>
      </c>
      <c r="F699" s="8" t="s">
        <v>1887</v>
      </c>
      <c r="G699" s="8">
        <v>500</v>
      </c>
    </row>
    <row r="700" spans="1:7" x14ac:dyDescent="0.15">
      <c r="A700" s="8" t="s">
        <v>1889</v>
      </c>
      <c r="B700" s="8" t="s">
        <v>144</v>
      </c>
      <c r="C700" s="8" t="str">
        <f t="shared" si="10"/>
        <v>edl</v>
      </c>
      <c r="D700" s="9" t="s">
        <v>15</v>
      </c>
      <c r="E700" s="8" t="s">
        <v>1891</v>
      </c>
      <c r="F700" s="8" t="s">
        <v>1890</v>
      </c>
      <c r="G700" s="8">
        <v>500</v>
      </c>
    </row>
    <row r="701" spans="1:7" x14ac:dyDescent="0.15">
      <c r="A701" s="8" t="s">
        <v>1892</v>
      </c>
      <c r="B701" s="8" t="s">
        <v>144</v>
      </c>
      <c r="C701" s="8" t="str">
        <f t="shared" si="10"/>
        <v>ehl</v>
      </c>
      <c r="D701" s="9" t="s">
        <v>15</v>
      </c>
      <c r="E701" s="8" t="s">
        <v>1894</v>
      </c>
      <c r="F701" s="8" t="s">
        <v>1893</v>
      </c>
      <c r="G701" s="8">
        <v>500</v>
      </c>
    </row>
    <row r="702" spans="1:7" x14ac:dyDescent="0.15">
      <c r="A702" s="8" t="s">
        <v>1895</v>
      </c>
      <c r="B702" s="8" t="s">
        <v>144</v>
      </c>
      <c r="C702" s="8" t="str">
        <f t="shared" si="10"/>
        <v>eip1</v>
      </c>
      <c r="D702" s="9" t="s">
        <v>15</v>
      </c>
      <c r="E702" s="8" t="s">
        <v>1897</v>
      </c>
      <c r="F702" s="8" t="s">
        <v>1896</v>
      </c>
      <c r="G702" s="8">
        <v>500</v>
      </c>
    </row>
    <row r="703" spans="1:7" x14ac:dyDescent="0.15">
      <c r="A703" s="8" t="s">
        <v>1898</v>
      </c>
      <c r="B703" s="8" t="s">
        <v>144</v>
      </c>
      <c r="C703" s="8" t="str">
        <f t="shared" si="10"/>
        <v>eip2</v>
      </c>
      <c r="D703" s="9" t="s">
        <v>15</v>
      </c>
      <c r="E703" s="8" t="s">
        <v>1900</v>
      </c>
      <c r="F703" s="8" t="s">
        <v>1899</v>
      </c>
      <c r="G703" s="8">
        <v>500</v>
      </c>
    </row>
    <row r="704" spans="1:7" x14ac:dyDescent="0.15">
      <c r="A704" s="8" t="s">
        <v>1901</v>
      </c>
      <c r="B704" s="8" t="s">
        <v>144</v>
      </c>
      <c r="C704" s="8" t="str">
        <f t="shared" si="10"/>
        <v>fcr</v>
      </c>
      <c r="D704" s="9" t="s">
        <v>15</v>
      </c>
      <c r="E704" s="8" t="s">
        <v>1903</v>
      </c>
      <c r="F704" s="8" t="s">
        <v>1902</v>
      </c>
      <c r="G704" s="8">
        <v>500</v>
      </c>
    </row>
    <row r="705" spans="1:7" x14ac:dyDescent="0.15">
      <c r="A705" s="8" t="s">
        <v>1904</v>
      </c>
      <c r="B705" s="8" t="s">
        <v>144</v>
      </c>
      <c r="C705" s="8" t="str">
        <f t="shared" si="10"/>
        <v>fcu</v>
      </c>
      <c r="D705" s="9" t="s">
        <v>15</v>
      </c>
      <c r="E705" s="8" t="s">
        <v>1906</v>
      </c>
      <c r="F705" s="8" t="s">
        <v>1905</v>
      </c>
      <c r="G705" s="8">
        <v>500</v>
      </c>
    </row>
    <row r="706" spans="1:7" x14ac:dyDescent="0.15">
      <c r="A706" s="8" t="s">
        <v>1907</v>
      </c>
      <c r="B706" s="8" t="s">
        <v>144</v>
      </c>
      <c r="C706" s="8" t="str">
        <f t="shared" si="10"/>
        <v>fdl</v>
      </c>
      <c r="D706" s="9" t="s">
        <v>15</v>
      </c>
      <c r="E706" s="8" t="s">
        <v>1909</v>
      </c>
      <c r="F706" s="8" t="s">
        <v>1908</v>
      </c>
      <c r="G706" s="8">
        <v>500</v>
      </c>
    </row>
    <row r="707" spans="1:7" x14ac:dyDescent="0.15">
      <c r="A707" s="8" t="s">
        <v>1910</v>
      </c>
      <c r="B707" s="8" t="s">
        <v>144</v>
      </c>
      <c r="C707" s="8" t="str">
        <f t="shared" si="10"/>
        <v>ga</v>
      </c>
      <c r="D707" s="9" t="s">
        <v>15</v>
      </c>
      <c r="E707" s="8" t="s">
        <v>1912</v>
      </c>
      <c r="F707" s="8" t="s">
        <v>1911</v>
      </c>
      <c r="G707" s="8">
        <v>500</v>
      </c>
    </row>
    <row r="708" spans="1:7" x14ac:dyDescent="0.15">
      <c r="A708" s="8" t="s">
        <v>1913</v>
      </c>
      <c r="B708" s="8" t="s">
        <v>144</v>
      </c>
      <c r="C708" s="8" t="str">
        <f t="shared" si="10"/>
        <v>gem</v>
      </c>
      <c r="D708" s="9" t="s">
        <v>15</v>
      </c>
      <c r="E708" s="8" t="s">
        <v>1915</v>
      </c>
      <c r="F708" s="8" t="s">
        <v>1914</v>
      </c>
      <c r="G708" s="8">
        <v>500</v>
      </c>
    </row>
    <row r="709" spans="1:7" x14ac:dyDescent="0.15">
      <c r="A709" s="8" t="s">
        <v>1916</v>
      </c>
      <c r="B709" s="8" t="s">
        <v>144</v>
      </c>
      <c r="C709" s="8" t="str">
        <f t="shared" si="10"/>
        <v>gm</v>
      </c>
      <c r="D709" s="9" t="s">
        <v>15</v>
      </c>
      <c r="E709" s="8" t="s">
        <v>1918</v>
      </c>
      <c r="F709" s="8" t="s">
        <v>1917</v>
      </c>
      <c r="G709" s="8">
        <v>500</v>
      </c>
    </row>
    <row r="710" spans="1:7" x14ac:dyDescent="0.15">
      <c r="A710" s="8" t="s">
        <v>1919</v>
      </c>
      <c r="B710" s="8" t="s">
        <v>144</v>
      </c>
      <c r="C710" s="8" t="str">
        <f t="shared" si="10"/>
        <v>gm_dr</v>
      </c>
      <c r="D710" s="9" t="s">
        <v>15</v>
      </c>
      <c r="E710" s="8" t="s">
        <v>1921</v>
      </c>
      <c r="F710" s="8" t="s">
        <v>1920</v>
      </c>
      <c r="G710" s="8">
        <v>500</v>
      </c>
    </row>
    <row r="711" spans="1:7" x14ac:dyDescent="0.15">
      <c r="A711" s="8" t="s">
        <v>1922</v>
      </c>
      <c r="B711" s="8" t="s">
        <v>144</v>
      </c>
      <c r="C711" s="8" t="str">
        <f t="shared" si="10"/>
        <v>gm_mi</v>
      </c>
      <c r="D711" s="9" t="s">
        <v>15</v>
      </c>
      <c r="E711" s="8" t="s">
        <v>1924</v>
      </c>
      <c r="F711" s="8" t="s">
        <v>1923</v>
      </c>
      <c r="G711" s="8">
        <v>500</v>
      </c>
    </row>
    <row r="712" spans="1:7" x14ac:dyDescent="0.15">
      <c r="A712" s="8" t="s">
        <v>1925</v>
      </c>
      <c r="B712" s="8" t="s">
        <v>144</v>
      </c>
      <c r="C712" s="8" t="str">
        <f t="shared" si="10"/>
        <v>gm_ve</v>
      </c>
      <c r="D712" s="9" t="s">
        <v>15</v>
      </c>
      <c r="E712" s="8" t="s">
        <v>1927</v>
      </c>
      <c r="F712" s="8" t="s">
        <v>1926</v>
      </c>
      <c r="G712" s="8">
        <v>500</v>
      </c>
    </row>
    <row r="713" spans="1:7" x14ac:dyDescent="0.15">
      <c r="A713" s="8" t="s">
        <v>1928</v>
      </c>
      <c r="B713" s="8" t="s">
        <v>144</v>
      </c>
      <c r="C713" s="8" t="str">
        <f t="shared" ref="C713:C776" si="11">A713</f>
        <v>gp</v>
      </c>
      <c r="D713" s="9" t="s">
        <v>15</v>
      </c>
      <c r="E713" s="8" t="s">
        <v>1930</v>
      </c>
      <c r="F713" s="8" t="s">
        <v>1929</v>
      </c>
      <c r="G713" s="8">
        <v>500</v>
      </c>
    </row>
    <row r="714" spans="1:7" x14ac:dyDescent="0.15">
      <c r="A714" s="8" t="s">
        <v>1931</v>
      </c>
      <c r="B714" s="8" t="s">
        <v>144</v>
      </c>
      <c r="C714" s="8" t="str">
        <f t="shared" si="11"/>
        <v>ili</v>
      </c>
      <c r="D714" s="9" t="s">
        <v>15</v>
      </c>
      <c r="E714" s="8" t="s">
        <v>1933</v>
      </c>
      <c r="F714" s="8" t="s">
        <v>1932</v>
      </c>
      <c r="G714" s="8">
        <v>500</v>
      </c>
    </row>
    <row r="715" spans="1:7" x14ac:dyDescent="0.15">
      <c r="A715" s="8" t="s">
        <v>1934</v>
      </c>
      <c r="B715" s="8" t="s">
        <v>144</v>
      </c>
      <c r="C715" s="8" t="str">
        <f t="shared" si="11"/>
        <v>lg</v>
      </c>
      <c r="D715" s="9" t="s">
        <v>15</v>
      </c>
      <c r="E715" s="8" t="s">
        <v>1936</v>
      </c>
      <c r="F715" s="8" t="s">
        <v>1935</v>
      </c>
      <c r="G715" s="8">
        <v>500</v>
      </c>
    </row>
    <row r="716" spans="1:7" x14ac:dyDescent="0.15">
      <c r="A716" s="8" t="s">
        <v>1937</v>
      </c>
      <c r="B716" s="8" t="s">
        <v>144</v>
      </c>
      <c r="C716" s="8" t="str">
        <f t="shared" si="11"/>
        <v>mg</v>
      </c>
      <c r="D716" s="9" t="s">
        <v>15</v>
      </c>
      <c r="E716" s="8" t="s">
        <v>1939</v>
      </c>
      <c r="F716" s="8" t="s">
        <v>1938</v>
      </c>
      <c r="G716" s="8">
        <v>500</v>
      </c>
    </row>
    <row r="717" spans="1:7" x14ac:dyDescent="0.15">
      <c r="A717" s="8" t="s">
        <v>1940</v>
      </c>
      <c r="B717" s="8" t="s">
        <v>144</v>
      </c>
      <c r="C717" s="8" t="str">
        <f t="shared" si="11"/>
        <v>oe</v>
      </c>
      <c r="D717" s="9" t="s">
        <v>15</v>
      </c>
      <c r="E717" s="8" t="s">
        <v>1942</v>
      </c>
      <c r="F717" s="8" t="s">
        <v>1941</v>
      </c>
      <c r="G717" s="8">
        <v>500</v>
      </c>
    </row>
    <row r="718" spans="1:7" x14ac:dyDescent="0.15">
      <c r="A718" s="8" t="s">
        <v>1943</v>
      </c>
      <c r="B718" s="8" t="s">
        <v>144</v>
      </c>
      <c r="C718" s="8" t="str">
        <f t="shared" si="11"/>
        <v>oi</v>
      </c>
      <c r="D718" s="9" t="s">
        <v>15</v>
      </c>
      <c r="E718" s="8" t="s">
        <v>1945</v>
      </c>
      <c r="F718" s="8" t="s">
        <v>1944</v>
      </c>
      <c r="G718" s="8">
        <v>500</v>
      </c>
    </row>
    <row r="719" spans="1:7" x14ac:dyDescent="0.15">
      <c r="A719" s="8" t="s">
        <v>1946</v>
      </c>
      <c r="B719" s="8" t="s">
        <v>144</v>
      </c>
      <c r="C719" s="8" t="str">
        <f t="shared" si="11"/>
        <v>pb</v>
      </c>
      <c r="D719" s="9" t="s">
        <v>15</v>
      </c>
      <c r="E719" s="8" t="s">
        <v>1948</v>
      </c>
      <c r="F719" s="8" t="s">
        <v>1947</v>
      </c>
      <c r="G719" s="8">
        <v>500</v>
      </c>
    </row>
    <row r="720" spans="1:7" x14ac:dyDescent="0.15">
      <c r="A720" s="8" t="s">
        <v>1949</v>
      </c>
      <c r="B720" s="8" t="s">
        <v>144</v>
      </c>
      <c r="C720" s="8" t="str">
        <f t="shared" si="11"/>
        <v>pdqa</v>
      </c>
      <c r="D720" s="9" t="s">
        <v>15</v>
      </c>
      <c r="E720" s="8" t="s">
        <v>1951</v>
      </c>
      <c r="F720" s="8" t="s">
        <v>1950</v>
      </c>
      <c r="G720" s="8">
        <v>500</v>
      </c>
    </row>
    <row r="721" spans="1:7" x14ac:dyDescent="0.15">
      <c r="A721" s="8" t="s">
        <v>1952</v>
      </c>
      <c r="B721" s="8" t="s">
        <v>144</v>
      </c>
      <c r="C721" s="8" t="str">
        <f t="shared" si="11"/>
        <v>pdqi</v>
      </c>
      <c r="D721" s="9" t="s">
        <v>15</v>
      </c>
      <c r="E721" s="8" t="s">
        <v>1954</v>
      </c>
      <c r="F721" s="8" t="s">
        <v>1953</v>
      </c>
      <c r="G721" s="8">
        <v>500</v>
      </c>
    </row>
    <row r="722" spans="1:7" x14ac:dyDescent="0.15">
      <c r="A722" s="8" t="s">
        <v>1955</v>
      </c>
      <c r="B722" s="8" t="s">
        <v>144</v>
      </c>
      <c r="C722" s="8" t="str">
        <f t="shared" si="11"/>
        <v>pect</v>
      </c>
      <c r="D722" s="9" t="s">
        <v>15</v>
      </c>
      <c r="E722" s="8" t="s">
        <v>1957</v>
      </c>
      <c r="F722" s="8" t="s">
        <v>1956</v>
      </c>
      <c r="G722" s="8">
        <v>500</v>
      </c>
    </row>
    <row r="723" spans="1:7" x14ac:dyDescent="0.15">
      <c r="A723" s="8" t="s">
        <v>1958</v>
      </c>
      <c r="B723" s="8" t="s">
        <v>144</v>
      </c>
      <c r="C723" s="8" t="str">
        <f t="shared" si="11"/>
        <v>pl</v>
      </c>
      <c r="D723" s="9" t="s">
        <v>15</v>
      </c>
      <c r="E723" s="8" t="s">
        <v>1960</v>
      </c>
      <c r="F723" s="8" t="s">
        <v>1959</v>
      </c>
      <c r="G723" s="8">
        <v>500</v>
      </c>
    </row>
    <row r="724" spans="1:7" x14ac:dyDescent="0.15">
      <c r="A724" s="8" t="s">
        <v>1961</v>
      </c>
      <c r="B724" s="8" t="s">
        <v>144</v>
      </c>
      <c r="C724" s="8" t="str">
        <f t="shared" si="11"/>
        <v>plant</v>
      </c>
      <c r="D724" s="9" t="s">
        <v>15</v>
      </c>
      <c r="E724" s="8" t="s">
        <v>1963</v>
      </c>
      <c r="F724" s="8" t="s">
        <v>1962</v>
      </c>
      <c r="G724" s="8">
        <v>500</v>
      </c>
    </row>
    <row r="725" spans="1:7" x14ac:dyDescent="0.15">
      <c r="A725" s="8" t="s">
        <v>1964</v>
      </c>
      <c r="B725" s="8" t="s">
        <v>144</v>
      </c>
      <c r="C725" s="8" t="str">
        <f t="shared" si="11"/>
        <v>plo</v>
      </c>
      <c r="D725" s="9" t="s">
        <v>15</v>
      </c>
      <c r="E725" s="8" t="s">
        <v>1966</v>
      </c>
      <c r="F725" s="8" t="s">
        <v>1965</v>
      </c>
      <c r="G725" s="8">
        <v>500</v>
      </c>
    </row>
    <row r="726" spans="1:7" x14ac:dyDescent="0.15">
      <c r="A726" s="8" t="s">
        <v>1967</v>
      </c>
      <c r="B726" s="8" t="s">
        <v>144</v>
      </c>
      <c r="C726" s="8" t="str">
        <f t="shared" si="11"/>
        <v>pma</v>
      </c>
      <c r="D726" s="9" t="s">
        <v>15</v>
      </c>
      <c r="E726" s="8" t="s">
        <v>1969</v>
      </c>
      <c r="F726" s="8" t="s">
        <v>1968</v>
      </c>
      <c r="G726" s="8">
        <v>500</v>
      </c>
    </row>
    <row r="727" spans="1:7" x14ac:dyDescent="0.15">
      <c r="A727" s="8" t="s">
        <v>1970</v>
      </c>
      <c r="B727" s="8" t="s">
        <v>144</v>
      </c>
      <c r="C727" s="8" t="str">
        <f t="shared" si="11"/>
        <v>pmi</v>
      </c>
      <c r="D727" s="9" t="s">
        <v>15</v>
      </c>
      <c r="E727" s="8" t="s">
        <v>1972</v>
      </c>
      <c r="F727" s="8" t="s">
        <v>1971</v>
      </c>
      <c r="G727" s="8">
        <v>500</v>
      </c>
    </row>
    <row r="728" spans="1:7" x14ac:dyDescent="0.15">
      <c r="A728" s="8" t="s">
        <v>1973</v>
      </c>
      <c r="B728" s="8" t="s">
        <v>144</v>
      </c>
      <c r="C728" s="8" t="str">
        <f t="shared" si="11"/>
        <v>pop</v>
      </c>
      <c r="D728" s="9" t="s">
        <v>15</v>
      </c>
      <c r="E728" s="8" t="s">
        <v>1975</v>
      </c>
      <c r="F728" s="8" t="s">
        <v>1974</v>
      </c>
      <c r="G728" s="8">
        <v>500</v>
      </c>
    </row>
    <row r="729" spans="1:7" x14ac:dyDescent="0.15">
      <c r="A729" s="8" t="s">
        <v>1976</v>
      </c>
      <c r="B729" s="8" t="s">
        <v>144</v>
      </c>
      <c r="C729" s="8" t="str">
        <f t="shared" si="11"/>
        <v>pt</v>
      </c>
      <c r="D729" s="9" t="s">
        <v>15</v>
      </c>
      <c r="E729" s="8" t="s">
        <v>1978</v>
      </c>
      <c r="F729" s="8" t="s">
        <v>1977</v>
      </c>
      <c r="G729" s="8">
        <v>500</v>
      </c>
    </row>
    <row r="730" spans="1:7" x14ac:dyDescent="0.15">
      <c r="A730" s="8" t="s">
        <v>1979</v>
      </c>
      <c r="B730" s="8" t="s">
        <v>144</v>
      </c>
      <c r="C730" s="8" t="str">
        <f t="shared" si="11"/>
        <v>pte</v>
      </c>
      <c r="D730" s="9" t="s">
        <v>15</v>
      </c>
      <c r="E730" s="8" t="s">
        <v>1981</v>
      </c>
      <c r="F730" s="8" t="s">
        <v>1980</v>
      </c>
      <c r="G730" s="8">
        <v>500</v>
      </c>
    </row>
    <row r="731" spans="1:7" x14ac:dyDescent="0.15">
      <c r="A731" s="8" t="s">
        <v>1982</v>
      </c>
      <c r="B731" s="8" t="s">
        <v>144</v>
      </c>
      <c r="C731" s="8" t="str">
        <f t="shared" si="11"/>
        <v>qf</v>
      </c>
      <c r="D731" s="9" t="s">
        <v>15</v>
      </c>
      <c r="E731" s="8" t="s">
        <v>1984</v>
      </c>
      <c r="F731" s="8" t="s">
        <v>1983</v>
      </c>
      <c r="G731" s="8">
        <v>500</v>
      </c>
    </row>
    <row r="732" spans="1:7" x14ac:dyDescent="0.15">
      <c r="A732" s="8" t="s">
        <v>1985</v>
      </c>
      <c r="B732" s="8" t="s">
        <v>144</v>
      </c>
      <c r="C732" s="8" t="str">
        <f t="shared" si="11"/>
        <v>rf</v>
      </c>
      <c r="D732" s="9" t="s">
        <v>15</v>
      </c>
      <c r="E732" s="8" t="s">
        <v>1987</v>
      </c>
      <c r="F732" s="8" t="s">
        <v>1986</v>
      </c>
      <c r="G732" s="8">
        <v>500</v>
      </c>
    </row>
    <row r="733" spans="1:7" x14ac:dyDescent="0.15">
      <c r="A733" s="8" t="s">
        <v>1988</v>
      </c>
      <c r="B733" s="8" t="s">
        <v>144</v>
      </c>
      <c r="C733" s="8" t="str">
        <f t="shared" si="11"/>
        <v>sm</v>
      </c>
      <c r="D733" s="9" t="s">
        <v>15</v>
      </c>
      <c r="E733" s="8" t="s">
        <v>1990</v>
      </c>
      <c r="F733" s="8" t="s">
        <v>1989</v>
      </c>
      <c r="G733" s="8">
        <v>500</v>
      </c>
    </row>
    <row r="734" spans="1:7" x14ac:dyDescent="0.15">
      <c r="A734" s="8" t="s">
        <v>1991</v>
      </c>
      <c r="B734" s="8" t="s">
        <v>144</v>
      </c>
      <c r="C734" s="8" t="str">
        <f t="shared" si="11"/>
        <v>sol</v>
      </c>
      <c r="D734" s="9" t="s">
        <v>15</v>
      </c>
      <c r="E734" s="8" t="s">
        <v>1993</v>
      </c>
      <c r="F734" s="8" t="s">
        <v>1992</v>
      </c>
      <c r="G734" s="8">
        <v>500</v>
      </c>
    </row>
    <row r="735" spans="1:7" x14ac:dyDescent="0.15">
      <c r="A735" s="8" t="s">
        <v>1994</v>
      </c>
      <c r="B735" s="8" t="s">
        <v>144</v>
      </c>
      <c r="C735" s="8" t="str">
        <f t="shared" si="11"/>
        <v>st</v>
      </c>
      <c r="D735" s="9" t="s">
        <v>15</v>
      </c>
      <c r="E735" s="8" t="s">
        <v>1996</v>
      </c>
      <c r="F735" s="8" t="s">
        <v>1995</v>
      </c>
      <c r="G735" s="8">
        <v>500</v>
      </c>
    </row>
    <row r="736" spans="1:7" x14ac:dyDescent="0.15">
      <c r="A736" s="8" t="s">
        <v>1997</v>
      </c>
      <c r="B736" s="8" t="s">
        <v>144</v>
      </c>
      <c r="C736" s="8" t="str">
        <f t="shared" si="11"/>
        <v>ta</v>
      </c>
      <c r="D736" s="9" t="s">
        <v>15</v>
      </c>
      <c r="E736" s="8" t="s">
        <v>1999</v>
      </c>
      <c r="F736" s="8" t="s">
        <v>1998</v>
      </c>
      <c r="G736" s="8">
        <v>500</v>
      </c>
    </row>
    <row r="737" spans="1:7" x14ac:dyDescent="0.15">
      <c r="A737" s="8" t="s">
        <v>2000</v>
      </c>
      <c r="B737" s="8" t="s">
        <v>144</v>
      </c>
      <c r="C737" s="8" t="str">
        <f t="shared" si="11"/>
        <v>tbl</v>
      </c>
      <c r="D737" s="9" t="s">
        <v>15</v>
      </c>
      <c r="E737" s="8" t="s">
        <v>2002</v>
      </c>
      <c r="F737" s="8" t="s">
        <v>2001</v>
      </c>
      <c r="G737" s="8">
        <v>500</v>
      </c>
    </row>
    <row r="738" spans="1:7" x14ac:dyDescent="0.15">
      <c r="A738" s="8" t="s">
        <v>2003</v>
      </c>
      <c r="B738" s="8" t="s">
        <v>144</v>
      </c>
      <c r="C738" s="8" t="str">
        <f t="shared" si="11"/>
        <v>tbm</v>
      </c>
      <c r="D738" s="9" t="s">
        <v>15</v>
      </c>
      <c r="E738" s="8" t="s">
        <v>2005</v>
      </c>
      <c r="F738" s="8" t="s">
        <v>2004</v>
      </c>
      <c r="G738" s="8">
        <v>500</v>
      </c>
    </row>
    <row r="739" spans="1:7" x14ac:dyDescent="0.15">
      <c r="A739" s="8" t="s">
        <v>2006</v>
      </c>
      <c r="B739" s="8" t="s">
        <v>144</v>
      </c>
      <c r="C739" s="8" t="str">
        <f t="shared" si="11"/>
        <v>tbo</v>
      </c>
      <c r="D739" s="9" t="s">
        <v>15</v>
      </c>
      <c r="E739" s="8" t="s">
        <v>2008</v>
      </c>
      <c r="F739" s="8" t="s">
        <v>2007</v>
      </c>
      <c r="G739" s="8">
        <v>500</v>
      </c>
    </row>
    <row r="740" spans="1:7" x14ac:dyDescent="0.15">
      <c r="A740" s="8" t="s">
        <v>2009</v>
      </c>
      <c r="B740" s="8" t="s">
        <v>144</v>
      </c>
      <c r="C740" s="8" t="str">
        <f t="shared" si="11"/>
        <v>tp</v>
      </c>
      <c r="D740" s="9" t="s">
        <v>15</v>
      </c>
      <c r="E740" s="8" t="s">
        <v>2011</v>
      </c>
      <c r="F740" s="8" t="s">
        <v>2010</v>
      </c>
      <c r="G740" s="8">
        <v>500</v>
      </c>
    </row>
    <row r="741" spans="1:7" x14ac:dyDescent="0.15">
      <c r="A741" s="8" t="s">
        <v>2012</v>
      </c>
      <c r="B741" s="8" t="s">
        <v>144</v>
      </c>
      <c r="C741" s="8" t="str">
        <f t="shared" si="11"/>
        <v>vi</v>
      </c>
      <c r="D741" s="9" t="s">
        <v>15</v>
      </c>
      <c r="E741" s="8" t="s">
        <v>2014</v>
      </c>
      <c r="F741" s="8" t="s">
        <v>2013</v>
      </c>
      <c r="G741" s="8">
        <v>500</v>
      </c>
    </row>
    <row r="742" spans="1:7" x14ac:dyDescent="0.15">
      <c r="A742" s="8" t="s">
        <v>2015</v>
      </c>
      <c r="B742" s="8" t="s">
        <v>144</v>
      </c>
      <c r="C742" s="8" t="str">
        <f t="shared" si="11"/>
        <v>vl</v>
      </c>
      <c r="D742" s="9" t="s">
        <v>15</v>
      </c>
      <c r="E742" s="8" t="s">
        <v>2017</v>
      </c>
      <c r="F742" s="8" t="s">
        <v>2016</v>
      </c>
      <c r="G742" s="8">
        <v>500</v>
      </c>
    </row>
    <row r="743" spans="1:7" x14ac:dyDescent="0.15">
      <c r="A743" s="8" t="s">
        <v>2018</v>
      </c>
      <c r="B743" s="8" t="s">
        <v>144</v>
      </c>
      <c r="C743" s="8" t="str">
        <f t="shared" si="11"/>
        <v>vm</v>
      </c>
      <c r="D743" s="9" t="s">
        <v>15</v>
      </c>
      <c r="E743" s="8" t="s">
        <v>2020</v>
      </c>
      <c r="F743" s="8" t="s">
        <v>2019</v>
      </c>
      <c r="G743" s="8">
        <v>500</v>
      </c>
    </row>
    <row r="744" spans="1:7" x14ac:dyDescent="0.15">
      <c r="A744" s="8" t="s">
        <v>2742</v>
      </c>
      <c r="B744" s="8" t="s">
        <v>144</v>
      </c>
      <c r="C744" s="8" t="str">
        <f t="shared" si="11"/>
        <v>quad</v>
      </c>
      <c r="D744" s="9" t="s">
        <v>15</v>
      </c>
      <c r="E744" s="8" t="s">
        <v>2744</v>
      </c>
      <c r="F744" s="8" t="s">
        <v>2743</v>
      </c>
      <c r="G744" s="8">
        <v>500</v>
      </c>
    </row>
    <row r="745" spans="1:7" x14ac:dyDescent="0.15">
      <c r="A745" s="8" t="s">
        <v>2021</v>
      </c>
      <c r="B745" s="8" t="s">
        <v>147</v>
      </c>
      <c r="C745" s="8" t="str">
        <f t="shared" si="11"/>
        <v>zirconium</v>
      </c>
      <c r="D745" s="9" t="s">
        <v>15</v>
      </c>
      <c r="E745" s="8" t="s">
        <v>2022</v>
      </c>
      <c r="F745" s="8" t="s">
        <v>2023</v>
      </c>
      <c r="G745" s="8">
        <v>500</v>
      </c>
    </row>
    <row r="746" spans="1:7" x14ac:dyDescent="0.15">
      <c r="A746" s="8" t="s">
        <v>2024</v>
      </c>
      <c r="B746" s="8" t="s">
        <v>148</v>
      </c>
      <c r="C746" s="8" t="str">
        <f t="shared" si="11"/>
        <v>bgpage</v>
      </c>
      <c r="D746" s="9" t="s">
        <v>15</v>
      </c>
      <c r="E746" s="8" t="s">
        <v>2025</v>
      </c>
      <c r="F746" s="8" t="s">
        <v>2026</v>
      </c>
      <c r="G746" s="8">
        <v>500</v>
      </c>
    </row>
    <row r="747" spans="1:7" x14ac:dyDescent="0.15">
      <c r="A747" s="8" t="s">
        <v>2027</v>
      </c>
      <c r="B747" s="8" t="s">
        <v>148</v>
      </c>
      <c r="C747" s="8" t="str">
        <f t="shared" si="11"/>
        <v>highph_hplc</v>
      </c>
      <c r="D747" s="9" t="s">
        <v>15</v>
      </c>
      <c r="E747" s="8" t="s">
        <v>2028</v>
      </c>
      <c r="F747" s="8" t="s">
        <v>2029</v>
      </c>
      <c r="G747" s="8">
        <v>500</v>
      </c>
    </row>
    <row r="748" spans="1:7" x14ac:dyDescent="0.15">
      <c r="A748" s="8" t="s">
        <v>2030</v>
      </c>
      <c r="B748" s="8" t="s">
        <v>148</v>
      </c>
      <c r="C748" s="8" t="str">
        <f t="shared" si="11"/>
        <v>highph_tip</v>
      </c>
      <c r="D748" s="9" t="s">
        <v>15</v>
      </c>
      <c r="E748" s="8" t="s">
        <v>2031</v>
      </c>
      <c r="F748" s="8" t="s">
        <v>2032</v>
      </c>
      <c r="G748" s="8">
        <v>500</v>
      </c>
    </row>
    <row r="749" spans="1:7" x14ac:dyDescent="0.15">
      <c r="A749" s="8" t="s">
        <v>2033</v>
      </c>
      <c r="B749" s="8" t="s">
        <v>148</v>
      </c>
      <c r="C749" s="8" t="str">
        <f t="shared" si="11"/>
        <v>sax</v>
      </c>
      <c r="D749" s="9" t="s">
        <v>15</v>
      </c>
      <c r="E749" s="8" t="s">
        <v>2034</v>
      </c>
      <c r="F749" s="8" t="s">
        <v>2035</v>
      </c>
      <c r="G749" s="8">
        <v>500</v>
      </c>
    </row>
    <row r="750" spans="1:7" x14ac:dyDescent="0.15">
      <c r="A750" s="8" t="s">
        <v>2036</v>
      </c>
      <c r="B750" s="8" t="s">
        <v>148</v>
      </c>
      <c r="C750" s="8" t="str">
        <f t="shared" si="11"/>
        <v>scx</v>
      </c>
      <c r="D750" s="9" t="s">
        <v>15</v>
      </c>
      <c r="E750" s="8" t="s">
        <v>2037</v>
      </c>
      <c r="F750" s="8" t="s">
        <v>2038</v>
      </c>
      <c r="G750" s="8">
        <v>500</v>
      </c>
    </row>
    <row r="751" spans="1:7" x14ac:dyDescent="0.15">
      <c r="A751" s="8" t="s">
        <v>2039</v>
      </c>
      <c r="B751" s="8" t="s">
        <v>148</v>
      </c>
      <c r="C751" s="8" t="str">
        <f t="shared" si="11"/>
        <v>sdspage</v>
      </c>
      <c r="D751" s="9" t="s">
        <v>15</v>
      </c>
      <c r="E751" s="8" t="s">
        <v>2040</v>
      </c>
      <c r="F751" s="8" t="s">
        <v>2041</v>
      </c>
      <c r="G751" s="8">
        <v>500</v>
      </c>
    </row>
    <row r="752" spans="1:7" x14ac:dyDescent="0.15">
      <c r="A752" s="8" t="s">
        <v>2042</v>
      </c>
      <c r="B752" s="8" t="s">
        <v>155</v>
      </c>
      <c r="C752" s="8" t="str">
        <f t="shared" si="11"/>
        <v>proteomics</v>
      </c>
      <c r="D752" s="9" t="s">
        <v>15</v>
      </c>
      <c r="E752" s="8" t="s">
        <v>2043</v>
      </c>
      <c r="F752" s="8" t="s">
        <v>2044</v>
      </c>
      <c r="G752" s="8">
        <v>500</v>
      </c>
    </row>
    <row r="753" spans="1:7" x14ac:dyDescent="0.15">
      <c r="A753" s="8" t="s">
        <v>2045</v>
      </c>
      <c r="B753" s="8" t="s">
        <v>145</v>
      </c>
      <c r="C753" s="8" t="str">
        <f t="shared" si="11"/>
        <v>appendix</v>
      </c>
      <c r="D753" s="8" t="s">
        <v>2045</v>
      </c>
      <c r="E753" s="8" t="s">
        <v>2046</v>
      </c>
      <c r="F753" s="8" t="s">
        <v>2046</v>
      </c>
      <c r="G753" s="8">
        <v>500</v>
      </c>
    </row>
    <row r="754" spans="1:7" x14ac:dyDescent="0.15">
      <c r="A754" s="8" t="s">
        <v>2047</v>
      </c>
      <c r="B754" s="8" t="s">
        <v>145</v>
      </c>
      <c r="C754" s="8" t="str">
        <f t="shared" si="11"/>
        <v>arteries</v>
      </c>
      <c r="D754" s="8" t="s">
        <v>2047</v>
      </c>
      <c r="E754" s="8" t="s">
        <v>2048</v>
      </c>
      <c r="F754" s="8" t="s">
        <v>2048</v>
      </c>
      <c r="G754" s="8">
        <v>500</v>
      </c>
    </row>
    <row r="755" spans="1:7" x14ac:dyDescent="0.15">
      <c r="A755" s="8" t="s">
        <v>2049</v>
      </c>
      <c r="B755" s="8" t="s">
        <v>145</v>
      </c>
      <c r="C755" s="8" t="str">
        <f t="shared" si="11"/>
        <v>bladder</v>
      </c>
      <c r="D755" s="8" t="s">
        <v>2049</v>
      </c>
      <c r="E755" s="8" t="s">
        <v>2050</v>
      </c>
      <c r="F755" s="8" t="s">
        <v>2050</v>
      </c>
      <c r="G755" s="8">
        <v>500</v>
      </c>
    </row>
    <row r="756" spans="1:7" x14ac:dyDescent="0.15">
      <c r="A756" s="8" t="s">
        <v>2051</v>
      </c>
      <c r="B756" s="8" t="s">
        <v>145</v>
      </c>
      <c r="C756" s="8" t="str">
        <f t="shared" si="11"/>
        <v>bone_marrow</v>
      </c>
      <c r="D756" s="8" t="s">
        <v>2051</v>
      </c>
      <c r="E756" s="8" t="s">
        <v>2052</v>
      </c>
      <c r="F756" s="8" t="s">
        <v>2052</v>
      </c>
      <c r="G756" s="8">
        <v>500</v>
      </c>
    </row>
    <row r="757" spans="1:7" x14ac:dyDescent="0.15">
      <c r="A757" s="8" t="s">
        <v>2053</v>
      </c>
      <c r="B757" s="8" t="s">
        <v>145</v>
      </c>
      <c r="C757" s="8" t="str">
        <f t="shared" si="11"/>
        <v>brain</v>
      </c>
      <c r="D757" s="8" t="s">
        <v>2053</v>
      </c>
      <c r="E757" s="8" t="s">
        <v>2054</v>
      </c>
      <c r="F757" s="8" t="s">
        <v>2054</v>
      </c>
      <c r="G757" s="8">
        <v>500</v>
      </c>
    </row>
    <row r="758" spans="1:7" x14ac:dyDescent="0.15">
      <c r="A758" s="8" t="s">
        <v>2055</v>
      </c>
      <c r="B758" s="8" t="s">
        <v>145</v>
      </c>
      <c r="C758" s="8" t="str">
        <f t="shared" si="11"/>
        <v>bronchi</v>
      </c>
      <c r="D758" s="8" t="s">
        <v>2055</v>
      </c>
      <c r="E758" s="8" t="s">
        <v>2056</v>
      </c>
      <c r="F758" s="8" t="s">
        <v>2056</v>
      </c>
      <c r="G758" s="8">
        <v>500</v>
      </c>
    </row>
    <row r="759" spans="1:7" x14ac:dyDescent="0.15">
      <c r="A759" s="8" t="s">
        <v>2057</v>
      </c>
      <c r="B759" s="8" t="s">
        <v>145</v>
      </c>
      <c r="C759" s="8" t="str">
        <f t="shared" si="11"/>
        <v>cecum</v>
      </c>
      <c r="D759" s="8" t="s">
        <v>2057</v>
      </c>
      <c r="E759" s="8" t="s">
        <v>2058</v>
      </c>
      <c r="F759" s="8" t="s">
        <v>2058</v>
      </c>
      <c r="G759" s="8">
        <v>500</v>
      </c>
    </row>
    <row r="760" spans="1:7" x14ac:dyDescent="0.15">
      <c r="A760" s="8" t="s">
        <v>2059</v>
      </c>
      <c r="B760" s="8" t="s">
        <v>145</v>
      </c>
      <c r="C760" s="8" t="str">
        <f t="shared" si="11"/>
        <v>cerebellum</v>
      </c>
      <c r="D760" s="8" t="s">
        <v>2059</v>
      </c>
      <c r="E760" s="8" t="s">
        <v>2060</v>
      </c>
      <c r="F760" s="8" t="s">
        <v>2060</v>
      </c>
      <c r="G760" s="8">
        <v>500</v>
      </c>
    </row>
    <row r="761" spans="1:7" x14ac:dyDescent="0.15">
      <c r="A761" s="8" t="s">
        <v>2061</v>
      </c>
      <c r="B761" s="8" t="s">
        <v>145</v>
      </c>
      <c r="C761" s="8" t="str">
        <f t="shared" si="11"/>
        <v>cerebrum</v>
      </c>
      <c r="D761" s="8" t="s">
        <v>2061</v>
      </c>
      <c r="E761" s="8" t="s">
        <v>2062</v>
      </c>
      <c r="F761" s="8" t="s">
        <v>2062</v>
      </c>
      <c r="G761" s="8">
        <v>500</v>
      </c>
    </row>
    <row r="762" spans="1:7" x14ac:dyDescent="0.15">
      <c r="A762" s="8" t="s">
        <v>2063</v>
      </c>
      <c r="B762" s="8" t="s">
        <v>145</v>
      </c>
      <c r="C762" s="8" t="str">
        <f t="shared" si="11"/>
        <v>ear</v>
      </c>
      <c r="D762" s="8" t="s">
        <v>2063</v>
      </c>
      <c r="E762" s="8" t="s">
        <v>2064</v>
      </c>
      <c r="F762" s="8" t="s">
        <v>2064</v>
      </c>
      <c r="G762" s="8">
        <v>500</v>
      </c>
    </row>
    <row r="763" spans="1:7" x14ac:dyDescent="0.15">
      <c r="A763" s="8" t="s">
        <v>2065</v>
      </c>
      <c r="B763" s="8" t="s">
        <v>145</v>
      </c>
      <c r="C763" s="8" t="str">
        <f t="shared" si="11"/>
        <v>esophagus</v>
      </c>
      <c r="D763" s="8" t="s">
        <v>2065</v>
      </c>
      <c r="E763" s="8" t="s">
        <v>2066</v>
      </c>
      <c r="F763" s="8" t="s">
        <v>2066</v>
      </c>
      <c r="G763" s="8">
        <v>500</v>
      </c>
    </row>
    <row r="764" spans="1:7" x14ac:dyDescent="0.15">
      <c r="A764" s="8" t="s">
        <v>2067</v>
      </c>
      <c r="B764" s="8" t="s">
        <v>145</v>
      </c>
      <c r="C764" s="8" t="str">
        <f t="shared" si="11"/>
        <v>eye</v>
      </c>
      <c r="D764" s="8" t="s">
        <v>2067</v>
      </c>
      <c r="E764" s="8" t="s">
        <v>2068</v>
      </c>
      <c r="F764" s="8" t="s">
        <v>2068</v>
      </c>
      <c r="G764" s="8">
        <v>500</v>
      </c>
    </row>
    <row r="765" spans="1:7" x14ac:dyDescent="0.15">
      <c r="A765" s="8" t="s">
        <v>2069</v>
      </c>
      <c r="B765" s="8" t="s">
        <v>145</v>
      </c>
      <c r="C765" s="8" t="str">
        <f t="shared" si="11"/>
        <v>gallbladder</v>
      </c>
      <c r="D765" s="8" t="s">
        <v>2069</v>
      </c>
      <c r="E765" s="8" t="s">
        <v>2070</v>
      </c>
      <c r="F765" s="8" t="s">
        <v>2070</v>
      </c>
      <c r="G765" s="8">
        <v>500</v>
      </c>
    </row>
    <row r="766" spans="1:7" x14ac:dyDescent="0.15">
      <c r="A766" s="8" t="s">
        <v>2071</v>
      </c>
      <c r="B766" s="8" t="s">
        <v>145</v>
      </c>
      <c r="C766" s="8" t="str">
        <f t="shared" si="11"/>
        <v>ganglia</v>
      </c>
      <c r="D766" s="8" t="s">
        <v>2071</v>
      </c>
      <c r="E766" s="8" t="s">
        <v>2072</v>
      </c>
      <c r="F766" s="8" t="s">
        <v>2072</v>
      </c>
      <c r="G766" s="8">
        <v>500</v>
      </c>
    </row>
    <row r="767" spans="1:7" x14ac:dyDescent="0.15">
      <c r="A767" s="8" t="s">
        <v>2073</v>
      </c>
      <c r="B767" s="8" t="s">
        <v>145</v>
      </c>
      <c r="C767" s="8" t="str">
        <f t="shared" si="11"/>
        <v>heart</v>
      </c>
      <c r="D767" s="8" t="s">
        <v>2073</v>
      </c>
      <c r="E767" s="8" t="s">
        <v>2074</v>
      </c>
      <c r="F767" s="8" t="s">
        <v>2074</v>
      </c>
      <c r="G767" s="8">
        <v>500</v>
      </c>
    </row>
    <row r="768" spans="1:7" x14ac:dyDescent="0.15">
      <c r="A768" s="8" t="s">
        <v>2075</v>
      </c>
      <c r="B768" s="8" t="s">
        <v>145</v>
      </c>
      <c r="C768" s="8" t="str">
        <f t="shared" si="11"/>
        <v>hypothalamus</v>
      </c>
      <c r="D768" s="8" t="s">
        <v>2075</v>
      </c>
      <c r="E768" s="8" t="s">
        <v>2076</v>
      </c>
      <c r="F768" s="8" t="s">
        <v>2076</v>
      </c>
      <c r="G768" s="8">
        <v>500</v>
      </c>
    </row>
    <row r="769" spans="1:7" x14ac:dyDescent="0.15">
      <c r="A769" s="8" t="s">
        <v>2077</v>
      </c>
      <c r="B769" s="8" t="s">
        <v>145</v>
      </c>
      <c r="C769" s="8" t="str">
        <f t="shared" si="11"/>
        <v>kidney</v>
      </c>
      <c r="D769" s="8" t="s">
        <v>2077</v>
      </c>
      <c r="E769" s="8" t="s">
        <v>2078</v>
      </c>
      <c r="F769" s="8" t="s">
        <v>2078</v>
      </c>
      <c r="G769" s="8">
        <v>500</v>
      </c>
    </row>
    <row r="770" spans="1:7" x14ac:dyDescent="0.15">
      <c r="A770" s="8" t="s">
        <v>2079</v>
      </c>
      <c r="B770" s="8" t="s">
        <v>145</v>
      </c>
      <c r="C770" s="8" t="str">
        <f t="shared" si="11"/>
        <v>large_intestine</v>
      </c>
      <c r="D770" s="8" t="s">
        <v>2080</v>
      </c>
      <c r="E770" s="8" t="s">
        <v>2081</v>
      </c>
      <c r="F770" s="8" t="s">
        <v>2082</v>
      </c>
      <c r="G770" s="8">
        <v>500</v>
      </c>
    </row>
    <row r="771" spans="1:7" x14ac:dyDescent="0.15">
      <c r="A771" s="8" t="s">
        <v>2083</v>
      </c>
      <c r="B771" s="8" t="s">
        <v>145</v>
      </c>
      <c r="C771" s="8" t="str">
        <f t="shared" si="11"/>
        <v>liver</v>
      </c>
      <c r="D771" s="8" t="s">
        <v>2083</v>
      </c>
      <c r="E771" s="8" t="s">
        <v>2084</v>
      </c>
      <c r="F771" s="8" t="s">
        <v>2084</v>
      </c>
      <c r="G771" s="8">
        <v>500</v>
      </c>
    </row>
    <row r="772" spans="1:7" x14ac:dyDescent="0.15">
      <c r="A772" s="8" t="s">
        <v>2085</v>
      </c>
      <c r="B772" s="8" t="s">
        <v>145</v>
      </c>
      <c r="C772" s="8" t="str">
        <f t="shared" si="11"/>
        <v>lung</v>
      </c>
      <c r="D772" s="8" t="s">
        <v>2085</v>
      </c>
      <c r="E772" s="8" t="s">
        <v>2086</v>
      </c>
      <c r="F772" s="8" t="s">
        <v>2086</v>
      </c>
      <c r="G772" s="8">
        <v>500</v>
      </c>
    </row>
    <row r="773" spans="1:7" x14ac:dyDescent="0.15">
      <c r="A773" s="8" t="s">
        <v>2087</v>
      </c>
      <c r="B773" s="8" t="s">
        <v>145</v>
      </c>
      <c r="C773" s="8" t="str">
        <f t="shared" si="11"/>
        <v>lymph_node</v>
      </c>
      <c r="D773" s="8" t="s">
        <v>1145</v>
      </c>
      <c r="E773" s="8" t="s">
        <v>2088</v>
      </c>
      <c r="F773" s="8" t="s">
        <v>2088</v>
      </c>
      <c r="G773" s="8">
        <v>500</v>
      </c>
    </row>
    <row r="774" spans="1:7" x14ac:dyDescent="0.15">
      <c r="A774" s="8" t="s">
        <v>2089</v>
      </c>
      <c r="B774" s="8" t="s">
        <v>145</v>
      </c>
      <c r="C774" s="8" t="str">
        <f t="shared" si="11"/>
        <v>medulla</v>
      </c>
      <c r="D774" s="8" t="s">
        <v>2089</v>
      </c>
      <c r="E774" s="8" t="s">
        <v>2090</v>
      </c>
      <c r="F774" s="8" t="s">
        <v>2090</v>
      </c>
      <c r="G774" s="8">
        <v>500</v>
      </c>
    </row>
    <row r="775" spans="1:7" x14ac:dyDescent="0.15">
      <c r="A775" s="8" t="s">
        <v>2091</v>
      </c>
      <c r="B775" s="8" t="s">
        <v>145</v>
      </c>
      <c r="C775" s="8" t="str">
        <f t="shared" si="11"/>
        <v>mesentery</v>
      </c>
      <c r="D775" s="8" t="s">
        <v>2091</v>
      </c>
      <c r="E775" s="8" t="s">
        <v>2092</v>
      </c>
      <c r="F775" s="8" t="s">
        <v>2092</v>
      </c>
      <c r="G775" s="8">
        <v>500</v>
      </c>
    </row>
    <row r="776" spans="1:7" x14ac:dyDescent="0.15">
      <c r="A776" s="8" t="s">
        <v>2093</v>
      </c>
      <c r="B776" s="8" t="s">
        <v>145</v>
      </c>
      <c r="C776" s="8" t="str">
        <f t="shared" si="11"/>
        <v>midbrain</v>
      </c>
      <c r="D776" s="8" t="s">
        <v>2093</v>
      </c>
      <c r="E776" s="8" t="s">
        <v>2094</v>
      </c>
      <c r="F776" s="8" t="s">
        <v>2094</v>
      </c>
      <c r="G776" s="8">
        <v>500</v>
      </c>
    </row>
    <row r="777" spans="1:7" x14ac:dyDescent="0.15">
      <c r="A777" s="8" t="s">
        <v>2095</v>
      </c>
      <c r="B777" s="8" t="s">
        <v>145</v>
      </c>
      <c r="C777" s="8" t="str">
        <f t="shared" ref="C777:C842" si="12">A777</f>
        <v>ovaries</v>
      </c>
      <c r="D777" s="8" t="s">
        <v>2095</v>
      </c>
      <c r="E777" s="8" t="s">
        <v>2096</v>
      </c>
      <c r="F777" s="8" t="s">
        <v>2096</v>
      </c>
      <c r="G777" s="8">
        <v>500</v>
      </c>
    </row>
    <row r="778" spans="1:7" x14ac:dyDescent="0.15">
      <c r="A778" s="8" t="s">
        <v>2097</v>
      </c>
      <c r="B778" s="8" t="s">
        <v>145</v>
      </c>
      <c r="C778" s="8" t="str">
        <f t="shared" si="12"/>
        <v>pancreas</v>
      </c>
      <c r="D778" s="8" t="s">
        <v>2097</v>
      </c>
      <c r="E778" s="8" t="s">
        <v>2098</v>
      </c>
      <c r="F778" s="8" t="s">
        <v>2098</v>
      </c>
      <c r="G778" s="8">
        <v>500</v>
      </c>
    </row>
    <row r="779" spans="1:7" x14ac:dyDescent="0.15">
      <c r="A779" s="8" t="s">
        <v>2099</v>
      </c>
      <c r="B779" s="8" t="s">
        <v>145</v>
      </c>
      <c r="C779" s="8" t="str">
        <f t="shared" si="12"/>
        <v>pons</v>
      </c>
      <c r="D779" s="8" t="s">
        <v>2099</v>
      </c>
      <c r="E779" s="8" t="s">
        <v>2100</v>
      </c>
      <c r="F779" s="8" t="s">
        <v>2100</v>
      </c>
      <c r="G779" s="8">
        <v>500</v>
      </c>
    </row>
    <row r="780" spans="1:7" x14ac:dyDescent="0.15">
      <c r="A780" s="8" t="s">
        <v>2101</v>
      </c>
      <c r="B780" s="8" t="s">
        <v>145</v>
      </c>
      <c r="C780" s="8" t="str">
        <f t="shared" si="12"/>
        <v>prostate</v>
      </c>
      <c r="D780" s="8" t="s">
        <v>2101</v>
      </c>
      <c r="E780" s="8" t="s">
        <v>2102</v>
      </c>
      <c r="F780" s="8" t="s">
        <v>2102</v>
      </c>
      <c r="G780" s="8">
        <v>500</v>
      </c>
    </row>
    <row r="781" spans="1:7" x14ac:dyDescent="0.15">
      <c r="A781" s="8" t="s">
        <v>2103</v>
      </c>
      <c r="B781" s="8" t="s">
        <v>145</v>
      </c>
      <c r="C781" s="8" t="str">
        <f t="shared" si="12"/>
        <v>rectum</v>
      </c>
      <c r="D781" s="8" t="s">
        <v>2103</v>
      </c>
      <c r="E781" s="8" t="s">
        <v>2104</v>
      </c>
      <c r="F781" s="8" t="s">
        <v>2104</v>
      </c>
      <c r="G781" s="8">
        <v>500</v>
      </c>
    </row>
    <row r="782" spans="1:7" x14ac:dyDescent="0.15">
      <c r="A782" s="8" t="s">
        <v>2105</v>
      </c>
      <c r="B782" s="8" t="s">
        <v>145</v>
      </c>
      <c r="C782" s="8" t="str">
        <f t="shared" si="12"/>
        <v>small_intestine</v>
      </c>
      <c r="D782" s="8" t="s">
        <v>2106</v>
      </c>
      <c r="E782" s="8" t="s">
        <v>2107</v>
      </c>
      <c r="F782" s="8" t="s">
        <v>2108</v>
      </c>
      <c r="G782" s="8">
        <v>500</v>
      </c>
    </row>
    <row r="783" spans="1:7" x14ac:dyDescent="0.15">
      <c r="A783" s="8" t="s">
        <v>2109</v>
      </c>
      <c r="B783" s="8" t="s">
        <v>145</v>
      </c>
      <c r="C783" s="8" t="str">
        <f t="shared" si="12"/>
        <v>spinal_cord</v>
      </c>
      <c r="D783" s="8" t="s">
        <v>2109</v>
      </c>
      <c r="E783" s="8" t="s">
        <v>2110</v>
      </c>
      <c r="F783" s="8" t="s">
        <v>2111</v>
      </c>
      <c r="G783" s="8">
        <v>500</v>
      </c>
    </row>
    <row r="784" spans="1:7" x14ac:dyDescent="0.15">
      <c r="A784" s="8" t="s">
        <v>2112</v>
      </c>
      <c r="B784" s="8" t="s">
        <v>145</v>
      </c>
      <c r="C784" s="8" t="str">
        <f t="shared" si="12"/>
        <v>spleen</v>
      </c>
      <c r="D784" s="8" t="s">
        <v>2112</v>
      </c>
      <c r="E784" s="8" t="s">
        <v>2113</v>
      </c>
      <c r="F784" s="8" t="s">
        <v>2113</v>
      </c>
      <c r="G784" s="8">
        <v>500</v>
      </c>
    </row>
    <row r="785" spans="1:7" x14ac:dyDescent="0.15">
      <c r="A785" s="8" t="s">
        <v>2114</v>
      </c>
      <c r="B785" s="8" t="s">
        <v>145</v>
      </c>
      <c r="C785" s="8" t="str">
        <f t="shared" si="12"/>
        <v>stomach</v>
      </c>
      <c r="D785" s="8" t="s">
        <v>2114</v>
      </c>
      <c r="E785" s="8" t="s">
        <v>2115</v>
      </c>
      <c r="F785" s="8" t="s">
        <v>2115</v>
      </c>
      <c r="G785" s="8">
        <v>500</v>
      </c>
    </row>
    <row r="786" spans="1:7" x14ac:dyDescent="0.15">
      <c r="A786" s="8" t="s">
        <v>2116</v>
      </c>
      <c r="B786" s="8" t="s">
        <v>145</v>
      </c>
      <c r="C786" s="8" t="str">
        <f t="shared" si="12"/>
        <v>testicles</v>
      </c>
      <c r="D786" s="8" t="s">
        <v>2116</v>
      </c>
      <c r="E786" s="8" t="s">
        <v>2117</v>
      </c>
      <c r="F786" s="8" t="s">
        <v>2117</v>
      </c>
      <c r="G786" s="8">
        <v>500</v>
      </c>
    </row>
    <row r="787" spans="1:7" x14ac:dyDescent="0.15">
      <c r="A787" s="8" t="s">
        <v>2118</v>
      </c>
      <c r="B787" s="8" t="s">
        <v>145</v>
      </c>
      <c r="C787" s="8" t="str">
        <f t="shared" si="12"/>
        <v>thalamus</v>
      </c>
      <c r="D787" s="8" t="s">
        <v>2118</v>
      </c>
      <c r="E787" s="8" t="s">
        <v>2119</v>
      </c>
      <c r="F787" s="8" t="s">
        <v>2119</v>
      </c>
      <c r="G787" s="8">
        <v>500</v>
      </c>
    </row>
    <row r="788" spans="1:7" x14ac:dyDescent="0.15">
      <c r="A788" s="8" t="s">
        <v>2120</v>
      </c>
      <c r="B788" s="8" t="s">
        <v>145</v>
      </c>
      <c r="C788" s="8" t="str">
        <f t="shared" si="12"/>
        <v>thymus</v>
      </c>
      <c r="D788" s="8" t="s">
        <v>2120</v>
      </c>
      <c r="E788" s="8" t="s">
        <v>2121</v>
      </c>
      <c r="F788" s="8" t="s">
        <v>2121</v>
      </c>
      <c r="G788" s="8">
        <v>500</v>
      </c>
    </row>
    <row r="789" spans="1:7" x14ac:dyDescent="0.15">
      <c r="A789" s="8" t="s">
        <v>2122</v>
      </c>
      <c r="B789" s="8" t="s">
        <v>145</v>
      </c>
      <c r="C789" s="8" t="str">
        <f t="shared" si="12"/>
        <v>tongue</v>
      </c>
      <c r="D789" s="8" t="s">
        <v>2122</v>
      </c>
      <c r="E789" s="8" t="s">
        <v>2123</v>
      </c>
      <c r="F789" s="8" t="s">
        <v>2123</v>
      </c>
      <c r="G789" s="8">
        <v>500</v>
      </c>
    </row>
    <row r="790" spans="1:7" x14ac:dyDescent="0.15">
      <c r="A790" s="8" t="s">
        <v>2124</v>
      </c>
      <c r="B790" s="8" t="s">
        <v>145</v>
      </c>
      <c r="C790" s="8" t="str">
        <f t="shared" si="12"/>
        <v>tonsils</v>
      </c>
      <c r="D790" s="8" t="s">
        <v>2124</v>
      </c>
      <c r="E790" s="8" t="s">
        <v>2125</v>
      </c>
      <c r="F790" s="8" t="s">
        <v>2125</v>
      </c>
      <c r="G790" s="8">
        <v>500</v>
      </c>
    </row>
    <row r="791" spans="1:7" x14ac:dyDescent="0.15">
      <c r="A791" s="8" t="s">
        <v>2126</v>
      </c>
      <c r="B791" s="8" t="s">
        <v>145</v>
      </c>
      <c r="C791" s="8" t="str">
        <f t="shared" si="12"/>
        <v>uterus</v>
      </c>
      <c r="D791" s="8" t="s">
        <v>2126</v>
      </c>
      <c r="E791" s="8" t="s">
        <v>2127</v>
      </c>
      <c r="F791" s="8" t="s">
        <v>2127</v>
      </c>
      <c r="G791" s="8">
        <v>500</v>
      </c>
    </row>
    <row r="792" spans="1:7" x14ac:dyDescent="0.15">
      <c r="A792" s="8" t="s">
        <v>2128</v>
      </c>
      <c r="B792" s="8" t="s">
        <v>145</v>
      </c>
      <c r="C792" s="8" t="str">
        <f t="shared" si="12"/>
        <v>veins</v>
      </c>
      <c r="D792" s="8" t="s">
        <v>2128</v>
      </c>
      <c r="E792" s="8" t="s">
        <v>2129</v>
      </c>
      <c r="F792" s="8" t="s">
        <v>2129</v>
      </c>
      <c r="G792" s="8">
        <v>500</v>
      </c>
    </row>
    <row r="793" spans="1:7" x14ac:dyDescent="0.15">
      <c r="A793" s="8" t="s">
        <v>4114</v>
      </c>
      <c r="B793" s="8" t="s">
        <v>145</v>
      </c>
      <c r="C793" s="8" t="str">
        <f t="shared" si="12"/>
        <v>skmuscle</v>
      </c>
      <c r="D793" s="8" t="s">
        <v>4115</v>
      </c>
      <c r="E793" s="8" t="s">
        <v>2745</v>
      </c>
      <c r="F793" s="8" t="s">
        <v>2745</v>
      </c>
    </row>
    <row r="794" spans="1:7" x14ac:dyDescent="0.15">
      <c r="A794" s="8" t="s">
        <v>2843</v>
      </c>
      <c r="B794" s="8" t="s">
        <v>158</v>
      </c>
      <c r="C794" s="8" t="str">
        <f t="shared" si="12"/>
        <v>controls</v>
      </c>
      <c r="D794" s="8" t="s">
        <v>2840</v>
      </c>
      <c r="E794" s="8" t="s">
        <v>2841</v>
      </c>
      <c r="F794" s="8" t="s">
        <v>2842</v>
      </c>
      <c r="G794" s="8">
        <v>500</v>
      </c>
    </row>
    <row r="795" spans="1:7" x14ac:dyDescent="0.15">
      <c r="A795" s="8" t="s">
        <v>2150</v>
      </c>
      <c r="B795" s="8" t="s">
        <v>2151</v>
      </c>
      <c r="C795" s="8" t="str">
        <f t="shared" si="12"/>
        <v>cardiovascular</v>
      </c>
      <c r="D795" s="9" t="s">
        <v>15</v>
      </c>
      <c r="E795" s="8" t="s">
        <v>2152</v>
      </c>
      <c r="F795" s="8" t="s">
        <v>2153</v>
      </c>
      <c r="G795" s="8">
        <v>500</v>
      </c>
    </row>
    <row r="796" spans="1:7" x14ac:dyDescent="0.15">
      <c r="A796" s="8" t="s">
        <v>2154</v>
      </c>
      <c r="B796" s="8" t="s">
        <v>2151</v>
      </c>
      <c r="C796" s="8" t="str">
        <f t="shared" si="12"/>
        <v>digestive</v>
      </c>
      <c r="D796" s="9" t="s">
        <v>15</v>
      </c>
      <c r="E796" s="8" t="s">
        <v>2155</v>
      </c>
      <c r="F796" s="8" t="s">
        <v>2156</v>
      </c>
      <c r="G796" s="8">
        <v>500</v>
      </c>
    </row>
    <row r="797" spans="1:7" x14ac:dyDescent="0.15">
      <c r="A797" s="8" t="s">
        <v>2157</v>
      </c>
      <c r="B797" s="8" t="s">
        <v>2151</v>
      </c>
      <c r="C797" s="8" t="str">
        <f t="shared" si="12"/>
        <v>endocrine</v>
      </c>
      <c r="D797" s="9" t="s">
        <v>15</v>
      </c>
      <c r="E797" s="8" t="s">
        <v>2158</v>
      </c>
      <c r="F797" s="8" t="s">
        <v>2159</v>
      </c>
      <c r="G797" s="8">
        <v>500</v>
      </c>
    </row>
    <row r="798" spans="1:7" x14ac:dyDescent="0.15">
      <c r="A798" s="8" t="s">
        <v>2160</v>
      </c>
      <c r="B798" s="8" t="s">
        <v>2151</v>
      </c>
      <c r="C798" s="8" t="str">
        <f t="shared" si="12"/>
        <v>excretory</v>
      </c>
      <c r="D798" s="9" t="s">
        <v>15</v>
      </c>
      <c r="E798" s="8" t="s">
        <v>2161</v>
      </c>
      <c r="F798" s="8" t="s">
        <v>2162</v>
      </c>
      <c r="G798" s="8">
        <v>500</v>
      </c>
    </row>
    <row r="799" spans="1:7" x14ac:dyDescent="0.15">
      <c r="A799" s="8" t="s">
        <v>2163</v>
      </c>
      <c r="B799" s="8" t="s">
        <v>2151</v>
      </c>
      <c r="C799" s="8" t="str">
        <f t="shared" si="12"/>
        <v>integumentary</v>
      </c>
      <c r="D799" s="9" t="s">
        <v>15</v>
      </c>
      <c r="E799" s="8" t="s">
        <v>2164</v>
      </c>
      <c r="F799" s="8" t="s">
        <v>2165</v>
      </c>
      <c r="G799" s="8">
        <v>500</v>
      </c>
    </row>
    <row r="800" spans="1:7" x14ac:dyDescent="0.15">
      <c r="A800" s="8" t="s">
        <v>2166</v>
      </c>
      <c r="B800" s="8" t="s">
        <v>2151</v>
      </c>
      <c r="C800" s="8" t="str">
        <f t="shared" si="12"/>
        <v>lymphatic</v>
      </c>
      <c r="D800" s="9" t="s">
        <v>15</v>
      </c>
      <c r="E800" s="8" t="s">
        <v>2167</v>
      </c>
      <c r="F800" s="8" t="s">
        <v>2168</v>
      </c>
      <c r="G800" s="8">
        <v>500</v>
      </c>
    </row>
    <row r="801" spans="1:7" x14ac:dyDescent="0.15">
      <c r="A801" s="8" t="s">
        <v>2169</v>
      </c>
      <c r="B801" s="8" t="s">
        <v>2151</v>
      </c>
      <c r="C801" s="8" t="str">
        <f t="shared" si="12"/>
        <v>muscular</v>
      </c>
      <c r="D801" s="9" t="s">
        <v>15</v>
      </c>
      <c r="E801" s="8" t="s">
        <v>2170</v>
      </c>
      <c r="F801" s="8" t="s">
        <v>2171</v>
      </c>
      <c r="G801" s="8">
        <v>500</v>
      </c>
    </row>
    <row r="802" spans="1:7" x14ac:dyDescent="0.15">
      <c r="A802" s="8" t="s">
        <v>2172</v>
      </c>
      <c r="B802" s="8" t="s">
        <v>2151</v>
      </c>
      <c r="C802" s="8" t="str">
        <f t="shared" si="12"/>
        <v>nervous_system</v>
      </c>
      <c r="D802" s="9" t="s">
        <v>15</v>
      </c>
      <c r="E802" s="8" t="s">
        <v>2173</v>
      </c>
      <c r="F802" s="8" t="s">
        <v>2174</v>
      </c>
      <c r="G802" s="8">
        <v>500</v>
      </c>
    </row>
    <row r="803" spans="1:7" x14ac:dyDescent="0.15">
      <c r="A803" s="8" t="s">
        <v>2175</v>
      </c>
      <c r="B803" s="8" t="s">
        <v>2151</v>
      </c>
      <c r="C803" s="8" t="str">
        <f t="shared" si="12"/>
        <v>reproductive</v>
      </c>
      <c r="D803" s="9" t="s">
        <v>15</v>
      </c>
      <c r="E803" s="8" t="s">
        <v>2176</v>
      </c>
      <c r="F803" s="8" t="s">
        <v>2177</v>
      </c>
      <c r="G803" s="8">
        <v>500</v>
      </c>
    </row>
    <row r="804" spans="1:7" x14ac:dyDescent="0.15">
      <c r="A804" s="8" t="s">
        <v>2178</v>
      </c>
      <c r="B804" s="8" t="s">
        <v>2151</v>
      </c>
      <c r="C804" s="8" t="str">
        <f t="shared" si="12"/>
        <v>respiratory</v>
      </c>
      <c r="D804" s="9" t="s">
        <v>15</v>
      </c>
      <c r="E804" s="8" t="s">
        <v>2179</v>
      </c>
      <c r="F804" s="8" t="s">
        <v>2180</v>
      </c>
      <c r="G804" s="8">
        <v>500</v>
      </c>
    </row>
    <row r="805" spans="1:7" x14ac:dyDescent="0.15">
      <c r="A805" s="8" t="s">
        <v>2181</v>
      </c>
      <c r="B805" s="8" t="s">
        <v>2151</v>
      </c>
      <c r="C805" s="8" t="str">
        <f t="shared" si="12"/>
        <v>skeletal</v>
      </c>
      <c r="D805" s="9" t="s">
        <v>15</v>
      </c>
      <c r="E805" s="8" t="s">
        <v>2182</v>
      </c>
      <c r="F805" s="8" t="s">
        <v>2183</v>
      </c>
      <c r="G805" s="8">
        <v>500</v>
      </c>
    </row>
    <row r="806" spans="1:7" x14ac:dyDescent="0.15">
      <c r="A806" s="8" t="s">
        <v>2184</v>
      </c>
      <c r="B806" s="8" t="s">
        <v>2151</v>
      </c>
      <c r="C806" s="8" t="str">
        <f t="shared" si="12"/>
        <v>urinary</v>
      </c>
      <c r="D806" s="9" t="s">
        <v>15</v>
      </c>
      <c r="E806" s="8" t="s">
        <v>2185</v>
      </c>
      <c r="F806" s="8" t="s">
        <v>2186</v>
      </c>
      <c r="G806" s="8">
        <v>500</v>
      </c>
    </row>
    <row r="807" spans="1:7" x14ac:dyDescent="0.15">
      <c r="A807" s="8" t="s">
        <v>2187</v>
      </c>
      <c r="B807" s="8" t="s">
        <v>160</v>
      </c>
      <c r="C807" s="8" t="str">
        <f t="shared" si="12"/>
        <v>intervalcardio</v>
      </c>
      <c r="D807" s="9" t="s">
        <v>15</v>
      </c>
      <c r="E807" s="8" t="s">
        <v>2188</v>
      </c>
      <c r="F807" s="8" t="s">
        <v>2189</v>
      </c>
      <c r="G807" s="8">
        <v>500</v>
      </c>
    </row>
    <row r="808" spans="1:7" x14ac:dyDescent="0.15">
      <c r="A808" s="8" t="s">
        <v>2190</v>
      </c>
      <c r="B808" s="8" t="s">
        <v>160</v>
      </c>
      <c r="C808" s="8" t="str">
        <f t="shared" si="12"/>
        <v>steadycardio</v>
      </c>
      <c r="D808" s="9" t="s">
        <v>15</v>
      </c>
      <c r="E808" s="8" t="s">
        <v>2762</v>
      </c>
      <c r="F808" s="8" t="s">
        <v>2191</v>
      </c>
      <c r="G808" s="8">
        <v>500</v>
      </c>
    </row>
    <row r="809" spans="1:7" x14ac:dyDescent="0.15">
      <c r="A809" s="8" t="s">
        <v>2192</v>
      </c>
      <c r="B809" s="8" t="s">
        <v>160</v>
      </c>
      <c r="C809" s="8" t="str">
        <f t="shared" si="12"/>
        <v>strength</v>
      </c>
      <c r="D809" s="9" t="s">
        <v>15</v>
      </c>
      <c r="E809" s="8" t="s">
        <v>2193</v>
      </c>
      <c r="F809" s="8" t="s">
        <v>2194</v>
      </c>
      <c r="G809" s="8">
        <v>500</v>
      </c>
    </row>
    <row r="810" spans="1:7" x14ac:dyDescent="0.15">
      <c r="A810" s="8" t="s">
        <v>2763</v>
      </c>
      <c r="B810" s="8" t="s">
        <v>160</v>
      </c>
      <c r="C810" s="8" t="str">
        <f t="shared" si="12"/>
        <v>hiit</v>
      </c>
      <c r="D810" s="9" t="s">
        <v>15</v>
      </c>
      <c r="E810" s="8" t="s">
        <v>2764</v>
      </c>
      <c r="F810" s="8" t="s">
        <v>2765</v>
      </c>
      <c r="G810" s="8">
        <v>500</v>
      </c>
    </row>
    <row r="811" spans="1:7" x14ac:dyDescent="0.15">
      <c r="A811" s="8" t="s">
        <v>2195</v>
      </c>
      <c r="B811" s="8" t="s">
        <v>162</v>
      </c>
      <c r="C811" s="8" t="str">
        <f t="shared" si="12"/>
        <v>argc</v>
      </c>
      <c r="D811" s="9" t="s">
        <v>15</v>
      </c>
      <c r="E811" s="8" t="s">
        <v>2196</v>
      </c>
      <c r="F811" s="8" t="s">
        <v>2197</v>
      </c>
      <c r="G811" s="8">
        <v>500</v>
      </c>
    </row>
    <row r="812" spans="1:7" x14ac:dyDescent="0.15">
      <c r="A812" s="8" t="s">
        <v>2198</v>
      </c>
      <c r="B812" s="8" t="s">
        <v>162</v>
      </c>
      <c r="C812" s="8" t="str">
        <f t="shared" si="12"/>
        <v>aspn</v>
      </c>
      <c r="D812" s="9" t="s">
        <v>15</v>
      </c>
      <c r="E812" s="8" t="s">
        <v>2199</v>
      </c>
      <c r="F812" s="8" t="s">
        <v>2200</v>
      </c>
      <c r="G812" s="8">
        <v>500</v>
      </c>
    </row>
    <row r="813" spans="1:7" x14ac:dyDescent="0.15">
      <c r="A813" s="8" t="s">
        <v>2201</v>
      </c>
      <c r="B813" s="8" t="s">
        <v>162</v>
      </c>
      <c r="C813" s="8" t="str">
        <f t="shared" si="12"/>
        <v>chymotrypsin</v>
      </c>
      <c r="D813" s="9" t="s">
        <v>15</v>
      </c>
      <c r="E813" s="8" t="s">
        <v>2202</v>
      </c>
      <c r="F813" s="8" t="s">
        <v>2203</v>
      </c>
      <c r="G813" s="8">
        <v>500</v>
      </c>
    </row>
    <row r="814" spans="1:7" x14ac:dyDescent="0.15">
      <c r="A814" s="8" t="s">
        <v>2204</v>
      </c>
      <c r="B814" s="8" t="s">
        <v>162</v>
      </c>
      <c r="C814" s="8" t="str">
        <f t="shared" si="12"/>
        <v>elastase</v>
      </c>
      <c r="D814" s="9" t="s">
        <v>15</v>
      </c>
      <c r="E814" s="8" t="s">
        <v>2205</v>
      </c>
      <c r="F814" s="8" t="s">
        <v>2206</v>
      </c>
      <c r="G814" s="8">
        <v>500</v>
      </c>
    </row>
    <row r="815" spans="1:7" x14ac:dyDescent="0.15">
      <c r="A815" s="8" t="s">
        <v>2207</v>
      </c>
      <c r="B815" s="8" t="s">
        <v>162</v>
      </c>
      <c r="C815" s="8" t="str">
        <f t="shared" si="12"/>
        <v>gluc</v>
      </c>
      <c r="D815" s="9" t="s">
        <v>15</v>
      </c>
      <c r="E815" s="8" t="s">
        <v>2208</v>
      </c>
      <c r="F815" s="8" t="s">
        <v>2209</v>
      </c>
      <c r="G815" s="8">
        <v>500</v>
      </c>
    </row>
    <row r="816" spans="1:7" x14ac:dyDescent="0.15">
      <c r="A816" s="8" t="s">
        <v>2210</v>
      </c>
      <c r="B816" s="8" t="s">
        <v>162</v>
      </c>
      <c r="C816" s="8" t="str">
        <f t="shared" si="12"/>
        <v>lysc</v>
      </c>
      <c r="D816" s="9" t="s">
        <v>15</v>
      </c>
      <c r="E816" s="8" t="s">
        <v>2211</v>
      </c>
      <c r="F816" s="8" t="s">
        <v>2212</v>
      </c>
      <c r="G816" s="8">
        <v>500</v>
      </c>
    </row>
    <row r="817" spans="1:7" x14ac:dyDescent="0.15">
      <c r="A817" s="8" t="s">
        <v>2213</v>
      </c>
      <c r="B817" s="8" t="s">
        <v>162</v>
      </c>
      <c r="C817" s="8" t="str">
        <f t="shared" si="12"/>
        <v>raspn</v>
      </c>
      <c r="D817" s="9" t="s">
        <v>15</v>
      </c>
      <c r="E817" s="8" t="s">
        <v>2214</v>
      </c>
      <c r="F817" s="8" t="s">
        <v>2215</v>
      </c>
      <c r="G817" s="8">
        <v>500</v>
      </c>
    </row>
    <row r="818" spans="1:7" x14ac:dyDescent="0.15">
      <c r="A818" s="8" t="s">
        <v>2216</v>
      </c>
      <c r="B818" s="8" t="s">
        <v>162</v>
      </c>
      <c r="C818" s="8" t="str">
        <f t="shared" si="12"/>
        <v>trypsin</v>
      </c>
      <c r="D818" s="9" t="s">
        <v>15</v>
      </c>
      <c r="E818" s="8" t="s">
        <v>2217</v>
      </c>
      <c r="F818" s="8" t="s">
        <v>2218</v>
      </c>
      <c r="G818" s="8">
        <v>500</v>
      </c>
    </row>
    <row r="819" spans="1:7" x14ac:dyDescent="0.15">
      <c r="A819" s="8" t="s">
        <v>2766</v>
      </c>
      <c r="B819" s="8" t="s">
        <v>164</v>
      </c>
      <c r="C819" s="8" t="str">
        <f t="shared" si="12"/>
        <v>apex</v>
      </c>
      <c r="D819" s="9" t="s">
        <v>15</v>
      </c>
      <c r="E819" s="8" t="s">
        <v>2767</v>
      </c>
      <c r="F819" s="8" t="s">
        <v>2768</v>
      </c>
      <c r="G819" s="8">
        <v>500</v>
      </c>
    </row>
    <row r="820" spans="1:7" x14ac:dyDescent="0.15">
      <c r="A820" s="8" t="s">
        <v>2769</v>
      </c>
      <c r="B820" s="8" t="s">
        <v>164</v>
      </c>
      <c r="C820" s="8" t="str">
        <f t="shared" si="12"/>
        <v>bioid</v>
      </c>
      <c r="D820" s="9" t="s">
        <v>15</v>
      </c>
      <c r="E820" s="8" t="s">
        <v>2770</v>
      </c>
      <c r="F820" s="8" t="s">
        <v>2771</v>
      </c>
      <c r="G820" s="8">
        <v>500</v>
      </c>
    </row>
    <row r="821" spans="1:7" x14ac:dyDescent="0.15">
      <c r="A821" s="8" t="s">
        <v>2772</v>
      </c>
      <c r="B821" s="8" t="s">
        <v>164</v>
      </c>
      <c r="C821" s="8" t="str">
        <f t="shared" si="12"/>
        <v>turboid</v>
      </c>
      <c r="D821" s="9" t="s">
        <v>15</v>
      </c>
      <c r="E821" s="8" t="s">
        <v>2773</v>
      </c>
      <c r="F821" s="8" t="s">
        <v>2774</v>
      </c>
      <c r="G821" s="8">
        <v>500</v>
      </c>
    </row>
    <row r="822" spans="1:7" x14ac:dyDescent="0.15">
      <c r="A822" s="8" t="s">
        <v>1208</v>
      </c>
      <c r="B822" s="8" t="s">
        <v>164</v>
      </c>
      <c r="C822" s="8" t="str">
        <f t="shared" si="12"/>
        <v>deletion</v>
      </c>
      <c r="D822" s="9" t="s">
        <v>15</v>
      </c>
      <c r="E822" s="8" t="s">
        <v>2219</v>
      </c>
      <c r="F822" s="8" t="s">
        <v>2220</v>
      </c>
      <c r="G822" s="8">
        <v>500</v>
      </c>
    </row>
    <row r="823" spans="1:7" x14ac:dyDescent="0.15">
      <c r="A823" s="8" t="s">
        <v>2221</v>
      </c>
      <c r="B823" s="8" t="s">
        <v>164</v>
      </c>
      <c r="C823" s="8" t="str">
        <f t="shared" si="12"/>
        <v>flag</v>
      </c>
      <c r="D823" s="9" t="s">
        <v>15</v>
      </c>
      <c r="E823" s="8" t="s">
        <v>2222</v>
      </c>
      <c r="F823" s="8" t="s">
        <v>2223</v>
      </c>
      <c r="G823" s="8">
        <v>500</v>
      </c>
    </row>
    <row r="824" spans="1:7" x14ac:dyDescent="0.15">
      <c r="A824" s="8" t="s">
        <v>2224</v>
      </c>
      <c r="B824" s="8" t="s">
        <v>164</v>
      </c>
      <c r="C824" s="8" t="str">
        <f t="shared" si="12"/>
        <v>frameshift</v>
      </c>
      <c r="D824" s="9" t="s">
        <v>15</v>
      </c>
      <c r="E824" s="8" t="s">
        <v>2225</v>
      </c>
      <c r="F824" s="8" t="s">
        <v>2226</v>
      </c>
      <c r="G824" s="8">
        <v>500</v>
      </c>
    </row>
    <row r="825" spans="1:7" x14ac:dyDescent="0.15">
      <c r="A825" s="8" t="s">
        <v>2227</v>
      </c>
      <c r="B825" s="8" t="s">
        <v>164</v>
      </c>
      <c r="C825" s="8" t="str">
        <f t="shared" si="12"/>
        <v>gfp</v>
      </c>
      <c r="D825" s="9" t="s">
        <v>15</v>
      </c>
      <c r="E825" s="8" t="s">
        <v>2228</v>
      </c>
      <c r="F825" s="8" t="s">
        <v>2229</v>
      </c>
      <c r="G825" s="8">
        <v>500</v>
      </c>
    </row>
    <row r="826" spans="1:7" x14ac:dyDescent="0.15">
      <c r="A826" s="8" t="s">
        <v>2230</v>
      </c>
      <c r="B826" s="8" t="s">
        <v>164</v>
      </c>
      <c r="C826" s="8" t="str">
        <f t="shared" si="12"/>
        <v>ha</v>
      </c>
      <c r="D826" s="9" t="s">
        <v>15</v>
      </c>
      <c r="E826" s="8" t="s">
        <v>2231</v>
      </c>
      <c r="F826" s="8" t="s">
        <v>2232</v>
      </c>
      <c r="G826" s="8">
        <v>500</v>
      </c>
    </row>
    <row r="827" spans="1:7" x14ac:dyDescent="0.15">
      <c r="A827" s="8" t="s">
        <v>2233</v>
      </c>
      <c r="B827" s="8" t="s">
        <v>164</v>
      </c>
      <c r="C827" s="8" t="str">
        <f t="shared" si="12"/>
        <v>his</v>
      </c>
      <c r="D827" s="9" t="s">
        <v>15</v>
      </c>
      <c r="E827" s="8" t="s">
        <v>2234</v>
      </c>
      <c r="F827" s="8" t="s">
        <v>2235</v>
      </c>
      <c r="G827" s="8">
        <v>500</v>
      </c>
    </row>
    <row r="828" spans="1:7" x14ac:dyDescent="0.15">
      <c r="A828" s="8" t="s">
        <v>2236</v>
      </c>
      <c r="B828" s="8" t="s">
        <v>164</v>
      </c>
      <c r="C828" s="8" t="str">
        <f t="shared" si="12"/>
        <v>insertion</v>
      </c>
      <c r="D828" s="9" t="s">
        <v>15</v>
      </c>
      <c r="E828" s="8" t="s">
        <v>2237</v>
      </c>
      <c r="F828" s="8" t="s">
        <v>2238</v>
      </c>
      <c r="G828" s="8">
        <v>500</v>
      </c>
    </row>
    <row r="829" spans="1:7" x14ac:dyDescent="0.15">
      <c r="A829" s="8" t="s">
        <v>2239</v>
      </c>
      <c r="B829" s="8" t="s">
        <v>164</v>
      </c>
      <c r="C829" s="8" t="str">
        <f t="shared" si="12"/>
        <v>myc</v>
      </c>
      <c r="D829" s="9" t="s">
        <v>15</v>
      </c>
      <c r="E829" s="8" t="s">
        <v>2240</v>
      </c>
      <c r="F829" s="8" t="s">
        <v>2241</v>
      </c>
      <c r="G829" s="8">
        <v>500</v>
      </c>
    </row>
    <row r="830" spans="1:7" x14ac:dyDescent="0.15">
      <c r="A830" s="8" t="s">
        <v>2242</v>
      </c>
      <c r="B830" s="8" t="s">
        <v>164</v>
      </c>
      <c r="C830" s="8" t="str">
        <f t="shared" si="12"/>
        <v>pep86</v>
      </c>
      <c r="D830" s="9" t="s">
        <v>15</v>
      </c>
      <c r="E830" s="8" t="s">
        <v>2738</v>
      </c>
      <c r="F830" s="8" t="s">
        <v>2243</v>
      </c>
      <c r="G830" s="8">
        <v>500</v>
      </c>
    </row>
    <row r="831" spans="1:7" x14ac:dyDescent="0.15">
      <c r="A831" s="8" t="s">
        <v>2244</v>
      </c>
      <c r="B831" s="8" t="s">
        <v>164</v>
      </c>
      <c r="C831" s="8" t="str">
        <f t="shared" si="12"/>
        <v>substitution</v>
      </c>
      <c r="D831" s="9" t="s">
        <v>15</v>
      </c>
      <c r="E831" s="8" t="s">
        <v>2245</v>
      </c>
      <c r="F831" s="8" t="s">
        <v>2246</v>
      </c>
      <c r="G831" s="8">
        <v>500</v>
      </c>
    </row>
    <row r="832" spans="1:7" x14ac:dyDescent="0.15">
      <c r="A832" s="8" t="s">
        <v>2247</v>
      </c>
      <c r="B832" s="8" t="s">
        <v>164</v>
      </c>
      <c r="C832" s="8" t="str">
        <f t="shared" si="12"/>
        <v>truncation</v>
      </c>
      <c r="D832" s="9" t="s">
        <v>15</v>
      </c>
      <c r="E832" s="8" t="s">
        <v>2248</v>
      </c>
      <c r="F832" s="8" t="s">
        <v>2249</v>
      </c>
      <c r="G832" s="8">
        <v>500</v>
      </c>
    </row>
    <row r="833" spans="1:1008" x14ac:dyDescent="0.15">
      <c r="A833" s="8" t="s">
        <v>281</v>
      </c>
      <c r="B833" s="8" t="s">
        <v>164</v>
      </c>
      <c r="C833" s="8" t="str">
        <f t="shared" si="12"/>
        <v>none</v>
      </c>
      <c r="D833" s="9" t="s">
        <v>15</v>
      </c>
      <c r="E833" s="8" t="s">
        <v>1806</v>
      </c>
      <c r="F833" s="8" t="s">
        <v>2739</v>
      </c>
      <c r="G833" s="8">
        <v>500</v>
      </c>
    </row>
    <row r="834" spans="1:1008" x14ac:dyDescent="0.15">
      <c r="A834" s="8" t="s">
        <v>2250</v>
      </c>
      <c r="B834" s="8" t="s">
        <v>166</v>
      </c>
      <c r="C834" s="8" t="str">
        <f t="shared" si="12"/>
        <v>aa</v>
      </c>
      <c r="D834" s="9" t="s">
        <v>15</v>
      </c>
      <c r="E834" s="8" t="s">
        <v>2251</v>
      </c>
      <c r="F834" s="8" t="s">
        <v>2252</v>
      </c>
      <c r="G834" s="8">
        <v>500</v>
      </c>
    </row>
    <row r="835" spans="1:1008" x14ac:dyDescent="0.15">
      <c r="A835" s="8" t="s">
        <v>2253</v>
      </c>
      <c r="B835" s="8" t="s">
        <v>166</v>
      </c>
      <c r="C835" s="8" t="str">
        <f t="shared" si="12"/>
        <v>cterm</v>
      </c>
      <c r="D835" s="9" t="s">
        <v>15</v>
      </c>
      <c r="E835" s="8" t="s">
        <v>2254</v>
      </c>
      <c r="F835" s="8" t="s">
        <v>2255</v>
      </c>
      <c r="G835" s="8">
        <v>500</v>
      </c>
    </row>
    <row r="836" spans="1:1008" x14ac:dyDescent="0.15">
      <c r="A836" s="8" t="s">
        <v>2256</v>
      </c>
      <c r="B836" s="8" t="s">
        <v>166</v>
      </c>
      <c r="C836" s="8" t="str">
        <f t="shared" si="12"/>
        <v>nterm</v>
      </c>
      <c r="D836" s="9" t="s">
        <v>15</v>
      </c>
      <c r="E836" s="8" t="s">
        <v>2257</v>
      </c>
      <c r="F836" s="8" t="s">
        <v>2258</v>
      </c>
      <c r="G836" s="8">
        <v>500</v>
      </c>
    </row>
    <row r="837" spans="1:1008" x14ac:dyDescent="0.15">
      <c r="A837" s="8" t="s">
        <v>2259</v>
      </c>
      <c r="B837" s="8" t="s">
        <v>166</v>
      </c>
      <c r="C837" s="8" t="str">
        <f t="shared" si="12"/>
        <v>region</v>
      </c>
      <c r="D837" s="9" t="s">
        <v>15</v>
      </c>
      <c r="E837" s="8" t="s">
        <v>2260</v>
      </c>
      <c r="F837" s="8" t="s">
        <v>2261</v>
      </c>
      <c r="G837" s="8">
        <v>500</v>
      </c>
      <c r="H837"/>
      <c r="I837"/>
      <c r="J837"/>
      <c r="K837"/>
      <c r="L837"/>
      <c r="M837"/>
      <c r="N837"/>
      <c r="O837"/>
      <c r="P837"/>
      <c r="Q837"/>
      <c r="R837"/>
      <c r="S837"/>
      <c r="T837"/>
      <c r="U837"/>
      <c r="V837"/>
      <c r="W837"/>
      <c r="X837"/>
      <c r="Y837"/>
      <c r="Z837"/>
      <c r="AA837"/>
      <c r="AB837"/>
      <c r="AC837"/>
      <c r="AD837"/>
      <c r="AE837"/>
      <c r="AF837"/>
      <c r="AG837"/>
      <c r="AH837"/>
      <c r="AI837"/>
      <c r="AJ837"/>
      <c r="AK837"/>
      <c r="AL837"/>
      <c r="AM837"/>
      <c r="AN837"/>
      <c r="AO837"/>
      <c r="AP837"/>
      <c r="AQ837"/>
      <c r="AR837"/>
      <c r="AS837"/>
      <c r="AT837"/>
      <c r="AU837"/>
      <c r="AV837"/>
      <c r="AW837"/>
      <c r="AX837"/>
      <c r="AY837"/>
      <c r="AZ837"/>
      <c r="BA837"/>
      <c r="BB837"/>
      <c r="BC837"/>
      <c r="BD837"/>
      <c r="BE837"/>
      <c r="BF837"/>
      <c r="BG837"/>
      <c r="BH837"/>
      <c r="BI837"/>
      <c r="BJ837"/>
      <c r="BK837"/>
      <c r="BL837"/>
      <c r="BM837"/>
      <c r="BN837"/>
      <c r="BO837"/>
      <c r="BP837"/>
      <c r="BQ837"/>
      <c r="BR837"/>
      <c r="BS837"/>
      <c r="BT837"/>
      <c r="BU837"/>
      <c r="BV837"/>
      <c r="BW837"/>
      <c r="BX837"/>
      <c r="BY837"/>
      <c r="BZ837"/>
      <c r="CA837"/>
      <c r="CB837"/>
      <c r="CC837"/>
      <c r="CD837"/>
      <c r="CE837"/>
      <c r="CF837"/>
      <c r="CG837"/>
      <c r="CH837"/>
      <c r="CI837"/>
      <c r="CJ837"/>
      <c r="CK837"/>
      <c r="CL837"/>
      <c r="CM837"/>
      <c r="CN837"/>
      <c r="CO837"/>
      <c r="CP837"/>
      <c r="CQ837"/>
      <c r="CR837"/>
      <c r="CS837"/>
      <c r="CT837"/>
      <c r="CU837"/>
      <c r="CV837"/>
      <c r="CW837"/>
      <c r="CX837"/>
      <c r="CY837"/>
      <c r="CZ837"/>
      <c r="DA837"/>
      <c r="DB837"/>
      <c r="DC837"/>
      <c r="DD837"/>
      <c r="DE837"/>
      <c r="DF837"/>
      <c r="DG837"/>
      <c r="DH837"/>
      <c r="DI837"/>
      <c r="DJ837"/>
      <c r="DK837"/>
      <c r="DL837"/>
      <c r="DM837"/>
      <c r="DN837"/>
      <c r="DO837"/>
      <c r="DP837"/>
      <c r="DQ837"/>
      <c r="DR837"/>
      <c r="DS837"/>
      <c r="DT837"/>
      <c r="DU837"/>
      <c r="DV837"/>
      <c r="DW837"/>
      <c r="DX837"/>
      <c r="DY837"/>
      <c r="DZ837"/>
      <c r="EA837"/>
      <c r="EB837"/>
      <c r="EC837"/>
      <c r="ED837"/>
      <c r="EE837"/>
      <c r="EF837"/>
      <c r="EG837"/>
      <c r="EH837"/>
      <c r="EI837"/>
      <c r="EJ837"/>
      <c r="EK837"/>
      <c r="EL837"/>
      <c r="EM837"/>
      <c r="EN837"/>
      <c r="EO837"/>
      <c r="EP837"/>
      <c r="EQ837"/>
      <c r="ER837"/>
      <c r="ES837"/>
      <c r="ET837"/>
      <c r="EU837"/>
      <c r="EV837"/>
      <c r="EW837"/>
      <c r="EX837"/>
      <c r="EY837"/>
      <c r="EZ837"/>
      <c r="FA837"/>
      <c r="FB837"/>
      <c r="FC837"/>
      <c r="FD837"/>
      <c r="FE837"/>
      <c r="FF837"/>
      <c r="FG837"/>
      <c r="FH837"/>
      <c r="FI837"/>
      <c r="FJ837"/>
      <c r="FK837"/>
      <c r="FL837"/>
      <c r="FM837"/>
      <c r="FN837"/>
      <c r="FO837"/>
      <c r="FP837"/>
      <c r="FQ837"/>
      <c r="FR837"/>
      <c r="FS837"/>
      <c r="FT837"/>
      <c r="FU837"/>
      <c r="FV837"/>
      <c r="FW837"/>
      <c r="FX837"/>
      <c r="FY837"/>
      <c r="FZ837"/>
      <c r="GA837"/>
      <c r="GB837"/>
      <c r="GC837"/>
      <c r="GD837"/>
      <c r="GE837"/>
      <c r="GF837"/>
      <c r="GG837"/>
      <c r="GH837"/>
      <c r="GI837"/>
      <c r="GJ837"/>
      <c r="GK837"/>
      <c r="GL837"/>
      <c r="GM837"/>
      <c r="GN837"/>
      <c r="GO837"/>
      <c r="GP837"/>
      <c r="GQ837"/>
      <c r="GR837"/>
      <c r="GS837"/>
      <c r="GT837"/>
      <c r="GU837"/>
      <c r="GV837"/>
      <c r="GW837"/>
      <c r="GX837"/>
      <c r="GY837"/>
      <c r="GZ837"/>
      <c r="HA837"/>
      <c r="HB837"/>
      <c r="HC837"/>
      <c r="HD837"/>
      <c r="HE837"/>
      <c r="HF837"/>
      <c r="HG837"/>
      <c r="HH837"/>
      <c r="HI837"/>
      <c r="HJ837"/>
      <c r="HK837"/>
      <c r="HL837"/>
      <c r="HM837"/>
      <c r="HN837"/>
      <c r="HO837"/>
      <c r="HP837"/>
      <c r="HQ837"/>
      <c r="HR837"/>
      <c r="HS837"/>
      <c r="HT837"/>
      <c r="HU837"/>
      <c r="HV837"/>
      <c r="HW837"/>
      <c r="HX837"/>
      <c r="HY837"/>
      <c r="HZ837"/>
      <c r="IA837"/>
      <c r="IB837"/>
      <c r="IC837"/>
      <c r="ID837"/>
      <c r="IE837"/>
      <c r="IF837"/>
      <c r="IG837"/>
      <c r="IH837"/>
      <c r="II837"/>
      <c r="IJ837"/>
      <c r="IK837"/>
      <c r="IL837"/>
      <c r="IM837"/>
      <c r="IN837"/>
      <c r="IO837"/>
      <c r="IP837"/>
      <c r="IQ837"/>
      <c r="IR837"/>
      <c r="IS837"/>
      <c r="IT837"/>
      <c r="IU837"/>
      <c r="IV837"/>
      <c r="IW837"/>
      <c r="IX837"/>
      <c r="IY837"/>
      <c r="IZ837"/>
      <c r="JA837"/>
      <c r="JB837"/>
      <c r="JC837"/>
      <c r="JD837"/>
      <c r="JE837"/>
      <c r="JF837"/>
      <c r="JG837"/>
      <c r="JH837"/>
      <c r="JI837"/>
      <c r="JJ837"/>
      <c r="JK837"/>
      <c r="JL837"/>
      <c r="JM837"/>
      <c r="JN837"/>
      <c r="JO837"/>
      <c r="JP837"/>
      <c r="JQ837"/>
      <c r="JR837"/>
      <c r="JS837"/>
      <c r="JT837"/>
      <c r="JU837"/>
      <c r="JV837"/>
      <c r="JW837"/>
      <c r="JX837"/>
      <c r="JY837"/>
      <c r="JZ837"/>
      <c r="KA837"/>
      <c r="KB837"/>
      <c r="KC837"/>
      <c r="KD837"/>
      <c r="KE837"/>
      <c r="KF837"/>
      <c r="KG837"/>
      <c r="KH837"/>
      <c r="KI837"/>
      <c r="KJ837"/>
      <c r="KK837"/>
      <c r="KL837"/>
      <c r="KM837"/>
      <c r="KN837"/>
      <c r="KO837"/>
      <c r="KP837"/>
      <c r="KQ837"/>
      <c r="KR837"/>
      <c r="KS837"/>
      <c r="KT837"/>
      <c r="KU837"/>
      <c r="KV837"/>
      <c r="KW837"/>
      <c r="KX837"/>
      <c r="KY837"/>
      <c r="KZ837"/>
      <c r="LA837"/>
      <c r="LB837"/>
      <c r="LC837"/>
      <c r="LD837"/>
      <c r="LE837"/>
      <c r="LF837"/>
      <c r="LG837"/>
      <c r="LH837"/>
      <c r="LI837"/>
      <c r="LJ837"/>
      <c r="LK837"/>
      <c r="LL837"/>
      <c r="LM837"/>
      <c r="LN837"/>
      <c r="LO837"/>
      <c r="LP837"/>
      <c r="LQ837"/>
      <c r="LR837"/>
      <c r="LS837"/>
      <c r="LT837"/>
      <c r="LU837"/>
      <c r="LV837"/>
      <c r="LW837"/>
      <c r="LX837"/>
      <c r="LY837"/>
      <c r="LZ837"/>
      <c r="MA837"/>
      <c r="MB837"/>
      <c r="MC837"/>
      <c r="MD837"/>
      <c r="ME837"/>
      <c r="MF837"/>
      <c r="MG837"/>
      <c r="MH837"/>
      <c r="MI837"/>
      <c r="MJ837"/>
      <c r="MK837"/>
      <c r="ML837"/>
      <c r="MM837"/>
      <c r="MN837"/>
      <c r="MO837"/>
      <c r="MP837"/>
      <c r="MQ837"/>
      <c r="MR837"/>
      <c r="MS837"/>
      <c r="MT837"/>
      <c r="MU837"/>
      <c r="MV837"/>
      <c r="MW837"/>
      <c r="MX837"/>
      <c r="MY837"/>
      <c r="MZ837"/>
      <c r="NA837"/>
      <c r="NB837"/>
      <c r="NC837"/>
      <c r="ND837"/>
      <c r="NE837"/>
      <c r="NF837"/>
      <c r="NG837"/>
      <c r="NH837"/>
      <c r="NI837"/>
      <c r="NJ837"/>
      <c r="NK837"/>
      <c r="NL837"/>
      <c r="NM837"/>
      <c r="NN837"/>
      <c r="NO837"/>
      <c r="NP837"/>
      <c r="NQ837"/>
      <c r="NR837"/>
      <c r="NS837"/>
      <c r="NT837"/>
      <c r="NU837"/>
      <c r="NV837"/>
      <c r="NW837"/>
      <c r="NX837"/>
      <c r="NY837"/>
      <c r="NZ837"/>
      <c r="OA837"/>
      <c r="OB837"/>
      <c r="OC837"/>
      <c r="OD837"/>
      <c r="OE837"/>
      <c r="OF837"/>
      <c r="OG837"/>
      <c r="OH837"/>
      <c r="OI837"/>
      <c r="OJ837"/>
      <c r="OK837"/>
      <c r="OL837"/>
      <c r="OM837"/>
      <c r="ON837"/>
      <c r="OO837"/>
      <c r="OP837"/>
      <c r="OQ837"/>
      <c r="OR837"/>
      <c r="OS837"/>
      <c r="OT837"/>
      <c r="OU837"/>
      <c r="OV837"/>
      <c r="OW837"/>
      <c r="OX837"/>
      <c r="OY837"/>
      <c r="OZ837"/>
      <c r="PA837"/>
      <c r="PB837"/>
      <c r="PC837"/>
      <c r="PD837"/>
      <c r="PE837"/>
      <c r="PF837"/>
      <c r="PG837"/>
      <c r="PH837"/>
      <c r="PI837"/>
      <c r="PJ837"/>
      <c r="PK837"/>
      <c r="PL837"/>
      <c r="PM837"/>
      <c r="PN837"/>
      <c r="PO837"/>
      <c r="PP837"/>
      <c r="PQ837"/>
      <c r="PR837"/>
      <c r="PS837"/>
      <c r="PT837"/>
      <c r="PU837"/>
      <c r="PV837"/>
      <c r="PW837"/>
      <c r="PX837"/>
      <c r="PY837"/>
      <c r="PZ837"/>
      <c r="QA837"/>
      <c r="QB837"/>
      <c r="QC837"/>
      <c r="QD837"/>
      <c r="QE837"/>
      <c r="QF837"/>
      <c r="QG837"/>
      <c r="QH837"/>
      <c r="QI837"/>
      <c r="QJ837"/>
      <c r="QK837"/>
      <c r="QL837"/>
      <c r="QM837"/>
      <c r="QN837"/>
      <c r="QO837"/>
      <c r="QP837"/>
      <c r="QQ837"/>
      <c r="QR837"/>
      <c r="QS837"/>
      <c r="QT837"/>
      <c r="QU837"/>
      <c r="QV837"/>
      <c r="QW837"/>
      <c r="QX837"/>
      <c r="QY837"/>
      <c r="QZ837"/>
      <c r="RA837"/>
      <c r="RB837"/>
      <c r="RC837"/>
      <c r="RD837"/>
      <c r="RE837"/>
      <c r="RF837"/>
      <c r="RG837"/>
      <c r="RH837"/>
      <c r="RI837"/>
      <c r="RJ837"/>
      <c r="RK837"/>
      <c r="RL837"/>
      <c r="RM837"/>
      <c r="RN837"/>
      <c r="RO837"/>
      <c r="RP837"/>
      <c r="RQ837"/>
      <c r="RR837"/>
      <c r="RS837"/>
      <c r="RT837"/>
      <c r="RU837"/>
      <c r="RV837"/>
      <c r="RW837"/>
      <c r="RX837"/>
      <c r="RY837"/>
      <c r="RZ837"/>
      <c r="SA837"/>
      <c r="SB837"/>
      <c r="SC837"/>
      <c r="SD837"/>
      <c r="SE837"/>
      <c r="SF837"/>
      <c r="SG837"/>
      <c r="SH837"/>
      <c r="SI837"/>
      <c r="SJ837"/>
      <c r="SK837"/>
      <c r="SL837"/>
      <c r="SM837"/>
      <c r="SN837"/>
      <c r="SO837"/>
      <c r="SP837"/>
      <c r="SQ837"/>
      <c r="SR837"/>
      <c r="SS837"/>
      <c r="ST837"/>
      <c r="SU837"/>
      <c r="SV837"/>
      <c r="SW837"/>
      <c r="SX837"/>
      <c r="SY837"/>
      <c r="SZ837"/>
      <c r="TA837"/>
      <c r="TB837"/>
      <c r="TC837"/>
      <c r="TD837"/>
      <c r="TE837"/>
      <c r="TF837"/>
      <c r="TG837"/>
      <c r="TH837"/>
      <c r="TI837"/>
      <c r="TJ837"/>
      <c r="TK837"/>
      <c r="TL837"/>
      <c r="TM837"/>
      <c r="TN837"/>
      <c r="TO837"/>
      <c r="TP837"/>
      <c r="TQ837"/>
      <c r="TR837"/>
      <c r="TS837"/>
      <c r="TT837"/>
      <c r="TU837"/>
      <c r="TV837"/>
      <c r="TW837"/>
      <c r="TX837"/>
      <c r="TY837"/>
      <c r="TZ837"/>
      <c r="UA837"/>
      <c r="UB837"/>
      <c r="UC837"/>
      <c r="UD837"/>
      <c r="UE837"/>
      <c r="UF837"/>
      <c r="UG837"/>
      <c r="UH837"/>
      <c r="UI837"/>
      <c r="UJ837"/>
      <c r="UK837"/>
      <c r="UL837"/>
      <c r="UM837"/>
      <c r="UN837"/>
      <c r="UO837"/>
      <c r="UP837"/>
      <c r="UQ837"/>
      <c r="UR837"/>
      <c r="US837"/>
      <c r="UT837"/>
      <c r="UU837"/>
      <c r="UV837"/>
      <c r="UW837"/>
      <c r="UX837"/>
      <c r="UY837"/>
      <c r="UZ837"/>
      <c r="VA837"/>
      <c r="VB837"/>
      <c r="VC837"/>
      <c r="VD837"/>
      <c r="VE837"/>
      <c r="VF837"/>
      <c r="VG837"/>
      <c r="VH837"/>
      <c r="VI837"/>
      <c r="VJ837"/>
      <c r="VK837"/>
      <c r="VL837"/>
      <c r="VM837"/>
      <c r="VN837"/>
      <c r="VO837"/>
      <c r="VP837"/>
      <c r="VQ837"/>
      <c r="VR837"/>
      <c r="VS837"/>
      <c r="VT837"/>
      <c r="VU837"/>
      <c r="VV837"/>
      <c r="VW837"/>
      <c r="VX837"/>
      <c r="VY837"/>
      <c r="VZ837"/>
      <c r="WA837"/>
      <c r="WB837"/>
      <c r="WC837"/>
      <c r="WD837"/>
      <c r="WE837"/>
      <c r="WF837"/>
      <c r="WG837"/>
      <c r="WH837"/>
      <c r="WI837"/>
      <c r="WJ837"/>
      <c r="WK837"/>
      <c r="WL837"/>
      <c r="WM837"/>
      <c r="WN837"/>
      <c r="WO837"/>
      <c r="WP837"/>
      <c r="WQ837"/>
      <c r="WR837"/>
      <c r="WS837"/>
      <c r="WT837"/>
      <c r="WU837"/>
      <c r="WV837"/>
      <c r="WW837"/>
      <c r="WX837"/>
      <c r="WY837"/>
      <c r="WZ837"/>
      <c r="XA837"/>
      <c r="XB837"/>
      <c r="XC837"/>
      <c r="XD837"/>
      <c r="XE837"/>
      <c r="XF837"/>
      <c r="XG837"/>
      <c r="XH837"/>
      <c r="XI837"/>
      <c r="XJ837"/>
      <c r="XK837"/>
      <c r="XL837"/>
      <c r="XM837"/>
      <c r="XN837"/>
      <c r="XO837"/>
      <c r="XP837"/>
      <c r="XQ837"/>
      <c r="XR837"/>
      <c r="XS837"/>
      <c r="XT837"/>
      <c r="XU837"/>
      <c r="XV837"/>
      <c r="XW837"/>
      <c r="XX837"/>
      <c r="XY837"/>
      <c r="XZ837"/>
      <c r="YA837"/>
      <c r="YB837"/>
      <c r="YC837"/>
      <c r="YD837"/>
      <c r="YE837"/>
      <c r="YF837"/>
      <c r="YG837"/>
      <c r="YH837"/>
      <c r="YI837"/>
      <c r="YJ837"/>
      <c r="YK837"/>
      <c r="YL837"/>
      <c r="YM837"/>
      <c r="YN837"/>
      <c r="YO837"/>
      <c r="YP837"/>
      <c r="YQ837"/>
      <c r="YR837"/>
      <c r="YS837"/>
      <c r="YT837"/>
      <c r="YU837"/>
      <c r="YV837"/>
      <c r="YW837"/>
      <c r="YX837"/>
      <c r="YY837"/>
      <c r="YZ837"/>
      <c r="ZA837"/>
      <c r="ZB837"/>
      <c r="ZC837"/>
      <c r="ZD837"/>
      <c r="ZE837"/>
      <c r="ZF837"/>
      <c r="ZG837"/>
      <c r="ZH837"/>
      <c r="ZI837"/>
      <c r="ZJ837"/>
      <c r="ZK837"/>
      <c r="ZL837"/>
      <c r="ZM837"/>
      <c r="ZN837"/>
      <c r="ZO837"/>
      <c r="ZP837"/>
      <c r="ZQ837"/>
      <c r="ZR837"/>
      <c r="ZS837"/>
      <c r="ZT837"/>
      <c r="ZU837"/>
      <c r="ZV837"/>
      <c r="ZW837"/>
      <c r="ZX837"/>
      <c r="ZY837"/>
      <c r="ZZ837"/>
      <c r="AAA837"/>
      <c r="AAB837"/>
      <c r="AAC837"/>
      <c r="AAD837"/>
      <c r="AAE837"/>
      <c r="AAF837"/>
      <c r="AAG837"/>
      <c r="AAH837"/>
      <c r="AAI837"/>
      <c r="AAJ837"/>
      <c r="AAK837"/>
      <c r="AAL837"/>
      <c r="AAM837"/>
      <c r="AAN837"/>
      <c r="AAO837"/>
      <c r="AAP837"/>
      <c r="AAQ837"/>
      <c r="AAR837"/>
      <c r="AAS837"/>
      <c r="AAT837"/>
      <c r="AAU837"/>
      <c r="AAV837"/>
      <c r="AAW837"/>
      <c r="AAX837"/>
      <c r="AAY837"/>
      <c r="AAZ837"/>
      <c r="ABA837"/>
      <c r="ABB837"/>
      <c r="ABC837"/>
      <c r="ABD837"/>
      <c r="ABE837"/>
      <c r="ABF837"/>
      <c r="ABG837"/>
      <c r="ABH837"/>
      <c r="ABI837"/>
      <c r="ABJ837"/>
      <c r="ABK837"/>
      <c r="ABL837"/>
      <c r="ABM837"/>
      <c r="ABN837"/>
      <c r="ABO837"/>
      <c r="ABP837"/>
      <c r="ABQ837"/>
      <c r="ABR837"/>
      <c r="ABS837"/>
      <c r="ABT837"/>
      <c r="ABU837"/>
      <c r="ABV837"/>
      <c r="ABW837"/>
      <c r="ABX837"/>
      <c r="ABY837"/>
      <c r="ABZ837"/>
      <c r="ACA837"/>
      <c r="ACB837"/>
      <c r="ACC837"/>
      <c r="ACD837"/>
      <c r="ACE837"/>
      <c r="ACF837"/>
      <c r="ACG837"/>
      <c r="ACH837"/>
      <c r="ACI837"/>
      <c r="ACJ837"/>
      <c r="ACK837"/>
      <c r="ACL837"/>
      <c r="ACM837"/>
      <c r="ACN837"/>
      <c r="ACO837"/>
      <c r="ACP837"/>
      <c r="ACQ837"/>
      <c r="ACR837"/>
      <c r="ACS837"/>
      <c r="ACT837"/>
      <c r="ACU837"/>
      <c r="ACV837"/>
      <c r="ACW837"/>
      <c r="ACX837"/>
      <c r="ACY837"/>
      <c r="ACZ837"/>
      <c r="ADA837"/>
      <c r="ADB837"/>
      <c r="ADC837"/>
      <c r="ADD837"/>
      <c r="ADE837"/>
      <c r="ADF837"/>
      <c r="ADG837"/>
      <c r="ADH837"/>
      <c r="ADI837"/>
      <c r="ADJ837"/>
      <c r="ADK837"/>
      <c r="ADL837"/>
      <c r="ADM837"/>
      <c r="ADN837"/>
      <c r="ADO837"/>
      <c r="ADP837"/>
      <c r="ADQ837"/>
      <c r="ADR837"/>
      <c r="ADS837"/>
      <c r="ADT837"/>
      <c r="ADU837"/>
      <c r="ADV837"/>
      <c r="ADW837"/>
      <c r="ADX837"/>
      <c r="ADY837"/>
      <c r="ADZ837"/>
      <c r="AEA837"/>
      <c r="AEB837"/>
      <c r="AEC837"/>
      <c r="AED837"/>
      <c r="AEE837"/>
      <c r="AEF837"/>
      <c r="AEG837"/>
      <c r="AEH837"/>
      <c r="AEI837"/>
      <c r="AEJ837"/>
      <c r="AEK837"/>
      <c r="AEL837"/>
      <c r="AEM837"/>
      <c r="AEN837"/>
      <c r="AEO837"/>
      <c r="AEP837"/>
      <c r="AEQ837"/>
      <c r="AER837"/>
      <c r="AES837"/>
      <c r="AET837"/>
      <c r="AEU837"/>
      <c r="AEV837"/>
      <c r="AEW837"/>
      <c r="AEX837"/>
      <c r="AEY837"/>
      <c r="AEZ837"/>
      <c r="AFA837"/>
      <c r="AFB837"/>
      <c r="AFC837"/>
      <c r="AFD837"/>
      <c r="AFE837"/>
      <c r="AFF837"/>
      <c r="AFG837"/>
      <c r="AFH837"/>
      <c r="AFI837"/>
      <c r="AFJ837"/>
      <c r="AFK837"/>
      <c r="AFL837"/>
      <c r="AFM837"/>
      <c r="AFN837"/>
      <c r="AFO837"/>
      <c r="AFP837"/>
      <c r="AFQ837"/>
      <c r="AFR837"/>
      <c r="AFS837"/>
      <c r="AFT837"/>
      <c r="AFU837"/>
      <c r="AFV837"/>
      <c r="AFW837"/>
      <c r="AFX837"/>
      <c r="AFY837"/>
      <c r="AFZ837"/>
      <c r="AGA837"/>
      <c r="AGB837"/>
      <c r="AGC837"/>
      <c r="AGD837"/>
      <c r="AGE837"/>
      <c r="AGF837"/>
      <c r="AGG837"/>
      <c r="AGH837"/>
      <c r="AGI837"/>
      <c r="AGJ837"/>
      <c r="AGK837"/>
      <c r="AGL837"/>
      <c r="AGM837"/>
      <c r="AGN837"/>
      <c r="AGO837"/>
      <c r="AGP837"/>
      <c r="AGQ837"/>
      <c r="AGR837"/>
      <c r="AGS837"/>
      <c r="AGT837"/>
      <c r="AGU837"/>
      <c r="AGV837"/>
      <c r="AGW837"/>
      <c r="AGX837"/>
      <c r="AGY837"/>
      <c r="AGZ837"/>
      <c r="AHA837"/>
      <c r="AHB837"/>
      <c r="AHC837"/>
      <c r="AHD837"/>
      <c r="AHE837"/>
      <c r="AHF837"/>
      <c r="AHG837"/>
      <c r="AHH837"/>
      <c r="AHI837"/>
      <c r="AHJ837"/>
      <c r="AHK837"/>
      <c r="AHL837"/>
      <c r="AHM837"/>
      <c r="AHN837"/>
      <c r="AHO837"/>
      <c r="AHP837"/>
      <c r="AHQ837"/>
      <c r="AHR837"/>
      <c r="AHS837"/>
      <c r="AHT837"/>
      <c r="AHU837"/>
      <c r="AHV837"/>
      <c r="AHW837"/>
      <c r="AHX837"/>
      <c r="AHY837"/>
      <c r="AHZ837"/>
      <c r="AIA837"/>
      <c r="AIB837"/>
      <c r="AIC837"/>
      <c r="AID837"/>
      <c r="AIE837"/>
      <c r="AIF837"/>
      <c r="AIG837"/>
      <c r="AIH837"/>
      <c r="AII837"/>
      <c r="AIJ837"/>
      <c r="AIK837"/>
      <c r="AIL837"/>
      <c r="AIM837"/>
      <c r="AIN837"/>
      <c r="AIO837"/>
      <c r="AIP837"/>
      <c r="AIQ837"/>
      <c r="AIR837"/>
      <c r="AIS837"/>
      <c r="AIT837"/>
      <c r="AIU837"/>
      <c r="AIV837"/>
      <c r="AIW837"/>
      <c r="AIX837"/>
      <c r="AIY837"/>
      <c r="AIZ837"/>
      <c r="AJA837"/>
      <c r="AJB837"/>
      <c r="AJC837"/>
      <c r="AJD837"/>
      <c r="AJE837"/>
      <c r="AJF837"/>
      <c r="AJG837"/>
      <c r="AJH837"/>
      <c r="AJI837"/>
      <c r="AJJ837"/>
      <c r="AJK837"/>
      <c r="AJL837"/>
      <c r="AJM837"/>
      <c r="AJN837"/>
      <c r="AJO837"/>
      <c r="AJP837"/>
      <c r="AJQ837"/>
      <c r="AJR837"/>
      <c r="AJS837"/>
      <c r="AJT837"/>
      <c r="AJU837"/>
      <c r="AJV837"/>
      <c r="AJW837"/>
      <c r="AJX837"/>
      <c r="AJY837"/>
      <c r="AJZ837"/>
      <c r="AKA837"/>
      <c r="AKB837"/>
      <c r="AKC837"/>
      <c r="AKD837"/>
      <c r="AKE837"/>
      <c r="AKF837"/>
      <c r="AKG837"/>
      <c r="AKH837"/>
      <c r="AKI837"/>
      <c r="AKJ837"/>
      <c r="AKK837"/>
      <c r="AKL837"/>
      <c r="AKM837"/>
      <c r="AKN837"/>
      <c r="AKO837"/>
      <c r="AKP837"/>
      <c r="AKQ837"/>
      <c r="AKR837"/>
      <c r="AKS837"/>
      <c r="AKT837"/>
      <c r="AKU837"/>
      <c r="AKV837"/>
      <c r="AKW837"/>
      <c r="AKX837"/>
      <c r="AKY837"/>
      <c r="AKZ837"/>
      <c r="ALA837"/>
      <c r="ALB837"/>
      <c r="ALC837"/>
      <c r="ALD837"/>
      <c r="ALE837"/>
      <c r="ALF837"/>
      <c r="ALG837"/>
      <c r="ALH837"/>
      <c r="ALI837"/>
      <c r="ALJ837"/>
      <c r="ALK837"/>
      <c r="ALL837"/>
      <c r="ALM837"/>
      <c r="ALN837"/>
      <c r="ALO837"/>
      <c r="ALP837"/>
      <c r="ALQ837"/>
      <c r="ALR837"/>
      <c r="ALS837"/>
      <c r="ALT837"/>
    </row>
    <row r="838" spans="1:1008" x14ac:dyDescent="0.15">
      <c r="A838" s="8" t="s">
        <v>2891</v>
      </c>
      <c r="B838" s="8" t="s">
        <v>2889</v>
      </c>
      <c r="C838" s="8" t="str">
        <f t="shared" si="12"/>
        <v>antibody</v>
      </c>
      <c r="D838" s="9" t="s">
        <v>15</v>
      </c>
      <c r="E838" s="8" t="s">
        <v>2892</v>
      </c>
      <c r="F838" s="8" t="s">
        <v>2893</v>
      </c>
      <c r="G838" s="8">
        <v>500</v>
      </c>
      <c r="H838"/>
      <c r="I838"/>
      <c r="J838"/>
      <c r="K838"/>
      <c r="L838"/>
      <c r="M838"/>
      <c r="N838"/>
      <c r="O838"/>
      <c r="P838"/>
      <c r="Q838"/>
      <c r="R838"/>
      <c r="S838"/>
      <c r="T838"/>
      <c r="U838"/>
      <c r="V838"/>
      <c r="W838"/>
      <c r="X838"/>
      <c r="Y838"/>
      <c r="Z838"/>
      <c r="AA838"/>
      <c r="AB838"/>
      <c r="AC838"/>
      <c r="AD838"/>
      <c r="AE838"/>
      <c r="AF838"/>
      <c r="AG838"/>
      <c r="AH838"/>
      <c r="AI838"/>
      <c r="AJ838"/>
      <c r="AK838"/>
      <c r="AL838"/>
      <c r="AM838"/>
      <c r="AN838"/>
      <c r="AO838"/>
      <c r="AP838"/>
      <c r="AQ838"/>
      <c r="AR838"/>
      <c r="AS838"/>
      <c r="AT838"/>
      <c r="AU838"/>
      <c r="AV838"/>
      <c r="AW838"/>
      <c r="AX838"/>
      <c r="AY838"/>
      <c r="AZ838"/>
      <c r="BA838"/>
      <c r="BB838"/>
      <c r="BC838"/>
      <c r="BD838"/>
      <c r="BE838"/>
      <c r="BF838"/>
      <c r="BG838"/>
      <c r="BH838"/>
      <c r="BI838"/>
      <c r="BJ838"/>
      <c r="BK838"/>
      <c r="BL838"/>
      <c r="BM838"/>
      <c r="BN838"/>
      <c r="BO838"/>
      <c r="BP838"/>
      <c r="BQ838"/>
      <c r="BR838"/>
      <c r="BS838"/>
      <c r="BT838"/>
      <c r="BU838"/>
      <c r="BV838"/>
      <c r="BW838"/>
      <c r="BX838"/>
      <c r="BY838"/>
      <c r="BZ838"/>
      <c r="CA838"/>
      <c r="CB838"/>
      <c r="CC838"/>
      <c r="CD838"/>
      <c r="CE838"/>
      <c r="CF838"/>
      <c r="CG838"/>
      <c r="CH838"/>
      <c r="CI838"/>
      <c r="CJ838"/>
      <c r="CK838"/>
      <c r="CL838"/>
      <c r="CM838"/>
      <c r="CN838"/>
      <c r="CO838"/>
      <c r="CP838"/>
      <c r="CQ838"/>
      <c r="CR838"/>
      <c r="CS838"/>
      <c r="CT838"/>
      <c r="CU838"/>
      <c r="CV838"/>
      <c r="CW838"/>
      <c r="CX838"/>
      <c r="CY838"/>
      <c r="CZ838"/>
      <c r="DA838"/>
      <c r="DB838"/>
      <c r="DC838"/>
      <c r="DD838"/>
      <c r="DE838"/>
      <c r="DF838"/>
      <c r="DG838"/>
      <c r="DH838"/>
      <c r="DI838"/>
      <c r="DJ838"/>
      <c r="DK838"/>
      <c r="DL838"/>
      <c r="DM838"/>
      <c r="DN838"/>
      <c r="DO838"/>
      <c r="DP838"/>
      <c r="DQ838"/>
      <c r="DR838"/>
      <c r="DS838"/>
      <c r="DT838"/>
      <c r="DU838"/>
      <c r="DV838"/>
      <c r="DW838"/>
      <c r="DX838"/>
      <c r="DY838"/>
      <c r="DZ838"/>
      <c r="EA838"/>
      <c r="EB838"/>
      <c r="EC838"/>
      <c r="ED838"/>
      <c r="EE838"/>
      <c r="EF838"/>
      <c r="EG838"/>
      <c r="EH838"/>
      <c r="EI838"/>
      <c r="EJ838"/>
      <c r="EK838"/>
      <c r="EL838"/>
      <c r="EM838"/>
      <c r="EN838"/>
      <c r="EO838"/>
      <c r="EP838"/>
      <c r="EQ838"/>
      <c r="ER838"/>
      <c r="ES838"/>
      <c r="ET838"/>
      <c r="EU838"/>
      <c r="EV838"/>
      <c r="EW838"/>
      <c r="EX838"/>
      <c r="EY838"/>
      <c r="EZ838"/>
      <c r="FA838"/>
      <c r="FB838"/>
      <c r="FC838"/>
      <c r="FD838"/>
      <c r="FE838"/>
      <c r="FF838"/>
      <c r="FG838"/>
      <c r="FH838"/>
      <c r="FI838"/>
      <c r="FJ838"/>
      <c r="FK838"/>
      <c r="FL838"/>
      <c r="FM838"/>
      <c r="FN838"/>
      <c r="FO838"/>
      <c r="FP838"/>
      <c r="FQ838"/>
      <c r="FR838"/>
      <c r="FS838"/>
      <c r="FT838"/>
      <c r="FU838"/>
      <c r="FV838"/>
      <c r="FW838"/>
      <c r="FX838"/>
      <c r="FY838"/>
      <c r="FZ838"/>
      <c r="GA838"/>
      <c r="GB838"/>
      <c r="GC838"/>
      <c r="GD838"/>
      <c r="GE838"/>
      <c r="GF838"/>
      <c r="GG838"/>
      <c r="GH838"/>
      <c r="GI838"/>
      <c r="GJ838"/>
      <c r="GK838"/>
      <c r="GL838"/>
      <c r="GM838"/>
      <c r="GN838"/>
      <c r="GO838"/>
      <c r="GP838"/>
      <c r="GQ838"/>
      <c r="GR838"/>
      <c r="GS838"/>
      <c r="GT838"/>
      <c r="GU838"/>
      <c r="GV838"/>
      <c r="GW838"/>
      <c r="GX838"/>
      <c r="GY838"/>
      <c r="GZ838"/>
      <c r="HA838"/>
      <c r="HB838"/>
      <c r="HC838"/>
      <c r="HD838"/>
      <c r="HE838"/>
      <c r="HF838"/>
      <c r="HG838"/>
      <c r="HH838"/>
      <c r="HI838"/>
      <c r="HJ838"/>
      <c r="HK838"/>
      <c r="HL838"/>
      <c r="HM838"/>
      <c r="HN838"/>
      <c r="HO838"/>
      <c r="HP838"/>
      <c r="HQ838"/>
      <c r="HR838"/>
      <c r="HS838"/>
      <c r="HT838"/>
      <c r="HU838"/>
      <c r="HV838"/>
      <c r="HW838"/>
      <c r="HX838"/>
      <c r="HY838"/>
      <c r="HZ838"/>
      <c r="IA838"/>
      <c r="IB838"/>
      <c r="IC838"/>
      <c r="ID838"/>
      <c r="IE838"/>
      <c r="IF838"/>
      <c r="IG838"/>
      <c r="IH838"/>
      <c r="II838"/>
      <c r="IJ838"/>
      <c r="IK838"/>
      <c r="IL838"/>
      <c r="IM838"/>
      <c r="IN838"/>
      <c r="IO838"/>
      <c r="IP838"/>
      <c r="IQ838"/>
      <c r="IR838"/>
      <c r="IS838"/>
      <c r="IT838"/>
      <c r="IU838"/>
      <c r="IV838"/>
      <c r="IW838"/>
      <c r="IX838"/>
      <c r="IY838"/>
      <c r="IZ838"/>
      <c r="JA838"/>
      <c r="JB838"/>
      <c r="JC838"/>
      <c r="JD838"/>
      <c r="JE838"/>
      <c r="JF838"/>
      <c r="JG838"/>
      <c r="JH838"/>
      <c r="JI838"/>
      <c r="JJ838"/>
      <c r="JK838"/>
      <c r="JL838"/>
      <c r="JM838"/>
      <c r="JN838"/>
      <c r="JO838"/>
      <c r="JP838"/>
      <c r="JQ838"/>
      <c r="JR838"/>
      <c r="JS838"/>
      <c r="JT838"/>
      <c r="JU838"/>
      <c r="JV838"/>
      <c r="JW838"/>
      <c r="JX838"/>
      <c r="JY838"/>
      <c r="JZ838"/>
      <c r="KA838"/>
      <c r="KB838"/>
      <c r="KC838"/>
      <c r="KD838"/>
      <c r="KE838"/>
      <c r="KF838"/>
      <c r="KG838"/>
      <c r="KH838"/>
      <c r="KI838"/>
      <c r="KJ838"/>
      <c r="KK838"/>
      <c r="KL838"/>
      <c r="KM838"/>
      <c r="KN838"/>
      <c r="KO838"/>
      <c r="KP838"/>
      <c r="KQ838"/>
      <c r="KR838"/>
      <c r="KS838"/>
      <c r="KT838"/>
      <c r="KU838"/>
      <c r="KV838"/>
      <c r="KW838"/>
      <c r="KX838"/>
      <c r="KY838"/>
      <c r="KZ838"/>
      <c r="LA838"/>
      <c r="LB838"/>
      <c r="LC838"/>
      <c r="LD838"/>
      <c r="LE838"/>
      <c r="LF838"/>
      <c r="LG838"/>
      <c r="LH838"/>
      <c r="LI838"/>
      <c r="LJ838"/>
      <c r="LK838"/>
      <c r="LL838"/>
      <c r="LM838"/>
      <c r="LN838"/>
      <c r="LO838"/>
      <c r="LP838"/>
      <c r="LQ838"/>
      <c r="LR838"/>
      <c r="LS838"/>
      <c r="LT838"/>
      <c r="LU838"/>
      <c r="LV838"/>
      <c r="LW838"/>
      <c r="LX838"/>
      <c r="LY838"/>
      <c r="LZ838"/>
      <c r="MA838"/>
      <c r="MB838"/>
      <c r="MC838"/>
      <c r="MD838"/>
      <c r="ME838"/>
      <c r="MF838"/>
      <c r="MG838"/>
      <c r="MH838"/>
      <c r="MI838"/>
      <c r="MJ838"/>
      <c r="MK838"/>
      <c r="ML838"/>
      <c r="MM838"/>
      <c r="MN838"/>
      <c r="MO838"/>
      <c r="MP838"/>
      <c r="MQ838"/>
      <c r="MR838"/>
      <c r="MS838"/>
      <c r="MT838"/>
      <c r="MU838"/>
      <c r="MV838"/>
      <c r="MW838"/>
      <c r="MX838"/>
      <c r="MY838"/>
      <c r="MZ838"/>
      <c r="NA838"/>
      <c r="NB838"/>
      <c r="NC838"/>
      <c r="ND838"/>
      <c r="NE838"/>
      <c r="NF838"/>
      <c r="NG838"/>
      <c r="NH838"/>
      <c r="NI838"/>
      <c r="NJ838"/>
      <c r="NK838"/>
      <c r="NL838"/>
      <c r="NM838"/>
      <c r="NN838"/>
      <c r="NO838"/>
      <c r="NP838"/>
      <c r="NQ838"/>
      <c r="NR838"/>
      <c r="NS838"/>
      <c r="NT838"/>
      <c r="NU838"/>
      <c r="NV838"/>
      <c r="NW838"/>
      <c r="NX838"/>
      <c r="NY838"/>
      <c r="NZ838"/>
      <c r="OA838"/>
      <c r="OB838"/>
      <c r="OC838"/>
      <c r="OD838"/>
      <c r="OE838"/>
      <c r="OF838"/>
      <c r="OG838"/>
      <c r="OH838"/>
      <c r="OI838"/>
      <c r="OJ838"/>
      <c r="OK838"/>
      <c r="OL838"/>
      <c r="OM838"/>
      <c r="ON838"/>
      <c r="OO838"/>
      <c r="OP838"/>
      <c r="OQ838"/>
      <c r="OR838"/>
      <c r="OS838"/>
      <c r="OT838"/>
      <c r="OU838"/>
      <c r="OV838"/>
      <c r="OW838"/>
      <c r="OX838"/>
      <c r="OY838"/>
      <c r="OZ838"/>
      <c r="PA838"/>
      <c r="PB838"/>
      <c r="PC838"/>
      <c r="PD838"/>
      <c r="PE838"/>
      <c r="PF838"/>
      <c r="PG838"/>
      <c r="PH838"/>
      <c r="PI838"/>
      <c r="PJ838"/>
      <c r="PK838"/>
      <c r="PL838"/>
      <c r="PM838"/>
      <c r="PN838"/>
      <c r="PO838"/>
      <c r="PP838"/>
      <c r="PQ838"/>
      <c r="PR838"/>
      <c r="PS838"/>
      <c r="PT838"/>
      <c r="PU838"/>
      <c r="PV838"/>
      <c r="PW838"/>
      <c r="PX838"/>
      <c r="PY838"/>
      <c r="PZ838"/>
      <c r="QA838"/>
      <c r="QB838"/>
      <c r="QC838"/>
      <c r="QD838"/>
      <c r="QE838"/>
      <c r="QF838"/>
      <c r="QG838"/>
      <c r="QH838"/>
      <c r="QI838"/>
      <c r="QJ838"/>
      <c r="QK838"/>
      <c r="QL838"/>
      <c r="QM838"/>
      <c r="QN838"/>
      <c r="QO838"/>
      <c r="QP838"/>
      <c r="QQ838"/>
      <c r="QR838"/>
      <c r="QS838"/>
      <c r="QT838"/>
      <c r="QU838"/>
      <c r="QV838"/>
      <c r="QW838"/>
      <c r="QX838"/>
      <c r="QY838"/>
      <c r="QZ838"/>
      <c r="RA838"/>
      <c r="RB838"/>
      <c r="RC838"/>
      <c r="RD838"/>
      <c r="RE838"/>
      <c r="RF838"/>
      <c r="RG838"/>
      <c r="RH838"/>
      <c r="RI838"/>
      <c r="RJ838"/>
      <c r="RK838"/>
      <c r="RL838"/>
      <c r="RM838"/>
      <c r="RN838"/>
      <c r="RO838"/>
      <c r="RP838"/>
      <c r="RQ838"/>
      <c r="RR838"/>
      <c r="RS838"/>
      <c r="RT838"/>
      <c r="RU838"/>
      <c r="RV838"/>
      <c r="RW838"/>
      <c r="RX838"/>
      <c r="RY838"/>
      <c r="RZ838"/>
      <c r="SA838"/>
      <c r="SB838"/>
      <c r="SC838"/>
      <c r="SD838"/>
      <c r="SE838"/>
      <c r="SF838"/>
      <c r="SG838"/>
      <c r="SH838"/>
      <c r="SI838"/>
      <c r="SJ838"/>
      <c r="SK838"/>
      <c r="SL838"/>
      <c r="SM838"/>
      <c r="SN838"/>
      <c r="SO838"/>
      <c r="SP838"/>
      <c r="SQ838"/>
      <c r="SR838"/>
      <c r="SS838"/>
      <c r="ST838"/>
      <c r="SU838"/>
      <c r="SV838"/>
      <c r="SW838"/>
      <c r="SX838"/>
      <c r="SY838"/>
      <c r="SZ838"/>
      <c r="TA838"/>
      <c r="TB838"/>
      <c r="TC838"/>
      <c r="TD838"/>
      <c r="TE838"/>
      <c r="TF838"/>
      <c r="TG838"/>
      <c r="TH838"/>
      <c r="TI838"/>
      <c r="TJ838"/>
      <c r="TK838"/>
      <c r="TL838"/>
      <c r="TM838"/>
      <c r="TN838"/>
      <c r="TO838"/>
      <c r="TP838"/>
      <c r="TQ838"/>
      <c r="TR838"/>
      <c r="TS838"/>
      <c r="TT838"/>
      <c r="TU838"/>
      <c r="TV838"/>
      <c r="TW838"/>
      <c r="TX838"/>
      <c r="TY838"/>
      <c r="TZ838"/>
      <c r="UA838"/>
      <c r="UB838"/>
      <c r="UC838"/>
      <c r="UD838"/>
      <c r="UE838"/>
      <c r="UF838"/>
      <c r="UG838"/>
      <c r="UH838"/>
      <c r="UI838"/>
      <c r="UJ838"/>
      <c r="UK838"/>
      <c r="UL838"/>
      <c r="UM838"/>
      <c r="UN838"/>
      <c r="UO838"/>
      <c r="UP838"/>
      <c r="UQ838"/>
      <c r="UR838"/>
      <c r="US838"/>
      <c r="UT838"/>
      <c r="UU838"/>
      <c r="UV838"/>
      <c r="UW838"/>
      <c r="UX838"/>
      <c r="UY838"/>
      <c r="UZ838"/>
      <c r="VA838"/>
      <c r="VB838"/>
      <c r="VC838"/>
      <c r="VD838"/>
      <c r="VE838"/>
      <c r="VF838"/>
      <c r="VG838"/>
      <c r="VH838"/>
      <c r="VI838"/>
      <c r="VJ838"/>
      <c r="VK838"/>
      <c r="VL838"/>
      <c r="VM838"/>
      <c r="VN838"/>
      <c r="VO838"/>
      <c r="VP838"/>
      <c r="VQ838"/>
      <c r="VR838"/>
      <c r="VS838"/>
      <c r="VT838"/>
      <c r="VU838"/>
      <c r="VV838"/>
      <c r="VW838"/>
      <c r="VX838"/>
      <c r="VY838"/>
      <c r="VZ838"/>
      <c r="WA838"/>
      <c r="WB838"/>
      <c r="WC838"/>
      <c r="WD838"/>
      <c r="WE838"/>
      <c r="WF838"/>
      <c r="WG838"/>
      <c r="WH838"/>
      <c r="WI838"/>
      <c r="WJ838"/>
      <c r="WK838"/>
      <c r="WL838"/>
      <c r="WM838"/>
      <c r="WN838"/>
      <c r="WO838"/>
      <c r="WP838"/>
      <c r="WQ838"/>
      <c r="WR838"/>
      <c r="WS838"/>
      <c r="WT838"/>
      <c r="WU838"/>
      <c r="WV838"/>
      <c r="WW838"/>
      <c r="WX838"/>
      <c r="WY838"/>
      <c r="WZ838"/>
      <c r="XA838"/>
      <c r="XB838"/>
      <c r="XC838"/>
      <c r="XD838"/>
      <c r="XE838"/>
      <c r="XF838"/>
      <c r="XG838"/>
      <c r="XH838"/>
      <c r="XI838"/>
      <c r="XJ838"/>
      <c r="XK838"/>
      <c r="XL838"/>
      <c r="XM838"/>
      <c r="XN838"/>
      <c r="XO838"/>
      <c r="XP838"/>
      <c r="XQ838"/>
      <c r="XR838"/>
      <c r="XS838"/>
      <c r="XT838"/>
      <c r="XU838"/>
      <c r="XV838"/>
      <c r="XW838"/>
      <c r="XX838"/>
      <c r="XY838"/>
      <c r="XZ838"/>
      <c r="YA838"/>
      <c r="YB838"/>
      <c r="YC838"/>
      <c r="YD838"/>
      <c r="YE838"/>
      <c r="YF838"/>
      <c r="YG838"/>
      <c r="YH838"/>
      <c r="YI838"/>
      <c r="YJ838"/>
      <c r="YK838"/>
      <c r="YL838"/>
      <c r="YM838"/>
      <c r="YN838"/>
      <c r="YO838"/>
      <c r="YP838"/>
      <c r="YQ838"/>
      <c r="YR838"/>
      <c r="YS838"/>
      <c r="YT838"/>
      <c r="YU838"/>
      <c r="YV838"/>
      <c r="YW838"/>
      <c r="YX838"/>
      <c r="YY838"/>
      <c r="YZ838"/>
      <c r="ZA838"/>
      <c r="ZB838"/>
      <c r="ZC838"/>
      <c r="ZD838"/>
      <c r="ZE838"/>
      <c r="ZF838"/>
      <c r="ZG838"/>
      <c r="ZH838"/>
      <c r="ZI838"/>
      <c r="ZJ838"/>
      <c r="ZK838"/>
      <c r="ZL838"/>
      <c r="ZM838"/>
      <c r="ZN838"/>
      <c r="ZO838"/>
      <c r="ZP838"/>
      <c r="ZQ838"/>
      <c r="ZR838"/>
      <c r="ZS838"/>
      <c r="ZT838"/>
      <c r="ZU838"/>
      <c r="ZV838"/>
      <c r="ZW838"/>
      <c r="ZX838"/>
      <c r="ZY838"/>
      <c r="ZZ838"/>
      <c r="AAA838"/>
      <c r="AAB838"/>
      <c r="AAC838"/>
      <c r="AAD838"/>
      <c r="AAE838"/>
      <c r="AAF838"/>
      <c r="AAG838"/>
      <c r="AAH838"/>
      <c r="AAI838"/>
      <c r="AAJ838"/>
      <c r="AAK838"/>
      <c r="AAL838"/>
      <c r="AAM838"/>
      <c r="AAN838"/>
      <c r="AAO838"/>
      <c r="AAP838"/>
      <c r="AAQ838"/>
      <c r="AAR838"/>
      <c r="AAS838"/>
      <c r="AAT838"/>
      <c r="AAU838"/>
      <c r="AAV838"/>
      <c r="AAW838"/>
      <c r="AAX838"/>
      <c r="AAY838"/>
      <c r="AAZ838"/>
      <c r="ABA838"/>
      <c r="ABB838"/>
      <c r="ABC838"/>
      <c r="ABD838"/>
      <c r="ABE838"/>
      <c r="ABF838"/>
      <c r="ABG838"/>
      <c r="ABH838"/>
      <c r="ABI838"/>
      <c r="ABJ838"/>
      <c r="ABK838"/>
      <c r="ABL838"/>
      <c r="ABM838"/>
      <c r="ABN838"/>
      <c r="ABO838"/>
      <c r="ABP838"/>
      <c r="ABQ838"/>
      <c r="ABR838"/>
      <c r="ABS838"/>
      <c r="ABT838"/>
      <c r="ABU838"/>
      <c r="ABV838"/>
      <c r="ABW838"/>
      <c r="ABX838"/>
      <c r="ABY838"/>
      <c r="ABZ838"/>
      <c r="ACA838"/>
      <c r="ACB838"/>
      <c r="ACC838"/>
      <c r="ACD838"/>
      <c r="ACE838"/>
      <c r="ACF838"/>
      <c r="ACG838"/>
      <c r="ACH838"/>
      <c r="ACI838"/>
      <c r="ACJ838"/>
      <c r="ACK838"/>
      <c r="ACL838"/>
      <c r="ACM838"/>
      <c r="ACN838"/>
      <c r="ACO838"/>
      <c r="ACP838"/>
      <c r="ACQ838"/>
      <c r="ACR838"/>
      <c r="ACS838"/>
      <c r="ACT838"/>
      <c r="ACU838"/>
      <c r="ACV838"/>
      <c r="ACW838"/>
      <c r="ACX838"/>
      <c r="ACY838"/>
      <c r="ACZ838"/>
      <c r="ADA838"/>
      <c r="ADB838"/>
      <c r="ADC838"/>
      <c r="ADD838"/>
      <c r="ADE838"/>
      <c r="ADF838"/>
      <c r="ADG838"/>
      <c r="ADH838"/>
      <c r="ADI838"/>
      <c r="ADJ838"/>
      <c r="ADK838"/>
      <c r="ADL838"/>
      <c r="ADM838"/>
      <c r="ADN838"/>
      <c r="ADO838"/>
      <c r="ADP838"/>
      <c r="ADQ838"/>
      <c r="ADR838"/>
      <c r="ADS838"/>
      <c r="ADT838"/>
      <c r="ADU838"/>
      <c r="ADV838"/>
      <c r="ADW838"/>
      <c r="ADX838"/>
      <c r="ADY838"/>
      <c r="ADZ838"/>
      <c r="AEA838"/>
      <c r="AEB838"/>
      <c r="AEC838"/>
      <c r="AED838"/>
      <c r="AEE838"/>
      <c r="AEF838"/>
      <c r="AEG838"/>
      <c r="AEH838"/>
      <c r="AEI838"/>
      <c r="AEJ838"/>
      <c r="AEK838"/>
      <c r="AEL838"/>
      <c r="AEM838"/>
      <c r="AEN838"/>
      <c r="AEO838"/>
      <c r="AEP838"/>
      <c r="AEQ838"/>
      <c r="AER838"/>
      <c r="AES838"/>
      <c r="AET838"/>
      <c r="AEU838"/>
      <c r="AEV838"/>
      <c r="AEW838"/>
      <c r="AEX838"/>
      <c r="AEY838"/>
      <c r="AEZ838"/>
      <c r="AFA838"/>
      <c r="AFB838"/>
      <c r="AFC838"/>
      <c r="AFD838"/>
      <c r="AFE838"/>
      <c r="AFF838"/>
      <c r="AFG838"/>
      <c r="AFH838"/>
      <c r="AFI838"/>
      <c r="AFJ838"/>
      <c r="AFK838"/>
      <c r="AFL838"/>
      <c r="AFM838"/>
      <c r="AFN838"/>
      <c r="AFO838"/>
      <c r="AFP838"/>
      <c r="AFQ838"/>
      <c r="AFR838"/>
      <c r="AFS838"/>
      <c r="AFT838"/>
      <c r="AFU838"/>
      <c r="AFV838"/>
      <c r="AFW838"/>
      <c r="AFX838"/>
      <c r="AFY838"/>
      <c r="AFZ838"/>
      <c r="AGA838"/>
      <c r="AGB838"/>
      <c r="AGC838"/>
      <c r="AGD838"/>
      <c r="AGE838"/>
      <c r="AGF838"/>
      <c r="AGG838"/>
      <c r="AGH838"/>
      <c r="AGI838"/>
      <c r="AGJ838"/>
      <c r="AGK838"/>
      <c r="AGL838"/>
      <c r="AGM838"/>
      <c r="AGN838"/>
      <c r="AGO838"/>
      <c r="AGP838"/>
      <c r="AGQ838"/>
      <c r="AGR838"/>
      <c r="AGS838"/>
      <c r="AGT838"/>
      <c r="AGU838"/>
      <c r="AGV838"/>
      <c r="AGW838"/>
      <c r="AGX838"/>
      <c r="AGY838"/>
      <c r="AGZ838"/>
      <c r="AHA838"/>
      <c r="AHB838"/>
      <c r="AHC838"/>
      <c r="AHD838"/>
      <c r="AHE838"/>
      <c r="AHF838"/>
      <c r="AHG838"/>
      <c r="AHH838"/>
      <c r="AHI838"/>
      <c r="AHJ838"/>
      <c r="AHK838"/>
      <c r="AHL838"/>
      <c r="AHM838"/>
      <c r="AHN838"/>
      <c r="AHO838"/>
      <c r="AHP838"/>
      <c r="AHQ838"/>
      <c r="AHR838"/>
      <c r="AHS838"/>
      <c r="AHT838"/>
      <c r="AHU838"/>
      <c r="AHV838"/>
      <c r="AHW838"/>
      <c r="AHX838"/>
      <c r="AHY838"/>
      <c r="AHZ838"/>
      <c r="AIA838"/>
      <c r="AIB838"/>
      <c r="AIC838"/>
      <c r="AID838"/>
      <c r="AIE838"/>
      <c r="AIF838"/>
      <c r="AIG838"/>
      <c r="AIH838"/>
      <c r="AII838"/>
      <c r="AIJ838"/>
      <c r="AIK838"/>
      <c r="AIL838"/>
      <c r="AIM838"/>
      <c r="AIN838"/>
      <c r="AIO838"/>
      <c r="AIP838"/>
      <c r="AIQ838"/>
      <c r="AIR838"/>
      <c r="AIS838"/>
      <c r="AIT838"/>
      <c r="AIU838"/>
      <c r="AIV838"/>
      <c r="AIW838"/>
      <c r="AIX838"/>
      <c r="AIY838"/>
      <c r="AIZ838"/>
      <c r="AJA838"/>
      <c r="AJB838"/>
      <c r="AJC838"/>
      <c r="AJD838"/>
      <c r="AJE838"/>
      <c r="AJF838"/>
      <c r="AJG838"/>
      <c r="AJH838"/>
      <c r="AJI838"/>
      <c r="AJJ838"/>
      <c r="AJK838"/>
      <c r="AJL838"/>
      <c r="AJM838"/>
      <c r="AJN838"/>
      <c r="AJO838"/>
      <c r="AJP838"/>
      <c r="AJQ838"/>
      <c r="AJR838"/>
      <c r="AJS838"/>
      <c r="AJT838"/>
      <c r="AJU838"/>
      <c r="AJV838"/>
      <c r="AJW838"/>
      <c r="AJX838"/>
      <c r="AJY838"/>
      <c r="AJZ838"/>
      <c r="AKA838"/>
      <c r="AKB838"/>
      <c r="AKC838"/>
      <c r="AKD838"/>
      <c r="AKE838"/>
      <c r="AKF838"/>
      <c r="AKG838"/>
      <c r="AKH838"/>
      <c r="AKI838"/>
      <c r="AKJ838"/>
      <c r="AKK838"/>
      <c r="AKL838"/>
      <c r="AKM838"/>
      <c r="AKN838"/>
      <c r="AKO838"/>
      <c r="AKP838"/>
      <c r="AKQ838"/>
      <c r="AKR838"/>
      <c r="AKS838"/>
      <c r="AKT838"/>
      <c r="AKU838"/>
      <c r="AKV838"/>
      <c r="AKW838"/>
      <c r="AKX838"/>
      <c r="AKY838"/>
      <c r="AKZ838"/>
      <c r="ALA838"/>
      <c r="ALB838"/>
      <c r="ALC838"/>
      <c r="ALD838"/>
      <c r="ALE838"/>
      <c r="ALF838"/>
      <c r="ALG838"/>
      <c r="ALH838"/>
      <c r="ALI838"/>
      <c r="ALJ838"/>
      <c r="ALK838"/>
      <c r="ALL838"/>
      <c r="ALM838"/>
      <c r="ALN838"/>
      <c r="ALO838"/>
      <c r="ALP838"/>
      <c r="ALQ838"/>
      <c r="ALR838"/>
      <c r="ALS838"/>
      <c r="ALT838"/>
    </row>
    <row r="839" spans="1:1008" x14ac:dyDescent="0.15">
      <c r="A839" s="8" t="s">
        <v>2894</v>
      </c>
      <c r="B839" s="8" t="s">
        <v>2889</v>
      </c>
      <c r="C839" s="8" t="str">
        <f t="shared" si="12"/>
        <v>metal</v>
      </c>
      <c r="D839" s="9" t="s">
        <v>15</v>
      </c>
      <c r="E839" s="8" t="s">
        <v>2895</v>
      </c>
      <c r="F839" s="8" t="s">
        <v>2896</v>
      </c>
      <c r="G839" s="8">
        <v>500</v>
      </c>
      <c r="H839"/>
      <c r="I839"/>
      <c r="J839"/>
      <c r="K839"/>
      <c r="L839"/>
      <c r="M839"/>
      <c r="N839"/>
      <c r="O839"/>
      <c r="P839"/>
      <c r="Q839"/>
      <c r="R839"/>
      <c r="S839"/>
      <c r="T839"/>
      <c r="U839"/>
      <c r="V839"/>
      <c r="W839"/>
      <c r="X839"/>
      <c r="Y839"/>
      <c r="Z839"/>
      <c r="AA839"/>
      <c r="AB839"/>
      <c r="AC839"/>
      <c r="AD839"/>
      <c r="AE839"/>
      <c r="AF839"/>
      <c r="AG839"/>
      <c r="AH839"/>
      <c r="AI839"/>
      <c r="AJ839"/>
      <c r="AK839"/>
      <c r="AL839"/>
      <c r="AM839"/>
      <c r="AN839"/>
      <c r="AO839"/>
      <c r="AP839"/>
      <c r="AQ839"/>
      <c r="AR839"/>
      <c r="AS839"/>
      <c r="AT839"/>
      <c r="AU839"/>
      <c r="AV839"/>
      <c r="AW839"/>
      <c r="AX839"/>
      <c r="AY839"/>
      <c r="AZ839"/>
      <c r="BA839"/>
      <c r="BB839"/>
      <c r="BC839"/>
      <c r="BD839"/>
      <c r="BE839"/>
      <c r="BF839"/>
      <c r="BG839"/>
      <c r="BH839"/>
      <c r="BI839"/>
      <c r="BJ839"/>
      <c r="BK839"/>
      <c r="BL839"/>
      <c r="BM839"/>
      <c r="BN839"/>
      <c r="BO839"/>
      <c r="BP839"/>
      <c r="BQ839"/>
      <c r="BR839"/>
      <c r="BS839"/>
      <c r="BT839"/>
      <c r="BU839"/>
      <c r="BV839"/>
      <c r="BW839"/>
      <c r="BX839"/>
      <c r="BY839"/>
      <c r="BZ839"/>
      <c r="CA839"/>
      <c r="CB839"/>
      <c r="CC839"/>
      <c r="CD839"/>
      <c r="CE839"/>
      <c r="CF839"/>
      <c r="CG839"/>
      <c r="CH839"/>
      <c r="CI839"/>
      <c r="CJ839"/>
      <c r="CK839"/>
      <c r="CL839"/>
      <c r="CM839"/>
      <c r="CN839"/>
      <c r="CO839"/>
      <c r="CP839"/>
      <c r="CQ839"/>
      <c r="CR839"/>
      <c r="CS839"/>
      <c r="CT839"/>
      <c r="CU839"/>
      <c r="CV839"/>
      <c r="CW839"/>
      <c r="CX839"/>
      <c r="CY839"/>
      <c r="CZ839"/>
      <c r="DA839"/>
      <c r="DB839"/>
      <c r="DC839"/>
      <c r="DD839"/>
      <c r="DE839"/>
      <c r="DF839"/>
      <c r="DG839"/>
      <c r="DH839"/>
      <c r="DI839"/>
      <c r="DJ839"/>
      <c r="DK839"/>
      <c r="DL839"/>
      <c r="DM839"/>
      <c r="DN839"/>
      <c r="DO839"/>
      <c r="DP839"/>
      <c r="DQ839"/>
      <c r="DR839"/>
      <c r="DS839"/>
      <c r="DT839"/>
      <c r="DU839"/>
      <c r="DV839"/>
      <c r="DW839"/>
      <c r="DX839"/>
      <c r="DY839"/>
      <c r="DZ839"/>
      <c r="EA839"/>
      <c r="EB839"/>
      <c r="EC839"/>
      <c r="ED839"/>
      <c r="EE839"/>
      <c r="EF839"/>
      <c r="EG839"/>
      <c r="EH839"/>
      <c r="EI839"/>
      <c r="EJ839"/>
      <c r="EK839"/>
      <c r="EL839"/>
      <c r="EM839"/>
      <c r="EN839"/>
      <c r="EO839"/>
      <c r="EP839"/>
      <c r="EQ839"/>
      <c r="ER839"/>
      <c r="ES839"/>
      <c r="ET839"/>
      <c r="EU839"/>
      <c r="EV839"/>
      <c r="EW839"/>
      <c r="EX839"/>
      <c r="EY839"/>
      <c r="EZ839"/>
      <c r="FA839"/>
      <c r="FB839"/>
      <c r="FC839"/>
      <c r="FD839"/>
      <c r="FE839"/>
      <c r="FF839"/>
      <c r="FG839"/>
      <c r="FH839"/>
      <c r="FI839"/>
      <c r="FJ839"/>
      <c r="FK839"/>
      <c r="FL839"/>
      <c r="FM839"/>
      <c r="FN839"/>
      <c r="FO839"/>
      <c r="FP839"/>
      <c r="FQ839"/>
      <c r="FR839"/>
      <c r="FS839"/>
      <c r="FT839"/>
      <c r="FU839"/>
      <c r="FV839"/>
      <c r="FW839"/>
      <c r="FX839"/>
      <c r="FY839"/>
      <c r="FZ839"/>
      <c r="GA839"/>
      <c r="GB839"/>
      <c r="GC839"/>
      <c r="GD839"/>
      <c r="GE839"/>
      <c r="GF839"/>
      <c r="GG839"/>
      <c r="GH839"/>
      <c r="GI839"/>
      <c r="GJ839"/>
      <c r="GK839"/>
      <c r="GL839"/>
      <c r="GM839"/>
      <c r="GN839"/>
      <c r="GO839"/>
      <c r="GP839"/>
      <c r="GQ839"/>
      <c r="GR839"/>
      <c r="GS839"/>
      <c r="GT839"/>
      <c r="GU839"/>
      <c r="GV839"/>
      <c r="GW839"/>
      <c r="GX839"/>
      <c r="GY839"/>
      <c r="GZ839"/>
      <c r="HA839"/>
      <c r="HB839"/>
      <c r="HC839"/>
      <c r="HD839"/>
      <c r="HE839"/>
      <c r="HF839"/>
      <c r="HG839"/>
      <c r="HH839"/>
      <c r="HI839"/>
      <c r="HJ839"/>
      <c r="HK839"/>
      <c r="HL839"/>
      <c r="HM839"/>
      <c r="HN839"/>
      <c r="HO839"/>
      <c r="HP839"/>
      <c r="HQ839"/>
      <c r="HR839"/>
      <c r="HS839"/>
      <c r="HT839"/>
      <c r="HU839"/>
      <c r="HV839"/>
      <c r="HW839"/>
      <c r="HX839"/>
      <c r="HY839"/>
      <c r="HZ839"/>
      <c r="IA839"/>
      <c r="IB839"/>
      <c r="IC839"/>
      <c r="ID839"/>
      <c r="IE839"/>
      <c r="IF839"/>
      <c r="IG839"/>
      <c r="IH839"/>
      <c r="II839"/>
      <c r="IJ839"/>
      <c r="IK839"/>
      <c r="IL839"/>
      <c r="IM839"/>
      <c r="IN839"/>
      <c r="IO839"/>
      <c r="IP839"/>
      <c r="IQ839"/>
      <c r="IR839"/>
      <c r="IS839"/>
      <c r="IT839"/>
      <c r="IU839"/>
      <c r="IV839"/>
      <c r="IW839"/>
      <c r="IX839"/>
      <c r="IY839"/>
      <c r="IZ839"/>
      <c r="JA839"/>
      <c r="JB839"/>
      <c r="JC839"/>
      <c r="JD839"/>
      <c r="JE839"/>
      <c r="JF839"/>
      <c r="JG839"/>
      <c r="JH839"/>
      <c r="JI839"/>
      <c r="JJ839"/>
      <c r="JK839"/>
      <c r="JL839"/>
      <c r="JM839"/>
      <c r="JN839"/>
      <c r="JO839"/>
      <c r="JP839"/>
      <c r="JQ839"/>
      <c r="JR839"/>
      <c r="JS839"/>
      <c r="JT839"/>
      <c r="JU839"/>
      <c r="JV839"/>
      <c r="JW839"/>
      <c r="JX839"/>
      <c r="JY839"/>
      <c r="JZ839"/>
      <c r="KA839"/>
      <c r="KB839"/>
      <c r="KC839"/>
      <c r="KD839"/>
      <c r="KE839"/>
      <c r="KF839"/>
      <c r="KG839"/>
      <c r="KH839"/>
      <c r="KI839"/>
      <c r="KJ839"/>
      <c r="KK839"/>
      <c r="KL839"/>
      <c r="KM839"/>
      <c r="KN839"/>
      <c r="KO839"/>
      <c r="KP839"/>
      <c r="KQ839"/>
      <c r="KR839"/>
      <c r="KS839"/>
      <c r="KT839"/>
      <c r="KU839"/>
      <c r="KV839"/>
      <c r="KW839"/>
      <c r="KX839"/>
      <c r="KY839"/>
      <c r="KZ839"/>
      <c r="LA839"/>
      <c r="LB839"/>
      <c r="LC839"/>
      <c r="LD839"/>
      <c r="LE839"/>
      <c r="LF839"/>
      <c r="LG839"/>
      <c r="LH839"/>
      <c r="LI839"/>
      <c r="LJ839"/>
      <c r="LK839"/>
      <c r="LL839"/>
      <c r="LM839"/>
      <c r="LN839"/>
      <c r="LO839"/>
      <c r="LP839"/>
      <c r="LQ839"/>
      <c r="LR839"/>
      <c r="LS839"/>
      <c r="LT839"/>
      <c r="LU839"/>
      <c r="LV839"/>
      <c r="LW839"/>
      <c r="LX839"/>
      <c r="LY839"/>
      <c r="LZ839"/>
      <c r="MA839"/>
      <c r="MB839"/>
      <c r="MC839"/>
      <c r="MD839"/>
      <c r="ME839"/>
      <c r="MF839"/>
      <c r="MG839"/>
      <c r="MH839"/>
      <c r="MI839"/>
      <c r="MJ839"/>
      <c r="MK839"/>
      <c r="ML839"/>
      <c r="MM839"/>
      <c r="MN839"/>
      <c r="MO839"/>
      <c r="MP839"/>
      <c r="MQ839"/>
      <c r="MR839"/>
      <c r="MS839"/>
      <c r="MT839"/>
      <c r="MU839"/>
      <c r="MV839"/>
      <c r="MW839"/>
      <c r="MX839"/>
      <c r="MY839"/>
      <c r="MZ839"/>
      <c r="NA839"/>
      <c r="NB839"/>
      <c r="NC839"/>
      <c r="ND839"/>
      <c r="NE839"/>
      <c r="NF839"/>
      <c r="NG839"/>
      <c r="NH839"/>
      <c r="NI839"/>
      <c r="NJ839"/>
      <c r="NK839"/>
      <c r="NL839"/>
      <c r="NM839"/>
      <c r="NN839"/>
      <c r="NO839"/>
      <c r="NP839"/>
      <c r="NQ839"/>
      <c r="NR839"/>
      <c r="NS839"/>
      <c r="NT839"/>
      <c r="NU839"/>
      <c r="NV839"/>
      <c r="NW839"/>
      <c r="NX839"/>
      <c r="NY839"/>
      <c r="NZ839"/>
      <c r="OA839"/>
      <c r="OB839"/>
      <c r="OC839"/>
      <c r="OD839"/>
      <c r="OE839"/>
      <c r="OF839"/>
      <c r="OG839"/>
      <c r="OH839"/>
      <c r="OI839"/>
      <c r="OJ839"/>
      <c r="OK839"/>
      <c r="OL839"/>
      <c r="OM839"/>
      <c r="ON839"/>
      <c r="OO839"/>
      <c r="OP839"/>
      <c r="OQ839"/>
      <c r="OR839"/>
      <c r="OS839"/>
      <c r="OT839"/>
      <c r="OU839"/>
      <c r="OV839"/>
      <c r="OW839"/>
      <c r="OX839"/>
      <c r="OY839"/>
      <c r="OZ839"/>
      <c r="PA839"/>
      <c r="PB839"/>
      <c r="PC839"/>
      <c r="PD839"/>
      <c r="PE839"/>
      <c r="PF839"/>
      <c r="PG839"/>
      <c r="PH839"/>
      <c r="PI839"/>
      <c r="PJ839"/>
      <c r="PK839"/>
      <c r="PL839"/>
      <c r="PM839"/>
      <c r="PN839"/>
      <c r="PO839"/>
      <c r="PP839"/>
      <c r="PQ839"/>
      <c r="PR839"/>
      <c r="PS839"/>
      <c r="PT839"/>
      <c r="PU839"/>
      <c r="PV839"/>
      <c r="PW839"/>
      <c r="PX839"/>
      <c r="PY839"/>
      <c r="PZ839"/>
      <c r="QA839"/>
      <c r="QB839"/>
      <c r="QC839"/>
      <c r="QD839"/>
      <c r="QE839"/>
      <c r="QF839"/>
      <c r="QG839"/>
      <c r="QH839"/>
      <c r="QI839"/>
      <c r="QJ839"/>
      <c r="QK839"/>
      <c r="QL839"/>
      <c r="QM839"/>
      <c r="QN839"/>
      <c r="QO839"/>
      <c r="QP839"/>
      <c r="QQ839"/>
      <c r="QR839"/>
      <c r="QS839"/>
      <c r="QT839"/>
      <c r="QU839"/>
      <c r="QV839"/>
      <c r="QW839"/>
      <c r="QX839"/>
      <c r="QY839"/>
      <c r="QZ839"/>
      <c r="RA839"/>
      <c r="RB839"/>
      <c r="RC839"/>
      <c r="RD839"/>
      <c r="RE839"/>
      <c r="RF839"/>
      <c r="RG839"/>
      <c r="RH839"/>
      <c r="RI839"/>
      <c r="RJ839"/>
      <c r="RK839"/>
      <c r="RL839"/>
      <c r="RM839"/>
      <c r="RN839"/>
      <c r="RO839"/>
      <c r="RP839"/>
      <c r="RQ839"/>
      <c r="RR839"/>
      <c r="RS839"/>
      <c r="RT839"/>
      <c r="RU839"/>
      <c r="RV839"/>
      <c r="RW839"/>
      <c r="RX839"/>
      <c r="RY839"/>
      <c r="RZ839"/>
      <c r="SA839"/>
      <c r="SB839"/>
      <c r="SC839"/>
      <c r="SD839"/>
      <c r="SE839"/>
      <c r="SF839"/>
      <c r="SG839"/>
      <c r="SH839"/>
      <c r="SI839"/>
      <c r="SJ839"/>
      <c r="SK839"/>
      <c r="SL839"/>
      <c r="SM839"/>
      <c r="SN839"/>
      <c r="SO839"/>
      <c r="SP839"/>
      <c r="SQ839"/>
      <c r="SR839"/>
      <c r="SS839"/>
      <c r="ST839"/>
      <c r="SU839"/>
      <c r="SV839"/>
      <c r="SW839"/>
      <c r="SX839"/>
      <c r="SY839"/>
      <c r="SZ839"/>
      <c r="TA839"/>
      <c r="TB839"/>
      <c r="TC839"/>
      <c r="TD839"/>
      <c r="TE839"/>
      <c r="TF839"/>
      <c r="TG839"/>
      <c r="TH839"/>
      <c r="TI839"/>
      <c r="TJ839"/>
      <c r="TK839"/>
      <c r="TL839"/>
      <c r="TM839"/>
      <c r="TN839"/>
      <c r="TO839"/>
      <c r="TP839"/>
      <c r="TQ839"/>
      <c r="TR839"/>
      <c r="TS839"/>
      <c r="TT839"/>
      <c r="TU839"/>
      <c r="TV839"/>
      <c r="TW839"/>
      <c r="TX839"/>
      <c r="TY839"/>
      <c r="TZ839"/>
      <c r="UA839"/>
      <c r="UB839"/>
      <c r="UC839"/>
      <c r="UD839"/>
      <c r="UE839"/>
      <c r="UF839"/>
      <c r="UG839"/>
      <c r="UH839"/>
      <c r="UI839"/>
      <c r="UJ839"/>
      <c r="UK839"/>
      <c r="UL839"/>
      <c r="UM839"/>
      <c r="UN839"/>
      <c r="UO839"/>
      <c r="UP839"/>
      <c r="UQ839"/>
      <c r="UR839"/>
      <c r="US839"/>
      <c r="UT839"/>
      <c r="UU839"/>
      <c r="UV839"/>
      <c r="UW839"/>
      <c r="UX839"/>
      <c r="UY839"/>
      <c r="UZ839"/>
      <c r="VA839"/>
      <c r="VB839"/>
      <c r="VC839"/>
      <c r="VD839"/>
      <c r="VE839"/>
      <c r="VF839"/>
      <c r="VG839"/>
      <c r="VH839"/>
      <c r="VI839"/>
      <c r="VJ839"/>
      <c r="VK839"/>
      <c r="VL839"/>
      <c r="VM839"/>
      <c r="VN839"/>
      <c r="VO839"/>
      <c r="VP839"/>
      <c r="VQ839"/>
      <c r="VR839"/>
      <c r="VS839"/>
      <c r="VT839"/>
      <c r="VU839"/>
      <c r="VV839"/>
      <c r="VW839"/>
      <c r="VX839"/>
      <c r="VY839"/>
      <c r="VZ839"/>
      <c r="WA839"/>
      <c r="WB839"/>
      <c r="WC839"/>
      <c r="WD839"/>
      <c r="WE839"/>
      <c r="WF839"/>
      <c r="WG839"/>
      <c r="WH839"/>
      <c r="WI839"/>
      <c r="WJ839"/>
      <c r="WK839"/>
      <c r="WL839"/>
      <c r="WM839"/>
      <c r="WN839"/>
      <c r="WO839"/>
      <c r="WP839"/>
      <c r="WQ839"/>
      <c r="WR839"/>
      <c r="WS839"/>
      <c r="WT839"/>
      <c r="WU839"/>
      <c r="WV839"/>
      <c r="WW839"/>
      <c r="WX839"/>
      <c r="WY839"/>
      <c r="WZ839"/>
      <c r="XA839"/>
      <c r="XB839"/>
      <c r="XC839"/>
      <c r="XD839"/>
      <c r="XE839"/>
      <c r="XF839"/>
      <c r="XG839"/>
      <c r="XH839"/>
      <c r="XI839"/>
      <c r="XJ839"/>
      <c r="XK839"/>
      <c r="XL839"/>
      <c r="XM839"/>
      <c r="XN839"/>
      <c r="XO839"/>
      <c r="XP839"/>
      <c r="XQ839"/>
      <c r="XR839"/>
      <c r="XS839"/>
      <c r="XT839"/>
      <c r="XU839"/>
      <c r="XV839"/>
      <c r="XW839"/>
      <c r="XX839"/>
      <c r="XY839"/>
      <c r="XZ839"/>
      <c r="YA839"/>
      <c r="YB839"/>
      <c r="YC839"/>
      <c r="YD839"/>
      <c r="YE839"/>
      <c r="YF839"/>
      <c r="YG839"/>
      <c r="YH839"/>
      <c r="YI839"/>
      <c r="YJ839"/>
      <c r="YK839"/>
      <c r="YL839"/>
      <c r="YM839"/>
      <c r="YN839"/>
      <c r="YO839"/>
      <c r="YP839"/>
      <c r="YQ839"/>
      <c r="YR839"/>
      <c r="YS839"/>
      <c r="YT839"/>
      <c r="YU839"/>
      <c r="YV839"/>
      <c r="YW839"/>
      <c r="YX839"/>
      <c r="YY839"/>
      <c r="YZ839"/>
      <c r="ZA839"/>
      <c r="ZB839"/>
      <c r="ZC839"/>
      <c r="ZD839"/>
      <c r="ZE839"/>
      <c r="ZF839"/>
      <c r="ZG839"/>
      <c r="ZH839"/>
      <c r="ZI839"/>
      <c r="ZJ839"/>
      <c r="ZK839"/>
      <c r="ZL839"/>
      <c r="ZM839"/>
      <c r="ZN839"/>
      <c r="ZO839"/>
      <c r="ZP839"/>
      <c r="ZQ839"/>
      <c r="ZR839"/>
      <c r="ZS839"/>
      <c r="ZT839"/>
      <c r="ZU839"/>
      <c r="ZV839"/>
      <c r="ZW839"/>
      <c r="ZX839"/>
      <c r="ZY839"/>
      <c r="ZZ839"/>
      <c r="AAA839"/>
      <c r="AAB839"/>
      <c r="AAC839"/>
      <c r="AAD839"/>
      <c r="AAE839"/>
      <c r="AAF839"/>
      <c r="AAG839"/>
      <c r="AAH839"/>
      <c r="AAI839"/>
      <c r="AAJ839"/>
      <c r="AAK839"/>
      <c r="AAL839"/>
      <c r="AAM839"/>
      <c r="AAN839"/>
      <c r="AAO839"/>
      <c r="AAP839"/>
      <c r="AAQ839"/>
      <c r="AAR839"/>
      <c r="AAS839"/>
      <c r="AAT839"/>
      <c r="AAU839"/>
      <c r="AAV839"/>
      <c r="AAW839"/>
      <c r="AAX839"/>
      <c r="AAY839"/>
      <c r="AAZ839"/>
      <c r="ABA839"/>
      <c r="ABB839"/>
      <c r="ABC839"/>
      <c r="ABD839"/>
      <c r="ABE839"/>
      <c r="ABF839"/>
      <c r="ABG839"/>
      <c r="ABH839"/>
      <c r="ABI839"/>
      <c r="ABJ839"/>
      <c r="ABK839"/>
      <c r="ABL839"/>
      <c r="ABM839"/>
      <c r="ABN839"/>
      <c r="ABO839"/>
      <c r="ABP839"/>
      <c r="ABQ839"/>
      <c r="ABR839"/>
      <c r="ABS839"/>
      <c r="ABT839"/>
      <c r="ABU839"/>
      <c r="ABV839"/>
      <c r="ABW839"/>
      <c r="ABX839"/>
      <c r="ABY839"/>
      <c r="ABZ839"/>
      <c r="ACA839"/>
      <c r="ACB839"/>
      <c r="ACC839"/>
      <c r="ACD839"/>
      <c r="ACE839"/>
      <c r="ACF839"/>
      <c r="ACG839"/>
      <c r="ACH839"/>
      <c r="ACI839"/>
      <c r="ACJ839"/>
      <c r="ACK839"/>
      <c r="ACL839"/>
      <c r="ACM839"/>
      <c r="ACN839"/>
      <c r="ACO839"/>
      <c r="ACP839"/>
      <c r="ACQ839"/>
      <c r="ACR839"/>
      <c r="ACS839"/>
      <c r="ACT839"/>
      <c r="ACU839"/>
      <c r="ACV839"/>
      <c r="ACW839"/>
      <c r="ACX839"/>
      <c r="ACY839"/>
      <c r="ACZ839"/>
      <c r="ADA839"/>
      <c r="ADB839"/>
      <c r="ADC839"/>
      <c r="ADD839"/>
      <c r="ADE839"/>
      <c r="ADF839"/>
      <c r="ADG839"/>
      <c r="ADH839"/>
      <c r="ADI839"/>
      <c r="ADJ839"/>
      <c r="ADK839"/>
      <c r="ADL839"/>
      <c r="ADM839"/>
      <c r="ADN839"/>
      <c r="ADO839"/>
      <c r="ADP839"/>
      <c r="ADQ839"/>
      <c r="ADR839"/>
      <c r="ADS839"/>
      <c r="ADT839"/>
      <c r="ADU839"/>
      <c r="ADV839"/>
      <c r="ADW839"/>
      <c r="ADX839"/>
      <c r="ADY839"/>
      <c r="ADZ839"/>
      <c r="AEA839"/>
      <c r="AEB839"/>
      <c r="AEC839"/>
      <c r="AED839"/>
      <c r="AEE839"/>
      <c r="AEF839"/>
      <c r="AEG839"/>
      <c r="AEH839"/>
      <c r="AEI839"/>
      <c r="AEJ839"/>
      <c r="AEK839"/>
      <c r="AEL839"/>
      <c r="AEM839"/>
      <c r="AEN839"/>
      <c r="AEO839"/>
      <c r="AEP839"/>
      <c r="AEQ839"/>
      <c r="AER839"/>
      <c r="AES839"/>
      <c r="AET839"/>
      <c r="AEU839"/>
      <c r="AEV839"/>
      <c r="AEW839"/>
      <c r="AEX839"/>
      <c r="AEY839"/>
      <c r="AEZ839"/>
      <c r="AFA839"/>
      <c r="AFB839"/>
      <c r="AFC839"/>
      <c r="AFD839"/>
      <c r="AFE839"/>
      <c r="AFF839"/>
      <c r="AFG839"/>
      <c r="AFH839"/>
      <c r="AFI839"/>
      <c r="AFJ839"/>
      <c r="AFK839"/>
      <c r="AFL839"/>
      <c r="AFM839"/>
      <c r="AFN839"/>
      <c r="AFO839"/>
      <c r="AFP839"/>
      <c r="AFQ839"/>
      <c r="AFR839"/>
      <c r="AFS839"/>
      <c r="AFT839"/>
      <c r="AFU839"/>
      <c r="AFV839"/>
      <c r="AFW839"/>
      <c r="AFX839"/>
      <c r="AFY839"/>
      <c r="AFZ839"/>
      <c r="AGA839"/>
      <c r="AGB839"/>
      <c r="AGC839"/>
      <c r="AGD839"/>
      <c r="AGE839"/>
      <c r="AGF839"/>
      <c r="AGG839"/>
      <c r="AGH839"/>
      <c r="AGI839"/>
      <c r="AGJ839"/>
      <c r="AGK839"/>
      <c r="AGL839"/>
      <c r="AGM839"/>
      <c r="AGN839"/>
      <c r="AGO839"/>
      <c r="AGP839"/>
      <c r="AGQ839"/>
      <c r="AGR839"/>
      <c r="AGS839"/>
      <c r="AGT839"/>
      <c r="AGU839"/>
      <c r="AGV839"/>
      <c r="AGW839"/>
      <c r="AGX839"/>
      <c r="AGY839"/>
      <c r="AGZ839"/>
      <c r="AHA839"/>
      <c r="AHB839"/>
      <c r="AHC839"/>
      <c r="AHD839"/>
      <c r="AHE839"/>
      <c r="AHF839"/>
      <c r="AHG839"/>
      <c r="AHH839"/>
      <c r="AHI839"/>
      <c r="AHJ839"/>
      <c r="AHK839"/>
      <c r="AHL839"/>
      <c r="AHM839"/>
      <c r="AHN839"/>
      <c r="AHO839"/>
      <c r="AHP839"/>
      <c r="AHQ839"/>
      <c r="AHR839"/>
      <c r="AHS839"/>
      <c r="AHT839"/>
      <c r="AHU839"/>
      <c r="AHV839"/>
      <c r="AHW839"/>
      <c r="AHX839"/>
      <c r="AHY839"/>
      <c r="AHZ839"/>
      <c r="AIA839"/>
      <c r="AIB839"/>
      <c r="AIC839"/>
      <c r="AID839"/>
      <c r="AIE839"/>
      <c r="AIF839"/>
      <c r="AIG839"/>
      <c r="AIH839"/>
      <c r="AII839"/>
      <c r="AIJ839"/>
      <c r="AIK839"/>
      <c r="AIL839"/>
      <c r="AIM839"/>
      <c r="AIN839"/>
      <c r="AIO839"/>
      <c r="AIP839"/>
      <c r="AIQ839"/>
      <c r="AIR839"/>
      <c r="AIS839"/>
      <c r="AIT839"/>
      <c r="AIU839"/>
      <c r="AIV839"/>
      <c r="AIW839"/>
      <c r="AIX839"/>
      <c r="AIY839"/>
      <c r="AIZ839"/>
      <c r="AJA839"/>
      <c r="AJB839"/>
      <c r="AJC839"/>
      <c r="AJD839"/>
      <c r="AJE839"/>
      <c r="AJF839"/>
      <c r="AJG839"/>
      <c r="AJH839"/>
      <c r="AJI839"/>
      <c r="AJJ839"/>
      <c r="AJK839"/>
      <c r="AJL839"/>
      <c r="AJM839"/>
      <c r="AJN839"/>
      <c r="AJO839"/>
      <c r="AJP839"/>
      <c r="AJQ839"/>
      <c r="AJR839"/>
      <c r="AJS839"/>
      <c r="AJT839"/>
      <c r="AJU839"/>
      <c r="AJV839"/>
      <c r="AJW839"/>
      <c r="AJX839"/>
      <c r="AJY839"/>
      <c r="AJZ839"/>
      <c r="AKA839"/>
      <c r="AKB839"/>
      <c r="AKC839"/>
      <c r="AKD839"/>
      <c r="AKE839"/>
      <c r="AKF839"/>
      <c r="AKG839"/>
      <c r="AKH839"/>
      <c r="AKI839"/>
      <c r="AKJ839"/>
      <c r="AKK839"/>
      <c r="AKL839"/>
      <c r="AKM839"/>
      <c r="AKN839"/>
      <c r="AKO839"/>
      <c r="AKP839"/>
      <c r="AKQ839"/>
      <c r="AKR839"/>
      <c r="AKS839"/>
      <c r="AKT839"/>
      <c r="AKU839"/>
      <c r="AKV839"/>
      <c r="AKW839"/>
      <c r="AKX839"/>
      <c r="AKY839"/>
      <c r="AKZ839"/>
      <c r="ALA839"/>
      <c r="ALB839"/>
      <c r="ALC839"/>
      <c r="ALD839"/>
      <c r="ALE839"/>
      <c r="ALF839"/>
      <c r="ALG839"/>
      <c r="ALH839"/>
      <c r="ALI839"/>
      <c r="ALJ839"/>
      <c r="ALK839"/>
      <c r="ALL839"/>
      <c r="ALM839"/>
      <c r="ALN839"/>
      <c r="ALO839"/>
      <c r="ALP839"/>
      <c r="ALQ839"/>
      <c r="ALR839"/>
      <c r="ALS839"/>
      <c r="ALT839"/>
    </row>
    <row r="840" spans="1:1008" x14ac:dyDescent="0.15">
      <c r="A840" s="8" t="s">
        <v>2899</v>
      </c>
      <c r="B840" s="8" t="s">
        <v>2889</v>
      </c>
      <c r="C840" s="8" t="str">
        <f t="shared" si="12"/>
        <v>ionchromatography</v>
      </c>
      <c r="D840" s="9" t="s">
        <v>15</v>
      </c>
      <c r="E840" s="8" t="s">
        <v>2897</v>
      </c>
      <c r="F840" s="8" t="s">
        <v>2898</v>
      </c>
      <c r="G840" s="8">
        <v>500</v>
      </c>
    </row>
    <row r="841" spans="1:1008" x14ac:dyDescent="0.15">
      <c r="A841" s="8" t="s">
        <v>2262</v>
      </c>
      <c r="B841" s="8" t="s">
        <v>167</v>
      </c>
      <c r="C841" s="8" t="str">
        <f t="shared" si="12"/>
        <v>directlfq</v>
      </c>
      <c r="D841" s="9" t="s">
        <v>15</v>
      </c>
      <c r="E841" s="8" t="s">
        <v>2263</v>
      </c>
      <c r="F841" s="9" t="s">
        <v>15</v>
      </c>
      <c r="G841" s="8">
        <v>500</v>
      </c>
    </row>
    <row r="842" spans="1:1008" x14ac:dyDescent="0.15">
      <c r="A842" s="8" t="s">
        <v>3956</v>
      </c>
      <c r="B842" s="8" t="s">
        <v>167</v>
      </c>
      <c r="C842" s="8" t="str">
        <f t="shared" si="12"/>
        <v>ibaq</v>
      </c>
      <c r="D842" s="9" t="s">
        <v>15</v>
      </c>
      <c r="E842" s="8" t="s">
        <v>3957</v>
      </c>
      <c r="F842" s="9" t="s">
        <v>3958</v>
      </c>
      <c r="G842" s="8">
        <v>500</v>
      </c>
    </row>
    <row r="843" spans="1:1008" x14ac:dyDescent="0.15">
      <c r="A843" s="8" t="s">
        <v>2264</v>
      </c>
      <c r="B843" s="8" t="s">
        <v>167</v>
      </c>
      <c r="C843" s="8" t="str">
        <f t="shared" ref="C843:C906" si="13">A843</f>
        <v>maxlfq</v>
      </c>
      <c r="D843" s="9" t="s">
        <v>15</v>
      </c>
      <c r="E843" s="8" t="s">
        <v>2265</v>
      </c>
      <c r="F843" s="9" t="s">
        <v>15</v>
      </c>
      <c r="G843" s="8">
        <v>500</v>
      </c>
    </row>
    <row r="844" spans="1:1008" x14ac:dyDescent="0.15">
      <c r="A844" s="8" t="s">
        <v>2266</v>
      </c>
      <c r="B844" s="8" t="s">
        <v>167</v>
      </c>
      <c r="C844" s="8" t="str">
        <f t="shared" si="13"/>
        <v>speccount</v>
      </c>
      <c r="D844" s="9" t="s">
        <v>15</v>
      </c>
      <c r="E844" s="8" t="s">
        <v>2267</v>
      </c>
      <c r="F844" s="9" t="s">
        <v>15</v>
      </c>
      <c r="G844" s="8">
        <v>500</v>
      </c>
    </row>
    <row r="845" spans="1:1008" x14ac:dyDescent="0.15">
      <c r="A845" s="8" t="s">
        <v>2268</v>
      </c>
      <c r="B845" s="8" t="s">
        <v>168</v>
      </c>
      <c r="C845" s="8" t="str">
        <f t="shared" si="13"/>
        <v>isobaric</v>
      </c>
      <c r="D845" s="9" t="s">
        <v>15</v>
      </c>
      <c r="E845" s="8" t="s">
        <v>2268</v>
      </c>
      <c r="F845" s="8" t="s">
        <v>2269</v>
      </c>
      <c r="G845" s="8">
        <v>500</v>
      </c>
    </row>
    <row r="846" spans="1:1008" x14ac:dyDescent="0.15">
      <c r="A846" s="8" t="s">
        <v>2270</v>
      </c>
      <c r="B846" s="8" t="s">
        <v>168</v>
      </c>
      <c r="C846" s="8" t="str">
        <f t="shared" si="13"/>
        <v>istopic</v>
      </c>
      <c r="D846" s="9" t="s">
        <v>15</v>
      </c>
      <c r="E846" s="8" t="s">
        <v>2270</v>
      </c>
      <c r="F846" s="8" t="s">
        <v>2271</v>
      </c>
      <c r="G846" s="8">
        <v>500</v>
      </c>
    </row>
    <row r="847" spans="1:1008" x14ac:dyDescent="0.15">
      <c r="A847" s="8" t="s">
        <v>2272</v>
      </c>
      <c r="B847" s="8" t="s">
        <v>168</v>
      </c>
      <c r="C847" s="8" t="str">
        <f t="shared" si="13"/>
        <v>label_free</v>
      </c>
      <c r="D847" s="9" t="s">
        <v>15</v>
      </c>
      <c r="E847" s="8" t="s">
        <v>2273</v>
      </c>
      <c r="F847" s="8" t="s">
        <v>2274</v>
      </c>
      <c r="G847" s="8">
        <v>500</v>
      </c>
    </row>
    <row r="848" spans="1:1008" x14ac:dyDescent="0.15">
      <c r="A848" s="8" t="s">
        <v>2275</v>
      </c>
      <c r="B848" s="8" t="s">
        <v>168</v>
      </c>
      <c r="C848" s="8" t="str">
        <f t="shared" si="13"/>
        <v>silac</v>
      </c>
      <c r="D848" s="9" t="s">
        <v>15</v>
      </c>
      <c r="E848" s="8" t="s">
        <v>2275</v>
      </c>
      <c r="F848" s="8" t="s">
        <v>2276</v>
      </c>
      <c r="G848" s="8">
        <v>500</v>
      </c>
    </row>
    <row r="849" spans="1:7" x14ac:dyDescent="0.15">
      <c r="A849" s="8" t="s">
        <v>2277</v>
      </c>
      <c r="B849" s="8" t="s">
        <v>171</v>
      </c>
      <c r="C849" s="8" t="str">
        <f t="shared" si="13"/>
        <v>dtt</v>
      </c>
      <c r="D849" s="9" t="s">
        <v>15</v>
      </c>
      <c r="E849" s="8" t="s">
        <v>2278</v>
      </c>
      <c r="F849" s="8" t="s">
        <v>2279</v>
      </c>
      <c r="G849" s="8">
        <v>500</v>
      </c>
    </row>
    <row r="850" spans="1:7" x14ac:dyDescent="0.15">
      <c r="A850" s="8" t="s">
        <v>3176</v>
      </c>
      <c r="B850" s="8" t="s">
        <v>171</v>
      </c>
      <c r="C850" s="8" t="str">
        <f t="shared" si="13"/>
        <v>no_reduction</v>
      </c>
      <c r="D850" s="9" t="s">
        <v>15</v>
      </c>
      <c r="E850" s="8" t="s">
        <v>282</v>
      </c>
      <c r="F850" s="8" t="s">
        <v>2280</v>
      </c>
      <c r="G850" s="8">
        <v>500</v>
      </c>
    </row>
    <row r="851" spans="1:7" x14ac:dyDescent="0.15">
      <c r="A851" s="8" t="s">
        <v>2281</v>
      </c>
      <c r="B851" s="8" t="s">
        <v>171</v>
      </c>
      <c r="C851" s="8" t="str">
        <f t="shared" si="13"/>
        <v>tcep</v>
      </c>
      <c r="D851" s="9" t="s">
        <v>15</v>
      </c>
      <c r="E851" s="8" t="s">
        <v>2282</v>
      </c>
      <c r="F851" s="8" t="s">
        <v>2283</v>
      </c>
      <c r="G851" s="8">
        <v>500</v>
      </c>
    </row>
    <row r="852" spans="1:7" x14ac:dyDescent="0.15">
      <c r="A852" s="8" t="s">
        <v>1350</v>
      </c>
      <c r="B852" s="8" t="s">
        <v>2284</v>
      </c>
      <c r="C852" s="8" t="str">
        <f t="shared" si="13"/>
        <v>apoptosis</v>
      </c>
      <c r="D852" s="9" t="s">
        <v>15</v>
      </c>
      <c r="E852" s="8" t="s">
        <v>1351</v>
      </c>
      <c r="F852" s="8" t="s">
        <v>2285</v>
      </c>
      <c r="G852" s="8">
        <v>500</v>
      </c>
    </row>
    <row r="853" spans="1:7" x14ac:dyDescent="0.15">
      <c r="A853" s="8" t="s">
        <v>2286</v>
      </c>
      <c r="B853" s="8" t="s">
        <v>2284</v>
      </c>
      <c r="C853" s="8" t="str">
        <f t="shared" si="13"/>
        <v>autocrine</v>
      </c>
      <c r="D853" s="9" t="s">
        <v>15</v>
      </c>
      <c r="E853" s="8" t="s">
        <v>2287</v>
      </c>
      <c r="F853" s="8" t="s">
        <v>2288</v>
      </c>
      <c r="G853" s="8">
        <v>500</v>
      </c>
    </row>
    <row r="854" spans="1:7" x14ac:dyDescent="0.15">
      <c r="A854" s="8" t="s">
        <v>2289</v>
      </c>
      <c r="B854" s="8" t="s">
        <v>2284</v>
      </c>
      <c r="C854" s="8" t="str">
        <f t="shared" si="13"/>
        <v>complement</v>
      </c>
      <c r="D854" s="9" t="s">
        <v>15</v>
      </c>
      <c r="E854" s="8" t="s">
        <v>2290</v>
      </c>
      <c r="F854" s="8" t="s">
        <v>2291</v>
      </c>
      <c r="G854" s="8">
        <v>500</v>
      </c>
    </row>
    <row r="855" spans="1:7" x14ac:dyDescent="0.15">
      <c r="A855" s="8" t="s">
        <v>2292</v>
      </c>
      <c r="B855" s="8" t="s">
        <v>2284</v>
      </c>
      <c r="C855" s="8" t="str">
        <f t="shared" si="13"/>
        <v>cytokines</v>
      </c>
      <c r="D855" s="9" t="s">
        <v>15</v>
      </c>
      <c r="E855" s="8" t="s">
        <v>2293</v>
      </c>
      <c r="F855" s="8" t="s">
        <v>2294</v>
      </c>
      <c r="G855" s="8">
        <v>500</v>
      </c>
    </row>
    <row r="856" spans="1:7" x14ac:dyDescent="0.15">
      <c r="A856" s="8" t="s">
        <v>2295</v>
      </c>
      <c r="B856" s="8" t="s">
        <v>2284</v>
      </c>
      <c r="C856" s="8" t="str">
        <f t="shared" si="13"/>
        <v>inflammation</v>
      </c>
      <c r="D856" s="9" t="s">
        <v>15</v>
      </c>
      <c r="E856" s="8" t="s">
        <v>2296</v>
      </c>
      <c r="F856" s="8" t="s">
        <v>2297</v>
      </c>
      <c r="G856" s="8">
        <v>500</v>
      </c>
    </row>
    <row r="857" spans="1:7" x14ac:dyDescent="0.15">
      <c r="A857" s="8" t="s">
        <v>2298</v>
      </c>
      <c r="B857" s="8" t="s">
        <v>2284</v>
      </c>
      <c r="C857" s="8" t="str">
        <f t="shared" si="13"/>
        <v>insulin</v>
      </c>
      <c r="D857" s="9" t="s">
        <v>15</v>
      </c>
      <c r="E857" s="8" t="s">
        <v>2299</v>
      </c>
      <c r="F857" s="8" t="s">
        <v>2300</v>
      </c>
      <c r="G857" s="8">
        <v>500</v>
      </c>
    </row>
    <row r="858" spans="1:7" x14ac:dyDescent="0.15">
      <c r="A858" s="8" t="s">
        <v>2301</v>
      </c>
      <c r="B858" s="8" t="s">
        <v>2284</v>
      </c>
      <c r="C858" s="8" t="str">
        <f t="shared" si="13"/>
        <v>juxtacrine</v>
      </c>
      <c r="D858" s="9" t="s">
        <v>15</v>
      </c>
      <c r="E858" s="8" t="s">
        <v>2302</v>
      </c>
      <c r="F858" s="8" t="s">
        <v>2303</v>
      </c>
      <c r="G858" s="8">
        <v>500</v>
      </c>
    </row>
    <row r="859" spans="1:7" x14ac:dyDescent="0.15">
      <c r="A859" s="8" t="s">
        <v>2304</v>
      </c>
      <c r="B859" s="8" t="s">
        <v>2284</v>
      </c>
      <c r="C859" s="8" t="str">
        <f t="shared" si="13"/>
        <v>necrosis</v>
      </c>
      <c r="D859" s="9" t="s">
        <v>15</v>
      </c>
      <c r="E859" s="8" t="s">
        <v>2305</v>
      </c>
      <c r="F859" s="8" t="s">
        <v>2306</v>
      </c>
      <c r="G859" s="8">
        <v>500</v>
      </c>
    </row>
    <row r="860" spans="1:7" x14ac:dyDescent="0.15">
      <c r="A860" s="8" t="s">
        <v>2307</v>
      </c>
      <c r="B860" s="8" t="s">
        <v>2284</v>
      </c>
      <c r="C860" s="8" t="str">
        <f t="shared" si="13"/>
        <v>paracrine</v>
      </c>
      <c r="D860" s="9" t="s">
        <v>15</v>
      </c>
      <c r="E860" s="8" t="s">
        <v>2308</v>
      </c>
      <c r="F860" s="8" t="s">
        <v>2309</v>
      </c>
      <c r="G860" s="8">
        <v>500</v>
      </c>
    </row>
    <row r="861" spans="1:7" x14ac:dyDescent="0.15">
      <c r="A861" s="8" t="s">
        <v>1698</v>
      </c>
      <c r="B861" s="8" t="s">
        <v>2284</v>
      </c>
      <c r="C861" s="8" t="str">
        <f t="shared" si="13"/>
        <v>signaling</v>
      </c>
      <c r="D861" s="9" t="s">
        <v>15</v>
      </c>
      <c r="E861" s="8" t="s">
        <v>1699</v>
      </c>
      <c r="F861" s="8" t="s">
        <v>2310</v>
      </c>
      <c r="G861" s="8">
        <v>500</v>
      </c>
    </row>
    <row r="862" spans="1:7" x14ac:dyDescent="0.15">
      <c r="A862" s="8" t="s">
        <v>2311</v>
      </c>
      <c r="B862" s="8" t="s">
        <v>29</v>
      </c>
      <c r="C862" s="8" t="str">
        <f t="shared" si="13"/>
        <v>diann</v>
      </c>
      <c r="D862" s="9" t="s">
        <v>15</v>
      </c>
      <c r="E862" s="8" t="s">
        <v>2312</v>
      </c>
      <c r="F862" s="8" t="s">
        <v>2313</v>
      </c>
      <c r="G862" s="8">
        <v>500</v>
      </c>
    </row>
    <row r="863" spans="1:7" x14ac:dyDescent="0.15">
      <c r="A863" s="8" t="s">
        <v>2314</v>
      </c>
      <c r="B863" s="8" t="s">
        <v>29</v>
      </c>
      <c r="C863" s="8" t="str">
        <f t="shared" si="13"/>
        <v>maxquant</v>
      </c>
      <c r="D863" s="9" t="s">
        <v>15</v>
      </c>
      <c r="E863" s="8" t="s">
        <v>2315</v>
      </c>
      <c r="F863" s="8" t="s">
        <v>2316</v>
      </c>
      <c r="G863" s="8">
        <v>500</v>
      </c>
    </row>
    <row r="864" spans="1:7" x14ac:dyDescent="0.15">
      <c r="A864" s="8" t="s">
        <v>2317</v>
      </c>
      <c r="B864" s="8" t="s">
        <v>29</v>
      </c>
      <c r="C864" s="8" t="str">
        <f t="shared" si="13"/>
        <v>metamorpheus</v>
      </c>
      <c r="D864" s="9" t="s">
        <v>15</v>
      </c>
      <c r="E864" s="8" t="s">
        <v>2318</v>
      </c>
      <c r="F864" s="8" t="s">
        <v>2319</v>
      </c>
      <c r="G864" s="8">
        <v>500</v>
      </c>
    </row>
    <row r="865" spans="1:7" x14ac:dyDescent="0.15">
      <c r="A865" s="8" t="s">
        <v>2320</v>
      </c>
      <c r="B865" s="8" t="s">
        <v>29</v>
      </c>
      <c r="C865" s="8" t="str">
        <f t="shared" si="13"/>
        <v>minora</v>
      </c>
      <c r="D865" s="9" t="s">
        <v>15</v>
      </c>
      <c r="E865" s="8" t="s">
        <v>2321</v>
      </c>
      <c r="F865" s="8" t="s">
        <v>2322</v>
      </c>
      <c r="G865" s="8">
        <v>500</v>
      </c>
    </row>
    <row r="866" spans="1:7" x14ac:dyDescent="0.15">
      <c r="A866" s="8" t="s">
        <v>2323</v>
      </c>
      <c r="B866" s="8" t="s">
        <v>29</v>
      </c>
      <c r="C866" s="8" t="str">
        <f t="shared" si="13"/>
        <v>msfragger</v>
      </c>
      <c r="D866" s="9" t="s">
        <v>15</v>
      </c>
      <c r="E866" s="8" t="s">
        <v>2324</v>
      </c>
      <c r="F866" s="8" t="s">
        <v>2325</v>
      </c>
      <c r="G866" s="8">
        <v>500</v>
      </c>
    </row>
    <row r="867" spans="1:7" x14ac:dyDescent="0.15">
      <c r="A867" s="8" t="s">
        <v>2326</v>
      </c>
      <c r="B867" s="8" t="s">
        <v>29</v>
      </c>
      <c r="C867" s="8" t="str">
        <f t="shared" si="13"/>
        <v>msgf</v>
      </c>
      <c r="D867" s="9" t="s">
        <v>15</v>
      </c>
      <c r="E867" s="8" t="s">
        <v>2327</v>
      </c>
      <c r="F867" s="8" t="s">
        <v>2328</v>
      </c>
      <c r="G867" s="8">
        <v>500</v>
      </c>
    </row>
    <row r="868" spans="1:7" x14ac:dyDescent="0.15">
      <c r="A868" s="8" t="s">
        <v>2329</v>
      </c>
      <c r="B868" s="8" t="s">
        <v>29</v>
      </c>
      <c r="C868" s="8" t="str">
        <f t="shared" si="13"/>
        <v>spectronaut</v>
      </c>
      <c r="D868" s="9" t="s">
        <v>15</v>
      </c>
      <c r="E868" s="8" t="s">
        <v>2330</v>
      </c>
      <c r="F868" s="8" t="s">
        <v>2331</v>
      </c>
      <c r="G868" s="8">
        <v>500</v>
      </c>
    </row>
    <row r="869" spans="1:7" x14ac:dyDescent="0.15">
      <c r="A869" s="8" t="s">
        <v>2845</v>
      </c>
      <c r="B869" s="8" t="s">
        <v>2844</v>
      </c>
      <c r="C869" s="8" t="str">
        <f t="shared" si="13"/>
        <v>wc</v>
      </c>
      <c r="D869" s="9" t="s">
        <v>15</v>
      </c>
      <c r="E869" s="8" t="s">
        <v>2846</v>
      </c>
      <c r="F869" s="8" t="s">
        <v>2847</v>
      </c>
      <c r="G869" s="8">
        <v>500</v>
      </c>
    </row>
    <row r="870" spans="1:7" x14ac:dyDescent="0.15">
      <c r="A870" s="8" t="s">
        <v>2849</v>
      </c>
      <c r="B870" s="8" t="s">
        <v>2844</v>
      </c>
      <c r="C870" s="8" t="str">
        <f t="shared" si="13"/>
        <v>membrane</v>
      </c>
      <c r="D870" s="9" t="s">
        <v>15</v>
      </c>
      <c r="E870" s="8" t="s">
        <v>2850</v>
      </c>
      <c r="F870" s="8" t="s">
        <v>2851</v>
      </c>
      <c r="G870" s="8">
        <v>500</v>
      </c>
    </row>
    <row r="871" spans="1:7" x14ac:dyDescent="0.15">
      <c r="A871" s="8" t="s">
        <v>2848</v>
      </c>
      <c r="B871" s="8" t="s">
        <v>2844</v>
      </c>
      <c r="C871" s="8" t="str">
        <f t="shared" si="13"/>
        <v>mitochondria</v>
      </c>
      <c r="D871" s="9" t="s">
        <v>15</v>
      </c>
      <c r="E871" s="8" t="s">
        <v>2865</v>
      </c>
      <c r="F871" s="8" t="s">
        <v>2864</v>
      </c>
      <c r="G871" s="8">
        <v>500</v>
      </c>
    </row>
    <row r="872" spans="1:7" x14ac:dyDescent="0.15">
      <c r="A872" s="8" t="s">
        <v>2878</v>
      </c>
      <c r="B872" s="8" t="s">
        <v>2844</v>
      </c>
      <c r="C872" s="8" t="str">
        <f t="shared" si="13"/>
        <v>mitochondriapk</v>
      </c>
      <c r="D872" s="9" t="s">
        <v>15</v>
      </c>
      <c r="E872" s="8" t="s">
        <v>2876</v>
      </c>
      <c r="F872" s="8" t="s">
        <v>2877</v>
      </c>
      <c r="G872" s="8">
        <v>500</v>
      </c>
    </row>
    <row r="873" spans="1:7" x14ac:dyDescent="0.15">
      <c r="A873" s="8" t="s">
        <v>2852</v>
      </c>
      <c r="B873" s="8" t="s">
        <v>2844</v>
      </c>
      <c r="C873" s="8" t="str">
        <f t="shared" si="13"/>
        <v>golgi</v>
      </c>
      <c r="D873" s="9" t="s">
        <v>15</v>
      </c>
      <c r="E873" s="8" t="s">
        <v>2853</v>
      </c>
      <c r="F873" s="8" t="s">
        <v>2854</v>
      </c>
      <c r="G873" s="8">
        <v>500</v>
      </c>
    </row>
    <row r="874" spans="1:7" x14ac:dyDescent="0.15">
      <c r="A874" s="8" t="s">
        <v>2855</v>
      </c>
      <c r="B874" s="8" t="s">
        <v>2844</v>
      </c>
      <c r="C874" s="8" t="str">
        <f t="shared" si="13"/>
        <v>plasmamembrane</v>
      </c>
      <c r="D874" s="9" t="s">
        <v>15</v>
      </c>
      <c r="E874" s="8" t="s">
        <v>2863</v>
      </c>
      <c r="F874" s="8" t="s">
        <v>2856</v>
      </c>
      <c r="G874" s="8">
        <v>500</v>
      </c>
    </row>
    <row r="875" spans="1:7" x14ac:dyDescent="0.15">
      <c r="A875" s="8" t="s">
        <v>2857</v>
      </c>
      <c r="B875" s="8" t="s">
        <v>2844</v>
      </c>
      <c r="C875" s="8" t="str">
        <f t="shared" si="13"/>
        <v>nucleus</v>
      </c>
      <c r="D875" s="9" t="s">
        <v>15</v>
      </c>
      <c r="E875" s="8" t="s">
        <v>2858</v>
      </c>
      <c r="F875" s="8" t="s">
        <v>2859</v>
      </c>
      <c r="G875" s="8">
        <v>500</v>
      </c>
    </row>
    <row r="876" spans="1:7" x14ac:dyDescent="0.15">
      <c r="A876" s="8" t="s">
        <v>2860</v>
      </c>
      <c r="B876" s="8" t="s">
        <v>2844</v>
      </c>
      <c r="C876" s="8" t="str">
        <f t="shared" si="13"/>
        <v>cytosol</v>
      </c>
      <c r="D876" s="9" t="s">
        <v>15</v>
      </c>
      <c r="E876" s="8" t="s">
        <v>2861</v>
      </c>
      <c r="F876" s="8" t="s">
        <v>2862</v>
      </c>
      <c r="G876" s="8">
        <v>500</v>
      </c>
    </row>
    <row r="877" spans="1:7" x14ac:dyDescent="0.15">
      <c r="A877" s="8" t="s">
        <v>2332</v>
      </c>
      <c r="B877" s="8" t="s">
        <v>178</v>
      </c>
      <c r="C877" s="8" t="str">
        <f t="shared" si="13"/>
        <v>adipose</v>
      </c>
      <c r="D877" s="8" t="s">
        <v>2332</v>
      </c>
      <c r="E877" s="8" t="s">
        <v>2333</v>
      </c>
      <c r="F877" s="8" t="s">
        <v>2334</v>
      </c>
      <c r="G877" s="8">
        <v>500</v>
      </c>
    </row>
    <row r="878" spans="1:7" x14ac:dyDescent="0.15">
      <c r="A878" s="8" t="s">
        <v>2335</v>
      </c>
      <c r="B878" s="8" t="s">
        <v>178</v>
      </c>
      <c r="C878" s="8" t="str">
        <f t="shared" si="13"/>
        <v>areolar</v>
      </c>
      <c r="D878" s="8" t="s">
        <v>2335</v>
      </c>
      <c r="E878" s="8" t="s">
        <v>2336</v>
      </c>
      <c r="F878" s="8" t="s">
        <v>2337</v>
      </c>
      <c r="G878" s="8">
        <v>500</v>
      </c>
    </row>
    <row r="879" spans="1:7" x14ac:dyDescent="0.15">
      <c r="A879" s="8" t="s">
        <v>2338</v>
      </c>
      <c r="B879" s="8" t="s">
        <v>178</v>
      </c>
      <c r="C879" s="8" t="str">
        <f t="shared" si="13"/>
        <v>blood</v>
      </c>
      <c r="D879" s="8" t="s">
        <v>2338</v>
      </c>
      <c r="E879" s="8" t="s">
        <v>2339</v>
      </c>
      <c r="F879" s="8" t="s">
        <v>2339</v>
      </c>
      <c r="G879" s="8">
        <v>500</v>
      </c>
    </row>
    <row r="880" spans="1:7" x14ac:dyDescent="0.15">
      <c r="A880" s="8" t="s">
        <v>2340</v>
      </c>
      <c r="B880" s="8" t="s">
        <v>178</v>
      </c>
      <c r="C880" s="8" t="str">
        <f t="shared" si="13"/>
        <v>connective</v>
      </c>
      <c r="D880" s="8" t="s">
        <v>2340</v>
      </c>
      <c r="E880" s="8" t="s">
        <v>2341</v>
      </c>
      <c r="F880" s="8" t="s">
        <v>2342</v>
      </c>
      <c r="G880" s="8">
        <v>500</v>
      </c>
    </row>
    <row r="881" spans="1:7" x14ac:dyDescent="0.15">
      <c r="A881" s="8" t="s">
        <v>2343</v>
      </c>
      <c r="B881" s="8" t="s">
        <v>178</v>
      </c>
      <c r="C881" s="8" t="str">
        <f t="shared" si="13"/>
        <v>dermis</v>
      </c>
      <c r="D881" s="8" t="s">
        <v>2343</v>
      </c>
      <c r="E881" s="8" t="s">
        <v>2344</v>
      </c>
      <c r="F881" s="8" t="s">
        <v>2344</v>
      </c>
      <c r="G881" s="8">
        <v>500</v>
      </c>
    </row>
    <row r="882" spans="1:7" x14ac:dyDescent="0.15">
      <c r="A882" s="8" t="s">
        <v>2345</v>
      </c>
      <c r="B882" s="8" t="s">
        <v>178</v>
      </c>
      <c r="C882" s="8" t="str">
        <f t="shared" si="13"/>
        <v>epidermis</v>
      </c>
      <c r="D882" s="8" t="s">
        <v>2345</v>
      </c>
      <c r="E882" s="8" t="s">
        <v>2346</v>
      </c>
      <c r="F882" s="8" t="s">
        <v>2346</v>
      </c>
      <c r="G882" s="8">
        <v>500</v>
      </c>
    </row>
    <row r="883" spans="1:7" x14ac:dyDescent="0.15">
      <c r="A883" s="8" t="s">
        <v>2347</v>
      </c>
      <c r="B883" s="8" t="s">
        <v>178</v>
      </c>
      <c r="C883" s="8" t="str">
        <f t="shared" si="13"/>
        <v>epithelial</v>
      </c>
      <c r="D883" s="8" t="s">
        <v>2347</v>
      </c>
      <c r="E883" s="8" t="s">
        <v>2348</v>
      </c>
      <c r="F883" s="8" t="s">
        <v>2349</v>
      </c>
      <c r="G883" s="8">
        <v>500</v>
      </c>
    </row>
    <row r="884" spans="1:7" x14ac:dyDescent="0.15">
      <c r="A884" s="8" t="s">
        <v>2350</v>
      </c>
      <c r="B884" s="8" t="s">
        <v>178</v>
      </c>
      <c r="C884" s="8" t="str">
        <f t="shared" si="13"/>
        <v>hypodermis</v>
      </c>
      <c r="D884" s="8" t="s">
        <v>2350</v>
      </c>
      <c r="E884" s="8" t="s">
        <v>2351</v>
      </c>
      <c r="F884" s="8" t="s">
        <v>2351</v>
      </c>
      <c r="G884" s="8">
        <v>500</v>
      </c>
    </row>
    <row r="885" spans="1:7" x14ac:dyDescent="0.15">
      <c r="A885" s="8" t="s">
        <v>2352</v>
      </c>
      <c r="B885" s="8" t="s">
        <v>178</v>
      </c>
      <c r="C885" s="8" t="str">
        <f t="shared" si="13"/>
        <v>muscle</v>
      </c>
      <c r="D885" s="8" t="s">
        <v>2352</v>
      </c>
      <c r="E885" s="8" t="s">
        <v>2745</v>
      </c>
      <c r="F885" s="8" t="s">
        <v>2353</v>
      </c>
      <c r="G885" s="8">
        <v>500</v>
      </c>
    </row>
    <row r="886" spans="1:7" x14ac:dyDescent="0.15">
      <c r="A886" s="8" t="s">
        <v>2354</v>
      </c>
      <c r="B886" s="8" t="s">
        <v>178</v>
      </c>
      <c r="C886" s="8" t="str">
        <f t="shared" si="13"/>
        <v>nervous</v>
      </c>
      <c r="D886" s="8" t="s">
        <v>2354</v>
      </c>
      <c r="E886" s="8" t="s">
        <v>2173</v>
      </c>
      <c r="F886" s="8" t="s">
        <v>2355</v>
      </c>
      <c r="G886" s="8">
        <v>500</v>
      </c>
    </row>
    <row r="887" spans="1:7" x14ac:dyDescent="0.15">
      <c r="A887" s="8" t="s">
        <v>2356</v>
      </c>
      <c r="B887" s="8" t="s">
        <v>178</v>
      </c>
      <c r="C887" s="8" t="str">
        <f t="shared" si="13"/>
        <v>reticular</v>
      </c>
      <c r="D887" s="8" t="s">
        <v>2356</v>
      </c>
      <c r="E887" s="8" t="s">
        <v>2357</v>
      </c>
      <c r="F887" s="8" t="s">
        <v>2358</v>
      </c>
      <c r="G887" s="8">
        <v>500</v>
      </c>
    </row>
    <row r="888" spans="1:7" x14ac:dyDescent="0.15">
      <c r="A888" s="8" t="s">
        <v>2359</v>
      </c>
      <c r="B888" s="8" t="s">
        <v>178</v>
      </c>
      <c r="C888" s="8" t="str">
        <f t="shared" si="13"/>
        <v>stromal</v>
      </c>
      <c r="D888" s="8" t="s">
        <v>2359</v>
      </c>
      <c r="E888" s="8" t="s">
        <v>2360</v>
      </c>
      <c r="F888" s="8" t="s">
        <v>2361</v>
      </c>
      <c r="G888" s="8">
        <v>500</v>
      </c>
    </row>
    <row r="889" spans="1:7" x14ac:dyDescent="0.15">
      <c r="A889" s="8" t="s">
        <v>2362</v>
      </c>
      <c r="B889" s="8" t="s">
        <v>180</v>
      </c>
      <c r="C889" s="8" t="str">
        <f t="shared" si="13"/>
        <v>tmt10_126</v>
      </c>
      <c r="D889" s="9" t="s">
        <v>15</v>
      </c>
      <c r="E889" s="8">
        <v>126</v>
      </c>
      <c r="F889" s="9" t="s">
        <v>15</v>
      </c>
      <c r="G889" s="8">
        <v>500</v>
      </c>
    </row>
    <row r="890" spans="1:7" x14ac:dyDescent="0.15">
      <c r="A890" s="8" t="s">
        <v>2363</v>
      </c>
      <c r="B890" s="8" t="s">
        <v>180</v>
      </c>
      <c r="C890" s="8" t="str">
        <f t="shared" si="13"/>
        <v>tmt10_127C</v>
      </c>
      <c r="D890" s="9" t="s">
        <v>15</v>
      </c>
      <c r="E890" s="8" t="s">
        <v>2364</v>
      </c>
      <c r="F890" s="9" t="s">
        <v>15</v>
      </c>
      <c r="G890" s="8">
        <v>500</v>
      </c>
    </row>
    <row r="891" spans="1:7" x14ac:dyDescent="0.15">
      <c r="A891" s="8" t="s">
        <v>2365</v>
      </c>
      <c r="B891" s="8" t="s">
        <v>180</v>
      </c>
      <c r="C891" s="8" t="str">
        <f t="shared" si="13"/>
        <v>tmt10_127N</v>
      </c>
      <c r="D891" s="9" t="s">
        <v>15</v>
      </c>
      <c r="E891" s="8" t="s">
        <v>2366</v>
      </c>
      <c r="F891" s="9" t="s">
        <v>15</v>
      </c>
      <c r="G891" s="8">
        <v>500</v>
      </c>
    </row>
    <row r="892" spans="1:7" x14ac:dyDescent="0.15">
      <c r="A892" s="8" t="s">
        <v>2367</v>
      </c>
      <c r="B892" s="8" t="s">
        <v>180</v>
      </c>
      <c r="C892" s="8" t="str">
        <f t="shared" si="13"/>
        <v>tmt10_128C</v>
      </c>
      <c r="D892" s="9" t="s">
        <v>15</v>
      </c>
      <c r="E892" s="8" t="s">
        <v>2368</v>
      </c>
      <c r="F892" s="9" t="s">
        <v>15</v>
      </c>
      <c r="G892" s="8">
        <v>500</v>
      </c>
    </row>
    <row r="893" spans="1:7" x14ac:dyDescent="0.15">
      <c r="A893" s="8" t="s">
        <v>2369</v>
      </c>
      <c r="B893" s="8" t="s">
        <v>180</v>
      </c>
      <c r="C893" s="8" t="str">
        <f t="shared" si="13"/>
        <v>tmt10_128N</v>
      </c>
      <c r="D893" s="9" t="s">
        <v>15</v>
      </c>
      <c r="E893" s="8" t="s">
        <v>2370</v>
      </c>
      <c r="F893" s="9" t="s">
        <v>15</v>
      </c>
      <c r="G893" s="8">
        <v>500</v>
      </c>
    </row>
    <row r="894" spans="1:7" x14ac:dyDescent="0.15">
      <c r="A894" s="8" t="s">
        <v>2371</v>
      </c>
      <c r="B894" s="8" t="s">
        <v>180</v>
      </c>
      <c r="C894" s="8" t="str">
        <f t="shared" si="13"/>
        <v>tmt10_129C</v>
      </c>
      <c r="D894" s="9" t="s">
        <v>15</v>
      </c>
      <c r="E894" s="8" t="s">
        <v>2372</v>
      </c>
      <c r="F894" s="9" t="s">
        <v>15</v>
      </c>
      <c r="G894" s="8">
        <v>500</v>
      </c>
    </row>
    <row r="895" spans="1:7" x14ac:dyDescent="0.15">
      <c r="A895" s="8" t="s">
        <v>2373</v>
      </c>
      <c r="B895" s="8" t="s">
        <v>180</v>
      </c>
      <c r="C895" s="8" t="str">
        <f t="shared" si="13"/>
        <v>tmt10_129N</v>
      </c>
      <c r="D895" s="9" t="s">
        <v>15</v>
      </c>
      <c r="E895" s="8" t="s">
        <v>2374</v>
      </c>
      <c r="F895" s="9" t="s">
        <v>15</v>
      </c>
      <c r="G895" s="8">
        <v>500</v>
      </c>
    </row>
    <row r="896" spans="1:7" x14ac:dyDescent="0.15">
      <c r="A896" s="8" t="s">
        <v>2375</v>
      </c>
      <c r="B896" s="8" t="s">
        <v>180</v>
      </c>
      <c r="C896" s="8" t="str">
        <f t="shared" si="13"/>
        <v>tmt10_130C</v>
      </c>
      <c r="D896" s="9" t="s">
        <v>15</v>
      </c>
      <c r="E896" s="8" t="s">
        <v>2376</v>
      </c>
      <c r="F896" s="9" t="s">
        <v>15</v>
      </c>
      <c r="G896" s="8">
        <v>500</v>
      </c>
    </row>
    <row r="897" spans="1:7" x14ac:dyDescent="0.15">
      <c r="A897" s="8" t="s">
        <v>2377</v>
      </c>
      <c r="B897" s="8" t="s">
        <v>180</v>
      </c>
      <c r="C897" s="8" t="str">
        <f t="shared" si="13"/>
        <v>tmt10_130N</v>
      </c>
      <c r="D897" s="9" t="s">
        <v>15</v>
      </c>
      <c r="E897" s="8" t="s">
        <v>2378</v>
      </c>
      <c r="F897" s="9" t="s">
        <v>15</v>
      </c>
      <c r="G897" s="8">
        <v>500</v>
      </c>
    </row>
    <row r="898" spans="1:7" x14ac:dyDescent="0.15">
      <c r="A898" s="8" t="s">
        <v>2379</v>
      </c>
      <c r="B898" s="8" t="s">
        <v>180</v>
      </c>
      <c r="C898" s="8" t="str">
        <f t="shared" si="13"/>
        <v>tmt10_131</v>
      </c>
      <c r="D898" s="9" t="s">
        <v>15</v>
      </c>
      <c r="E898" s="8">
        <v>131</v>
      </c>
      <c r="F898" s="9" t="s">
        <v>15</v>
      </c>
      <c r="G898" s="8">
        <v>500</v>
      </c>
    </row>
    <row r="899" spans="1:7" x14ac:dyDescent="0.15">
      <c r="A899" s="8" t="s">
        <v>2380</v>
      </c>
      <c r="B899" s="8" t="s">
        <v>180</v>
      </c>
      <c r="C899" s="8" t="str">
        <f t="shared" si="13"/>
        <v>tmt11_126</v>
      </c>
      <c r="D899" s="9" t="s">
        <v>15</v>
      </c>
      <c r="E899" s="8">
        <v>126</v>
      </c>
      <c r="F899" s="9" t="s">
        <v>15</v>
      </c>
      <c r="G899" s="8">
        <v>500</v>
      </c>
    </row>
    <row r="900" spans="1:7" x14ac:dyDescent="0.15">
      <c r="A900" s="8" t="s">
        <v>2381</v>
      </c>
      <c r="B900" s="8" t="s">
        <v>180</v>
      </c>
      <c r="C900" s="8" t="str">
        <f t="shared" si="13"/>
        <v>tmt11_127C</v>
      </c>
      <c r="D900" s="9" t="s">
        <v>15</v>
      </c>
      <c r="E900" s="8" t="s">
        <v>2364</v>
      </c>
      <c r="F900" s="9" t="s">
        <v>15</v>
      </c>
      <c r="G900" s="8">
        <v>500</v>
      </c>
    </row>
    <row r="901" spans="1:7" x14ac:dyDescent="0.15">
      <c r="A901" s="8" t="s">
        <v>2382</v>
      </c>
      <c r="B901" s="8" t="s">
        <v>180</v>
      </c>
      <c r="C901" s="8" t="str">
        <f t="shared" si="13"/>
        <v>tmt11_127N</v>
      </c>
      <c r="D901" s="9" t="s">
        <v>15</v>
      </c>
      <c r="E901" s="8" t="s">
        <v>2366</v>
      </c>
      <c r="F901" s="9" t="s">
        <v>15</v>
      </c>
      <c r="G901" s="8">
        <v>500</v>
      </c>
    </row>
    <row r="902" spans="1:7" x14ac:dyDescent="0.15">
      <c r="A902" s="8" t="s">
        <v>2383</v>
      </c>
      <c r="B902" s="8" t="s">
        <v>180</v>
      </c>
      <c r="C902" s="8" t="str">
        <f t="shared" si="13"/>
        <v>tmt11_128C</v>
      </c>
      <c r="D902" s="9" t="s">
        <v>15</v>
      </c>
      <c r="E902" s="8" t="s">
        <v>2368</v>
      </c>
      <c r="F902" s="9" t="s">
        <v>15</v>
      </c>
      <c r="G902" s="8">
        <v>500</v>
      </c>
    </row>
    <row r="903" spans="1:7" x14ac:dyDescent="0.15">
      <c r="A903" s="8" t="s">
        <v>2384</v>
      </c>
      <c r="B903" s="8" t="s">
        <v>180</v>
      </c>
      <c r="C903" s="8" t="str">
        <f t="shared" si="13"/>
        <v>tmt11_128N</v>
      </c>
      <c r="D903" s="9" t="s">
        <v>15</v>
      </c>
      <c r="E903" s="8" t="s">
        <v>2370</v>
      </c>
      <c r="F903" s="9" t="s">
        <v>15</v>
      </c>
      <c r="G903" s="8">
        <v>500</v>
      </c>
    </row>
    <row r="904" spans="1:7" x14ac:dyDescent="0.15">
      <c r="A904" s="8" t="s">
        <v>2385</v>
      </c>
      <c r="B904" s="8" t="s">
        <v>180</v>
      </c>
      <c r="C904" s="8" t="str">
        <f t="shared" si="13"/>
        <v>tmt11_129C</v>
      </c>
      <c r="D904" s="9" t="s">
        <v>15</v>
      </c>
      <c r="E904" s="8" t="s">
        <v>2372</v>
      </c>
      <c r="F904" s="9" t="s">
        <v>15</v>
      </c>
      <c r="G904" s="8">
        <v>500</v>
      </c>
    </row>
    <row r="905" spans="1:7" x14ac:dyDescent="0.15">
      <c r="A905" s="8" t="s">
        <v>2386</v>
      </c>
      <c r="B905" s="8" t="s">
        <v>180</v>
      </c>
      <c r="C905" s="8" t="str">
        <f t="shared" si="13"/>
        <v>tmt11_129N</v>
      </c>
      <c r="D905" s="9" t="s">
        <v>15</v>
      </c>
      <c r="E905" s="8" t="s">
        <v>2374</v>
      </c>
      <c r="F905" s="9" t="s">
        <v>15</v>
      </c>
      <c r="G905" s="8">
        <v>500</v>
      </c>
    </row>
    <row r="906" spans="1:7" x14ac:dyDescent="0.15">
      <c r="A906" s="8" t="s">
        <v>2387</v>
      </c>
      <c r="B906" s="8" t="s">
        <v>180</v>
      </c>
      <c r="C906" s="8" t="str">
        <f t="shared" si="13"/>
        <v>tmt11_130C</v>
      </c>
      <c r="D906" s="9" t="s">
        <v>15</v>
      </c>
      <c r="E906" s="8" t="s">
        <v>2376</v>
      </c>
      <c r="F906" s="9" t="s">
        <v>15</v>
      </c>
      <c r="G906" s="8">
        <v>500</v>
      </c>
    </row>
    <row r="907" spans="1:7" x14ac:dyDescent="0.15">
      <c r="A907" s="8" t="s">
        <v>2388</v>
      </c>
      <c r="B907" s="8" t="s">
        <v>180</v>
      </c>
      <c r="C907" s="8" t="str">
        <f t="shared" ref="C907:C975" si="14">A907</f>
        <v>tmt11_130N</v>
      </c>
      <c r="D907" s="9" t="s">
        <v>15</v>
      </c>
      <c r="E907" s="8" t="s">
        <v>2378</v>
      </c>
      <c r="F907" s="9" t="s">
        <v>15</v>
      </c>
      <c r="G907" s="8">
        <v>500</v>
      </c>
    </row>
    <row r="908" spans="1:7" x14ac:dyDescent="0.15">
      <c r="A908" s="8" t="s">
        <v>2389</v>
      </c>
      <c r="B908" s="8" t="s">
        <v>180</v>
      </c>
      <c r="C908" s="8" t="str">
        <f t="shared" si="14"/>
        <v>tmt11_131C</v>
      </c>
      <c r="D908" s="9" t="s">
        <v>15</v>
      </c>
      <c r="E908" s="8" t="s">
        <v>2390</v>
      </c>
      <c r="F908" s="9" t="s">
        <v>15</v>
      </c>
      <c r="G908" s="8">
        <v>500</v>
      </c>
    </row>
    <row r="909" spans="1:7" x14ac:dyDescent="0.15">
      <c r="A909" s="8" t="s">
        <v>2391</v>
      </c>
      <c r="B909" s="8" t="s">
        <v>180</v>
      </c>
      <c r="C909" s="8" t="str">
        <f t="shared" si="14"/>
        <v>tmt11_131N</v>
      </c>
      <c r="D909" s="9" t="s">
        <v>15</v>
      </c>
      <c r="E909" s="8" t="s">
        <v>2392</v>
      </c>
      <c r="F909" s="9" t="s">
        <v>15</v>
      </c>
      <c r="G909" s="8">
        <v>500</v>
      </c>
    </row>
    <row r="910" spans="1:7" x14ac:dyDescent="0.15">
      <c r="A910" s="8" t="s">
        <v>2393</v>
      </c>
      <c r="B910" s="8" t="s">
        <v>180</v>
      </c>
      <c r="C910" s="8" t="str">
        <f t="shared" si="14"/>
        <v>tmt18_126</v>
      </c>
      <c r="D910" s="9" t="s">
        <v>15</v>
      </c>
      <c r="E910" s="8">
        <v>126</v>
      </c>
      <c r="F910" s="9" t="s">
        <v>15</v>
      </c>
      <c r="G910" s="8">
        <v>500</v>
      </c>
    </row>
    <row r="911" spans="1:7" x14ac:dyDescent="0.15">
      <c r="A911" s="8" t="s">
        <v>2394</v>
      </c>
      <c r="B911" s="8" t="s">
        <v>180</v>
      </c>
      <c r="C911" s="8" t="str">
        <f t="shared" si="14"/>
        <v>tmt18_127C</v>
      </c>
      <c r="D911" s="9" t="s">
        <v>15</v>
      </c>
      <c r="E911" s="8" t="s">
        <v>2364</v>
      </c>
      <c r="F911" s="9" t="s">
        <v>15</v>
      </c>
      <c r="G911" s="8">
        <v>500</v>
      </c>
    </row>
    <row r="912" spans="1:7" x14ac:dyDescent="0.15">
      <c r="A912" s="8" t="s">
        <v>2395</v>
      </c>
      <c r="B912" s="8" t="s">
        <v>180</v>
      </c>
      <c r="C912" s="8" t="str">
        <f t="shared" si="14"/>
        <v>tmt18_127N</v>
      </c>
      <c r="D912" s="9" t="s">
        <v>15</v>
      </c>
      <c r="E912" s="8" t="s">
        <v>2366</v>
      </c>
      <c r="F912" s="9" t="s">
        <v>15</v>
      </c>
      <c r="G912" s="8">
        <v>500</v>
      </c>
    </row>
    <row r="913" spans="1:7" x14ac:dyDescent="0.15">
      <c r="A913" s="8" t="s">
        <v>2396</v>
      </c>
      <c r="B913" s="8" t="s">
        <v>180</v>
      </c>
      <c r="C913" s="8" t="str">
        <f t="shared" si="14"/>
        <v>tmt18_128C</v>
      </c>
      <c r="D913" s="9" t="s">
        <v>15</v>
      </c>
      <c r="E913" s="8" t="s">
        <v>2368</v>
      </c>
      <c r="F913" s="9" t="s">
        <v>15</v>
      </c>
      <c r="G913" s="8">
        <v>500</v>
      </c>
    </row>
    <row r="914" spans="1:7" x14ac:dyDescent="0.15">
      <c r="A914" s="8" t="s">
        <v>2397</v>
      </c>
      <c r="B914" s="8" t="s">
        <v>180</v>
      </c>
      <c r="C914" s="8" t="str">
        <f t="shared" si="14"/>
        <v>tmt18_128N</v>
      </c>
      <c r="D914" s="9" t="s">
        <v>15</v>
      </c>
      <c r="E914" s="8" t="s">
        <v>2370</v>
      </c>
      <c r="F914" s="9" t="s">
        <v>15</v>
      </c>
      <c r="G914" s="8">
        <v>500</v>
      </c>
    </row>
    <row r="915" spans="1:7" x14ac:dyDescent="0.15">
      <c r="A915" s="8" t="s">
        <v>2398</v>
      </c>
      <c r="B915" s="8" t="s">
        <v>180</v>
      </c>
      <c r="C915" s="8" t="str">
        <f t="shared" si="14"/>
        <v>tmt18_129C</v>
      </c>
      <c r="D915" s="9" t="s">
        <v>15</v>
      </c>
      <c r="E915" s="8" t="s">
        <v>2372</v>
      </c>
      <c r="F915" s="9" t="s">
        <v>15</v>
      </c>
      <c r="G915" s="8">
        <v>500</v>
      </c>
    </row>
    <row r="916" spans="1:7" x14ac:dyDescent="0.15">
      <c r="A916" s="8" t="s">
        <v>2399</v>
      </c>
      <c r="B916" s="8" t="s">
        <v>180</v>
      </c>
      <c r="C916" s="8" t="str">
        <f t="shared" si="14"/>
        <v>tmt18_129N</v>
      </c>
      <c r="D916" s="9" t="s">
        <v>15</v>
      </c>
      <c r="E916" s="8" t="s">
        <v>2374</v>
      </c>
      <c r="F916" s="9" t="s">
        <v>15</v>
      </c>
      <c r="G916" s="8">
        <v>500</v>
      </c>
    </row>
    <row r="917" spans="1:7" x14ac:dyDescent="0.15">
      <c r="A917" s="8" t="s">
        <v>2400</v>
      </c>
      <c r="B917" s="8" t="s">
        <v>180</v>
      </c>
      <c r="C917" s="8" t="str">
        <f t="shared" si="14"/>
        <v>tmt18_130C</v>
      </c>
      <c r="D917" s="9" t="s">
        <v>15</v>
      </c>
      <c r="E917" s="8" t="s">
        <v>2376</v>
      </c>
      <c r="F917" s="9" t="s">
        <v>15</v>
      </c>
      <c r="G917" s="8">
        <v>500</v>
      </c>
    </row>
    <row r="918" spans="1:7" x14ac:dyDescent="0.15">
      <c r="A918" s="8" t="s">
        <v>2401</v>
      </c>
      <c r="B918" s="8" t="s">
        <v>180</v>
      </c>
      <c r="C918" s="8" t="str">
        <f t="shared" si="14"/>
        <v>tmt18_130N</v>
      </c>
      <c r="D918" s="9" t="s">
        <v>15</v>
      </c>
      <c r="E918" s="8" t="s">
        <v>2378</v>
      </c>
      <c r="F918" s="9" t="s">
        <v>15</v>
      </c>
      <c r="G918" s="8">
        <v>500</v>
      </c>
    </row>
    <row r="919" spans="1:7" x14ac:dyDescent="0.15">
      <c r="A919" s="8" t="s">
        <v>2402</v>
      </c>
      <c r="B919" s="8" t="s">
        <v>180</v>
      </c>
      <c r="C919" s="8" t="str">
        <f t="shared" si="14"/>
        <v>tmt18_131C</v>
      </c>
      <c r="D919" s="9" t="s">
        <v>15</v>
      </c>
      <c r="E919" s="8" t="s">
        <v>2390</v>
      </c>
      <c r="F919" s="9" t="s">
        <v>15</v>
      </c>
      <c r="G919" s="8">
        <v>500</v>
      </c>
    </row>
    <row r="920" spans="1:7" x14ac:dyDescent="0.15">
      <c r="A920" s="8" t="s">
        <v>2403</v>
      </c>
      <c r="B920" s="8" t="s">
        <v>180</v>
      </c>
      <c r="C920" s="8" t="str">
        <f t="shared" si="14"/>
        <v>tmt18_131N</v>
      </c>
      <c r="D920" s="9" t="s">
        <v>15</v>
      </c>
      <c r="E920" s="8" t="s">
        <v>2392</v>
      </c>
      <c r="F920" s="9" t="s">
        <v>15</v>
      </c>
      <c r="G920" s="8">
        <v>500</v>
      </c>
    </row>
    <row r="921" spans="1:7" x14ac:dyDescent="0.15">
      <c r="A921" s="8" t="s">
        <v>2404</v>
      </c>
      <c r="B921" s="8" t="s">
        <v>180</v>
      </c>
      <c r="C921" s="8" t="str">
        <f t="shared" si="14"/>
        <v>tmt18_132C</v>
      </c>
      <c r="D921" s="9" t="s">
        <v>15</v>
      </c>
      <c r="E921" s="8" t="s">
        <v>2405</v>
      </c>
      <c r="F921" s="9" t="s">
        <v>15</v>
      </c>
      <c r="G921" s="8">
        <v>500</v>
      </c>
    </row>
    <row r="922" spans="1:7" x14ac:dyDescent="0.15">
      <c r="A922" s="8" t="s">
        <v>2406</v>
      </c>
      <c r="B922" s="8" t="s">
        <v>180</v>
      </c>
      <c r="C922" s="8" t="str">
        <f t="shared" si="14"/>
        <v>tmt18_132N</v>
      </c>
      <c r="D922" s="9" t="s">
        <v>15</v>
      </c>
      <c r="E922" s="8" t="s">
        <v>2407</v>
      </c>
      <c r="F922" s="9" t="s">
        <v>15</v>
      </c>
      <c r="G922" s="8">
        <v>500</v>
      </c>
    </row>
    <row r="923" spans="1:7" x14ac:dyDescent="0.15">
      <c r="A923" s="8" t="s">
        <v>2408</v>
      </c>
      <c r="B923" s="8" t="s">
        <v>180</v>
      </c>
      <c r="C923" s="8" t="str">
        <f t="shared" si="14"/>
        <v>tmt18_133C</v>
      </c>
      <c r="D923" s="9" t="s">
        <v>15</v>
      </c>
      <c r="E923" s="8" t="s">
        <v>2409</v>
      </c>
      <c r="F923" s="9" t="s">
        <v>15</v>
      </c>
      <c r="G923" s="8">
        <v>500</v>
      </c>
    </row>
    <row r="924" spans="1:7" x14ac:dyDescent="0.15">
      <c r="A924" s="8" t="s">
        <v>2410</v>
      </c>
      <c r="B924" s="8" t="s">
        <v>180</v>
      </c>
      <c r="C924" s="8" t="str">
        <f t="shared" si="14"/>
        <v>tmt18_133N</v>
      </c>
      <c r="D924" s="9" t="s">
        <v>15</v>
      </c>
      <c r="E924" s="8" t="s">
        <v>2411</v>
      </c>
      <c r="F924" s="9" t="s">
        <v>15</v>
      </c>
      <c r="G924" s="8">
        <v>500</v>
      </c>
    </row>
    <row r="925" spans="1:7" x14ac:dyDescent="0.15">
      <c r="A925" s="8" t="s">
        <v>2412</v>
      </c>
      <c r="B925" s="8" t="s">
        <v>180</v>
      </c>
      <c r="C925" s="8" t="str">
        <f t="shared" si="14"/>
        <v>tmt18_134C</v>
      </c>
      <c r="D925" s="9" t="s">
        <v>15</v>
      </c>
      <c r="E925" s="8" t="s">
        <v>2413</v>
      </c>
      <c r="F925" s="9" t="s">
        <v>15</v>
      </c>
      <c r="G925" s="8">
        <v>500</v>
      </c>
    </row>
    <row r="926" spans="1:7" x14ac:dyDescent="0.15">
      <c r="A926" s="8" t="s">
        <v>2414</v>
      </c>
      <c r="B926" s="8" t="s">
        <v>180</v>
      </c>
      <c r="C926" s="8" t="str">
        <f t="shared" si="14"/>
        <v>tmt18_134N</v>
      </c>
      <c r="D926" s="9" t="s">
        <v>15</v>
      </c>
      <c r="E926" s="8" t="s">
        <v>2415</v>
      </c>
      <c r="F926" s="9" t="s">
        <v>15</v>
      </c>
      <c r="G926" s="8">
        <v>500</v>
      </c>
    </row>
    <row r="927" spans="1:7" x14ac:dyDescent="0.15">
      <c r="A927" s="8" t="s">
        <v>2416</v>
      </c>
      <c r="B927" s="8" t="s">
        <v>180</v>
      </c>
      <c r="C927" s="8" t="str">
        <f t="shared" si="14"/>
        <v>tmt18_135N</v>
      </c>
      <c r="D927" s="9" t="s">
        <v>15</v>
      </c>
      <c r="E927" s="8" t="s">
        <v>2417</v>
      </c>
      <c r="F927" s="9" t="s">
        <v>15</v>
      </c>
      <c r="G927" s="8">
        <v>500</v>
      </c>
    </row>
    <row r="928" spans="1:7" x14ac:dyDescent="0.15">
      <c r="A928" s="8" t="s">
        <v>2418</v>
      </c>
      <c r="B928" s="8" t="s">
        <v>180</v>
      </c>
      <c r="C928" s="8" t="str">
        <f t="shared" si="14"/>
        <v>tmt6_126</v>
      </c>
      <c r="D928" s="9" t="s">
        <v>15</v>
      </c>
      <c r="E928" s="8">
        <v>126</v>
      </c>
      <c r="F928" s="9" t="s">
        <v>15</v>
      </c>
      <c r="G928" s="8">
        <v>500</v>
      </c>
    </row>
    <row r="929" spans="1:7" x14ac:dyDescent="0.15">
      <c r="A929" s="8" t="s">
        <v>2419</v>
      </c>
      <c r="B929" s="8" t="s">
        <v>180</v>
      </c>
      <c r="C929" s="8" t="str">
        <f t="shared" si="14"/>
        <v>tmt6_127</v>
      </c>
      <c r="D929" s="9" t="s">
        <v>15</v>
      </c>
      <c r="E929" s="8">
        <v>127</v>
      </c>
      <c r="F929" s="9" t="s">
        <v>15</v>
      </c>
      <c r="G929" s="8">
        <v>500</v>
      </c>
    </row>
    <row r="930" spans="1:7" x14ac:dyDescent="0.15">
      <c r="A930" s="8" t="s">
        <v>2420</v>
      </c>
      <c r="B930" s="8" t="s">
        <v>180</v>
      </c>
      <c r="C930" s="8" t="str">
        <f t="shared" si="14"/>
        <v>tmt6_128</v>
      </c>
      <c r="D930" s="9" t="s">
        <v>15</v>
      </c>
      <c r="E930" s="8">
        <v>128</v>
      </c>
      <c r="F930" s="9" t="s">
        <v>15</v>
      </c>
      <c r="G930" s="8">
        <v>500</v>
      </c>
    </row>
    <row r="931" spans="1:7" x14ac:dyDescent="0.15">
      <c r="A931" s="8" t="s">
        <v>2421</v>
      </c>
      <c r="B931" s="8" t="s">
        <v>180</v>
      </c>
      <c r="C931" s="8" t="str">
        <f t="shared" si="14"/>
        <v>tmt6_129</v>
      </c>
      <c r="D931" s="9" t="s">
        <v>15</v>
      </c>
      <c r="E931" s="8">
        <v>129</v>
      </c>
      <c r="F931" s="9" t="s">
        <v>15</v>
      </c>
      <c r="G931" s="8">
        <v>500</v>
      </c>
    </row>
    <row r="932" spans="1:7" x14ac:dyDescent="0.15">
      <c r="A932" s="8" t="s">
        <v>2422</v>
      </c>
      <c r="B932" s="8" t="s">
        <v>180</v>
      </c>
      <c r="C932" s="8" t="str">
        <f t="shared" si="14"/>
        <v>tmt6_130</v>
      </c>
      <c r="D932" s="9" t="s">
        <v>15</v>
      </c>
      <c r="E932" s="8">
        <v>130</v>
      </c>
      <c r="F932" s="9" t="s">
        <v>15</v>
      </c>
      <c r="G932" s="8">
        <v>500</v>
      </c>
    </row>
    <row r="933" spans="1:7" x14ac:dyDescent="0.15">
      <c r="A933" s="8" t="s">
        <v>2423</v>
      </c>
      <c r="B933" s="8" t="s">
        <v>180</v>
      </c>
      <c r="C933" s="8" t="str">
        <f t="shared" si="14"/>
        <v>tmt6_131</v>
      </c>
      <c r="D933" s="9" t="s">
        <v>15</v>
      </c>
      <c r="E933" s="8">
        <v>131</v>
      </c>
      <c r="F933" s="9" t="s">
        <v>15</v>
      </c>
      <c r="G933" s="8">
        <v>500</v>
      </c>
    </row>
    <row r="934" spans="1:7" x14ac:dyDescent="0.15">
      <c r="A934" s="8" t="s">
        <v>2424</v>
      </c>
      <c r="B934" s="8" t="s">
        <v>187</v>
      </c>
      <c r="C934" s="8" t="str">
        <f t="shared" si="14"/>
        <v>biochem</v>
      </c>
      <c r="D934" s="9" t="s">
        <v>15</v>
      </c>
      <c r="E934" s="8" t="s">
        <v>2425</v>
      </c>
      <c r="F934" s="8" t="s">
        <v>2426</v>
      </c>
      <c r="G934" s="8">
        <v>500</v>
      </c>
    </row>
    <row r="935" spans="1:7" x14ac:dyDescent="0.15">
      <c r="A935" s="8" t="s">
        <v>2427</v>
      </c>
      <c r="B935" s="8" t="s">
        <v>187</v>
      </c>
      <c r="C935" s="8" t="str">
        <f t="shared" si="14"/>
        <v>cecad</v>
      </c>
      <c r="D935" s="9" t="s">
        <v>15</v>
      </c>
      <c r="E935" s="8" t="s">
        <v>2428</v>
      </c>
      <c r="F935" s="8" t="s">
        <v>2429</v>
      </c>
      <c r="G935" s="8">
        <v>500</v>
      </c>
    </row>
    <row r="936" spans="1:7" x14ac:dyDescent="0.15">
      <c r="A936" s="8" t="s">
        <v>2430</v>
      </c>
      <c r="B936" s="8" t="s">
        <v>187</v>
      </c>
      <c r="C936" s="8" t="str">
        <f t="shared" si="14"/>
        <v>mpiage</v>
      </c>
      <c r="D936" s="9" t="s">
        <v>15</v>
      </c>
      <c r="E936" s="8" t="s">
        <v>2431</v>
      </c>
      <c r="F936" s="8" t="s">
        <v>2432</v>
      </c>
      <c r="G936" s="8">
        <v>500</v>
      </c>
    </row>
    <row r="937" spans="1:7" x14ac:dyDescent="0.15">
      <c r="A937" s="8" t="s">
        <v>2433</v>
      </c>
      <c r="B937" s="8" t="s">
        <v>187</v>
      </c>
      <c r="C937" s="8" t="str">
        <f t="shared" si="14"/>
        <v>mpimetab</v>
      </c>
      <c r="D937" s="9" t="s">
        <v>15</v>
      </c>
      <c r="E937" s="8" t="s">
        <v>2434</v>
      </c>
      <c r="F937" s="8" t="s">
        <v>2435</v>
      </c>
      <c r="G937" s="8">
        <v>500</v>
      </c>
    </row>
    <row r="938" spans="1:7" x14ac:dyDescent="0.15">
      <c r="A938" s="8" t="s">
        <v>2984</v>
      </c>
      <c r="B938" s="8" t="s">
        <v>187</v>
      </c>
      <c r="C938" s="8" t="str">
        <f t="shared" si="14"/>
        <v>unibonn</v>
      </c>
      <c r="D938" s="9" t="s">
        <v>15</v>
      </c>
      <c r="E938" s="8" t="s">
        <v>2985</v>
      </c>
      <c r="F938" s="8" t="s">
        <v>2985</v>
      </c>
      <c r="G938" s="8">
        <v>500</v>
      </c>
    </row>
    <row r="939" spans="1:7" x14ac:dyDescent="0.15">
      <c r="A939" s="8" t="s">
        <v>2436</v>
      </c>
      <c r="B939" s="8" t="s">
        <v>191</v>
      </c>
      <c r="C939" s="8" t="str">
        <f t="shared" si="14"/>
        <v>mitoprotea</v>
      </c>
      <c r="D939" s="8" t="s">
        <v>15</v>
      </c>
      <c r="E939" s="8" t="s">
        <v>2437</v>
      </c>
      <c r="F939" s="8" t="s">
        <v>2438</v>
      </c>
      <c r="G939" s="8">
        <v>500</v>
      </c>
    </row>
    <row r="940" spans="1:7" x14ac:dyDescent="0.15">
      <c r="A940" s="8" t="s">
        <v>2439</v>
      </c>
      <c r="B940" s="8" t="s">
        <v>191</v>
      </c>
      <c r="C940" s="8" t="str">
        <f t="shared" si="14"/>
        <v>molageing</v>
      </c>
      <c r="D940" s="8" t="s">
        <v>15</v>
      </c>
      <c r="E940" s="8" t="s">
        <v>2440</v>
      </c>
      <c r="F940" s="8" t="s">
        <v>2441</v>
      </c>
      <c r="G940" s="8">
        <v>500</v>
      </c>
    </row>
    <row r="941" spans="1:7" x14ac:dyDescent="0.15">
      <c r="A941" s="8" t="s">
        <v>3083</v>
      </c>
      <c r="B941" s="8" t="s">
        <v>191</v>
      </c>
      <c r="C941" s="8" t="str">
        <f t="shared" si="14"/>
        <v>protfa</v>
      </c>
      <c r="D941" s="8" t="s">
        <v>15</v>
      </c>
      <c r="E941" s="8" t="s">
        <v>3082</v>
      </c>
      <c r="F941" s="8" t="s">
        <v>3081</v>
      </c>
      <c r="G941" s="8">
        <v>500</v>
      </c>
    </row>
    <row r="942" spans="1:7" x14ac:dyDescent="0.15">
      <c r="A942" s="8" t="s">
        <v>2796</v>
      </c>
      <c r="B942" s="8" t="s">
        <v>191</v>
      </c>
      <c r="C942" s="8" t="str">
        <f t="shared" si="14"/>
        <v>frezza</v>
      </c>
      <c r="D942" s="8" t="s">
        <v>15</v>
      </c>
      <c r="E942" s="8" t="s">
        <v>2797</v>
      </c>
      <c r="F942" s="8" t="s">
        <v>2798</v>
      </c>
      <c r="G942" s="8">
        <v>500</v>
      </c>
    </row>
    <row r="943" spans="1:7" x14ac:dyDescent="0.15">
      <c r="A943" s="8" t="s">
        <v>2799</v>
      </c>
      <c r="B943" s="8" t="s">
        <v>191</v>
      </c>
      <c r="C943" s="8" t="str">
        <f t="shared" si="14"/>
        <v>krueger</v>
      </c>
      <c r="D943" s="8" t="s">
        <v>15</v>
      </c>
      <c r="E943" s="8" t="s">
        <v>2800</v>
      </c>
      <c r="F943" s="8" t="s">
        <v>2801</v>
      </c>
      <c r="G943" s="8">
        <v>500</v>
      </c>
    </row>
    <row r="944" spans="1:7" x14ac:dyDescent="0.15">
      <c r="A944" s="8" t="s">
        <v>2802</v>
      </c>
      <c r="B944" s="8" t="s">
        <v>191</v>
      </c>
      <c r="C944" s="8" t="str">
        <f t="shared" si="14"/>
        <v>rugarli</v>
      </c>
      <c r="D944" s="8" t="s">
        <v>15</v>
      </c>
      <c r="E944" s="8" t="s">
        <v>2803</v>
      </c>
      <c r="F944" s="8" t="s">
        <v>2801</v>
      </c>
      <c r="G944" s="8">
        <v>500</v>
      </c>
    </row>
    <row r="945" spans="1:7" x14ac:dyDescent="0.15">
      <c r="A945" s="8" t="s">
        <v>2804</v>
      </c>
      <c r="B945" s="8" t="s">
        <v>191</v>
      </c>
      <c r="C945" s="8" t="str">
        <f t="shared" si="14"/>
        <v>trifunovic</v>
      </c>
      <c r="D945" s="8" t="s">
        <v>15</v>
      </c>
      <c r="E945" s="8" t="s">
        <v>2805</v>
      </c>
      <c r="F945" s="8" t="s">
        <v>2806</v>
      </c>
      <c r="G945" s="8">
        <v>500</v>
      </c>
    </row>
    <row r="946" spans="1:7" x14ac:dyDescent="0.15">
      <c r="A946" s="8" t="s">
        <v>2958</v>
      </c>
      <c r="B946" s="8" t="s">
        <v>191</v>
      </c>
      <c r="C946" s="8" t="str">
        <f t="shared" si="14"/>
        <v>bergmani</v>
      </c>
      <c r="D946" s="8" t="s">
        <v>15</v>
      </c>
      <c r="E946" s="8" t="s">
        <v>2966</v>
      </c>
      <c r="F946" s="8" t="s">
        <v>2976</v>
      </c>
      <c r="G946" s="8">
        <v>500</v>
      </c>
    </row>
    <row r="947" spans="1:7" x14ac:dyDescent="0.15">
      <c r="A947" s="8" t="s">
        <v>2959</v>
      </c>
      <c r="B947" s="8" t="s">
        <v>191</v>
      </c>
      <c r="C947" s="8" t="str">
        <f t="shared" si="14"/>
        <v>motori</v>
      </c>
      <c r="D947" s="8" t="s">
        <v>15</v>
      </c>
      <c r="E947" s="8" t="s">
        <v>2967</v>
      </c>
      <c r="F947" s="8" t="s">
        <v>2977</v>
      </c>
      <c r="G947" s="8">
        <v>500</v>
      </c>
    </row>
    <row r="948" spans="1:7" x14ac:dyDescent="0.15">
      <c r="A948" s="8" t="s">
        <v>2960</v>
      </c>
      <c r="B948" s="8" t="s">
        <v>191</v>
      </c>
      <c r="C948" s="8" t="str">
        <f t="shared" si="14"/>
        <v>becker</v>
      </c>
      <c r="D948" s="8" t="s">
        <v>15</v>
      </c>
      <c r="E948" s="8" t="s">
        <v>2968</v>
      </c>
      <c r="F948" s="8" t="s">
        <v>2983</v>
      </c>
      <c r="G948" s="8">
        <v>500</v>
      </c>
    </row>
    <row r="949" spans="1:7" x14ac:dyDescent="0.15">
      <c r="A949" s="8" t="s">
        <v>2961</v>
      </c>
      <c r="B949" s="8" t="s">
        <v>191</v>
      </c>
      <c r="C949" s="8" t="str">
        <f t="shared" si="14"/>
        <v>bruening</v>
      </c>
      <c r="D949" s="8" t="s">
        <v>15</v>
      </c>
      <c r="E949" s="8" t="s">
        <v>2981</v>
      </c>
      <c r="F949" s="8" t="s">
        <v>2980</v>
      </c>
      <c r="G949" s="8">
        <v>500</v>
      </c>
    </row>
    <row r="950" spans="1:7" x14ac:dyDescent="0.15">
      <c r="A950" s="8" t="s">
        <v>2970</v>
      </c>
      <c r="B950" s="8" t="s">
        <v>191</v>
      </c>
      <c r="C950" s="8" t="str">
        <f t="shared" si="14"/>
        <v>escobar</v>
      </c>
      <c r="D950" s="8" t="s">
        <v>15</v>
      </c>
      <c r="E950" s="8" t="s">
        <v>2969</v>
      </c>
      <c r="F950" s="8" t="s">
        <v>2978</v>
      </c>
      <c r="G950" s="8">
        <v>500</v>
      </c>
    </row>
    <row r="951" spans="1:7" x14ac:dyDescent="0.15">
      <c r="A951" s="8" t="s">
        <v>2833</v>
      </c>
      <c r="B951" s="8" t="s">
        <v>191</v>
      </c>
      <c r="C951" s="8" t="str">
        <f t="shared" si="14"/>
        <v>garcia</v>
      </c>
      <c r="D951" s="8" t="s">
        <v>15</v>
      </c>
      <c r="E951" s="8" t="s">
        <v>2834</v>
      </c>
      <c r="F951" s="8" t="s">
        <v>2979</v>
      </c>
      <c r="G951" s="8">
        <v>500</v>
      </c>
    </row>
    <row r="952" spans="1:7" x14ac:dyDescent="0.15">
      <c r="A952" s="8" t="s">
        <v>2962</v>
      </c>
      <c r="B952" s="8" t="s">
        <v>191</v>
      </c>
      <c r="C952" s="8" t="str">
        <f t="shared" si="14"/>
        <v>piano</v>
      </c>
      <c r="D952" s="8" t="s">
        <v>15</v>
      </c>
      <c r="E952" s="8" t="s">
        <v>2971</v>
      </c>
      <c r="F952" s="8" t="s">
        <v>2986</v>
      </c>
      <c r="G952" s="8">
        <v>500</v>
      </c>
    </row>
    <row r="953" spans="1:7" x14ac:dyDescent="0.15">
      <c r="A953" s="8" t="s">
        <v>2963</v>
      </c>
      <c r="B953" s="8" t="s">
        <v>191</v>
      </c>
      <c r="C953" s="8" t="str">
        <f t="shared" si="14"/>
        <v>schwarz</v>
      </c>
      <c r="D953" s="8" t="s">
        <v>15</v>
      </c>
      <c r="E953" s="8" t="s">
        <v>2972</v>
      </c>
      <c r="F953" s="8" t="s">
        <v>2982</v>
      </c>
      <c r="G953" s="8">
        <v>500</v>
      </c>
    </row>
    <row r="954" spans="1:7" x14ac:dyDescent="0.15">
      <c r="A954" s="8" t="s">
        <v>2964</v>
      </c>
      <c r="B954" s="8" t="s">
        <v>191</v>
      </c>
      <c r="C954" s="8" t="str">
        <f t="shared" si="14"/>
        <v>corrado</v>
      </c>
      <c r="D954" s="8" t="s">
        <v>15</v>
      </c>
      <c r="E954" s="8" t="s">
        <v>2973</v>
      </c>
      <c r="F954" s="8" t="s">
        <v>2987</v>
      </c>
      <c r="G954" s="8">
        <v>500</v>
      </c>
    </row>
    <row r="955" spans="1:7" x14ac:dyDescent="0.15">
      <c r="A955" s="8" t="s">
        <v>2965</v>
      </c>
      <c r="B955" s="8" t="s">
        <v>191</v>
      </c>
      <c r="C955" s="8" t="str">
        <f t="shared" si="14"/>
        <v>eming</v>
      </c>
      <c r="D955" s="8" t="s">
        <v>15</v>
      </c>
      <c r="E955" s="8" t="s">
        <v>2974</v>
      </c>
      <c r="F955" s="8" t="s">
        <v>2975</v>
      </c>
      <c r="G955" s="8">
        <v>500</v>
      </c>
    </row>
    <row r="956" spans="1:7" x14ac:dyDescent="0.15">
      <c r="A956" s="8" t="s">
        <v>2830</v>
      </c>
      <c r="B956" s="8" t="s">
        <v>191</v>
      </c>
      <c r="C956" s="8" t="str">
        <f t="shared" si="14"/>
        <v>hoppe</v>
      </c>
      <c r="D956" s="8" t="s">
        <v>15</v>
      </c>
      <c r="E956" s="8" t="s">
        <v>2831</v>
      </c>
      <c r="F956" s="8" t="s">
        <v>2832</v>
      </c>
      <c r="G956" s="8">
        <v>500</v>
      </c>
    </row>
    <row r="957" spans="1:7" x14ac:dyDescent="0.15">
      <c r="A957" s="8" t="s">
        <v>2833</v>
      </c>
      <c r="B957" s="8" t="s">
        <v>191</v>
      </c>
      <c r="C957" s="8" t="str">
        <f t="shared" si="14"/>
        <v>garcia</v>
      </c>
      <c r="D957" s="8" t="s">
        <v>15</v>
      </c>
      <c r="E957" s="8" t="s">
        <v>2834</v>
      </c>
      <c r="F957" s="8" t="s">
        <v>2832</v>
      </c>
      <c r="G957" s="8">
        <v>500</v>
      </c>
    </row>
    <row r="958" spans="1:7" x14ac:dyDescent="0.15">
      <c r="A958" s="8" t="s">
        <v>2835</v>
      </c>
      <c r="B958" s="8" t="s">
        <v>191</v>
      </c>
      <c r="C958" s="8" t="str">
        <f t="shared" si="14"/>
        <v>khaskar</v>
      </c>
      <c r="D958" s="8" t="s">
        <v>15</v>
      </c>
      <c r="E958" s="8" t="s">
        <v>2836</v>
      </c>
      <c r="F958" s="8" t="s">
        <v>2837</v>
      </c>
      <c r="G958" s="8">
        <v>500</v>
      </c>
    </row>
    <row r="959" spans="1:7" x14ac:dyDescent="0.15">
      <c r="A959" s="8" t="s">
        <v>2954</v>
      </c>
      <c r="B959" s="8" t="s">
        <v>191</v>
      </c>
      <c r="C959" s="8" t="str">
        <f t="shared" si="14"/>
        <v>riemer</v>
      </c>
      <c r="D959" s="8" t="s">
        <v>15</v>
      </c>
      <c r="E959" s="8" t="s">
        <v>2955</v>
      </c>
      <c r="F959" s="8" t="s">
        <v>2956</v>
      </c>
      <c r="G959" s="8">
        <v>500</v>
      </c>
    </row>
    <row r="960" spans="1:7" x14ac:dyDescent="0.15">
      <c r="A960" s="8" t="s">
        <v>2750</v>
      </c>
      <c r="B960" s="20" t="s">
        <v>2746</v>
      </c>
      <c r="C960" s="8" t="str">
        <f t="shared" si="14"/>
        <v>wd</v>
      </c>
      <c r="D960" s="8" t="s">
        <v>15</v>
      </c>
      <c r="E960" s="8" t="s">
        <v>2749</v>
      </c>
      <c r="F960" s="8" t="s">
        <v>2748</v>
      </c>
      <c r="G960" s="8">
        <v>500</v>
      </c>
    </row>
    <row r="961" spans="1:7" x14ac:dyDescent="0.15">
      <c r="A961" s="8" t="s">
        <v>2751</v>
      </c>
      <c r="B961" s="20" t="s">
        <v>2746</v>
      </c>
      <c r="C961" s="8" t="str">
        <f t="shared" si="14"/>
        <v>sd</v>
      </c>
      <c r="D961" s="8" t="s">
        <v>15</v>
      </c>
      <c r="E961" s="8" t="s">
        <v>2752</v>
      </c>
      <c r="G961" s="8">
        <v>500</v>
      </c>
    </row>
    <row r="962" spans="1:7" x14ac:dyDescent="0.15">
      <c r="A962" s="8" t="s">
        <v>2753</v>
      </c>
      <c r="B962" s="20" t="s">
        <v>2746</v>
      </c>
      <c r="C962" s="8" t="str">
        <f t="shared" si="14"/>
        <v>veg</v>
      </c>
      <c r="D962" s="8" t="s">
        <v>15</v>
      </c>
      <c r="E962" s="8" t="s">
        <v>2754</v>
      </c>
      <c r="F962" s="8" t="s">
        <v>2755</v>
      </c>
      <c r="G962" s="8">
        <v>500</v>
      </c>
    </row>
    <row r="963" spans="1:7" x14ac:dyDescent="0.15">
      <c r="A963" s="8" t="s">
        <v>2758</v>
      </c>
      <c r="B963" s="20" t="s">
        <v>2746</v>
      </c>
      <c r="C963" s="8" t="str">
        <f t="shared" si="14"/>
        <v>hg</v>
      </c>
      <c r="D963" s="8" t="s">
        <v>15</v>
      </c>
      <c r="E963" s="8" t="s">
        <v>2756</v>
      </c>
      <c r="F963" s="8" t="s">
        <v>2757</v>
      </c>
      <c r="G963" s="8">
        <v>500</v>
      </c>
    </row>
    <row r="964" spans="1:7" x14ac:dyDescent="0.15">
      <c r="A964" s="8" t="s">
        <v>2761</v>
      </c>
      <c r="B964" s="8" t="s">
        <v>2746</v>
      </c>
      <c r="C964" s="8" t="str">
        <f t="shared" si="14"/>
        <v>hfd</v>
      </c>
      <c r="D964" s="8" t="s">
        <v>15</v>
      </c>
      <c r="E964" s="8" t="s">
        <v>2759</v>
      </c>
      <c r="F964" s="8" t="s">
        <v>2760</v>
      </c>
      <c r="G964" s="8">
        <v>500</v>
      </c>
    </row>
    <row r="965" spans="1:7" x14ac:dyDescent="0.15">
      <c r="A965" s="8" t="s">
        <v>2496</v>
      </c>
      <c r="B965" s="8" t="s">
        <v>61</v>
      </c>
      <c r="C965" s="8" t="str">
        <f t="shared" si="14"/>
        <v>lps</v>
      </c>
      <c r="D965" s="8" t="s">
        <v>15</v>
      </c>
      <c r="E965" s="8" t="s">
        <v>2497</v>
      </c>
      <c r="F965" s="8" t="s">
        <v>2498</v>
      </c>
      <c r="G965" s="8">
        <v>500</v>
      </c>
    </row>
    <row r="966" spans="1:7" x14ac:dyDescent="0.15">
      <c r="A966" s="8" t="s">
        <v>2507</v>
      </c>
      <c r="B966" s="8" t="s">
        <v>61</v>
      </c>
      <c r="C966" s="8" t="str">
        <f t="shared" si="14"/>
        <v>r848</v>
      </c>
      <c r="D966" s="8" t="s">
        <v>15</v>
      </c>
      <c r="E966" s="8" t="s">
        <v>2508</v>
      </c>
      <c r="F966" s="8" t="s">
        <v>2901</v>
      </c>
      <c r="G966" s="8">
        <v>500</v>
      </c>
    </row>
    <row r="967" spans="1:7" x14ac:dyDescent="0.15">
      <c r="A967" s="8" t="s">
        <v>3142</v>
      </c>
      <c r="B967" s="8" t="s">
        <v>61</v>
      </c>
      <c r="C967" s="8" t="str">
        <f t="shared" si="14"/>
        <v>mitoblock10</v>
      </c>
      <c r="D967" s="8" t="s">
        <v>15</v>
      </c>
      <c r="E967" s="8" t="s">
        <v>3140</v>
      </c>
      <c r="F967" s="8" t="s">
        <v>3141</v>
      </c>
      <c r="G967" s="8">
        <v>500</v>
      </c>
    </row>
    <row r="968" spans="1:7" x14ac:dyDescent="0.15">
      <c r="A968" s="8" t="s">
        <v>3181</v>
      </c>
      <c r="B968" s="8" t="s">
        <v>61</v>
      </c>
      <c r="C968" s="8" t="str">
        <f t="shared" si="14"/>
        <v>ifng</v>
      </c>
      <c r="D968" s="8" t="s">
        <v>15</v>
      </c>
      <c r="E968" s="8" t="s">
        <v>3182</v>
      </c>
      <c r="F968" s="8" t="s">
        <v>3183</v>
      </c>
      <c r="G968" s="8">
        <v>500</v>
      </c>
    </row>
    <row r="969" spans="1:7" x14ac:dyDescent="0.15">
      <c r="A969" s="8" t="s">
        <v>3184</v>
      </c>
      <c r="B969" s="8" t="s">
        <v>61</v>
      </c>
      <c r="C969" s="8" t="str">
        <f t="shared" si="14"/>
        <v>il4</v>
      </c>
      <c r="D969" s="8" t="s">
        <v>15</v>
      </c>
      <c r="E969" s="8" t="s">
        <v>3185</v>
      </c>
      <c r="F969" s="8" t="s">
        <v>3186</v>
      </c>
      <c r="G969" s="8">
        <v>500</v>
      </c>
    </row>
    <row r="970" spans="1:7" x14ac:dyDescent="0.15">
      <c r="A970" s="8" t="s">
        <v>3187</v>
      </c>
      <c r="B970" s="8" t="s">
        <v>61</v>
      </c>
      <c r="C970" s="8" t="str">
        <f t="shared" si="14"/>
        <v>il13</v>
      </c>
      <c r="D970" s="8" t="s">
        <v>15</v>
      </c>
      <c r="E970" s="8" t="s">
        <v>3188</v>
      </c>
      <c r="F970" s="8" t="s">
        <v>3189</v>
      </c>
      <c r="G970" s="8">
        <v>500</v>
      </c>
    </row>
    <row r="971" spans="1:7" x14ac:dyDescent="0.15">
      <c r="A971" s="8" t="s">
        <v>3190</v>
      </c>
      <c r="B971" s="8" t="s">
        <v>61</v>
      </c>
      <c r="C971" s="8" t="str">
        <f t="shared" si="14"/>
        <v>asynlow</v>
      </c>
      <c r="D971" s="8" t="s">
        <v>15</v>
      </c>
      <c r="E971" s="8" t="s">
        <v>3191</v>
      </c>
      <c r="F971" s="8" t="s">
        <v>3194</v>
      </c>
      <c r="G971" s="8">
        <v>500</v>
      </c>
    </row>
    <row r="972" spans="1:7" x14ac:dyDescent="0.15">
      <c r="A972" s="8" t="s">
        <v>3192</v>
      </c>
      <c r="B972" s="8" t="s">
        <v>61</v>
      </c>
      <c r="C972" s="8" t="str">
        <f t="shared" si="14"/>
        <v>asynhigh</v>
      </c>
      <c r="D972" s="8" t="s">
        <v>15</v>
      </c>
      <c r="E972" s="8" t="s">
        <v>3193</v>
      </c>
      <c r="F972" s="8" t="s">
        <v>3195</v>
      </c>
      <c r="G972" s="8">
        <v>500</v>
      </c>
    </row>
    <row r="973" spans="1:7" x14ac:dyDescent="0.15">
      <c r="A973" s="8" t="s">
        <v>2902</v>
      </c>
      <c r="B973" s="8" t="s">
        <v>37</v>
      </c>
      <c r="C973" s="8" t="str">
        <f t="shared" si="14"/>
        <v>mdc</v>
      </c>
      <c r="D973" s="8" t="s">
        <v>15</v>
      </c>
      <c r="E973" s="8" t="s">
        <v>2923</v>
      </c>
      <c r="F973" s="8" t="s">
        <v>2922</v>
      </c>
      <c r="G973" s="8">
        <v>500</v>
      </c>
    </row>
    <row r="974" spans="1:7" x14ac:dyDescent="0.15">
      <c r="A974" s="8" t="s">
        <v>2903</v>
      </c>
      <c r="B974" s="8" t="s">
        <v>37</v>
      </c>
      <c r="C974" s="8" t="str">
        <f t="shared" si="14"/>
        <v>mtregs</v>
      </c>
      <c r="D974" s="8" t="s">
        <v>15</v>
      </c>
      <c r="E974" s="8" t="s">
        <v>2921</v>
      </c>
      <c r="F974" s="8" t="s">
        <v>2920</v>
      </c>
      <c r="G974" s="8">
        <v>500</v>
      </c>
    </row>
    <row r="975" spans="1:7" x14ac:dyDescent="0.15">
      <c r="A975" s="8" t="s">
        <v>2904</v>
      </c>
      <c r="B975" s="8" t="s">
        <v>37</v>
      </c>
      <c r="C975" s="8" t="str">
        <f t="shared" si="14"/>
        <v>pdc</v>
      </c>
      <c r="D975" s="8" t="s">
        <v>15</v>
      </c>
      <c r="E975" s="8" t="s">
        <v>2924</v>
      </c>
      <c r="F975" s="8" t="s">
        <v>2919</v>
      </c>
      <c r="G975" s="8">
        <v>500</v>
      </c>
    </row>
    <row r="976" spans="1:7" x14ac:dyDescent="0.15">
      <c r="A976" s="8" t="s">
        <v>2905</v>
      </c>
      <c r="B976" s="8" t="s">
        <v>37</v>
      </c>
      <c r="C976" s="8" t="str">
        <f t="shared" ref="C976:C1019" si="15">A976</f>
        <v>attregs</v>
      </c>
      <c r="D976" s="8" t="s">
        <v>15</v>
      </c>
      <c r="E976" s="8" t="s">
        <v>2918</v>
      </c>
      <c r="F976" s="8" t="s">
        <v>2925</v>
      </c>
      <c r="G976" s="8">
        <v>500</v>
      </c>
    </row>
    <row r="977" spans="1:7" x14ac:dyDescent="0.15">
      <c r="A977" s="8" t="s">
        <v>2906</v>
      </c>
      <c r="B977" s="8" t="s">
        <v>37</v>
      </c>
      <c r="C977" s="8" t="str">
        <f t="shared" si="15"/>
        <v>infdc</v>
      </c>
      <c r="D977" s="8" t="s">
        <v>15</v>
      </c>
      <c r="E977" s="8" t="s">
        <v>2917</v>
      </c>
      <c r="F977" s="8" t="s">
        <v>2916</v>
      </c>
      <c r="G977" s="8">
        <v>500</v>
      </c>
    </row>
    <row r="978" spans="1:7" x14ac:dyDescent="0.15">
      <c r="A978" s="8" t="s">
        <v>2907</v>
      </c>
      <c r="B978" s="8" t="s">
        <v>37</v>
      </c>
      <c r="C978" s="8" t="str">
        <f t="shared" si="15"/>
        <v>itgres</v>
      </c>
      <c r="D978" s="8" t="s">
        <v>15</v>
      </c>
      <c r="E978" s="8" t="s">
        <v>2915</v>
      </c>
      <c r="F978" s="8" t="s">
        <v>2914</v>
      </c>
      <c r="G978" s="8">
        <v>500</v>
      </c>
    </row>
    <row r="979" spans="1:7" x14ac:dyDescent="0.15">
      <c r="A979" s="8" t="s">
        <v>2908</v>
      </c>
      <c r="B979" s="8" t="s">
        <v>37</v>
      </c>
      <c r="C979" s="8" t="str">
        <f t="shared" si="15"/>
        <v>dendritic</v>
      </c>
      <c r="D979" s="8" t="s">
        <v>15</v>
      </c>
      <c r="E979" s="8" t="s">
        <v>2913</v>
      </c>
      <c r="F979" s="8" t="s">
        <v>2912</v>
      </c>
      <c r="G979" s="8">
        <v>500</v>
      </c>
    </row>
    <row r="980" spans="1:7" x14ac:dyDescent="0.15">
      <c r="A980" s="8" t="s">
        <v>2909</v>
      </c>
      <c r="B980" s="8" t="s">
        <v>37</v>
      </c>
      <c r="C980" s="8" t="str">
        <f t="shared" si="15"/>
        <v>ememcell</v>
      </c>
      <c r="D980" s="8" t="s">
        <v>15</v>
      </c>
      <c r="E980" s="8" t="s">
        <v>2911</v>
      </c>
      <c r="F980" s="8" t="s">
        <v>2910</v>
      </c>
      <c r="G980" s="8">
        <v>500</v>
      </c>
    </row>
    <row r="981" spans="1:7" x14ac:dyDescent="0.15">
      <c r="A981" s="8" t="s">
        <v>2926</v>
      </c>
      <c r="B981" s="8" t="s">
        <v>2844</v>
      </c>
      <c r="C981" s="8" t="str">
        <f t="shared" si="15"/>
        <v>supernatant</v>
      </c>
      <c r="D981" s="8" t="s">
        <v>15</v>
      </c>
      <c r="E981" s="8" t="s">
        <v>2927</v>
      </c>
      <c r="F981" s="8" t="s">
        <v>2928</v>
      </c>
      <c r="G981" s="8">
        <v>500</v>
      </c>
    </row>
    <row r="982" spans="1:7" x14ac:dyDescent="0.15">
      <c r="A982" s="8" t="s">
        <v>2930</v>
      </c>
      <c r="B982" s="8" t="s">
        <v>2929</v>
      </c>
      <c r="C982" s="8" t="str">
        <f t="shared" si="15"/>
        <v>leftatrium</v>
      </c>
      <c r="D982" s="8" t="s">
        <v>15</v>
      </c>
      <c r="E982" s="8" t="s">
        <v>2931</v>
      </c>
      <c r="F982" s="8" t="s">
        <v>2932</v>
      </c>
      <c r="G982" s="8">
        <v>500</v>
      </c>
    </row>
    <row r="983" spans="1:7" x14ac:dyDescent="0.15">
      <c r="A983" s="8" t="s">
        <v>2933</v>
      </c>
      <c r="B983" s="8" t="s">
        <v>2929</v>
      </c>
      <c r="C983" s="8" t="str">
        <f t="shared" si="15"/>
        <v>rightatrium</v>
      </c>
      <c r="D983" s="8" t="s">
        <v>15</v>
      </c>
      <c r="E983" s="8" t="s">
        <v>2934</v>
      </c>
      <c r="F983" s="8" t="s">
        <v>2935</v>
      </c>
      <c r="G983" s="8">
        <v>500</v>
      </c>
    </row>
    <row r="984" spans="1:7" x14ac:dyDescent="0.15">
      <c r="A984" s="8" t="s">
        <v>2952</v>
      </c>
      <c r="B984" s="8" t="s">
        <v>2929</v>
      </c>
      <c r="C984" s="8" t="str">
        <f t="shared" si="15"/>
        <v>leftventri</v>
      </c>
      <c r="D984" s="8" t="s">
        <v>15</v>
      </c>
      <c r="E984" s="8" t="s">
        <v>2950</v>
      </c>
      <c r="F984" s="8" t="s">
        <v>2936</v>
      </c>
      <c r="G984" s="8">
        <v>500</v>
      </c>
    </row>
    <row r="985" spans="1:7" x14ac:dyDescent="0.15">
      <c r="A985" s="8" t="s">
        <v>2953</v>
      </c>
      <c r="B985" s="8" t="s">
        <v>2929</v>
      </c>
      <c r="C985" s="8" t="str">
        <f t="shared" si="15"/>
        <v>rightventri</v>
      </c>
      <c r="D985" s="8" t="s">
        <v>15</v>
      </c>
      <c r="E985" s="8" t="s">
        <v>2951</v>
      </c>
      <c r="F985" s="8" t="s">
        <v>2936</v>
      </c>
      <c r="G985" s="8">
        <v>500</v>
      </c>
    </row>
    <row r="986" spans="1:7" x14ac:dyDescent="0.15">
      <c r="A986" s="8" t="s">
        <v>3019</v>
      </c>
      <c r="B986" s="8" t="s">
        <v>3017</v>
      </c>
      <c r="C986" s="8" t="str">
        <f t="shared" si="15"/>
        <v>type1</v>
      </c>
      <c r="D986" s="8" t="s">
        <v>15</v>
      </c>
      <c r="E986" s="8" t="s">
        <v>3037</v>
      </c>
      <c r="F986" s="8" t="s">
        <v>3042</v>
      </c>
      <c r="G986" s="8">
        <v>500</v>
      </c>
    </row>
    <row r="987" spans="1:7" x14ac:dyDescent="0.15">
      <c r="A987" s="8" t="s">
        <v>3020</v>
      </c>
      <c r="B987" s="8" t="s">
        <v>3017</v>
      </c>
      <c r="C987" s="8" t="str">
        <f t="shared" si="15"/>
        <v>type2a</v>
      </c>
      <c r="D987" s="8" t="s">
        <v>15</v>
      </c>
      <c r="E987" s="8" t="s">
        <v>3038</v>
      </c>
      <c r="F987" s="8" t="s">
        <v>3043</v>
      </c>
      <c r="G987" s="8">
        <v>500</v>
      </c>
    </row>
    <row r="988" spans="1:7" x14ac:dyDescent="0.15">
      <c r="A988" s="8" t="s">
        <v>3021</v>
      </c>
      <c r="B988" s="8" t="s">
        <v>3017</v>
      </c>
      <c r="C988" s="8" t="str">
        <f t="shared" si="15"/>
        <v>type2b</v>
      </c>
      <c r="D988" s="8" t="s">
        <v>15</v>
      </c>
      <c r="E988" s="8" t="s">
        <v>3039</v>
      </c>
      <c r="F988" s="8" t="s">
        <v>3044</v>
      </c>
      <c r="G988" s="8">
        <v>500</v>
      </c>
    </row>
    <row r="989" spans="1:7" x14ac:dyDescent="0.15">
      <c r="A989" s="8" t="s">
        <v>3022</v>
      </c>
      <c r="B989" s="8" t="s">
        <v>3017</v>
      </c>
      <c r="C989" s="8" t="str">
        <f t="shared" si="15"/>
        <v>type2x</v>
      </c>
      <c r="D989" s="8" t="s">
        <v>15</v>
      </c>
      <c r="E989" s="8" t="s">
        <v>3040</v>
      </c>
      <c r="F989" s="8" t="s">
        <v>3045</v>
      </c>
      <c r="G989" s="8">
        <v>500</v>
      </c>
    </row>
    <row r="990" spans="1:7" x14ac:dyDescent="0.15">
      <c r="A990" s="8" t="s">
        <v>3023</v>
      </c>
      <c r="B990" s="8" t="s">
        <v>3017</v>
      </c>
      <c r="C990" s="8" t="str">
        <f t="shared" si="15"/>
        <v>type2d</v>
      </c>
      <c r="D990" s="8" t="s">
        <v>15</v>
      </c>
      <c r="E990" s="8" t="s">
        <v>3041</v>
      </c>
      <c r="F990" s="8" t="s">
        <v>3024</v>
      </c>
      <c r="G990" s="8">
        <v>500</v>
      </c>
    </row>
    <row r="991" spans="1:7" x14ac:dyDescent="0.15">
      <c r="A991" s="8" t="s">
        <v>3025</v>
      </c>
      <c r="B991" s="8" t="s">
        <v>3017</v>
      </c>
      <c r="C991" s="8" t="str">
        <f t="shared" si="15"/>
        <v>mixedt12a</v>
      </c>
      <c r="D991" s="8" t="s">
        <v>15</v>
      </c>
      <c r="E991" s="8" t="s">
        <v>3026</v>
      </c>
      <c r="F991" s="8" t="s">
        <v>3047</v>
      </c>
      <c r="G991" s="8">
        <v>500</v>
      </c>
    </row>
    <row r="992" spans="1:7" x14ac:dyDescent="0.15">
      <c r="A992" s="8" t="s">
        <v>3027</v>
      </c>
      <c r="B992" s="8" t="s">
        <v>3017</v>
      </c>
      <c r="C992" s="8" t="str">
        <f t="shared" si="15"/>
        <v>mixedt12x</v>
      </c>
      <c r="D992" s="8" t="s">
        <v>15</v>
      </c>
      <c r="E992" s="8" t="s">
        <v>3028</v>
      </c>
      <c r="F992" s="8" t="s">
        <v>3046</v>
      </c>
      <c r="G992" s="8">
        <v>500</v>
      </c>
    </row>
    <row r="993" spans="1:7" x14ac:dyDescent="0.15">
      <c r="A993" s="8" t="s">
        <v>3029</v>
      </c>
      <c r="B993" s="8" t="s">
        <v>3017</v>
      </c>
      <c r="C993" s="8" t="str">
        <f t="shared" si="15"/>
        <v>mixedt1tb</v>
      </c>
      <c r="D993" s="8" t="s">
        <v>15</v>
      </c>
      <c r="E993" s="8" t="s">
        <v>3030</v>
      </c>
      <c r="F993" s="8" t="s">
        <v>3048</v>
      </c>
      <c r="G993" s="8">
        <v>500</v>
      </c>
    </row>
    <row r="994" spans="1:7" x14ac:dyDescent="0.15">
      <c r="A994" s="8" t="s">
        <v>3031</v>
      </c>
      <c r="B994" s="8" t="s">
        <v>3017</v>
      </c>
      <c r="C994" s="8" t="str">
        <f t="shared" si="15"/>
        <v>mixed2a2b</v>
      </c>
      <c r="D994" s="8" t="s">
        <v>15</v>
      </c>
      <c r="E994" s="8" t="s">
        <v>3032</v>
      </c>
      <c r="F994" s="8" t="s">
        <v>3049</v>
      </c>
      <c r="G994" s="8">
        <v>500</v>
      </c>
    </row>
    <row r="995" spans="1:7" x14ac:dyDescent="0.15">
      <c r="A995" s="8" t="s">
        <v>3033</v>
      </c>
      <c r="B995" s="8" t="s">
        <v>3017</v>
      </c>
      <c r="C995" s="8" t="str">
        <f t="shared" si="15"/>
        <v>mixed2a2x</v>
      </c>
      <c r="D995" s="8" t="s">
        <v>15</v>
      </c>
      <c r="E995" s="8" t="s">
        <v>3034</v>
      </c>
      <c r="F995" s="8" t="s">
        <v>3050</v>
      </c>
      <c r="G995" s="8">
        <v>500</v>
      </c>
    </row>
    <row r="996" spans="1:7" x14ac:dyDescent="0.15">
      <c r="A996" s="8" t="s">
        <v>3035</v>
      </c>
      <c r="B996" s="8" t="s">
        <v>3017</v>
      </c>
      <c r="C996" s="8" t="str">
        <f t="shared" si="15"/>
        <v>mixed2b2x</v>
      </c>
      <c r="D996" s="8" t="s">
        <v>15</v>
      </c>
      <c r="E996" s="8" t="s">
        <v>3036</v>
      </c>
      <c r="F996" s="8" t="s">
        <v>3051</v>
      </c>
      <c r="G996" s="8">
        <v>500</v>
      </c>
    </row>
    <row r="997" spans="1:7" x14ac:dyDescent="0.15">
      <c r="A997" s="8" t="s">
        <v>3154</v>
      </c>
      <c r="B997" s="8" t="s">
        <v>3095</v>
      </c>
      <c r="C997" s="8" t="str">
        <f t="shared" si="15"/>
        <v>sol_pellet</v>
      </c>
      <c r="D997" s="8" t="s">
        <v>15</v>
      </c>
      <c r="E997" s="8" t="s">
        <v>3090</v>
      </c>
      <c r="F997" s="8" t="s">
        <v>3096</v>
      </c>
      <c r="G997" s="8">
        <v>500</v>
      </c>
    </row>
    <row r="998" spans="1:7" x14ac:dyDescent="0.15">
      <c r="A998" s="8" t="s">
        <v>3153</v>
      </c>
      <c r="B998" s="8" t="s">
        <v>3095</v>
      </c>
      <c r="C998" s="8" t="str">
        <f t="shared" si="15"/>
        <v>sol_total</v>
      </c>
      <c r="D998" s="8" t="s">
        <v>15</v>
      </c>
      <c r="E998" s="8" t="s">
        <v>1188</v>
      </c>
      <c r="F998" s="8" t="s">
        <v>3097</v>
      </c>
      <c r="G998" s="8">
        <v>500</v>
      </c>
    </row>
    <row r="999" spans="1:7" x14ac:dyDescent="0.15">
      <c r="A999" s="8" t="s">
        <v>3155</v>
      </c>
      <c r="B999" s="8" t="s">
        <v>3095</v>
      </c>
      <c r="C999" s="8" t="str">
        <f t="shared" si="15"/>
        <v>sol_supernatant</v>
      </c>
      <c r="D999" s="8" t="s">
        <v>15</v>
      </c>
      <c r="E999" s="8" t="s">
        <v>2927</v>
      </c>
      <c r="F999" s="8" t="s">
        <v>3098</v>
      </c>
      <c r="G999" s="8">
        <v>500</v>
      </c>
    </row>
    <row r="1000" spans="1:7" x14ac:dyDescent="0.15">
      <c r="A1000" s="8">
        <v>275</v>
      </c>
      <c r="B1000" s="8" t="s">
        <v>35</v>
      </c>
      <c r="C1000" s="8">
        <f t="shared" si="15"/>
        <v>275</v>
      </c>
      <c r="D1000" s="8" t="s">
        <v>15</v>
      </c>
      <c r="E1000" s="8">
        <v>275</v>
      </c>
      <c r="F1000" s="8" t="s">
        <v>15</v>
      </c>
      <c r="G1000" s="8">
        <v>500</v>
      </c>
    </row>
    <row r="1001" spans="1:7" x14ac:dyDescent="0.15">
      <c r="A1001" s="8">
        <v>320</v>
      </c>
      <c r="B1001" s="8" t="s">
        <v>35</v>
      </c>
      <c r="C1001" s="8">
        <f t="shared" si="15"/>
        <v>320</v>
      </c>
      <c r="D1001" s="8" t="s">
        <v>15</v>
      </c>
      <c r="E1001" s="8">
        <v>320</v>
      </c>
      <c r="F1001" s="8" t="s">
        <v>15</v>
      </c>
      <c r="G1001" s="8">
        <v>500</v>
      </c>
    </row>
    <row r="1002" spans="1:7" x14ac:dyDescent="0.15">
      <c r="A1002" s="8">
        <v>-45</v>
      </c>
      <c r="B1002" s="8" t="s">
        <v>92</v>
      </c>
      <c r="C1002" s="8">
        <f t="shared" si="15"/>
        <v>-45</v>
      </c>
      <c r="D1002" s="8" t="s">
        <v>15</v>
      </c>
      <c r="E1002" s="8">
        <v>-45</v>
      </c>
      <c r="F1002" s="8" t="s">
        <v>15</v>
      </c>
      <c r="G1002" s="8">
        <v>500</v>
      </c>
    </row>
    <row r="1003" spans="1:7" x14ac:dyDescent="0.15">
      <c r="A1003" s="8" t="s">
        <v>3131</v>
      </c>
      <c r="B1003" s="8" t="s">
        <v>3130</v>
      </c>
      <c r="C1003" s="8" t="str">
        <f t="shared" si="15"/>
        <v>input</v>
      </c>
      <c r="D1003" s="8" t="s">
        <v>15</v>
      </c>
      <c r="E1003" s="8" t="s">
        <v>3132</v>
      </c>
      <c r="F1003" t="s">
        <v>3133</v>
      </c>
      <c r="G1003" s="8">
        <v>500</v>
      </c>
    </row>
    <row r="1004" spans="1:7" x14ac:dyDescent="0.15">
      <c r="A1004" s="8" t="s">
        <v>3137</v>
      </c>
      <c r="B1004" s="8" t="s">
        <v>3130</v>
      </c>
      <c r="C1004" s="8" t="str">
        <f t="shared" si="15"/>
        <v>elution</v>
      </c>
      <c r="D1004" s="8" t="s">
        <v>15</v>
      </c>
      <c r="E1004" s="8" t="s">
        <v>3134</v>
      </c>
      <c r="F1004" s="8" t="s">
        <v>3139</v>
      </c>
      <c r="G1004" s="8">
        <v>500</v>
      </c>
    </row>
    <row r="1005" spans="1:7" x14ac:dyDescent="0.15">
      <c r="A1005" s="8" t="s">
        <v>3136</v>
      </c>
      <c r="B1005" s="8" t="s">
        <v>3130</v>
      </c>
      <c r="C1005" s="8" t="str">
        <f t="shared" si="15"/>
        <v>wash</v>
      </c>
      <c r="D1005" s="8" t="s">
        <v>15</v>
      </c>
      <c r="E1005" s="8" t="s">
        <v>3135</v>
      </c>
      <c r="F1005" s="8" t="s">
        <v>3138</v>
      </c>
      <c r="G1005" s="8">
        <v>500</v>
      </c>
    </row>
    <row r="1006" spans="1:7" ht="16" x14ac:dyDescent="0.2">
      <c r="A1006" s="8" t="s">
        <v>3144</v>
      </c>
      <c r="B1006" s="32" t="s">
        <v>3146</v>
      </c>
      <c r="C1006" s="8" t="str">
        <f t="shared" si="15"/>
        <v>fbs</v>
      </c>
      <c r="D1006" s="8" t="s">
        <v>15</v>
      </c>
      <c r="E1006" s="8" t="s">
        <v>3147</v>
      </c>
      <c r="F1006" s="24" t="s">
        <v>3150</v>
      </c>
      <c r="G1006" s="8">
        <v>500</v>
      </c>
    </row>
    <row r="1007" spans="1:7" ht="16" x14ac:dyDescent="0.2">
      <c r="A1007" s="8" t="s">
        <v>3145</v>
      </c>
      <c r="B1007" s="32" t="s">
        <v>3146</v>
      </c>
      <c r="C1007" s="8" t="str">
        <f t="shared" si="15"/>
        <v>nofbs</v>
      </c>
      <c r="D1007" s="8" t="s">
        <v>15</v>
      </c>
      <c r="E1007" s="8" t="s">
        <v>3148</v>
      </c>
      <c r="F1007" s="8" t="s">
        <v>3149</v>
      </c>
      <c r="G1007" s="8">
        <v>500</v>
      </c>
    </row>
    <row r="1008" spans="1:7" x14ac:dyDescent="0.15">
      <c r="A1008" s="8" t="s">
        <v>3156</v>
      </c>
      <c r="B1008" s="8" t="s">
        <v>3152</v>
      </c>
      <c r="C1008" s="8" t="str">
        <f t="shared" si="15"/>
        <v>embryo</v>
      </c>
      <c r="D1008" s="8" t="s">
        <v>15</v>
      </c>
      <c r="E1008" s="8" t="s">
        <v>3161</v>
      </c>
      <c r="F1008" s="8" t="s">
        <v>3160</v>
      </c>
      <c r="G1008" s="8">
        <v>500</v>
      </c>
    </row>
    <row r="1009" spans="1:7" x14ac:dyDescent="0.15">
      <c r="A1009" s="8" t="s">
        <v>3157</v>
      </c>
      <c r="B1009" s="8" t="s">
        <v>3152</v>
      </c>
      <c r="C1009" s="8" t="str">
        <f t="shared" si="15"/>
        <v>young</v>
      </c>
      <c r="D1009" s="8" t="s">
        <v>15</v>
      </c>
      <c r="E1009" s="8" t="s">
        <v>3162</v>
      </c>
      <c r="F1009" s="8" t="s">
        <v>3165</v>
      </c>
      <c r="G1009" s="8">
        <v>500</v>
      </c>
    </row>
    <row r="1010" spans="1:7" x14ac:dyDescent="0.15">
      <c r="A1010" s="8" t="s">
        <v>3158</v>
      </c>
      <c r="B1010" s="8" t="s">
        <v>3152</v>
      </c>
      <c r="C1010" s="8" t="str">
        <f t="shared" si="15"/>
        <v>adult</v>
      </c>
      <c r="D1010" s="8" t="s">
        <v>15</v>
      </c>
      <c r="E1010" s="8" t="s">
        <v>3163</v>
      </c>
      <c r="F1010" s="8" t="s">
        <v>3167</v>
      </c>
      <c r="G1010" s="8">
        <v>500</v>
      </c>
    </row>
    <row r="1011" spans="1:7" x14ac:dyDescent="0.15">
      <c r="A1011" s="8" t="s">
        <v>3159</v>
      </c>
      <c r="B1011" s="8" t="s">
        <v>3152</v>
      </c>
      <c r="C1011" s="8" t="str">
        <f t="shared" si="15"/>
        <v>old</v>
      </c>
      <c r="D1011" s="8" t="s">
        <v>15</v>
      </c>
      <c r="E1011" s="8" t="s">
        <v>3164</v>
      </c>
      <c r="F1011" s="8" t="s">
        <v>3166</v>
      </c>
      <c r="G1011" s="8">
        <v>500</v>
      </c>
    </row>
    <row r="1012" spans="1:7" x14ac:dyDescent="0.15">
      <c r="A1012" s="8" t="s">
        <v>3170</v>
      </c>
      <c r="B1012" s="8" t="s">
        <v>3168</v>
      </c>
      <c r="C1012" s="8" t="str">
        <f t="shared" si="15"/>
        <v>qc_hela</v>
      </c>
      <c r="D1012" s="8" t="s">
        <v>15</v>
      </c>
      <c r="E1012" s="8" t="s">
        <v>3171</v>
      </c>
      <c r="F1012" s="8" t="s">
        <v>3172</v>
      </c>
      <c r="G1012" s="8">
        <v>500</v>
      </c>
    </row>
    <row r="1013" spans="1:7" x14ac:dyDescent="0.15">
      <c r="A1013" s="8" t="s">
        <v>3173</v>
      </c>
      <c r="B1013" s="8" t="s">
        <v>3168</v>
      </c>
      <c r="C1013" s="8" t="str">
        <f t="shared" si="15"/>
        <v>qc_base</v>
      </c>
      <c r="D1013" s="8" t="s">
        <v>15</v>
      </c>
      <c r="E1013" s="8" t="s">
        <v>3174</v>
      </c>
      <c r="F1013" s="8" t="s">
        <v>3175</v>
      </c>
      <c r="G1013" s="8">
        <v>500</v>
      </c>
    </row>
    <row r="1014" spans="1:7" x14ac:dyDescent="0.15">
      <c r="A1014" s="8" t="s">
        <v>3226</v>
      </c>
      <c r="B1014" s="8" t="s">
        <v>2776</v>
      </c>
      <c r="C1014" s="8" t="str">
        <f t="shared" si="15"/>
        <v>endog</v>
      </c>
      <c r="D1014" s="8" t="s">
        <v>15</v>
      </c>
      <c r="E1014" s="8" t="s">
        <v>3227</v>
      </c>
      <c r="F1014" s="8" t="s">
        <v>3228</v>
      </c>
      <c r="G1014" s="8">
        <v>500</v>
      </c>
    </row>
    <row r="1015" spans="1:7" x14ac:dyDescent="0.15">
      <c r="A1015" s="8" t="s">
        <v>2221</v>
      </c>
      <c r="B1015" s="8" t="s">
        <v>2776</v>
      </c>
      <c r="C1015" s="8" t="str">
        <f t="shared" si="15"/>
        <v>flag</v>
      </c>
      <c r="D1015" s="8" t="s">
        <v>15</v>
      </c>
      <c r="E1015" s="8" t="s">
        <v>3231</v>
      </c>
      <c r="F1015" s="8" t="s">
        <v>3229</v>
      </c>
      <c r="G1015" s="8">
        <v>500</v>
      </c>
    </row>
    <row r="1016" spans="1:7" x14ac:dyDescent="0.15">
      <c r="A1016" s="8" t="s">
        <v>3230</v>
      </c>
      <c r="B1016" s="8" t="s">
        <v>2776</v>
      </c>
      <c r="C1016" s="8" t="str">
        <f t="shared" si="15"/>
        <v>GST</v>
      </c>
      <c r="D1016" s="8" t="s">
        <v>15</v>
      </c>
      <c r="E1016" s="8" t="s">
        <v>3230</v>
      </c>
      <c r="F1016" s="8" t="s">
        <v>3232</v>
      </c>
      <c r="G1016" s="8">
        <v>500</v>
      </c>
    </row>
    <row r="1017" spans="1:7" x14ac:dyDescent="0.15">
      <c r="A1017" s="8" t="s">
        <v>3235</v>
      </c>
      <c r="B1017" s="33" t="s">
        <v>3234</v>
      </c>
      <c r="C1017" s="8" t="str">
        <f t="shared" si="15"/>
        <v>column_length</v>
      </c>
      <c r="D1017" s="8" t="s">
        <v>15</v>
      </c>
      <c r="E1017" s="8" t="s">
        <v>3237</v>
      </c>
      <c r="F1017" s="8" t="s">
        <v>3243</v>
      </c>
      <c r="G1017" s="8">
        <v>500</v>
      </c>
    </row>
    <row r="1018" spans="1:7" x14ac:dyDescent="0.15">
      <c r="A1018" s="8" t="s">
        <v>3242</v>
      </c>
      <c r="B1018" s="33" t="s">
        <v>3234</v>
      </c>
      <c r="C1018" s="8" t="str">
        <f t="shared" si="15"/>
        <v>column_inner_diameter</v>
      </c>
      <c r="D1018" s="8" t="s">
        <v>15</v>
      </c>
      <c r="E1018" s="8" t="s">
        <v>3238</v>
      </c>
      <c r="F1018" s="8" t="s">
        <v>3240</v>
      </c>
      <c r="G1018" s="8">
        <v>500</v>
      </c>
    </row>
    <row r="1019" spans="1:7" x14ac:dyDescent="0.15">
      <c r="A1019" s="8" t="s">
        <v>3236</v>
      </c>
      <c r="B1019" s="33" t="s">
        <v>3234</v>
      </c>
      <c r="C1019" s="8" t="str">
        <f t="shared" si="15"/>
        <v>column_outer_diameter</v>
      </c>
      <c r="D1019" s="8" t="s">
        <v>15</v>
      </c>
      <c r="E1019" s="8" t="s">
        <v>3239</v>
      </c>
      <c r="F1019" s="8" t="s">
        <v>3241</v>
      </c>
      <c r="G1019" s="8">
        <v>500</v>
      </c>
    </row>
    <row r="1020" spans="1:7" ht="16" x14ac:dyDescent="0.2">
      <c r="A1020" t="s">
        <v>3437</v>
      </c>
      <c r="B1020" s="32" t="s">
        <v>3251</v>
      </c>
      <c r="C1020" t="s">
        <v>3437</v>
      </c>
      <c r="D1020" s="8" t="s">
        <v>15</v>
      </c>
      <c r="E1020" s="8" t="s">
        <v>3253</v>
      </c>
      <c r="F1020" s="8" t="s">
        <v>3438</v>
      </c>
      <c r="G1020" s="8">
        <v>500</v>
      </c>
    </row>
    <row r="1021" spans="1:7" ht="16" x14ac:dyDescent="0.2">
      <c r="A1021" t="s">
        <v>3439</v>
      </c>
      <c r="B1021" s="32" t="s">
        <v>3251</v>
      </c>
      <c r="C1021" t="s">
        <v>3439</v>
      </c>
      <c r="D1021" s="8" t="s">
        <v>15</v>
      </c>
      <c r="E1021" s="8" t="s">
        <v>3254</v>
      </c>
      <c r="F1021" s="8" t="s">
        <v>3440</v>
      </c>
      <c r="G1021" s="8">
        <v>500</v>
      </c>
    </row>
    <row r="1022" spans="1:7" ht="16" x14ac:dyDescent="0.2">
      <c r="A1022" t="s">
        <v>3441</v>
      </c>
      <c r="B1022" s="32" t="s">
        <v>3251</v>
      </c>
      <c r="C1022" t="s">
        <v>3441</v>
      </c>
      <c r="D1022" s="8" t="s">
        <v>15</v>
      </c>
      <c r="E1022" s="8" t="s">
        <v>3255</v>
      </c>
      <c r="F1022" s="8" t="s">
        <v>3442</v>
      </c>
      <c r="G1022" s="8">
        <v>500</v>
      </c>
    </row>
    <row r="1023" spans="1:7" ht="16" x14ac:dyDescent="0.2">
      <c r="A1023" t="s">
        <v>3443</v>
      </c>
      <c r="B1023" s="32" t="s">
        <v>3251</v>
      </c>
      <c r="C1023" t="s">
        <v>3443</v>
      </c>
      <c r="D1023" s="8" t="s">
        <v>15</v>
      </c>
      <c r="E1023" s="8" t="s">
        <v>3256</v>
      </c>
      <c r="F1023" s="8" t="s">
        <v>3444</v>
      </c>
      <c r="G1023" s="8">
        <v>500</v>
      </c>
    </row>
    <row r="1024" spans="1:7" ht="16" x14ac:dyDescent="0.2">
      <c r="A1024" t="s">
        <v>3445</v>
      </c>
      <c r="B1024" s="32" t="s">
        <v>3251</v>
      </c>
      <c r="C1024" t="s">
        <v>3445</v>
      </c>
      <c r="D1024" s="8" t="s">
        <v>15</v>
      </c>
      <c r="E1024" s="8" t="s">
        <v>3257</v>
      </c>
      <c r="F1024" s="8" t="s">
        <v>3446</v>
      </c>
      <c r="G1024" s="8">
        <v>500</v>
      </c>
    </row>
    <row r="1025" spans="1:7" ht="16" x14ac:dyDescent="0.2">
      <c r="A1025" t="s">
        <v>3447</v>
      </c>
      <c r="B1025" s="32" t="s">
        <v>3251</v>
      </c>
      <c r="C1025" t="s">
        <v>3447</v>
      </c>
      <c r="D1025" s="8" t="s">
        <v>15</v>
      </c>
      <c r="E1025" s="8" t="s">
        <v>3258</v>
      </c>
      <c r="F1025" s="8" t="s">
        <v>3448</v>
      </c>
      <c r="G1025" s="8">
        <v>500</v>
      </c>
    </row>
    <row r="1026" spans="1:7" ht="16" x14ac:dyDescent="0.2">
      <c r="A1026" t="s">
        <v>3449</v>
      </c>
      <c r="B1026" s="32" t="s">
        <v>3251</v>
      </c>
      <c r="C1026" t="s">
        <v>3449</v>
      </c>
      <c r="D1026" s="8" t="s">
        <v>15</v>
      </c>
      <c r="E1026" s="8" t="s">
        <v>3259</v>
      </c>
      <c r="F1026" s="8" t="s">
        <v>3450</v>
      </c>
      <c r="G1026" s="8">
        <v>500</v>
      </c>
    </row>
    <row r="1027" spans="1:7" ht="16" x14ac:dyDescent="0.2">
      <c r="A1027" t="s">
        <v>3451</v>
      </c>
      <c r="B1027" s="32" t="s">
        <v>3251</v>
      </c>
      <c r="C1027" t="s">
        <v>3451</v>
      </c>
      <c r="D1027" s="8" t="s">
        <v>15</v>
      </c>
      <c r="E1027" s="8" t="s">
        <v>3260</v>
      </c>
      <c r="F1027" s="8" t="s">
        <v>3452</v>
      </c>
      <c r="G1027" s="8">
        <v>500</v>
      </c>
    </row>
    <row r="1028" spans="1:7" ht="16" x14ac:dyDescent="0.2">
      <c r="A1028" t="s">
        <v>3453</v>
      </c>
      <c r="B1028" s="32" t="s">
        <v>3251</v>
      </c>
      <c r="C1028" t="s">
        <v>3453</v>
      </c>
      <c r="D1028" s="8" t="s">
        <v>15</v>
      </c>
      <c r="E1028" s="8" t="s">
        <v>3261</v>
      </c>
      <c r="F1028" s="8" t="s">
        <v>3454</v>
      </c>
      <c r="G1028" s="8">
        <v>500</v>
      </c>
    </row>
    <row r="1029" spans="1:7" ht="16" x14ac:dyDescent="0.2">
      <c r="A1029" t="s">
        <v>3455</v>
      </c>
      <c r="B1029" s="32" t="s">
        <v>3251</v>
      </c>
      <c r="C1029" t="s">
        <v>3455</v>
      </c>
      <c r="D1029" s="8" t="s">
        <v>15</v>
      </c>
      <c r="E1029" s="8" t="s">
        <v>3262</v>
      </c>
      <c r="F1029" s="8" t="s">
        <v>3456</v>
      </c>
      <c r="G1029" s="8">
        <v>500</v>
      </c>
    </row>
    <row r="1030" spans="1:7" ht="16" x14ac:dyDescent="0.2">
      <c r="A1030" t="s">
        <v>3457</v>
      </c>
      <c r="B1030" s="32" t="s">
        <v>3251</v>
      </c>
      <c r="C1030" t="s">
        <v>3457</v>
      </c>
      <c r="D1030" s="8" t="s">
        <v>15</v>
      </c>
      <c r="E1030" s="8" t="s">
        <v>3263</v>
      </c>
      <c r="F1030" s="8" t="s">
        <v>3458</v>
      </c>
      <c r="G1030" s="8">
        <v>500</v>
      </c>
    </row>
    <row r="1031" spans="1:7" ht="16" x14ac:dyDescent="0.2">
      <c r="A1031" t="s">
        <v>3459</v>
      </c>
      <c r="B1031" s="32" t="s">
        <v>3251</v>
      </c>
      <c r="C1031" t="s">
        <v>3459</v>
      </c>
      <c r="D1031" s="8" t="s">
        <v>15</v>
      </c>
      <c r="E1031" s="8" t="s">
        <v>3264</v>
      </c>
      <c r="F1031" s="8" t="s">
        <v>3460</v>
      </c>
      <c r="G1031" s="8">
        <v>500</v>
      </c>
    </row>
    <row r="1032" spans="1:7" ht="16" x14ac:dyDescent="0.2">
      <c r="A1032" t="s">
        <v>3461</v>
      </c>
      <c r="B1032" s="32" t="s">
        <v>3251</v>
      </c>
      <c r="C1032" t="s">
        <v>3461</v>
      </c>
      <c r="D1032" s="8" t="s">
        <v>15</v>
      </c>
      <c r="E1032" s="8" t="s">
        <v>3265</v>
      </c>
      <c r="F1032" s="8" t="s">
        <v>3462</v>
      </c>
      <c r="G1032" s="8">
        <v>500</v>
      </c>
    </row>
    <row r="1033" spans="1:7" ht="16" x14ac:dyDescent="0.2">
      <c r="A1033" t="s">
        <v>3463</v>
      </c>
      <c r="B1033" s="32" t="s">
        <v>3251</v>
      </c>
      <c r="C1033" t="s">
        <v>3463</v>
      </c>
      <c r="D1033" s="8" t="s">
        <v>15</v>
      </c>
      <c r="E1033" s="8" t="s">
        <v>3266</v>
      </c>
      <c r="F1033" s="8" t="s">
        <v>3464</v>
      </c>
      <c r="G1033" s="8">
        <v>500</v>
      </c>
    </row>
    <row r="1034" spans="1:7" ht="16" x14ac:dyDescent="0.2">
      <c r="A1034" t="s">
        <v>3465</v>
      </c>
      <c r="B1034" s="32" t="s">
        <v>3251</v>
      </c>
      <c r="C1034" t="s">
        <v>3465</v>
      </c>
      <c r="D1034" s="8" t="s">
        <v>15</v>
      </c>
      <c r="E1034" s="8" t="s">
        <v>3267</v>
      </c>
      <c r="F1034" s="8" t="s">
        <v>3466</v>
      </c>
      <c r="G1034" s="8">
        <v>500</v>
      </c>
    </row>
    <row r="1035" spans="1:7" ht="16" x14ac:dyDescent="0.2">
      <c r="A1035" t="s">
        <v>3467</v>
      </c>
      <c r="B1035" s="32" t="s">
        <v>3251</v>
      </c>
      <c r="C1035" t="s">
        <v>3467</v>
      </c>
      <c r="D1035" s="8" t="s">
        <v>15</v>
      </c>
      <c r="E1035" s="8" t="s">
        <v>3268</v>
      </c>
      <c r="F1035" s="8" t="s">
        <v>3468</v>
      </c>
      <c r="G1035" s="8">
        <v>500</v>
      </c>
    </row>
    <row r="1036" spans="1:7" ht="16" x14ac:dyDescent="0.2">
      <c r="A1036" t="s">
        <v>3469</v>
      </c>
      <c r="B1036" s="32" t="s">
        <v>3251</v>
      </c>
      <c r="C1036" t="s">
        <v>3469</v>
      </c>
      <c r="D1036" s="8" t="s">
        <v>15</v>
      </c>
      <c r="E1036" s="8" t="s">
        <v>3269</v>
      </c>
      <c r="F1036" s="8" t="s">
        <v>3470</v>
      </c>
      <c r="G1036" s="8">
        <v>500</v>
      </c>
    </row>
    <row r="1037" spans="1:7" ht="16" x14ac:dyDescent="0.2">
      <c r="A1037" t="s">
        <v>3471</v>
      </c>
      <c r="B1037" s="32" t="s">
        <v>3251</v>
      </c>
      <c r="C1037" t="s">
        <v>3471</v>
      </c>
      <c r="D1037" s="8" t="s">
        <v>15</v>
      </c>
      <c r="E1037" s="8" t="s">
        <v>3270</v>
      </c>
      <c r="F1037" s="8" t="s">
        <v>3472</v>
      </c>
      <c r="G1037" s="8">
        <v>500</v>
      </c>
    </row>
    <row r="1038" spans="1:7" ht="16" x14ac:dyDescent="0.2">
      <c r="A1038" t="s">
        <v>3473</v>
      </c>
      <c r="B1038" s="32" t="s">
        <v>3251</v>
      </c>
      <c r="C1038" t="s">
        <v>3473</v>
      </c>
      <c r="D1038" s="8" t="s">
        <v>15</v>
      </c>
      <c r="E1038" s="8" t="s">
        <v>3271</v>
      </c>
      <c r="F1038" s="8" t="s">
        <v>3474</v>
      </c>
      <c r="G1038" s="8">
        <v>500</v>
      </c>
    </row>
    <row r="1039" spans="1:7" ht="16" x14ac:dyDescent="0.2">
      <c r="A1039" t="s">
        <v>3475</v>
      </c>
      <c r="B1039" s="32" t="s">
        <v>3251</v>
      </c>
      <c r="C1039" t="s">
        <v>3475</v>
      </c>
      <c r="D1039" s="8" t="s">
        <v>15</v>
      </c>
      <c r="E1039" s="8" t="s">
        <v>3272</v>
      </c>
      <c r="F1039" s="8" t="s">
        <v>3476</v>
      </c>
      <c r="G1039" s="8">
        <v>500</v>
      </c>
    </row>
    <row r="1040" spans="1:7" ht="16" x14ac:dyDescent="0.2">
      <c r="A1040" t="s">
        <v>3477</v>
      </c>
      <c r="B1040" s="32" t="s">
        <v>3251</v>
      </c>
      <c r="C1040" t="s">
        <v>3477</v>
      </c>
      <c r="D1040" s="8" t="s">
        <v>15</v>
      </c>
      <c r="E1040" s="8" t="s">
        <v>3273</v>
      </c>
      <c r="F1040" s="8" t="s">
        <v>3478</v>
      </c>
      <c r="G1040" s="8">
        <v>500</v>
      </c>
    </row>
    <row r="1041" spans="1:7" ht="16" x14ac:dyDescent="0.2">
      <c r="A1041" t="s">
        <v>3479</v>
      </c>
      <c r="B1041" s="32" t="s">
        <v>3251</v>
      </c>
      <c r="C1041" t="s">
        <v>3479</v>
      </c>
      <c r="D1041" s="8" t="s">
        <v>15</v>
      </c>
      <c r="E1041" s="8" t="s">
        <v>3274</v>
      </c>
      <c r="F1041" s="8" t="s">
        <v>3480</v>
      </c>
      <c r="G1041" s="8">
        <v>500</v>
      </c>
    </row>
    <row r="1042" spans="1:7" ht="16" x14ac:dyDescent="0.2">
      <c r="A1042" t="s">
        <v>3481</v>
      </c>
      <c r="B1042" s="32" t="s">
        <v>3251</v>
      </c>
      <c r="C1042" t="s">
        <v>3481</v>
      </c>
      <c r="D1042" s="8" t="s">
        <v>15</v>
      </c>
      <c r="E1042" s="8" t="s">
        <v>3275</v>
      </c>
      <c r="F1042" s="8" t="s">
        <v>3482</v>
      </c>
      <c r="G1042" s="8">
        <v>500</v>
      </c>
    </row>
    <row r="1043" spans="1:7" ht="16" x14ac:dyDescent="0.2">
      <c r="A1043" t="s">
        <v>3483</v>
      </c>
      <c r="B1043" s="32" t="s">
        <v>3251</v>
      </c>
      <c r="C1043" t="s">
        <v>3483</v>
      </c>
      <c r="D1043" s="8" t="s">
        <v>15</v>
      </c>
      <c r="E1043" s="8" t="s">
        <v>3276</v>
      </c>
      <c r="F1043" s="8" t="s">
        <v>3484</v>
      </c>
      <c r="G1043" s="8">
        <v>500</v>
      </c>
    </row>
    <row r="1044" spans="1:7" ht="16" x14ac:dyDescent="0.2">
      <c r="A1044" t="s">
        <v>3485</v>
      </c>
      <c r="B1044" s="32" t="s">
        <v>3251</v>
      </c>
      <c r="C1044" t="s">
        <v>3485</v>
      </c>
      <c r="D1044" s="8" t="s">
        <v>15</v>
      </c>
      <c r="E1044" s="8" t="s">
        <v>3277</v>
      </c>
      <c r="F1044" s="8" t="s">
        <v>3486</v>
      </c>
      <c r="G1044" s="8">
        <v>500</v>
      </c>
    </row>
    <row r="1045" spans="1:7" ht="16" x14ac:dyDescent="0.2">
      <c r="A1045" t="s">
        <v>3487</v>
      </c>
      <c r="B1045" s="32" t="s">
        <v>3251</v>
      </c>
      <c r="C1045" t="s">
        <v>3487</v>
      </c>
      <c r="D1045" s="8" t="s">
        <v>15</v>
      </c>
      <c r="E1045" s="8" t="s">
        <v>3278</v>
      </c>
      <c r="F1045" s="8" t="s">
        <v>3488</v>
      </c>
      <c r="G1045" s="8">
        <v>500</v>
      </c>
    </row>
    <row r="1046" spans="1:7" ht="16" x14ac:dyDescent="0.2">
      <c r="A1046" t="s">
        <v>3489</v>
      </c>
      <c r="B1046" s="32" t="s">
        <v>3251</v>
      </c>
      <c r="C1046" t="s">
        <v>3489</v>
      </c>
      <c r="D1046" s="8" t="s">
        <v>15</v>
      </c>
      <c r="E1046" s="8" t="s">
        <v>3279</v>
      </c>
      <c r="F1046" s="8" t="s">
        <v>3490</v>
      </c>
      <c r="G1046" s="8">
        <v>500</v>
      </c>
    </row>
    <row r="1047" spans="1:7" ht="16" x14ac:dyDescent="0.2">
      <c r="A1047" t="s">
        <v>3491</v>
      </c>
      <c r="B1047" s="32" t="s">
        <v>3251</v>
      </c>
      <c r="C1047" t="s">
        <v>3491</v>
      </c>
      <c r="D1047" s="8" t="s">
        <v>15</v>
      </c>
      <c r="E1047" s="8" t="s">
        <v>3280</v>
      </c>
      <c r="F1047" s="8" t="s">
        <v>3492</v>
      </c>
      <c r="G1047" s="8">
        <v>500</v>
      </c>
    </row>
    <row r="1048" spans="1:7" ht="16" x14ac:dyDescent="0.2">
      <c r="A1048" t="s">
        <v>3493</v>
      </c>
      <c r="B1048" s="32" t="s">
        <v>3251</v>
      </c>
      <c r="C1048" t="s">
        <v>3493</v>
      </c>
      <c r="D1048" s="8" t="s">
        <v>15</v>
      </c>
      <c r="E1048" s="8" t="s">
        <v>3281</v>
      </c>
      <c r="F1048" s="8" t="s">
        <v>3494</v>
      </c>
      <c r="G1048" s="8">
        <v>500</v>
      </c>
    </row>
    <row r="1049" spans="1:7" ht="16" x14ac:dyDescent="0.2">
      <c r="A1049" t="s">
        <v>3495</v>
      </c>
      <c r="B1049" s="32" t="s">
        <v>3251</v>
      </c>
      <c r="C1049" t="s">
        <v>3495</v>
      </c>
      <c r="D1049" s="8" t="s">
        <v>15</v>
      </c>
      <c r="E1049" s="8" t="s">
        <v>3282</v>
      </c>
      <c r="F1049" s="8" t="s">
        <v>3496</v>
      </c>
      <c r="G1049" s="8">
        <v>500</v>
      </c>
    </row>
    <row r="1050" spans="1:7" ht="16" x14ac:dyDescent="0.2">
      <c r="A1050" t="s">
        <v>3497</v>
      </c>
      <c r="B1050" s="32" t="s">
        <v>3251</v>
      </c>
      <c r="C1050" t="s">
        <v>3497</v>
      </c>
      <c r="D1050" s="8" t="s">
        <v>15</v>
      </c>
      <c r="E1050" s="8" t="s">
        <v>3283</v>
      </c>
      <c r="F1050" s="8" t="s">
        <v>3498</v>
      </c>
      <c r="G1050" s="8">
        <v>500</v>
      </c>
    </row>
    <row r="1051" spans="1:7" ht="16" x14ac:dyDescent="0.2">
      <c r="A1051" t="s">
        <v>3499</v>
      </c>
      <c r="B1051" s="32" t="s">
        <v>3251</v>
      </c>
      <c r="C1051" t="s">
        <v>3499</v>
      </c>
      <c r="D1051" s="8" t="s">
        <v>15</v>
      </c>
      <c r="E1051" s="8" t="s">
        <v>3284</v>
      </c>
      <c r="F1051" s="8" t="s">
        <v>3500</v>
      </c>
      <c r="G1051" s="8">
        <v>500</v>
      </c>
    </row>
    <row r="1052" spans="1:7" ht="16" x14ac:dyDescent="0.2">
      <c r="A1052" t="s">
        <v>3501</v>
      </c>
      <c r="B1052" s="32" t="s">
        <v>3251</v>
      </c>
      <c r="C1052" t="s">
        <v>3501</v>
      </c>
      <c r="D1052" s="8" t="s">
        <v>15</v>
      </c>
      <c r="E1052" s="8" t="s">
        <v>3285</v>
      </c>
      <c r="F1052" s="8" t="s">
        <v>3502</v>
      </c>
      <c r="G1052" s="8">
        <v>500</v>
      </c>
    </row>
    <row r="1053" spans="1:7" ht="16" x14ac:dyDescent="0.2">
      <c r="A1053" t="s">
        <v>3503</v>
      </c>
      <c r="B1053" s="32" t="s">
        <v>3251</v>
      </c>
      <c r="C1053" t="s">
        <v>3503</v>
      </c>
      <c r="D1053" s="8" t="s">
        <v>15</v>
      </c>
      <c r="E1053" s="8" t="s">
        <v>3286</v>
      </c>
      <c r="F1053" s="8" t="s">
        <v>3504</v>
      </c>
      <c r="G1053" s="8">
        <v>500</v>
      </c>
    </row>
    <row r="1054" spans="1:7" ht="16" x14ac:dyDescent="0.2">
      <c r="A1054" t="s">
        <v>3505</v>
      </c>
      <c r="B1054" s="32" t="s">
        <v>3251</v>
      </c>
      <c r="C1054" t="s">
        <v>3505</v>
      </c>
      <c r="D1054" s="8" t="s">
        <v>15</v>
      </c>
      <c r="E1054" s="8" t="s">
        <v>3287</v>
      </c>
      <c r="F1054" s="8" t="s">
        <v>3506</v>
      </c>
      <c r="G1054" s="8">
        <v>500</v>
      </c>
    </row>
    <row r="1055" spans="1:7" ht="16" x14ac:dyDescent="0.2">
      <c r="A1055" t="s">
        <v>3507</v>
      </c>
      <c r="B1055" s="32" t="s">
        <v>3251</v>
      </c>
      <c r="C1055" t="s">
        <v>3507</v>
      </c>
      <c r="D1055" s="8" t="s">
        <v>15</v>
      </c>
      <c r="E1055" s="8" t="s">
        <v>3288</v>
      </c>
      <c r="F1055" s="8" t="s">
        <v>3508</v>
      </c>
      <c r="G1055" s="8">
        <v>500</v>
      </c>
    </row>
    <row r="1056" spans="1:7" ht="16" x14ac:dyDescent="0.2">
      <c r="A1056" t="s">
        <v>3509</v>
      </c>
      <c r="B1056" s="32" t="s">
        <v>3251</v>
      </c>
      <c r="C1056" t="s">
        <v>3509</v>
      </c>
      <c r="D1056" s="8" t="s">
        <v>15</v>
      </c>
      <c r="E1056" s="8" t="s">
        <v>3289</v>
      </c>
      <c r="F1056" s="8" t="s">
        <v>3510</v>
      </c>
      <c r="G1056" s="8">
        <v>500</v>
      </c>
    </row>
    <row r="1057" spans="1:7" ht="16" x14ac:dyDescent="0.2">
      <c r="A1057" t="s">
        <v>3511</v>
      </c>
      <c r="B1057" s="32" t="s">
        <v>3251</v>
      </c>
      <c r="C1057" t="s">
        <v>3511</v>
      </c>
      <c r="D1057" s="8" t="s">
        <v>15</v>
      </c>
      <c r="E1057" s="8" t="s">
        <v>3290</v>
      </c>
      <c r="F1057" s="8" t="s">
        <v>3512</v>
      </c>
      <c r="G1057" s="8">
        <v>500</v>
      </c>
    </row>
    <row r="1058" spans="1:7" ht="16" x14ac:dyDescent="0.2">
      <c r="A1058" t="s">
        <v>3513</v>
      </c>
      <c r="B1058" s="32" t="s">
        <v>3251</v>
      </c>
      <c r="C1058" t="s">
        <v>3513</v>
      </c>
      <c r="D1058" s="8" t="s">
        <v>15</v>
      </c>
      <c r="E1058" s="8" t="s">
        <v>3291</v>
      </c>
      <c r="F1058" s="8" t="s">
        <v>3514</v>
      </c>
      <c r="G1058" s="8">
        <v>500</v>
      </c>
    </row>
    <row r="1059" spans="1:7" ht="16" x14ac:dyDescent="0.2">
      <c r="A1059" t="s">
        <v>3515</v>
      </c>
      <c r="B1059" s="32" t="s">
        <v>3251</v>
      </c>
      <c r="C1059" t="s">
        <v>3515</v>
      </c>
      <c r="D1059" s="8" t="s">
        <v>15</v>
      </c>
      <c r="E1059" s="8" t="s">
        <v>3292</v>
      </c>
      <c r="F1059" s="8" t="s">
        <v>3516</v>
      </c>
      <c r="G1059" s="8">
        <v>500</v>
      </c>
    </row>
    <row r="1060" spans="1:7" ht="16" x14ac:dyDescent="0.2">
      <c r="A1060" t="s">
        <v>3517</v>
      </c>
      <c r="B1060" s="32" t="s">
        <v>3251</v>
      </c>
      <c r="C1060" t="s">
        <v>3517</v>
      </c>
      <c r="D1060" s="8" t="s">
        <v>15</v>
      </c>
      <c r="E1060" s="8" t="s">
        <v>3293</v>
      </c>
      <c r="F1060" s="8" t="s">
        <v>3518</v>
      </c>
      <c r="G1060" s="8">
        <v>500</v>
      </c>
    </row>
    <row r="1061" spans="1:7" ht="16" x14ac:dyDescent="0.2">
      <c r="A1061" t="s">
        <v>3519</v>
      </c>
      <c r="B1061" s="32" t="s">
        <v>3251</v>
      </c>
      <c r="C1061" t="s">
        <v>3519</v>
      </c>
      <c r="D1061" s="8" t="s">
        <v>15</v>
      </c>
      <c r="E1061" s="8" t="s">
        <v>3294</v>
      </c>
      <c r="F1061" s="8" t="s">
        <v>3520</v>
      </c>
      <c r="G1061" s="8">
        <v>500</v>
      </c>
    </row>
    <row r="1062" spans="1:7" ht="16" x14ac:dyDescent="0.2">
      <c r="A1062" t="s">
        <v>3521</v>
      </c>
      <c r="B1062" s="32" t="s">
        <v>3251</v>
      </c>
      <c r="C1062" t="s">
        <v>3521</v>
      </c>
      <c r="D1062" s="8" t="s">
        <v>15</v>
      </c>
      <c r="E1062" s="8" t="s">
        <v>3295</v>
      </c>
      <c r="F1062" s="8" t="s">
        <v>3522</v>
      </c>
      <c r="G1062" s="8">
        <v>500</v>
      </c>
    </row>
    <row r="1063" spans="1:7" ht="16" x14ac:dyDescent="0.2">
      <c r="A1063" t="s">
        <v>3523</v>
      </c>
      <c r="B1063" s="32" t="s">
        <v>3251</v>
      </c>
      <c r="C1063" t="s">
        <v>3523</v>
      </c>
      <c r="D1063" s="8" t="s">
        <v>15</v>
      </c>
      <c r="E1063" s="8" t="s">
        <v>3296</v>
      </c>
      <c r="F1063" s="8" t="s">
        <v>3524</v>
      </c>
      <c r="G1063" s="8">
        <v>500</v>
      </c>
    </row>
    <row r="1064" spans="1:7" ht="16" x14ac:dyDescent="0.2">
      <c r="A1064" t="s">
        <v>3525</v>
      </c>
      <c r="B1064" s="32" t="s">
        <v>3251</v>
      </c>
      <c r="C1064" t="s">
        <v>3525</v>
      </c>
      <c r="D1064" s="8" t="s">
        <v>15</v>
      </c>
      <c r="E1064" s="8" t="s">
        <v>3297</v>
      </c>
      <c r="F1064" s="8" t="s">
        <v>3526</v>
      </c>
      <c r="G1064" s="8">
        <v>500</v>
      </c>
    </row>
    <row r="1065" spans="1:7" ht="16" x14ac:dyDescent="0.2">
      <c r="A1065" t="s">
        <v>3527</v>
      </c>
      <c r="B1065" s="32" t="s">
        <v>3251</v>
      </c>
      <c r="C1065" t="s">
        <v>3527</v>
      </c>
      <c r="D1065" s="8" t="s">
        <v>15</v>
      </c>
      <c r="E1065" s="8" t="s">
        <v>3298</v>
      </c>
      <c r="F1065" s="8" t="s">
        <v>3528</v>
      </c>
      <c r="G1065" s="8">
        <v>500</v>
      </c>
    </row>
    <row r="1066" spans="1:7" ht="16" x14ac:dyDescent="0.2">
      <c r="A1066" t="s">
        <v>3529</v>
      </c>
      <c r="B1066" s="32" t="s">
        <v>3251</v>
      </c>
      <c r="C1066" t="s">
        <v>3529</v>
      </c>
      <c r="D1066" s="8" t="s">
        <v>15</v>
      </c>
      <c r="E1066" s="8" t="s">
        <v>3299</v>
      </c>
      <c r="F1066" s="8" t="s">
        <v>3530</v>
      </c>
      <c r="G1066" s="8">
        <v>500</v>
      </c>
    </row>
    <row r="1067" spans="1:7" ht="16" x14ac:dyDescent="0.2">
      <c r="A1067" t="s">
        <v>3531</v>
      </c>
      <c r="B1067" s="32" t="s">
        <v>3251</v>
      </c>
      <c r="C1067" t="s">
        <v>3531</v>
      </c>
      <c r="D1067" s="8" t="s">
        <v>15</v>
      </c>
      <c r="E1067" s="8" t="s">
        <v>3300</v>
      </c>
      <c r="F1067" s="8" t="s">
        <v>3532</v>
      </c>
      <c r="G1067" s="8">
        <v>500</v>
      </c>
    </row>
    <row r="1068" spans="1:7" ht="16" x14ac:dyDescent="0.2">
      <c r="A1068" t="s">
        <v>3533</v>
      </c>
      <c r="B1068" s="32" t="s">
        <v>3251</v>
      </c>
      <c r="C1068" t="s">
        <v>3533</v>
      </c>
      <c r="D1068" s="8" t="s">
        <v>15</v>
      </c>
      <c r="E1068" s="8" t="s">
        <v>3301</v>
      </c>
      <c r="F1068" s="8" t="s">
        <v>3534</v>
      </c>
      <c r="G1068" s="8">
        <v>500</v>
      </c>
    </row>
    <row r="1069" spans="1:7" ht="16" x14ac:dyDescent="0.2">
      <c r="A1069" t="s">
        <v>3535</v>
      </c>
      <c r="B1069" s="32" t="s">
        <v>3251</v>
      </c>
      <c r="C1069" t="s">
        <v>3535</v>
      </c>
      <c r="D1069" s="8" t="s">
        <v>15</v>
      </c>
      <c r="E1069" s="8" t="s">
        <v>3302</v>
      </c>
      <c r="F1069" s="8" t="s">
        <v>3536</v>
      </c>
      <c r="G1069" s="8">
        <v>500</v>
      </c>
    </row>
    <row r="1070" spans="1:7" ht="16" x14ac:dyDescent="0.2">
      <c r="A1070" t="s">
        <v>3537</v>
      </c>
      <c r="B1070" s="32" t="s">
        <v>3251</v>
      </c>
      <c r="C1070" t="s">
        <v>3537</v>
      </c>
      <c r="D1070" s="8" t="s">
        <v>15</v>
      </c>
      <c r="E1070" s="8" t="s">
        <v>3303</v>
      </c>
      <c r="F1070" s="8" t="s">
        <v>3538</v>
      </c>
      <c r="G1070" s="8">
        <v>500</v>
      </c>
    </row>
    <row r="1071" spans="1:7" ht="16" x14ac:dyDescent="0.2">
      <c r="A1071" t="s">
        <v>3539</v>
      </c>
      <c r="B1071" s="32" t="s">
        <v>3251</v>
      </c>
      <c r="C1071" t="s">
        <v>3539</v>
      </c>
      <c r="D1071" s="8" t="s">
        <v>15</v>
      </c>
      <c r="E1071" s="8" t="s">
        <v>3304</v>
      </c>
      <c r="F1071" s="8" t="s">
        <v>3540</v>
      </c>
      <c r="G1071" s="8">
        <v>500</v>
      </c>
    </row>
    <row r="1072" spans="1:7" ht="16" x14ac:dyDescent="0.2">
      <c r="A1072" t="s">
        <v>3541</v>
      </c>
      <c r="B1072" s="32" t="s">
        <v>3251</v>
      </c>
      <c r="C1072" t="s">
        <v>3541</v>
      </c>
      <c r="D1072" s="8" t="s">
        <v>15</v>
      </c>
      <c r="E1072" s="8" t="s">
        <v>3305</v>
      </c>
      <c r="F1072" s="8" t="s">
        <v>3542</v>
      </c>
      <c r="G1072" s="8">
        <v>500</v>
      </c>
    </row>
    <row r="1073" spans="1:7" ht="16" x14ac:dyDescent="0.2">
      <c r="A1073" t="s">
        <v>3543</v>
      </c>
      <c r="B1073" s="32" t="s">
        <v>3251</v>
      </c>
      <c r="C1073" t="s">
        <v>3543</v>
      </c>
      <c r="D1073" s="8" t="s">
        <v>15</v>
      </c>
      <c r="E1073" s="8" t="s">
        <v>3544</v>
      </c>
      <c r="F1073" s="8" t="s">
        <v>3545</v>
      </c>
      <c r="G1073" s="8">
        <v>500</v>
      </c>
    </row>
    <row r="1074" spans="1:7" ht="16" x14ac:dyDescent="0.2">
      <c r="A1074" t="s">
        <v>3546</v>
      </c>
      <c r="B1074" s="32" t="s">
        <v>3251</v>
      </c>
      <c r="C1074" t="s">
        <v>3546</v>
      </c>
      <c r="D1074" s="8" t="s">
        <v>15</v>
      </c>
      <c r="E1074" s="8" t="s">
        <v>3547</v>
      </c>
      <c r="F1074" s="8" t="s">
        <v>3548</v>
      </c>
      <c r="G1074" s="8">
        <v>500</v>
      </c>
    </row>
    <row r="1075" spans="1:7" ht="16" x14ac:dyDescent="0.2">
      <c r="A1075" t="s">
        <v>3549</v>
      </c>
      <c r="B1075" s="32" t="s">
        <v>3251</v>
      </c>
      <c r="C1075" t="s">
        <v>3549</v>
      </c>
      <c r="D1075" s="8" t="s">
        <v>15</v>
      </c>
      <c r="E1075" s="8" t="s">
        <v>3306</v>
      </c>
      <c r="F1075" s="8" t="s">
        <v>3550</v>
      </c>
      <c r="G1075" s="8">
        <v>500</v>
      </c>
    </row>
    <row r="1076" spans="1:7" ht="16" x14ac:dyDescent="0.2">
      <c r="A1076" t="s">
        <v>3551</v>
      </c>
      <c r="B1076" s="32" t="s">
        <v>3251</v>
      </c>
      <c r="C1076" t="s">
        <v>3551</v>
      </c>
      <c r="D1076" s="8" t="s">
        <v>15</v>
      </c>
      <c r="E1076" s="8" t="s">
        <v>3307</v>
      </c>
      <c r="F1076" s="8" t="s">
        <v>3552</v>
      </c>
      <c r="G1076" s="8">
        <v>500</v>
      </c>
    </row>
    <row r="1077" spans="1:7" ht="16" x14ac:dyDescent="0.2">
      <c r="A1077" t="s">
        <v>3553</v>
      </c>
      <c r="B1077" s="32" t="s">
        <v>3251</v>
      </c>
      <c r="C1077" t="s">
        <v>3553</v>
      </c>
      <c r="D1077" s="8" t="s">
        <v>15</v>
      </c>
      <c r="E1077" s="8" t="s">
        <v>3308</v>
      </c>
      <c r="F1077" s="8" t="s">
        <v>3554</v>
      </c>
      <c r="G1077" s="8">
        <v>500</v>
      </c>
    </row>
    <row r="1078" spans="1:7" ht="16" x14ac:dyDescent="0.2">
      <c r="A1078" t="s">
        <v>3555</v>
      </c>
      <c r="B1078" s="32" t="s">
        <v>3251</v>
      </c>
      <c r="C1078" t="s">
        <v>3555</v>
      </c>
      <c r="D1078" s="8" t="s">
        <v>15</v>
      </c>
      <c r="E1078" s="8" t="s">
        <v>3309</v>
      </c>
      <c r="F1078" s="8" t="s">
        <v>3556</v>
      </c>
      <c r="G1078" s="8">
        <v>500</v>
      </c>
    </row>
    <row r="1079" spans="1:7" ht="16" x14ac:dyDescent="0.2">
      <c r="A1079" t="s">
        <v>3557</v>
      </c>
      <c r="B1079" s="32" t="s">
        <v>3251</v>
      </c>
      <c r="C1079" t="s">
        <v>3557</v>
      </c>
      <c r="D1079" s="8" t="s">
        <v>15</v>
      </c>
      <c r="E1079" s="8" t="s">
        <v>3310</v>
      </c>
      <c r="F1079" s="8" t="s">
        <v>3558</v>
      </c>
      <c r="G1079" s="8">
        <v>500</v>
      </c>
    </row>
    <row r="1080" spans="1:7" ht="16" x14ac:dyDescent="0.2">
      <c r="A1080" t="s">
        <v>3559</v>
      </c>
      <c r="B1080" s="32" t="s">
        <v>3251</v>
      </c>
      <c r="C1080" t="s">
        <v>3559</v>
      </c>
      <c r="D1080" s="8" t="s">
        <v>15</v>
      </c>
      <c r="E1080" s="8" t="s">
        <v>3311</v>
      </c>
      <c r="F1080" s="8" t="s">
        <v>3560</v>
      </c>
      <c r="G1080" s="8">
        <v>500</v>
      </c>
    </row>
    <row r="1081" spans="1:7" ht="16" x14ac:dyDescent="0.2">
      <c r="A1081" t="s">
        <v>3561</v>
      </c>
      <c r="B1081" s="32" t="s">
        <v>3251</v>
      </c>
      <c r="C1081" t="s">
        <v>3561</v>
      </c>
      <c r="D1081" s="8" t="s">
        <v>15</v>
      </c>
      <c r="E1081" s="8" t="s">
        <v>3312</v>
      </c>
      <c r="F1081" s="8" t="s">
        <v>3562</v>
      </c>
      <c r="G1081" s="8">
        <v>500</v>
      </c>
    </row>
    <row r="1082" spans="1:7" ht="16" x14ac:dyDescent="0.2">
      <c r="A1082" t="s">
        <v>3563</v>
      </c>
      <c r="B1082" s="32" t="s">
        <v>3251</v>
      </c>
      <c r="C1082" t="s">
        <v>3563</v>
      </c>
      <c r="D1082" s="8" t="s">
        <v>15</v>
      </c>
      <c r="E1082" s="8" t="s">
        <v>3564</v>
      </c>
      <c r="F1082" s="8" t="s">
        <v>3565</v>
      </c>
      <c r="G1082" s="8">
        <v>500</v>
      </c>
    </row>
    <row r="1083" spans="1:7" ht="16" x14ac:dyDescent="0.2">
      <c r="A1083" t="s">
        <v>3566</v>
      </c>
      <c r="B1083" s="32" t="s">
        <v>3251</v>
      </c>
      <c r="C1083" t="s">
        <v>3566</v>
      </c>
      <c r="D1083" s="8" t="s">
        <v>15</v>
      </c>
      <c r="E1083" s="8" t="s">
        <v>3567</v>
      </c>
      <c r="F1083" s="8" t="s">
        <v>3568</v>
      </c>
      <c r="G1083" s="8">
        <v>500</v>
      </c>
    </row>
    <row r="1084" spans="1:7" ht="16" x14ac:dyDescent="0.2">
      <c r="A1084" t="s">
        <v>3569</v>
      </c>
      <c r="B1084" s="32" t="s">
        <v>3251</v>
      </c>
      <c r="C1084" t="s">
        <v>3569</v>
      </c>
      <c r="D1084" s="8" t="s">
        <v>15</v>
      </c>
      <c r="E1084" s="8" t="s">
        <v>3567</v>
      </c>
      <c r="F1084" s="8" t="s">
        <v>3570</v>
      </c>
      <c r="G1084" s="8">
        <v>500</v>
      </c>
    </row>
    <row r="1085" spans="1:7" ht="16" x14ac:dyDescent="0.2">
      <c r="A1085" t="s">
        <v>3571</v>
      </c>
      <c r="B1085" s="32" t="s">
        <v>3251</v>
      </c>
      <c r="C1085" t="s">
        <v>3571</v>
      </c>
      <c r="D1085" s="8" t="s">
        <v>15</v>
      </c>
      <c r="E1085" s="8" t="s">
        <v>3313</v>
      </c>
      <c r="F1085" s="8" t="s">
        <v>3572</v>
      </c>
      <c r="G1085" s="8">
        <v>500</v>
      </c>
    </row>
    <row r="1086" spans="1:7" ht="16" x14ac:dyDescent="0.2">
      <c r="A1086" t="s">
        <v>3573</v>
      </c>
      <c r="B1086" s="32" t="s">
        <v>3251</v>
      </c>
      <c r="C1086" t="s">
        <v>3573</v>
      </c>
      <c r="D1086" s="8" t="s">
        <v>15</v>
      </c>
      <c r="E1086" s="8" t="s">
        <v>3314</v>
      </c>
      <c r="F1086" s="8" t="s">
        <v>3574</v>
      </c>
      <c r="G1086" s="8">
        <v>500</v>
      </c>
    </row>
    <row r="1087" spans="1:7" ht="16" x14ac:dyDescent="0.2">
      <c r="A1087" t="s">
        <v>3575</v>
      </c>
      <c r="B1087" s="32" t="s">
        <v>3251</v>
      </c>
      <c r="C1087" t="s">
        <v>3575</v>
      </c>
      <c r="D1087" s="8" t="s">
        <v>15</v>
      </c>
      <c r="E1087" s="8" t="s">
        <v>3315</v>
      </c>
      <c r="F1087" s="8" t="s">
        <v>3576</v>
      </c>
      <c r="G1087" s="8">
        <v>500</v>
      </c>
    </row>
    <row r="1088" spans="1:7" ht="16" x14ac:dyDescent="0.2">
      <c r="A1088" t="s">
        <v>3577</v>
      </c>
      <c r="B1088" s="32" t="s">
        <v>3251</v>
      </c>
      <c r="C1088" t="s">
        <v>3577</v>
      </c>
      <c r="D1088" s="8" t="s">
        <v>15</v>
      </c>
      <c r="E1088" s="8" t="s">
        <v>3316</v>
      </c>
      <c r="F1088" s="8" t="s">
        <v>3578</v>
      </c>
      <c r="G1088" s="8">
        <v>500</v>
      </c>
    </row>
    <row r="1089" spans="1:7" ht="16" x14ac:dyDescent="0.2">
      <c r="A1089" t="s">
        <v>3579</v>
      </c>
      <c r="B1089" s="32" t="s">
        <v>3251</v>
      </c>
      <c r="C1089" t="s">
        <v>3579</v>
      </c>
      <c r="D1089" s="8" t="s">
        <v>15</v>
      </c>
      <c r="E1089" s="8" t="s">
        <v>3317</v>
      </c>
      <c r="F1089" s="8" t="s">
        <v>3580</v>
      </c>
      <c r="G1089" s="8">
        <v>500</v>
      </c>
    </row>
    <row r="1090" spans="1:7" ht="16" x14ac:dyDescent="0.2">
      <c r="A1090" t="s">
        <v>3581</v>
      </c>
      <c r="B1090" s="32" t="s">
        <v>3251</v>
      </c>
      <c r="C1090" t="s">
        <v>3581</v>
      </c>
      <c r="D1090" s="8" t="s">
        <v>15</v>
      </c>
      <c r="E1090" s="8" t="s">
        <v>3318</v>
      </c>
      <c r="F1090" s="8" t="s">
        <v>3582</v>
      </c>
      <c r="G1090" s="8">
        <v>500</v>
      </c>
    </row>
    <row r="1091" spans="1:7" ht="16" x14ac:dyDescent="0.2">
      <c r="A1091" t="s">
        <v>3583</v>
      </c>
      <c r="B1091" s="32" t="s">
        <v>3251</v>
      </c>
      <c r="C1091" t="s">
        <v>3583</v>
      </c>
      <c r="D1091" s="8" t="s">
        <v>15</v>
      </c>
      <c r="E1091" s="8" t="s">
        <v>3319</v>
      </c>
      <c r="F1091" s="8" t="s">
        <v>3584</v>
      </c>
      <c r="G1091" s="8">
        <v>500</v>
      </c>
    </row>
    <row r="1092" spans="1:7" ht="16" x14ac:dyDescent="0.2">
      <c r="A1092" t="s">
        <v>3585</v>
      </c>
      <c r="B1092" s="32" t="s">
        <v>3251</v>
      </c>
      <c r="C1092" t="s">
        <v>3585</v>
      </c>
      <c r="D1092" s="8" t="s">
        <v>15</v>
      </c>
      <c r="E1092" s="8" t="s">
        <v>3320</v>
      </c>
      <c r="F1092" s="8" t="s">
        <v>3586</v>
      </c>
      <c r="G1092" s="8">
        <v>500</v>
      </c>
    </row>
    <row r="1093" spans="1:7" ht="16" x14ac:dyDescent="0.2">
      <c r="A1093" t="s">
        <v>3587</v>
      </c>
      <c r="B1093" s="32" t="s">
        <v>3251</v>
      </c>
      <c r="C1093" t="s">
        <v>3587</v>
      </c>
      <c r="D1093" s="8" t="s">
        <v>15</v>
      </c>
      <c r="E1093" s="8" t="s">
        <v>3321</v>
      </c>
      <c r="F1093" s="8" t="s">
        <v>3588</v>
      </c>
      <c r="G1093" s="8">
        <v>500</v>
      </c>
    </row>
    <row r="1094" spans="1:7" ht="16" x14ac:dyDescent="0.2">
      <c r="A1094" t="s">
        <v>3589</v>
      </c>
      <c r="B1094" s="32" t="s">
        <v>3251</v>
      </c>
      <c r="C1094" t="s">
        <v>3589</v>
      </c>
      <c r="D1094" s="8" t="s">
        <v>15</v>
      </c>
      <c r="E1094" s="8" t="s">
        <v>3322</v>
      </c>
      <c r="F1094" s="8" t="s">
        <v>3590</v>
      </c>
      <c r="G1094" s="8">
        <v>500</v>
      </c>
    </row>
    <row r="1095" spans="1:7" ht="16" x14ac:dyDescent="0.2">
      <c r="A1095" t="s">
        <v>3591</v>
      </c>
      <c r="B1095" s="32" t="s">
        <v>3251</v>
      </c>
      <c r="C1095" t="s">
        <v>3591</v>
      </c>
      <c r="D1095" s="8" t="s">
        <v>15</v>
      </c>
      <c r="E1095" s="8" t="s">
        <v>3323</v>
      </c>
      <c r="F1095" s="8" t="s">
        <v>3592</v>
      </c>
      <c r="G1095" s="8">
        <v>500</v>
      </c>
    </row>
    <row r="1096" spans="1:7" ht="16" x14ac:dyDescent="0.2">
      <c r="A1096" t="s">
        <v>3593</v>
      </c>
      <c r="B1096" s="32" t="s">
        <v>3251</v>
      </c>
      <c r="C1096" t="s">
        <v>3593</v>
      </c>
      <c r="D1096" s="8" t="s">
        <v>15</v>
      </c>
      <c r="E1096" s="8" t="s">
        <v>3324</v>
      </c>
      <c r="F1096" s="8" t="s">
        <v>3594</v>
      </c>
      <c r="G1096" s="8">
        <v>500</v>
      </c>
    </row>
    <row r="1097" spans="1:7" ht="16" x14ac:dyDescent="0.2">
      <c r="A1097" t="s">
        <v>3595</v>
      </c>
      <c r="B1097" s="32" t="s">
        <v>3251</v>
      </c>
      <c r="C1097" t="s">
        <v>3595</v>
      </c>
      <c r="D1097" s="8" t="s">
        <v>15</v>
      </c>
      <c r="E1097" s="8" t="s">
        <v>3325</v>
      </c>
      <c r="F1097" s="8" t="s">
        <v>3596</v>
      </c>
      <c r="G1097" s="8">
        <v>500</v>
      </c>
    </row>
    <row r="1098" spans="1:7" ht="16" x14ac:dyDescent="0.2">
      <c r="A1098" t="s">
        <v>3597</v>
      </c>
      <c r="B1098" s="32" t="s">
        <v>3251</v>
      </c>
      <c r="C1098" t="s">
        <v>3597</v>
      </c>
      <c r="D1098" s="8" t="s">
        <v>15</v>
      </c>
      <c r="E1098" s="8" t="s">
        <v>3326</v>
      </c>
      <c r="F1098" s="8" t="s">
        <v>3598</v>
      </c>
      <c r="G1098" s="8">
        <v>500</v>
      </c>
    </row>
    <row r="1099" spans="1:7" ht="16" x14ac:dyDescent="0.2">
      <c r="A1099" t="s">
        <v>3599</v>
      </c>
      <c r="B1099" s="32" t="s">
        <v>3251</v>
      </c>
      <c r="C1099" t="s">
        <v>3599</v>
      </c>
      <c r="D1099" s="8" t="s">
        <v>15</v>
      </c>
      <c r="E1099" s="8" t="s">
        <v>3327</v>
      </c>
      <c r="F1099" s="8" t="s">
        <v>3600</v>
      </c>
      <c r="G1099" s="8">
        <v>500</v>
      </c>
    </row>
    <row r="1100" spans="1:7" ht="16" x14ac:dyDescent="0.2">
      <c r="A1100" t="s">
        <v>3601</v>
      </c>
      <c r="B1100" s="32" t="s">
        <v>3251</v>
      </c>
      <c r="C1100" t="s">
        <v>3601</v>
      </c>
      <c r="D1100" s="8" t="s">
        <v>15</v>
      </c>
      <c r="E1100" s="8" t="s">
        <v>3328</v>
      </c>
      <c r="F1100" s="8" t="s">
        <v>3602</v>
      </c>
      <c r="G1100" s="8">
        <v>500</v>
      </c>
    </row>
    <row r="1101" spans="1:7" ht="16" x14ac:dyDescent="0.2">
      <c r="A1101" t="s">
        <v>3603</v>
      </c>
      <c r="B1101" s="32" t="s">
        <v>3251</v>
      </c>
      <c r="C1101" t="s">
        <v>3603</v>
      </c>
      <c r="D1101" s="8" t="s">
        <v>15</v>
      </c>
      <c r="E1101" s="8" t="s">
        <v>3329</v>
      </c>
      <c r="F1101" s="8" t="s">
        <v>3604</v>
      </c>
      <c r="G1101" s="8">
        <v>500</v>
      </c>
    </row>
    <row r="1102" spans="1:7" ht="16" x14ac:dyDescent="0.2">
      <c r="A1102" t="s">
        <v>3605</v>
      </c>
      <c r="B1102" s="32" t="s">
        <v>3251</v>
      </c>
      <c r="C1102" t="s">
        <v>3605</v>
      </c>
      <c r="D1102" s="8" t="s">
        <v>15</v>
      </c>
      <c r="E1102" s="8" t="s">
        <v>3847</v>
      </c>
      <c r="F1102" s="8" t="s">
        <v>3848</v>
      </c>
      <c r="G1102" s="8">
        <v>500</v>
      </c>
    </row>
    <row r="1103" spans="1:7" ht="16" x14ac:dyDescent="0.2">
      <c r="A1103" t="s">
        <v>3606</v>
      </c>
      <c r="B1103" s="32" t="s">
        <v>3251</v>
      </c>
      <c r="C1103" t="s">
        <v>3606</v>
      </c>
      <c r="D1103" s="8" t="s">
        <v>15</v>
      </c>
      <c r="E1103" s="8" t="s">
        <v>3330</v>
      </c>
      <c r="F1103" s="8" t="s">
        <v>3607</v>
      </c>
      <c r="G1103" s="8">
        <v>500</v>
      </c>
    </row>
    <row r="1104" spans="1:7" ht="16" x14ac:dyDescent="0.2">
      <c r="A1104" t="s">
        <v>3608</v>
      </c>
      <c r="B1104" s="32" t="s">
        <v>3251</v>
      </c>
      <c r="C1104" t="s">
        <v>3608</v>
      </c>
      <c r="D1104" s="8" t="s">
        <v>15</v>
      </c>
      <c r="E1104" s="8" t="s">
        <v>3331</v>
      </c>
      <c r="F1104" s="8" t="s">
        <v>3609</v>
      </c>
      <c r="G1104" s="8">
        <v>500</v>
      </c>
    </row>
    <row r="1105" spans="1:7" ht="16" x14ac:dyDescent="0.2">
      <c r="A1105" t="s">
        <v>3610</v>
      </c>
      <c r="B1105" s="32" t="s">
        <v>3251</v>
      </c>
      <c r="C1105" t="s">
        <v>3610</v>
      </c>
      <c r="D1105" s="8" t="s">
        <v>15</v>
      </c>
      <c r="E1105" s="8" t="s">
        <v>3332</v>
      </c>
      <c r="F1105" s="8" t="s">
        <v>3611</v>
      </c>
      <c r="G1105" s="8">
        <v>500</v>
      </c>
    </row>
    <row r="1106" spans="1:7" ht="16" x14ac:dyDescent="0.2">
      <c r="A1106" t="s">
        <v>3612</v>
      </c>
      <c r="B1106" s="32" t="s">
        <v>3251</v>
      </c>
      <c r="C1106" t="s">
        <v>3612</v>
      </c>
      <c r="D1106" s="8" t="s">
        <v>15</v>
      </c>
      <c r="E1106" s="8" t="s">
        <v>3333</v>
      </c>
      <c r="F1106" s="8" t="s">
        <v>3613</v>
      </c>
      <c r="G1106" s="8">
        <v>500</v>
      </c>
    </row>
    <row r="1107" spans="1:7" ht="16" x14ac:dyDescent="0.2">
      <c r="A1107" t="s">
        <v>3614</v>
      </c>
      <c r="B1107" s="32" t="s">
        <v>3251</v>
      </c>
      <c r="C1107" t="s">
        <v>3614</v>
      </c>
      <c r="D1107" s="8" t="s">
        <v>15</v>
      </c>
      <c r="E1107" s="8" t="s">
        <v>3334</v>
      </c>
      <c r="F1107" s="8" t="s">
        <v>3615</v>
      </c>
      <c r="G1107" s="8">
        <v>500</v>
      </c>
    </row>
    <row r="1108" spans="1:7" ht="16" x14ac:dyDescent="0.2">
      <c r="A1108" t="s">
        <v>3616</v>
      </c>
      <c r="B1108" s="32" t="s">
        <v>3251</v>
      </c>
      <c r="C1108" t="s">
        <v>3616</v>
      </c>
      <c r="D1108" s="8" t="s">
        <v>15</v>
      </c>
      <c r="E1108" s="8" t="s">
        <v>3617</v>
      </c>
      <c r="F1108" s="8" t="s">
        <v>3618</v>
      </c>
      <c r="G1108" s="8">
        <v>500</v>
      </c>
    </row>
    <row r="1109" spans="1:7" ht="16" x14ac:dyDescent="0.2">
      <c r="A1109" t="s">
        <v>3619</v>
      </c>
      <c r="B1109" s="32" t="s">
        <v>3251</v>
      </c>
      <c r="C1109" t="s">
        <v>3619</v>
      </c>
      <c r="D1109" s="8" t="s">
        <v>15</v>
      </c>
      <c r="E1109" s="8" t="s">
        <v>3620</v>
      </c>
      <c r="F1109" s="8" t="s">
        <v>3621</v>
      </c>
      <c r="G1109" s="8">
        <v>500</v>
      </c>
    </row>
    <row r="1110" spans="1:7" ht="16" x14ac:dyDescent="0.2">
      <c r="A1110" t="s">
        <v>3622</v>
      </c>
      <c r="B1110" s="32" t="s">
        <v>3251</v>
      </c>
      <c r="C1110" t="s">
        <v>3622</v>
      </c>
      <c r="D1110" s="8" t="s">
        <v>15</v>
      </c>
      <c r="E1110" s="8" t="s">
        <v>3335</v>
      </c>
      <c r="F1110" s="8" t="s">
        <v>3623</v>
      </c>
      <c r="G1110" s="8">
        <v>500</v>
      </c>
    </row>
    <row r="1111" spans="1:7" ht="16" x14ac:dyDescent="0.2">
      <c r="A1111" t="s">
        <v>3624</v>
      </c>
      <c r="B1111" s="32" t="s">
        <v>3251</v>
      </c>
      <c r="C1111" t="s">
        <v>3624</v>
      </c>
      <c r="D1111" s="8" t="s">
        <v>15</v>
      </c>
      <c r="E1111" s="8" t="s">
        <v>3336</v>
      </c>
      <c r="F1111" s="8" t="s">
        <v>3625</v>
      </c>
      <c r="G1111" s="8">
        <v>500</v>
      </c>
    </row>
    <row r="1112" spans="1:7" ht="16" x14ac:dyDescent="0.2">
      <c r="A1112" t="s">
        <v>3626</v>
      </c>
      <c r="B1112" s="32" t="s">
        <v>3251</v>
      </c>
      <c r="C1112" t="s">
        <v>3626</v>
      </c>
      <c r="D1112" s="8" t="s">
        <v>15</v>
      </c>
      <c r="E1112" s="8" t="s">
        <v>3337</v>
      </c>
      <c r="F1112" s="8" t="s">
        <v>3627</v>
      </c>
      <c r="G1112" s="8">
        <v>500</v>
      </c>
    </row>
    <row r="1113" spans="1:7" ht="16" x14ac:dyDescent="0.2">
      <c r="A1113" t="s">
        <v>3628</v>
      </c>
      <c r="B1113" s="32" t="s">
        <v>3251</v>
      </c>
      <c r="C1113" t="s">
        <v>3628</v>
      </c>
      <c r="D1113" s="8" t="s">
        <v>15</v>
      </c>
      <c r="E1113" s="8" t="s">
        <v>3338</v>
      </c>
      <c r="F1113" s="8" t="s">
        <v>3629</v>
      </c>
      <c r="G1113" s="8">
        <v>500</v>
      </c>
    </row>
    <row r="1114" spans="1:7" ht="16" x14ac:dyDescent="0.2">
      <c r="A1114" t="s">
        <v>3630</v>
      </c>
      <c r="B1114" s="32" t="s">
        <v>3251</v>
      </c>
      <c r="C1114" t="s">
        <v>3630</v>
      </c>
      <c r="D1114" s="8" t="s">
        <v>15</v>
      </c>
      <c r="E1114" s="8" t="s">
        <v>3339</v>
      </c>
      <c r="F1114" s="8" t="s">
        <v>3631</v>
      </c>
      <c r="G1114" s="8">
        <v>500</v>
      </c>
    </row>
    <row r="1115" spans="1:7" ht="16" x14ac:dyDescent="0.2">
      <c r="A1115" t="s">
        <v>3632</v>
      </c>
      <c r="B1115" s="32" t="s">
        <v>3251</v>
      </c>
      <c r="C1115" t="s">
        <v>3632</v>
      </c>
      <c r="D1115" s="8" t="s">
        <v>15</v>
      </c>
      <c r="E1115" s="8" t="s">
        <v>3340</v>
      </c>
      <c r="F1115" s="8" t="s">
        <v>3633</v>
      </c>
      <c r="G1115" s="8">
        <v>500</v>
      </c>
    </row>
    <row r="1116" spans="1:7" ht="16" x14ac:dyDescent="0.2">
      <c r="A1116" t="s">
        <v>3634</v>
      </c>
      <c r="B1116" s="32" t="s">
        <v>3251</v>
      </c>
      <c r="C1116" t="s">
        <v>3634</v>
      </c>
      <c r="D1116" s="8" t="s">
        <v>15</v>
      </c>
      <c r="E1116" s="8" t="s">
        <v>3341</v>
      </c>
      <c r="F1116" s="8" t="s">
        <v>3635</v>
      </c>
      <c r="G1116" s="8">
        <v>500</v>
      </c>
    </row>
    <row r="1117" spans="1:7" ht="16" x14ac:dyDescent="0.2">
      <c r="A1117" t="s">
        <v>3636</v>
      </c>
      <c r="B1117" s="32" t="s">
        <v>3251</v>
      </c>
      <c r="C1117" t="s">
        <v>3636</v>
      </c>
      <c r="D1117" s="8" t="s">
        <v>15</v>
      </c>
      <c r="E1117" s="8" t="s">
        <v>3637</v>
      </c>
      <c r="F1117" s="8" t="s">
        <v>3638</v>
      </c>
      <c r="G1117" s="8">
        <v>500</v>
      </c>
    </row>
    <row r="1118" spans="1:7" ht="16" x14ac:dyDescent="0.2">
      <c r="A1118" t="s">
        <v>3639</v>
      </c>
      <c r="B1118" s="32" t="s">
        <v>3251</v>
      </c>
      <c r="C1118" t="s">
        <v>3639</v>
      </c>
      <c r="D1118" s="8" t="s">
        <v>15</v>
      </c>
      <c r="E1118" s="8" t="s">
        <v>3342</v>
      </c>
      <c r="F1118" s="8" t="s">
        <v>3640</v>
      </c>
      <c r="G1118" s="8">
        <v>500</v>
      </c>
    </row>
    <row r="1119" spans="1:7" ht="16" x14ac:dyDescent="0.2">
      <c r="A1119" t="s">
        <v>3641</v>
      </c>
      <c r="B1119" s="32" t="s">
        <v>3251</v>
      </c>
      <c r="C1119" t="s">
        <v>3641</v>
      </c>
      <c r="D1119" s="8" t="s">
        <v>15</v>
      </c>
      <c r="E1119" s="8" t="s">
        <v>3343</v>
      </c>
      <c r="F1119" s="8" t="s">
        <v>3642</v>
      </c>
      <c r="G1119" s="8">
        <v>500</v>
      </c>
    </row>
    <row r="1120" spans="1:7" ht="16" x14ac:dyDescent="0.2">
      <c r="A1120" t="s">
        <v>3643</v>
      </c>
      <c r="B1120" s="32" t="s">
        <v>3251</v>
      </c>
      <c r="C1120" t="s">
        <v>3643</v>
      </c>
      <c r="D1120" s="8" t="s">
        <v>15</v>
      </c>
      <c r="E1120" s="8" t="s">
        <v>3344</v>
      </c>
      <c r="F1120" s="8" t="s">
        <v>3644</v>
      </c>
      <c r="G1120" s="8">
        <v>500</v>
      </c>
    </row>
    <row r="1121" spans="1:7" ht="16" x14ac:dyDescent="0.2">
      <c r="A1121" t="s">
        <v>3645</v>
      </c>
      <c r="B1121" s="32" t="s">
        <v>3251</v>
      </c>
      <c r="C1121" t="s">
        <v>3645</v>
      </c>
      <c r="D1121" s="8" t="s">
        <v>15</v>
      </c>
      <c r="E1121" s="8" t="s">
        <v>3345</v>
      </c>
      <c r="F1121" s="8" t="s">
        <v>3646</v>
      </c>
      <c r="G1121" s="8">
        <v>500</v>
      </c>
    </row>
    <row r="1122" spans="1:7" ht="16" x14ac:dyDescent="0.2">
      <c r="A1122" t="s">
        <v>3647</v>
      </c>
      <c r="B1122" s="32" t="s">
        <v>3251</v>
      </c>
      <c r="C1122" t="s">
        <v>3647</v>
      </c>
      <c r="D1122" s="8" t="s">
        <v>15</v>
      </c>
      <c r="E1122" s="8" t="s">
        <v>3346</v>
      </c>
      <c r="F1122" s="8" t="s">
        <v>3648</v>
      </c>
      <c r="G1122" s="8">
        <v>500</v>
      </c>
    </row>
    <row r="1123" spans="1:7" ht="16" x14ac:dyDescent="0.2">
      <c r="A1123" t="s">
        <v>3649</v>
      </c>
      <c r="B1123" s="32" t="s">
        <v>3251</v>
      </c>
      <c r="C1123" t="s">
        <v>3649</v>
      </c>
      <c r="D1123" s="8" t="s">
        <v>15</v>
      </c>
      <c r="E1123" s="8" t="s">
        <v>3347</v>
      </c>
      <c r="F1123" s="8" t="s">
        <v>3650</v>
      </c>
      <c r="G1123" s="8">
        <v>500</v>
      </c>
    </row>
    <row r="1124" spans="1:7" ht="16" x14ac:dyDescent="0.2">
      <c r="A1124" t="s">
        <v>3651</v>
      </c>
      <c r="B1124" s="32" t="s">
        <v>3251</v>
      </c>
      <c r="C1124" t="s">
        <v>3651</v>
      </c>
      <c r="D1124" s="8" t="s">
        <v>15</v>
      </c>
      <c r="E1124" s="8" t="s">
        <v>3348</v>
      </c>
      <c r="F1124" s="8" t="s">
        <v>3652</v>
      </c>
      <c r="G1124" s="8">
        <v>500</v>
      </c>
    </row>
    <row r="1125" spans="1:7" ht="16" x14ac:dyDescent="0.2">
      <c r="A1125" t="s">
        <v>3653</v>
      </c>
      <c r="B1125" s="32" t="s">
        <v>3251</v>
      </c>
      <c r="C1125" t="s">
        <v>3653</v>
      </c>
      <c r="D1125" s="8" t="s">
        <v>15</v>
      </c>
      <c r="E1125" s="8" t="s">
        <v>3349</v>
      </c>
      <c r="F1125" s="8" t="s">
        <v>3654</v>
      </c>
      <c r="G1125" s="8">
        <v>500</v>
      </c>
    </row>
    <row r="1126" spans="1:7" ht="16" x14ac:dyDescent="0.2">
      <c r="A1126" t="s">
        <v>3655</v>
      </c>
      <c r="B1126" s="32" t="s">
        <v>3251</v>
      </c>
      <c r="C1126" t="s">
        <v>3655</v>
      </c>
      <c r="D1126" s="8" t="s">
        <v>15</v>
      </c>
      <c r="E1126" s="8" t="s">
        <v>3350</v>
      </c>
      <c r="F1126" s="8" t="s">
        <v>3656</v>
      </c>
      <c r="G1126" s="8">
        <v>500</v>
      </c>
    </row>
    <row r="1127" spans="1:7" ht="16" x14ac:dyDescent="0.2">
      <c r="A1127" t="s">
        <v>3657</v>
      </c>
      <c r="B1127" s="32" t="s">
        <v>3251</v>
      </c>
      <c r="C1127" t="s">
        <v>3657</v>
      </c>
      <c r="D1127" s="8" t="s">
        <v>15</v>
      </c>
      <c r="E1127" s="8" t="s">
        <v>3351</v>
      </c>
      <c r="F1127" s="8" t="s">
        <v>3658</v>
      </c>
      <c r="G1127" s="8">
        <v>500</v>
      </c>
    </row>
    <row r="1128" spans="1:7" ht="16" x14ac:dyDescent="0.2">
      <c r="A1128" t="s">
        <v>3659</v>
      </c>
      <c r="B1128" s="32" t="s">
        <v>3251</v>
      </c>
      <c r="C1128" t="s">
        <v>3659</v>
      </c>
      <c r="D1128" s="8" t="s">
        <v>15</v>
      </c>
      <c r="E1128" s="8" t="s">
        <v>3352</v>
      </c>
      <c r="F1128" s="8" t="s">
        <v>3660</v>
      </c>
      <c r="G1128" s="8">
        <v>500</v>
      </c>
    </row>
    <row r="1129" spans="1:7" ht="16" x14ac:dyDescent="0.2">
      <c r="A1129" t="s">
        <v>3661</v>
      </c>
      <c r="B1129" s="32" t="s">
        <v>3251</v>
      </c>
      <c r="C1129" t="s">
        <v>3661</v>
      </c>
      <c r="D1129" s="8" t="s">
        <v>15</v>
      </c>
      <c r="E1129" s="8" t="s">
        <v>3353</v>
      </c>
      <c r="F1129" s="8" t="s">
        <v>3662</v>
      </c>
      <c r="G1129" s="8">
        <v>500</v>
      </c>
    </row>
    <row r="1130" spans="1:7" ht="16" x14ac:dyDescent="0.2">
      <c r="A1130" t="s">
        <v>3663</v>
      </c>
      <c r="B1130" s="32" t="s">
        <v>3251</v>
      </c>
      <c r="C1130" t="s">
        <v>3663</v>
      </c>
      <c r="D1130" s="8" t="s">
        <v>15</v>
      </c>
      <c r="E1130" s="8" t="s">
        <v>3354</v>
      </c>
      <c r="F1130" s="8" t="s">
        <v>3664</v>
      </c>
      <c r="G1130" s="8">
        <v>500</v>
      </c>
    </row>
    <row r="1131" spans="1:7" ht="16" x14ac:dyDescent="0.2">
      <c r="A1131" t="s">
        <v>3665</v>
      </c>
      <c r="B1131" s="32" t="s">
        <v>3251</v>
      </c>
      <c r="C1131" t="s">
        <v>3665</v>
      </c>
      <c r="D1131" s="8" t="s">
        <v>15</v>
      </c>
      <c r="E1131" s="8" t="s">
        <v>3355</v>
      </c>
      <c r="F1131" s="8" t="s">
        <v>3666</v>
      </c>
      <c r="G1131" s="8">
        <v>500</v>
      </c>
    </row>
    <row r="1132" spans="1:7" ht="16" x14ac:dyDescent="0.2">
      <c r="A1132" t="s">
        <v>3667</v>
      </c>
      <c r="B1132" s="32" t="s">
        <v>3251</v>
      </c>
      <c r="C1132" t="s">
        <v>3667</v>
      </c>
      <c r="D1132" s="8" t="s">
        <v>15</v>
      </c>
      <c r="E1132" s="8" t="s">
        <v>3356</v>
      </c>
      <c r="F1132" s="8" t="s">
        <v>3668</v>
      </c>
      <c r="G1132" s="8">
        <v>500</v>
      </c>
    </row>
    <row r="1133" spans="1:7" ht="16" x14ac:dyDescent="0.2">
      <c r="A1133" t="s">
        <v>3669</v>
      </c>
      <c r="B1133" s="32" t="s">
        <v>3251</v>
      </c>
      <c r="C1133" t="s">
        <v>3669</v>
      </c>
      <c r="D1133" s="8" t="s">
        <v>15</v>
      </c>
      <c r="E1133" s="8" t="s">
        <v>3357</v>
      </c>
      <c r="F1133" s="8" t="s">
        <v>3670</v>
      </c>
      <c r="G1133" s="8">
        <v>500</v>
      </c>
    </row>
    <row r="1134" spans="1:7" ht="16" x14ac:dyDescent="0.2">
      <c r="A1134" t="s">
        <v>3671</v>
      </c>
      <c r="B1134" s="32" t="s">
        <v>3251</v>
      </c>
      <c r="C1134" t="s">
        <v>3671</v>
      </c>
      <c r="D1134" s="8" t="s">
        <v>15</v>
      </c>
      <c r="E1134" s="8" t="s">
        <v>3358</v>
      </c>
      <c r="F1134" s="8" t="s">
        <v>3672</v>
      </c>
      <c r="G1134" s="8">
        <v>500</v>
      </c>
    </row>
    <row r="1135" spans="1:7" ht="16" x14ac:dyDescent="0.2">
      <c r="A1135" t="s">
        <v>3673</v>
      </c>
      <c r="B1135" s="32" t="s">
        <v>3251</v>
      </c>
      <c r="C1135" t="s">
        <v>3673</v>
      </c>
      <c r="D1135" s="8" t="s">
        <v>15</v>
      </c>
      <c r="E1135" s="8" t="s">
        <v>3359</v>
      </c>
      <c r="F1135" s="8" t="s">
        <v>3674</v>
      </c>
      <c r="G1135" s="8">
        <v>500</v>
      </c>
    </row>
    <row r="1136" spans="1:7" ht="16" x14ac:dyDescent="0.2">
      <c r="A1136" t="s">
        <v>3675</v>
      </c>
      <c r="B1136" s="32" t="s">
        <v>3251</v>
      </c>
      <c r="C1136" t="s">
        <v>3675</v>
      </c>
      <c r="D1136" s="8" t="s">
        <v>15</v>
      </c>
      <c r="E1136" s="8" t="s">
        <v>3360</v>
      </c>
      <c r="F1136" s="8" t="s">
        <v>3676</v>
      </c>
      <c r="G1136" s="8">
        <v>500</v>
      </c>
    </row>
    <row r="1137" spans="1:7" ht="16" x14ac:dyDescent="0.2">
      <c r="A1137" t="s">
        <v>3677</v>
      </c>
      <c r="B1137" s="32" t="s">
        <v>3251</v>
      </c>
      <c r="C1137" t="s">
        <v>3677</v>
      </c>
      <c r="D1137" s="8" t="s">
        <v>15</v>
      </c>
      <c r="E1137" s="8" t="s">
        <v>3361</v>
      </c>
      <c r="F1137" s="8" t="s">
        <v>3678</v>
      </c>
      <c r="G1137" s="8">
        <v>500</v>
      </c>
    </row>
    <row r="1138" spans="1:7" ht="16" x14ac:dyDescent="0.2">
      <c r="A1138" t="s">
        <v>3679</v>
      </c>
      <c r="B1138" s="32" t="s">
        <v>3251</v>
      </c>
      <c r="C1138" t="s">
        <v>3679</v>
      </c>
      <c r="D1138" s="8" t="s">
        <v>15</v>
      </c>
      <c r="E1138" s="8" t="s">
        <v>3680</v>
      </c>
      <c r="F1138" s="8" t="s">
        <v>3681</v>
      </c>
      <c r="G1138" s="8">
        <v>500</v>
      </c>
    </row>
    <row r="1139" spans="1:7" ht="16" x14ac:dyDescent="0.2">
      <c r="A1139" t="s">
        <v>3682</v>
      </c>
      <c r="B1139" s="32" t="s">
        <v>3251</v>
      </c>
      <c r="C1139" t="s">
        <v>3682</v>
      </c>
      <c r="D1139" s="8" t="s">
        <v>15</v>
      </c>
      <c r="E1139" s="8" t="s">
        <v>3362</v>
      </c>
      <c r="F1139" s="8" t="s">
        <v>3683</v>
      </c>
      <c r="G1139" s="8">
        <v>500</v>
      </c>
    </row>
    <row r="1140" spans="1:7" ht="16" x14ac:dyDescent="0.2">
      <c r="A1140" t="s">
        <v>3684</v>
      </c>
      <c r="B1140" s="32" t="s">
        <v>3251</v>
      </c>
      <c r="C1140" t="s">
        <v>3684</v>
      </c>
      <c r="D1140" s="8" t="s">
        <v>15</v>
      </c>
      <c r="E1140" s="8" t="s">
        <v>3363</v>
      </c>
      <c r="F1140" s="8" t="s">
        <v>3685</v>
      </c>
      <c r="G1140" s="8">
        <v>500</v>
      </c>
    </row>
    <row r="1141" spans="1:7" ht="16" x14ac:dyDescent="0.2">
      <c r="A1141" t="s">
        <v>3686</v>
      </c>
      <c r="B1141" s="32" t="s">
        <v>3251</v>
      </c>
      <c r="C1141" t="s">
        <v>3686</v>
      </c>
      <c r="D1141" s="8" t="s">
        <v>15</v>
      </c>
      <c r="E1141" s="8" t="s">
        <v>3364</v>
      </c>
      <c r="F1141" s="8" t="s">
        <v>3687</v>
      </c>
      <c r="G1141" s="8">
        <v>500</v>
      </c>
    </row>
    <row r="1142" spans="1:7" ht="16" x14ac:dyDescent="0.2">
      <c r="A1142" t="s">
        <v>3688</v>
      </c>
      <c r="B1142" s="32" t="s">
        <v>3251</v>
      </c>
      <c r="C1142" t="s">
        <v>3688</v>
      </c>
      <c r="D1142" s="8" t="s">
        <v>15</v>
      </c>
      <c r="E1142" s="8" t="s">
        <v>3689</v>
      </c>
      <c r="F1142" s="8" t="s">
        <v>3690</v>
      </c>
      <c r="G1142" s="8">
        <v>500</v>
      </c>
    </row>
    <row r="1143" spans="1:7" ht="16" x14ac:dyDescent="0.2">
      <c r="A1143" t="s">
        <v>3691</v>
      </c>
      <c r="B1143" s="32" t="s">
        <v>3251</v>
      </c>
      <c r="C1143" t="s">
        <v>3691</v>
      </c>
      <c r="D1143" s="8" t="s">
        <v>15</v>
      </c>
      <c r="E1143" s="8" t="s">
        <v>3365</v>
      </c>
      <c r="F1143" s="8" t="s">
        <v>3692</v>
      </c>
      <c r="G1143" s="8">
        <v>500</v>
      </c>
    </row>
    <row r="1144" spans="1:7" ht="16" x14ac:dyDescent="0.2">
      <c r="A1144" t="s">
        <v>3693</v>
      </c>
      <c r="B1144" s="32" t="s">
        <v>3251</v>
      </c>
      <c r="C1144" t="s">
        <v>3693</v>
      </c>
      <c r="D1144" s="8" t="s">
        <v>15</v>
      </c>
      <c r="E1144" s="8" t="s">
        <v>3366</v>
      </c>
      <c r="F1144" s="8" t="s">
        <v>3694</v>
      </c>
      <c r="G1144" s="8">
        <v>500</v>
      </c>
    </row>
    <row r="1145" spans="1:7" ht="16" x14ac:dyDescent="0.2">
      <c r="A1145" t="s">
        <v>3695</v>
      </c>
      <c r="B1145" s="32" t="s">
        <v>3251</v>
      </c>
      <c r="C1145" t="s">
        <v>3695</v>
      </c>
      <c r="D1145" s="8" t="s">
        <v>15</v>
      </c>
      <c r="E1145" s="8" t="s">
        <v>3367</v>
      </c>
      <c r="F1145" s="8" t="s">
        <v>3696</v>
      </c>
      <c r="G1145" s="8">
        <v>500</v>
      </c>
    </row>
    <row r="1146" spans="1:7" ht="16" x14ac:dyDescent="0.2">
      <c r="A1146" t="s">
        <v>3697</v>
      </c>
      <c r="B1146" s="32" t="s">
        <v>3251</v>
      </c>
      <c r="C1146" t="s">
        <v>3697</v>
      </c>
      <c r="D1146" s="8" t="s">
        <v>15</v>
      </c>
      <c r="E1146" s="8" t="s">
        <v>3368</v>
      </c>
      <c r="F1146" s="8" t="s">
        <v>3698</v>
      </c>
      <c r="G1146" s="8">
        <v>500</v>
      </c>
    </row>
    <row r="1147" spans="1:7" ht="16" x14ac:dyDescent="0.2">
      <c r="A1147" t="s">
        <v>3699</v>
      </c>
      <c r="B1147" s="32" t="s">
        <v>3251</v>
      </c>
      <c r="C1147" t="s">
        <v>3699</v>
      </c>
      <c r="D1147" s="8" t="s">
        <v>15</v>
      </c>
      <c r="E1147" s="8" t="s">
        <v>3369</v>
      </c>
      <c r="F1147" s="8" t="s">
        <v>3700</v>
      </c>
      <c r="G1147" s="8">
        <v>500</v>
      </c>
    </row>
    <row r="1148" spans="1:7" ht="16" x14ac:dyDescent="0.2">
      <c r="A1148" t="s">
        <v>3701</v>
      </c>
      <c r="B1148" s="32" t="s">
        <v>3251</v>
      </c>
      <c r="C1148" t="s">
        <v>3701</v>
      </c>
      <c r="D1148" s="8" t="s">
        <v>15</v>
      </c>
      <c r="E1148" s="8" t="s">
        <v>3370</v>
      </c>
      <c r="F1148" s="8" t="s">
        <v>3702</v>
      </c>
      <c r="G1148" s="8">
        <v>500</v>
      </c>
    </row>
    <row r="1149" spans="1:7" ht="16" x14ac:dyDescent="0.2">
      <c r="A1149" t="s">
        <v>3703</v>
      </c>
      <c r="B1149" s="32" t="s">
        <v>3251</v>
      </c>
      <c r="C1149" t="s">
        <v>3703</v>
      </c>
      <c r="D1149" s="8" t="s">
        <v>15</v>
      </c>
      <c r="E1149" s="8" t="s">
        <v>3371</v>
      </c>
      <c r="F1149" s="8" t="s">
        <v>3704</v>
      </c>
      <c r="G1149" s="8">
        <v>500</v>
      </c>
    </row>
    <row r="1150" spans="1:7" ht="16" x14ac:dyDescent="0.2">
      <c r="A1150" t="s">
        <v>3705</v>
      </c>
      <c r="B1150" s="32" t="s">
        <v>3251</v>
      </c>
      <c r="C1150" t="s">
        <v>3705</v>
      </c>
      <c r="D1150" s="8" t="s">
        <v>15</v>
      </c>
      <c r="E1150" s="8" t="s">
        <v>3372</v>
      </c>
      <c r="F1150" s="8" t="s">
        <v>3706</v>
      </c>
      <c r="G1150" s="8">
        <v>500</v>
      </c>
    </row>
    <row r="1151" spans="1:7" ht="16" x14ac:dyDescent="0.2">
      <c r="A1151" t="s">
        <v>3707</v>
      </c>
      <c r="B1151" s="32" t="s">
        <v>3251</v>
      </c>
      <c r="C1151" t="s">
        <v>3707</v>
      </c>
      <c r="D1151" s="8" t="s">
        <v>15</v>
      </c>
      <c r="E1151" s="8" t="s">
        <v>3373</v>
      </c>
      <c r="F1151" s="8" t="s">
        <v>3708</v>
      </c>
      <c r="G1151" s="8">
        <v>500</v>
      </c>
    </row>
    <row r="1152" spans="1:7" ht="16" x14ac:dyDescent="0.2">
      <c r="A1152" t="s">
        <v>3709</v>
      </c>
      <c r="B1152" s="32" t="s">
        <v>3251</v>
      </c>
      <c r="C1152" t="s">
        <v>3709</v>
      </c>
      <c r="D1152" s="8" t="s">
        <v>15</v>
      </c>
      <c r="E1152" s="8" t="s">
        <v>3374</v>
      </c>
      <c r="F1152" s="8" t="s">
        <v>3710</v>
      </c>
      <c r="G1152" s="8">
        <v>500</v>
      </c>
    </row>
    <row r="1153" spans="1:7" ht="16" x14ac:dyDescent="0.2">
      <c r="A1153" t="s">
        <v>3711</v>
      </c>
      <c r="B1153" s="32" t="s">
        <v>3251</v>
      </c>
      <c r="C1153" t="s">
        <v>3711</v>
      </c>
      <c r="D1153" s="8" t="s">
        <v>15</v>
      </c>
      <c r="E1153" s="8" t="s">
        <v>3375</v>
      </c>
      <c r="F1153" s="8" t="s">
        <v>3712</v>
      </c>
      <c r="G1153" s="8">
        <v>500</v>
      </c>
    </row>
    <row r="1154" spans="1:7" ht="16" x14ac:dyDescent="0.2">
      <c r="A1154" t="s">
        <v>3713</v>
      </c>
      <c r="B1154" s="32" t="s">
        <v>3251</v>
      </c>
      <c r="C1154" t="s">
        <v>3713</v>
      </c>
      <c r="D1154" s="8" t="s">
        <v>15</v>
      </c>
      <c r="E1154" s="8" t="s">
        <v>3376</v>
      </c>
      <c r="F1154" s="8" t="s">
        <v>3714</v>
      </c>
      <c r="G1154" s="8">
        <v>500</v>
      </c>
    </row>
    <row r="1155" spans="1:7" ht="16" x14ac:dyDescent="0.2">
      <c r="A1155" t="s">
        <v>3715</v>
      </c>
      <c r="B1155" s="32" t="s">
        <v>3251</v>
      </c>
      <c r="C1155" t="s">
        <v>3715</v>
      </c>
      <c r="D1155" s="8" t="s">
        <v>15</v>
      </c>
      <c r="E1155" s="8" t="s">
        <v>3377</v>
      </c>
      <c r="F1155" s="8" t="s">
        <v>3716</v>
      </c>
      <c r="G1155" s="8">
        <v>500</v>
      </c>
    </row>
    <row r="1156" spans="1:7" ht="16" x14ac:dyDescent="0.2">
      <c r="A1156" t="s">
        <v>3717</v>
      </c>
      <c r="B1156" s="32" t="s">
        <v>3251</v>
      </c>
      <c r="C1156" t="s">
        <v>3717</v>
      </c>
      <c r="D1156" s="8" t="s">
        <v>15</v>
      </c>
      <c r="E1156" s="8" t="s">
        <v>3378</v>
      </c>
      <c r="F1156" s="8" t="s">
        <v>3718</v>
      </c>
      <c r="G1156" s="8">
        <v>500</v>
      </c>
    </row>
    <row r="1157" spans="1:7" ht="16" x14ac:dyDescent="0.2">
      <c r="A1157" t="s">
        <v>3719</v>
      </c>
      <c r="B1157" s="32" t="s">
        <v>3251</v>
      </c>
      <c r="C1157" t="s">
        <v>3719</v>
      </c>
      <c r="D1157" s="8" t="s">
        <v>15</v>
      </c>
      <c r="E1157" s="8" t="s">
        <v>3379</v>
      </c>
      <c r="F1157" s="8" t="s">
        <v>3720</v>
      </c>
      <c r="G1157" s="8">
        <v>500</v>
      </c>
    </row>
    <row r="1158" spans="1:7" ht="16" x14ac:dyDescent="0.2">
      <c r="A1158" t="s">
        <v>3721</v>
      </c>
      <c r="B1158" s="32" t="s">
        <v>3251</v>
      </c>
      <c r="C1158" t="s">
        <v>3721</v>
      </c>
      <c r="D1158" s="8" t="s">
        <v>15</v>
      </c>
      <c r="E1158" s="8" t="s">
        <v>3380</v>
      </c>
      <c r="F1158" s="8" t="s">
        <v>3722</v>
      </c>
      <c r="G1158" s="8">
        <v>500</v>
      </c>
    </row>
    <row r="1159" spans="1:7" ht="16" x14ac:dyDescent="0.2">
      <c r="A1159" t="s">
        <v>3723</v>
      </c>
      <c r="B1159" s="32" t="s">
        <v>3251</v>
      </c>
      <c r="C1159" t="s">
        <v>3723</v>
      </c>
      <c r="D1159" s="8" t="s">
        <v>15</v>
      </c>
      <c r="E1159" s="8" t="s">
        <v>3381</v>
      </c>
      <c r="F1159" s="8" t="s">
        <v>3724</v>
      </c>
      <c r="G1159" s="8">
        <v>500</v>
      </c>
    </row>
    <row r="1160" spans="1:7" ht="16" x14ac:dyDescent="0.2">
      <c r="A1160" t="s">
        <v>3725</v>
      </c>
      <c r="B1160" s="32" t="s">
        <v>3251</v>
      </c>
      <c r="C1160" t="s">
        <v>3725</v>
      </c>
      <c r="D1160" s="8" t="s">
        <v>15</v>
      </c>
      <c r="E1160" s="8" t="s">
        <v>3382</v>
      </c>
      <c r="F1160" s="8" t="s">
        <v>3726</v>
      </c>
      <c r="G1160" s="8">
        <v>500</v>
      </c>
    </row>
    <row r="1161" spans="1:7" ht="16" x14ac:dyDescent="0.2">
      <c r="A1161" t="s">
        <v>3727</v>
      </c>
      <c r="B1161" s="32" t="s">
        <v>3251</v>
      </c>
      <c r="C1161" t="s">
        <v>3727</v>
      </c>
      <c r="D1161" s="8" t="s">
        <v>15</v>
      </c>
      <c r="E1161" s="8" t="s">
        <v>3383</v>
      </c>
      <c r="F1161" s="8" t="s">
        <v>3728</v>
      </c>
      <c r="G1161" s="8">
        <v>500</v>
      </c>
    </row>
    <row r="1162" spans="1:7" ht="16" x14ac:dyDescent="0.2">
      <c r="A1162" t="s">
        <v>3729</v>
      </c>
      <c r="B1162" s="32" t="s">
        <v>3251</v>
      </c>
      <c r="C1162" t="s">
        <v>3729</v>
      </c>
      <c r="D1162" s="8" t="s">
        <v>15</v>
      </c>
      <c r="E1162" s="8" t="s">
        <v>3384</v>
      </c>
      <c r="F1162" s="8" t="s">
        <v>3730</v>
      </c>
      <c r="G1162" s="8">
        <v>500</v>
      </c>
    </row>
    <row r="1163" spans="1:7" ht="16" x14ac:dyDescent="0.2">
      <c r="A1163" t="s">
        <v>3731</v>
      </c>
      <c r="B1163" s="32" t="s">
        <v>3251</v>
      </c>
      <c r="C1163" t="s">
        <v>3731</v>
      </c>
      <c r="D1163" s="8" t="s">
        <v>15</v>
      </c>
      <c r="E1163" s="8" t="s">
        <v>3385</v>
      </c>
      <c r="F1163" s="8" t="s">
        <v>3732</v>
      </c>
      <c r="G1163" s="8">
        <v>500</v>
      </c>
    </row>
    <row r="1164" spans="1:7" ht="16" x14ac:dyDescent="0.2">
      <c r="A1164" t="s">
        <v>3733</v>
      </c>
      <c r="B1164" s="32" t="s">
        <v>3251</v>
      </c>
      <c r="C1164" t="s">
        <v>3733</v>
      </c>
      <c r="D1164" s="8" t="s">
        <v>15</v>
      </c>
      <c r="E1164" s="8" t="s">
        <v>3386</v>
      </c>
      <c r="F1164" s="8" t="s">
        <v>3734</v>
      </c>
      <c r="G1164" s="8">
        <v>500</v>
      </c>
    </row>
    <row r="1165" spans="1:7" ht="16" x14ac:dyDescent="0.2">
      <c r="A1165" t="s">
        <v>3735</v>
      </c>
      <c r="B1165" s="32" t="s">
        <v>3251</v>
      </c>
      <c r="C1165" t="s">
        <v>3735</v>
      </c>
      <c r="D1165" s="8" t="s">
        <v>15</v>
      </c>
      <c r="E1165" s="8" t="s">
        <v>3387</v>
      </c>
      <c r="F1165" s="8" t="s">
        <v>3736</v>
      </c>
      <c r="G1165" s="8">
        <v>500</v>
      </c>
    </row>
    <row r="1166" spans="1:7" ht="16" x14ac:dyDescent="0.2">
      <c r="A1166" t="s">
        <v>3737</v>
      </c>
      <c r="B1166" s="32" t="s">
        <v>3251</v>
      </c>
      <c r="C1166" t="s">
        <v>3737</v>
      </c>
      <c r="D1166" s="8" t="s">
        <v>15</v>
      </c>
      <c r="E1166" s="8" t="s">
        <v>3388</v>
      </c>
      <c r="F1166" s="8" t="s">
        <v>3738</v>
      </c>
      <c r="G1166" s="8">
        <v>500</v>
      </c>
    </row>
    <row r="1167" spans="1:7" ht="16" x14ac:dyDescent="0.2">
      <c r="A1167" t="s">
        <v>3739</v>
      </c>
      <c r="B1167" s="32" t="s">
        <v>3251</v>
      </c>
      <c r="C1167" t="s">
        <v>3739</v>
      </c>
      <c r="D1167" s="8" t="s">
        <v>15</v>
      </c>
      <c r="E1167" s="8" t="s">
        <v>3389</v>
      </c>
      <c r="F1167" s="8" t="s">
        <v>3740</v>
      </c>
      <c r="G1167" s="8">
        <v>500</v>
      </c>
    </row>
    <row r="1168" spans="1:7" ht="16" x14ac:dyDescent="0.2">
      <c r="A1168" t="s">
        <v>3741</v>
      </c>
      <c r="B1168" s="32" t="s">
        <v>3251</v>
      </c>
      <c r="C1168" t="s">
        <v>3741</v>
      </c>
      <c r="D1168" s="8" t="s">
        <v>15</v>
      </c>
      <c r="E1168" s="8" t="s">
        <v>3390</v>
      </c>
      <c r="F1168" s="8" t="s">
        <v>3742</v>
      </c>
      <c r="G1168" s="8">
        <v>500</v>
      </c>
    </row>
    <row r="1169" spans="1:7" ht="16" x14ac:dyDescent="0.2">
      <c r="A1169" t="s">
        <v>3743</v>
      </c>
      <c r="B1169" s="32" t="s">
        <v>3251</v>
      </c>
      <c r="C1169" t="s">
        <v>3743</v>
      </c>
      <c r="D1169" s="8" t="s">
        <v>15</v>
      </c>
      <c r="E1169" s="8" t="s">
        <v>3391</v>
      </c>
      <c r="F1169" s="8" t="s">
        <v>3744</v>
      </c>
      <c r="G1169" s="8">
        <v>500</v>
      </c>
    </row>
    <row r="1170" spans="1:7" ht="16" x14ac:dyDescent="0.2">
      <c r="A1170" t="s">
        <v>3745</v>
      </c>
      <c r="B1170" s="32" t="s">
        <v>3251</v>
      </c>
      <c r="C1170" t="s">
        <v>3745</v>
      </c>
      <c r="D1170" s="8" t="s">
        <v>15</v>
      </c>
      <c r="E1170" s="8" t="s">
        <v>3392</v>
      </c>
      <c r="F1170" s="8" t="s">
        <v>3746</v>
      </c>
      <c r="G1170" s="8">
        <v>500</v>
      </c>
    </row>
    <row r="1171" spans="1:7" ht="16" x14ac:dyDescent="0.2">
      <c r="A1171" t="s">
        <v>3747</v>
      </c>
      <c r="B1171" s="32" t="s">
        <v>3251</v>
      </c>
      <c r="C1171" t="s">
        <v>3747</v>
      </c>
      <c r="D1171" s="8" t="s">
        <v>15</v>
      </c>
      <c r="E1171" s="8" t="s">
        <v>3393</v>
      </c>
      <c r="F1171" s="8" t="s">
        <v>3748</v>
      </c>
      <c r="G1171" s="8">
        <v>500</v>
      </c>
    </row>
    <row r="1172" spans="1:7" ht="16" x14ac:dyDescent="0.2">
      <c r="A1172" t="s">
        <v>3749</v>
      </c>
      <c r="B1172" s="32" t="s">
        <v>3251</v>
      </c>
      <c r="C1172" t="s">
        <v>3749</v>
      </c>
      <c r="D1172" s="8" t="s">
        <v>15</v>
      </c>
      <c r="E1172" s="8" t="s">
        <v>3394</v>
      </c>
      <c r="F1172" s="8" t="s">
        <v>3750</v>
      </c>
      <c r="G1172" s="8">
        <v>500</v>
      </c>
    </row>
    <row r="1173" spans="1:7" ht="16" x14ac:dyDescent="0.2">
      <c r="A1173" t="s">
        <v>3751</v>
      </c>
      <c r="B1173" s="32" t="s">
        <v>3251</v>
      </c>
      <c r="C1173" t="s">
        <v>3751</v>
      </c>
      <c r="D1173" s="8" t="s">
        <v>15</v>
      </c>
      <c r="E1173" s="8" t="s">
        <v>3395</v>
      </c>
      <c r="F1173" s="8" t="s">
        <v>3752</v>
      </c>
      <c r="G1173" s="8">
        <v>500</v>
      </c>
    </row>
    <row r="1174" spans="1:7" ht="16" x14ac:dyDescent="0.2">
      <c r="A1174" t="s">
        <v>3753</v>
      </c>
      <c r="B1174" s="32" t="s">
        <v>3251</v>
      </c>
      <c r="C1174" t="s">
        <v>3753</v>
      </c>
      <c r="D1174" s="8" t="s">
        <v>15</v>
      </c>
      <c r="E1174" s="8" t="s">
        <v>3396</v>
      </c>
      <c r="F1174" s="8" t="s">
        <v>3754</v>
      </c>
      <c r="G1174" s="8">
        <v>500</v>
      </c>
    </row>
    <row r="1175" spans="1:7" ht="16" x14ac:dyDescent="0.2">
      <c r="A1175" t="s">
        <v>3755</v>
      </c>
      <c r="B1175" s="32" t="s">
        <v>3251</v>
      </c>
      <c r="C1175" t="s">
        <v>3755</v>
      </c>
      <c r="D1175" s="8" t="s">
        <v>15</v>
      </c>
      <c r="E1175" s="8" t="s">
        <v>3397</v>
      </c>
      <c r="F1175" s="8" t="s">
        <v>3756</v>
      </c>
      <c r="G1175" s="8">
        <v>500</v>
      </c>
    </row>
    <row r="1176" spans="1:7" ht="16" x14ac:dyDescent="0.2">
      <c r="A1176" t="s">
        <v>3757</v>
      </c>
      <c r="B1176" s="32" t="s">
        <v>3251</v>
      </c>
      <c r="C1176" t="s">
        <v>3757</v>
      </c>
      <c r="D1176" s="8" t="s">
        <v>15</v>
      </c>
      <c r="E1176" s="8" t="s">
        <v>3758</v>
      </c>
      <c r="F1176" s="8" t="s">
        <v>3759</v>
      </c>
      <c r="G1176" s="8">
        <v>500</v>
      </c>
    </row>
    <row r="1177" spans="1:7" ht="16" x14ac:dyDescent="0.2">
      <c r="A1177" t="s">
        <v>3760</v>
      </c>
      <c r="B1177" s="32" t="s">
        <v>3251</v>
      </c>
      <c r="C1177" t="s">
        <v>3760</v>
      </c>
      <c r="D1177" s="8" t="s">
        <v>15</v>
      </c>
      <c r="E1177" s="8" t="s">
        <v>3398</v>
      </c>
      <c r="F1177" s="8" t="s">
        <v>3761</v>
      </c>
      <c r="G1177" s="8">
        <v>500</v>
      </c>
    </row>
    <row r="1178" spans="1:7" ht="16" x14ac:dyDescent="0.2">
      <c r="A1178" t="s">
        <v>3762</v>
      </c>
      <c r="B1178" s="32" t="s">
        <v>3251</v>
      </c>
      <c r="C1178" t="s">
        <v>3762</v>
      </c>
      <c r="D1178" s="8" t="s">
        <v>15</v>
      </c>
      <c r="E1178" s="8" t="s">
        <v>3763</v>
      </c>
      <c r="F1178" s="8" t="s">
        <v>3764</v>
      </c>
      <c r="G1178" s="8">
        <v>500</v>
      </c>
    </row>
    <row r="1179" spans="1:7" ht="16" x14ac:dyDescent="0.2">
      <c r="A1179" t="s">
        <v>3765</v>
      </c>
      <c r="B1179" s="32" t="s">
        <v>3251</v>
      </c>
      <c r="C1179" t="s">
        <v>3765</v>
      </c>
      <c r="D1179" s="8" t="s">
        <v>15</v>
      </c>
      <c r="E1179" s="8" t="s">
        <v>3399</v>
      </c>
      <c r="F1179" s="8" t="s">
        <v>3766</v>
      </c>
      <c r="G1179" s="8">
        <v>500</v>
      </c>
    </row>
    <row r="1180" spans="1:7" ht="16" x14ac:dyDescent="0.2">
      <c r="A1180" t="s">
        <v>3767</v>
      </c>
      <c r="B1180" s="32" t="s">
        <v>3251</v>
      </c>
      <c r="C1180" t="s">
        <v>3767</v>
      </c>
      <c r="D1180" s="8" t="s">
        <v>15</v>
      </c>
      <c r="E1180" s="8" t="s">
        <v>3768</v>
      </c>
      <c r="F1180" s="8" t="s">
        <v>3769</v>
      </c>
      <c r="G1180" s="8">
        <v>500</v>
      </c>
    </row>
    <row r="1181" spans="1:7" ht="16" x14ac:dyDescent="0.2">
      <c r="A1181" t="s">
        <v>3770</v>
      </c>
      <c r="B1181" s="32" t="s">
        <v>3251</v>
      </c>
      <c r="C1181" t="s">
        <v>3770</v>
      </c>
      <c r="D1181" s="8" t="s">
        <v>15</v>
      </c>
      <c r="E1181" s="8" t="s">
        <v>3771</v>
      </c>
      <c r="F1181" s="8" t="s">
        <v>3772</v>
      </c>
      <c r="G1181" s="8">
        <v>500</v>
      </c>
    </row>
    <row r="1182" spans="1:7" ht="16" x14ac:dyDescent="0.2">
      <c r="A1182" t="s">
        <v>3773</v>
      </c>
      <c r="B1182" s="32" t="s">
        <v>3251</v>
      </c>
      <c r="C1182" t="s">
        <v>3773</v>
      </c>
      <c r="D1182" s="8" t="s">
        <v>15</v>
      </c>
      <c r="E1182" s="8" t="s">
        <v>3400</v>
      </c>
      <c r="F1182" s="8" t="s">
        <v>3774</v>
      </c>
      <c r="G1182" s="8">
        <v>500</v>
      </c>
    </row>
    <row r="1183" spans="1:7" ht="16" x14ac:dyDescent="0.2">
      <c r="A1183" t="s">
        <v>3775</v>
      </c>
      <c r="B1183" s="32" t="s">
        <v>3251</v>
      </c>
      <c r="C1183" t="s">
        <v>3775</v>
      </c>
      <c r="D1183" s="8" t="s">
        <v>15</v>
      </c>
      <c r="E1183" s="8" t="s">
        <v>3401</v>
      </c>
      <c r="F1183" s="8" t="s">
        <v>3776</v>
      </c>
      <c r="G1183" s="8">
        <v>500</v>
      </c>
    </row>
    <row r="1184" spans="1:7" ht="16" x14ac:dyDescent="0.2">
      <c r="A1184" t="s">
        <v>3777</v>
      </c>
      <c r="B1184" s="32" t="s">
        <v>3251</v>
      </c>
      <c r="C1184" t="s">
        <v>3777</v>
      </c>
      <c r="D1184" s="8" t="s">
        <v>15</v>
      </c>
      <c r="E1184" s="8" t="s">
        <v>3402</v>
      </c>
      <c r="F1184" s="8" t="s">
        <v>3778</v>
      </c>
      <c r="G1184" s="8">
        <v>500</v>
      </c>
    </row>
    <row r="1185" spans="1:7" ht="16" x14ac:dyDescent="0.2">
      <c r="A1185" t="s">
        <v>3779</v>
      </c>
      <c r="B1185" s="32" t="s">
        <v>3251</v>
      </c>
      <c r="C1185" t="s">
        <v>3779</v>
      </c>
      <c r="D1185" s="8" t="s">
        <v>15</v>
      </c>
      <c r="E1185" s="8" t="s">
        <v>3403</v>
      </c>
      <c r="F1185" s="8" t="s">
        <v>3780</v>
      </c>
      <c r="G1185" s="8">
        <v>500</v>
      </c>
    </row>
    <row r="1186" spans="1:7" ht="16" x14ac:dyDescent="0.2">
      <c r="A1186" t="s">
        <v>3781</v>
      </c>
      <c r="B1186" s="32" t="s">
        <v>3251</v>
      </c>
      <c r="C1186" t="s">
        <v>3781</v>
      </c>
      <c r="D1186" s="8" t="s">
        <v>15</v>
      </c>
      <c r="E1186" s="8" t="s">
        <v>3404</v>
      </c>
      <c r="F1186" s="8" t="s">
        <v>3782</v>
      </c>
      <c r="G1186" s="8">
        <v>500</v>
      </c>
    </row>
    <row r="1187" spans="1:7" ht="16" x14ac:dyDescent="0.2">
      <c r="A1187" t="s">
        <v>3783</v>
      </c>
      <c r="B1187" s="32" t="s">
        <v>3251</v>
      </c>
      <c r="C1187" t="s">
        <v>3783</v>
      </c>
      <c r="D1187" s="8" t="s">
        <v>15</v>
      </c>
      <c r="E1187" s="8" t="s">
        <v>3405</v>
      </c>
      <c r="F1187" s="8" t="s">
        <v>3784</v>
      </c>
      <c r="G1187" s="8">
        <v>500</v>
      </c>
    </row>
    <row r="1188" spans="1:7" ht="16" x14ac:dyDescent="0.2">
      <c r="A1188" t="s">
        <v>3785</v>
      </c>
      <c r="B1188" s="32" t="s">
        <v>3251</v>
      </c>
      <c r="C1188" t="s">
        <v>3785</v>
      </c>
      <c r="D1188" s="8" t="s">
        <v>15</v>
      </c>
      <c r="E1188" s="8" t="s">
        <v>3406</v>
      </c>
      <c r="F1188" s="8" t="s">
        <v>3786</v>
      </c>
      <c r="G1188" s="8">
        <v>500</v>
      </c>
    </row>
    <row r="1189" spans="1:7" ht="16" x14ac:dyDescent="0.2">
      <c r="A1189" t="s">
        <v>3787</v>
      </c>
      <c r="B1189" s="32" t="s">
        <v>3251</v>
      </c>
      <c r="C1189" t="s">
        <v>3787</v>
      </c>
      <c r="D1189" s="8" t="s">
        <v>15</v>
      </c>
      <c r="E1189" s="8" t="s">
        <v>3407</v>
      </c>
      <c r="F1189" s="8" t="s">
        <v>3788</v>
      </c>
      <c r="G1189" s="8">
        <v>500</v>
      </c>
    </row>
    <row r="1190" spans="1:7" ht="16" x14ac:dyDescent="0.2">
      <c r="A1190" t="s">
        <v>3789</v>
      </c>
      <c r="B1190" s="32" t="s">
        <v>3251</v>
      </c>
      <c r="C1190" t="s">
        <v>3789</v>
      </c>
      <c r="D1190" s="8" t="s">
        <v>15</v>
      </c>
      <c r="E1190" s="8" t="s">
        <v>3408</v>
      </c>
      <c r="F1190" s="8" t="s">
        <v>3790</v>
      </c>
      <c r="G1190" s="8">
        <v>500</v>
      </c>
    </row>
    <row r="1191" spans="1:7" ht="16" x14ac:dyDescent="0.2">
      <c r="A1191" t="s">
        <v>3791</v>
      </c>
      <c r="B1191" s="32" t="s">
        <v>3251</v>
      </c>
      <c r="C1191" t="s">
        <v>3791</v>
      </c>
      <c r="D1191" s="8" t="s">
        <v>15</v>
      </c>
      <c r="E1191" s="8" t="s">
        <v>3409</v>
      </c>
      <c r="F1191" s="8" t="s">
        <v>3792</v>
      </c>
      <c r="G1191" s="8">
        <v>500</v>
      </c>
    </row>
    <row r="1192" spans="1:7" ht="16" x14ac:dyDescent="0.2">
      <c r="A1192" t="s">
        <v>3793</v>
      </c>
      <c r="B1192" s="32" t="s">
        <v>3251</v>
      </c>
      <c r="C1192" t="s">
        <v>3793</v>
      </c>
      <c r="D1192" s="8" t="s">
        <v>15</v>
      </c>
      <c r="E1192" s="8" t="s">
        <v>3410</v>
      </c>
      <c r="F1192" s="8" t="s">
        <v>3794</v>
      </c>
      <c r="G1192" s="8">
        <v>500</v>
      </c>
    </row>
    <row r="1193" spans="1:7" ht="16" x14ac:dyDescent="0.2">
      <c r="A1193" t="s">
        <v>3795</v>
      </c>
      <c r="B1193" s="32" t="s">
        <v>3251</v>
      </c>
      <c r="C1193" t="s">
        <v>3795</v>
      </c>
      <c r="D1193" s="8" t="s">
        <v>15</v>
      </c>
      <c r="E1193" s="8" t="s">
        <v>3411</v>
      </c>
      <c r="F1193" s="8" t="s">
        <v>3796</v>
      </c>
      <c r="G1193" s="8">
        <v>500</v>
      </c>
    </row>
    <row r="1194" spans="1:7" ht="16" x14ac:dyDescent="0.2">
      <c r="A1194" t="s">
        <v>3797</v>
      </c>
      <c r="B1194" s="32" t="s">
        <v>3251</v>
      </c>
      <c r="C1194" t="s">
        <v>3797</v>
      </c>
      <c r="D1194" s="8" t="s">
        <v>15</v>
      </c>
      <c r="E1194" s="8" t="s">
        <v>3412</v>
      </c>
      <c r="F1194" s="8" t="s">
        <v>3798</v>
      </c>
      <c r="G1194" s="8">
        <v>500</v>
      </c>
    </row>
    <row r="1195" spans="1:7" ht="16" x14ac:dyDescent="0.2">
      <c r="A1195" t="s">
        <v>3799</v>
      </c>
      <c r="B1195" s="32" t="s">
        <v>3251</v>
      </c>
      <c r="C1195" t="s">
        <v>3799</v>
      </c>
      <c r="D1195" s="8" t="s">
        <v>15</v>
      </c>
      <c r="E1195" s="8" t="s">
        <v>3413</v>
      </c>
      <c r="F1195" s="8" t="s">
        <v>3800</v>
      </c>
      <c r="G1195" s="8">
        <v>500</v>
      </c>
    </row>
    <row r="1196" spans="1:7" ht="16" x14ac:dyDescent="0.2">
      <c r="A1196" t="s">
        <v>3801</v>
      </c>
      <c r="B1196" s="32" t="s">
        <v>3251</v>
      </c>
      <c r="C1196" t="s">
        <v>3801</v>
      </c>
      <c r="D1196" s="8" t="s">
        <v>15</v>
      </c>
      <c r="E1196" s="8" t="s">
        <v>3414</v>
      </c>
      <c r="F1196" s="8" t="s">
        <v>3802</v>
      </c>
      <c r="G1196" s="8">
        <v>500</v>
      </c>
    </row>
    <row r="1197" spans="1:7" ht="16" x14ac:dyDescent="0.2">
      <c r="A1197" t="s">
        <v>3803</v>
      </c>
      <c r="B1197" s="32" t="s">
        <v>3251</v>
      </c>
      <c r="C1197" t="s">
        <v>3803</v>
      </c>
      <c r="D1197" s="8" t="s">
        <v>15</v>
      </c>
      <c r="E1197" s="8" t="s">
        <v>3415</v>
      </c>
      <c r="F1197" s="8" t="s">
        <v>3804</v>
      </c>
      <c r="G1197" s="8">
        <v>500</v>
      </c>
    </row>
    <row r="1198" spans="1:7" ht="16" x14ac:dyDescent="0.2">
      <c r="A1198" t="s">
        <v>3805</v>
      </c>
      <c r="B1198" s="32" t="s">
        <v>3251</v>
      </c>
      <c r="C1198" t="s">
        <v>3805</v>
      </c>
      <c r="D1198" s="8" t="s">
        <v>15</v>
      </c>
      <c r="E1198" s="8" t="s">
        <v>3416</v>
      </c>
      <c r="F1198" s="8" t="s">
        <v>3806</v>
      </c>
      <c r="G1198" s="8">
        <v>500</v>
      </c>
    </row>
    <row r="1199" spans="1:7" ht="16" x14ac:dyDescent="0.2">
      <c r="A1199" t="s">
        <v>3807</v>
      </c>
      <c r="B1199" s="32" t="s">
        <v>3251</v>
      </c>
      <c r="C1199" t="s">
        <v>3807</v>
      </c>
      <c r="D1199" s="8" t="s">
        <v>15</v>
      </c>
      <c r="E1199" s="8" t="s">
        <v>3417</v>
      </c>
      <c r="F1199" s="8" t="s">
        <v>3808</v>
      </c>
      <c r="G1199" s="8">
        <v>500</v>
      </c>
    </row>
    <row r="1200" spans="1:7" ht="16" x14ac:dyDescent="0.2">
      <c r="A1200" t="s">
        <v>3809</v>
      </c>
      <c r="B1200" s="32" t="s">
        <v>3251</v>
      </c>
      <c r="C1200" t="s">
        <v>3809</v>
      </c>
      <c r="D1200" s="8" t="s">
        <v>15</v>
      </c>
      <c r="E1200" s="8" t="s">
        <v>3418</v>
      </c>
      <c r="F1200" s="8" t="s">
        <v>3810</v>
      </c>
      <c r="G1200" s="8">
        <v>500</v>
      </c>
    </row>
    <row r="1201" spans="1:7" ht="16" x14ac:dyDescent="0.2">
      <c r="A1201" t="s">
        <v>3811</v>
      </c>
      <c r="B1201" s="32" t="s">
        <v>3251</v>
      </c>
      <c r="C1201" t="s">
        <v>3811</v>
      </c>
      <c r="D1201" s="8" t="s">
        <v>15</v>
      </c>
      <c r="E1201" s="8" t="s">
        <v>3419</v>
      </c>
      <c r="F1201" s="8" t="s">
        <v>3812</v>
      </c>
      <c r="G1201" s="8">
        <v>500</v>
      </c>
    </row>
    <row r="1202" spans="1:7" ht="16" x14ac:dyDescent="0.2">
      <c r="A1202" t="s">
        <v>3813</v>
      </c>
      <c r="B1202" s="32" t="s">
        <v>3251</v>
      </c>
      <c r="C1202" t="s">
        <v>3813</v>
      </c>
      <c r="D1202" s="8" t="s">
        <v>15</v>
      </c>
      <c r="E1202" s="8" t="s">
        <v>3420</v>
      </c>
      <c r="F1202" s="8" t="s">
        <v>3814</v>
      </c>
      <c r="G1202" s="8">
        <v>500</v>
      </c>
    </row>
    <row r="1203" spans="1:7" ht="16" x14ac:dyDescent="0.2">
      <c r="A1203" t="s">
        <v>3815</v>
      </c>
      <c r="B1203" s="32" t="s">
        <v>3251</v>
      </c>
      <c r="C1203" t="s">
        <v>3815</v>
      </c>
      <c r="D1203" s="8" t="s">
        <v>15</v>
      </c>
      <c r="E1203" s="8" t="s">
        <v>3421</v>
      </c>
      <c r="F1203" s="8" t="s">
        <v>3816</v>
      </c>
      <c r="G1203" s="8">
        <v>500</v>
      </c>
    </row>
    <row r="1204" spans="1:7" ht="16" x14ac:dyDescent="0.2">
      <c r="A1204" t="s">
        <v>3817</v>
      </c>
      <c r="B1204" s="32" t="s">
        <v>3251</v>
      </c>
      <c r="C1204" t="s">
        <v>3817</v>
      </c>
      <c r="D1204" s="8" t="s">
        <v>15</v>
      </c>
      <c r="E1204" s="8" t="s">
        <v>3422</v>
      </c>
      <c r="F1204" s="8" t="s">
        <v>3818</v>
      </c>
      <c r="G1204" s="8">
        <v>500</v>
      </c>
    </row>
    <row r="1205" spans="1:7" ht="16" x14ac:dyDescent="0.2">
      <c r="A1205" t="s">
        <v>3819</v>
      </c>
      <c r="B1205" s="32" t="s">
        <v>3251</v>
      </c>
      <c r="C1205" t="s">
        <v>3819</v>
      </c>
      <c r="D1205" s="8" t="s">
        <v>15</v>
      </c>
      <c r="E1205" s="8" t="s">
        <v>3423</v>
      </c>
      <c r="F1205" s="8" t="s">
        <v>3820</v>
      </c>
      <c r="G1205" s="8">
        <v>500</v>
      </c>
    </row>
    <row r="1206" spans="1:7" ht="16" x14ac:dyDescent="0.2">
      <c r="A1206" t="s">
        <v>3821</v>
      </c>
      <c r="B1206" s="32" t="s">
        <v>3251</v>
      </c>
      <c r="C1206" t="s">
        <v>3821</v>
      </c>
      <c r="D1206" s="8" t="s">
        <v>15</v>
      </c>
      <c r="E1206" s="8" t="s">
        <v>3424</v>
      </c>
      <c r="F1206" s="8" t="s">
        <v>3822</v>
      </c>
      <c r="G1206" s="8">
        <v>500</v>
      </c>
    </row>
    <row r="1207" spans="1:7" ht="16" x14ac:dyDescent="0.2">
      <c r="A1207" t="s">
        <v>3823</v>
      </c>
      <c r="B1207" s="32" t="s">
        <v>3251</v>
      </c>
      <c r="C1207" t="s">
        <v>3823</v>
      </c>
      <c r="D1207" s="8" t="s">
        <v>15</v>
      </c>
      <c r="E1207" s="8" t="s">
        <v>3425</v>
      </c>
      <c r="F1207" s="8" t="s">
        <v>3824</v>
      </c>
      <c r="G1207" s="8">
        <v>500</v>
      </c>
    </row>
    <row r="1208" spans="1:7" ht="16" x14ac:dyDescent="0.2">
      <c r="A1208" t="s">
        <v>3825</v>
      </c>
      <c r="B1208" s="32" t="s">
        <v>3251</v>
      </c>
      <c r="C1208" t="s">
        <v>3825</v>
      </c>
      <c r="D1208" s="8" t="s">
        <v>15</v>
      </c>
      <c r="E1208" s="8" t="s">
        <v>3426</v>
      </c>
      <c r="F1208" s="8" t="s">
        <v>3826</v>
      </c>
      <c r="G1208" s="8">
        <v>500</v>
      </c>
    </row>
    <row r="1209" spans="1:7" ht="16" x14ac:dyDescent="0.2">
      <c r="A1209" t="s">
        <v>3827</v>
      </c>
      <c r="B1209" s="32" t="s">
        <v>3251</v>
      </c>
      <c r="C1209" t="s">
        <v>3827</v>
      </c>
      <c r="D1209" s="8" t="s">
        <v>15</v>
      </c>
      <c r="E1209" s="8" t="s">
        <v>3427</v>
      </c>
      <c r="F1209" s="8" t="s">
        <v>3828</v>
      </c>
      <c r="G1209" s="8">
        <v>500</v>
      </c>
    </row>
    <row r="1210" spans="1:7" ht="16" x14ac:dyDescent="0.2">
      <c r="A1210" t="s">
        <v>3829</v>
      </c>
      <c r="B1210" s="32" t="s">
        <v>3251</v>
      </c>
      <c r="C1210" t="s">
        <v>3829</v>
      </c>
      <c r="D1210" s="8" t="s">
        <v>15</v>
      </c>
      <c r="E1210" s="8" t="s">
        <v>3428</v>
      </c>
      <c r="F1210" s="8" t="s">
        <v>3830</v>
      </c>
      <c r="G1210" s="8">
        <v>500</v>
      </c>
    </row>
    <row r="1211" spans="1:7" ht="16" x14ac:dyDescent="0.2">
      <c r="A1211" t="s">
        <v>3831</v>
      </c>
      <c r="B1211" s="32" t="s">
        <v>3251</v>
      </c>
      <c r="C1211" t="s">
        <v>3831</v>
      </c>
      <c r="D1211" s="8" t="s">
        <v>15</v>
      </c>
      <c r="E1211" s="8" t="s">
        <v>3429</v>
      </c>
      <c r="F1211" s="8" t="s">
        <v>3832</v>
      </c>
      <c r="G1211" s="8">
        <v>500</v>
      </c>
    </row>
    <row r="1212" spans="1:7" ht="16" x14ac:dyDescent="0.2">
      <c r="A1212" t="s">
        <v>3833</v>
      </c>
      <c r="B1212" s="32" t="s">
        <v>3251</v>
      </c>
      <c r="C1212" t="s">
        <v>3833</v>
      </c>
      <c r="D1212" s="8" t="s">
        <v>15</v>
      </c>
      <c r="E1212" s="8" t="s">
        <v>3430</v>
      </c>
      <c r="F1212" s="8" t="s">
        <v>3834</v>
      </c>
      <c r="G1212" s="8">
        <v>500</v>
      </c>
    </row>
    <row r="1213" spans="1:7" ht="16" x14ac:dyDescent="0.2">
      <c r="A1213" t="s">
        <v>3835</v>
      </c>
      <c r="B1213" s="32" t="s">
        <v>3251</v>
      </c>
      <c r="C1213" t="s">
        <v>3835</v>
      </c>
      <c r="D1213" s="8" t="s">
        <v>15</v>
      </c>
      <c r="E1213" s="8" t="s">
        <v>3431</v>
      </c>
      <c r="F1213" s="8" t="s">
        <v>3836</v>
      </c>
      <c r="G1213" s="8">
        <v>500</v>
      </c>
    </row>
    <row r="1214" spans="1:7" ht="16" x14ac:dyDescent="0.2">
      <c r="A1214" t="s">
        <v>3837</v>
      </c>
      <c r="B1214" s="32" t="s">
        <v>3251</v>
      </c>
      <c r="C1214" t="s">
        <v>3837</v>
      </c>
      <c r="D1214" s="8" t="s">
        <v>15</v>
      </c>
      <c r="E1214" s="8" t="s">
        <v>3432</v>
      </c>
      <c r="F1214" s="8" t="s">
        <v>3838</v>
      </c>
      <c r="G1214" s="8">
        <v>500</v>
      </c>
    </row>
    <row r="1215" spans="1:7" ht="16" x14ac:dyDescent="0.2">
      <c r="A1215" t="s">
        <v>3839</v>
      </c>
      <c r="B1215" s="32" t="s">
        <v>3251</v>
      </c>
      <c r="C1215" t="s">
        <v>3839</v>
      </c>
      <c r="D1215" s="8" t="s">
        <v>15</v>
      </c>
      <c r="E1215" s="8" t="s">
        <v>3433</v>
      </c>
      <c r="F1215" s="8" t="s">
        <v>3840</v>
      </c>
      <c r="G1215" s="8">
        <v>500</v>
      </c>
    </row>
    <row r="1216" spans="1:7" ht="16" x14ac:dyDescent="0.2">
      <c r="A1216" t="s">
        <v>3841</v>
      </c>
      <c r="B1216" s="32" t="s">
        <v>3251</v>
      </c>
      <c r="C1216" t="s">
        <v>3841</v>
      </c>
      <c r="D1216" s="8" t="s">
        <v>15</v>
      </c>
      <c r="E1216" s="8" t="s">
        <v>3434</v>
      </c>
      <c r="F1216" s="8" t="s">
        <v>3842</v>
      </c>
      <c r="G1216" s="8">
        <v>500</v>
      </c>
    </row>
    <row r="1217" spans="1:7" ht="16" x14ac:dyDescent="0.2">
      <c r="A1217" t="s">
        <v>3843</v>
      </c>
      <c r="B1217" s="32" t="s">
        <v>3251</v>
      </c>
      <c r="C1217" t="s">
        <v>3843</v>
      </c>
      <c r="D1217" s="8" t="s">
        <v>15</v>
      </c>
      <c r="E1217" s="8" t="s">
        <v>3435</v>
      </c>
      <c r="F1217" s="8" t="s">
        <v>3844</v>
      </c>
      <c r="G1217" s="8">
        <v>500</v>
      </c>
    </row>
    <row r="1218" spans="1:7" ht="16" x14ac:dyDescent="0.2">
      <c r="A1218" t="s">
        <v>3845</v>
      </c>
      <c r="B1218" s="32" t="s">
        <v>3251</v>
      </c>
      <c r="C1218" t="s">
        <v>3845</v>
      </c>
      <c r="D1218" s="8" t="s">
        <v>15</v>
      </c>
      <c r="E1218" s="8" t="s">
        <v>3436</v>
      </c>
      <c r="F1218" s="8" t="s">
        <v>3846</v>
      </c>
      <c r="G1218" s="8">
        <v>500</v>
      </c>
    </row>
    <row r="1219" spans="1:7" x14ac:dyDescent="0.15">
      <c r="A1219" s="8" t="s">
        <v>113</v>
      </c>
      <c r="B1219" s="33" t="s">
        <v>3849</v>
      </c>
      <c r="C1219" s="8" t="s">
        <v>113</v>
      </c>
      <c r="D1219" s="8" t="s">
        <v>15</v>
      </c>
      <c r="E1219" s="8" t="s">
        <v>3853</v>
      </c>
      <c r="F1219" s="8" t="s">
        <v>3854</v>
      </c>
      <c r="G1219" s="8">
        <v>500</v>
      </c>
    </row>
    <row r="1220" spans="1:7" x14ac:dyDescent="0.15">
      <c r="A1220" s="8" t="s">
        <v>3852</v>
      </c>
      <c r="B1220" s="33" t="s">
        <v>3849</v>
      </c>
      <c r="C1220" s="8" t="s">
        <v>3852</v>
      </c>
      <c r="D1220" s="8" t="s">
        <v>15</v>
      </c>
      <c r="E1220" s="8" t="s">
        <v>1941</v>
      </c>
      <c r="F1220" s="8" t="s">
        <v>3855</v>
      </c>
      <c r="G1220" s="8">
        <v>500</v>
      </c>
    </row>
    <row r="1221" spans="1:7" x14ac:dyDescent="0.15">
      <c r="A1221" s="8" t="s">
        <v>3856</v>
      </c>
      <c r="B1221" s="8" t="s">
        <v>61</v>
      </c>
      <c r="C1221" s="8" t="s">
        <v>3856</v>
      </c>
      <c r="D1221" s="8" t="s">
        <v>15</v>
      </c>
      <c r="E1221" s="8" t="s">
        <v>3857</v>
      </c>
      <c r="F1221" s="8" t="s">
        <v>3858</v>
      </c>
      <c r="G1221" s="8">
        <v>500</v>
      </c>
    </row>
    <row r="1222" spans="1:7" x14ac:dyDescent="0.15">
      <c r="A1222" s="8" t="s">
        <v>3920</v>
      </c>
      <c r="B1222" s="8" t="s">
        <v>3951</v>
      </c>
      <c r="C1222" s="8" t="s">
        <v>3920</v>
      </c>
      <c r="D1222" s="8" t="s">
        <v>15</v>
      </c>
      <c r="E1222" s="8" t="s">
        <v>3861</v>
      </c>
      <c r="F1222" s="8" t="s">
        <v>3862</v>
      </c>
      <c r="G1222" s="8">
        <v>500</v>
      </c>
    </row>
    <row r="1223" spans="1:7" x14ac:dyDescent="0.15">
      <c r="A1223" s="8" t="s">
        <v>3921</v>
      </c>
      <c r="B1223" s="8" t="s">
        <v>3951</v>
      </c>
      <c r="C1223" s="8" t="s">
        <v>3921</v>
      </c>
      <c r="D1223" s="8" t="s">
        <v>15</v>
      </c>
      <c r="E1223" s="8" t="s">
        <v>3863</v>
      </c>
      <c r="F1223" s="8" t="s">
        <v>3864</v>
      </c>
      <c r="G1223" s="8">
        <v>500</v>
      </c>
    </row>
    <row r="1224" spans="1:7" x14ac:dyDescent="0.15">
      <c r="A1224" s="8" t="s">
        <v>3922</v>
      </c>
      <c r="B1224" s="8" t="s">
        <v>3951</v>
      </c>
      <c r="C1224" s="8" t="s">
        <v>3922</v>
      </c>
      <c r="D1224" s="8" t="s">
        <v>15</v>
      </c>
      <c r="E1224" s="8" t="s">
        <v>3865</v>
      </c>
      <c r="F1224" s="8" t="s">
        <v>3866</v>
      </c>
      <c r="G1224" s="8">
        <v>500</v>
      </c>
    </row>
    <row r="1225" spans="1:7" x14ac:dyDescent="0.15">
      <c r="A1225" s="8" t="s">
        <v>3930</v>
      </c>
      <c r="B1225" s="8" t="s">
        <v>3951</v>
      </c>
      <c r="C1225" s="8" t="s">
        <v>3930</v>
      </c>
      <c r="D1225" s="8" t="s">
        <v>15</v>
      </c>
      <c r="E1225" s="8" t="s">
        <v>3867</v>
      </c>
      <c r="F1225" s="8" t="s">
        <v>3868</v>
      </c>
      <c r="G1225" s="8">
        <v>500</v>
      </c>
    </row>
    <row r="1226" spans="1:7" x14ac:dyDescent="0.15">
      <c r="A1226" s="8" t="s">
        <v>3923</v>
      </c>
      <c r="B1226" s="8" t="s">
        <v>3951</v>
      </c>
      <c r="C1226" s="8" t="s">
        <v>3923</v>
      </c>
      <c r="D1226" s="8" t="s">
        <v>15</v>
      </c>
      <c r="E1226" s="8" t="s">
        <v>3869</v>
      </c>
      <c r="F1226" s="8" t="s">
        <v>3870</v>
      </c>
      <c r="G1226" s="8">
        <v>500</v>
      </c>
    </row>
    <row r="1227" spans="1:7" x14ac:dyDescent="0.15">
      <c r="A1227" s="8" t="s">
        <v>3924</v>
      </c>
      <c r="B1227" s="8" t="s">
        <v>3951</v>
      </c>
      <c r="C1227" s="8" t="s">
        <v>3924</v>
      </c>
      <c r="D1227" s="8" t="s">
        <v>15</v>
      </c>
      <c r="E1227" s="8" t="s">
        <v>3871</v>
      </c>
      <c r="F1227" s="8" t="s">
        <v>3872</v>
      </c>
      <c r="G1227" s="8">
        <v>500</v>
      </c>
    </row>
    <row r="1228" spans="1:7" x14ac:dyDescent="0.15">
      <c r="A1228" s="8" t="s">
        <v>3925</v>
      </c>
      <c r="B1228" s="8" t="s">
        <v>3951</v>
      </c>
      <c r="C1228" s="8" t="s">
        <v>3925</v>
      </c>
      <c r="D1228" s="8" t="s">
        <v>15</v>
      </c>
      <c r="E1228" s="8" t="s">
        <v>3873</v>
      </c>
      <c r="F1228" s="8" t="s">
        <v>3874</v>
      </c>
      <c r="G1228" s="8">
        <v>500</v>
      </c>
    </row>
    <row r="1229" spans="1:7" x14ac:dyDescent="0.15">
      <c r="A1229" s="8" t="s">
        <v>3926</v>
      </c>
      <c r="B1229" s="8" t="s">
        <v>3951</v>
      </c>
      <c r="C1229" s="8" t="s">
        <v>3926</v>
      </c>
      <c r="D1229" s="8" t="s">
        <v>15</v>
      </c>
      <c r="E1229" s="8" t="s">
        <v>3875</v>
      </c>
      <c r="F1229" s="8" t="s">
        <v>3876</v>
      </c>
      <c r="G1229" s="8">
        <v>500</v>
      </c>
    </row>
    <row r="1230" spans="1:7" x14ac:dyDescent="0.15">
      <c r="A1230" s="8" t="s">
        <v>3927</v>
      </c>
      <c r="B1230" s="8" t="s">
        <v>3951</v>
      </c>
      <c r="C1230" s="8" t="s">
        <v>3927</v>
      </c>
      <c r="D1230" s="8" t="s">
        <v>15</v>
      </c>
      <c r="E1230" s="8" t="s">
        <v>3877</v>
      </c>
      <c r="F1230" s="8" t="s">
        <v>3878</v>
      </c>
      <c r="G1230" s="8">
        <v>500</v>
      </c>
    </row>
    <row r="1231" spans="1:7" x14ac:dyDescent="0.15">
      <c r="A1231" s="8" t="s">
        <v>3928</v>
      </c>
      <c r="B1231" s="8" t="s">
        <v>3951</v>
      </c>
      <c r="C1231" s="8" t="s">
        <v>3928</v>
      </c>
      <c r="D1231" s="8" t="s">
        <v>15</v>
      </c>
      <c r="E1231" s="8" t="s">
        <v>3879</v>
      </c>
      <c r="F1231" s="8" t="s">
        <v>3880</v>
      </c>
      <c r="G1231" s="8">
        <v>500</v>
      </c>
    </row>
    <row r="1232" spans="1:7" x14ac:dyDescent="0.15">
      <c r="A1232" s="8" t="s">
        <v>3929</v>
      </c>
      <c r="B1232" s="8" t="s">
        <v>3951</v>
      </c>
      <c r="C1232" s="8" t="s">
        <v>3929</v>
      </c>
      <c r="D1232" s="8" t="s">
        <v>15</v>
      </c>
      <c r="E1232" s="8" t="s">
        <v>3881</v>
      </c>
      <c r="F1232" s="8" t="s">
        <v>3882</v>
      </c>
      <c r="G1232" s="8">
        <v>500</v>
      </c>
    </row>
    <row r="1233" spans="1:7" x14ac:dyDescent="0.15">
      <c r="A1233" s="8" t="s">
        <v>3931</v>
      </c>
      <c r="B1233" s="8" t="s">
        <v>3951</v>
      </c>
      <c r="C1233" s="8" t="s">
        <v>3931</v>
      </c>
      <c r="D1233" s="8" t="s">
        <v>15</v>
      </c>
      <c r="E1233" s="8" t="s">
        <v>3883</v>
      </c>
      <c r="F1233" s="8" t="s">
        <v>3884</v>
      </c>
      <c r="G1233" s="8">
        <v>500</v>
      </c>
    </row>
    <row r="1234" spans="1:7" x14ac:dyDescent="0.15">
      <c r="A1234" s="8" t="s">
        <v>3932</v>
      </c>
      <c r="B1234" s="8" t="s">
        <v>3951</v>
      </c>
      <c r="C1234" s="8" t="s">
        <v>3932</v>
      </c>
      <c r="D1234" s="8" t="s">
        <v>15</v>
      </c>
      <c r="E1234" s="8" t="s">
        <v>3885</v>
      </c>
      <c r="F1234" s="8" t="s">
        <v>3886</v>
      </c>
      <c r="G1234" s="8">
        <v>500</v>
      </c>
    </row>
    <row r="1235" spans="1:7" x14ac:dyDescent="0.15">
      <c r="A1235" s="8" t="s">
        <v>3933</v>
      </c>
      <c r="B1235" s="8" t="s">
        <v>3951</v>
      </c>
      <c r="C1235" s="8" t="s">
        <v>3933</v>
      </c>
      <c r="D1235" s="8" t="s">
        <v>15</v>
      </c>
      <c r="E1235" s="8" t="s">
        <v>3887</v>
      </c>
      <c r="F1235" s="8" t="s">
        <v>3888</v>
      </c>
      <c r="G1235" s="8">
        <v>500</v>
      </c>
    </row>
    <row r="1236" spans="1:7" x14ac:dyDescent="0.15">
      <c r="A1236" s="8" t="s">
        <v>3934</v>
      </c>
      <c r="B1236" s="8" t="s">
        <v>3951</v>
      </c>
      <c r="C1236" s="8" t="s">
        <v>3934</v>
      </c>
      <c r="D1236" s="8" t="s">
        <v>15</v>
      </c>
      <c r="E1236" s="8" t="s">
        <v>3889</v>
      </c>
      <c r="F1236" s="8" t="s">
        <v>3890</v>
      </c>
      <c r="G1236" s="8">
        <v>500</v>
      </c>
    </row>
    <row r="1237" spans="1:7" x14ac:dyDescent="0.15">
      <c r="A1237" s="8" t="s">
        <v>3935</v>
      </c>
      <c r="B1237" s="8" t="s">
        <v>3951</v>
      </c>
      <c r="C1237" s="8" t="s">
        <v>3935</v>
      </c>
      <c r="D1237" s="8" t="s">
        <v>15</v>
      </c>
      <c r="E1237" s="8" t="s">
        <v>3891</v>
      </c>
      <c r="F1237" s="8" t="s">
        <v>3892</v>
      </c>
      <c r="G1237" s="8">
        <v>500</v>
      </c>
    </row>
    <row r="1238" spans="1:7" x14ac:dyDescent="0.15">
      <c r="A1238" s="8" t="s">
        <v>3936</v>
      </c>
      <c r="B1238" s="8" t="s">
        <v>3951</v>
      </c>
      <c r="C1238" s="8" t="s">
        <v>3936</v>
      </c>
      <c r="D1238" s="8" t="s">
        <v>15</v>
      </c>
      <c r="E1238" s="8" t="s">
        <v>3893</v>
      </c>
      <c r="F1238" s="8" t="s">
        <v>3894</v>
      </c>
      <c r="G1238" s="8">
        <v>500</v>
      </c>
    </row>
    <row r="1239" spans="1:7" x14ac:dyDescent="0.15">
      <c r="A1239" s="8" t="s">
        <v>3937</v>
      </c>
      <c r="B1239" s="8" t="s">
        <v>3951</v>
      </c>
      <c r="C1239" s="8" t="s">
        <v>3937</v>
      </c>
      <c r="D1239" s="8" t="s">
        <v>15</v>
      </c>
      <c r="E1239" s="8" t="s">
        <v>3895</v>
      </c>
      <c r="F1239" s="8" t="s">
        <v>3896</v>
      </c>
      <c r="G1239" s="8">
        <v>500</v>
      </c>
    </row>
    <row r="1240" spans="1:7" x14ac:dyDescent="0.15">
      <c r="A1240" s="8" t="s">
        <v>3938</v>
      </c>
      <c r="B1240" s="8" t="s">
        <v>3951</v>
      </c>
      <c r="C1240" s="8" t="s">
        <v>3938</v>
      </c>
      <c r="D1240" s="8" t="s">
        <v>15</v>
      </c>
      <c r="E1240" s="8" t="s">
        <v>3897</v>
      </c>
      <c r="F1240" s="8" t="s">
        <v>3898</v>
      </c>
      <c r="G1240" s="8">
        <v>500</v>
      </c>
    </row>
    <row r="1241" spans="1:7" x14ac:dyDescent="0.15">
      <c r="A1241" s="8" t="s">
        <v>3939</v>
      </c>
      <c r="B1241" s="8" t="s">
        <v>3951</v>
      </c>
      <c r="C1241" s="8" t="s">
        <v>3939</v>
      </c>
      <c r="D1241" s="8" t="s">
        <v>15</v>
      </c>
      <c r="E1241" s="8" t="s">
        <v>3899</v>
      </c>
      <c r="F1241" s="8" t="s">
        <v>3900</v>
      </c>
      <c r="G1241" s="8">
        <v>500</v>
      </c>
    </row>
    <row r="1242" spans="1:7" x14ac:dyDescent="0.15">
      <c r="A1242" s="8" t="s">
        <v>3940</v>
      </c>
      <c r="B1242" s="8" t="s">
        <v>3951</v>
      </c>
      <c r="C1242" s="8" t="s">
        <v>3940</v>
      </c>
      <c r="D1242" s="8" t="s">
        <v>15</v>
      </c>
      <c r="E1242" s="8" t="s">
        <v>3901</v>
      </c>
      <c r="F1242" s="8" t="s">
        <v>3902</v>
      </c>
      <c r="G1242" s="8">
        <v>500</v>
      </c>
    </row>
    <row r="1243" spans="1:7" x14ac:dyDescent="0.15">
      <c r="A1243" s="8" t="s">
        <v>3941</v>
      </c>
      <c r="B1243" s="8" t="s">
        <v>3951</v>
      </c>
      <c r="C1243" s="8" t="s">
        <v>3941</v>
      </c>
      <c r="D1243" s="8" t="s">
        <v>15</v>
      </c>
      <c r="E1243" s="8" t="s">
        <v>3903</v>
      </c>
      <c r="F1243" s="8" t="s">
        <v>3904</v>
      </c>
      <c r="G1243" s="8">
        <v>500</v>
      </c>
    </row>
    <row r="1244" spans="1:7" x14ac:dyDescent="0.15">
      <c r="A1244" s="8" t="s">
        <v>3942</v>
      </c>
      <c r="B1244" s="8" t="s">
        <v>3951</v>
      </c>
      <c r="C1244" s="8" t="s">
        <v>3942</v>
      </c>
      <c r="D1244" s="8" t="s">
        <v>15</v>
      </c>
      <c r="E1244" s="8" t="s">
        <v>3905</v>
      </c>
      <c r="F1244" s="8" t="s">
        <v>3906</v>
      </c>
      <c r="G1244" s="8">
        <v>500</v>
      </c>
    </row>
    <row r="1245" spans="1:7" x14ac:dyDescent="0.15">
      <c r="A1245" s="8" t="s">
        <v>3943</v>
      </c>
      <c r="B1245" s="8" t="s">
        <v>3951</v>
      </c>
      <c r="C1245" s="8" t="s">
        <v>3943</v>
      </c>
      <c r="D1245" s="8" t="s">
        <v>15</v>
      </c>
      <c r="E1245" s="8" t="s">
        <v>3907</v>
      </c>
      <c r="F1245" s="8" t="s">
        <v>3908</v>
      </c>
      <c r="G1245" s="8">
        <v>500</v>
      </c>
    </row>
    <row r="1246" spans="1:7" x14ac:dyDescent="0.15">
      <c r="A1246" s="8" t="s">
        <v>3944</v>
      </c>
      <c r="B1246" s="8" t="s">
        <v>3951</v>
      </c>
      <c r="C1246" s="8" t="s">
        <v>3944</v>
      </c>
      <c r="D1246" s="8" t="s">
        <v>15</v>
      </c>
      <c r="E1246" s="8" t="s">
        <v>3909</v>
      </c>
      <c r="F1246" s="8" t="s">
        <v>3910</v>
      </c>
      <c r="G1246" s="8">
        <v>500</v>
      </c>
    </row>
    <row r="1247" spans="1:7" x14ac:dyDescent="0.15">
      <c r="A1247" s="8" t="s">
        <v>3945</v>
      </c>
      <c r="B1247" s="8" t="s">
        <v>3951</v>
      </c>
      <c r="C1247" s="8" t="s">
        <v>3945</v>
      </c>
      <c r="D1247" s="8" t="s">
        <v>15</v>
      </c>
      <c r="E1247" s="8" t="s">
        <v>3911</v>
      </c>
      <c r="F1247" s="8" t="s">
        <v>3912</v>
      </c>
      <c r="G1247" s="8">
        <v>500</v>
      </c>
    </row>
    <row r="1248" spans="1:7" x14ac:dyDescent="0.15">
      <c r="A1248" s="8" t="s">
        <v>3946</v>
      </c>
      <c r="B1248" s="8" t="s">
        <v>3951</v>
      </c>
      <c r="C1248" s="8" t="s">
        <v>3946</v>
      </c>
      <c r="D1248" s="8" t="s">
        <v>15</v>
      </c>
      <c r="E1248" s="8" t="s">
        <v>3913</v>
      </c>
      <c r="F1248" s="8" t="s">
        <v>3914</v>
      </c>
      <c r="G1248" s="8">
        <v>500</v>
      </c>
    </row>
    <row r="1249" spans="1:1008" x14ac:dyDescent="0.15">
      <c r="A1249" s="8" t="s">
        <v>3947</v>
      </c>
      <c r="B1249" s="8" t="s">
        <v>3951</v>
      </c>
      <c r="C1249" s="8" t="s">
        <v>3947</v>
      </c>
      <c r="D1249" s="8" t="s">
        <v>15</v>
      </c>
      <c r="E1249" s="8" t="s">
        <v>3948</v>
      </c>
      <c r="F1249" s="8" t="s">
        <v>3915</v>
      </c>
      <c r="G1249" s="8">
        <v>500</v>
      </c>
    </row>
    <row r="1250" spans="1:1008" x14ac:dyDescent="0.15">
      <c r="A1250" s="8" t="s">
        <v>3949</v>
      </c>
      <c r="B1250" s="8" t="s">
        <v>3951</v>
      </c>
      <c r="C1250" s="8" t="s">
        <v>3949</v>
      </c>
      <c r="D1250" s="8" t="s">
        <v>15</v>
      </c>
      <c r="E1250" s="8" t="s">
        <v>3916</v>
      </c>
      <c r="F1250" s="8" t="s">
        <v>3917</v>
      </c>
      <c r="G1250" s="8">
        <v>500</v>
      </c>
    </row>
    <row r="1251" spans="1:1008" x14ac:dyDescent="0.15">
      <c r="A1251" s="8" t="s">
        <v>3950</v>
      </c>
      <c r="B1251" s="8" t="s">
        <v>3951</v>
      </c>
      <c r="C1251" s="8" t="s">
        <v>3950</v>
      </c>
      <c r="D1251" s="8" t="s">
        <v>15</v>
      </c>
      <c r="E1251" s="8" t="s">
        <v>3918</v>
      </c>
      <c r="F1251" s="8" t="s">
        <v>3919</v>
      </c>
      <c r="G1251" s="8">
        <v>500</v>
      </c>
    </row>
    <row r="1252" spans="1:1008" x14ac:dyDescent="0.15">
      <c r="A1252" s="8" t="s">
        <v>3961</v>
      </c>
      <c r="B1252" s="8" t="s">
        <v>3959</v>
      </c>
      <c r="C1252" s="8" t="s">
        <v>3961</v>
      </c>
      <c r="D1252" s="8" t="s">
        <v>3961</v>
      </c>
      <c r="E1252" s="8" t="s">
        <v>3962</v>
      </c>
      <c r="F1252" s="8" t="s">
        <v>3963</v>
      </c>
      <c r="G1252" s="8">
        <v>500</v>
      </c>
    </row>
    <row r="1253" spans="1:1008" x14ac:dyDescent="0.15">
      <c r="A1253" s="8" t="s">
        <v>3964</v>
      </c>
      <c r="B1253" s="8" t="s">
        <v>3959</v>
      </c>
      <c r="C1253" s="8" t="s">
        <v>3964</v>
      </c>
      <c r="D1253" s="8" t="s">
        <v>3965</v>
      </c>
      <c r="E1253" s="8" t="s">
        <v>3966</v>
      </c>
      <c r="F1253" s="8" t="s">
        <v>3967</v>
      </c>
      <c r="G1253" s="8">
        <v>500</v>
      </c>
    </row>
    <row r="1254" spans="1:1008" x14ac:dyDescent="0.15">
      <c r="A1254" s="8" t="s">
        <v>3968</v>
      </c>
      <c r="B1254" s="8" t="s">
        <v>3959</v>
      </c>
      <c r="C1254" s="8" t="s">
        <v>3968</v>
      </c>
      <c r="D1254" s="8" t="s">
        <v>3968</v>
      </c>
      <c r="E1254" s="8" t="s">
        <v>3969</v>
      </c>
      <c r="F1254" s="8" t="s">
        <v>3970</v>
      </c>
      <c r="G1254" s="8">
        <v>500</v>
      </c>
    </row>
    <row r="1255" spans="1:1008" x14ac:dyDescent="0.15">
      <c r="A1255" t="s">
        <v>4141</v>
      </c>
      <c r="B1255" s="31" t="s">
        <v>4073</v>
      </c>
      <c r="C1255" t="s">
        <v>4141</v>
      </c>
      <c r="D1255" s="8" t="s">
        <v>15</v>
      </c>
      <c r="E1255" t="s">
        <v>3982</v>
      </c>
      <c r="F1255" t="s">
        <v>3983</v>
      </c>
      <c r="G1255">
        <v>500</v>
      </c>
    </row>
    <row r="1256" spans="1:1008" x14ac:dyDescent="0.15">
      <c r="A1256" t="s">
        <v>4142</v>
      </c>
      <c r="B1256" s="31" t="s">
        <v>4073</v>
      </c>
      <c r="C1256" t="s">
        <v>4142</v>
      </c>
      <c r="D1256" s="8" t="s">
        <v>15</v>
      </c>
      <c r="E1256" t="s">
        <v>3984</v>
      </c>
      <c r="F1256" t="s">
        <v>3985</v>
      </c>
      <c r="G1256">
        <v>500</v>
      </c>
    </row>
    <row r="1257" spans="1:1008" x14ac:dyDescent="0.15">
      <c r="A1257" t="s">
        <v>4143</v>
      </c>
      <c r="B1257" s="31" t="s">
        <v>4073</v>
      </c>
      <c r="C1257" t="s">
        <v>4143</v>
      </c>
      <c r="D1257" s="8" t="s">
        <v>15</v>
      </c>
      <c r="E1257" t="s">
        <v>4144</v>
      </c>
      <c r="F1257" t="s">
        <v>3986</v>
      </c>
      <c r="G1257">
        <v>500</v>
      </c>
    </row>
    <row r="1258" spans="1:1008" x14ac:dyDescent="0.15">
      <c r="A1258" t="s">
        <v>3987</v>
      </c>
      <c r="B1258" s="8" t="s">
        <v>4073</v>
      </c>
      <c r="C1258" t="s">
        <v>3987</v>
      </c>
      <c r="D1258" s="8" t="s">
        <v>15</v>
      </c>
      <c r="E1258" t="s">
        <v>3987</v>
      </c>
      <c r="F1258" t="s">
        <v>3988</v>
      </c>
      <c r="G1258">
        <v>500</v>
      </c>
    </row>
    <row r="1259" spans="1:1008" x14ac:dyDescent="0.15">
      <c r="A1259" t="s">
        <v>4133</v>
      </c>
      <c r="B1259" s="8" t="s">
        <v>4073</v>
      </c>
      <c r="C1259" t="s">
        <v>3989</v>
      </c>
      <c r="D1259" s="8" t="s">
        <v>15</v>
      </c>
      <c r="E1259" t="s">
        <v>3989</v>
      </c>
      <c r="F1259" t="s">
        <v>3990</v>
      </c>
      <c r="G1259">
        <v>600</v>
      </c>
    </row>
    <row r="1260" spans="1:1008" x14ac:dyDescent="0.15">
      <c r="A1260" t="s">
        <v>4132</v>
      </c>
      <c r="B1260" s="8" t="s">
        <v>4073</v>
      </c>
      <c r="C1260" t="s">
        <v>3991</v>
      </c>
      <c r="D1260" s="8" t="s">
        <v>15</v>
      </c>
      <c r="E1260" t="s">
        <v>3991</v>
      </c>
      <c r="F1260" t="s">
        <v>3992</v>
      </c>
      <c r="G1260">
        <v>450</v>
      </c>
    </row>
    <row r="1261" spans="1:1008" x14ac:dyDescent="0.15">
      <c r="A1261" t="s">
        <v>4134</v>
      </c>
      <c r="B1261" s="8" t="s">
        <v>4074</v>
      </c>
      <c r="C1261" t="s">
        <v>4134</v>
      </c>
      <c r="D1261" s="8" t="s">
        <v>15</v>
      </c>
      <c r="E1261" t="s">
        <v>3994</v>
      </c>
      <c r="F1261" t="s">
        <v>3995</v>
      </c>
      <c r="G1261">
        <v>500</v>
      </c>
    </row>
    <row r="1262" spans="1:1008" x14ac:dyDescent="0.15">
      <c r="A1262" t="s">
        <v>4135</v>
      </c>
      <c r="B1262" s="8" t="s">
        <v>4074</v>
      </c>
      <c r="C1262" t="s">
        <v>4135</v>
      </c>
      <c r="D1262" s="8" t="s">
        <v>15</v>
      </c>
      <c r="E1262" t="s">
        <v>3996</v>
      </c>
      <c r="F1262" t="s">
        <v>3997</v>
      </c>
      <c r="G1262">
        <v>550</v>
      </c>
    </row>
    <row r="1263" spans="1:1008" x14ac:dyDescent="0.15">
      <c r="A1263" t="s">
        <v>4136</v>
      </c>
      <c r="B1263" s="8" t="s">
        <v>4074</v>
      </c>
      <c r="C1263" t="s">
        <v>4136</v>
      </c>
      <c r="D1263" s="8" t="s">
        <v>15</v>
      </c>
      <c r="E1263" t="s">
        <v>3998</v>
      </c>
      <c r="F1263" t="s">
        <v>3999</v>
      </c>
      <c r="G1263">
        <v>500</v>
      </c>
    </row>
    <row r="1264" spans="1:1008" x14ac:dyDescent="0.15">
      <c r="A1264" t="s">
        <v>4001</v>
      </c>
      <c r="B1264" s="8" t="s">
        <v>4075</v>
      </c>
      <c r="C1264" t="s">
        <v>4001</v>
      </c>
      <c r="D1264" s="8" t="s">
        <v>15</v>
      </c>
      <c r="E1264" t="s">
        <v>4001</v>
      </c>
      <c r="F1264" t="s">
        <v>4002</v>
      </c>
      <c r="G1264">
        <v>550</v>
      </c>
      <c r="H1264"/>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c r="AT1264"/>
      <c r="AU1264"/>
      <c r="AV1264"/>
      <c r="AW1264"/>
      <c r="AX1264"/>
      <c r="AY1264"/>
      <c r="AZ1264"/>
      <c r="BA1264"/>
      <c r="BB1264"/>
      <c r="BC1264"/>
      <c r="BD1264"/>
      <c r="BE1264"/>
      <c r="BF1264"/>
      <c r="BG1264"/>
      <c r="BH1264"/>
      <c r="BI1264"/>
      <c r="BJ1264"/>
      <c r="BK1264"/>
      <c r="BL1264"/>
      <c r="BM1264"/>
      <c r="BN1264"/>
      <c r="BO1264"/>
      <c r="BP1264"/>
      <c r="BQ1264"/>
      <c r="BR1264"/>
      <c r="BS1264"/>
      <c r="BT1264"/>
      <c r="BU1264"/>
      <c r="BV1264"/>
      <c r="BW1264"/>
      <c r="BX1264"/>
      <c r="BY1264"/>
      <c r="BZ1264"/>
      <c r="CA1264"/>
      <c r="CB1264"/>
      <c r="CC1264"/>
      <c r="CD1264"/>
      <c r="CE1264"/>
      <c r="CF1264"/>
      <c r="CG1264"/>
      <c r="CH1264"/>
      <c r="CI1264"/>
      <c r="CJ1264"/>
      <c r="CK1264"/>
      <c r="CL1264"/>
      <c r="CM1264"/>
      <c r="CN1264"/>
      <c r="CO1264"/>
      <c r="CP1264"/>
      <c r="CQ1264"/>
      <c r="CR1264"/>
      <c r="CS1264"/>
      <c r="CT1264"/>
      <c r="CU1264"/>
      <c r="CV1264"/>
      <c r="CW1264"/>
      <c r="CX1264"/>
      <c r="CY1264"/>
      <c r="CZ1264"/>
      <c r="DA1264"/>
      <c r="DB1264"/>
      <c r="DC1264"/>
      <c r="DD1264"/>
      <c r="DE1264"/>
      <c r="DF1264"/>
      <c r="DG1264"/>
      <c r="DH1264"/>
      <c r="DI1264"/>
      <c r="DJ1264"/>
      <c r="DK1264"/>
      <c r="DL1264"/>
      <c r="DM1264"/>
      <c r="DN1264"/>
      <c r="DO1264"/>
      <c r="DP1264"/>
      <c r="DQ1264"/>
      <c r="DR1264"/>
      <c r="DS1264"/>
      <c r="DT1264"/>
      <c r="DU1264"/>
      <c r="DV1264"/>
      <c r="DW1264"/>
      <c r="DX1264"/>
      <c r="DY1264"/>
      <c r="DZ1264"/>
      <c r="EA1264"/>
      <c r="EB1264"/>
      <c r="EC1264"/>
      <c r="ED1264"/>
      <c r="EE1264"/>
      <c r="EF1264"/>
      <c r="EG1264"/>
      <c r="EH1264"/>
      <c r="EI1264"/>
      <c r="EJ1264"/>
      <c r="EK1264"/>
      <c r="EL1264"/>
      <c r="EM1264"/>
      <c r="EN1264"/>
      <c r="EO1264"/>
      <c r="EP1264"/>
      <c r="EQ1264"/>
      <c r="ER1264"/>
      <c r="ES1264"/>
      <c r="ET1264"/>
      <c r="EU1264"/>
      <c r="EV1264"/>
      <c r="EW1264"/>
      <c r="EX1264"/>
      <c r="EY1264"/>
      <c r="EZ1264"/>
      <c r="FA1264"/>
      <c r="FB1264"/>
      <c r="FC1264"/>
      <c r="FD1264"/>
      <c r="FE1264"/>
      <c r="FF1264"/>
      <c r="FG1264"/>
      <c r="FH1264"/>
      <c r="FI1264"/>
      <c r="FJ1264"/>
      <c r="FK1264"/>
      <c r="FL1264"/>
      <c r="FM1264"/>
      <c r="FN1264"/>
      <c r="FO1264"/>
      <c r="FP1264"/>
      <c r="FQ1264"/>
      <c r="FR1264"/>
      <c r="FS1264"/>
      <c r="FT1264"/>
      <c r="FU1264"/>
      <c r="FV1264"/>
      <c r="FW1264"/>
      <c r="FX1264"/>
      <c r="FY1264"/>
      <c r="FZ1264"/>
      <c r="GA1264"/>
      <c r="GB1264"/>
      <c r="GC1264"/>
      <c r="GD1264"/>
      <c r="GE1264"/>
      <c r="GF1264"/>
      <c r="GG1264"/>
      <c r="GH1264"/>
      <c r="GI1264"/>
      <c r="GJ1264"/>
      <c r="GK1264"/>
      <c r="GL1264"/>
      <c r="GM1264"/>
      <c r="GN1264"/>
      <c r="GO1264"/>
      <c r="GP1264"/>
      <c r="GQ1264"/>
      <c r="GR1264"/>
      <c r="GS1264"/>
      <c r="GT1264"/>
      <c r="GU1264"/>
      <c r="GV1264"/>
      <c r="GW1264"/>
      <c r="GX1264"/>
      <c r="GY1264"/>
      <c r="GZ1264"/>
      <c r="HA1264"/>
      <c r="HB1264"/>
      <c r="HC1264"/>
      <c r="HD1264"/>
      <c r="HE1264"/>
      <c r="HF1264"/>
      <c r="HG1264"/>
      <c r="HH1264"/>
      <c r="HI1264"/>
      <c r="HJ1264"/>
      <c r="HK1264"/>
      <c r="HL1264"/>
      <c r="HM1264"/>
      <c r="HN1264"/>
      <c r="HO1264"/>
      <c r="HP1264"/>
      <c r="HQ1264"/>
      <c r="HR1264"/>
      <c r="HS1264"/>
      <c r="HT1264"/>
      <c r="HU1264"/>
      <c r="HV1264"/>
      <c r="HW1264"/>
      <c r="HX1264"/>
      <c r="HY1264"/>
      <c r="HZ1264"/>
      <c r="IA1264"/>
      <c r="IB1264"/>
      <c r="IC1264"/>
      <c r="ID1264"/>
      <c r="IE1264"/>
      <c r="IF1264"/>
      <c r="IG1264"/>
      <c r="IH1264"/>
      <c r="II1264"/>
      <c r="IJ1264"/>
      <c r="IK1264"/>
      <c r="IL1264"/>
      <c r="IM1264"/>
      <c r="IN1264"/>
      <c r="IO1264"/>
      <c r="IP1264"/>
      <c r="IQ1264"/>
      <c r="IR1264"/>
      <c r="IS1264"/>
      <c r="IT1264"/>
      <c r="IU1264"/>
      <c r="IV1264"/>
      <c r="IW1264"/>
      <c r="IX1264"/>
      <c r="IY1264"/>
      <c r="IZ1264"/>
      <c r="JA1264"/>
      <c r="JB1264"/>
      <c r="JC1264"/>
      <c r="JD1264"/>
      <c r="JE1264"/>
      <c r="JF1264"/>
      <c r="JG1264"/>
      <c r="JH1264"/>
      <c r="JI1264"/>
      <c r="JJ1264"/>
      <c r="JK1264"/>
      <c r="JL1264"/>
      <c r="JM1264"/>
      <c r="JN1264"/>
      <c r="JO1264"/>
      <c r="JP1264"/>
      <c r="JQ1264"/>
      <c r="JR1264"/>
      <c r="JS1264"/>
      <c r="JT1264"/>
      <c r="JU1264"/>
      <c r="JV1264"/>
      <c r="JW1264"/>
      <c r="JX1264"/>
      <c r="JY1264"/>
      <c r="JZ1264"/>
      <c r="KA1264"/>
      <c r="KB1264"/>
      <c r="KC1264"/>
      <c r="KD1264"/>
      <c r="KE1264"/>
      <c r="KF1264"/>
      <c r="KG1264"/>
      <c r="KH1264"/>
      <c r="KI1264"/>
      <c r="KJ1264"/>
      <c r="KK1264"/>
      <c r="KL1264"/>
      <c r="KM1264"/>
      <c r="KN1264"/>
      <c r="KO1264"/>
      <c r="KP1264"/>
      <c r="KQ1264"/>
      <c r="KR1264"/>
      <c r="KS1264"/>
      <c r="KT1264"/>
      <c r="KU1264"/>
      <c r="KV1264"/>
      <c r="KW1264"/>
      <c r="KX1264"/>
      <c r="KY1264"/>
      <c r="KZ1264"/>
      <c r="LA1264"/>
      <c r="LB1264"/>
      <c r="LC1264"/>
      <c r="LD1264"/>
      <c r="LE1264"/>
      <c r="LF1264"/>
      <c r="LG1264"/>
      <c r="LH1264"/>
      <c r="LI1264"/>
      <c r="LJ1264"/>
      <c r="LK1264"/>
      <c r="LL1264"/>
      <c r="LM1264"/>
      <c r="LN1264"/>
      <c r="LO1264"/>
      <c r="LP1264"/>
      <c r="LQ1264"/>
      <c r="LR1264"/>
      <c r="LS1264"/>
      <c r="LT1264"/>
      <c r="LU1264"/>
      <c r="LV1264"/>
      <c r="LW1264"/>
      <c r="LX1264"/>
      <c r="LY1264"/>
      <c r="LZ1264"/>
      <c r="MA1264"/>
      <c r="MB1264"/>
      <c r="MC1264"/>
      <c r="MD1264"/>
      <c r="ME1264"/>
      <c r="MF1264"/>
      <c r="MG1264"/>
      <c r="MH1264"/>
      <c r="MI1264"/>
      <c r="MJ1264"/>
      <c r="MK1264"/>
      <c r="ML1264"/>
      <c r="MM1264"/>
      <c r="MN1264"/>
      <c r="MO1264"/>
      <c r="MP1264"/>
      <c r="MQ1264"/>
      <c r="MR1264"/>
      <c r="MS1264"/>
      <c r="MT1264"/>
      <c r="MU1264"/>
      <c r="MV1264"/>
      <c r="MW1264"/>
      <c r="MX1264"/>
      <c r="MY1264"/>
      <c r="MZ1264"/>
      <c r="NA1264"/>
      <c r="NB1264"/>
      <c r="NC1264"/>
      <c r="ND1264"/>
      <c r="NE1264"/>
      <c r="NF1264"/>
      <c r="NG1264"/>
      <c r="NH1264"/>
      <c r="NI1264"/>
      <c r="NJ1264"/>
      <c r="NK1264"/>
      <c r="NL1264"/>
      <c r="NM1264"/>
      <c r="NN1264"/>
      <c r="NO1264"/>
      <c r="NP1264"/>
      <c r="NQ1264"/>
      <c r="NR1264"/>
      <c r="NS1264"/>
      <c r="NT1264"/>
      <c r="NU1264"/>
      <c r="NV1264"/>
      <c r="NW1264"/>
      <c r="NX1264"/>
      <c r="NY1264"/>
      <c r="NZ1264"/>
      <c r="OA1264"/>
      <c r="OB1264"/>
      <c r="OC1264"/>
      <c r="OD1264"/>
      <c r="OE1264"/>
      <c r="OF1264"/>
      <c r="OG1264"/>
      <c r="OH1264"/>
      <c r="OI1264"/>
      <c r="OJ1264"/>
      <c r="OK1264"/>
      <c r="OL1264"/>
      <c r="OM1264"/>
      <c r="ON1264"/>
      <c r="OO1264"/>
      <c r="OP1264"/>
      <c r="OQ1264"/>
      <c r="OR1264"/>
      <c r="OS1264"/>
      <c r="OT1264"/>
      <c r="OU1264"/>
      <c r="OV1264"/>
      <c r="OW1264"/>
      <c r="OX1264"/>
      <c r="OY1264"/>
      <c r="OZ1264"/>
      <c r="PA1264"/>
      <c r="PB1264"/>
      <c r="PC1264"/>
      <c r="PD1264"/>
      <c r="PE1264"/>
      <c r="PF1264"/>
      <c r="PG1264"/>
      <c r="PH1264"/>
      <c r="PI1264"/>
      <c r="PJ1264"/>
      <c r="PK1264"/>
      <c r="PL1264"/>
      <c r="PM1264"/>
      <c r="PN1264"/>
      <c r="PO1264"/>
      <c r="PP1264"/>
      <c r="PQ1264"/>
      <c r="PR1264"/>
      <c r="PS1264"/>
      <c r="PT1264"/>
      <c r="PU1264"/>
      <c r="PV1264"/>
      <c r="PW1264"/>
      <c r="PX1264"/>
      <c r="PY1264"/>
      <c r="PZ1264"/>
      <c r="QA1264"/>
      <c r="QB1264"/>
      <c r="QC1264"/>
      <c r="QD1264"/>
      <c r="QE1264"/>
      <c r="QF1264"/>
      <c r="QG1264"/>
      <c r="QH1264"/>
      <c r="QI1264"/>
      <c r="QJ1264"/>
      <c r="QK1264"/>
      <c r="QL1264"/>
      <c r="QM1264"/>
      <c r="QN1264"/>
      <c r="QO1264"/>
      <c r="QP1264"/>
      <c r="QQ1264"/>
      <c r="QR1264"/>
      <c r="QS1264"/>
      <c r="QT1264"/>
      <c r="QU1264"/>
      <c r="QV1264"/>
      <c r="QW1264"/>
      <c r="QX1264"/>
      <c r="QY1264"/>
      <c r="QZ1264"/>
      <c r="RA1264"/>
      <c r="RB1264"/>
      <c r="RC1264"/>
      <c r="RD1264"/>
      <c r="RE1264"/>
      <c r="RF1264"/>
      <c r="RG1264"/>
      <c r="RH1264"/>
      <c r="RI1264"/>
      <c r="RJ1264"/>
      <c r="RK1264"/>
      <c r="RL1264"/>
      <c r="RM1264"/>
      <c r="RN1264"/>
      <c r="RO1264"/>
      <c r="RP1264"/>
      <c r="RQ1264"/>
      <c r="RR1264"/>
      <c r="RS1264"/>
      <c r="RT1264"/>
      <c r="RU1264"/>
      <c r="RV1264"/>
      <c r="RW1264"/>
      <c r="RX1264"/>
      <c r="RY1264"/>
      <c r="RZ1264"/>
      <c r="SA1264"/>
      <c r="SB1264"/>
      <c r="SC1264"/>
      <c r="SD1264"/>
      <c r="SE1264"/>
      <c r="SF1264"/>
      <c r="SG1264"/>
      <c r="SH1264"/>
      <c r="SI1264"/>
      <c r="SJ1264"/>
      <c r="SK1264"/>
      <c r="SL1264"/>
      <c r="SM1264"/>
      <c r="SN1264"/>
      <c r="SO1264"/>
      <c r="SP1264"/>
      <c r="SQ1264"/>
      <c r="SR1264"/>
      <c r="SS1264"/>
      <c r="ST1264"/>
      <c r="SU1264"/>
      <c r="SV1264"/>
      <c r="SW1264"/>
      <c r="SX1264"/>
      <c r="SY1264"/>
      <c r="SZ1264"/>
      <c r="TA1264"/>
      <c r="TB1264"/>
      <c r="TC1264"/>
      <c r="TD1264"/>
      <c r="TE1264"/>
      <c r="TF1264"/>
      <c r="TG1264"/>
      <c r="TH1264"/>
      <c r="TI1264"/>
      <c r="TJ1264"/>
      <c r="TK1264"/>
      <c r="TL1264"/>
      <c r="TM1264"/>
      <c r="TN1264"/>
      <c r="TO1264"/>
      <c r="TP1264"/>
      <c r="TQ1264"/>
      <c r="TR1264"/>
      <c r="TS1264"/>
      <c r="TT1264"/>
      <c r="TU1264"/>
      <c r="TV1264"/>
      <c r="TW1264"/>
      <c r="TX1264"/>
      <c r="TY1264"/>
      <c r="TZ1264"/>
      <c r="UA1264"/>
      <c r="UB1264"/>
      <c r="UC1264"/>
      <c r="UD1264"/>
      <c r="UE1264"/>
      <c r="UF1264"/>
      <c r="UG1264"/>
      <c r="UH1264"/>
      <c r="UI1264"/>
      <c r="UJ1264"/>
      <c r="UK1264"/>
      <c r="UL1264"/>
      <c r="UM1264"/>
      <c r="UN1264"/>
      <c r="UO1264"/>
      <c r="UP1264"/>
      <c r="UQ1264"/>
      <c r="UR1264"/>
      <c r="US1264"/>
      <c r="UT1264"/>
      <c r="UU1264"/>
      <c r="UV1264"/>
      <c r="UW1264"/>
      <c r="UX1264"/>
      <c r="UY1264"/>
      <c r="UZ1264"/>
      <c r="VA1264"/>
      <c r="VB1264"/>
      <c r="VC1264"/>
      <c r="VD1264"/>
      <c r="VE1264"/>
      <c r="VF1264"/>
      <c r="VG1264"/>
      <c r="VH1264"/>
      <c r="VI1264"/>
      <c r="VJ1264"/>
      <c r="VK1264"/>
      <c r="VL1264"/>
      <c r="VM1264"/>
      <c r="VN1264"/>
      <c r="VO1264"/>
      <c r="VP1264"/>
      <c r="VQ1264"/>
      <c r="VR1264"/>
      <c r="VS1264"/>
      <c r="VT1264"/>
      <c r="VU1264"/>
      <c r="VV1264"/>
      <c r="VW1264"/>
      <c r="VX1264"/>
      <c r="VY1264"/>
      <c r="VZ1264"/>
      <c r="WA1264"/>
      <c r="WB1264"/>
      <c r="WC1264"/>
      <c r="WD1264"/>
      <c r="WE1264"/>
      <c r="WF1264"/>
      <c r="WG1264"/>
      <c r="WH1264"/>
      <c r="WI1264"/>
      <c r="WJ1264"/>
      <c r="WK1264"/>
      <c r="WL1264"/>
      <c r="WM1264"/>
      <c r="WN1264"/>
      <c r="WO1264"/>
      <c r="WP1264"/>
      <c r="WQ1264"/>
      <c r="WR1264"/>
      <c r="WS1264"/>
      <c r="WT1264"/>
      <c r="WU1264"/>
      <c r="WV1264"/>
      <c r="WW1264"/>
      <c r="WX1264"/>
      <c r="WY1264"/>
      <c r="WZ1264"/>
      <c r="XA1264"/>
      <c r="XB1264"/>
      <c r="XC1264"/>
      <c r="XD1264"/>
      <c r="XE1264"/>
      <c r="XF1264"/>
      <c r="XG1264"/>
      <c r="XH1264"/>
      <c r="XI1264"/>
      <c r="XJ1264"/>
      <c r="XK1264"/>
      <c r="XL1264"/>
      <c r="XM1264"/>
      <c r="XN1264"/>
      <c r="XO1264"/>
      <c r="XP1264"/>
      <c r="XQ1264"/>
      <c r="XR1264"/>
      <c r="XS1264"/>
      <c r="XT1264"/>
      <c r="XU1264"/>
      <c r="XV1264"/>
      <c r="XW1264"/>
      <c r="XX1264"/>
      <c r="XY1264"/>
      <c r="XZ1264"/>
      <c r="YA1264"/>
      <c r="YB1264"/>
      <c r="YC1264"/>
      <c r="YD1264"/>
      <c r="YE1264"/>
      <c r="YF1264"/>
      <c r="YG1264"/>
      <c r="YH1264"/>
      <c r="YI1264"/>
      <c r="YJ1264"/>
      <c r="YK1264"/>
      <c r="YL1264"/>
      <c r="YM1264"/>
      <c r="YN1264"/>
      <c r="YO1264"/>
      <c r="YP1264"/>
      <c r="YQ1264"/>
      <c r="YR1264"/>
      <c r="YS1264"/>
      <c r="YT1264"/>
      <c r="YU1264"/>
      <c r="YV1264"/>
      <c r="YW1264"/>
      <c r="YX1264"/>
      <c r="YY1264"/>
      <c r="YZ1264"/>
      <c r="ZA1264"/>
      <c r="ZB1264"/>
      <c r="ZC1264"/>
      <c r="ZD1264"/>
      <c r="ZE1264"/>
      <c r="ZF1264"/>
      <c r="ZG1264"/>
      <c r="ZH1264"/>
      <c r="ZI1264"/>
      <c r="ZJ1264"/>
      <c r="ZK1264"/>
      <c r="ZL1264"/>
      <c r="ZM1264"/>
      <c r="ZN1264"/>
      <c r="ZO1264"/>
      <c r="ZP1264"/>
      <c r="ZQ1264"/>
      <c r="ZR1264"/>
      <c r="ZS1264"/>
      <c r="ZT1264"/>
      <c r="ZU1264"/>
      <c r="ZV1264"/>
      <c r="ZW1264"/>
      <c r="ZX1264"/>
      <c r="ZY1264"/>
      <c r="ZZ1264"/>
      <c r="AAA1264"/>
      <c r="AAB1264"/>
      <c r="AAC1264"/>
      <c r="AAD1264"/>
      <c r="AAE1264"/>
      <c r="AAF1264"/>
      <c r="AAG1264"/>
      <c r="AAH1264"/>
      <c r="AAI1264"/>
      <c r="AAJ1264"/>
      <c r="AAK1264"/>
      <c r="AAL1264"/>
      <c r="AAM1264"/>
      <c r="AAN1264"/>
      <c r="AAO1264"/>
      <c r="AAP1264"/>
      <c r="AAQ1264"/>
      <c r="AAR1264"/>
      <c r="AAS1264"/>
      <c r="AAT1264"/>
      <c r="AAU1264"/>
      <c r="AAV1264"/>
      <c r="AAW1264"/>
      <c r="AAX1264"/>
      <c r="AAY1264"/>
      <c r="AAZ1264"/>
      <c r="ABA1264"/>
      <c r="ABB1264"/>
      <c r="ABC1264"/>
      <c r="ABD1264"/>
      <c r="ABE1264"/>
      <c r="ABF1264"/>
      <c r="ABG1264"/>
      <c r="ABH1264"/>
      <c r="ABI1264"/>
      <c r="ABJ1264"/>
      <c r="ABK1264"/>
      <c r="ABL1264"/>
      <c r="ABM1264"/>
      <c r="ABN1264"/>
      <c r="ABO1264"/>
      <c r="ABP1264"/>
      <c r="ABQ1264"/>
      <c r="ABR1264"/>
      <c r="ABS1264"/>
      <c r="ABT1264"/>
      <c r="ABU1264"/>
      <c r="ABV1264"/>
      <c r="ABW1264"/>
      <c r="ABX1264"/>
      <c r="ABY1264"/>
      <c r="ABZ1264"/>
      <c r="ACA1264"/>
      <c r="ACB1264"/>
      <c r="ACC1264"/>
      <c r="ACD1264"/>
      <c r="ACE1264"/>
      <c r="ACF1264"/>
      <c r="ACG1264"/>
      <c r="ACH1264"/>
      <c r="ACI1264"/>
      <c r="ACJ1264"/>
      <c r="ACK1264"/>
      <c r="ACL1264"/>
      <c r="ACM1264"/>
      <c r="ACN1264"/>
      <c r="ACO1264"/>
      <c r="ACP1264"/>
      <c r="ACQ1264"/>
      <c r="ACR1264"/>
      <c r="ACS1264"/>
      <c r="ACT1264"/>
      <c r="ACU1264"/>
      <c r="ACV1264"/>
      <c r="ACW1264"/>
      <c r="ACX1264"/>
      <c r="ACY1264"/>
      <c r="ACZ1264"/>
      <c r="ADA1264"/>
      <c r="ADB1264"/>
      <c r="ADC1264"/>
      <c r="ADD1264"/>
      <c r="ADE1264"/>
      <c r="ADF1264"/>
      <c r="ADG1264"/>
      <c r="ADH1264"/>
      <c r="ADI1264"/>
      <c r="ADJ1264"/>
      <c r="ADK1264"/>
      <c r="ADL1264"/>
      <c r="ADM1264"/>
      <c r="ADN1264"/>
      <c r="ADO1264"/>
      <c r="ADP1264"/>
      <c r="ADQ1264"/>
      <c r="ADR1264"/>
      <c r="ADS1264"/>
      <c r="ADT1264"/>
      <c r="ADU1264"/>
      <c r="ADV1264"/>
      <c r="ADW1264"/>
      <c r="ADX1264"/>
      <c r="ADY1264"/>
      <c r="ADZ1264"/>
      <c r="AEA1264"/>
      <c r="AEB1264"/>
      <c r="AEC1264"/>
      <c r="AED1264"/>
      <c r="AEE1264"/>
      <c r="AEF1264"/>
      <c r="AEG1264"/>
      <c r="AEH1264"/>
      <c r="AEI1264"/>
      <c r="AEJ1264"/>
      <c r="AEK1264"/>
      <c r="AEL1264"/>
      <c r="AEM1264"/>
      <c r="AEN1264"/>
      <c r="AEO1264"/>
      <c r="AEP1264"/>
      <c r="AEQ1264"/>
      <c r="AER1264"/>
      <c r="AES1264"/>
      <c r="AET1264"/>
      <c r="AEU1264"/>
      <c r="AEV1264"/>
      <c r="AEW1264"/>
      <c r="AEX1264"/>
      <c r="AEY1264"/>
      <c r="AEZ1264"/>
      <c r="AFA1264"/>
      <c r="AFB1264"/>
      <c r="AFC1264"/>
      <c r="AFD1264"/>
      <c r="AFE1264"/>
      <c r="AFF1264"/>
      <c r="AFG1264"/>
      <c r="AFH1264"/>
      <c r="AFI1264"/>
      <c r="AFJ1264"/>
      <c r="AFK1264"/>
      <c r="AFL1264"/>
      <c r="AFM1264"/>
      <c r="AFN1264"/>
      <c r="AFO1264"/>
      <c r="AFP1264"/>
      <c r="AFQ1264"/>
      <c r="AFR1264"/>
      <c r="AFS1264"/>
      <c r="AFT1264"/>
      <c r="AFU1264"/>
      <c r="AFV1264"/>
      <c r="AFW1264"/>
      <c r="AFX1264"/>
      <c r="AFY1264"/>
      <c r="AFZ1264"/>
      <c r="AGA1264"/>
      <c r="AGB1264"/>
      <c r="AGC1264"/>
      <c r="AGD1264"/>
      <c r="AGE1264"/>
      <c r="AGF1264"/>
      <c r="AGG1264"/>
      <c r="AGH1264"/>
      <c r="AGI1264"/>
      <c r="AGJ1264"/>
      <c r="AGK1264"/>
      <c r="AGL1264"/>
      <c r="AGM1264"/>
      <c r="AGN1264"/>
      <c r="AGO1264"/>
      <c r="AGP1264"/>
      <c r="AGQ1264"/>
      <c r="AGR1264"/>
      <c r="AGS1264"/>
      <c r="AGT1264"/>
      <c r="AGU1264"/>
      <c r="AGV1264"/>
      <c r="AGW1264"/>
      <c r="AGX1264"/>
      <c r="AGY1264"/>
      <c r="AGZ1264"/>
      <c r="AHA1264"/>
      <c r="AHB1264"/>
      <c r="AHC1264"/>
      <c r="AHD1264"/>
      <c r="AHE1264"/>
      <c r="AHF1264"/>
      <c r="AHG1264"/>
      <c r="AHH1264"/>
      <c r="AHI1264"/>
      <c r="AHJ1264"/>
      <c r="AHK1264"/>
      <c r="AHL1264"/>
      <c r="AHM1264"/>
      <c r="AHN1264"/>
      <c r="AHO1264"/>
      <c r="AHP1264"/>
      <c r="AHQ1264"/>
      <c r="AHR1264"/>
      <c r="AHS1264"/>
      <c r="AHT1264"/>
      <c r="AHU1264"/>
      <c r="AHV1264"/>
      <c r="AHW1264"/>
      <c r="AHX1264"/>
      <c r="AHY1264"/>
      <c r="AHZ1264"/>
      <c r="AIA1264"/>
      <c r="AIB1264"/>
      <c r="AIC1264"/>
      <c r="AID1264"/>
      <c r="AIE1264"/>
      <c r="AIF1264"/>
      <c r="AIG1264"/>
      <c r="AIH1264"/>
      <c r="AII1264"/>
      <c r="AIJ1264"/>
      <c r="AIK1264"/>
      <c r="AIL1264"/>
      <c r="AIM1264"/>
      <c r="AIN1264"/>
      <c r="AIO1264"/>
      <c r="AIP1264"/>
      <c r="AIQ1264"/>
      <c r="AIR1264"/>
      <c r="AIS1264"/>
      <c r="AIT1264"/>
      <c r="AIU1264"/>
      <c r="AIV1264"/>
      <c r="AIW1264"/>
      <c r="AIX1264"/>
      <c r="AIY1264"/>
      <c r="AIZ1264"/>
      <c r="AJA1264"/>
      <c r="AJB1264"/>
      <c r="AJC1264"/>
      <c r="AJD1264"/>
      <c r="AJE1264"/>
      <c r="AJF1264"/>
      <c r="AJG1264"/>
      <c r="AJH1264"/>
      <c r="AJI1264"/>
      <c r="AJJ1264"/>
      <c r="AJK1264"/>
      <c r="AJL1264"/>
      <c r="AJM1264"/>
      <c r="AJN1264"/>
      <c r="AJO1264"/>
      <c r="AJP1264"/>
      <c r="AJQ1264"/>
      <c r="AJR1264"/>
      <c r="AJS1264"/>
      <c r="AJT1264"/>
      <c r="AJU1264"/>
      <c r="AJV1264"/>
      <c r="AJW1264"/>
      <c r="AJX1264"/>
      <c r="AJY1264"/>
      <c r="AJZ1264"/>
      <c r="AKA1264"/>
      <c r="AKB1264"/>
      <c r="AKC1264"/>
      <c r="AKD1264"/>
      <c r="AKE1264"/>
      <c r="AKF1264"/>
      <c r="AKG1264"/>
      <c r="AKH1264"/>
      <c r="AKI1264"/>
      <c r="AKJ1264"/>
      <c r="AKK1264"/>
      <c r="AKL1264"/>
      <c r="AKM1264"/>
      <c r="AKN1264"/>
      <c r="AKO1264"/>
      <c r="AKP1264"/>
      <c r="AKQ1264"/>
      <c r="AKR1264"/>
      <c r="AKS1264"/>
      <c r="AKT1264"/>
      <c r="AKU1264"/>
      <c r="AKV1264"/>
      <c r="AKW1264"/>
      <c r="AKX1264"/>
      <c r="AKY1264"/>
      <c r="AKZ1264"/>
      <c r="ALA1264"/>
      <c r="ALB1264"/>
      <c r="ALC1264"/>
      <c r="ALD1264"/>
      <c r="ALE1264"/>
      <c r="ALF1264"/>
      <c r="ALG1264"/>
      <c r="ALH1264"/>
      <c r="ALI1264"/>
      <c r="ALJ1264"/>
      <c r="ALK1264"/>
      <c r="ALL1264"/>
      <c r="ALM1264"/>
      <c r="ALN1264"/>
      <c r="ALO1264"/>
      <c r="ALP1264"/>
      <c r="ALQ1264"/>
      <c r="ALR1264"/>
      <c r="ALS1264"/>
      <c r="ALT1264"/>
    </row>
    <row r="1265" spans="1:1008" x14ac:dyDescent="0.15">
      <c r="A1265" t="s">
        <v>4003</v>
      </c>
      <c r="B1265" s="8" t="s">
        <v>4075</v>
      </c>
      <c r="C1265" t="s">
        <v>4003</v>
      </c>
      <c r="D1265" s="8" t="s">
        <v>15</v>
      </c>
      <c r="E1265" t="s">
        <v>4003</v>
      </c>
      <c r="F1265" t="s">
        <v>4004</v>
      </c>
      <c r="G1265">
        <v>500</v>
      </c>
      <c r="H1265"/>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c r="AT1265"/>
      <c r="AU1265"/>
      <c r="AV1265"/>
      <c r="AW1265"/>
      <c r="AX1265"/>
      <c r="AY1265"/>
      <c r="AZ1265"/>
      <c r="BA1265"/>
      <c r="BB1265"/>
      <c r="BC1265"/>
      <c r="BD1265"/>
      <c r="BE1265"/>
      <c r="BF1265"/>
      <c r="BG1265"/>
      <c r="BH1265"/>
      <c r="BI1265"/>
      <c r="BJ1265"/>
      <c r="BK1265"/>
      <c r="BL1265"/>
      <c r="BM1265"/>
      <c r="BN1265"/>
      <c r="BO1265"/>
      <c r="BP1265"/>
      <c r="BQ1265"/>
      <c r="BR1265"/>
      <c r="BS1265"/>
      <c r="BT1265"/>
      <c r="BU1265"/>
      <c r="BV1265"/>
      <c r="BW1265"/>
      <c r="BX1265"/>
      <c r="BY1265"/>
      <c r="BZ1265"/>
      <c r="CA1265"/>
      <c r="CB1265"/>
      <c r="CC1265"/>
      <c r="CD1265"/>
      <c r="CE1265"/>
      <c r="CF1265"/>
      <c r="CG1265"/>
      <c r="CH1265"/>
      <c r="CI1265"/>
      <c r="CJ1265"/>
      <c r="CK1265"/>
      <c r="CL1265"/>
      <c r="CM1265"/>
      <c r="CN1265"/>
      <c r="CO1265"/>
      <c r="CP1265"/>
      <c r="CQ1265"/>
      <c r="CR1265"/>
      <c r="CS1265"/>
      <c r="CT1265"/>
      <c r="CU1265"/>
      <c r="CV1265"/>
      <c r="CW1265"/>
      <c r="CX1265"/>
      <c r="CY1265"/>
      <c r="CZ1265"/>
      <c r="DA1265"/>
      <c r="DB1265"/>
      <c r="DC1265"/>
      <c r="DD1265"/>
      <c r="DE1265"/>
      <c r="DF1265"/>
      <c r="DG1265"/>
      <c r="DH1265"/>
      <c r="DI1265"/>
      <c r="DJ1265"/>
      <c r="DK1265"/>
      <c r="DL1265"/>
      <c r="DM1265"/>
      <c r="DN1265"/>
      <c r="DO1265"/>
      <c r="DP1265"/>
      <c r="DQ1265"/>
      <c r="DR1265"/>
      <c r="DS1265"/>
      <c r="DT1265"/>
      <c r="DU1265"/>
      <c r="DV1265"/>
      <c r="DW1265"/>
      <c r="DX1265"/>
      <c r="DY1265"/>
      <c r="DZ1265"/>
      <c r="EA1265"/>
      <c r="EB1265"/>
      <c r="EC1265"/>
      <c r="ED1265"/>
      <c r="EE1265"/>
      <c r="EF1265"/>
      <c r="EG1265"/>
      <c r="EH1265"/>
      <c r="EI1265"/>
      <c r="EJ1265"/>
      <c r="EK1265"/>
      <c r="EL1265"/>
      <c r="EM1265"/>
      <c r="EN1265"/>
      <c r="EO1265"/>
      <c r="EP1265"/>
      <c r="EQ1265"/>
      <c r="ER1265"/>
      <c r="ES1265"/>
      <c r="ET1265"/>
      <c r="EU1265"/>
      <c r="EV1265"/>
      <c r="EW1265"/>
      <c r="EX1265"/>
      <c r="EY1265"/>
      <c r="EZ1265"/>
      <c r="FA1265"/>
      <c r="FB1265"/>
      <c r="FC1265"/>
      <c r="FD1265"/>
      <c r="FE1265"/>
      <c r="FF1265"/>
      <c r="FG1265"/>
      <c r="FH1265"/>
      <c r="FI1265"/>
      <c r="FJ1265"/>
      <c r="FK1265"/>
      <c r="FL1265"/>
      <c r="FM1265"/>
      <c r="FN1265"/>
      <c r="FO1265"/>
      <c r="FP1265"/>
      <c r="FQ1265"/>
      <c r="FR1265"/>
      <c r="FS1265"/>
      <c r="FT1265"/>
      <c r="FU1265"/>
      <c r="FV1265"/>
      <c r="FW1265"/>
      <c r="FX1265"/>
      <c r="FY1265"/>
      <c r="FZ1265"/>
      <c r="GA1265"/>
      <c r="GB1265"/>
      <c r="GC1265"/>
      <c r="GD1265"/>
      <c r="GE1265"/>
      <c r="GF1265"/>
      <c r="GG1265"/>
      <c r="GH1265"/>
      <c r="GI1265"/>
      <c r="GJ1265"/>
      <c r="GK1265"/>
      <c r="GL1265"/>
      <c r="GM1265"/>
      <c r="GN1265"/>
      <c r="GO1265"/>
      <c r="GP1265"/>
      <c r="GQ1265"/>
      <c r="GR1265"/>
      <c r="GS1265"/>
      <c r="GT1265"/>
      <c r="GU1265"/>
      <c r="GV1265"/>
      <c r="GW1265"/>
      <c r="GX1265"/>
      <c r="GY1265"/>
      <c r="GZ1265"/>
      <c r="HA1265"/>
      <c r="HB1265"/>
      <c r="HC1265"/>
      <c r="HD1265"/>
      <c r="HE1265"/>
      <c r="HF1265"/>
      <c r="HG1265"/>
      <c r="HH1265"/>
      <c r="HI1265"/>
      <c r="HJ1265"/>
      <c r="HK1265"/>
      <c r="HL1265"/>
      <c r="HM1265"/>
      <c r="HN1265"/>
      <c r="HO1265"/>
      <c r="HP1265"/>
      <c r="HQ1265"/>
      <c r="HR1265"/>
      <c r="HS1265"/>
      <c r="HT1265"/>
      <c r="HU1265"/>
      <c r="HV1265"/>
      <c r="HW1265"/>
      <c r="HX1265"/>
      <c r="HY1265"/>
      <c r="HZ1265"/>
      <c r="IA1265"/>
      <c r="IB1265"/>
      <c r="IC1265"/>
      <c r="ID1265"/>
      <c r="IE1265"/>
      <c r="IF1265"/>
      <c r="IG1265"/>
      <c r="IH1265"/>
      <c r="II1265"/>
      <c r="IJ1265"/>
      <c r="IK1265"/>
      <c r="IL1265"/>
      <c r="IM1265"/>
      <c r="IN1265"/>
      <c r="IO1265"/>
      <c r="IP1265"/>
      <c r="IQ1265"/>
      <c r="IR1265"/>
      <c r="IS1265"/>
      <c r="IT1265"/>
      <c r="IU1265"/>
      <c r="IV1265"/>
      <c r="IW1265"/>
      <c r="IX1265"/>
      <c r="IY1265"/>
      <c r="IZ1265"/>
      <c r="JA1265"/>
      <c r="JB1265"/>
      <c r="JC1265"/>
      <c r="JD1265"/>
      <c r="JE1265"/>
      <c r="JF1265"/>
      <c r="JG1265"/>
      <c r="JH1265"/>
      <c r="JI1265"/>
      <c r="JJ1265"/>
      <c r="JK1265"/>
      <c r="JL1265"/>
      <c r="JM1265"/>
      <c r="JN1265"/>
      <c r="JO1265"/>
      <c r="JP1265"/>
      <c r="JQ1265"/>
      <c r="JR1265"/>
      <c r="JS1265"/>
      <c r="JT1265"/>
      <c r="JU1265"/>
      <c r="JV1265"/>
      <c r="JW1265"/>
      <c r="JX1265"/>
      <c r="JY1265"/>
      <c r="JZ1265"/>
      <c r="KA1265"/>
      <c r="KB1265"/>
      <c r="KC1265"/>
      <c r="KD1265"/>
      <c r="KE1265"/>
      <c r="KF1265"/>
      <c r="KG1265"/>
      <c r="KH1265"/>
      <c r="KI1265"/>
      <c r="KJ1265"/>
      <c r="KK1265"/>
      <c r="KL1265"/>
      <c r="KM1265"/>
      <c r="KN1265"/>
      <c r="KO1265"/>
      <c r="KP1265"/>
      <c r="KQ1265"/>
      <c r="KR1265"/>
      <c r="KS1265"/>
      <c r="KT1265"/>
      <c r="KU1265"/>
      <c r="KV1265"/>
      <c r="KW1265"/>
      <c r="KX1265"/>
      <c r="KY1265"/>
      <c r="KZ1265"/>
      <c r="LA1265"/>
      <c r="LB1265"/>
      <c r="LC1265"/>
      <c r="LD1265"/>
      <c r="LE1265"/>
      <c r="LF1265"/>
      <c r="LG1265"/>
      <c r="LH1265"/>
      <c r="LI1265"/>
      <c r="LJ1265"/>
      <c r="LK1265"/>
      <c r="LL1265"/>
      <c r="LM1265"/>
      <c r="LN1265"/>
      <c r="LO1265"/>
      <c r="LP1265"/>
      <c r="LQ1265"/>
      <c r="LR1265"/>
      <c r="LS1265"/>
      <c r="LT1265"/>
      <c r="LU1265"/>
      <c r="LV1265"/>
      <c r="LW1265"/>
      <c r="LX1265"/>
      <c r="LY1265"/>
      <c r="LZ1265"/>
      <c r="MA1265"/>
      <c r="MB1265"/>
      <c r="MC1265"/>
      <c r="MD1265"/>
      <c r="ME1265"/>
      <c r="MF1265"/>
      <c r="MG1265"/>
      <c r="MH1265"/>
      <c r="MI1265"/>
      <c r="MJ1265"/>
      <c r="MK1265"/>
      <c r="ML1265"/>
      <c r="MM1265"/>
      <c r="MN1265"/>
      <c r="MO1265"/>
      <c r="MP1265"/>
      <c r="MQ1265"/>
      <c r="MR1265"/>
      <c r="MS1265"/>
      <c r="MT1265"/>
      <c r="MU1265"/>
      <c r="MV1265"/>
      <c r="MW1265"/>
      <c r="MX1265"/>
      <c r="MY1265"/>
      <c r="MZ1265"/>
      <c r="NA1265"/>
      <c r="NB1265"/>
      <c r="NC1265"/>
      <c r="ND1265"/>
      <c r="NE1265"/>
      <c r="NF1265"/>
      <c r="NG1265"/>
      <c r="NH1265"/>
      <c r="NI1265"/>
      <c r="NJ1265"/>
      <c r="NK1265"/>
      <c r="NL1265"/>
      <c r="NM1265"/>
      <c r="NN1265"/>
      <c r="NO1265"/>
      <c r="NP1265"/>
      <c r="NQ1265"/>
      <c r="NR1265"/>
      <c r="NS1265"/>
      <c r="NT1265"/>
      <c r="NU1265"/>
      <c r="NV1265"/>
      <c r="NW1265"/>
      <c r="NX1265"/>
      <c r="NY1265"/>
      <c r="NZ1265"/>
      <c r="OA1265"/>
      <c r="OB1265"/>
      <c r="OC1265"/>
      <c r="OD1265"/>
      <c r="OE1265"/>
      <c r="OF1265"/>
      <c r="OG1265"/>
      <c r="OH1265"/>
      <c r="OI1265"/>
      <c r="OJ1265"/>
      <c r="OK1265"/>
      <c r="OL1265"/>
      <c r="OM1265"/>
      <c r="ON1265"/>
      <c r="OO1265"/>
      <c r="OP1265"/>
      <c r="OQ1265"/>
      <c r="OR1265"/>
      <c r="OS1265"/>
      <c r="OT1265"/>
      <c r="OU1265"/>
      <c r="OV1265"/>
      <c r="OW1265"/>
      <c r="OX1265"/>
      <c r="OY1265"/>
      <c r="OZ1265"/>
      <c r="PA1265"/>
      <c r="PB1265"/>
      <c r="PC1265"/>
      <c r="PD1265"/>
      <c r="PE1265"/>
      <c r="PF1265"/>
      <c r="PG1265"/>
      <c r="PH1265"/>
      <c r="PI1265"/>
      <c r="PJ1265"/>
      <c r="PK1265"/>
      <c r="PL1265"/>
      <c r="PM1265"/>
      <c r="PN1265"/>
      <c r="PO1265"/>
      <c r="PP1265"/>
      <c r="PQ1265"/>
      <c r="PR1265"/>
      <c r="PS1265"/>
      <c r="PT1265"/>
      <c r="PU1265"/>
      <c r="PV1265"/>
      <c r="PW1265"/>
      <c r="PX1265"/>
      <c r="PY1265"/>
      <c r="PZ1265"/>
      <c r="QA1265"/>
      <c r="QB1265"/>
      <c r="QC1265"/>
      <c r="QD1265"/>
      <c r="QE1265"/>
      <c r="QF1265"/>
      <c r="QG1265"/>
      <c r="QH1265"/>
      <c r="QI1265"/>
      <c r="QJ1265"/>
      <c r="QK1265"/>
      <c r="QL1265"/>
      <c r="QM1265"/>
      <c r="QN1265"/>
      <c r="QO1265"/>
      <c r="QP1265"/>
      <c r="QQ1265"/>
      <c r="QR1265"/>
      <c r="QS1265"/>
      <c r="QT1265"/>
      <c r="QU1265"/>
      <c r="QV1265"/>
      <c r="QW1265"/>
      <c r="QX1265"/>
      <c r="QY1265"/>
      <c r="QZ1265"/>
      <c r="RA1265"/>
      <c r="RB1265"/>
      <c r="RC1265"/>
      <c r="RD1265"/>
      <c r="RE1265"/>
      <c r="RF1265"/>
      <c r="RG1265"/>
      <c r="RH1265"/>
      <c r="RI1265"/>
      <c r="RJ1265"/>
      <c r="RK1265"/>
      <c r="RL1265"/>
      <c r="RM1265"/>
      <c r="RN1265"/>
      <c r="RO1265"/>
      <c r="RP1265"/>
      <c r="RQ1265"/>
      <c r="RR1265"/>
      <c r="RS1265"/>
      <c r="RT1265"/>
      <c r="RU1265"/>
      <c r="RV1265"/>
      <c r="RW1265"/>
      <c r="RX1265"/>
      <c r="RY1265"/>
      <c r="RZ1265"/>
      <c r="SA1265"/>
      <c r="SB1265"/>
      <c r="SC1265"/>
      <c r="SD1265"/>
      <c r="SE1265"/>
      <c r="SF1265"/>
      <c r="SG1265"/>
      <c r="SH1265"/>
      <c r="SI1265"/>
      <c r="SJ1265"/>
      <c r="SK1265"/>
      <c r="SL1265"/>
      <c r="SM1265"/>
      <c r="SN1265"/>
      <c r="SO1265"/>
      <c r="SP1265"/>
      <c r="SQ1265"/>
      <c r="SR1265"/>
      <c r="SS1265"/>
      <c r="ST1265"/>
      <c r="SU1265"/>
      <c r="SV1265"/>
      <c r="SW1265"/>
      <c r="SX1265"/>
      <c r="SY1265"/>
      <c r="SZ1265"/>
      <c r="TA1265"/>
      <c r="TB1265"/>
      <c r="TC1265"/>
      <c r="TD1265"/>
      <c r="TE1265"/>
      <c r="TF1265"/>
      <c r="TG1265"/>
      <c r="TH1265"/>
      <c r="TI1265"/>
      <c r="TJ1265"/>
      <c r="TK1265"/>
      <c r="TL1265"/>
      <c r="TM1265"/>
      <c r="TN1265"/>
      <c r="TO1265"/>
      <c r="TP1265"/>
      <c r="TQ1265"/>
      <c r="TR1265"/>
      <c r="TS1265"/>
      <c r="TT1265"/>
      <c r="TU1265"/>
      <c r="TV1265"/>
      <c r="TW1265"/>
      <c r="TX1265"/>
      <c r="TY1265"/>
      <c r="TZ1265"/>
      <c r="UA1265"/>
      <c r="UB1265"/>
      <c r="UC1265"/>
      <c r="UD1265"/>
      <c r="UE1265"/>
      <c r="UF1265"/>
      <c r="UG1265"/>
      <c r="UH1265"/>
      <c r="UI1265"/>
      <c r="UJ1265"/>
      <c r="UK1265"/>
      <c r="UL1265"/>
      <c r="UM1265"/>
      <c r="UN1265"/>
      <c r="UO1265"/>
      <c r="UP1265"/>
      <c r="UQ1265"/>
      <c r="UR1265"/>
      <c r="US1265"/>
      <c r="UT1265"/>
      <c r="UU1265"/>
      <c r="UV1265"/>
      <c r="UW1265"/>
      <c r="UX1265"/>
      <c r="UY1265"/>
      <c r="UZ1265"/>
      <c r="VA1265"/>
      <c r="VB1265"/>
      <c r="VC1265"/>
      <c r="VD1265"/>
      <c r="VE1265"/>
      <c r="VF1265"/>
      <c r="VG1265"/>
      <c r="VH1265"/>
      <c r="VI1265"/>
      <c r="VJ1265"/>
      <c r="VK1265"/>
      <c r="VL1265"/>
      <c r="VM1265"/>
      <c r="VN1265"/>
      <c r="VO1265"/>
      <c r="VP1265"/>
      <c r="VQ1265"/>
      <c r="VR1265"/>
      <c r="VS1265"/>
      <c r="VT1265"/>
      <c r="VU1265"/>
      <c r="VV1265"/>
      <c r="VW1265"/>
      <c r="VX1265"/>
      <c r="VY1265"/>
      <c r="VZ1265"/>
      <c r="WA1265"/>
      <c r="WB1265"/>
      <c r="WC1265"/>
      <c r="WD1265"/>
      <c r="WE1265"/>
      <c r="WF1265"/>
      <c r="WG1265"/>
      <c r="WH1265"/>
      <c r="WI1265"/>
      <c r="WJ1265"/>
      <c r="WK1265"/>
      <c r="WL1265"/>
      <c r="WM1265"/>
      <c r="WN1265"/>
      <c r="WO1265"/>
      <c r="WP1265"/>
      <c r="WQ1265"/>
      <c r="WR1265"/>
      <c r="WS1265"/>
      <c r="WT1265"/>
      <c r="WU1265"/>
      <c r="WV1265"/>
      <c r="WW1265"/>
      <c r="WX1265"/>
      <c r="WY1265"/>
      <c r="WZ1265"/>
      <c r="XA1265"/>
      <c r="XB1265"/>
      <c r="XC1265"/>
      <c r="XD1265"/>
      <c r="XE1265"/>
      <c r="XF1265"/>
      <c r="XG1265"/>
      <c r="XH1265"/>
      <c r="XI1265"/>
      <c r="XJ1265"/>
      <c r="XK1265"/>
      <c r="XL1265"/>
      <c r="XM1265"/>
      <c r="XN1265"/>
      <c r="XO1265"/>
      <c r="XP1265"/>
      <c r="XQ1265"/>
      <c r="XR1265"/>
      <c r="XS1265"/>
      <c r="XT1265"/>
      <c r="XU1265"/>
      <c r="XV1265"/>
      <c r="XW1265"/>
      <c r="XX1265"/>
      <c r="XY1265"/>
      <c r="XZ1265"/>
      <c r="YA1265"/>
      <c r="YB1265"/>
      <c r="YC1265"/>
      <c r="YD1265"/>
      <c r="YE1265"/>
      <c r="YF1265"/>
      <c r="YG1265"/>
      <c r="YH1265"/>
      <c r="YI1265"/>
      <c r="YJ1265"/>
      <c r="YK1265"/>
      <c r="YL1265"/>
      <c r="YM1265"/>
      <c r="YN1265"/>
      <c r="YO1265"/>
      <c r="YP1265"/>
      <c r="YQ1265"/>
      <c r="YR1265"/>
      <c r="YS1265"/>
      <c r="YT1265"/>
      <c r="YU1265"/>
      <c r="YV1265"/>
      <c r="YW1265"/>
      <c r="YX1265"/>
      <c r="YY1265"/>
      <c r="YZ1265"/>
      <c r="ZA1265"/>
      <c r="ZB1265"/>
      <c r="ZC1265"/>
      <c r="ZD1265"/>
      <c r="ZE1265"/>
      <c r="ZF1265"/>
      <c r="ZG1265"/>
      <c r="ZH1265"/>
      <c r="ZI1265"/>
      <c r="ZJ1265"/>
      <c r="ZK1265"/>
      <c r="ZL1265"/>
      <c r="ZM1265"/>
      <c r="ZN1265"/>
      <c r="ZO1265"/>
      <c r="ZP1265"/>
      <c r="ZQ1265"/>
      <c r="ZR1265"/>
      <c r="ZS1265"/>
      <c r="ZT1265"/>
      <c r="ZU1265"/>
      <c r="ZV1265"/>
      <c r="ZW1265"/>
      <c r="ZX1265"/>
      <c r="ZY1265"/>
      <c r="ZZ1265"/>
      <c r="AAA1265"/>
      <c r="AAB1265"/>
      <c r="AAC1265"/>
      <c r="AAD1265"/>
      <c r="AAE1265"/>
      <c r="AAF1265"/>
      <c r="AAG1265"/>
      <c r="AAH1265"/>
      <c r="AAI1265"/>
      <c r="AAJ1265"/>
      <c r="AAK1265"/>
      <c r="AAL1265"/>
      <c r="AAM1265"/>
      <c r="AAN1265"/>
      <c r="AAO1265"/>
      <c r="AAP1265"/>
      <c r="AAQ1265"/>
      <c r="AAR1265"/>
      <c r="AAS1265"/>
      <c r="AAT1265"/>
      <c r="AAU1265"/>
      <c r="AAV1265"/>
      <c r="AAW1265"/>
      <c r="AAX1265"/>
      <c r="AAY1265"/>
      <c r="AAZ1265"/>
      <c r="ABA1265"/>
      <c r="ABB1265"/>
      <c r="ABC1265"/>
      <c r="ABD1265"/>
      <c r="ABE1265"/>
      <c r="ABF1265"/>
      <c r="ABG1265"/>
      <c r="ABH1265"/>
      <c r="ABI1265"/>
      <c r="ABJ1265"/>
      <c r="ABK1265"/>
      <c r="ABL1265"/>
      <c r="ABM1265"/>
      <c r="ABN1265"/>
      <c r="ABO1265"/>
      <c r="ABP1265"/>
      <c r="ABQ1265"/>
      <c r="ABR1265"/>
      <c r="ABS1265"/>
      <c r="ABT1265"/>
      <c r="ABU1265"/>
      <c r="ABV1265"/>
      <c r="ABW1265"/>
      <c r="ABX1265"/>
      <c r="ABY1265"/>
      <c r="ABZ1265"/>
      <c r="ACA1265"/>
      <c r="ACB1265"/>
      <c r="ACC1265"/>
      <c r="ACD1265"/>
      <c r="ACE1265"/>
      <c r="ACF1265"/>
      <c r="ACG1265"/>
      <c r="ACH1265"/>
      <c r="ACI1265"/>
      <c r="ACJ1265"/>
      <c r="ACK1265"/>
      <c r="ACL1265"/>
      <c r="ACM1265"/>
      <c r="ACN1265"/>
      <c r="ACO1265"/>
      <c r="ACP1265"/>
      <c r="ACQ1265"/>
      <c r="ACR1265"/>
      <c r="ACS1265"/>
      <c r="ACT1265"/>
      <c r="ACU1265"/>
      <c r="ACV1265"/>
      <c r="ACW1265"/>
      <c r="ACX1265"/>
      <c r="ACY1265"/>
      <c r="ACZ1265"/>
      <c r="ADA1265"/>
      <c r="ADB1265"/>
      <c r="ADC1265"/>
      <c r="ADD1265"/>
      <c r="ADE1265"/>
      <c r="ADF1265"/>
      <c r="ADG1265"/>
      <c r="ADH1265"/>
      <c r="ADI1265"/>
      <c r="ADJ1265"/>
      <c r="ADK1265"/>
      <c r="ADL1265"/>
      <c r="ADM1265"/>
      <c r="ADN1265"/>
      <c r="ADO1265"/>
      <c r="ADP1265"/>
      <c r="ADQ1265"/>
      <c r="ADR1265"/>
      <c r="ADS1265"/>
      <c r="ADT1265"/>
      <c r="ADU1265"/>
      <c r="ADV1265"/>
      <c r="ADW1265"/>
      <c r="ADX1265"/>
      <c r="ADY1265"/>
      <c r="ADZ1265"/>
      <c r="AEA1265"/>
      <c r="AEB1265"/>
      <c r="AEC1265"/>
      <c r="AED1265"/>
      <c r="AEE1265"/>
      <c r="AEF1265"/>
      <c r="AEG1265"/>
      <c r="AEH1265"/>
      <c r="AEI1265"/>
      <c r="AEJ1265"/>
      <c r="AEK1265"/>
      <c r="AEL1265"/>
      <c r="AEM1265"/>
      <c r="AEN1265"/>
      <c r="AEO1265"/>
      <c r="AEP1265"/>
      <c r="AEQ1265"/>
      <c r="AER1265"/>
      <c r="AES1265"/>
      <c r="AET1265"/>
      <c r="AEU1265"/>
      <c r="AEV1265"/>
      <c r="AEW1265"/>
      <c r="AEX1265"/>
      <c r="AEY1265"/>
      <c r="AEZ1265"/>
      <c r="AFA1265"/>
      <c r="AFB1265"/>
      <c r="AFC1265"/>
      <c r="AFD1265"/>
      <c r="AFE1265"/>
      <c r="AFF1265"/>
      <c r="AFG1265"/>
      <c r="AFH1265"/>
      <c r="AFI1265"/>
      <c r="AFJ1265"/>
      <c r="AFK1265"/>
      <c r="AFL1265"/>
      <c r="AFM1265"/>
      <c r="AFN1265"/>
      <c r="AFO1265"/>
      <c r="AFP1265"/>
      <c r="AFQ1265"/>
      <c r="AFR1265"/>
      <c r="AFS1265"/>
      <c r="AFT1265"/>
      <c r="AFU1265"/>
      <c r="AFV1265"/>
      <c r="AFW1265"/>
      <c r="AFX1265"/>
      <c r="AFY1265"/>
      <c r="AFZ1265"/>
      <c r="AGA1265"/>
      <c r="AGB1265"/>
      <c r="AGC1265"/>
      <c r="AGD1265"/>
      <c r="AGE1265"/>
      <c r="AGF1265"/>
      <c r="AGG1265"/>
      <c r="AGH1265"/>
      <c r="AGI1265"/>
      <c r="AGJ1265"/>
      <c r="AGK1265"/>
      <c r="AGL1265"/>
      <c r="AGM1265"/>
      <c r="AGN1265"/>
      <c r="AGO1265"/>
      <c r="AGP1265"/>
      <c r="AGQ1265"/>
      <c r="AGR1265"/>
      <c r="AGS1265"/>
      <c r="AGT1265"/>
      <c r="AGU1265"/>
      <c r="AGV1265"/>
      <c r="AGW1265"/>
      <c r="AGX1265"/>
      <c r="AGY1265"/>
      <c r="AGZ1265"/>
      <c r="AHA1265"/>
      <c r="AHB1265"/>
      <c r="AHC1265"/>
      <c r="AHD1265"/>
      <c r="AHE1265"/>
      <c r="AHF1265"/>
      <c r="AHG1265"/>
      <c r="AHH1265"/>
      <c r="AHI1265"/>
      <c r="AHJ1265"/>
      <c r="AHK1265"/>
      <c r="AHL1265"/>
      <c r="AHM1265"/>
      <c r="AHN1265"/>
      <c r="AHO1265"/>
      <c r="AHP1265"/>
      <c r="AHQ1265"/>
      <c r="AHR1265"/>
      <c r="AHS1265"/>
      <c r="AHT1265"/>
      <c r="AHU1265"/>
      <c r="AHV1265"/>
      <c r="AHW1265"/>
      <c r="AHX1265"/>
      <c r="AHY1265"/>
      <c r="AHZ1265"/>
      <c r="AIA1265"/>
      <c r="AIB1265"/>
      <c r="AIC1265"/>
      <c r="AID1265"/>
      <c r="AIE1265"/>
      <c r="AIF1265"/>
      <c r="AIG1265"/>
      <c r="AIH1265"/>
      <c r="AII1265"/>
      <c r="AIJ1265"/>
      <c r="AIK1265"/>
      <c r="AIL1265"/>
      <c r="AIM1265"/>
      <c r="AIN1265"/>
      <c r="AIO1265"/>
      <c r="AIP1265"/>
      <c r="AIQ1265"/>
      <c r="AIR1265"/>
      <c r="AIS1265"/>
      <c r="AIT1265"/>
      <c r="AIU1265"/>
      <c r="AIV1265"/>
      <c r="AIW1265"/>
      <c r="AIX1265"/>
      <c r="AIY1265"/>
      <c r="AIZ1265"/>
      <c r="AJA1265"/>
      <c r="AJB1265"/>
      <c r="AJC1265"/>
      <c r="AJD1265"/>
      <c r="AJE1265"/>
      <c r="AJF1265"/>
      <c r="AJG1265"/>
      <c r="AJH1265"/>
      <c r="AJI1265"/>
      <c r="AJJ1265"/>
      <c r="AJK1265"/>
      <c r="AJL1265"/>
      <c r="AJM1265"/>
      <c r="AJN1265"/>
      <c r="AJO1265"/>
      <c r="AJP1265"/>
      <c r="AJQ1265"/>
      <c r="AJR1265"/>
      <c r="AJS1265"/>
      <c r="AJT1265"/>
      <c r="AJU1265"/>
      <c r="AJV1265"/>
      <c r="AJW1265"/>
      <c r="AJX1265"/>
      <c r="AJY1265"/>
      <c r="AJZ1265"/>
      <c r="AKA1265"/>
      <c r="AKB1265"/>
      <c r="AKC1265"/>
      <c r="AKD1265"/>
      <c r="AKE1265"/>
      <c r="AKF1265"/>
      <c r="AKG1265"/>
      <c r="AKH1265"/>
      <c r="AKI1265"/>
      <c r="AKJ1265"/>
      <c r="AKK1265"/>
      <c r="AKL1265"/>
      <c r="AKM1265"/>
      <c r="AKN1265"/>
      <c r="AKO1265"/>
      <c r="AKP1265"/>
      <c r="AKQ1265"/>
      <c r="AKR1265"/>
      <c r="AKS1265"/>
      <c r="AKT1265"/>
      <c r="AKU1265"/>
      <c r="AKV1265"/>
      <c r="AKW1265"/>
      <c r="AKX1265"/>
      <c r="AKY1265"/>
      <c r="AKZ1265"/>
      <c r="ALA1265"/>
      <c r="ALB1265"/>
      <c r="ALC1265"/>
      <c r="ALD1265"/>
      <c r="ALE1265"/>
      <c r="ALF1265"/>
      <c r="ALG1265"/>
      <c r="ALH1265"/>
      <c r="ALI1265"/>
      <c r="ALJ1265"/>
      <c r="ALK1265"/>
      <c r="ALL1265"/>
      <c r="ALM1265"/>
      <c r="ALN1265"/>
      <c r="ALO1265"/>
      <c r="ALP1265"/>
      <c r="ALQ1265"/>
      <c r="ALR1265"/>
      <c r="ALS1265"/>
      <c r="ALT1265"/>
    </row>
    <row r="1266" spans="1:1008" x14ac:dyDescent="0.15">
      <c r="A1266" t="s">
        <v>4005</v>
      </c>
      <c r="B1266" s="8" t="s">
        <v>4075</v>
      </c>
      <c r="C1266" t="s">
        <v>4005</v>
      </c>
      <c r="D1266" s="8" t="s">
        <v>15</v>
      </c>
      <c r="E1266" t="s">
        <v>4005</v>
      </c>
      <c r="F1266" t="s">
        <v>4006</v>
      </c>
      <c r="G1266">
        <v>650</v>
      </c>
      <c r="H1266"/>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c r="AT1266"/>
      <c r="AU1266"/>
      <c r="AV1266"/>
      <c r="AW1266"/>
      <c r="AX1266"/>
      <c r="AY1266"/>
      <c r="AZ1266"/>
      <c r="BA1266"/>
      <c r="BB1266"/>
      <c r="BC1266"/>
      <c r="BD1266"/>
      <c r="BE1266"/>
      <c r="BF1266"/>
      <c r="BG1266"/>
      <c r="BH1266"/>
      <c r="BI1266"/>
      <c r="BJ1266"/>
      <c r="BK1266"/>
      <c r="BL1266"/>
      <c r="BM1266"/>
      <c r="BN1266"/>
      <c r="BO1266"/>
      <c r="BP1266"/>
      <c r="BQ1266"/>
      <c r="BR1266"/>
      <c r="BS1266"/>
      <c r="BT1266"/>
      <c r="BU1266"/>
      <c r="BV1266"/>
      <c r="BW1266"/>
      <c r="BX1266"/>
      <c r="BY1266"/>
      <c r="BZ1266"/>
      <c r="CA1266"/>
      <c r="CB1266"/>
      <c r="CC1266"/>
      <c r="CD1266"/>
      <c r="CE1266"/>
      <c r="CF1266"/>
      <c r="CG1266"/>
      <c r="CH1266"/>
      <c r="CI1266"/>
      <c r="CJ1266"/>
      <c r="CK1266"/>
      <c r="CL1266"/>
      <c r="CM1266"/>
      <c r="CN1266"/>
      <c r="CO1266"/>
      <c r="CP1266"/>
      <c r="CQ1266"/>
      <c r="CR1266"/>
      <c r="CS1266"/>
      <c r="CT1266"/>
      <c r="CU1266"/>
      <c r="CV1266"/>
      <c r="CW1266"/>
      <c r="CX1266"/>
      <c r="CY1266"/>
      <c r="CZ1266"/>
      <c r="DA1266"/>
      <c r="DB1266"/>
      <c r="DC1266"/>
      <c r="DD1266"/>
      <c r="DE1266"/>
      <c r="DF1266"/>
      <c r="DG1266"/>
      <c r="DH1266"/>
      <c r="DI1266"/>
      <c r="DJ1266"/>
      <c r="DK1266"/>
      <c r="DL1266"/>
      <c r="DM1266"/>
      <c r="DN1266"/>
      <c r="DO1266"/>
      <c r="DP1266"/>
      <c r="DQ1266"/>
      <c r="DR1266"/>
      <c r="DS1266"/>
      <c r="DT1266"/>
      <c r="DU1266"/>
      <c r="DV1266"/>
      <c r="DW1266"/>
      <c r="DX1266"/>
      <c r="DY1266"/>
      <c r="DZ1266"/>
      <c r="EA1266"/>
      <c r="EB1266"/>
      <c r="EC1266"/>
      <c r="ED1266"/>
      <c r="EE1266"/>
      <c r="EF1266"/>
      <c r="EG1266"/>
      <c r="EH1266"/>
      <c r="EI1266"/>
      <c r="EJ1266"/>
      <c r="EK1266"/>
      <c r="EL1266"/>
      <c r="EM1266"/>
      <c r="EN1266"/>
      <c r="EO1266"/>
      <c r="EP1266"/>
      <c r="EQ1266"/>
      <c r="ER1266"/>
      <c r="ES1266"/>
      <c r="ET1266"/>
      <c r="EU1266"/>
      <c r="EV1266"/>
      <c r="EW1266"/>
      <c r="EX1266"/>
      <c r="EY1266"/>
      <c r="EZ1266"/>
      <c r="FA1266"/>
      <c r="FB1266"/>
      <c r="FC1266"/>
      <c r="FD1266"/>
      <c r="FE1266"/>
      <c r="FF1266"/>
      <c r="FG1266"/>
      <c r="FH1266"/>
      <c r="FI1266"/>
      <c r="FJ1266"/>
      <c r="FK1266"/>
      <c r="FL1266"/>
      <c r="FM1266"/>
      <c r="FN1266"/>
      <c r="FO1266"/>
      <c r="FP1266"/>
      <c r="FQ1266"/>
      <c r="FR1266"/>
      <c r="FS1266"/>
      <c r="FT1266"/>
      <c r="FU1266"/>
      <c r="FV1266"/>
      <c r="FW1266"/>
      <c r="FX1266"/>
      <c r="FY1266"/>
      <c r="FZ1266"/>
      <c r="GA1266"/>
      <c r="GB1266"/>
      <c r="GC1266"/>
      <c r="GD1266"/>
      <c r="GE1266"/>
      <c r="GF1266"/>
      <c r="GG1266"/>
      <c r="GH1266"/>
      <c r="GI1266"/>
      <c r="GJ1266"/>
      <c r="GK1266"/>
      <c r="GL1266"/>
      <c r="GM1266"/>
      <c r="GN1266"/>
      <c r="GO1266"/>
      <c r="GP1266"/>
      <c r="GQ1266"/>
      <c r="GR1266"/>
      <c r="GS1266"/>
      <c r="GT1266"/>
      <c r="GU1266"/>
      <c r="GV1266"/>
      <c r="GW1266"/>
      <c r="GX1266"/>
      <c r="GY1266"/>
      <c r="GZ1266"/>
      <c r="HA1266"/>
      <c r="HB1266"/>
      <c r="HC1266"/>
      <c r="HD1266"/>
      <c r="HE1266"/>
      <c r="HF1266"/>
      <c r="HG1266"/>
      <c r="HH1266"/>
      <c r="HI1266"/>
      <c r="HJ1266"/>
      <c r="HK1266"/>
      <c r="HL1266"/>
      <c r="HM1266"/>
      <c r="HN1266"/>
      <c r="HO1266"/>
      <c r="HP1266"/>
      <c r="HQ1266"/>
      <c r="HR1266"/>
      <c r="HS1266"/>
      <c r="HT1266"/>
      <c r="HU1266"/>
      <c r="HV1266"/>
      <c r="HW1266"/>
      <c r="HX1266"/>
      <c r="HY1266"/>
      <c r="HZ1266"/>
      <c r="IA1266"/>
      <c r="IB1266"/>
      <c r="IC1266"/>
      <c r="ID1266"/>
      <c r="IE1266"/>
      <c r="IF1266"/>
      <c r="IG1266"/>
      <c r="IH1266"/>
      <c r="II1266"/>
      <c r="IJ1266"/>
      <c r="IK1266"/>
      <c r="IL1266"/>
      <c r="IM1266"/>
      <c r="IN1266"/>
      <c r="IO1266"/>
      <c r="IP1266"/>
      <c r="IQ1266"/>
      <c r="IR1266"/>
      <c r="IS1266"/>
      <c r="IT1266"/>
      <c r="IU1266"/>
      <c r="IV1266"/>
      <c r="IW1266"/>
      <c r="IX1266"/>
      <c r="IY1266"/>
      <c r="IZ1266"/>
      <c r="JA1266"/>
      <c r="JB1266"/>
      <c r="JC1266"/>
      <c r="JD1266"/>
      <c r="JE1266"/>
      <c r="JF1266"/>
      <c r="JG1266"/>
      <c r="JH1266"/>
      <c r="JI1266"/>
      <c r="JJ1266"/>
      <c r="JK1266"/>
      <c r="JL1266"/>
      <c r="JM1266"/>
      <c r="JN1266"/>
      <c r="JO1266"/>
      <c r="JP1266"/>
      <c r="JQ1266"/>
      <c r="JR1266"/>
      <c r="JS1266"/>
      <c r="JT1266"/>
      <c r="JU1266"/>
      <c r="JV1266"/>
      <c r="JW1266"/>
      <c r="JX1266"/>
      <c r="JY1266"/>
      <c r="JZ1266"/>
      <c r="KA1266"/>
      <c r="KB1266"/>
      <c r="KC1266"/>
      <c r="KD1266"/>
      <c r="KE1266"/>
      <c r="KF1266"/>
      <c r="KG1266"/>
      <c r="KH1266"/>
      <c r="KI1266"/>
      <c r="KJ1266"/>
      <c r="KK1266"/>
      <c r="KL1266"/>
      <c r="KM1266"/>
      <c r="KN1266"/>
      <c r="KO1266"/>
      <c r="KP1266"/>
      <c r="KQ1266"/>
      <c r="KR1266"/>
      <c r="KS1266"/>
      <c r="KT1266"/>
      <c r="KU1266"/>
      <c r="KV1266"/>
      <c r="KW1266"/>
      <c r="KX1266"/>
      <c r="KY1266"/>
      <c r="KZ1266"/>
      <c r="LA1266"/>
      <c r="LB1266"/>
      <c r="LC1266"/>
      <c r="LD1266"/>
      <c r="LE1266"/>
      <c r="LF1266"/>
      <c r="LG1266"/>
      <c r="LH1266"/>
      <c r="LI1266"/>
      <c r="LJ1266"/>
      <c r="LK1266"/>
      <c r="LL1266"/>
      <c r="LM1266"/>
      <c r="LN1266"/>
      <c r="LO1266"/>
      <c r="LP1266"/>
      <c r="LQ1266"/>
      <c r="LR1266"/>
      <c r="LS1266"/>
      <c r="LT1266"/>
      <c r="LU1266"/>
      <c r="LV1266"/>
      <c r="LW1266"/>
      <c r="LX1266"/>
      <c r="LY1266"/>
      <c r="LZ1266"/>
      <c r="MA1266"/>
      <c r="MB1266"/>
      <c r="MC1266"/>
      <c r="MD1266"/>
      <c r="ME1266"/>
      <c r="MF1266"/>
      <c r="MG1266"/>
      <c r="MH1266"/>
      <c r="MI1266"/>
      <c r="MJ1266"/>
      <c r="MK1266"/>
      <c r="ML1266"/>
      <c r="MM1266"/>
      <c r="MN1266"/>
      <c r="MO1266"/>
      <c r="MP1266"/>
      <c r="MQ1266"/>
      <c r="MR1266"/>
      <c r="MS1266"/>
      <c r="MT1266"/>
      <c r="MU1266"/>
      <c r="MV1266"/>
      <c r="MW1266"/>
      <c r="MX1266"/>
      <c r="MY1266"/>
      <c r="MZ1266"/>
      <c r="NA1266"/>
      <c r="NB1266"/>
      <c r="NC1266"/>
      <c r="ND1266"/>
      <c r="NE1266"/>
      <c r="NF1266"/>
      <c r="NG1266"/>
      <c r="NH1266"/>
      <c r="NI1266"/>
      <c r="NJ1266"/>
      <c r="NK1266"/>
      <c r="NL1266"/>
      <c r="NM1266"/>
      <c r="NN1266"/>
      <c r="NO1266"/>
      <c r="NP1266"/>
      <c r="NQ1266"/>
      <c r="NR1266"/>
      <c r="NS1266"/>
      <c r="NT1266"/>
      <c r="NU1266"/>
      <c r="NV1266"/>
      <c r="NW1266"/>
      <c r="NX1266"/>
      <c r="NY1266"/>
      <c r="NZ1266"/>
      <c r="OA1266"/>
      <c r="OB1266"/>
      <c r="OC1266"/>
      <c r="OD1266"/>
      <c r="OE1266"/>
      <c r="OF1266"/>
      <c r="OG1266"/>
      <c r="OH1266"/>
      <c r="OI1266"/>
      <c r="OJ1266"/>
      <c r="OK1266"/>
      <c r="OL1266"/>
      <c r="OM1266"/>
      <c r="ON1266"/>
      <c r="OO1266"/>
      <c r="OP1266"/>
      <c r="OQ1266"/>
      <c r="OR1266"/>
      <c r="OS1266"/>
      <c r="OT1266"/>
      <c r="OU1266"/>
      <c r="OV1266"/>
      <c r="OW1266"/>
      <c r="OX1266"/>
      <c r="OY1266"/>
      <c r="OZ1266"/>
      <c r="PA1266"/>
      <c r="PB1266"/>
      <c r="PC1266"/>
      <c r="PD1266"/>
      <c r="PE1266"/>
      <c r="PF1266"/>
      <c r="PG1266"/>
      <c r="PH1266"/>
      <c r="PI1266"/>
      <c r="PJ1266"/>
      <c r="PK1266"/>
      <c r="PL1266"/>
      <c r="PM1266"/>
      <c r="PN1266"/>
      <c r="PO1266"/>
      <c r="PP1266"/>
      <c r="PQ1266"/>
      <c r="PR1266"/>
      <c r="PS1266"/>
      <c r="PT1266"/>
      <c r="PU1266"/>
      <c r="PV1266"/>
      <c r="PW1266"/>
      <c r="PX1266"/>
      <c r="PY1266"/>
      <c r="PZ1266"/>
      <c r="QA1266"/>
      <c r="QB1266"/>
      <c r="QC1266"/>
      <c r="QD1266"/>
      <c r="QE1266"/>
      <c r="QF1266"/>
      <c r="QG1266"/>
      <c r="QH1266"/>
      <c r="QI1266"/>
      <c r="QJ1266"/>
      <c r="QK1266"/>
      <c r="QL1266"/>
      <c r="QM1266"/>
      <c r="QN1266"/>
      <c r="QO1266"/>
      <c r="QP1266"/>
      <c r="QQ1266"/>
      <c r="QR1266"/>
      <c r="QS1266"/>
      <c r="QT1266"/>
      <c r="QU1266"/>
      <c r="QV1266"/>
      <c r="QW1266"/>
      <c r="QX1266"/>
      <c r="QY1266"/>
      <c r="QZ1266"/>
      <c r="RA1266"/>
      <c r="RB1266"/>
      <c r="RC1266"/>
      <c r="RD1266"/>
      <c r="RE1266"/>
      <c r="RF1266"/>
      <c r="RG1266"/>
      <c r="RH1266"/>
      <c r="RI1266"/>
      <c r="RJ1266"/>
      <c r="RK1266"/>
      <c r="RL1266"/>
      <c r="RM1266"/>
      <c r="RN1266"/>
      <c r="RO1266"/>
      <c r="RP1266"/>
      <c r="RQ1266"/>
      <c r="RR1266"/>
      <c r="RS1266"/>
      <c r="RT1266"/>
      <c r="RU1266"/>
      <c r="RV1266"/>
      <c r="RW1266"/>
      <c r="RX1266"/>
      <c r="RY1266"/>
      <c r="RZ1266"/>
      <c r="SA1266"/>
      <c r="SB1266"/>
      <c r="SC1266"/>
      <c r="SD1266"/>
      <c r="SE1266"/>
      <c r="SF1266"/>
      <c r="SG1266"/>
      <c r="SH1266"/>
      <c r="SI1266"/>
      <c r="SJ1266"/>
      <c r="SK1266"/>
      <c r="SL1266"/>
      <c r="SM1266"/>
      <c r="SN1266"/>
      <c r="SO1266"/>
      <c r="SP1266"/>
      <c r="SQ1266"/>
      <c r="SR1266"/>
      <c r="SS1266"/>
      <c r="ST1266"/>
      <c r="SU1266"/>
      <c r="SV1266"/>
      <c r="SW1266"/>
      <c r="SX1266"/>
      <c r="SY1266"/>
      <c r="SZ1266"/>
      <c r="TA1266"/>
      <c r="TB1266"/>
      <c r="TC1266"/>
      <c r="TD1266"/>
      <c r="TE1266"/>
      <c r="TF1266"/>
      <c r="TG1266"/>
      <c r="TH1266"/>
      <c r="TI1266"/>
      <c r="TJ1266"/>
      <c r="TK1266"/>
      <c r="TL1266"/>
      <c r="TM1266"/>
      <c r="TN1266"/>
      <c r="TO1266"/>
      <c r="TP1266"/>
      <c r="TQ1266"/>
      <c r="TR1266"/>
      <c r="TS1266"/>
      <c r="TT1266"/>
      <c r="TU1266"/>
      <c r="TV1266"/>
      <c r="TW1266"/>
      <c r="TX1266"/>
      <c r="TY1266"/>
      <c r="TZ1266"/>
      <c r="UA1266"/>
      <c r="UB1266"/>
      <c r="UC1266"/>
      <c r="UD1266"/>
      <c r="UE1266"/>
      <c r="UF1266"/>
      <c r="UG1266"/>
      <c r="UH1266"/>
      <c r="UI1266"/>
      <c r="UJ1266"/>
      <c r="UK1266"/>
      <c r="UL1266"/>
      <c r="UM1266"/>
      <c r="UN1266"/>
      <c r="UO1266"/>
      <c r="UP1266"/>
      <c r="UQ1266"/>
      <c r="UR1266"/>
      <c r="US1266"/>
      <c r="UT1266"/>
      <c r="UU1266"/>
      <c r="UV1266"/>
      <c r="UW1266"/>
      <c r="UX1266"/>
      <c r="UY1266"/>
      <c r="UZ1266"/>
      <c r="VA1266"/>
      <c r="VB1266"/>
      <c r="VC1266"/>
      <c r="VD1266"/>
      <c r="VE1266"/>
      <c r="VF1266"/>
      <c r="VG1266"/>
      <c r="VH1266"/>
      <c r="VI1266"/>
      <c r="VJ1266"/>
      <c r="VK1266"/>
      <c r="VL1266"/>
      <c r="VM1266"/>
      <c r="VN1266"/>
      <c r="VO1266"/>
      <c r="VP1266"/>
      <c r="VQ1266"/>
      <c r="VR1266"/>
      <c r="VS1266"/>
      <c r="VT1266"/>
      <c r="VU1266"/>
      <c r="VV1266"/>
      <c r="VW1266"/>
      <c r="VX1266"/>
      <c r="VY1266"/>
      <c r="VZ1266"/>
      <c r="WA1266"/>
      <c r="WB1266"/>
      <c r="WC1266"/>
      <c r="WD1266"/>
      <c r="WE1266"/>
      <c r="WF1266"/>
      <c r="WG1266"/>
      <c r="WH1266"/>
      <c r="WI1266"/>
      <c r="WJ1266"/>
      <c r="WK1266"/>
      <c r="WL1266"/>
      <c r="WM1266"/>
      <c r="WN1266"/>
      <c r="WO1266"/>
      <c r="WP1266"/>
      <c r="WQ1266"/>
      <c r="WR1266"/>
      <c r="WS1266"/>
      <c r="WT1266"/>
      <c r="WU1266"/>
      <c r="WV1266"/>
      <c r="WW1266"/>
      <c r="WX1266"/>
      <c r="WY1266"/>
      <c r="WZ1266"/>
      <c r="XA1266"/>
      <c r="XB1266"/>
      <c r="XC1266"/>
      <c r="XD1266"/>
      <c r="XE1266"/>
      <c r="XF1266"/>
      <c r="XG1266"/>
      <c r="XH1266"/>
      <c r="XI1266"/>
      <c r="XJ1266"/>
      <c r="XK1266"/>
      <c r="XL1266"/>
      <c r="XM1266"/>
      <c r="XN1266"/>
      <c r="XO1266"/>
      <c r="XP1266"/>
      <c r="XQ1266"/>
      <c r="XR1266"/>
      <c r="XS1266"/>
      <c r="XT1266"/>
      <c r="XU1266"/>
      <c r="XV1266"/>
      <c r="XW1266"/>
      <c r="XX1266"/>
      <c r="XY1266"/>
      <c r="XZ1266"/>
      <c r="YA1266"/>
      <c r="YB1266"/>
      <c r="YC1266"/>
      <c r="YD1266"/>
      <c r="YE1266"/>
      <c r="YF1266"/>
      <c r="YG1266"/>
      <c r="YH1266"/>
      <c r="YI1266"/>
      <c r="YJ1266"/>
      <c r="YK1266"/>
      <c r="YL1266"/>
      <c r="YM1266"/>
      <c r="YN1266"/>
      <c r="YO1266"/>
      <c r="YP1266"/>
      <c r="YQ1266"/>
      <c r="YR1266"/>
      <c r="YS1266"/>
      <c r="YT1266"/>
      <c r="YU1266"/>
      <c r="YV1266"/>
      <c r="YW1266"/>
      <c r="YX1266"/>
      <c r="YY1266"/>
      <c r="YZ1266"/>
      <c r="ZA1266"/>
      <c r="ZB1266"/>
      <c r="ZC1266"/>
      <c r="ZD1266"/>
      <c r="ZE1266"/>
      <c r="ZF1266"/>
      <c r="ZG1266"/>
      <c r="ZH1266"/>
      <c r="ZI1266"/>
      <c r="ZJ1266"/>
      <c r="ZK1266"/>
      <c r="ZL1266"/>
      <c r="ZM1266"/>
      <c r="ZN1266"/>
      <c r="ZO1266"/>
      <c r="ZP1266"/>
      <c r="ZQ1266"/>
      <c r="ZR1266"/>
      <c r="ZS1266"/>
      <c r="ZT1266"/>
      <c r="ZU1266"/>
      <c r="ZV1266"/>
      <c r="ZW1266"/>
      <c r="ZX1266"/>
      <c r="ZY1266"/>
      <c r="ZZ1266"/>
      <c r="AAA1266"/>
      <c r="AAB1266"/>
      <c r="AAC1266"/>
      <c r="AAD1266"/>
      <c r="AAE1266"/>
      <c r="AAF1266"/>
      <c r="AAG1266"/>
      <c r="AAH1266"/>
      <c r="AAI1266"/>
      <c r="AAJ1266"/>
      <c r="AAK1266"/>
      <c r="AAL1266"/>
      <c r="AAM1266"/>
      <c r="AAN1266"/>
      <c r="AAO1266"/>
      <c r="AAP1266"/>
      <c r="AAQ1266"/>
      <c r="AAR1266"/>
      <c r="AAS1266"/>
      <c r="AAT1266"/>
      <c r="AAU1266"/>
      <c r="AAV1266"/>
      <c r="AAW1266"/>
      <c r="AAX1266"/>
      <c r="AAY1266"/>
      <c r="AAZ1266"/>
      <c r="ABA1266"/>
      <c r="ABB1266"/>
      <c r="ABC1266"/>
      <c r="ABD1266"/>
      <c r="ABE1266"/>
      <c r="ABF1266"/>
      <c r="ABG1266"/>
      <c r="ABH1266"/>
      <c r="ABI1266"/>
      <c r="ABJ1266"/>
      <c r="ABK1266"/>
      <c r="ABL1266"/>
      <c r="ABM1266"/>
      <c r="ABN1266"/>
      <c r="ABO1266"/>
      <c r="ABP1266"/>
      <c r="ABQ1266"/>
      <c r="ABR1266"/>
      <c r="ABS1266"/>
      <c r="ABT1266"/>
      <c r="ABU1266"/>
      <c r="ABV1266"/>
      <c r="ABW1266"/>
      <c r="ABX1266"/>
      <c r="ABY1266"/>
      <c r="ABZ1266"/>
      <c r="ACA1266"/>
      <c r="ACB1266"/>
      <c r="ACC1266"/>
      <c r="ACD1266"/>
      <c r="ACE1266"/>
      <c r="ACF1266"/>
      <c r="ACG1266"/>
      <c r="ACH1266"/>
      <c r="ACI1266"/>
      <c r="ACJ1266"/>
      <c r="ACK1266"/>
      <c r="ACL1266"/>
      <c r="ACM1266"/>
      <c r="ACN1266"/>
      <c r="ACO1266"/>
      <c r="ACP1266"/>
      <c r="ACQ1266"/>
      <c r="ACR1266"/>
      <c r="ACS1266"/>
      <c r="ACT1266"/>
      <c r="ACU1266"/>
      <c r="ACV1266"/>
      <c r="ACW1266"/>
      <c r="ACX1266"/>
      <c r="ACY1266"/>
      <c r="ACZ1266"/>
      <c r="ADA1266"/>
      <c r="ADB1266"/>
      <c r="ADC1266"/>
      <c r="ADD1266"/>
      <c r="ADE1266"/>
      <c r="ADF1266"/>
      <c r="ADG1266"/>
      <c r="ADH1266"/>
      <c r="ADI1266"/>
      <c r="ADJ1266"/>
      <c r="ADK1266"/>
      <c r="ADL1266"/>
      <c r="ADM1266"/>
      <c r="ADN1266"/>
      <c r="ADO1266"/>
      <c r="ADP1266"/>
      <c r="ADQ1266"/>
      <c r="ADR1266"/>
      <c r="ADS1266"/>
      <c r="ADT1266"/>
      <c r="ADU1266"/>
      <c r="ADV1266"/>
      <c r="ADW1266"/>
      <c r="ADX1266"/>
      <c r="ADY1266"/>
      <c r="ADZ1266"/>
      <c r="AEA1266"/>
      <c r="AEB1266"/>
      <c r="AEC1266"/>
      <c r="AED1266"/>
      <c r="AEE1266"/>
      <c r="AEF1266"/>
      <c r="AEG1266"/>
      <c r="AEH1266"/>
      <c r="AEI1266"/>
      <c r="AEJ1266"/>
      <c r="AEK1266"/>
      <c r="AEL1266"/>
      <c r="AEM1266"/>
      <c r="AEN1266"/>
      <c r="AEO1266"/>
      <c r="AEP1266"/>
      <c r="AEQ1266"/>
      <c r="AER1266"/>
      <c r="AES1266"/>
      <c r="AET1266"/>
      <c r="AEU1266"/>
      <c r="AEV1266"/>
      <c r="AEW1266"/>
      <c r="AEX1266"/>
      <c r="AEY1266"/>
      <c r="AEZ1266"/>
      <c r="AFA1266"/>
      <c r="AFB1266"/>
      <c r="AFC1266"/>
      <c r="AFD1266"/>
      <c r="AFE1266"/>
      <c r="AFF1266"/>
      <c r="AFG1266"/>
      <c r="AFH1266"/>
      <c r="AFI1266"/>
      <c r="AFJ1266"/>
      <c r="AFK1266"/>
      <c r="AFL1266"/>
      <c r="AFM1266"/>
      <c r="AFN1266"/>
      <c r="AFO1266"/>
      <c r="AFP1266"/>
      <c r="AFQ1266"/>
      <c r="AFR1266"/>
      <c r="AFS1266"/>
      <c r="AFT1266"/>
      <c r="AFU1266"/>
      <c r="AFV1266"/>
      <c r="AFW1266"/>
      <c r="AFX1266"/>
      <c r="AFY1266"/>
      <c r="AFZ1266"/>
      <c r="AGA1266"/>
      <c r="AGB1266"/>
      <c r="AGC1266"/>
      <c r="AGD1266"/>
      <c r="AGE1266"/>
      <c r="AGF1266"/>
      <c r="AGG1266"/>
      <c r="AGH1266"/>
      <c r="AGI1266"/>
      <c r="AGJ1266"/>
      <c r="AGK1266"/>
      <c r="AGL1266"/>
      <c r="AGM1266"/>
      <c r="AGN1266"/>
      <c r="AGO1266"/>
      <c r="AGP1266"/>
      <c r="AGQ1266"/>
      <c r="AGR1266"/>
      <c r="AGS1266"/>
      <c r="AGT1266"/>
      <c r="AGU1266"/>
      <c r="AGV1266"/>
      <c r="AGW1266"/>
      <c r="AGX1266"/>
      <c r="AGY1266"/>
      <c r="AGZ1266"/>
      <c r="AHA1266"/>
      <c r="AHB1266"/>
      <c r="AHC1266"/>
      <c r="AHD1266"/>
      <c r="AHE1266"/>
      <c r="AHF1266"/>
      <c r="AHG1266"/>
      <c r="AHH1266"/>
      <c r="AHI1266"/>
      <c r="AHJ1266"/>
      <c r="AHK1266"/>
      <c r="AHL1266"/>
      <c r="AHM1266"/>
      <c r="AHN1266"/>
      <c r="AHO1266"/>
      <c r="AHP1266"/>
      <c r="AHQ1266"/>
      <c r="AHR1266"/>
      <c r="AHS1266"/>
      <c r="AHT1266"/>
      <c r="AHU1266"/>
      <c r="AHV1266"/>
      <c r="AHW1266"/>
      <c r="AHX1266"/>
      <c r="AHY1266"/>
      <c r="AHZ1266"/>
      <c r="AIA1266"/>
      <c r="AIB1266"/>
      <c r="AIC1266"/>
      <c r="AID1266"/>
      <c r="AIE1266"/>
      <c r="AIF1266"/>
      <c r="AIG1266"/>
      <c r="AIH1266"/>
      <c r="AII1266"/>
      <c r="AIJ1266"/>
      <c r="AIK1266"/>
      <c r="AIL1266"/>
      <c r="AIM1266"/>
      <c r="AIN1266"/>
      <c r="AIO1266"/>
      <c r="AIP1266"/>
      <c r="AIQ1266"/>
      <c r="AIR1266"/>
      <c r="AIS1266"/>
      <c r="AIT1266"/>
      <c r="AIU1266"/>
      <c r="AIV1266"/>
      <c r="AIW1266"/>
      <c r="AIX1266"/>
      <c r="AIY1266"/>
      <c r="AIZ1266"/>
      <c r="AJA1266"/>
      <c r="AJB1266"/>
      <c r="AJC1266"/>
      <c r="AJD1266"/>
      <c r="AJE1266"/>
      <c r="AJF1266"/>
      <c r="AJG1266"/>
      <c r="AJH1266"/>
      <c r="AJI1266"/>
      <c r="AJJ1266"/>
      <c r="AJK1266"/>
      <c r="AJL1266"/>
      <c r="AJM1266"/>
      <c r="AJN1266"/>
      <c r="AJO1266"/>
      <c r="AJP1266"/>
      <c r="AJQ1266"/>
      <c r="AJR1266"/>
      <c r="AJS1266"/>
      <c r="AJT1266"/>
      <c r="AJU1266"/>
      <c r="AJV1266"/>
      <c r="AJW1266"/>
      <c r="AJX1266"/>
      <c r="AJY1266"/>
      <c r="AJZ1266"/>
      <c r="AKA1266"/>
      <c r="AKB1266"/>
      <c r="AKC1266"/>
      <c r="AKD1266"/>
      <c r="AKE1266"/>
      <c r="AKF1266"/>
      <c r="AKG1266"/>
      <c r="AKH1266"/>
      <c r="AKI1266"/>
      <c r="AKJ1266"/>
      <c r="AKK1266"/>
      <c r="AKL1266"/>
      <c r="AKM1266"/>
      <c r="AKN1266"/>
      <c r="AKO1266"/>
      <c r="AKP1266"/>
      <c r="AKQ1266"/>
      <c r="AKR1266"/>
      <c r="AKS1266"/>
      <c r="AKT1266"/>
      <c r="AKU1266"/>
      <c r="AKV1266"/>
      <c r="AKW1266"/>
      <c r="AKX1266"/>
      <c r="AKY1266"/>
      <c r="AKZ1266"/>
      <c r="ALA1266"/>
      <c r="ALB1266"/>
      <c r="ALC1266"/>
      <c r="ALD1266"/>
      <c r="ALE1266"/>
      <c r="ALF1266"/>
      <c r="ALG1266"/>
      <c r="ALH1266"/>
      <c r="ALI1266"/>
      <c r="ALJ1266"/>
      <c r="ALK1266"/>
      <c r="ALL1266"/>
      <c r="ALM1266"/>
      <c r="ALN1266"/>
      <c r="ALO1266"/>
      <c r="ALP1266"/>
      <c r="ALQ1266"/>
      <c r="ALR1266"/>
      <c r="ALS1266"/>
      <c r="ALT1266"/>
    </row>
    <row r="1267" spans="1:1008" x14ac:dyDescent="0.15">
      <c r="A1267" t="s">
        <v>4007</v>
      </c>
      <c r="B1267" s="8" t="s">
        <v>4075</v>
      </c>
      <c r="C1267" t="s">
        <v>4007</v>
      </c>
      <c r="D1267" s="8" t="s">
        <v>15</v>
      </c>
      <c r="E1267" t="s">
        <v>4007</v>
      </c>
      <c r="F1267" t="s">
        <v>4008</v>
      </c>
      <c r="G1267">
        <v>600</v>
      </c>
      <c r="H1267"/>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c r="AT1267"/>
      <c r="AU1267"/>
      <c r="AV1267"/>
      <c r="AW1267"/>
      <c r="AX1267"/>
      <c r="AY1267"/>
      <c r="AZ1267"/>
      <c r="BA1267"/>
      <c r="BB1267"/>
      <c r="BC1267"/>
      <c r="BD1267"/>
      <c r="BE1267"/>
      <c r="BF1267"/>
      <c r="BG1267"/>
      <c r="BH1267"/>
      <c r="BI1267"/>
      <c r="BJ1267"/>
      <c r="BK1267"/>
      <c r="BL1267"/>
      <c r="BM1267"/>
      <c r="BN1267"/>
      <c r="BO1267"/>
      <c r="BP1267"/>
      <c r="BQ1267"/>
      <c r="BR1267"/>
      <c r="BS1267"/>
      <c r="BT1267"/>
      <c r="BU1267"/>
      <c r="BV1267"/>
      <c r="BW1267"/>
      <c r="BX1267"/>
      <c r="BY1267"/>
      <c r="BZ1267"/>
      <c r="CA1267"/>
      <c r="CB1267"/>
      <c r="CC1267"/>
      <c r="CD1267"/>
      <c r="CE1267"/>
      <c r="CF1267"/>
      <c r="CG1267"/>
      <c r="CH1267"/>
      <c r="CI1267"/>
      <c r="CJ1267"/>
      <c r="CK1267"/>
      <c r="CL1267"/>
      <c r="CM1267"/>
      <c r="CN1267"/>
      <c r="CO1267"/>
      <c r="CP1267"/>
      <c r="CQ1267"/>
      <c r="CR1267"/>
      <c r="CS1267"/>
      <c r="CT1267"/>
      <c r="CU1267"/>
      <c r="CV1267"/>
      <c r="CW1267"/>
      <c r="CX1267"/>
      <c r="CY1267"/>
      <c r="CZ1267"/>
      <c r="DA1267"/>
      <c r="DB1267"/>
      <c r="DC1267"/>
      <c r="DD1267"/>
      <c r="DE1267"/>
      <c r="DF1267"/>
      <c r="DG1267"/>
      <c r="DH1267"/>
      <c r="DI1267"/>
      <c r="DJ1267"/>
      <c r="DK1267"/>
      <c r="DL1267"/>
      <c r="DM1267"/>
      <c r="DN1267"/>
      <c r="DO1267"/>
      <c r="DP1267"/>
      <c r="DQ1267"/>
      <c r="DR1267"/>
      <c r="DS1267"/>
      <c r="DT1267"/>
      <c r="DU1267"/>
      <c r="DV1267"/>
      <c r="DW1267"/>
      <c r="DX1267"/>
      <c r="DY1267"/>
      <c r="DZ1267"/>
      <c r="EA1267"/>
      <c r="EB1267"/>
      <c r="EC1267"/>
      <c r="ED1267"/>
      <c r="EE1267"/>
      <c r="EF1267"/>
      <c r="EG1267"/>
      <c r="EH1267"/>
      <c r="EI1267"/>
      <c r="EJ1267"/>
      <c r="EK1267"/>
      <c r="EL1267"/>
      <c r="EM1267"/>
      <c r="EN1267"/>
      <c r="EO1267"/>
      <c r="EP1267"/>
      <c r="EQ1267"/>
      <c r="ER1267"/>
      <c r="ES1267"/>
      <c r="ET1267"/>
      <c r="EU1267"/>
      <c r="EV1267"/>
      <c r="EW1267"/>
      <c r="EX1267"/>
      <c r="EY1267"/>
      <c r="EZ1267"/>
      <c r="FA1267"/>
      <c r="FB1267"/>
      <c r="FC1267"/>
      <c r="FD1267"/>
      <c r="FE1267"/>
      <c r="FF1267"/>
      <c r="FG1267"/>
      <c r="FH1267"/>
      <c r="FI1267"/>
      <c r="FJ1267"/>
      <c r="FK1267"/>
      <c r="FL1267"/>
      <c r="FM1267"/>
      <c r="FN1267"/>
      <c r="FO1267"/>
      <c r="FP1267"/>
      <c r="FQ1267"/>
      <c r="FR1267"/>
      <c r="FS1267"/>
      <c r="FT1267"/>
      <c r="FU1267"/>
      <c r="FV1267"/>
      <c r="FW1267"/>
      <c r="FX1267"/>
      <c r="FY1267"/>
      <c r="FZ1267"/>
      <c r="GA1267"/>
      <c r="GB1267"/>
      <c r="GC1267"/>
      <c r="GD1267"/>
      <c r="GE1267"/>
      <c r="GF1267"/>
      <c r="GG1267"/>
      <c r="GH1267"/>
      <c r="GI1267"/>
      <c r="GJ1267"/>
      <c r="GK1267"/>
      <c r="GL1267"/>
      <c r="GM1267"/>
      <c r="GN1267"/>
      <c r="GO1267"/>
      <c r="GP1267"/>
      <c r="GQ1267"/>
      <c r="GR1267"/>
      <c r="GS1267"/>
      <c r="GT1267"/>
      <c r="GU1267"/>
      <c r="GV1267"/>
      <c r="GW1267"/>
      <c r="GX1267"/>
      <c r="GY1267"/>
      <c r="GZ1267"/>
      <c r="HA1267"/>
      <c r="HB1267"/>
      <c r="HC1267"/>
      <c r="HD1267"/>
      <c r="HE1267"/>
      <c r="HF1267"/>
      <c r="HG1267"/>
      <c r="HH1267"/>
      <c r="HI1267"/>
      <c r="HJ1267"/>
      <c r="HK1267"/>
      <c r="HL1267"/>
      <c r="HM1267"/>
      <c r="HN1267"/>
      <c r="HO1267"/>
      <c r="HP1267"/>
      <c r="HQ1267"/>
      <c r="HR1267"/>
      <c r="HS1267"/>
      <c r="HT1267"/>
      <c r="HU1267"/>
      <c r="HV1267"/>
      <c r="HW1267"/>
      <c r="HX1267"/>
      <c r="HY1267"/>
      <c r="HZ1267"/>
      <c r="IA1267"/>
      <c r="IB1267"/>
      <c r="IC1267"/>
      <c r="ID1267"/>
      <c r="IE1267"/>
      <c r="IF1267"/>
      <c r="IG1267"/>
      <c r="IH1267"/>
      <c r="II1267"/>
      <c r="IJ1267"/>
      <c r="IK1267"/>
      <c r="IL1267"/>
      <c r="IM1267"/>
      <c r="IN1267"/>
      <c r="IO1267"/>
      <c r="IP1267"/>
      <c r="IQ1267"/>
      <c r="IR1267"/>
      <c r="IS1267"/>
      <c r="IT1267"/>
      <c r="IU1267"/>
      <c r="IV1267"/>
      <c r="IW1267"/>
      <c r="IX1267"/>
      <c r="IY1267"/>
      <c r="IZ1267"/>
      <c r="JA1267"/>
      <c r="JB1267"/>
      <c r="JC1267"/>
      <c r="JD1267"/>
      <c r="JE1267"/>
      <c r="JF1267"/>
      <c r="JG1267"/>
      <c r="JH1267"/>
      <c r="JI1267"/>
      <c r="JJ1267"/>
      <c r="JK1267"/>
      <c r="JL1267"/>
      <c r="JM1267"/>
      <c r="JN1267"/>
      <c r="JO1267"/>
      <c r="JP1267"/>
      <c r="JQ1267"/>
      <c r="JR1267"/>
      <c r="JS1267"/>
      <c r="JT1267"/>
      <c r="JU1267"/>
      <c r="JV1267"/>
      <c r="JW1267"/>
      <c r="JX1267"/>
      <c r="JY1267"/>
      <c r="JZ1267"/>
      <c r="KA1267"/>
      <c r="KB1267"/>
      <c r="KC1267"/>
      <c r="KD1267"/>
      <c r="KE1267"/>
      <c r="KF1267"/>
      <c r="KG1267"/>
      <c r="KH1267"/>
      <c r="KI1267"/>
      <c r="KJ1267"/>
      <c r="KK1267"/>
      <c r="KL1267"/>
      <c r="KM1267"/>
      <c r="KN1267"/>
      <c r="KO1267"/>
      <c r="KP1267"/>
      <c r="KQ1267"/>
      <c r="KR1267"/>
      <c r="KS1267"/>
      <c r="KT1267"/>
      <c r="KU1267"/>
      <c r="KV1267"/>
      <c r="KW1267"/>
      <c r="KX1267"/>
      <c r="KY1267"/>
      <c r="KZ1267"/>
      <c r="LA1267"/>
      <c r="LB1267"/>
      <c r="LC1267"/>
      <c r="LD1267"/>
      <c r="LE1267"/>
      <c r="LF1267"/>
      <c r="LG1267"/>
      <c r="LH1267"/>
      <c r="LI1267"/>
      <c r="LJ1267"/>
      <c r="LK1267"/>
      <c r="LL1267"/>
      <c r="LM1267"/>
      <c r="LN1267"/>
      <c r="LO1267"/>
      <c r="LP1267"/>
      <c r="LQ1267"/>
      <c r="LR1267"/>
      <c r="LS1267"/>
      <c r="LT1267"/>
      <c r="LU1267"/>
      <c r="LV1267"/>
      <c r="LW1267"/>
      <c r="LX1267"/>
      <c r="LY1267"/>
      <c r="LZ1267"/>
      <c r="MA1267"/>
      <c r="MB1267"/>
      <c r="MC1267"/>
      <c r="MD1267"/>
      <c r="ME1267"/>
      <c r="MF1267"/>
      <c r="MG1267"/>
      <c r="MH1267"/>
      <c r="MI1267"/>
      <c r="MJ1267"/>
      <c r="MK1267"/>
      <c r="ML1267"/>
      <c r="MM1267"/>
      <c r="MN1267"/>
      <c r="MO1267"/>
      <c r="MP1267"/>
      <c r="MQ1267"/>
      <c r="MR1267"/>
      <c r="MS1267"/>
      <c r="MT1267"/>
      <c r="MU1267"/>
      <c r="MV1267"/>
      <c r="MW1267"/>
      <c r="MX1267"/>
      <c r="MY1267"/>
      <c r="MZ1267"/>
      <c r="NA1267"/>
      <c r="NB1267"/>
      <c r="NC1267"/>
      <c r="ND1267"/>
      <c r="NE1267"/>
      <c r="NF1267"/>
      <c r="NG1267"/>
      <c r="NH1267"/>
      <c r="NI1267"/>
      <c r="NJ1267"/>
      <c r="NK1267"/>
      <c r="NL1267"/>
      <c r="NM1267"/>
      <c r="NN1267"/>
      <c r="NO1267"/>
      <c r="NP1267"/>
      <c r="NQ1267"/>
      <c r="NR1267"/>
      <c r="NS1267"/>
      <c r="NT1267"/>
      <c r="NU1267"/>
      <c r="NV1267"/>
      <c r="NW1267"/>
      <c r="NX1267"/>
      <c r="NY1267"/>
      <c r="NZ1267"/>
      <c r="OA1267"/>
      <c r="OB1267"/>
      <c r="OC1267"/>
      <c r="OD1267"/>
      <c r="OE1267"/>
      <c r="OF1267"/>
      <c r="OG1267"/>
      <c r="OH1267"/>
      <c r="OI1267"/>
      <c r="OJ1267"/>
      <c r="OK1267"/>
      <c r="OL1267"/>
      <c r="OM1267"/>
      <c r="ON1267"/>
      <c r="OO1267"/>
      <c r="OP1267"/>
      <c r="OQ1267"/>
      <c r="OR1267"/>
      <c r="OS1267"/>
      <c r="OT1267"/>
      <c r="OU1267"/>
      <c r="OV1267"/>
      <c r="OW1267"/>
      <c r="OX1267"/>
      <c r="OY1267"/>
      <c r="OZ1267"/>
      <c r="PA1267"/>
      <c r="PB1267"/>
      <c r="PC1267"/>
      <c r="PD1267"/>
      <c r="PE1267"/>
      <c r="PF1267"/>
      <c r="PG1267"/>
      <c r="PH1267"/>
      <c r="PI1267"/>
      <c r="PJ1267"/>
      <c r="PK1267"/>
      <c r="PL1267"/>
      <c r="PM1267"/>
      <c r="PN1267"/>
      <c r="PO1267"/>
      <c r="PP1267"/>
      <c r="PQ1267"/>
      <c r="PR1267"/>
      <c r="PS1267"/>
      <c r="PT1267"/>
      <c r="PU1267"/>
      <c r="PV1267"/>
      <c r="PW1267"/>
      <c r="PX1267"/>
      <c r="PY1267"/>
      <c r="PZ1267"/>
      <c r="QA1267"/>
      <c r="QB1267"/>
      <c r="QC1267"/>
      <c r="QD1267"/>
      <c r="QE1267"/>
      <c r="QF1267"/>
      <c r="QG1267"/>
      <c r="QH1267"/>
      <c r="QI1267"/>
      <c r="QJ1267"/>
      <c r="QK1267"/>
      <c r="QL1267"/>
      <c r="QM1267"/>
      <c r="QN1267"/>
      <c r="QO1267"/>
      <c r="QP1267"/>
      <c r="QQ1267"/>
      <c r="QR1267"/>
      <c r="QS1267"/>
      <c r="QT1267"/>
      <c r="QU1267"/>
      <c r="QV1267"/>
      <c r="QW1267"/>
      <c r="QX1267"/>
      <c r="QY1267"/>
      <c r="QZ1267"/>
      <c r="RA1267"/>
      <c r="RB1267"/>
      <c r="RC1267"/>
      <c r="RD1267"/>
      <c r="RE1267"/>
      <c r="RF1267"/>
      <c r="RG1267"/>
      <c r="RH1267"/>
      <c r="RI1267"/>
      <c r="RJ1267"/>
      <c r="RK1267"/>
      <c r="RL1267"/>
      <c r="RM1267"/>
      <c r="RN1267"/>
      <c r="RO1267"/>
      <c r="RP1267"/>
      <c r="RQ1267"/>
      <c r="RR1267"/>
      <c r="RS1267"/>
      <c r="RT1267"/>
      <c r="RU1267"/>
      <c r="RV1267"/>
      <c r="RW1267"/>
      <c r="RX1267"/>
      <c r="RY1267"/>
      <c r="RZ1267"/>
      <c r="SA1267"/>
      <c r="SB1267"/>
      <c r="SC1267"/>
      <c r="SD1267"/>
      <c r="SE1267"/>
      <c r="SF1267"/>
      <c r="SG1267"/>
      <c r="SH1267"/>
      <c r="SI1267"/>
      <c r="SJ1267"/>
      <c r="SK1267"/>
      <c r="SL1267"/>
      <c r="SM1267"/>
      <c r="SN1267"/>
      <c r="SO1267"/>
      <c r="SP1267"/>
      <c r="SQ1267"/>
      <c r="SR1267"/>
      <c r="SS1267"/>
      <c r="ST1267"/>
      <c r="SU1267"/>
      <c r="SV1267"/>
      <c r="SW1267"/>
      <c r="SX1267"/>
      <c r="SY1267"/>
      <c r="SZ1267"/>
      <c r="TA1267"/>
      <c r="TB1267"/>
      <c r="TC1267"/>
      <c r="TD1267"/>
      <c r="TE1267"/>
      <c r="TF1267"/>
      <c r="TG1267"/>
      <c r="TH1267"/>
      <c r="TI1267"/>
      <c r="TJ1267"/>
      <c r="TK1267"/>
      <c r="TL1267"/>
      <c r="TM1267"/>
      <c r="TN1267"/>
      <c r="TO1267"/>
      <c r="TP1267"/>
      <c r="TQ1267"/>
      <c r="TR1267"/>
      <c r="TS1267"/>
      <c r="TT1267"/>
      <c r="TU1267"/>
      <c r="TV1267"/>
      <c r="TW1267"/>
      <c r="TX1267"/>
      <c r="TY1267"/>
      <c r="TZ1267"/>
      <c r="UA1267"/>
      <c r="UB1267"/>
      <c r="UC1267"/>
      <c r="UD1267"/>
      <c r="UE1267"/>
      <c r="UF1267"/>
      <c r="UG1267"/>
      <c r="UH1267"/>
      <c r="UI1267"/>
      <c r="UJ1267"/>
      <c r="UK1267"/>
      <c r="UL1267"/>
      <c r="UM1267"/>
      <c r="UN1267"/>
      <c r="UO1267"/>
      <c r="UP1267"/>
      <c r="UQ1267"/>
      <c r="UR1267"/>
      <c r="US1267"/>
      <c r="UT1267"/>
      <c r="UU1267"/>
      <c r="UV1267"/>
      <c r="UW1267"/>
      <c r="UX1267"/>
      <c r="UY1267"/>
      <c r="UZ1267"/>
      <c r="VA1267"/>
      <c r="VB1267"/>
      <c r="VC1267"/>
      <c r="VD1267"/>
      <c r="VE1267"/>
      <c r="VF1267"/>
      <c r="VG1267"/>
      <c r="VH1267"/>
      <c r="VI1267"/>
      <c r="VJ1267"/>
      <c r="VK1267"/>
      <c r="VL1267"/>
      <c r="VM1267"/>
      <c r="VN1267"/>
      <c r="VO1267"/>
      <c r="VP1267"/>
      <c r="VQ1267"/>
      <c r="VR1267"/>
      <c r="VS1267"/>
      <c r="VT1267"/>
      <c r="VU1267"/>
      <c r="VV1267"/>
      <c r="VW1267"/>
      <c r="VX1267"/>
      <c r="VY1267"/>
      <c r="VZ1267"/>
      <c r="WA1267"/>
      <c r="WB1267"/>
      <c r="WC1267"/>
      <c r="WD1267"/>
      <c r="WE1267"/>
      <c r="WF1267"/>
      <c r="WG1267"/>
      <c r="WH1267"/>
      <c r="WI1267"/>
      <c r="WJ1267"/>
      <c r="WK1267"/>
      <c r="WL1267"/>
      <c r="WM1267"/>
      <c r="WN1267"/>
      <c r="WO1267"/>
      <c r="WP1267"/>
      <c r="WQ1267"/>
      <c r="WR1267"/>
      <c r="WS1267"/>
      <c r="WT1267"/>
      <c r="WU1267"/>
      <c r="WV1267"/>
      <c r="WW1267"/>
      <c r="WX1267"/>
      <c r="WY1267"/>
      <c r="WZ1267"/>
      <c r="XA1267"/>
      <c r="XB1267"/>
      <c r="XC1267"/>
      <c r="XD1267"/>
      <c r="XE1267"/>
      <c r="XF1267"/>
      <c r="XG1267"/>
      <c r="XH1267"/>
      <c r="XI1267"/>
      <c r="XJ1267"/>
      <c r="XK1267"/>
      <c r="XL1267"/>
      <c r="XM1267"/>
      <c r="XN1267"/>
      <c r="XO1267"/>
      <c r="XP1267"/>
      <c r="XQ1267"/>
      <c r="XR1267"/>
      <c r="XS1267"/>
      <c r="XT1267"/>
      <c r="XU1267"/>
      <c r="XV1267"/>
      <c r="XW1267"/>
      <c r="XX1267"/>
      <c r="XY1267"/>
      <c r="XZ1267"/>
      <c r="YA1267"/>
      <c r="YB1267"/>
      <c r="YC1267"/>
      <c r="YD1267"/>
      <c r="YE1267"/>
      <c r="YF1267"/>
      <c r="YG1267"/>
      <c r="YH1267"/>
      <c r="YI1267"/>
      <c r="YJ1267"/>
      <c r="YK1267"/>
      <c r="YL1267"/>
      <c r="YM1267"/>
      <c r="YN1267"/>
      <c r="YO1267"/>
      <c r="YP1267"/>
      <c r="YQ1267"/>
      <c r="YR1267"/>
      <c r="YS1267"/>
      <c r="YT1267"/>
      <c r="YU1267"/>
      <c r="YV1267"/>
      <c r="YW1267"/>
      <c r="YX1267"/>
      <c r="YY1267"/>
      <c r="YZ1267"/>
      <c r="ZA1267"/>
      <c r="ZB1267"/>
      <c r="ZC1267"/>
      <c r="ZD1267"/>
      <c r="ZE1267"/>
      <c r="ZF1267"/>
      <c r="ZG1267"/>
      <c r="ZH1267"/>
      <c r="ZI1267"/>
      <c r="ZJ1267"/>
      <c r="ZK1267"/>
      <c r="ZL1267"/>
      <c r="ZM1267"/>
      <c r="ZN1267"/>
      <c r="ZO1267"/>
      <c r="ZP1267"/>
      <c r="ZQ1267"/>
      <c r="ZR1267"/>
      <c r="ZS1267"/>
      <c r="ZT1267"/>
      <c r="ZU1267"/>
      <c r="ZV1267"/>
      <c r="ZW1267"/>
      <c r="ZX1267"/>
      <c r="ZY1267"/>
      <c r="ZZ1267"/>
      <c r="AAA1267"/>
      <c r="AAB1267"/>
      <c r="AAC1267"/>
      <c r="AAD1267"/>
      <c r="AAE1267"/>
      <c r="AAF1267"/>
      <c r="AAG1267"/>
      <c r="AAH1267"/>
      <c r="AAI1267"/>
      <c r="AAJ1267"/>
      <c r="AAK1267"/>
      <c r="AAL1267"/>
      <c r="AAM1267"/>
      <c r="AAN1267"/>
      <c r="AAO1267"/>
      <c r="AAP1267"/>
      <c r="AAQ1267"/>
      <c r="AAR1267"/>
      <c r="AAS1267"/>
      <c r="AAT1267"/>
      <c r="AAU1267"/>
      <c r="AAV1267"/>
      <c r="AAW1267"/>
      <c r="AAX1267"/>
      <c r="AAY1267"/>
      <c r="AAZ1267"/>
      <c r="ABA1267"/>
      <c r="ABB1267"/>
      <c r="ABC1267"/>
      <c r="ABD1267"/>
      <c r="ABE1267"/>
      <c r="ABF1267"/>
      <c r="ABG1267"/>
      <c r="ABH1267"/>
      <c r="ABI1267"/>
      <c r="ABJ1267"/>
      <c r="ABK1267"/>
      <c r="ABL1267"/>
      <c r="ABM1267"/>
      <c r="ABN1267"/>
      <c r="ABO1267"/>
      <c r="ABP1267"/>
      <c r="ABQ1267"/>
      <c r="ABR1267"/>
      <c r="ABS1267"/>
      <c r="ABT1267"/>
      <c r="ABU1267"/>
      <c r="ABV1267"/>
      <c r="ABW1267"/>
      <c r="ABX1267"/>
      <c r="ABY1267"/>
      <c r="ABZ1267"/>
      <c r="ACA1267"/>
      <c r="ACB1267"/>
      <c r="ACC1267"/>
      <c r="ACD1267"/>
      <c r="ACE1267"/>
      <c r="ACF1267"/>
      <c r="ACG1267"/>
      <c r="ACH1267"/>
      <c r="ACI1267"/>
      <c r="ACJ1267"/>
      <c r="ACK1267"/>
      <c r="ACL1267"/>
      <c r="ACM1267"/>
      <c r="ACN1267"/>
      <c r="ACO1267"/>
      <c r="ACP1267"/>
      <c r="ACQ1267"/>
      <c r="ACR1267"/>
      <c r="ACS1267"/>
      <c r="ACT1267"/>
      <c r="ACU1267"/>
      <c r="ACV1267"/>
      <c r="ACW1267"/>
      <c r="ACX1267"/>
      <c r="ACY1267"/>
      <c r="ACZ1267"/>
      <c r="ADA1267"/>
      <c r="ADB1267"/>
      <c r="ADC1267"/>
      <c r="ADD1267"/>
      <c r="ADE1267"/>
      <c r="ADF1267"/>
      <c r="ADG1267"/>
      <c r="ADH1267"/>
      <c r="ADI1267"/>
      <c r="ADJ1267"/>
      <c r="ADK1267"/>
      <c r="ADL1267"/>
      <c r="ADM1267"/>
      <c r="ADN1267"/>
      <c r="ADO1267"/>
      <c r="ADP1267"/>
      <c r="ADQ1267"/>
      <c r="ADR1267"/>
      <c r="ADS1267"/>
      <c r="ADT1267"/>
      <c r="ADU1267"/>
      <c r="ADV1267"/>
      <c r="ADW1267"/>
      <c r="ADX1267"/>
      <c r="ADY1267"/>
      <c r="ADZ1267"/>
      <c r="AEA1267"/>
      <c r="AEB1267"/>
      <c r="AEC1267"/>
      <c r="AED1267"/>
      <c r="AEE1267"/>
      <c r="AEF1267"/>
      <c r="AEG1267"/>
      <c r="AEH1267"/>
      <c r="AEI1267"/>
      <c r="AEJ1267"/>
      <c r="AEK1267"/>
      <c r="AEL1267"/>
      <c r="AEM1267"/>
      <c r="AEN1267"/>
      <c r="AEO1267"/>
      <c r="AEP1267"/>
      <c r="AEQ1267"/>
      <c r="AER1267"/>
      <c r="AES1267"/>
      <c r="AET1267"/>
      <c r="AEU1267"/>
      <c r="AEV1267"/>
      <c r="AEW1267"/>
      <c r="AEX1267"/>
      <c r="AEY1267"/>
      <c r="AEZ1267"/>
      <c r="AFA1267"/>
      <c r="AFB1267"/>
      <c r="AFC1267"/>
      <c r="AFD1267"/>
      <c r="AFE1267"/>
      <c r="AFF1267"/>
      <c r="AFG1267"/>
      <c r="AFH1267"/>
      <c r="AFI1267"/>
      <c r="AFJ1267"/>
      <c r="AFK1267"/>
      <c r="AFL1267"/>
      <c r="AFM1267"/>
      <c r="AFN1267"/>
      <c r="AFO1267"/>
      <c r="AFP1267"/>
      <c r="AFQ1267"/>
      <c r="AFR1267"/>
      <c r="AFS1267"/>
      <c r="AFT1267"/>
      <c r="AFU1267"/>
      <c r="AFV1267"/>
      <c r="AFW1267"/>
      <c r="AFX1267"/>
      <c r="AFY1267"/>
      <c r="AFZ1267"/>
      <c r="AGA1267"/>
      <c r="AGB1267"/>
      <c r="AGC1267"/>
      <c r="AGD1267"/>
      <c r="AGE1267"/>
      <c r="AGF1267"/>
      <c r="AGG1267"/>
      <c r="AGH1267"/>
      <c r="AGI1267"/>
      <c r="AGJ1267"/>
      <c r="AGK1267"/>
      <c r="AGL1267"/>
      <c r="AGM1267"/>
      <c r="AGN1267"/>
      <c r="AGO1267"/>
      <c r="AGP1267"/>
      <c r="AGQ1267"/>
      <c r="AGR1267"/>
      <c r="AGS1267"/>
      <c r="AGT1267"/>
      <c r="AGU1267"/>
      <c r="AGV1267"/>
      <c r="AGW1267"/>
      <c r="AGX1267"/>
      <c r="AGY1267"/>
      <c r="AGZ1267"/>
      <c r="AHA1267"/>
      <c r="AHB1267"/>
      <c r="AHC1267"/>
      <c r="AHD1267"/>
      <c r="AHE1267"/>
      <c r="AHF1267"/>
      <c r="AHG1267"/>
      <c r="AHH1267"/>
      <c r="AHI1267"/>
      <c r="AHJ1267"/>
      <c r="AHK1267"/>
      <c r="AHL1267"/>
      <c r="AHM1267"/>
      <c r="AHN1267"/>
      <c r="AHO1267"/>
      <c r="AHP1267"/>
      <c r="AHQ1267"/>
      <c r="AHR1267"/>
      <c r="AHS1267"/>
      <c r="AHT1267"/>
      <c r="AHU1267"/>
      <c r="AHV1267"/>
      <c r="AHW1267"/>
      <c r="AHX1267"/>
      <c r="AHY1267"/>
      <c r="AHZ1267"/>
      <c r="AIA1267"/>
      <c r="AIB1267"/>
      <c r="AIC1267"/>
      <c r="AID1267"/>
      <c r="AIE1267"/>
      <c r="AIF1267"/>
      <c r="AIG1267"/>
      <c r="AIH1267"/>
      <c r="AII1267"/>
      <c r="AIJ1267"/>
      <c r="AIK1267"/>
      <c r="AIL1267"/>
      <c r="AIM1267"/>
      <c r="AIN1267"/>
      <c r="AIO1267"/>
      <c r="AIP1267"/>
      <c r="AIQ1267"/>
      <c r="AIR1267"/>
      <c r="AIS1267"/>
      <c r="AIT1267"/>
      <c r="AIU1267"/>
      <c r="AIV1267"/>
      <c r="AIW1267"/>
      <c r="AIX1267"/>
      <c r="AIY1267"/>
      <c r="AIZ1267"/>
      <c r="AJA1267"/>
      <c r="AJB1267"/>
      <c r="AJC1267"/>
      <c r="AJD1267"/>
      <c r="AJE1267"/>
      <c r="AJF1267"/>
      <c r="AJG1267"/>
      <c r="AJH1267"/>
      <c r="AJI1267"/>
      <c r="AJJ1267"/>
      <c r="AJK1267"/>
      <c r="AJL1267"/>
      <c r="AJM1267"/>
      <c r="AJN1267"/>
      <c r="AJO1267"/>
      <c r="AJP1267"/>
      <c r="AJQ1267"/>
      <c r="AJR1267"/>
      <c r="AJS1267"/>
      <c r="AJT1267"/>
      <c r="AJU1267"/>
      <c r="AJV1267"/>
      <c r="AJW1267"/>
      <c r="AJX1267"/>
      <c r="AJY1267"/>
      <c r="AJZ1267"/>
      <c r="AKA1267"/>
      <c r="AKB1267"/>
      <c r="AKC1267"/>
      <c r="AKD1267"/>
      <c r="AKE1267"/>
      <c r="AKF1267"/>
      <c r="AKG1267"/>
      <c r="AKH1267"/>
      <c r="AKI1267"/>
      <c r="AKJ1267"/>
      <c r="AKK1267"/>
      <c r="AKL1267"/>
      <c r="AKM1267"/>
      <c r="AKN1267"/>
      <c r="AKO1267"/>
      <c r="AKP1267"/>
      <c r="AKQ1267"/>
      <c r="AKR1267"/>
      <c r="AKS1267"/>
      <c r="AKT1267"/>
      <c r="AKU1267"/>
      <c r="AKV1267"/>
      <c r="AKW1267"/>
      <c r="AKX1267"/>
      <c r="AKY1267"/>
      <c r="AKZ1267"/>
      <c r="ALA1267"/>
      <c r="ALB1267"/>
      <c r="ALC1267"/>
      <c r="ALD1267"/>
      <c r="ALE1267"/>
      <c r="ALF1267"/>
      <c r="ALG1267"/>
      <c r="ALH1267"/>
      <c r="ALI1267"/>
      <c r="ALJ1267"/>
      <c r="ALK1267"/>
      <c r="ALL1267"/>
      <c r="ALM1267"/>
      <c r="ALN1267"/>
      <c r="ALO1267"/>
      <c r="ALP1267"/>
      <c r="ALQ1267"/>
      <c r="ALR1267"/>
      <c r="ALS1267"/>
      <c r="ALT1267"/>
    </row>
    <row r="1268" spans="1:1008" x14ac:dyDescent="0.15">
      <c r="A1268" t="s">
        <v>4009</v>
      </c>
      <c r="B1268" s="8" t="s">
        <v>4075</v>
      </c>
      <c r="C1268" t="s">
        <v>4009</v>
      </c>
      <c r="D1268" s="8" t="s">
        <v>15</v>
      </c>
      <c r="E1268" t="s">
        <v>4009</v>
      </c>
      <c r="F1268" t="s">
        <v>4010</v>
      </c>
      <c r="G1268">
        <v>580</v>
      </c>
      <c r="H1268"/>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c r="AT1268"/>
      <c r="AU1268"/>
      <c r="AV1268"/>
      <c r="AW1268"/>
      <c r="AX1268"/>
      <c r="AY1268"/>
      <c r="AZ1268"/>
      <c r="BA1268"/>
      <c r="BB1268"/>
      <c r="BC1268"/>
      <c r="BD1268"/>
      <c r="BE1268"/>
      <c r="BF1268"/>
      <c r="BG1268"/>
      <c r="BH1268"/>
      <c r="BI1268"/>
      <c r="BJ1268"/>
      <c r="BK1268"/>
      <c r="BL1268"/>
      <c r="BM1268"/>
      <c r="BN1268"/>
      <c r="BO1268"/>
      <c r="BP1268"/>
      <c r="BQ1268"/>
      <c r="BR1268"/>
      <c r="BS1268"/>
      <c r="BT1268"/>
      <c r="BU1268"/>
      <c r="BV1268"/>
      <c r="BW1268"/>
      <c r="BX1268"/>
      <c r="BY1268"/>
      <c r="BZ1268"/>
      <c r="CA1268"/>
      <c r="CB1268"/>
      <c r="CC1268"/>
      <c r="CD1268"/>
      <c r="CE1268"/>
      <c r="CF1268"/>
      <c r="CG1268"/>
      <c r="CH1268"/>
      <c r="CI1268"/>
      <c r="CJ1268"/>
      <c r="CK1268"/>
      <c r="CL1268"/>
      <c r="CM1268"/>
      <c r="CN1268"/>
      <c r="CO1268"/>
      <c r="CP1268"/>
      <c r="CQ1268"/>
      <c r="CR1268"/>
      <c r="CS1268"/>
      <c r="CT1268"/>
      <c r="CU1268"/>
      <c r="CV1268"/>
      <c r="CW1268"/>
      <c r="CX1268"/>
      <c r="CY1268"/>
      <c r="CZ1268"/>
      <c r="DA1268"/>
      <c r="DB1268"/>
      <c r="DC1268"/>
      <c r="DD1268"/>
      <c r="DE1268"/>
      <c r="DF1268"/>
      <c r="DG1268"/>
      <c r="DH1268"/>
      <c r="DI1268"/>
      <c r="DJ1268"/>
      <c r="DK1268"/>
      <c r="DL1268"/>
      <c r="DM1268"/>
      <c r="DN1268"/>
      <c r="DO1268"/>
      <c r="DP1268"/>
      <c r="DQ1268"/>
      <c r="DR1268"/>
      <c r="DS1268"/>
      <c r="DT1268"/>
      <c r="DU1268"/>
      <c r="DV1268"/>
      <c r="DW1268"/>
      <c r="DX1268"/>
      <c r="DY1268"/>
      <c r="DZ1268"/>
      <c r="EA1268"/>
      <c r="EB1268"/>
      <c r="EC1268"/>
      <c r="ED1268"/>
      <c r="EE1268"/>
      <c r="EF1268"/>
      <c r="EG1268"/>
      <c r="EH1268"/>
      <c r="EI1268"/>
      <c r="EJ1268"/>
      <c r="EK1268"/>
      <c r="EL1268"/>
      <c r="EM1268"/>
      <c r="EN1268"/>
      <c r="EO1268"/>
      <c r="EP1268"/>
      <c r="EQ1268"/>
      <c r="ER1268"/>
      <c r="ES1268"/>
      <c r="ET1268"/>
      <c r="EU1268"/>
      <c r="EV1268"/>
      <c r="EW1268"/>
      <c r="EX1268"/>
      <c r="EY1268"/>
      <c r="EZ1268"/>
      <c r="FA1268"/>
      <c r="FB1268"/>
      <c r="FC1268"/>
      <c r="FD1268"/>
      <c r="FE1268"/>
      <c r="FF1268"/>
      <c r="FG1268"/>
      <c r="FH1268"/>
      <c r="FI1268"/>
      <c r="FJ1268"/>
      <c r="FK1268"/>
      <c r="FL1268"/>
      <c r="FM1268"/>
      <c r="FN1268"/>
      <c r="FO1268"/>
      <c r="FP1268"/>
      <c r="FQ1268"/>
      <c r="FR1268"/>
      <c r="FS1268"/>
      <c r="FT1268"/>
      <c r="FU1268"/>
      <c r="FV1268"/>
      <c r="FW1268"/>
      <c r="FX1268"/>
      <c r="FY1268"/>
      <c r="FZ1268"/>
      <c r="GA1268"/>
      <c r="GB1268"/>
      <c r="GC1268"/>
      <c r="GD1268"/>
      <c r="GE1268"/>
      <c r="GF1268"/>
      <c r="GG1268"/>
      <c r="GH1268"/>
      <c r="GI1268"/>
      <c r="GJ1268"/>
      <c r="GK1268"/>
      <c r="GL1268"/>
      <c r="GM1268"/>
      <c r="GN1268"/>
      <c r="GO1268"/>
      <c r="GP1268"/>
      <c r="GQ1268"/>
      <c r="GR1268"/>
      <c r="GS1268"/>
      <c r="GT1268"/>
      <c r="GU1268"/>
      <c r="GV1268"/>
      <c r="GW1268"/>
      <c r="GX1268"/>
      <c r="GY1268"/>
      <c r="GZ1268"/>
      <c r="HA1268"/>
      <c r="HB1268"/>
      <c r="HC1268"/>
      <c r="HD1268"/>
      <c r="HE1268"/>
      <c r="HF1268"/>
      <c r="HG1268"/>
      <c r="HH1268"/>
      <c r="HI1268"/>
      <c r="HJ1268"/>
      <c r="HK1268"/>
      <c r="HL1268"/>
      <c r="HM1268"/>
      <c r="HN1268"/>
      <c r="HO1268"/>
      <c r="HP1268"/>
      <c r="HQ1268"/>
      <c r="HR1268"/>
      <c r="HS1268"/>
      <c r="HT1268"/>
      <c r="HU1268"/>
      <c r="HV1268"/>
      <c r="HW1268"/>
      <c r="HX1268"/>
      <c r="HY1268"/>
      <c r="HZ1268"/>
      <c r="IA1268"/>
      <c r="IB1268"/>
      <c r="IC1268"/>
      <c r="ID1268"/>
      <c r="IE1268"/>
      <c r="IF1268"/>
      <c r="IG1268"/>
      <c r="IH1268"/>
      <c r="II1268"/>
      <c r="IJ1268"/>
      <c r="IK1268"/>
      <c r="IL1268"/>
      <c r="IM1268"/>
      <c r="IN1268"/>
      <c r="IO1268"/>
      <c r="IP1268"/>
      <c r="IQ1268"/>
      <c r="IR1268"/>
      <c r="IS1268"/>
      <c r="IT1268"/>
      <c r="IU1268"/>
      <c r="IV1268"/>
      <c r="IW1268"/>
      <c r="IX1268"/>
      <c r="IY1268"/>
      <c r="IZ1268"/>
      <c r="JA1268"/>
      <c r="JB1268"/>
      <c r="JC1268"/>
      <c r="JD1268"/>
      <c r="JE1268"/>
      <c r="JF1268"/>
      <c r="JG1268"/>
      <c r="JH1268"/>
      <c r="JI1268"/>
      <c r="JJ1268"/>
      <c r="JK1268"/>
      <c r="JL1268"/>
      <c r="JM1268"/>
      <c r="JN1268"/>
      <c r="JO1268"/>
      <c r="JP1268"/>
      <c r="JQ1268"/>
      <c r="JR1268"/>
      <c r="JS1268"/>
      <c r="JT1268"/>
      <c r="JU1268"/>
      <c r="JV1268"/>
      <c r="JW1268"/>
      <c r="JX1268"/>
      <c r="JY1268"/>
      <c r="JZ1268"/>
      <c r="KA1268"/>
      <c r="KB1268"/>
      <c r="KC1268"/>
      <c r="KD1268"/>
      <c r="KE1268"/>
      <c r="KF1268"/>
      <c r="KG1268"/>
      <c r="KH1268"/>
      <c r="KI1268"/>
      <c r="KJ1268"/>
      <c r="KK1268"/>
      <c r="KL1268"/>
      <c r="KM1268"/>
      <c r="KN1268"/>
      <c r="KO1268"/>
      <c r="KP1268"/>
      <c r="KQ1268"/>
      <c r="KR1268"/>
      <c r="KS1268"/>
      <c r="KT1268"/>
      <c r="KU1268"/>
      <c r="KV1268"/>
      <c r="KW1268"/>
      <c r="KX1268"/>
      <c r="KY1268"/>
      <c r="KZ1268"/>
      <c r="LA1268"/>
      <c r="LB1268"/>
      <c r="LC1268"/>
      <c r="LD1268"/>
      <c r="LE1268"/>
      <c r="LF1268"/>
      <c r="LG1268"/>
      <c r="LH1268"/>
      <c r="LI1268"/>
      <c r="LJ1268"/>
      <c r="LK1268"/>
      <c r="LL1268"/>
      <c r="LM1268"/>
      <c r="LN1268"/>
      <c r="LO1268"/>
      <c r="LP1268"/>
      <c r="LQ1268"/>
      <c r="LR1268"/>
      <c r="LS1268"/>
      <c r="LT1268"/>
      <c r="LU1268"/>
      <c r="LV1268"/>
      <c r="LW1268"/>
      <c r="LX1268"/>
      <c r="LY1268"/>
      <c r="LZ1268"/>
      <c r="MA1268"/>
      <c r="MB1268"/>
      <c r="MC1268"/>
      <c r="MD1268"/>
      <c r="ME1268"/>
      <c r="MF1268"/>
      <c r="MG1268"/>
      <c r="MH1268"/>
      <c r="MI1268"/>
      <c r="MJ1268"/>
      <c r="MK1268"/>
      <c r="ML1268"/>
      <c r="MM1268"/>
      <c r="MN1268"/>
      <c r="MO1268"/>
      <c r="MP1268"/>
      <c r="MQ1268"/>
      <c r="MR1268"/>
      <c r="MS1268"/>
      <c r="MT1268"/>
      <c r="MU1268"/>
      <c r="MV1268"/>
      <c r="MW1268"/>
      <c r="MX1268"/>
      <c r="MY1268"/>
      <c r="MZ1268"/>
      <c r="NA1268"/>
      <c r="NB1268"/>
      <c r="NC1268"/>
      <c r="ND1268"/>
      <c r="NE1268"/>
      <c r="NF1268"/>
      <c r="NG1268"/>
      <c r="NH1268"/>
      <c r="NI1268"/>
      <c r="NJ1268"/>
      <c r="NK1268"/>
      <c r="NL1268"/>
      <c r="NM1268"/>
      <c r="NN1268"/>
      <c r="NO1268"/>
      <c r="NP1268"/>
      <c r="NQ1268"/>
      <c r="NR1268"/>
      <c r="NS1268"/>
      <c r="NT1268"/>
      <c r="NU1268"/>
      <c r="NV1268"/>
      <c r="NW1268"/>
      <c r="NX1268"/>
      <c r="NY1268"/>
      <c r="NZ1268"/>
      <c r="OA1268"/>
      <c r="OB1268"/>
      <c r="OC1268"/>
      <c r="OD1268"/>
      <c r="OE1268"/>
      <c r="OF1268"/>
      <c r="OG1268"/>
      <c r="OH1268"/>
      <c r="OI1268"/>
      <c r="OJ1268"/>
      <c r="OK1268"/>
      <c r="OL1268"/>
      <c r="OM1268"/>
      <c r="ON1268"/>
      <c r="OO1268"/>
      <c r="OP1268"/>
      <c r="OQ1268"/>
      <c r="OR1268"/>
      <c r="OS1268"/>
      <c r="OT1268"/>
      <c r="OU1268"/>
      <c r="OV1268"/>
      <c r="OW1268"/>
      <c r="OX1268"/>
      <c r="OY1268"/>
      <c r="OZ1268"/>
      <c r="PA1268"/>
      <c r="PB1268"/>
      <c r="PC1268"/>
      <c r="PD1268"/>
      <c r="PE1268"/>
      <c r="PF1268"/>
      <c r="PG1268"/>
      <c r="PH1268"/>
      <c r="PI1268"/>
      <c r="PJ1268"/>
      <c r="PK1268"/>
      <c r="PL1268"/>
      <c r="PM1268"/>
      <c r="PN1268"/>
      <c r="PO1268"/>
      <c r="PP1268"/>
      <c r="PQ1268"/>
      <c r="PR1268"/>
      <c r="PS1268"/>
      <c r="PT1268"/>
      <c r="PU1268"/>
      <c r="PV1268"/>
      <c r="PW1268"/>
      <c r="PX1268"/>
      <c r="PY1268"/>
      <c r="PZ1268"/>
      <c r="QA1268"/>
      <c r="QB1268"/>
      <c r="QC1268"/>
      <c r="QD1268"/>
      <c r="QE1268"/>
      <c r="QF1268"/>
      <c r="QG1268"/>
      <c r="QH1268"/>
      <c r="QI1268"/>
      <c r="QJ1268"/>
      <c r="QK1268"/>
      <c r="QL1268"/>
      <c r="QM1268"/>
      <c r="QN1268"/>
      <c r="QO1268"/>
      <c r="QP1268"/>
      <c r="QQ1268"/>
      <c r="QR1268"/>
      <c r="QS1268"/>
      <c r="QT1268"/>
      <c r="QU1268"/>
      <c r="QV1268"/>
      <c r="QW1268"/>
      <c r="QX1268"/>
      <c r="QY1268"/>
      <c r="QZ1268"/>
      <c r="RA1268"/>
      <c r="RB1268"/>
      <c r="RC1268"/>
      <c r="RD1268"/>
      <c r="RE1268"/>
      <c r="RF1268"/>
      <c r="RG1268"/>
      <c r="RH1268"/>
      <c r="RI1268"/>
      <c r="RJ1268"/>
      <c r="RK1268"/>
      <c r="RL1268"/>
      <c r="RM1268"/>
      <c r="RN1268"/>
      <c r="RO1268"/>
      <c r="RP1268"/>
      <c r="RQ1268"/>
      <c r="RR1268"/>
      <c r="RS1268"/>
      <c r="RT1268"/>
      <c r="RU1268"/>
      <c r="RV1268"/>
      <c r="RW1268"/>
      <c r="RX1268"/>
      <c r="RY1268"/>
      <c r="RZ1268"/>
      <c r="SA1268"/>
      <c r="SB1268"/>
      <c r="SC1268"/>
      <c r="SD1268"/>
      <c r="SE1268"/>
      <c r="SF1268"/>
      <c r="SG1268"/>
      <c r="SH1268"/>
      <c r="SI1268"/>
      <c r="SJ1268"/>
      <c r="SK1268"/>
      <c r="SL1268"/>
      <c r="SM1268"/>
      <c r="SN1268"/>
      <c r="SO1268"/>
      <c r="SP1268"/>
      <c r="SQ1268"/>
      <c r="SR1268"/>
      <c r="SS1268"/>
      <c r="ST1268"/>
      <c r="SU1268"/>
      <c r="SV1268"/>
      <c r="SW1268"/>
      <c r="SX1268"/>
      <c r="SY1268"/>
      <c r="SZ1268"/>
      <c r="TA1268"/>
      <c r="TB1268"/>
      <c r="TC1268"/>
      <c r="TD1268"/>
      <c r="TE1268"/>
      <c r="TF1268"/>
      <c r="TG1268"/>
      <c r="TH1268"/>
      <c r="TI1268"/>
      <c r="TJ1268"/>
      <c r="TK1268"/>
      <c r="TL1268"/>
      <c r="TM1268"/>
      <c r="TN1268"/>
      <c r="TO1268"/>
      <c r="TP1268"/>
      <c r="TQ1268"/>
      <c r="TR1268"/>
      <c r="TS1268"/>
      <c r="TT1268"/>
      <c r="TU1268"/>
      <c r="TV1268"/>
      <c r="TW1268"/>
      <c r="TX1268"/>
      <c r="TY1268"/>
      <c r="TZ1268"/>
      <c r="UA1268"/>
      <c r="UB1268"/>
      <c r="UC1268"/>
      <c r="UD1268"/>
      <c r="UE1268"/>
      <c r="UF1268"/>
      <c r="UG1268"/>
      <c r="UH1268"/>
      <c r="UI1268"/>
      <c r="UJ1268"/>
      <c r="UK1268"/>
      <c r="UL1268"/>
      <c r="UM1268"/>
      <c r="UN1268"/>
      <c r="UO1268"/>
      <c r="UP1268"/>
      <c r="UQ1268"/>
      <c r="UR1268"/>
      <c r="US1268"/>
      <c r="UT1268"/>
      <c r="UU1268"/>
      <c r="UV1268"/>
      <c r="UW1268"/>
      <c r="UX1268"/>
      <c r="UY1268"/>
      <c r="UZ1268"/>
      <c r="VA1268"/>
      <c r="VB1268"/>
      <c r="VC1268"/>
      <c r="VD1268"/>
      <c r="VE1268"/>
      <c r="VF1268"/>
      <c r="VG1268"/>
      <c r="VH1268"/>
      <c r="VI1268"/>
      <c r="VJ1268"/>
      <c r="VK1268"/>
      <c r="VL1268"/>
      <c r="VM1268"/>
      <c r="VN1268"/>
      <c r="VO1268"/>
      <c r="VP1268"/>
      <c r="VQ1268"/>
      <c r="VR1268"/>
      <c r="VS1268"/>
      <c r="VT1268"/>
      <c r="VU1268"/>
      <c r="VV1268"/>
      <c r="VW1268"/>
      <c r="VX1268"/>
      <c r="VY1268"/>
      <c r="VZ1268"/>
      <c r="WA1268"/>
      <c r="WB1268"/>
      <c r="WC1268"/>
      <c r="WD1268"/>
      <c r="WE1268"/>
      <c r="WF1268"/>
      <c r="WG1268"/>
      <c r="WH1268"/>
      <c r="WI1268"/>
      <c r="WJ1268"/>
      <c r="WK1268"/>
      <c r="WL1268"/>
      <c r="WM1268"/>
      <c r="WN1268"/>
      <c r="WO1268"/>
      <c r="WP1268"/>
      <c r="WQ1268"/>
      <c r="WR1268"/>
      <c r="WS1268"/>
      <c r="WT1268"/>
      <c r="WU1268"/>
      <c r="WV1268"/>
      <c r="WW1268"/>
      <c r="WX1268"/>
      <c r="WY1268"/>
      <c r="WZ1268"/>
      <c r="XA1268"/>
      <c r="XB1268"/>
      <c r="XC1268"/>
      <c r="XD1268"/>
      <c r="XE1268"/>
      <c r="XF1268"/>
      <c r="XG1268"/>
      <c r="XH1268"/>
      <c r="XI1268"/>
      <c r="XJ1268"/>
      <c r="XK1268"/>
      <c r="XL1268"/>
      <c r="XM1268"/>
      <c r="XN1268"/>
      <c r="XO1268"/>
      <c r="XP1268"/>
      <c r="XQ1268"/>
      <c r="XR1268"/>
      <c r="XS1268"/>
      <c r="XT1268"/>
      <c r="XU1268"/>
      <c r="XV1268"/>
      <c r="XW1268"/>
      <c r="XX1268"/>
      <c r="XY1268"/>
      <c r="XZ1268"/>
      <c r="YA1268"/>
      <c r="YB1268"/>
      <c r="YC1268"/>
      <c r="YD1268"/>
      <c r="YE1268"/>
      <c r="YF1268"/>
      <c r="YG1268"/>
      <c r="YH1268"/>
      <c r="YI1268"/>
      <c r="YJ1268"/>
      <c r="YK1268"/>
      <c r="YL1268"/>
      <c r="YM1268"/>
      <c r="YN1268"/>
      <c r="YO1268"/>
      <c r="YP1268"/>
      <c r="YQ1268"/>
      <c r="YR1268"/>
      <c r="YS1268"/>
      <c r="YT1268"/>
      <c r="YU1268"/>
      <c r="YV1268"/>
      <c r="YW1268"/>
      <c r="YX1268"/>
      <c r="YY1268"/>
      <c r="YZ1268"/>
      <c r="ZA1268"/>
      <c r="ZB1268"/>
      <c r="ZC1268"/>
      <c r="ZD1268"/>
      <c r="ZE1268"/>
      <c r="ZF1268"/>
      <c r="ZG1268"/>
      <c r="ZH1268"/>
      <c r="ZI1268"/>
      <c r="ZJ1268"/>
      <c r="ZK1268"/>
      <c r="ZL1268"/>
      <c r="ZM1268"/>
      <c r="ZN1268"/>
      <c r="ZO1268"/>
      <c r="ZP1268"/>
      <c r="ZQ1268"/>
      <c r="ZR1268"/>
      <c r="ZS1268"/>
      <c r="ZT1268"/>
      <c r="ZU1268"/>
      <c r="ZV1268"/>
      <c r="ZW1268"/>
      <c r="ZX1268"/>
      <c r="ZY1268"/>
      <c r="ZZ1268"/>
      <c r="AAA1268"/>
      <c r="AAB1268"/>
      <c r="AAC1268"/>
      <c r="AAD1268"/>
      <c r="AAE1268"/>
      <c r="AAF1268"/>
      <c r="AAG1268"/>
      <c r="AAH1268"/>
      <c r="AAI1268"/>
      <c r="AAJ1268"/>
      <c r="AAK1268"/>
      <c r="AAL1268"/>
      <c r="AAM1268"/>
      <c r="AAN1268"/>
      <c r="AAO1268"/>
      <c r="AAP1268"/>
      <c r="AAQ1268"/>
      <c r="AAR1268"/>
      <c r="AAS1268"/>
      <c r="AAT1268"/>
      <c r="AAU1268"/>
      <c r="AAV1268"/>
      <c r="AAW1268"/>
      <c r="AAX1268"/>
      <c r="AAY1268"/>
      <c r="AAZ1268"/>
      <c r="ABA1268"/>
      <c r="ABB1268"/>
      <c r="ABC1268"/>
      <c r="ABD1268"/>
      <c r="ABE1268"/>
      <c r="ABF1268"/>
      <c r="ABG1268"/>
      <c r="ABH1268"/>
      <c r="ABI1268"/>
      <c r="ABJ1268"/>
      <c r="ABK1268"/>
      <c r="ABL1268"/>
      <c r="ABM1268"/>
      <c r="ABN1268"/>
      <c r="ABO1268"/>
      <c r="ABP1268"/>
      <c r="ABQ1268"/>
      <c r="ABR1268"/>
      <c r="ABS1268"/>
      <c r="ABT1268"/>
      <c r="ABU1268"/>
      <c r="ABV1268"/>
      <c r="ABW1268"/>
      <c r="ABX1268"/>
      <c r="ABY1268"/>
      <c r="ABZ1268"/>
      <c r="ACA1268"/>
      <c r="ACB1268"/>
      <c r="ACC1268"/>
      <c r="ACD1268"/>
      <c r="ACE1268"/>
      <c r="ACF1268"/>
      <c r="ACG1268"/>
      <c r="ACH1268"/>
      <c r="ACI1268"/>
      <c r="ACJ1268"/>
      <c r="ACK1268"/>
      <c r="ACL1268"/>
      <c r="ACM1268"/>
      <c r="ACN1268"/>
      <c r="ACO1268"/>
      <c r="ACP1268"/>
      <c r="ACQ1268"/>
      <c r="ACR1268"/>
      <c r="ACS1268"/>
      <c r="ACT1268"/>
      <c r="ACU1268"/>
      <c r="ACV1268"/>
      <c r="ACW1268"/>
      <c r="ACX1268"/>
      <c r="ACY1268"/>
      <c r="ACZ1268"/>
      <c r="ADA1268"/>
      <c r="ADB1268"/>
      <c r="ADC1268"/>
      <c r="ADD1268"/>
      <c r="ADE1268"/>
      <c r="ADF1268"/>
      <c r="ADG1268"/>
      <c r="ADH1268"/>
      <c r="ADI1268"/>
      <c r="ADJ1268"/>
      <c r="ADK1268"/>
      <c r="ADL1268"/>
      <c r="ADM1268"/>
      <c r="ADN1268"/>
      <c r="ADO1268"/>
      <c r="ADP1268"/>
      <c r="ADQ1268"/>
      <c r="ADR1268"/>
      <c r="ADS1268"/>
      <c r="ADT1268"/>
      <c r="ADU1268"/>
      <c r="ADV1268"/>
      <c r="ADW1268"/>
      <c r="ADX1268"/>
      <c r="ADY1268"/>
      <c r="ADZ1268"/>
      <c r="AEA1268"/>
      <c r="AEB1268"/>
      <c r="AEC1268"/>
      <c r="AED1268"/>
      <c r="AEE1268"/>
      <c r="AEF1268"/>
      <c r="AEG1268"/>
      <c r="AEH1268"/>
      <c r="AEI1268"/>
      <c r="AEJ1268"/>
      <c r="AEK1268"/>
      <c r="AEL1268"/>
      <c r="AEM1268"/>
      <c r="AEN1268"/>
      <c r="AEO1268"/>
      <c r="AEP1268"/>
      <c r="AEQ1268"/>
      <c r="AER1268"/>
      <c r="AES1268"/>
      <c r="AET1268"/>
      <c r="AEU1268"/>
      <c r="AEV1268"/>
      <c r="AEW1268"/>
      <c r="AEX1268"/>
      <c r="AEY1268"/>
      <c r="AEZ1268"/>
      <c r="AFA1268"/>
      <c r="AFB1268"/>
      <c r="AFC1268"/>
      <c r="AFD1268"/>
      <c r="AFE1268"/>
      <c r="AFF1268"/>
      <c r="AFG1268"/>
      <c r="AFH1268"/>
      <c r="AFI1268"/>
      <c r="AFJ1268"/>
      <c r="AFK1268"/>
      <c r="AFL1268"/>
      <c r="AFM1268"/>
      <c r="AFN1268"/>
      <c r="AFO1268"/>
      <c r="AFP1268"/>
      <c r="AFQ1268"/>
      <c r="AFR1268"/>
      <c r="AFS1268"/>
      <c r="AFT1268"/>
      <c r="AFU1268"/>
      <c r="AFV1268"/>
      <c r="AFW1268"/>
      <c r="AFX1268"/>
      <c r="AFY1268"/>
      <c r="AFZ1268"/>
      <c r="AGA1268"/>
      <c r="AGB1268"/>
      <c r="AGC1268"/>
      <c r="AGD1268"/>
      <c r="AGE1268"/>
      <c r="AGF1268"/>
      <c r="AGG1268"/>
      <c r="AGH1268"/>
      <c r="AGI1268"/>
      <c r="AGJ1268"/>
      <c r="AGK1268"/>
      <c r="AGL1268"/>
      <c r="AGM1268"/>
      <c r="AGN1268"/>
      <c r="AGO1268"/>
      <c r="AGP1268"/>
      <c r="AGQ1268"/>
      <c r="AGR1268"/>
      <c r="AGS1268"/>
      <c r="AGT1268"/>
      <c r="AGU1268"/>
      <c r="AGV1268"/>
      <c r="AGW1268"/>
      <c r="AGX1268"/>
      <c r="AGY1268"/>
      <c r="AGZ1268"/>
      <c r="AHA1268"/>
      <c r="AHB1268"/>
      <c r="AHC1268"/>
      <c r="AHD1268"/>
      <c r="AHE1268"/>
      <c r="AHF1268"/>
      <c r="AHG1268"/>
      <c r="AHH1268"/>
      <c r="AHI1268"/>
      <c r="AHJ1268"/>
      <c r="AHK1268"/>
      <c r="AHL1268"/>
      <c r="AHM1268"/>
      <c r="AHN1268"/>
      <c r="AHO1268"/>
      <c r="AHP1268"/>
      <c r="AHQ1268"/>
      <c r="AHR1268"/>
      <c r="AHS1268"/>
      <c r="AHT1268"/>
      <c r="AHU1268"/>
      <c r="AHV1268"/>
      <c r="AHW1268"/>
      <c r="AHX1268"/>
      <c r="AHY1268"/>
      <c r="AHZ1268"/>
      <c r="AIA1268"/>
      <c r="AIB1268"/>
      <c r="AIC1268"/>
      <c r="AID1268"/>
      <c r="AIE1268"/>
      <c r="AIF1268"/>
      <c r="AIG1268"/>
      <c r="AIH1268"/>
      <c r="AII1268"/>
      <c r="AIJ1268"/>
      <c r="AIK1268"/>
      <c r="AIL1268"/>
      <c r="AIM1268"/>
      <c r="AIN1268"/>
      <c r="AIO1268"/>
      <c r="AIP1268"/>
      <c r="AIQ1268"/>
      <c r="AIR1268"/>
      <c r="AIS1268"/>
      <c r="AIT1268"/>
      <c r="AIU1268"/>
      <c r="AIV1268"/>
      <c r="AIW1268"/>
      <c r="AIX1268"/>
      <c r="AIY1268"/>
      <c r="AIZ1268"/>
      <c r="AJA1268"/>
      <c r="AJB1268"/>
      <c r="AJC1268"/>
      <c r="AJD1268"/>
      <c r="AJE1268"/>
      <c r="AJF1268"/>
      <c r="AJG1268"/>
      <c r="AJH1268"/>
      <c r="AJI1268"/>
      <c r="AJJ1268"/>
      <c r="AJK1268"/>
      <c r="AJL1268"/>
      <c r="AJM1268"/>
      <c r="AJN1268"/>
      <c r="AJO1268"/>
      <c r="AJP1268"/>
      <c r="AJQ1268"/>
      <c r="AJR1268"/>
      <c r="AJS1268"/>
      <c r="AJT1268"/>
      <c r="AJU1268"/>
      <c r="AJV1268"/>
      <c r="AJW1268"/>
      <c r="AJX1268"/>
      <c r="AJY1268"/>
      <c r="AJZ1268"/>
      <c r="AKA1268"/>
      <c r="AKB1268"/>
      <c r="AKC1268"/>
      <c r="AKD1268"/>
      <c r="AKE1268"/>
      <c r="AKF1268"/>
      <c r="AKG1268"/>
      <c r="AKH1268"/>
      <c r="AKI1268"/>
      <c r="AKJ1268"/>
      <c r="AKK1268"/>
      <c r="AKL1268"/>
      <c r="AKM1268"/>
      <c r="AKN1268"/>
      <c r="AKO1268"/>
      <c r="AKP1268"/>
      <c r="AKQ1268"/>
      <c r="AKR1268"/>
      <c r="AKS1268"/>
      <c r="AKT1268"/>
      <c r="AKU1268"/>
      <c r="AKV1268"/>
      <c r="AKW1268"/>
      <c r="AKX1268"/>
      <c r="AKY1268"/>
      <c r="AKZ1268"/>
      <c r="ALA1268"/>
      <c r="ALB1268"/>
      <c r="ALC1268"/>
      <c r="ALD1268"/>
      <c r="ALE1268"/>
      <c r="ALF1268"/>
      <c r="ALG1268"/>
      <c r="ALH1268"/>
      <c r="ALI1268"/>
      <c r="ALJ1268"/>
      <c r="ALK1268"/>
      <c r="ALL1268"/>
      <c r="ALM1268"/>
      <c r="ALN1268"/>
      <c r="ALO1268"/>
      <c r="ALP1268"/>
      <c r="ALQ1268"/>
      <c r="ALR1268"/>
      <c r="ALS1268"/>
      <c r="ALT1268"/>
    </row>
    <row r="1269" spans="1:1008" x14ac:dyDescent="0.15">
      <c r="A1269" t="s">
        <v>4011</v>
      </c>
      <c r="B1269" s="8" t="s">
        <v>4075</v>
      </c>
      <c r="C1269" t="s">
        <v>4011</v>
      </c>
      <c r="D1269" s="8" t="s">
        <v>15</v>
      </c>
      <c r="E1269" t="s">
        <v>4011</v>
      </c>
      <c r="F1269" t="s">
        <v>4012</v>
      </c>
      <c r="G1269">
        <v>500</v>
      </c>
      <c r="H1269"/>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c r="AT1269"/>
      <c r="AU1269"/>
      <c r="AV1269"/>
      <c r="AW1269"/>
      <c r="AX1269"/>
      <c r="AY1269"/>
      <c r="AZ1269"/>
      <c r="BA1269"/>
      <c r="BB1269"/>
      <c r="BC1269"/>
      <c r="BD1269"/>
      <c r="BE1269"/>
      <c r="BF1269"/>
      <c r="BG1269"/>
      <c r="BH1269"/>
      <c r="BI1269"/>
      <c r="BJ1269"/>
      <c r="BK1269"/>
      <c r="BL1269"/>
      <c r="BM1269"/>
      <c r="BN1269"/>
      <c r="BO1269"/>
      <c r="BP1269"/>
      <c r="BQ1269"/>
      <c r="BR1269"/>
      <c r="BS1269"/>
      <c r="BT1269"/>
      <c r="BU1269"/>
      <c r="BV1269"/>
      <c r="BW1269"/>
      <c r="BX1269"/>
      <c r="BY1269"/>
      <c r="BZ1269"/>
      <c r="CA1269"/>
      <c r="CB1269"/>
      <c r="CC1269"/>
      <c r="CD1269"/>
      <c r="CE1269"/>
      <c r="CF1269"/>
      <c r="CG1269"/>
      <c r="CH1269"/>
      <c r="CI1269"/>
      <c r="CJ1269"/>
      <c r="CK1269"/>
      <c r="CL1269"/>
      <c r="CM1269"/>
      <c r="CN1269"/>
      <c r="CO1269"/>
      <c r="CP1269"/>
      <c r="CQ1269"/>
      <c r="CR1269"/>
      <c r="CS1269"/>
      <c r="CT1269"/>
      <c r="CU1269"/>
      <c r="CV1269"/>
      <c r="CW1269"/>
      <c r="CX1269"/>
      <c r="CY1269"/>
      <c r="CZ1269"/>
      <c r="DA1269"/>
      <c r="DB1269"/>
      <c r="DC1269"/>
      <c r="DD1269"/>
      <c r="DE1269"/>
      <c r="DF1269"/>
      <c r="DG1269"/>
      <c r="DH1269"/>
      <c r="DI1269"/>
      <c r="DJ1269"/>
      <c r="DK1269"/>
      <c r="DL1269"/>
      <c r="DM1269"/>
      <c r="DN1269"/>
      <c r="DO1269"/>
      <c r="DP1269"/>
      <c r="DQ1269"/>
      <c r="DR1269"/>
      <c r="DS1269"/>
      <c r="DT1269"/>
      <c r="DU1269"/>
      <c r="DV1269"/>
      <c r="DW1269"/>
      <c r="DX1269"/>
      <c r="DY1269"/>
      <c r="DZ1269"/>
      <c r="EA1269"/>
      <c r="EB1269"/>
      <c r="EC1269"/>
      <c r="ED1269"/>
      <c r="EE1269"/>
      <c r="EF1269"/>
      <c r="EG1269"/>
      <c r="EH1269"/>
      <c r="EI1269"/>
      <c r="EJ1269"/>
      <c r="EK1269"/>
      <c r="EL1269"/>
      <c r="EM1269"/>
      <c r="EN1269"/>
      <c r="EO1269"/>
      <c r="EP1269"/>
      <c r="EQ1269"/>
      <c r="ER1269"/>
      <c r="ES1269"/>
      <c r="ET1269"/>
      <c r="EU1269"/>
      <c r="EV1269"/>
      <c r="EW1269"/>
      <c r="EX1269"/>
      <c r="EY1269"/>
      <c r="EZ1269"/>
      <c r="FA1269"/>
      <c r="FB1269"/>
      <c r="FC1269"/>
      <c r="FD1269"/>
      <c r="FE1269"/>
      <c r="FF1269"/>
      <c r="FG1269"/>
      <c r="FH1269"/>
      <c r="FI1269"/>
      <c r="FJ1269"/>
      <c r="FK1269"/>
      <c r="FL1269"/>
      <c r="FM1269"/>
      <c r="FN1269"/>
      <c r="FO1269"/>
      <c r="FP1269"/>
      <c r="FQ1269"/>
      <c r="FR1269"/>
      <c r="FS1269"/>
      <c r="FT1269"/>
      <c r="FU1269"/>
      <c r="FV1269"/>
      <c r="FW1269"/>
      <c r="FX1269"/>
      <c r="FY1269"/>
      <c r="FZ1269"/>
      <c r="GA1269"/>
      <c r="GB1269"/>
      <c r="GC1269"/>
      <c r="GD1269"/>
      <c r="GE1269"/>
      <c r="GF1269"/>
      <c r="GG1269"/>
      <c r="GH1269"/>
      <c r="GI1269"/>
      <c r="GJ1269"/>
      <c r="GK1269"/>
      <c r="GL1269"/>
      <c r="GM1269"/>
      <c r="GN1269"/>
      <c r="GO1269"/>
      <c r="GP1269"/>
      <c r="GQ1269"/>
      <c r="GR1269"/>
      <c r="GS1269"/>
      <c r="GT1269"/>
      <c r="GU1269"/>
      <c r="GV1269"/>
      <c r="GW1269"/>
      <c r="GX1269"/>
      <c r="GY1269"/>
      <c r="GZ1269"/>
      <c r="HA1269"/>
      <c r="HB1269"/>
      <c r="HC1269"/>
      <c r="HD1269"/>
      <c r="HE1269"/>
      <c r="HF1269"/>
      <c r="HG1269"/>
      <c r="HH1269"/>
      <c r="HI1269"/>
      <c r="HJ1269"/>
      <c r="HK1269"/>
      <c r="HL1269"/>
      <c r="HM1269"/>
      <c r="HN1269"/>
      <c r="HO1269"/>
      <c r="HP1269"/>
      <c r="HQ1269"/>
      <c r="HR1269"/>
      <c r="HS1269"/>
      <c r="HT1269"/>
      <c r="HU1269"/>
      <c r="HV1269"/>
      <c r="HW1269"/>
      <c r="HX1269"/>
      <c r="HY1269"/>
      <c r="HZ1269"/>
      <c r="IA1269"/>
      <c r="IB1269"/>
      <c r="IC1269"/>
      <c r="ID1269"/>
      <c r="IE1269"/>
      <c r="IF1269"/>
      <c r="IG1269"/>
      <c r="IH1269"/>
      <c r="II1269"/>
      <c r="IJ1269"/>
      <c r="IK1269"/>
      <c r="IL1269"/>
      <c r="IM1269"/>
      <c r="IN1269"/>
      <c r="IO1269"/>
      <c r="IP1269"/>
      <c r="IQ1269"/>
      <c r="IR1269"/>
      <c r="IS1269"/>
      <c r="IT1269"/>
      <c r="IU1269"/>
      <c r="IV1269"/>
      <c r="IW1269"/>
      <c r="IX1269"/>
      <c r="IY1269"/>
      <c r="IZ1269"/>
      <c r="JA1269"/>
      <c r="JB1269"/>
      <c r="JC1269"/>
      <c r="JD1269"/>
      <c r="JE1269"/>
      <c r="JF1269"/>
      <c r="JG1269"/>
      <c r="JH1269"/>
      <c r="JI1269"/>
      <c r="JJ1269"/>
      <c r="JK1269"/>
      <c r="JL1269"/>
      <c r="JM1269"/>
      <c r="JN1269"/>
      <c r="JO1269"/>
      <c r="JP1269"/>
      <c r="JQ1269"/>
      <c r="JR1269"/>
      <c r="JS1269"/>
      <c r="JT1269"/>
      <c r="JU1269"/>
      <c r="JV1269"/>
      <c r="JW1269"/>
      <c r="JX1269"/>
      <c r="JY1269"/>
      <c r="JZ1269"/>
      <c r="KA1269"/>
      <c r="KB1269"/>
      <c r="KC1269"/>
      <c r="KD1269"/>
      <c r="KE1269"/>
      <c r="KF1269"/>
      <c r="KG1269"/>
      <c r="KH1269"/>
      <c r="KI1269"/>
      <c r="KJ1269"/>
      <c r="KK1269"/>
      <c r="KL1269"/>
      <c r="KM1269"/>
      <c r="KN1269"/>
      <c r="KO1269"/>
      <c r="KP1269"/>
      <c r="KQ1269"/>
      <c r="KR1269"/>
      <c r="KS1269"/>
      <c r="KT1269"/>
      <c r="KU1269"/>
      <c r="KV1269"/>
      <c r="KW1269"/>
      <c r="KX1269"/>
      <c r="KY1269"/>
      <c r="KZ1269"/>
      <c r="LA1269"/>
      <c r="LB1269"/>
      <c r="LC1269"/>
      <c r="LD1269"/>
      <c r="LE1269"/>
      <c r="LF1269"/>
      <c r="LG1269"/>
      <c r="LH1269"/>
      <c r="LI1269"/>
      <c r="LJ1269"/>
      <c r="LK1269"/>
      <c r="LL1269"/>
      <c r="LM1269"/>
      <c r="LN1269"/>
      <c r="LO1269"/>
      <c r="LP1269"/>
      <c r="LQ1269"/>
      <c r="LR1269"/>
      <c r="LS1269"/>
      <c r="LT1269"/>
      <c r="LU1269"/>
      <c r="LV1269"/>
      <c r="LW1269"/>
      <c r="LX1269"/>
      <c r="LY1269"/>
      <c r="LZ1269"/>
      <c r="MA1269"/>
      <c r="MB1269"/>
      <c r="MC1269"/>
      <c r="MD1269"/>
      <c r="ME1269"/>
      <c r="MF1269"/>
      <c r="MG1269"/>
      <c r="MH1269"/>
      <c r="MI1269"/>
      <c r="MJ1269"/>
      <c r="MK1269"/>
      <c r="ML1269"/>
      <c r="MM1269"/>
      <c r="MN1269"/>
      <c r="MO1269"/>
      <c r="MP1269"/>
      <c r="MQ1269"/>
      <c r="MR1269"/>
      <c r="MS1269"/>
      <c r="MT1269"/>
      <c r="MU1269"/>
      <c r="MV1269"/>
      <c r="MW1269"/>
      <c r="MX1269"/>
      <c r="MY1269"/>
      <c r="MZ1269"/>
      <c r="NA1269"/>
      <c r="NB1269"/>
      <c r="NC1269"/>
      <c r="ND1269"/>
      <c r="NE1269"/>
      <c r="NF1269"/>
      <c r="NG1269"/>
      <c r="NH1269"/>
      <c r="NI1269"/>
      <c r="NJ1269"/>
      <c r="NK1269"/>
      <c r="NL1269"/>
      <c r="NM1269"/>
      <c r="NN1269"/>
      <c r="NO1269"/>
      <c r="NP1269"/>
      <c r="NQ1269"/>
      <c r="NR1269"/>
      <c r="NS1269"/>
      <c r="NT1269"/>
      <c r="NU1269"/>
      <c r="NV1269"/>
      <c r="NW1269"/>
      <c r="NX1269"/>
      <c r="NY1269"/>
      <c r="NZ1269"/>
      <c r="OA1269"/>
      <c r="OB1269"/>
      <c r="OC1269"/>
      <c r="OD1269"/>
      <c r="OE1269"/>
      <c r="OF1269"/>
      <c r="OG1269"/>
      <c r="OH1269"/>
      <c r="OI1269"/>
      <c r="OJ1269"/>
      <c r="OK1269"/>
      <c r="OL1269"/>
      <c r="OM1269"/>
      <c r="ON1269"/>
      <c r="OO1269"/>
      <c r="OP1269"/>
      <c r="OQ1269"/>
      <c r="OR1269"/>
      <c r="OS1269"/>
      <c r="OT1269"/>
      <c r="OU1269"/>
      <c r="OV1269"/>
      <c r="OW1269"/>
      <c r="OX1269"/>
      <c r="OY1269"/>
      <c r="OZ1269"/>
      <c r="PA1269"/>
      <c r="PB1269"/>
      <c r="PC1269"/>
      <c r="PD1269"/>
      <c r="PE1269"/>
      <c r="PF1269"/>
      <c r="PG1269"/>
      <c r="PH1269"/>
      <c r="PI1269"/>
      <c r="PJ1269"/>
      <c r="PK1269"/>
      <c r="PL1269"/>
      <c r="PM1269"/>
      <c r="PN1269"/>
      <c r="PO1269"/>
      <c r="PP1269"/>
      <c r="PQ1269"/>
      <c r="PR1269"/>
      <c r="PS1269"/>
      <c r="PT1269"/>
      <c r="PU1269"/>
      <c r="PV1269"/>
      <c r="PW1269"/>
      <c r="PX1269"/>
      <c r="PY1269"/>
      <c r="PZ1269"/>
      <c r="QA1269"/>
      <c r="QB1269"/>
      <c r="QC1269"/>
      <c r="QD1269"/>
      <c r="QE1269"/>
      <c r="QF1269"/>
      <c r="QG1269"/>
      <c r="QH1269"/>
      <c r="QI1269"/>
      <c r="QJ1269"/>
      <c r="QK1269"/>
      <c r="QL1269"/>
      <c r="QM1269"/>
      <c r="QN1269"/>
      <c r="QO1269"/>
      <c r="QP1269"/>
      <c r="QQ1269"/>
      <c r="QR1269"/>
      <c r="QS1269"/>
      <c r="QT1269"/>
      <c r="QU1269"/>
      <c r="QV1269"/>
      <c r="QW1269"/>
      <c r="QX1269"/>
      <c r="QY1269"/>
      <c r="QZ1269"/>
      <c r="RA1269"/>
      <c r="RB1269"/>
      <c r="RC1269"/>
      <c r="RD1269"/>
      <c r="RE1269"/>
      <c r="RF1269"/>
      <c r="RG1269"/>
      <c r="RH1269"/>
      <c r="RI1269"/>
      <c r="RJ1269"/>
      <c r="RK1269"/>
      <c r="RL1269"/>
      <c r="RM1269"/>
      <c r="RN1269"/>
      <c r="RO1269"/>
      <c r="RP1269"/>
      <c r="RQ1269"/>
      <c r="RR1269"/>
      <c r="RS1269"/>
      <c r="RT1269"/>
      <c r="RU1269"/>
      <c r="RV1269"/>
      <c r="RW1269"/>
      <c r="RX1269"/>
      <c r="RY1269"/>
      <c r="RZ1269"/>
      <c r="SA1269"/>
      <c r="SB1269"/>
      <c r="SC1269"/>
      <c r="SD1269"/>
      <c r="SE1269"/>
      <c r="SF1269"/>
      <c r="SG1269"/>
      <c r="SH1269"/>
      <c r="SI1269"/>
      <c r="SJ1269"/>
      <c r="SK1269"/>
      <c r="SL1269"/>
      <c r="SM1269"/>
      <c r="SN1269"/>
      <c r="SO1269"/>
      <c r="SP1269"/>
      <c r="SQ1269"/>
      <c r="SR1269"/>
      <c r="SS1269"/>
      <c r="ST1269"/>
      <c r="SU1269"/>
      <c r="SV1269"/>
      <c r="SW1269"/>
      <c r="SX1269"/>
      <c r="SY1269"/>
      <c r="SZ1269"/>
      <c r="TA1269"/>
      <c r="TB1269"/>
      <c r="TC1269"/>
      <c r="TD1269"/>
      <c r="TE1269"/>
      <c r="TF1269"/>
      <c r="TG1269"/>
      <c r="TH1269"/>
      <c r="TI1269"/>
      <c r="TJ1269"/>
      <c r="TK1269"/>
      <c r="TL1269"/>
      <c r="TM1269"/>
      <c r="TN1269"/>
      <c r="TO1269"/>
      <c r="TP1269"/>
      <c r="TQ1269"/>
      <c r="TR1269"/>
      <c r="TS1269"/>
      <c r="TT1269"/>
      <c r="TU1269"/>
      <c r="TV1269"/>
      <c r="TW1269"/>
      <c r="TX1269"/>
      <c r="TY1269"/>
      <c r="TZ1269"/>
      <c r="UA1269"/>
      <c r="UB1269"/>
      <c r="UC1269"/>
      <c r="UD1269"/>
      <c r="UE1269"/>
      <c r="UF1269"/>
      <c r="UG1269"/>
      <c r="UH1269"/>
      <c r="UI1269"/>
      <c r="UJ1269"/>
      <c r="UK1269"/>
      <c r="UL1269"/>
      <c r="UM1269"/>
      <c r="UN1269"/>
      <c r="UO1269"/>
      <c r="UP1269"/>
      <c r="UQ1269"/>
      <c r="UR1269"/>
      <c r="US1269"/>
      <c r="UT1269"/>
      <c r="UU1269"/>
      <c r="UV1269"/>
      <c r="UW1269"/>
      <c r="UX1269"/>
      <c r="UY1269"/>
      <c r="UZ1269"/>
      <c r="VA1269"/>
      <c r="VB1269"/>
      <c r="VC1269"/>
      <c r="VD1269"/>
      <c r="VE1269"/>
      <c r="VF1269"/>
      <c r="VG1269"/>
      <c r="VH1269"/>
      <c r="VI1269"/>
      <c r="VJ1269"/>
      <c r="VK1269"/>
      <c r="VL1269"/>
      <c r="VM1269"/>
      <c r="VN1269"/>
      <c r="VO1269"/>
      <c r="VP1269"/>
      <c r="VQ1269"/>
      <c r="VR1269"/>
      <c r="VS1269"/>
      <c r="VT1269"/>
      <c r="VU1269"/>
      <c r="VV1269"/>
      <c r="VW1269"/>
      <c r="VX1269"/>
      <c r="VY1269"/>
      <c r="VZ1269"/>
      <c r="WA1269"/>
      <c r="WB1269"/>
      <c r="WC1269"/>
      <c r="WD1269"/>
      <c r="WE1269"/>
      <c r="WF1269"/>
      <c r="WG1269"/>
      <c r="WH1269"/>
      <c r="WI1269"/>
      <c r="WJ1269"/>
      <c r="WK1269"/>
      <c r="WL1269"/>
      <c r="WM1269"/>
      <c r="WN1269"/>
      <c r="WO1269"/>
      <c r="WP1269"/>
      <c r="WQ1269"/>
      <c r="WR1269"/>
      <c r="WS1269"/>
      <c r="WT1269"/>
      <c r="WU1269"/>
      <c r="WV1269"/>
      <c r="WW1269"/>
      <c r="WX1269"/>
      <c r="WY1269"/>
      <c r="WZ1269"/>
      <c r="XA1269"/>
      <c r="XB1269"/>
      <c r="XC1269"/>
      <c r="XD1269"/>
      <c r="XE1269"/>
      <c r="XF1269"/>
      <c r="XG1269"/>
      <c r="XH1269"/>
      <c r="XI1269"/>
      <c r="XJ1269"/>
      <c r="XK1269"/>
      <c r="XL1269"/>
      <c r="XM1269"/>
      <c r="XN1269"/>
      <c r="XO1269"/>
      <c r="XP1269"/>
      <c r="XQ1269"/>
      <c r="XR1269"/>
      <c r="XS1269"/>
      <c r="XT1269"/>
      <c r="XU1269"/>
      <c r="XV1269"/>
      <c r="XW1269"/>
      <c r="XX1269"/>
      <c r="XY1269"/>
      <c r="XZ1269"/>
      <c r="YA1269"/>
      <c r="YB1269"/>
      <c r="YC1269"/>
      <c r="YD1269"/>
      <c r="YE1269"/>
      <c r="YF1269"/>
      <c r="YG1269"/>
      <c r="YH1269"/>
      <c r="YI1269"/>
      <c r="YJ1269"/>
      <c r="YK1269"/>
      <c r="YL1269"/>
      <c r="YM1269"/>
      <c r="YN1269"/>
      <c r="YO1269"/>
      <c r="YP1269"/>
      <c r="YQ1269"/>
      <c r="YR1269"/>
      <c r="YS1269"/>
      <c r="YT1269"/>
      <c r="YU1269"/>
      <c r="YV1269"/>
      <c r="YW1269"/>
      <c r="YX1269"/>
      <c r="YY1269"/>
      <c r="YZ1269"/>
      <c r="ZA1269"/>
      <c r="ZB1269"/>
      <c r="ZC1269"/>
      <c r="ZD1269"/>
      <c r="ZE1269"/>
      <c r="ZF1269"/>
      <c r="ZG1269"/>
      <c r="ZH1269"/>
      <c r="ZI1269"/>
      <c r="ZJ1269"/>
      <c r="ZK1269"/>
      <c r="ZL1269"/>
      <c r="ZM1269"/>
      <c r="ZN1269"/>
      <c r="ZO1269"/>
      <c r="ZP1269"/>
      <c r="ZQ1269"/>
      <c r="ZR1269"/>
      <c r="ZS1269"/>
      <c r="ZT1269"/>
      <c r="ZU1269"/>
      <c r="ZV1269"/>
      <c r="ZW1269"/>
      <c r="ZX1269"/>
      <c r="ZY1269"/>
      <c r="ZZ1269"/>
      <c r="AAA1269"/>
      <c r="AAB1269"/>
      <c r="AAC1269"/>
      <c r="AAD1269"/>
      <c r="AAE1269"/>
      <c r="AAF1269"/>
      <c r="AAG1269"/>
      <c r="AAH1269"/>
      <c r="AAI1269"/>
      <c r="AAJ1269"/>
      <c r="AAK1269"/>
      <c r="AAL1269"/>
      <c r="AAM1269"/>
      <c r="AAN1269"/>
      <c r="AAO1269"/>
      <c r="AAP1269"/>
      <c r="AAQ1269"/>
      <c r="AAR1269"/>
      <c r="AAS1269"/>
      <c r="AAT1269"/>
      <c r="AAU1269"/>
      <c r="AAV1269"/>
      <c r="AAW1269"/>
      <c r="AAX1269"/>
      <c r="AAY1269"/>
      <c r="AAZ1269"/>
      <c r="ABA1269"/>
      <c r="ABB1269"/>
      <c r="ABC1269"/>
      <c r="ABD1269"/>
      <c r="ABE1269"/>
      <c r="ABF1269"/>
      <c r="ABG1269"/>
      <c r="ABH1269"/>
      <c r="ABI1269"/>
      <c r="ABJ1269"/>
      <c r="ABK1269"/>
      <c r="ABL1269"/>
      <c r="ABM1269"/>
      <c r="ABN1269"/>
      <c r="ABO1269"/>
      <c r="ABP1269"/>
      <c r="ABQ1269"/>
      <c r="ABR1269"/>
      <c r="ABS1269"/>
      <c r="ABT1269"/>
      <c r="ABU1269"/>
      <c r="ABV1269"/>
      <c r="ABW1269"/>
      <c r="ABX1269"/>
      <c r="ABY1269"/>
      <c r="ABZ1269"/>
      <c r="ACA1269"/>
      <c r="ACB1269"/>
      <c r="ACC1269"/>
      <c r="ACD1269"/>
      <c r="ACE1269"/>
      <c r="ACF1269"/>
      <c r="ACG1269"/>
      <c r="ACH1269"/>
      <c r="ACI1269"/>
      <c r="ACJ1269"/>
      <c r="ACK1269"/>
      <c r="ACL1269"/>
      <c r="ACM1269"/>
      <c r="ACN1269"/>
      <c r="ACO1269"/>
      <c r="ACP1269"/>
      <c r="ACQ1269"/>
      <c r="ACR1269"/>
      <c r="ACS1269"/>
      <c r="ACT1269"/>
      <c r="ACU1269"/>
      <c r="ACV1269"/>
      <c r="ACW1269"/>
      <c r="ACX1269"/>
      <c r="ACY1269"/>
      <c r="ACZ1269"/>
      <c r="ADA1269"/>
      <c r="ADB1269"/>
      <c r="ADC1269"/>
      <c r="ADD1269"/>
      <c r="ADE1269"/>
      <c r="ADF1269"/>
      <c r="ADG1269"/>
      <c r="ADH1269"/>
      <c r="ADI1269"/>
      <c r="ADJ1269"/>
      <c r="ADK1269"/>
      <c r="ADL1269"/>
      <c r="ADM1269"/>
      <c r="ADN1269"/>
      <c r="ADO1269"/>
      <c r="ADP1269"/>
      <c r="ADQ1269"/>
      <c r="ADR1269"/>
      <c r="ADS1269"/>
      <c r="ADT1269"/>
      <c r="ADU1269"/>
      <c r="ADV1269"/>
      <c r="ADW1269"/>
      <c r="ADX1269"/>
      <c r="ADY1269"/>
      <c r="ADZ1269"/>
      <c r="AEA1269"/>
      <c r="AEB1269"/>
      <c r="AEC1269"/>
      <c r="AED1269"/>
      <c r="AEE1269"/>
      <c r="AEF1269"/>
      <c r="AEG1269"/>
      <c r="AEH1269"/>
      <c r="AEI1269"/>
      <c r="AEJ1269"/>
      <c r="AEK1269"/>
      <c r="AEL1269"/>
      <c r="AEM1269"/>
      <c r="AEN1269"/>
      <c r="AEO1269"/>
      <c r="AEP1269"/>
      <c r="AEQ1269"/>
      <c r="AER1269"/>
      <c r="AES1269"/>
      <c r="AET1269"/>
      <c r="AEU1269"/>
      <c r="AEV1269"/>
      <c r="AEW1269"/>
      <c r="AEX1269"/>
      <c r="AEY1269"/>
      <c r="AEZ1269"/>
      <c r="AFA1269"/>
      <c r="AFB1269"/>
      <c r="AFC1269"/>
      <c r="AFD1269"/>
      <c r="AFE1269"/>
      <c r="AFF1269"/>
      <c r="AFG1269"/>
      <c r="AFH1269"/>
      <c r="AFI1269"/>
      <c r="AFJ1269"/>
      <c r="AFK1269"/>
      <c r="AFL1269"/>
      <c r="AFM1269"/>
      <c r="AFN1269"/>
      <c r="AFO1269"/>
      <c r="AFP1269"/>
      <c r="AFQ1269"/>
      <c r="AFR1269"/>
      <c r="AFS1269"/>
      <c r="AFT1269"/>
      <c r="AFU1269"/>
      <c r="AFV1269"/>
      <c r="AFW1269"/>
      <c r="AFX1269"/>
      <c r="AFY1269"/>
      <c r="AFZ1269"/>
      <c r="AGA1269"/>
      <c r="AGB1269"/>
      <c r="AGC1269"/>
      <c r="AGD1269"/>
      <c r="AGE1269"/>
      <c r="AGF1269"/>
      <c r="AGG1269"/>
      <c r="AGH1269"/>
      <c r="AGI1269"/>
      <c r="AGJ1269"/>
      <c r="AGK1269"/>
      <c r="AGL1269"/>
      <c r="AGM1269"/>
      <c r="AGN1269"/>
      <c r="AGO1269"/>
      <c r="AGP1269"/>
      <c r="AGQ1269"/>
      <c r="AGR1269"/>
      <c r="AGS1269"/>
      <c r="AGT1269"/>
      <c r="AGU1269"/>
      <c r="AGV1269"/>
      <c r="AGW1269"/>
      <c r="AGX1269"/>
      <c r="AGY1269"/>
      <c r="AGZ1269"/>
      <c r="AHA1269"/>
      <c r="AHB1269"/>
      <c r="AHC1269"/>
      <c r="AHD1269"/>
      <c r="AHE1269"/>
      <c r="AHF1269"/>
      <c r="AHG1269"/>
      <c r="AHH1269"/>
      <c r="AHI1269"/>
      <c r="AHJ1269"/>
      <c r="AHK1269"/>
      <c r="AHL1269"/>
      <c r="AHM1269"/>
      <c r="AHN1269"/>
      <c r="AHO1269"/>
      <c r="AHP1269"/>
      <c r="AHQ1269"/>
      <c r="AHR1269"/>
      <c r="AHS1269"/>
      <c r="AHT1269"/>
      <c r="AHU1269"/>
      <c r="AHV1269"/>
      <c r="AHW1269"/>
      <c r="AHX1269"/>
      <c r="AHY1269"/>
      <c r="AHZ1269"/>
      <c r="AIA1269"/>
      <c r="AIB1269"/>
      <c r="AIC1269"/>
      <c r="AID1269"/>
      <c r="AIE1269"/>
      <c r="AIF1269"/>
      <c r="AIG1269"/>
      <c r="AIH1269"/>
      <c r="AII1269"/>
      <c r="AIJ1269"/>
      <c r="AIK1269"/>
      <c r="AIL1269"/>
      <c r="AIM1269"/>
      <c r="AIN1269"/>
      <c r="AIO1269"/>
      <c r="AIP1269"/>
      <c r="AIQ1269"/>
      <c r="AIR1269"/>
      <c r="AIS1269"/>
      <c r="AIT1269"/>
      <c r="AIU1269"/>
      <c r="AIV1269"/>
      <c r="AIW1269"/>
      <c r="AIX1269"/>
      <c r="AIY1269"/>
      <c r="AIZ1269"/>
      <c r="AJA1269"/>
      <c r="AJB1269"/>
      <c r="AJC1269"/>
      <c r="AJD1269"/>
      <c r="AJE1269"/>
      <c r="AJF1269"/>
      <c r="AJG1269"/>
      <c r="AJH1269"/>
      <c r="AJI1269"/>
      <c r="AJJ1269"/>
      <c r="AJK1269"/>
      <c r="AJL1269"/>
      <c r="AJM1269"/>
      <c r="AJN1269"/>
      <c r="AJO1269"/>
      <c r="AJP1269"/>
      <c r="AJQ1269"/>
      <c r="AJR1269"/>
      <c r="AJS1269"/>
      <c r="AJT1269"/>
      <c r="AJU1269"/>
      <c r="AJV1269"/>
      <c r="AJW1269"/>
      <c r="AJX1269"/>
      <c r="AJY1269"/>
      <c r="AJZ1269"/>
      <c r="AKA1269"/>
      <c r="AKB1269"/>
      <c r="AKC1269"/>
      <c r="AKD1269"/>
      <c r="AKE1269"/>
      <c r="AKF1269"/>
      <c r="AKG1269"/>
      <c r="AKH1269"/>
      <c r="AKI1269"/>
      <c r="AKJ1269"/>
      <c r="AKK1269"/>
      <c r="AKL1269"/>
      <c r="AKM1269"/>
      <c r="AKN1269"/>
      <c r="AKO1269"/>
      <c r="AKP1269"/>
      <c r="AKQ1269"/>
      <c r="AKR1269"/>
      <c r="AKS1269"/>
      <c r="AKT1269"/>
      <c r="AKU1269"/>
      <c r="AKV1269"/>
      <c r="AKW1269"/>
      <c r="AKX1269"/>
      <c r="AKY1269"/>
      <c r="AKZ1269"/>
      <c r="ALA1269"/>
      <c r="ALB1269"/>
      <c r="ALC1269"/>
      <c r="ALD1269"/>
      <c r="ALE1269"/>
      <c r="ALF1269"/>
      <c r="ALG1269"/>
      <c r="ALH1269"/>
      <c r="ALI1269"/>
      <c r="ALJ1269"/>
      <c r="ALK1269"/>
      <c r="ALL1269"/>
      <c r="ALM1269"/>
      <c r="ALN1269"/>
      <c r="ALO1269"/>
      <c r="ALP1269"/>
      <c r="ALQ1269"/>
      <c r="ALR1269"/>
      <c r="ALS1269"/>
      <c r="ALT1269"/>
    </row>
    <row r="1270" spans="1:1008" s="34" customFormat="1" x14ac:dyDescent="0.15">
      <c r="A1270" s="34" t="s">
        <v>4014</v>
      </c>
      <c r="B1270" s="35" t="s">
        <v>4076</v>
      </c>
      <c r="C1270" s="34" t="s">
        <v>4014</v>
      </c>
      <c r="D1270" s="35" t="s">
        <v>15</v>
      </c>
      <c r="E1270" s="34" t="s">
        <v>4014</v>
      </c>
      <c r="F1270" s="34" t="s">
        <v>4015</v>
      </c>
      <c r="G1270" s="34">
        <v>550</v>
      </c>
    </row>
    <row r="1271" spans="1:1008" x14ac:dyDescent="0.15">
      <c r="A1271" t="s">
        <v>4103</v>
      </c>
      <c r="B1271" s="8" t="s">
        <v>4076</v>
      </c>
      <c r="C1271" t="s">
        <v>4103</v>
      </c>
      <c r="D1271" s="8" t="s">
        <v>15</v>
      </c>
      <c r="E1271" t="s">
        <v>4103</v>
      </c>
      <c r="F1271" t="s">
        <v>4104</v>
      </c>
      <c r="G1271">
        <v>550</v>
      </c>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x14ac:dyDescent="0.15">
      <c r="A1272" t="s">
        <v>4105</v>
      </c>
      <c r="B1272" s="8" t="s">
        <v>4076</v>
      </c>
      <c r="C1272" t="s">
        <v>4105</v>
      </c>
      <c r="D1272" s="8" t="s">
        <v>15</v>
      </c>
      <c r="E1272" t="s">
        <v>4105</v>
      </c>
      <c r="F1272" s="8" t="s">
        <v>4106</v>
      </c>
      <c r="G1272">
        <v>550</v>
      </c>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x14ac:dyDescent="0.15">
      <c r="A1273" t="s">
        <v>4107</v>
      </c>
      <c r="B1273" s="8" t="s">
        <v>4076</v>
      </c>
      <c r="C1273" t="s">
        <v>4107</v>
      </c>
      <c r="D1273" s="8" t="s">
        <v>15</v>
      </c>
      <c r="E1273" t="s">
        <v>4107</v>
      </c>
      <c r="F1273" s="8" t="s">
        <v>4108</v>
      </c>
      <c r="G1273">
        <v>500</v>
      </c>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x14ac:dyDescent="0.15">
      <c r="A1274" t="s">
        <v>4109</v>
      </c>
      <c r="B1274" s="8" t="s">
        <v>4076</v>
      </c>
      <c r="C1274" t="s">
        <v>4109</v>
      </c>
      <c r="D1274" s="8" t="s">
        <v>15</v>
      </c>
      <c r="E1274" t="s">
        <v>4109</v>
      </c>
      <c r="F1274" s="8" t="s">
        <v>4110</v>
      </c>
      <c r="G1274">
        <v>500</v>
      </c>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x14ac:dyDescent="0.15">
      <c r="A1275" t="s">
        <v>4016</v>
      </c>
      <c r="B1275" s="8" t="s">
        <v>4077</v>
      </c>
      <c r="C1275" t="s">
        <v>4016</v>
      </c>
      <c r="D1275" s="8" t="s">
        <v>15</v>
      </c>
      <c r="E1275" t="s">
        <v>4016</v>
      </c>
      <c r="F1275" t="s">
        <v>4017</v>
      </c>
      <c r="G1275">
        <v>500</v>
      </c>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x14ac:dyDescent="0.15">
      <c r="A1276" t="s">
        <v>4018</v>
      </c>
      <c r="B1276" s="8" t="s">
        <v>4077</v>
      </c>
      <c r="C1276" t="s">
        <v>4018</v>
      </c>
      <c r="D1276" s="8" t="s">
        <v>15</v>
      </c>
      <c r="E1276" t="s">
        <v>4018</v>
      </c>
      <c r="F1276" t="s">
        <v>4019</v>
      </c>
      <c r="G1276">
        <v>500</v>
      </c>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x14ac:dyDescent="0.15">
      <c r="A1277" t="s">
        <v>4020</v>
      </c>
      <c r="B1277" s="8" t="s">
        <v>4077</v>
      </c>
      <c r="C1277" t="s">
        <v>4020</v>
      </c>
      <c r="D1277" s="8" t="s">
        <v>15</v>
      </c>
      <c r="E1277" t="s">
        <v>4020</v>
      </c>
      <c r="F1277" t="s">
        <v>4021</v>
      </c>
      <c r="G1277">
        <v>550</v>
      </c>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x14ac:dyDescent="0.15">
      <c r="A1278" t="s">
        <v>4022</v>
      </c>
      <c r="B1278" s="8" t="s">
        <v>4077</v>
      </c>
      <c r="C1278" t="s">
        <v>4022</v>
      </c>
      <c r="D1278" s="8" t="s">
        <v>15</v>
      </c>
      <c r="E1278" t="s">
        <v>4022</v>
      </c>
      <c r="F1278" t="s">
        <v>4023</v>
      </c>
      <c r="G1278">
        <v>500</v>
      </c>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x14ac:dyDescent="0.15">
      <c r="A1279" t="s">
        <v>4024</v>
      </c>
      <c r="B1279" s="8" t="s">
        <v>4078</v>
      </c>
      <c r="C1279" t="s">
        <v>4155</v>
      </c>
      <c r="D1279" s="8" t="s">
        <v>15</v>
      </c>
      <c r="E1279" t="s">
        <v>4155</v>
      </c>
      <c r="F1279" t="s">
        <v>4025</v>
      </c>
      <c r="G1279">
        <v>500</v>
      </c>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x14ac:dyDescent="0.15">
      <c r="A1280" t="s">
        <v>4087</v>
      </c>
      <c r="B1280" s="8" t="s">
        <v>4078</v>
      </c>
      <c r="C1280" t="s">
        <v>4087</v>
      </c>
      <c r="D1280" s="8" t="s">
        <v>15</v>
      </c>
      <c r="E1280" t="s">
        <v>4088</v>
      </c>
      <c r="F1280" s="8" t="s">
        <v>4089</v>
      </c>
      <c r="G1280"/>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x14ac:dyDescent="0.15">
      <c r="A1281" t="s">
        <v>4026</v>
      </c>
      <c r="B1281" s="8" t="s">
        <v>3977</v>
      </c>
      <c r="C1281" t="s">
        <v>4026</v>
      </c>
      <c r="D1281" s="8" t="s">
        <v>15</v>
      </c>
      <c r="E1281" t="s">
        <v>4026</v>
      </c>
      <c r="F1281" t="s">
        <v>4027</v>
      </c>
      <c r="G1281">
        <v>500</v>
      </c>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x14ac:dyDescent="0.15">
      <c r="A1282" t="s">
        <v>4137</v>
      </c>
      <c r="B1282" s="8" t="s">
        <v>3977</v>
      </c>
      <c r="C1282" t="s">
        <v>4028</v>
      </c>
      <c r="D1282" s="8" t="s">
        <v>15</v>
      </c>
      <c r="E1282" t="s">
        <v>4028</v>
      </c>
      <c r="F1282" t="s">
        <v>4029</v>
      </c>
      <c r="G1282">
        <v>700</v>
      </c>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x14ac:dyDescent="0.15">
      <c r="A1283" t="s">
        <v>4031</v>
      </c>
      <c r="B1283" s="8" t="s">
        <v>3975</v>
      </c>
      <c r="C1283" t="s">
        <v>4031</v>
      </c>
      <c r="D1283" s="8" t="s">
        <v>15</v>
      </c>
      <c r="E1283" t="s">
        <v>4031</v>
      </c>
      <c r="F1283" t="s">
        <v>4032</v>
      </c>
      <c r="G1283">
        <v>500</v>
      </c>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x14ac:dyDescent="0.15">
      <c r="A1284" t="s">
        <v>4033</v>
      </c>
      <c r="B1284" s="8" t="s">
        <v>3975</v>
      </c>
      <c r="C1284" t="s">
        <v>4033</v>
      </c>
      <c r="D1284" s="8" t="s">
        <v>15</v>
      </c>
      <c r="E1284" t="s">
        <v>4033</v>
      </c>
      <c r="F1284" t="s">
        <v>4034</v>
      </c>
      <c r="G1284">
        <v>550</v>
      </c>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x14ac:dyDescent="0.15">
      <c r="A1285" t="s">
        <v>4035</v>
      </c>
      <c r="B1285" s="8" t="s">
        <v>3980</v>
      </c>
      <c r="C1285" t="s">
        <v>4035</v>
      </c>
      <c r="D1285" s="8" t="s">
        <v>15</v>
      </c>
      <c r="E1285" t="s">
        <v>4035</v>
      </c>
      <c r="F1285" t="s">
        <v>4036</v>
      </c>
      <c r="G1285">
        <v>500</v>
      </c>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x14ac:dyDescent="0.15">
      <c r="A1286" t="s">
        <v>4037</v>
      </c>
      <c r="B1286" s="8" t="s">
        <v>3980</v>
      </c>
      <c r="C1286" t="s">
        <v>4037</v>
      </c>
      <c r="D1286" s="8" t="s">
        <v>15</v>
      </c>
      <c r="E1286" t="s">
        <v>4037</v>
      </c>
      <c r="F1286" t="s">
        <v>4038</v>
      </c>
      <c r="G1286">
        <v>700</v>
      </c>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x14ac:dyDescent="0.15">
      <c r="A1287" t="s">
        <v>4039</v>
      </c>
      <c r="B1287" s="8" t="s">
        <v>3980</v>
      </c>
      <c r="C1287" t="s">
        <v>4039</v>
      </c>
      <c r="D1287" s="8" t="s">
        <v>15</v>
      </c>
      <c r="E1287" t="s">
        <v>4039</v>
      </c>
      <c r="F1287" t="s">
        <v>4040</v>
      </c>
      <c r="G1287">
        <v>800</v>
      </c>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x14ac:dyDescent="0.15">
      <c r="A1288" t="s">
        <v>4041</v>
      </c>
      <c r="B1288" s="8" t="s">
        <v>3980</v>
      </c>
      <c r="C1288" t="s">
        <v>4041</v>
      </c>
      <c r="D1288" s="8" t="s">
        <v>15</v>
      </c>
      <c r="E1288" t="s">
        <v>4041</v>
      </c>
      <c r="F1288" t="s">
        <v>4042</v>
      </c>
      <c r="G1288">
        <v>500</v>
      </c>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x14ac:dyDescent="0.15">
      <c r="A1289" t="s">
        <v>2250</v>
      </c>
      <c r="B1289" s="8" t="s">
        <v>3980</v>
      </c>
      <c r="C1289" t="s">
        <v>2250</v>
      </c>
      <c r="D1289" s="8" t="s">
        <v>15</v>
      </c>
      <c r="E1289" t="s">
        <v>2250</v>
      </c>
      <c r="F1289" t="s">
        <v>4043</v>
      </c>
      <c r="G1289">
        <v>500</v>
      </c>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x14ac:dyDescent="0.15">
      <c r="A1290" t="s">
        <v>4071</v>
      </c>
      <c r="B1290" s="8" t="s">
        <v>3980</v>
      </c>
      <c r="C1290" t="s">
        <v>4071</v>
      </c>
      <c r="D1290" s="8" t="s">
        <v>15</v>
      </c>
      <c r="E1290" t="s">
        <v>4071</v>
      </c>
      <c r="F1290" t="s">
        <v>4072</v>
      </c>
      <c r="G1290">
        <v>500</v>
      </c>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x14ac:dyDescent="0.15">
      <c r="A1291" t="s">
        <v>4045</v>
      </c>
      <c r="B1291" s="8" t="s">
        <v>4079</v>
      </c>
      <c r="C1291" t="s">
        <v>4045</v>
      </c>
      <c r="D1291" s="8" t="s">
        <v>15</v>
      </c>
      <c r="E1291" t="s">
        <v>4045</v>
      </c>
      <c r="F1291" t="s">
        <v>4046</v>
      </c>
      <c r="G1291">
        <v>500</v>
      </c>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x14ac:dyDescent="0.15">
      <c r="A1292" t="s">
        <v>4047</v>
      </c>
      <c r="B1292" s="8" t="s">
        <v>4079</v>
      </c>
      <c r="C1292" t="s">
        <v>4047</v>
      </c>
      <c r="D1292" s="8" t="s">
        <v>15</v>
      </c>
      <c r="E1292" t="s">
        <v>4047</v>
      </c>
      <c r="F1292" t="s">
        <v>4048</v>
      </c>
      <c r="G1292">
        <v>600</v>
      </c>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x14ac:dyDescent="0.15">
      <c r="A1293" t="s">
        <v>4049</v>
      </c>
      <c r="B1293" s="8" t="s">
        <v>4079</v>
      </c>
      <c r="C1293" t="s">
        <v>4049</v>
      </c>
      <c r="D1293" s="8" t="s">
        <v>15</v>
      </c>
      <c r="E1293" t="s">
        <v>4049</v>
      </c>
      <c r="F1293" t="s">
        <v>4050</v>
      </c>
      <c r="G1293">
        <v>550</v>
      </c>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x14ac:dyDescent="0.15">
      <c r="A1294" t="s">
        <v>4051</v>
      </c>
      <c r="B1294" s="8" t="s">
        <v>4080</v>
      </c>
      <c r="C1294" t="s">
        <v>4051</v>
      </c>
      <c r="D1294" s="8" t="s">
        <v>15</v>
      </c>
      <c r="E1294" t="s">
        <v>4051</v>
      </c>
      <c r="F1294" t="s">
        <v>4052</v>
      </c>
      <c r="G1294">
        <v>550</v>
      </c>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x14ac:dyDescent="0.15">
      <c r="A1295" t="s">
        <v>4053</v>
      </c>
      <c r="B1295" s="8" t="s">
        <v>4080</v>
      </c>
      <c r="C1295" t="s">
        <v>4053</v>
      </c>
      <c r="D1295" s="8" t="s">
        <v>15</v>
      </c>
      <c r="E1295" t="s">
        <v>4053</v>
      </c>
      <c r="F1295" t="s">
        <v>4054</v>
      </c>
      <c r="G1295">
        <v>500</v>
      </c>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x14ac:dyDescent="0.15">
      <c r="A1296" t="s">
        <v>4145</v>
      </c>
      <c r="B1296" s="8" t="s">
        <v>4080</v>
      </c>
      <c r="C1296" t="s">
        <v>4145</v>
      </c>
      <c r="D1296" s="8" t="s">
        <v>15</v>
      </c>
      <c r="E1296" t="s">
        <v>4055</v>
      </c>
      <c r="F1296" t="s">
        <v>4056</v>
      </c>
      <c r="G1296">
        <v>520</v>
      </c>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x14ac:dyDescent="0.15">
      <c r="A1297" t="s">
        <v>4146</v>
      </c>
      <c r="B1297" s="8" t="s">
        <v>4080</v>
      </c>
      <c r="C1297" t="s">
        <v>4146</v>
      </c>
      <c r="D1297" s="8" t="s">
        <v>15</v>
      </c>
      <c r="E1297" t="s">
        <v>4057</v>
      </c>
      <c r="F1297" t="s">
        <v>4058</v>
      </c>
      <c r="G1297">
        <v>500</v>
      </c>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x14ac:dyDescent="0.15">
      <c r="A1298" t="s">
        <v>4132</v>
      </c>
      <c r="B1298" s="8" t="s">
        <v>1170</v>
      </c>
      <c r="C1298" t="s">
        <v>4132</v>
      </c>
      <c r="D1298" s="8" t="s">
        <v>15</v>
      </c>
      <c r="E1298" t="s">
        <v>3991</v>
      </c>
      <c r="F1298" t="s">
        <v>3992</v>
      </c>
      <c r="G1298">
        <v>600</v>
      </c>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x14ac:dyDescent="0.15">
      <c r="A1299" t="s">
        <v>4138</v>
      </c>
      <c r="B1299" s="8" t="s">
        <v>1170</v>
      </c>
      <c r="C1299" t="s">
        <v>4138</v>
      </c>
      <c r="D1299" s="8" t="s">
        <v>15</v>
      </c>
      <c r="E1299" t="s">
        <v>4060</v>
      </c>
      <c r="F1299" t="s">
        <v>4061</v>
      </c>
      <c r="G1299">
        <v>500</v>
      </c>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x14ac:dyDescent="0.15">
      <c r="A1300" t="s">
        <v>4139</v>
      </c>
      <c r="B1300" s="8" t="s">
        <v>1170</v>
      </c>
      <c r="C1300" t="s">
        <v>4139</v>
      </c>
      <c r="D1300" s="8" t="s">
        <v>15</v>
      </c>
      <c r="E1300" t="s">
        <v>4140</v>
      </c>
      <c r="F1300" t="s">
        <v>4062</v>
      </c>
      <c r="G1300">
        <v>550</v>
      </c>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c r="BF1300"/>
      <c r="BG1300"/>
      <c r="BH1300"/>
      <c r="BI1300"/>
      <c r="BJ1300"/>
      <c r="BK1300"/>
      <c r="BL1300"/>
      <c r="BM1300"/>
      <c r="BN1300"/>
      <c r="BO1300"/>
      <c r="BP1300"/>
      <c r="BQ1300"/>
      <c r="BR1300"/>
      <c r="BS1300"/>
      <c r="BT1300"/>
      <c r="BU1300"/>
      <c r="BV1300"/>
      <c r="BW1300"/>
      <c r="BX1300"/>
      <c r="BY1300"/>
      <c r="BZ1300"/>
      <c r="CA1300"/>
      <c r="CB1300"/>
      <c r="CC1300"/>
      <c r="CD1300"/>
      <c r="CE1300"/>
      <c r="CF1300"/>
      <c r="CG1300"/>
      <c r="CH1300"/>
      <c r="CI1300"/>
      <c r="CJ1300"/>
      <c r="CK1300"/>
      <c r="CL1300"/>
      <c r="CM1300"/>
      <c r="CN1300"/>
      <c r="CO1300"/>
      <c r="CP1300"/>
      <c r="CQ1300"/>
      <c r="CR1300"/>
      <c r="CS1300"/>
      <c r="CT1300"/>
      <c r="CU1300"/>
      <c r="CV1300"/>
      <c r="CW1300"/>
      <c r="CX1300"/>
      <c r="CY1300"/>
      <c r="CZ1300"/>
      <c r="DA1300"/>
      <c r="DB1300"/>
      <c r="DC1300"/>
      <c r="DD1300"/>
      <c r="DE1300"/>
      <c r="DF1300"/>
      <c r="DG1300"/>
      <c r="DH1300"/>
      <c r="DI1300"/>
      <c r="DJ1300"/>
      <c r="DK1300"/>
      <c r="DL1300"/>
      <c r="DM1300"/>
      <c r="DN1300"/>
      <c r="DO1300"/>
      <c r="DP1300"/>
      <c r="DQ1300"/>
      <c r="DR1300"/>
      <c r="DS1300"/>
      <c r="DT1300"/>
      <c r="DU1300"/>
      <c r="DV1300"/>
      <c r="DW1300"/>
      <c r="DX1300"/>
      <c r="DY1300"/>
      <c r="DZ1300"/>
      <c r="EA1300"/>
      <c r="EB1300"/>
      <c r="EC1300"/>
      <c r="ED1300"/>
      <c r="EE1300"/>
      <c r="EF1300"/>
      <c r="EG1300"/>
      <c r="EH1300"/>
      <c r="EI1300"/>
      <c r="EJ1300"/>
      <c r="EK1300"/>
      <c r="EL1300"/>
      <c r="EM1300"/>
      <c r="EN1300"/>
      <c r="EO1300"/>
      <c r="EP1300"/>
      <c r="EQ1300"/>
      <c r="ER1300"/>
      <c r="ES1300"/>
      <c r="ET1300"/>
      <c r="EU1300"/>
      <c r="EV1300"/>
      <c r="EW1300"/>
      <c r="EX1300"/>
      <c r="EY1300"/>
      <c r="EZ1300"/>
      <c r="FA1300"/>
      <c r="FB1300"/>
      <c r="FC1300"/>
      <c r="FD1300"/>
      <c r="FE1300"/>
      <c r="FF1300"/>
      <c r="FG1300"/>
      <c r="FH1300"/>
      <c r="FI1300"/>
      <c r="FJ1300"/>
      <c r="FK1300"/>
      <c r="FL1300"/>
      <c r="FM1300"/>
      <c r="FN1300"/>
      <c r="FO1300"/>
      <c r="FP1300"/>
      <c r="FQ1300"/>
      <c r="FR1300"/>
      <c r="FS1300"/>
      <c r="FT1300"/>
      <c r="FU1300"/>
      <c r="FV1300"/>
      <c r="FW1300"/>
      <c r="FX1300"/>
      <c r="FY1300"/>
      <c r="FZ1300"/>
      <c r="GA1300"/>
      <c r="GB1300"/>
      <c r="GC1300"/>
      <c r="GD1300"/>
      <c r="GE1300"/>
      <c r="GF1300"/>
      <c r="GG1300"/>
      <c r="GH1300"/>
      <c r="GI1300"/>
      <c r="GJ1300"/>
      <c r="GK1300"/>
      <c r="GL1300"/>
      <c r="GM1300"/>
      <c r="GN1300"/>
      <c r="GO1300"/>
      <c r="GP1300"/>
      <c r="GQ1300"/>
      <c r="GR1300"/>
      <c r="GS1300"/>
      <c r="GT1300"/>
      <c r="GU1300"/>
      <c r="GV1300"/>
      <c r="GW1300"/>
      <c r="GX1300"/>
      <c r="GY1300"/>
      <c r="GZ1300"/>
      <c r="HA1300"/>
      <c r="HB1300"/>
      <c r="HC1300"/>
      <c r="HD1300"/>
      <c r="HE1300"/>
      <c r="HF1300"/>
      <c r="HG1300"/>
      <c r="HH1300"/>
      <c r="HI1300"/>
      <c r="HJ1300"/>
      <c r="HK1300"/>
      <c r="HL1300"/>
      <c r="HM1300"/>
      <c r="HN1300"/>
      <c r="HO1300"/>
      <c r="HP1300"/>
      <c r="HQ1300"/>
      <c r="HR1300"/>
      <c r="HS1300"/>
      <c r="HT1300"/>
      <c r="HU1300"/>
      <c r="HV1300"/>
      <c r="HW1300"/>
      <c r="HX1300"/>
      <c r="HY1300"/>
      <c r="HZ1300"/>
      <c r="IA1300"/>
      <c r="IB1300"/>
      <c r="IC1300"/>
      <c r="ID1300"/>
      <c r="IE1300"/>
      <c r="IF1300"/>
      <c r="IG1300"/>
      <c r="IH1300"/>
      <c r="II1300"/>
      <c r="IJ1300"/>
      <c r="IK1300"/>
      <c r="IL1300"/>
      <c r="IM1300"/>
      <c r="IN1300"/>
      <c r="IO1300"/>
      <c r="IP1300"/>
      <c r="IQ1300"/>
      <c r="IR1300"/>
      <c r="IS1300"/>
      <c r="IT1300"/>
      <c r="IU1300"/>
      <c r="IV1300"/>
      <c r="IW1300"/>
      <c r="IX1300"/>
      <c r="IY1300"/>
      <c r="IZ1300"/>
      <c r="JA1300"/>
      <c r="JB1300"/>
      <c r="JC1300"/>
      <c r="JD1300"/>
      <c r="JE1300"/>
      <c r="JF1300"/>
      <c r="JG1300"/>
      <c r="JH1300"/>
      <c r="JI1300"/>
      <c r="JJ1300"/>
      <c r="JK1300"/>
      <c r="JL1300"/>
      <c r="JM1300"/>
      <c r="JN1300"/>
      <c r="JO1300"/>
      <c r="JP1300"/>
      <c r="JQ1300"/>
      <c r="JR1300"/>
      <c r="JS1300"/>
      <c r="JT1300"/>
      <c r="JU1300"/>
      <c r="JV1300"/>
      <c r="JW1300"/>
      <c r="JX1300"/>
      <c r="JY1300"/>
      <c r="JZ1300"/>
      <c r="KA1300"/>
      <c r="KB1300"/>
      <c r="KC1300"/>
      <c r="KD1300"/>
      <c r="KE1300"/>
      <c r="KF1300"/>
      <c r="KG1300"/>
      <c r="KH1300"/>
      <c r="KI1300"/>
      <c r="KJ1300"/>
      <c r="KK1300"/>
      <c r="KL1300"/>
      <c r="KM1300"/>
      <c r="KN1300"/>
      <c r="KO1300"/>
      <c r="KP1300"/>
      <c r="KQ1300"/>
      <c r="KR1300"/>
      <c r="KS1300"/>
      <c r="KT1300"/>
      <c r="KU1300"/>
      <c r="KV1300"/>
      <c r="KW1300"/>
      <c r="KX1300"/>
      <c r="KY1300"/>
      <c r="KZ1300"/>
      <c r="LA1300"/>
      <c r="LB1300"/>
      <c r="LC1300"/>
      <c r="LD1300"/>
      <c r="LE1300"/>
      <c r="LF1300"/>
      <c r="LG1300"/>
      <c r="LH1300"/>
      <c r="LI1300"/>
      <c r="LJ1300"/>
      <c r="LK1300"/>
      <c r="LL1300"/>
      <c r="LM1300"/>
      <c r="LN1300"/>
      <c r="LO1300"/>
      <c r="LP1300"/>
      <c r="LQ1300"/>
      <c r="LR1300"/>
      <c r="LS1300"/>
      <c r="LT1300"/>
      <c r="LU1300"/>
      <c r="LV1300"/>
      <c r="LW1300"/>
      <c r="LX1300"/>
      <c r="LY1300"/>
      <c r="LZ1300"/>
      <c r="MA1300"/>
      <c r="MB1300"/>
      <c r="MC1300"/>
      <c r="MD1300"/>
      <c r="ME1300"/>
      <c r="MF1300"/>
      <c r="MG1300"/>
      <c r="MH1300"/>
      <c r="MI1300"/>
      <c r="MJ1300"/>
      <c r="MK1300"/>
      <c r="ML1300"/>
      <c r="MM1300"/>
      <c r="MN1300"/>
      <c r="MO1300"/>
      <c r="MP1300"/>
      <c r="MQ1300"/>
      <c r="MR1300"/>
      <c r="MS1300"/>
      <c r="MT1300"/>
      <c r="MU1300"/>
      <c r="MV1300"/>
      <c r="MW1300"/>
      <c r="MX1300"/>
      <c r="MY1300"/>
      <c r="MZ1300"/>
      <c r="NA1300"/>
      <c r="NB1300"/>
      <c r="NC1300"/>
      <c r="ND1300"/>
      <c r="NE1300"/>
      <c r="NF1300"/>
      <c r="NG1300"/>
      <c r="NH1300"/>
      <c r="NI1300"/>
      <c r="NJ1300"/>
      <c r="NK1300"/>
      <c r="NL1300"/>
      <c r="NM1300"/>
      <c r="NN1300"/>
      <c r="NO1300"/>
      <c r="NP1300"/>
      <c r="NQ1300"/>
      <c r="NR1300"/>
      <c r="NS1300"/>
      <c r="NT1300"/>
      <c r="NU1300"/>
      <c r="NV1300"/>
      <c r="NW1300"/>
      <c r="NX1300"/>
      <c r="NY1300"/>
      <c r="NZ1300"/>
      <c r="OA1300"/>
      <c r="OB1300"/>
      <c r="OC1300"/>
      <c r="OD1300"/>
      <c r="OE1300"/>
      <c r="OF1300"/>
      <c r="OG1300"/>
      <c r="OH1300"/>
      <c r="OI1300"/>
      <c r="OJ1300"/>
      <c r="OK1300"/>
      <c r="OL1300"/>
      <c r="OM1300"/>
      <c r="ON1300"/>
      <c r="OO1300"/>
      <c r="OP1300"/>
      <c r="OQ1300"/>
      <c r="OR1300"/>
      <c r="OS1300"/>
      <c r="OT1300"/>
      <c r="OU1300"/>
      <c r="OV1300"/>
      <c r="OW1300"/>
      <c r="OX1300"/>
      <c r="OY1300"/>
      <c r="OZ1300"/>
      <c r="PA1300"/>
      <c r="PB1300"/>
      <c r="PC1300"/>
      <c r="PD1300"/>
      <c r="PE1300"/>
      <c r="PF1300"/>
      <c r="PG1300"/>
      <c r="PH1300"/>
      <c r="PI1300"/>
      <c r="PJ1300"/>
      <c r="PK1300"/>
      <c r="PL1300"/>
      <c r="PM1300"/>
      <c r="PN1300"/>
      <c r="PO1300"/>
      <c r="PP1300"/>
      <c r="PQ1300"/>
      <c r="PR1300"/>
      <c r="PS1300"/>
      <c r="PT1300"/>
      <c r="PU1300"/>
      <c r="PV1300"/>
      <c r="PW1300"/>
      <c r="PX1300"/>
      <c r="PY1300"/>
      <c r="PZ1300"/>
      <c r="QA1300"/>
      <c r="QB1300"/>
      <c r="QC1300"/>
      <c r="QD1300"/>
      <c r="QE1300"/>
      <c r="QF1300"/>
      <c r="QG1300"/>
      <c r="QH1300"/>
      <c r="QI1300"/>
      <c r="QJ1300"/>
      <c r="QK1300"/>
      <c r="QL1300"/>
      <c r="QM1300"/>
      <c r="QN1300"/>
      <c r="QO1300"/>
      <c r="QP1300"/>
      <c r="QQ1300"/>
      <c r="QR1300"/>
      <c r="QS1300"/>
      <c r="QT1300"/>
      <c r="QU1300"/>
      <c r="QV1300"/>
      <c r="QW1300"/>
      <c r="QX1300"/>
      <c r="QY1300"/>
      <c r="QZ1300"/>
      <c r="RA1300"/>
      <c r="RB1300"/>
      <c r="RC1300"/>
      <c r="RD1300"/>
      <c r="RE1300"/>
      <c r="RF1300"/>
      <c r="RG1300"/>
      <c r="RH1300"/>
      <c r="RI1300"/>
      <c r="RJ1300"/>
      <c r="RK1300"/>
      <c r="RL1300"/>
      <c r="RM1300"/>
      <c r="RN1300"/>
      <c r="RO1300"/>
      <c r="RP1300"/>
      <c r="RQ1300"/>
      <c r="RR1300"/>
      <c r="RS1300"/>
      <c r="RT1300"/>
      <c r="RU1300"/>
      <c r="RV1300"/>
      <c r="RW1300"/>
      <c r="RX1300"/>
      <c r="RY1300"/>
      <c r="RZ1300"/>
      <c r="SA1300"/>
      <c r="SB1300"/>
      <c r="SC1300"/>
      <c r="SD1300"/>
      <c r="SE1300"/>
      <c r="SF1300"/>
      <c r="SG1300"/>
      <c r="SH1300"/>
      <c r="SI1300"/>
      <c r="SJ1300"/>
      <c r="SK1300"/>
      <c r="SL1300"/>
      <c r="SM1300"/>
      <c r="SN1300"/>
      <c r="SO1300"/>
      <c r="SP1300"/>
      <c r="SQ1300"/>
      <c r="SR1300"/>
      <c r="SS1300"/>
      <c r="ST1300"/>
      <c r="SU1300"/>
      <c r="SV1300"/>
      <c r="SW1300"/>
      <c r="SX1300"/>
      <c r="SY1300"/>
      <c r="SZ1300"/>
      <c r="TA1300"/>
      <c r="TB1300"/>
      <c r="TC1300"/>
      <c r="TD1300"/>
      <c r="TE1300"/>
      <c r="TF1300"/>
      <c r="TG1300"/>
      <c r="TH1300"/>
      <c r="TI1300"/>
      <c r="TJ1300"/>
      <c r="TK1300"/>
      <c r="TL1300"/>
      <c r="TM1300"/>
      <c r="TN1300"/>
      <c r="TO1300"/>
      <c r="TP1300"/>
      <c r="TQ1300"/>
      <c r="TR1300"/>
      <c r="TS1300"/>
      <c r="TT1300"/>
      <c r="TU1300"/>
      <c r="TV1300"/>
      <c r="TW1300"/>
      <c r="TX1300"/>
      <c r="TY1300"/>
      <c r="TZ1300"/>
      <c r="UA1300"/>
      <c r="UB1300"/>
      <c r="UC1300"/>
      <c r="UD1300"/>
      <c r="UE1300"/>
      <c r="UF1300"/>
      <c r="UG1300"/>
      <c r="UH1300"/>
      <c r="UI1300"/>
      <c r="UJ1300"/>
      <c r="UK1300"/>
      <c r="UL1300"/>
      <c r="UM1300"/>
      <c r="UN1300"/>
      <c r="UO1300"/>
      <c r="UP1300"/>
      <c r="UQ1300"/>
      <c r="UR1300"/>
      <c r="US1300"/>
      <c r="UT1300"/>
      <c r="UU1300"/>
      <c r="UV1300"/>
      <c r="UW1300"/>
      <c r="UX1300"/>
      <c r="UY1300"/>
      <c r="UZ1300"/>
      <c r="VA1300"/>
      <c r="VB1300"/>
      <c r="VC1300"/>
      <c r="VD1300"/>
      <c r="VE1300"/>
      <c r="VF1300"/>
      <c r="VG1300"/>
      <c r="VH1300"/>
      <c r="VI1300"/>
      <c r="VJ1300"/>
      <c r="VK1300"/>
      <c r="VL1300"/>
      <c r="VM1300"/>
      <c r="VN1300"/>
      <c r="VO1300"/>
      <c r="VP1300"/>
      <c r="VQ1300"/>
      <c r="VR1300"/>
      <c r="VS1300"/>
      <c r="VT1300"/>
      <c r="VU1300"/>
      <c r="VV1300"/>
      <c r="VW1300"/>
      <c r="VX1300"/>
      <c r="VY1300"/>
      <c r="VZ1300"/>
      <c r="WA1300"/>
      <c r="WB1300"/>
      <c r="WC1300"/>
      <c r="WD1300"/>
      <c r="WE1300"/>
      <c r="WF1300"/>
      <c r="WG1300"/>
      <c r="WH1300"/>
      <c r="WI1300"/>
      <c r="WJ1300"/>
      <c r="WK1300"/>
      <c r="WL1300"/>
      <c r="WM1300"/>
      <c r="WN1300"/>
      <c r="WO1300"/>
      <c r="WP1300"/>
      <c r="WQ1300"/>
      <c r="WR1300"/>
      <c r="WS1300"/>
      <c r="WT1300"/>
      <c r="WU1300"/>
      <c r="WV1300"/>
      <c r="WW1300"/>
      <c r="WX1300"/>
      <c r="WY1300"/>
      <c r="WZ1300"/>
      <c r="XA1300"/>
      <c r="XB1300"/>
      <c r="XC1300"/>
      <c r="XD1300"/>
      <c r="XE1300"/>
      <c r="XF1300"/>
      <c r="XG1300"/>
      <c r="XH1300"/>
      <c r="XI1300"/>
      <c r="XJ1300"/>
      <c r="XK1300"/>
      <c r="XL1300"/>
      <c r="XM1300"/>
      <c r="XN1300"/>
      <c r="XO1300"/>
      <c r="XP1300"/>
      <c r="XQ1300"/>
      <c r="XR1300"/>
      <c r="XS1300"/>
      <c r="XT1300"/>
      <c r="XU1300"/>
      <c r="XV1300"/>
      <c r="XW1300"/>
      <c r="XX1300"/>
      <c r="XY1300"/>
      <c r="XZ1300"/>
      <c r="YA1300"/>
      <c r="YB1300"/>
      <c r="YC1300"/>
      <c r="YD1300"/>
      <c r="YE1300"/>
      <c r="YF1300"/>
      <c r="YG1300"/>
      <c r="YH1300"/>
      <c r="YI1300"/>
      <c r="YJ1300"/>
      <c r="YK1300"/>
      <c r="YL1300"/>
      <c r="YM1300"/>
      <c r="YN1300"/>
      <c r="YO1300"/>
      <c r="YP1300"/>
      <c r="YQ1300"/>
      <c r="YR1300"/>
      <c r="YS1300"/>
      <c r="YT1300"/>
      <c r="YU1300"/>
      <c r="YV1300"/>
      <c r="YW1300"/>
      <c r="YX1300"/>
      <c r="YY1300"/>
      <c r="YZ1300"/>
      <c r="ZA1300"/>
      <c r="ZB1300"/>
      <c r="ZC1300"/>
      <c r="ZD1300"/>
      <c r="ZE1300"/>
      <c r="ZF1300"/>
      <c r="ZG1300"/>
      <c r="ZH1300"/>
      <c r="ZI1300"/>
      <c r="ZJ1300"/>
      <c r="ZK1300"/>
      <c r="ZL1300"/>
      <c r="ZM1300"/>
      <c r="ZN1300"/>
      <c r="ZO1300"/>
      <c r="ZP1300"/>
      <c r="ZQ1300"/>
      <c r="ZR1300"/>
      <c r="ZS1300"/>
      <c r="ZT1300"/>
      <c r="ZU1300"/>
      <c r="ZV1300"/>
      <c r="ZW1300"/>
      <c r="ZX1300"/>
      <c r="ZY1300"/>
      <c r="ZZ1300"/>
      <c r="AAA1300"/>
      <c r="AAB1300"/>
      <c r="AAC1300"/>
      <c r="AAD1300"/>
      <c r="AAE1300"/>
      <c r="AAF1300"/>
      <c r="AAG1300"/>
      <c r="AAH1300"/>
      <c r="AAI1300"/>
      <c r="AAJ1300"/>
      <c r="AAK1300"/>
      <c r="AAL1300"/>
      <c r="AAM1300"/>
      <c r="AAN1300"/>
      <c r="AAO1300"/>
      <c r="AAP1300"/>
      <c r="AAQ1300"/>
      <c r="AAR1300"/>
      <c r="AAS1300"/>
      <c r="AAT1300"/>
      <c r="AAU1300"/>
      <c r="AAV1300"/>
      <c r="AAW1300"/>
      <c r="AAX1300"/>
      <c r="AAY1300"/>
      <c r="AAZ1300"/>
      <c r="ABA1300"/>
      <c r="ABB1300"/>
      <c r="ABC1300"/>
      <c r="ABD1300"/>
      <c r="ABE1300"/>
      <c r="ABF1300"/>
      <c r="ABG1300"/>
      <c r="ABH1300"/>
      <c r="ABI1300"/>
      <c r="ABJ1300"/>
      <c r="ABK1300"/>
      <c r="ABL1300"/>
      <c r="ABM1300"/>
      <c r="ABN1300"/>
      <c r="ABO1300"/>
      <c r="ABP1300"/>
      <c r="ABQ1300"/>
      <c r="ABR1300"/>
      <c r="ABS1300"/>
      <c r="ABT1300"/>
      <c r="ABU1300"/>
      <c r="ABV1300"/>
      <c r="ABW1300"/>
      <c r="ABX1300"/>
      <c r="ABY1300"/>
      <c r="ABZ1300"/>
      <c r="ACA1300"/>
      <c r="ACB1300"/>
      <c r="ACC1300"/>
      <c r="ACD1300"/>
      <c r="ACE1300"/>
      <c r="ACF1300"/>
      <c r="ACG1300"/>
      <c r="ACH1300"/>
      <c r="ACI1300"/>
      <c r="ACJ1300"/>
      <c r="ACK1300"/>
      <c r="ACL1300"/>
      <c r="ACM1300"/>
      <c r="ACN1300"/>
      <c r="ACO1300"/>
      <c r="ACP1300"/>
      <c r="ACQ1300"/>
      <c r="ACR1300"/>
      <c r="ACS1300"/>
      <c r="ACT1300"/>
      <c r="ACU1300"/>
      <c r="ACV1300"/>
      <c r="ACW1300"/>
      <c r="ACX1300"/>
      <c r="ACY1300"/>
      <c r="ACZ1300"/>
      <c r="ADA1300"/>
      <c r="ADB1300"/>
      <c r="ADC1300"/>
      <c r="ADD1300"/>
      <c r="ADE1300"/>
      <c r="ADF1300"/>
      <c r="ADG1300"/>
      <c r="ADH1300"/>
      <c r="ADI1300"/>
      <c r="ADJ1300"/>
      <c r="ADK1300"/>
      <c r="ADL1300"/>
      <c r="ADM1300"/>
      <c r="ADN1300"/>
      <c r="ADO1300"/>
      <c r="ADP1300"/>
      <c r="ADQ1300"/>
      <c r="ADR1300"/>
      <c r="ADS1300"/>
      <c r="ADT1300"/>
      <c r="ADU1300"/>
      <c r="ADV1300"/>
      <c r="ADW1300"/>
      <c r="ADX1300"/>
      <c r="ADY1300"/>
      <c r="ADZ1300"/>
      <c r="AEA1300"/>
      <c r="AEB1300"/>
      <c r="AEC1300"/>
      <c r="AED1300"/>
      <c r="AEE1300"/>
      <c r="AEF1300"/>
      <c r="AEG1300"/>
      <c r="AEH1300"/>
      <c r="AEI1300"/>
      <c r="AEJ1300"/>
      <c r="AEK1300"/>
      <c r="AEL1300"/>
      <c r="AEM1300"/>
      <c r="AEN1300"/>
      <c r="AEO1300"/>
      <c r="AEP1300"/>
      <c r="AEQ1300"/>
      <c r="AER1300"/>
      <c r="AES1300"/>
      <c r="AET1300"/>
      <c r="AEU1300"/>
      <c r="AEV1300"/>
      <c r="AEW1300"/>
      <c r="AEX1300"/>
      <c r="AEY1300"/>
      <c r="AEZ1300"/>
      <c r="AFA1300"/>
      <c r="AFB1300"/>
      <c r="AFC1300"/>
      <c r="AFD1300"/>
      <c r="AFE1300"/>
      <c r="AFF1300"/>
      <c r="AFG1300"/>
      <c r="AFH1300"/>
      <c r="AFI1300"/>
      <c r="AFJ1300"/>
      <c r="AFK1300"/>
      <c r="AFL1300"/>
      <c r="AFM1300"/>
      <c r="AFN1300"/>
      <c r="AFO1300"/>
      <c r="AFP1300"/>
      <c r="AFQ1300"/>
      <c r="AFR1300"/>
      <c r="AFS1300"/>
      <c r="AFT1300"/>
      <c r="AFU1300"/>
      <c r="AFV1300"/>
      <c r="AFW1300"/>
      <c r="AFX1300"/>
      <c r="AFY1300"/>
      <c r="AFZ1300"/>
      <c r="AGA1300"/>
      <c r="AGB1300"/>
      <c r="AGC1300"/>
      <c r="AGD1300"/>
      <c r="AGE1300"/>
      <c r="AGF1300"/>
      <c r="AGG1300"/>
      <c r="AGH1300"/>
      <c r="AGI1300"/>
      <c r="AGJ1300"/>
      <c r="AGK1300"/>
      <c r="AGL1300"/>
      <c r="AGM1300"/>
      <c r="AGN1300"/>
      <c r="AGO1300"/>
      <c r="AGP1300"/>
      <c r="AGQ1300"/>
      <c r="AGR1300"/>
      <c r="AGS1300"/>
      <c r="AGT1300"/>
      <c r="AGU1300"/>
      <c r="AGV1300"/>
      <c r="AGW1300"/>
      <c r="AGX1300"/>
      <c r="AGY1300"/>
      <c r="AGZ1300"/>
      <c r="AHA1300"/>
      <c r="AHB1300"/>
      <c r="AHC1300"/>
      <c r="AHD1300"/>
      <c r="AHE1300"/>
      <c r="AHF1300"/>
      <c r="AHG1300"/>
      <c r="AHH1300"/>
      <c r="AHI1300"/>
      <c r="AHJ1300"/>
      <c r="AHK1300"/>
      <c r="AHL1300"/>
      <c r="AHM1300"/>
      <c r="AHN1300"/>
      <c r="AHO1300"/>
      <c r="AHP1300"/>
      <c r="AHQ1300"/>
      <c r="AHR1300"/>
      <c r="AHS1300"/>
      <c r="AHT1300"/>
      <c r="AHU1300"/>
      <c r="AHV1300"/>
      <c r="AHW1300"/>
      <c r="AHX1300"/>
      <c r="AHY1300"/>
      <c r="AHZ1300"/>
      <c r="AIA1300"/>
      <c r="AIB1300"/>
      <c r="AIC1300"/>
      <c r="AID1300"/>
      <c r="AIE1300"/>
      <c r="AIF1300"/>
      <c r="AIG1300"/>
      <c r="AIH1300"/>
      <c r="AII1300"/>
      <c r="AIJ1300"/>
      <c r="AIK1300"/>
      <c r="AIL1300"/>
      <c r="AIM1300"/>
      <c r="AIN1300"/>
      <c r="AIO1300"/>
      <c r="AIP1300"/>
      <c r="AIQ1300"/>
      <c r="AIR1300"/>
      <c r="AIS1300"/>
      <c r="AIT1300"/>
      <c r="AIU1300"/>
      <c r="AIV1300"/>
      <c r="AIW1300"/>
      <c r="AIX1300"/>
      <c r="AIY1300"/>
      <c r="AIZ1300"/>
      <c r="AJA1300"/>
      <c r="AJB1300"/>
      <c r="AJC1300"/>
      <c r="AJD1300"/>
      <c r="AJE1300"/>
      <c r="AJF1300"/>
      <c r="AJG1300"/>
      <c r="AJH1300"/>
      <c r="AJI1300"/>
      <c r="AJJ1300"/>
      <c r="AJK1300"/>
      <c r="AJL1300"/>
      <c r="AJM1300"/>
      <c r="AJN1300"/>
      <c r="AJO1300"/>
      <c r="AJP1300"/>
      <c r="AJQ1300"/>
      <c r="AJR1300"/>
      <c r="AJS1300"/>
      <c r="AJT1300"/>
      <c r="AJU1300"/>
      <c r="AJV1300"/>
      <c r="AJW1300"/>
      <c r="AJX1300"/>
      <c r="AJY1300"/>
      <c r="AJZ1300"/>
      <c r="AKA1300"/>
      <c r="AKB1300"/>
      <c r="AKC1300"/>
      <c r="AKD1300"/>
      <c r="AKE1300"/>
      <c r="AKF1300"/>
      <c r="AKG1300"/>
      <c r="AKH1300"/>
      <c r="AKI1300"/>
      <c r="AKJ1300"/>
      <c r="AKK1300"/>
      <c r="AKL1300"/>
      <c r="AKM1300"/>
      <c r="AKN1300"/>
      <c r="AKO1300"/>
      <c r="AKP1300"/>
      <c r="AKQ1300"/>
      <c r="AKR1300"/>
      <c r="AKS1300"/>
      <c r="AKT1300"/>
      <c r="AKU1300"/>
      <c r="AKV1300"/>
      <c r="AKW1300"/>
      <c r="AKX1300"/>
      <c r="AKY1300"/>
      <c r="AKZ1300"/>
      <c r="ALA1300"/>
      <c r="ALB1300"/>
      <c r="ALC1300"/>
      <c r="ALD1300"/>
      <c r="ALE1300"/>
      <c r="ALF1300"/>
      <c r="ALG1300"/>
      <c r="ALH1300"/>
      <c r="ALI1300"/>
      <c r="ALJ1300"/>
      <c r="ALK1300"/>
      <c r="ALL1300"/>
      <c r="ALM1300"/>
      <c r="ALN1300"/>
      <c r="ALO1300"/>
      <c r="ALP1300"/>
      <c r="ALQ1300"/>
      <c r="ALR1300"/>
      <c r="ALS1300"/>
      <c r="ALT1300"/>
    </row>
    <row r="1301" spans="1:1008" x14ac:dyDescent="0.15">
      <c r="A1301" t="s">
        <v>4064</v>
      </c>
      <c r="B1301" s="8" t="s">
        <v>4081</v>
      </c>
      <c r="C1301" t="s">
        <v>4064</v>
      </c>
      <c r="D1301" s="8" t="s">
        <v>15</v>
      </c>
      <c r="E1301" t="s">
        <v>4064</v>
      </c>
      <c r="F1301" t="s">
        <v>4065</v>
      </c>
      <c r="G1301">
        <v>500</v>
      </c>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x14ac:dyDescent="0.15">
      <c r="A1302" t="s">
        <v>4003</v>
      </c>
      <c r="B1302" s="8" t="s">
        <v>4082</v>
      </c>
      <c r="C1302" t="s">
        <v>4003</v>
      </c>
      <c r="D1302" s="8" t="s">
        <v>15</v>
      </c>
      <c r="E1302" t="s">
        <v>4003</v>
      </c>
      <c r="F1302" t="s">
        <v>4004</v>
      </c>
      <c r="G1302">
        <v>500</v>
      </c>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c r="AT1302"/>
      <c r="AU1302"/>
      <c r="AV1302"/>
      <c r="AW1302"/>
      <c r="AX1302"/>
      <c r="AY1302"/>
      <c r="AZ1302"/>
      <c r="BA1302"/>
      <c r="BB1302"/>
      <c r="BC1302"/>
      <c r="BD1302"/>
      <c r="BE1302"/>
      <c r="BF1302"/>
      <c r="BG1302"/>
      <c r="BH1302"/>
      <c r="BI1302"/>
      <c r="BJ1302"/>
      <c r="BK1302"/>
      <c r="BL1302"/>
      <c r="BM1302"/>
      <c r="BN1302"/>
      <c r="BO1302"/>
      <c r="BP1302"/>
      <c r="BQ1302"/>
      <c r="BR1302"/>
      <c r="BS1302"/>
      <c r="BT1302"/>
      <c r="BU1302"/>
      <c r="BV1302"/>
      <c r="BW1302"/>
      <c r="BX1302"/>
      <c r="BY1302"/>
      <c r="BZ1302"/>
      <c r="CA1302"/>
      <c r="CB1302"/>
      <c r="CC1302"/>
      <c r="CD1302"/>
      <c r="CE1302"/>
      <c r="CF1302"/>
      <c r="CG1302"/>
      <c r="CH1302"/>
      <c r="CI1302"/>
      <c r="CJ1302"/>
      <c r="CK1302"/>
      <c r="CL1302"/>
      <c r="CM1302"/>
      <c r="CN1302"/>
      <c r="CO1302"/>
      <c r="CP1302"/>
      <c r="CQ1302"/>
      <c r="CR1302"/>
      <c r="CS1302"/>
      <c r="CT1302"/>
      <c r="CU1302"/>
      <c r="CV1302"/>
      <c r="CW1302"/>
      <c r="CX1302"/>
      <c r="CY1302"/>
      <c r="CZ1302"/>
      <c r="DA1302"/>
      <c r="DB1302"/>
      <c r="DC1302"/>
      <c r="DD1302"/>
      <c r="DE1302"/>
      <c r="DF1302"/>
      <c r="DG1302"/>
      <c r="DH1302"/>
      <c r="DI1302"/>
      <c r="DJ1302"/>
      <c r="DK1302"/>
      <c r="DL1302"/>
      <c r="DM1302"/>
      <c r="DN1302"/>
      <c r="DO1302"/>
      <c r="DP1302"/>
      <c r="DQ1302"/>
      <c r="DR1302"/>
      <c r="DS1302"/>
      <c r="DT1302"/>
      <c r="DU1302"/>
      <c r="DV1302"/>
      <c r="DW1302"/>
      <c r="DX1302"/>
      <c r="DY1302"/>
      <c r="DZ1302"/>
      <c r="EA1302"/>
      <c r="EB1302"/>
      <c r="EC1302"/>
      <c r="ED1302"/>
      <c r="EE1302"/>
      <c r="EF1302"/>
      <c r="EG1302"/>
      <c r="EH1302"/>
      <c r="EI1302"/>
      <c r="EJ1302"/>
      <c r="EK1302"/>
      <c r="EL1302"/>
      <c r="EM1302"/>
      <c r="EN1302"/>
      <c r="EO1302"/>
      <c r="EP1302"/>
      <c r="EQ1302"/>
      <c r="ER1302"/>
      <c r="ES1302"/>
      <c r="ET1302"/>
      <c r="EU1302"/>
      <c r="EV1302"/>
      <c r="EW1302"/>
      <c r="EX1302"/>
      <c r="EY1302"/>
      <c r="EZ1302"/>
      <c r="FA1302"/>
      <c r="FB1302"/>
      <c r="FC1302"/>
      <c r="FD1302"/>
      <c r="FE1302"/>
      <c r="FF1302"/>
      <c r="FG1302"/>
      <c r="FH1302"/>
      <c r="FI1302"/>
      <c r="FJ1302"/>
      <c r="FK1302"/>
      <c r="FL1302"/>
      <c r="FM1302"/>
      <c r="FN1302"/>
      <c r="FO1302"/>
      <c r="FP1302"/>
      <c r="FQ1302"/>
      <c r="FR1302"/>
      <c r="FS1302"/>
      <c r="FT1302"/>
      <c r="FU1302"/>
      <c r="FV1302"/>
      <c r="FW1302"/>
      <c r="FX1302"/>
      <c r="FY1302"/>
      <c r="FZ1302"/>
      <c r="GA1302"/>
      <c r="GB1302"/>
      <c r="GC1302"/>
      <c r="GD1302"/>
      <c r="GE1302"/>
      <c r="GF1302"/>
      <c r="GG1302"/>
      <c r="GH1302"/>
      <c r="GI1302"/>
      <c r="GJ1302"/>
      <c r="GK1302"/>
      <c r="GL1302"/>
      <c r="GM1302"/>
      <c r="GN1302"/>
      <c r="GO1302"/>
      <c r="GP1302"/>
      <c r="GQ1302"/>
      <c r="GR1302"/>
      <c r="GS1302"/>
      <c r="GT1302"/>
      <c r="GU1302"/>
      <c r="GV1302"/>
      <c r="GW1302"/>
      <c r="GX1302"/>
      <c r="GY1302"/>
      <c r="GZ1302"/>
      <c r="HA1302"/>
      <c r="HB1302"/>
      <c r="HC1302"/>
      <c r="HD1302"/>
      <c r="HE1302"/>
      <c r="HF1302"/>
      <c r="HG1302"/>
      <c r="HH1302"/>
      <c r="HI1302"/>
      <c r="HJ1302"/>
      <c r="HK1302"/>
      <c r="HL1302"/>
      <c r="HM1302"/>
      <c r="HN1302"/>
      <c r="HO1302"/>
      <c r="HP1302"/>
      <c r="HQ1302"/>
      <c r="HR1302"/>
      <c r="HS1302"/>
      <c r="HT1302"/>
      <c r="HU1302"/>
      <c r="HV1302"/>
      <c r="HW1302"/>
      <c r="HX1302"/>
      <c r="HY1302"/>
      <c r="HZ1302"/>
      <c r="IA1302"/>
      <c r="IB1302"/>
      <c r="IC1302"/>
      <c r="ID1302"/>
      <c r="IE1302"/>
      <c r="IF1302"/>
      <c r="IG1302"/>
      <c r="IH1302"/>
      <c r="II1302"/>
      <c r="IJ1302"/>
      <c r="IK1302"/>
      <c r="IL1302"/>
      <c r="IM1302"/>
      <c r="IN1302"/>
      <c r="IO1302"/>
      <c r="IP1302"/>
      <c r="IQ1302"/>
      <c r="IR1302"/>
      <c r="IS1302"/>
      <c r="IT1302"/>
      <c r="IU1302"/>
      <c r="IV1302"/>
      <c r="IW1302"/>
      <c r="IX1302"/>
      <c r="IY1302"/>
      <c r="IZ1302"/>
      <c r="JA1302"/>
      <c r="JB1302"/>
      <c r="JC1302"/>
      <c r="JD1302"/>
      <c r="JE1302"/>
      <c r="JF1302"/>
      <c r="JG1302"/>
      <c r="JH1302"/>
      <c r="JI1302"/>
      <c r="JJ1302"/>
      <c r="JK1302"/>
      <c r="JL1302"/>
      <c r="JM1302"/>
      <c r="JN1302"/>
      <c r="JO1302"/>
      <c r="JP1302"/>
      <c r="JQ1302"/>
      <c r="JR1302"/>
      <c r="JS1302"/>
      <c r="JT1302"/>
      <c r="JU1302"/>
      <c r="JV1302"/>
      <c r="JW1302"/>
      <c r="JX1302"/>
      <c r="JY1302"/>
      <c r="JZ1302"/>
      <c r="KA1302"/>
      <c r="KB1302"/>
      <c r="KC1302"/>
      <c r="KD1302"/>
      <c r="KE1302"/>
      <c r="KF1302"/>
      <c r="KG1302"/>
      <c r="KH1302"/>
      <c r="KI1302"/>
      <c r="KJ1302"/>
      <c r="KK1302"/>
      <c r="KL1302"/>
      <c r="KM1302"/>
      <c r="KN1302"/>
      <c r="KO1302"/>
      <c r="KP1302"/>
      <c r="KQ1302"/>
      <c r="KR1302"/>
      <c r="KS1302"/>
      <c r="KT1302"/>
      <c r="KU1302"/>
      <c r="KV1302"/>
      <c r="KW1302"/>
      <c r="KX1302"/>
      <c r="KY1302"/>
      <c r="KZ1302"/>
      <c r="LA1302"/>
      <c r="LB1302"/>
      <c r="LC1302"/>
      <c r="LD1302"/>
      <c r="LE1302"/>
      <c r="LF1302"/>
      <c r="LG1302"/>
      <c r="LH1302"/>
      <c r="LI1302"/>
      <c r="LJ1302"/>
      <c r="LK1302"/>
      <c r="LL1302"/>
      <c r="LM1302"/>
      <c r="LN1302"/>
      <c r="LO1302"/>
      <c r="LP1302"/>
      <c r="LQ1302"/>
      <c r="LR1302"/>
      <c r="LS1302"/>
      <c r="LT1302"/>
      <c r="LU1302"/>
      <c r="LV1302"/>
      <c r="LW1302"/>
      <c r="LX1302"/>
      <c r="LY1302"/>
      <c r="LZ1302"/>
      <c r="MA1302"/>
      <c r="MB1302"/>
      <c r="MC1302"/>
      <c r="MD1302"/>
      <c r="ME1302"/>
      <c r="MF1302"/>
      <c r="MG1302"/>
      <c r="MH1302"/>
      <c r="MI1302"/>
      <c r="MJ1302"/>
      <c r="MK1302"/>
      <c r="ML1302"/>
      <c r="MM1302"/>
      <c r="MN1302"/>
      <c r="MO1302"/>
      <c r="MP1302"/>
      <c r="MQ1302"/>
      <c r="MR1302"/>
      <c r="MS1302"/>
      <c r="MT1302"/>
      <c r="MU1302"/>
      <c r="MV1302"/>
      <c r="MW1302"/>
      <c r="MX1302"/>
      <c r="MY1302"/>
      <c r="MZ1302"/>
      <c r="NA1302"/>
      <c r="NB1302"/>
      <c r="NC1302"/>
      <c r="ND1302"/>
      <c r="NE1302"/>
      <c r="NF1302"/>
      <c r="NG1302"/>
      <c r="NH1302"/>
      <c r="NI1302"/>
      <c r="NJ1302"/>
      <c r="NK1302"/>
      <c r="NL1302"/>
      <c r="NM1302"/>
      <c r="NN1302"/>
      <c r="NO1302"/>
      <c r="NP1302"/>
      <c r="NQ1302"/>
      <c r="NR1302"/>
      <c r="NS1302"/>
      <c r="NT1302"/>
      <c r="NU1302"/>
      <c r="NV1302"/>
      <c r="NW1302"/>
      <c r="NX1302"/>
      <c r="NY1302"/>
      <c r="NZ1302"/>
      <c r="OA1302"/>
      <c r="OB1302"/>
      <c r="OC1302"/>
      <c r="OD1302"/>
      <c r="OE1302"/>
      <c r="OF1302"/>
      <c r="OG1302"/>
      <c r="OH1302"/>
      <c r="OI1302"/>
      <c r="OJ1302"/>
      <c r="OK1302"/>
      <c r="OL1302"/>
      <c r="OM1302"/>
      <c r="ON1302"/>
      <c r="OO1302"/>
      <c r="OP1302"/>
      <c r="OQ1302"/>
      <c r="OR1302"/>
      <c r="OS1302"/>
      <c r="OT1302"/>
      <c r="OU1302"/>
      <c r="OV1302"/>
      <c r="OW1302"/>
      <c r="OX1302"/>
      <c r="OY1302"/>
      <c r="OZ1302"/>
      <c r="PA1302"/>
      <c r="PB1302"/>
      <c r="PC1302"/>
      <c r="PD1302"/>
      <c r="PE1302"/>
      <c r="PF1302"/>
      <c r="PG1302"/>
      <c r="PH1302"/>
      <c r="PI1302"/>
      <c r="PJ1302"/>
      <c r="PK1302"/>
      <c r="PL1302"/>
      <c r="PM1302"/>
      <c r="PN1302"/>
      <c r="PO1302"/>
      <c r="PP1302"/>
      <c r="PQ1302"/>
      <c r="PR1302"/>
      <c r="PS1302"/>
      <c r="PT1302"/>
      <c r="PU1302"/>
      <c r="PV1302"/>
      <c r="PW1302"/>
      <c r="PX1302"/>
      <c r="PY1302"/>
      <c r="PZ1302"/>
      <c r="QA1302"/>
      <c r="QB1302"/>
      <c r="QC1302"/>
      <c r="QD1302"/>
      <c r="QE1302"/>
      <c r="QF1302"/>
      <c r="QG1302"/>
      <c r="QH1302"/>
      <c r="QI1302"/>
      <c r="QJ1302"/>
      <c r="QK1302"/>
      <c r="QL1302"/>
      <c r="QM1302"/>
      <c r="QN1302"/>
      <c r="QO1302"/>
      <c r="QP1302"/>
      <c r="QQ1302"/>
      <c r="QR1302"/>
      <c r="QS1302"/>
      <c r="QT1302"/>
      <c r="QU1302"/>
      <c r="QV1302"/>
      <c r="QW1302"/>
      <c r="QX1302"/>
      <c r="QY1302"/>
      <c r="QZ1302"/>
      <c r="RA1302"/>
      <c r="RB1302"/>
      <c r="RC1302"/>
      <c r="RD1302"/>
      <c r="RE1302"/>
      <c r="RF1302"/>
      <c r="RG1302"/>
      <c r="RH1302"/>
      <c r="RI1302"/>
      <c r="RJ1302"/>
      <c r="RK1302"/>
      <c r="RL1302"/>
      <c r="RM1302"/>
      <c r="RN1302"/>
      <c r="RO1302"/>
      <c r="RP1302"/>
      <c r="RQ1302"/>
      <c r="RR1302"/>
      <c r="RS1302"/>
      <c r="RT1302"/>
      <c r="RU1302"/>
      <c r="RV1302"/>
      <c r="RW1302"/>
      <c r="RX1302"/>
      <c r="RY1302"/>
      <c r="RZ1302"/>
      <c r="SA1302"/>
      <c r="SB1302"/>
      <c r="SC1302"/>
      <c r="SD1302"/>
      <c r="SE1302"/>
      <c r="SF1302"/>
      <c r="SG1302"/>
      <c r="SH1302"/>
      <c r="SI1302"/>
      <c r="SJ1302"/>
      <c r="SK1302"/>
      <c r="SL1302"/>
      <c r="SM1302"/>
      <c r="SN1302"/>
      <c r="SO1302"/>
      <c r="SP1302"/>
      <c r="SQ1302"/>
      <c r="SR1302"/>
      <c r="SS1302"/>
      <c r="ST1302"/>
      <c r="SU1302"/>
      <c r="SV1302"/>
      <c r="SW1302"/>
      <c r="SX1302"/>
      <c r="SY1302"/>
      <c r="SZ1302"/>
      <c r="TA1302"/>
      <c r="TB1302"/>
      <c r="TC1302"/>
      <c r="TD1302"/>
      <c r="TE1302"/>
      <c r="TF1302"/>
      <c r="TG1302"/>
      <c r="TH1302"/>
      <c r="TI1302"/>
      <c r="TJ1302"/>
      <c r="TK1302"/>
      <c r="TL1302"/>
      <c r="TM1302"/>
      <c r="TN1302"/>
      <c r="TO1302"/>
      <c r="TP1302"/>
      <c r="TQ1302"/>
      <c r="TR1302"/>
      <c r="TS1302"/>
      <c r="TT1302"/>
      <c r="TU1302"/>
      <c r="TV1302"/>
      <c r="TW1302"/>
      <c r="TX1302"/>
      <c r="TY1302"/>
      <c r="TZ1302"/>
      <c r="UA1302"/>
      <c r="UB1302"/>
      <c r="UC1302"/>
      <c r="UD1302"/>
      <c r="UE1302"/>
      <c r="UF1302"/>
      <c r="UG1302"/>
      <c r="UH1302"/>
      <c r="UI1302"/>
      <c r="UJ1302"/>
      <c r="UK1302"/>
      <c r="UL1302"/>
      <c r="UM1302"/>
      <c r="UN1302"/>
      <c r="UO1302"/>
      <c r="UP1302"/>
      <c r="UQ1302"/>
      <c r="UR1302"/>
      <c r="US1302"/>
      <c r="UT1302"/>
      <c r="UU1302"/>
      <c r="UV1302"/>
      <c r="UW1302"/>
      <c r="UX1302"/>
      <c r="UY1302"/>
      <c r="UZ1302"/>
      <c r="VA1302"/>
      <c r="VB1302"/>
      <c r="VC1302"/>
      <c r="VD1302"/>
      <c r="VE1302"/>
      <c r="VF1302"/>
      <c r="VG1302"/>
      <c r="VH1302"/>
      <c r="VI1302"/>
      <c r="VJ1302"/>
      <c r="VK1302"/>
      <c r="VL1302"/>
      <c r="VM1302"/>
      <c r="VN1302"/>
      <c r="VO1302"/>
      <c r="VP1302"/>
      <c r="VQ1302"/>
      <c r="VR1302"/>
      <c r="VS1302"/>
      <c r="VT1302"/>
      <c r="VU1302"/>
      <c r="VV1302"/>
      <c r="VW1302"/>
      <c r="VX1302"/>
      <c r="VY1302"/>
      <c r="VZ1302"/>
      <c r="WA1302"/>
      <c r="WB1302"/>
      <c r="WC1302"/>
      <c r="WD1302"/>
      <c r="WE1302"/>
      <c r="WF1302"/>
      <c r="WG1302"/>
      <c r="WH1302"/>
      <c r="WI1302"/>
      <c r="WJ1302"/>
      <c r="WK1302"/>
      <c r="WL1302"/>
      <c r="WM1302"/>
      <c r="WN1302"/>
      <c r="WO1302"/>
      <c r="WP1302"/>
      <c r="WQ1302"/>
      <c r="WR1302"/>
      <c r="WS1302"/>
      <c r="WT1302"/>
      <c r="WU1302"/>
      <c r="WV1302"/>
      <c r="WW1302"/>
      <c r="WX1302"/>
      <c r="WY1302"/>
      <c r="WZ1302"/>
      <c r="XA1302"/>
      <c r="XB1302"/>
      <c r="XC1302"/>
      <c r="XD1302"/>
      <c r="XE1302"/>
      <c r="XF1302"/>
      <c r="XG1302"/>
      <c r="XH1302"/>
      <c r="XI1302"/>
      <c r="XJ1302"/>
      <c r="XK1302"/>
      <c r="XL1302"/>
      <c r="XM1302"/>
      <c r="XN1302"/>
      <c r="XO1302"/>
      <c r="XP1302"/>
      <c r="XQ1302"/>
      <c r="XR1302"/>
      <c r="XS1302"/>
      <c r="XT1302"/>
      <c r="XU1302"/>
      <c r="XV1302"/>
      <c r="XW1302"/>
      <c r="XX1302"/>
      <c r="XY1302"/>
      <c r="XZ1302"/>
      <c r="YA1302"/>
      <c r="YB1302"/>
      <c r="YC1302"/>
      <c r="YD1302"/>
      <c r="YE1302"/>
      <c r="YF1302"/>
      <c r="YG1302"/>
      <c r="YH1302"/>
      <c r="YI1302"/>
      <c r="YJ1302"/>
      <c r="YK1302"/>
      <c r="YL1302"/>
      <c r="YM1302"/>
      <c r="YN1302"/>
      <c r="YO1302"/>
      <c r="YP1302"/>
      <c r="YQ1302"/>
      <c r="YR1302"/>
      <c r="YS1302"/>
      <c r="YT1302"/>
      <c r="YU1302"/>
      <c r="YV1302"/>
      <c r="YW1302"/>
      <c r="YX1302"/>
      <c r="YY1302"/>
      <c r="YZ1302"/>
      <c r="ZA1302"/>
      <c r="ZB1302"/>
      <c r="ZC1302"/>
      <c r="ZD1302"/>
      <c r="ZE1302"/>
      <c r="ZF1302"/>
      <c r="ZG1302"/>
      <c r="ZH1302"/>
      <c r="ZI1302"/>
      <c r="ZJ1302"/>
      <c r="ZK1302"/>
      <c r="ZL1302"/>
      <c r="ZM1302"/>
      <c r="ZN1302"/>
      <c r="ZO1302"/>
      <c r="ZP1302"/>
      <c r="ZQ1302"/>
      <c r="ZR1302"/>
      <c r="ZS1302"/>
      <c r="ZT1302"/>
      <c r="ZU1302"/>
      <c r="ZV1302"/>
      <c r="ZW1302"/>
      <c r="ZX1302"/>
      <c r="ZY1302"/>
      <c r="ZZ1302"/>
      <c r="AAA1302"/>
      <c r="AAB1302"/>
      <c r="AAC1302"/>
      <c r="AAD1302"/>
      <c r="AAE1302"/>
      <c r="AAF1302"/>
      <c r="AAG1302"/>
      <c r="AAH1302"/>
      <c r="AAI1302"/>
      <c r="AAJ1302"/>
      <c r="AAK1302"/>
      <c r="AAL1302"/>
      <c r="AAM1302"/>
      <c r="AAN1302"/>
      <c r="AAO1302"/>
      <c r="AAP1302"/>
      <c r="AAQ1302"/>
      <c r="AAR1302"/>
      <c r="AAS1302"/>
      <c r="AAT1302"/>
      <c r="AAU1302"/>
      <c r="AAV1302"/>
      <c r="AAW1302"/>
      <c r="AAX1302"/>
      <c r="AAY1302"/>
      <c r="AAZ1302"/>
      <c r="ABA1302"/>
      <c r="ABB1302"/>
      <c r="ABC1302"/>
      <c r="ABD1302"/>
      <c r="ABE1302"/>
      <c r="ABF1302"/>
      <c r="ABG1302"/>
      <c r="ABH1302"/>
      <c r="ABI1302"/>
      <c r="ABJ1302"/>
      <c r="ABK1302"/>
      <c r="ABL1302"/>
      <c r="ABM1302"/>
      <c r="ABN1302"/>
      <c r="ABO1302"/>
      <c r="ABP1302"/>
      <c r="ABQ1302"/>
      <c r="ABR1302"/>
      <c r="ABS1302"/>
      <c r="ABT1302"/>
      <c r="ABU1302"/>
      <c r="ABV1302"/>
      <c r="ABW1302"/>
      <c r="ABX1302"/>
      <c r="ABY1302"/>
      <c r="ABZ1302"/>
      <c r="ACA1302"/>
      <c r="ACB1302"/>
      <c r="ACC1302"/>
      <c r="ACD1302"/>
      <c r="ACE1302"/>
      <c r="ACF1302"/>
      <c r="ACG1302"/>
      <c r="ACH1302"/>
      <c r="ACI1302"/>
      <c r="ACJ1302"/>
      <c r="ACK1302"/>
      <c r="ACL1302"/>
      <c r="ACM1302"/>
      <c r="ACN1302"/>
      <c r="ACO1302"/>
      <c r="ACP1302"/>
      <c r="ACQ1302"/>
      <c r="ACR1302"/>
      <c r="ACS1302"/>
      <c r="ACT1302"/>
      <c r="ACU1302"/>
      <c r="ACV1302"/>
      <c r="ACW1302"/>
      <c r="ACX1302"/>
      <c r="ACY1302"/>
      <c r="ACZ1302"/>
      <c r="ADA1302"/>
      <c r="ADB1302"/>
      <c r="ADC1302"/>
      <c r="ADD1302"/>
      <c r="ADE1302"/>
      <c r="ADF1302"/>
      <c r="ADG1302"/>
      <c r="ADH1302"/>
      <c r="ADI1302"/>
      <c r="ADJ1302"/>
      <c r="ADK1302"/>
      <c r="ADL1302"/>
      <c r="ADM1302"/>
      <c r="ADN1302"/>
      <c r="ADO1302"/>
      <c r="ADP1302"/>
      <c r="ADQ1302"/>
      <c r="ADR1302"/>
      <c r="ADS1302"/>
      <c r="ADT1302"/>
      <c r="ADU1302"/>
      <c r="ADV1302"/>
      <c r="ADW1302"/>
      <c r="ADX1302"/>
      <c r="ADY1302"/>
      <c r="ADZ1302"/>
      <c r="AEA1302"/>
      <c r="AEB1302"/>
      <c r="AEC1302"/>
      <c r="AED1302"/>
      <c r="AEE1302"/>
      <c r="AEF1302"/>
      <c r="AEG1302"/>
      <c r="AEH1302"/>
      <c r="AEI1302"/>
      <c r="AEJ1302"/>
      <c r="AEK1302"/>
      <c r="AEL1302"/>
      <c r="AEM1302"/>
      <c r="AEN1302"/>
      <c r="AEO1302"/>
      <c r="AEP1302"/>
      <c r="AEQ1302"/>
      <c r="AER1302"/>
      <c r="AES1302"/>
      <c r="AET1302"/>
      <c r="AEU1302"/>
      <c r="AEV1302"/>
      <c r="AEW1302"/>
      <c r="AEX1302"/>
      <c r="AEY1302"/>
      <c r="AEZ1302"/>
      <c r="AFA1302"/>
      <c r="AFB1302"/>
      <c r="AFC1302"/>
      <c r="AFD1302"/>
      <c r="AFE1302"/>
      <c r="AFF1302"/>
      <c r="AFG1302"/>
      <c r="AFH1302"/>
      <c r="AFI1302"/>
      <c r="AFJ1302"/>
      <c r="AFK1302"/>
      <c r="AFL1302"/>
      <c r="AFM1302"/>
      <c r="AFN1302"/>
      <c r="AFO1302"/>
      <c r="AFP1302"/>
      <c r="AFQ1302"/>
      <c r="AFR1302"/>
      <c r="AFS1302"/>
      <c r="AFT1302"/>
      <c r="AFU1302"/>
      <c r="AFV1302"/>
      <c r="AFW1302"/>
      <c r="AFX1302"/>
      <c r="AFY1302"/>
      <c r="AFZ1302"/>
      <c r="AGA1302"/>
      <c r="AGB1302"/>
      <c r="AGC1302"/>
      <c r="AGD1302"/>
      <c r="AGE1302"/>
      <c r="AGF1302"/>
      <c r="AGG1302"/>
      <c r="AGH1302"/>
      <c r="AGI1302"/>
      <c r="AGJ1302"/>
      <c r="AGK1302"/>
      <c r="AGL1302"/>
      <c r="AGM1302"/>
      <c r="AGN1302"/>
      <c r="AGO1302"/>
      <c r="AGP1302"/>
      <c r="AGQ1302"/>
      <c r="AGR1302"/>
      <c r="AGS1302"/>
      <c r="AGT1302"/>
      <c r="AGU1302"/>
      <c r="AGV1302"/>
      <c r="AGW1302"/>
      <c r="AGX1302"/>
      <c r="AGY1302"/>
      <c r="AGZ1302"/>
      <c r="AHA1302"/>
      <c r="AHB1302"/>
      <c r="AHC1302"/>
      <c r="AHD1302"/>
      <c r="AHE1302"/>
      <c r="AHF1302"/>
      <c r="AHG1302"/>
      <c r="AHH1302"/>
      <c r="AHI1302"/>
      <c r="AHJ1302"/>
      <c r="AHK1302"/>
      <c r="AHL1302"/>
      <c r="AHM1302"/>
      <c r="AHN1302"/>
      <c r="AHO1302"/>
      <c r="AHP1302"/>
      <c r="AHQ1302"/>
      <c r="AHR1302"/>
      <c r="AHS1302"/>
      <c r="AHT1302"/>
      <c r="AHU1302"/>
      <c r="AHV1302"/>
      <c r="AHW1302"/>
      <c r="AHX1302"/>
      <c r="AHY1302"/>
      <c r="AHZ1302"/>
      <c r="AIA1302"/>
      <c r="AIB1302"/>
      <c r="AIC1302"/>
      <c r="AID1302"/>
      <c r="AIE1302"/>
      <c r="AIF1302"/>
      <c r="AIG1302"/>
      <c r="AIH1302"/>
      <c r="AII1302"/>
      <c r="AIJ1302"/>
      <c r="AIK1302"/>
      <c r="AIL1302"/>
      <c r="AIM1302"/>
      <c r="AIN1302"/>
      <c r="AIO1302"/>
      <c r="AIP1302"/>
      <c r="AIQ1302"/>
      <c r="AIR1302"/>
      <c r="AIS1302"/>
      <c r="AIT1302"/>
      <c r="AIU1302"/>
      <c r="AIV1302"/>
      <c r="AIW1302"/>
      <c r="AIX1302"/>
      <c r="AIY1302"/>
      <c r="AIZ1302"/>
      <c r="AJA1302"/>
      <c r="AJB1302"/>
      <c r="AJC1302"/>
      <c r="AJD1302"/>
      <c r="AJE1302"/>
      <c r="AJF1302"/>
      <c r="AJG1302"/>
      <c r="AJH1302"/>
      <c r="AJI1302"/>
      <c r="AJJ1302"/>
      <c r="AJK1302"/>
      <c r="AJL1302"/>
      <c r="AJM1302"/>
      <c r="AJN1302"/>
      <c r="AJO1302"/>
      <c r="AJP1302"/>
      <c r="AJQ1302"/>
      <c r="AJR1302"/>
      <c r="AJS1302"/>
      <c r="AJT1302"/>
      <c r="AJU1302"/>
      <c r="AJV1302"/>
      <c r="AJW1302"/>
      <c r="AJX1302"/>
      <c r="AJY1302"/>
      <c r="AJZ1302"/>
      <c r="AKA1302"/>
      <c r="AKB1302"/>
      <c r="AKC1302"/>
      <c r="AKD1302"/>
      <c r="AKE1302"/>
      <c r="AKF1302"/>
      <c r="AKG1302"/>
      <c r="AKH1302"/>
      <c r="AKI1302"/>
      <c r="AKJ1302"/>
      <c r="AKK1302"/>
      <c r="AKL1302"/>
      <c r="AKM1302"/>
      <c r="AKN1302"/>
      <c r="AKO1302"/>
      <c r="AKP1302"/>
      <c r="AKQ1302"/>
      <c r="AKR1302"/>
      <c r="AKS1302"/>
      <c r="AKT1302"/>
      <c r="AKU1302"/>
      <c r="AKV1302"/>
      <c r="AKW1302"/>
      <c r="AKX1302"/>
      <c r="AKY1302"/>
      <c r="AKZ1302"/>
      <c r="ALA1302"/>
      <c r="ALB1302"/>
      <c r="ALC1302"/>
      <c r="ALD1302"/>
      <c r="ALE1302"/>
      <c r="ALF1302"/>
      <c r="ALG1302"/>
      <c r="ALH1302"/>
      <c r="ALI1302"/>
      <c r="ALJ1302"/>
      <c r="ALK1302"/>
      <c r="ALL1302"/>
      <c r="ALM1302"/>
      <c r="ALN1302"/>
      <c r="ALO1302"/>
      <c r="ALP1302"/>
      <c r="ALQ1302"/>
      <c r="ALR1302"/>
      <c r="ALS1302"/>
      <c r="ALT1302"/>
    </row>
    <row r="1303" spans="1:1008" x14ac:dyDescent="0.15">
      <c r="A1303" t="s">
        <v>4005</v>
      </c>
      <c r="B1303" s="8" t="s">
        <v>4082</v>
      </c>
      <c r="C1303" t="s">
        <v>4005</v>
      </c>
      <c r="D1303" s="8" t="s">
        <v>15</v>
      </c>
      <c r="E1303" t="s">
        <v>4005</v>
      </c>
      <c r="F1303" t="s">
        <v>4006</v>
      </c>
      <c r="G1303">
        <v>200</v>
      </c>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c r="AT1303"/>
      <c r="AU1303"/>
      <c r="AV1303"/>
      <c r="AW1303"/>
      <c r="AX1303"/>
      <c r="AY1303"/>
      <c r="AZ1303"/>
      <c r="BA1303"/>
      <c r="BB1303"/>
      <c r="BC1303"/>
      <c r="BD1303"/>
      <c r="BE1303"/>
      <c r="BF1303"/>
      <c r="BG1303"/>
      <c r="BH1303"/>
      <c r="BI1303"/>
      <c r="BJ1303"/>
      <c r="BK1303"/>
      <c r="BL1303"/>
      <c r="BM1303"/>
      <c r="BN1303"/>
      <c r="BO1303"/>
      <c r="BP1303"/>
      <c r="BQ1303"/>
      <c r="BR1303"/>
      <c r="BS1303"/>
      <c r="BT1303"/>
      <c r="BU1303"/>
      <c r="BV1303"/>
      <c r="BW1303"/>
      <c r="BX1303"/>
      <c r="BY1303"/>
      <c r="BZ1303"/>
      <c r="CA1303"/>
      <c r="CB1303"/>
      <c r="CC1303"/>
      <c r="CD1303"/>
      <c r="CE1303"/>
      <c r="CF1303"/>
      <c r="CG1303"/>
      <c r="CH1303"/>
      <c r="CI1303"/>
      <c r="CJ1303"/>
      <c r="CK1303"/>
      <c r="CL1303"/>
      <c r="CM1303"/>
      <c r="CN1303"/>
      <c r="CO1303"/>
      <c r="CP1303"/>
      <c r="CQ1303"/>
      <c r="CR1303"/>
      <c r="CS1303"/>
      <c r="CT1303"/>
      <c r="CU1303"/>
      <c r="CV1303"/>
      <c r="CW1303"/>
      <c r="CX1303"/>
      <c r="CY1303"/>
      <c r="CZ1303"/>
      <c r="DA1303"/>
      <c r="DB1303"/>
      <c r="DC1303"/>
      <c r="DD1303"/>
      <c r="DE1303"/>
      <c r="DF1303"/>
      <c r="DG1303"/>
      <c r="DH1303"/>
      <c r="DI1303"/>
      <c r="DJ1303"/>
      <c r="DK1303"/>
      <c r="DL1303"/>
      <c r="DM1303"/>
      <c r="DN1303"/>
      <c r="DO1303"/>
      <c r="DP1303"/>
      <c r="DQ1303"/>
      <c r="DR1303"/>
      <c r="DS1303"/>
      <c r="DT1303"/>
      <c r="DU1303"/>
      <c r="DV1303"/>
      <c r="DW1303"/>
      <c r="DX1303"/>
      <c r="DY1303"/>
      <c r="DZ1303"/>
      <c r="EA1303"/>
      <c r="EB1303"/>
      <c r="EC1303"/>
      <c r="ED1303"/>
      <c r="EE1303"/>
      <c r="EF1303"/>
      <c r="EG1303"/>
      <c r="EH1303"/>
      <c r="EI1303"/>
      <c r="EJ1303"/>
      <c r="EK1303"/>
      <c r="EL1303"/>
      <c r="EM1303"/>
      <c r="EN1303"/>
      <c r="EO1303"/>
      <c r="EP1303"/>
      <c r="EQ1303"/>
      <c r="ER1303"/>
      <c r="ES1303"/>
      <c r="ET1303"/>
      <c r="EU1303"/>
      <c r="EV1303"/>
      <c r="EW1303"/>
      <c r="EX1303"/>
      <c r="EY1303"/>
      <c r="EZ1303"/>
      <c r="FA1303"/>
      <c r="FB1303"/>
      <c r="FC1303"/>
      <c r="FD1303"/>
      <c r="FE1303"/>
      <c r="FF1303"/>
      <c r="FG1303"/>
      <c r="FH1303"/>
      <c r="FI1303"/>
      <c r="FJ1303"/>
      <c r="FK1303"/>
      <c r="FL1303"/>
      <c r="FM1303"/>
      <c r="FN1303"/>
      <c r="FO1303"/>
      <c r="FP1303"/>
      <c r="FQ1303"/>
      <c r="FR1303"/>
      <c r="FS1303"/>
      <c r="FT1303"/>
      <c r="FU1303"/>
      <c r="FV1303"/>
      <c r="FW1303"/>
      <c r="FX1303"/>
      <c r="FY1303"/>
      <c r="FZ1303"/>
      <c r="GA1303"/>
      <c r="GB1303"/>
      <c r="GC1303"/>
      <c r="GD1303"/>
      <c r="GE1303"/>
      <c r="GF1303"/>
      <c r="GG1303"/>
      <c r="GH1303"/>
      <c r="GI1303"/>
      <c r="GJ1303"/>
      <c r="GK1303"/>
      <c r="GL1303"/>
      <c r="GM1303"/>
      <c r="GN1303"/>
      <c r="GO1303"/>
      <c r="GP1303"/>
      <c r="GQ1303"/>
      <c r="GR1303"/>
      <c r="GS1303"/>
      <c r="GT1303"/>
      <c r="GU1303"/>
      <c r="GV1303"/>
      <c r="GW1303"/>
      <c r="GX1303"/>
      <c r="GY1303"/>
      <c r="GZ1303"/>
      <c r="HA1303"/>
      <c r="HB1303"/>
      <c r="HC1303"/>
      <c r="HD1303"/>
      <c r="HE1303"/>
      <c r="HF1303"/>
      <c r="HG1303"/>
      <c r="HH1303"/>
      <c r="HI1303"/>
      <c r="HJ1303"/>
      <c r="HK1303"/>
      <c r="HL1303"/>
      <c r="HM1303"/>
      <c r="HN1303"/>
      <c r="HO1303"/>
      <c r="HP1303"/>
      <c r="HQ1303"/>
      <c r="HR1303"/>
      <c r="HS1303"/>
      <c r="HT1303"/>
      <c r="HU1303"/>
      <c r="HV1303"/>
      <c r="HW1303"/>
      <c r="HX1303"/>
      <c r="HY1303"/>
      <c r="HZ1303"/>
      <c r="IA1303"/>
      <c r="IB1303"/>
      <c r="IC1303"/>
      <c r="ID1303"/>
      <c r="IE1303"/>
      <c r="IF1303"/>
      <c r="IG1303"/>
      <c r="IH1303"/>
      <c r="II1303"/>
      <c r="IJ1303"/>
      <c r="IK1303"/>
      <c r="IL1303"/>
      <c r="IM1303"/>
      <c r="IN1303"/>
      <c r="IO1303"/>
      <c r="IP1303"/>
      <c r="IQ1303"/>
      <c r="IR1303"/>
      <c r="IS1303"/>
      <c r="IT1303"/>
      <c r="IU1303"/>
      <c r="IV1303"/>
      <c r="IW1303"/>
      <c r="IX1303"/>
      <c r="IY1303"/>
      <c r="IZ1303"/>
      <c r="JA1303"/>
      <c r="JB1303"/>
      <c r="JC1303"/>
      <c r="JD1303"/>
      <c r="JE1303"/>
      <c r="JF1303"/>
      <c r="JG1303"/>
      <c r="JH1303"/>
      <c r="JI1303"/>
      <c r="JJ1303"/>
      <c r="JK1303"/>
      <c r="JL1303"/>
      <c r="JM1303"/>
      <c r="JN1303"/>
      <c r="JO1303"/>
      <c r="JP1303"/>
      <c r="JQ1303"/>
      <c r="JR1303"/>
      <c r="JS1303"/>
      <c r="JT1303"/>
      <c r="JU1303"/>
      <c r="JV1303"/>
      <c r="JW1303"/>
      <c r="JX1303"/>
      <c r="JY1303"/>
      <c r="JZ1303"/>
      <c r="KA1303"/>
      <c r="KB1303"/>
      <c r="KC1303"/>
      <c r="KD1303"/>
      <c r="KE1303"/>
      <c r="KF1303"/>
      <c r="KG1303"/>
      <c r="KH1303"/>
      <c r="KI1303"/>
      <c r="KJ1303"/>
      <c r="KK1303"/>
      <c r="KL1303"/>
      <c r="KM1303"/>
      <c r="KN1303"/>
      <c r="KO1303"/>
      <c r="KP1303"/>
      <c r="KQ1303"/>
      <c r="KR1303"/>
      <c r="KS1303"/>
      <c r="KT1303"/>
      <c r="KU1303"/>
      <c r="KV1303"/>
      <c r="KW1303"/>
      <c r="KX1303"/>
      <c r="KY1303"/>
      <c r="KZ1303"/>
      <c r="LA1303"/>
      <c r="LB1303"/>
      <c r="LC1303"/>
      <c r="LD1303"/>
      <c r="LE1303"/>
      <c r="LF1303"/>
      <c r="LG1303"/>
      <c r="LH1303"/>
      <c r="LI1303"/>
      <c r="LJ1303"/>
      <c r="LK1303"/>
      <c r="LL1303"/>
      <c r="LM1303"/>
      <c r="LN1303"/>
      <c r="LO1303"/>
      <c r="LP1303"/>
      <c r="LQ1303"/>
      <c r="LR1303"/>
      <c r="LS1303"/>
      <c r="LT1303"/>
      <c r="LU1303"/>
      <c r="LV1303"/>
      <c r="LW1303"/>
      <c r="LX1303"/>
      <c r="LY1303"/>
      <c r="LZ1303"/>
      <c r="MA1303"/>
      <c r="MB1303"/>
      <c r="MC1303"/>
      <c r="MD1303"/>
      <c r="ME1303"/>
      <c r="MF1303"/>
      <c r="MG1303"/>
      <c r="MH1303"/>
      <c r="MI1303"/>
      <c r="MJ1303"/>
      <c r="MK1303"/>
      <c r="ML1303"/>
      <c r="MM1303"/>
      <c r="MN1303"/>
      <c r="MO1303"/>
      <c r="MP1303"/>
      <c r="MQ1303"/>
      <c r="MR1303"/>
      <c r="MS1303"/>
      <c r="MT1303"/>
      <c r="MU1303"/>
      <c r="MV1303"/>
      <c r="MW1303"/>
      <c r="MX1303"/>
      <c r="MY1303"/>
      <c r="MZ1303"/>
      <c r="NA1303"/>
      <c r="NB1303"/>
      <c r="NC1303"/>
      <c r="ND1303"/>
      <c r="NE1303"/>
      <c r="NF1303"/>
      <c r="NG1303"/>
      <c r="NH1303"/>
      <c r="NI1303"/>
      <c r="NJ1303"/>
      <c r="NK1303"/>
      <c r="NL1303"/>
      <c r="NM1303"/>
      <c r="NN1303"/>
      <c r="NO1303"/>
      <c r="NP1303"/>
      <c r="NQ1303"/>
      <c r="NR1303"/>
      <c r="NS1303"/>
      <c r="NT1303"/>
      <c r="NU1303"/>
      <c r="NV1303"/>
      <c r="NW1303"/>
      <c r="NX1303"/>
      <c r="NY1303"/>
      <c r="NZ1303"/>
      <c r="OA1303"/>
      <c r="OB1303"/>
      <c r="OC1303"/>
      <c r="OD1303"/>
      <c r="OE1303"/>
      <c r="OF1303"/>
      <c r="OG1303"/>
      <c r="OH1303"/>
      <c r="OI1303"/>
      <c r="OJ1303"/>
      <c r="OK1303"/>
      <c r="OL1303"/>
      <c r="OM1303"/>
      <c r="ON1303"/>
      <c r="OO1303"/>
      <c r="OP1303"/>
      <c r="OQ1303"/>
      <c r="OR1303"/>
      <c r="OS1303"/>
      <c r="OT1303"/>
      <c r="OU1303"/>
      <c r="OV1303"/>
      <c r="OW1303"/>
      <c r="OX1303"/>
      <c r="OY1303"/>
      <c r="OZ1303"/>
      <c r="PA1303"/>
      <c r="PB1303"/>
      <c r="PC1303"/>
      <c r="PD1303"/>
      <c r="PE1303"/>
      <c r="PF1303"/>
      <c r="PG1303"/>
      <c r="PH1303"/>
      <c r="PI1303"/>
      <c r="PJ1303"/>
      <c r="PK1303"/>
      <c r="PL1303"/>
      <c r="PM1303"/>
      <c r="PN1303"/>
      <c r="PO1303"/>
      <c r="PP1303"/>
      <c r="PQ1303"/>
      <c r="PR1303"/>
      <c r="PS1303"/>
      <c r="PT1303"/>
      <c r="PU1303"/>
      <c r="PV1303"/>
      <c r="PW1303"/>
      <c r="PX1303"/>
      <c r="PY1303"/>
      <c r="PZ1303"/>
      <c r="QA1303"/>
      <c r="QB1303"/>
      <c r="QC1303"/>
      <c r="QD1303"/>
      <c r="QE1303"/>
      <c r="QF1303"/>
      <c r="QG1303"/>
      <c r="QH1303"/>
      <c r="QI1303"/>
      <c r="QJ1303"/>
      <c r="QK1303"/>
      <c r="QL1303"/>
      <c r="QM1303"/>
      <c r="QN1303"/>
      <c r="QO1303"/>
      <c r="QP1303"/>
      <c r="QQ1303"/>
      <c r="QR1303"/>
      <c r="QS1303"/>
      <c r="QT1303"/>
      <c r="QU1303"/>
      <c r="QV1303"/>
      <c r="QW1303"/>
      <c r="QX1303"/>
      <c r="QY1303"/>
      <c r="QZ1303"/>
      <c r="RA1303"/>
      <c r="RB1303"/>
      <c r="RC1303"/>
      <c r="RD1303"/>
      <c r="RE1303"/>
      <c r="RF1303"/>
      <c r="RG1303"/>
      <c r="RH1303"/>
      <c r="RI1303"/>
      <c r="RJ1303"/>
      <c r="RK1303"/>
      <c r="RL1303"/>
      <c r="RM1303"/>
      <c r="RN1303"/>
      <c r="RO1303"/>
      <c r="RP1303"/>
      <c r="RQ1303"/>
      <c r="RR1303"/>
      <c r="RS1303"/>
      <c r="RT1303"/>
      <c r="RU1303"/>
      <c r="RV1303"/>
      <c r="RW1303"/>
      <c r="RX1303"/>
      <c r="RY1303"/>
      <c r="RZ1303"/>
      <c r="SA1303"/>
      <c r="SB1303"/>
      <c r="SC1303"/>
      <c r="SD1303"/>
      <c r="SE1303"/>
      <c r="SF1303"/>
      <c r="SG1303"/>
      <c r="SH1303"/>
      <c r="SI1303"/>
      <c r="SJ1303"/>
      <c r="SK1303"/>
      <c r="SL1303"/>
      <c r="SM1303"/>
      <c r="SN1303"/>
      <c r="SO1303"/>
      <c r="SP1303"/>
      <c r="SQ1303"/>
      <c r="SR1303"/>
      <c r="SS1303"/>
      <c r="ST1303"/>
      <c r="SU1303"/>
      <c r="SV1303"/>
      <c r="SW1303"/>
      <c r="SX1303"/>
      <c r="SY1303"/>
      <c r="SZ1303"/>
      <c r="TA1303"/>
      <c r="TB1303"/>
      <c r="TC1303"/>
      <c r="TD1303"/>
      <c r="TE1303"/>
      <c r="TF1303"/>
      <c r="TG1303"/>
      <c r="TH1303"/>
      <c r="TI1303"/>
      <c r="TJ1303"/>
      <c r="TK1303"/>
      <c r="TL1303"/>
      <c r="TM1303"/>
      <c r="TN1303"/>
      <c r="TO1303"/>
      <c r="TP1303"/>
      <c r="TQ1303"/>
      <c r="TR1303"/>
      <c r="TS1303"/>
      <c r="TT1303"/>
      <c r="TU1303"/>
      <c r="TV1303"/>
      <c r="TW1303"/>
      <c r="TX1303"/>
      <c r="TY1303"/>
      <c r="TZ1303"/>
      <c r="UA1303"/>
      <c r="UB1303"/>
      <c r="UC1303"/>
      <c r="UD1303"/>
      <c r="UE1303"/>
      <c r="UF1303"/>
      <c r="UG1303"/>
      <c r="UH1303"/>
      <c r="UI1303"/>
      <c r="UJ1303"/>
      <c r="UK1303"/>
      <c r="UL1303"/>
      <c r="UM1303"/>
      <c r="UN1303"/>
      <c r="UO1303"/>
      <c r="UP1303"/>
      <c r="UQ1303"/>
      <c r="UR1303"/>
      <c r="US1303"/>
      <c r="UT1303"/>
      <c r="UU1303"/>
      <c r="UV1303"/>
      <c r="UW1303"/>
      <c r="UX1303"/>
      <c r="UY1303"/>
      <c r="UZ1303"/>
      <c r="VA1303"/>
      <c r="VB1303"/>
      <c r="VC1303"/>
      <c r="VD1303"/>
      <c r="VE1303"/>
      <c r="VF1303"/>
      <c r="VG1303"/>
      <c r="VH1303"/>
      <c r="VI1303"/>
      <c r="VJ1303"/>
      <c r="VK1303"/>
      <c r="VL1303"/>
      <c r="VM1303"/>
      <c r="VN1303"/>
      <c r="VO1303"/>
      <c r="VP1303"/>
      <c r="VQ1303"/>
      <c r="VR1303"/>
      <c r="VS1303"/>
      <c r="VT1303"/>
      <c r="VU1303"/>
      <c r="VV1303"/>
      <c r="VW1303"/>
      <c r="VX1303"/>
      <c r="VY1303"/>
      <c r="VZ1303"/>
      <c r="WA1303"/>
      <c r="WB1303"/>
      <c r="WC1303"/>
      <c r="WD1303"/>
      <c r="WE1303"/>
      <c r="WF1303"/>
      <c r="WG1303"/>
      <c r="WH1303"/>
      <c r="WI1303"/>
      <c r="WJ1303"/>
      <c r="WK1303"/>
      <c r="WL1303"/>
      <c r="WM1303"/>
      <c r="WN1303"/>
      <c r="WO1303"/>
      <c r="WP1303"/>
      <c r="WQ1303"/>
      <c r="WR1303"/>
      <c r="WS1303"/>
      <c r="WT1303"/>
      <c r="WU1303"/>
      <c r="WV1303"/>
      <c r="WW1303"/>
      <c r="WX1303"/>
      <c r="WY1303"/>
      <c r="WZ1303"/>
      <c r="XA1303"/>
      <c r="XB1303"/>
      <c r="XC1303"/>
      <c r="XD1303"/>
      <c r="XE1303"/>
      <c r="XF1303"/>
      <c r="XG1303"/>
      <c r="XH1303"/>
      <c r="XI1303"/>
      <c r="XJ1303"/>
      <c r="XK1303"/>
      <c r="XL1303"/>
      <c r="XM1303"/>
      <c r="XN1303"/>
      <c r="XO1303"/>
      <c r="XP1303"/>
      <c r="XQ1303"/>
      <c r="XR1303"/>
      <c r="XS1303"/>
      <c r="XT1303"/>
      <c r="XU1303"/>
      <c r="XV1303"/>
      <c r="XW1303"/>
      <c r="XX1303"/>
      <c r="XY1303"/>
      <c r="XZ1303"/>
      <c r="YA1303"/>
      <c r="YB1303"/>
      <c r="YC1303"/>
      <c r="YD1303"/>
      <c r="YE1303"/>
      <c r="YF1303"/>
      <c r="YG1303"/>
      <c r="YH1303"/>
      <c r="YI1303"/>
      <c r="YJ1303"/>
      <c r="YK1303"/>
      <c r="YL1303"/>
      <c r="YM1303"/>
      <c r="YN1303"/>
      <c r="YO1303"/>
      <c r="YP1303"/>
      <c r="YQ1303"/>
      <c r="YR1303"/>
      <c r="YS1303"/>
      <c r="YT1303"/>
      <c r="YU1303"/>
      <c r="YV1303"/>
      <c r="YW1303"/>
      <c r="YX1303"/>
      <c r="YY1303"/>
      <c r="YZ1303"/>
      <c r="ZA1303"/>
      <c r="ZB1303"/>
      <c r="ZC1303"/>
      <c r="ZD1303"/>
      <c r="ZE1303"/>
      <c r="ZF1303"/>
      <c r="ZG1303"/>
      <c r="ZH1303"/>
      <c r="ZI1303"/>
      <c r="ZJ1303"/>
      <c r="ZK1303"/>
      <c r="ZL1303"/>
      <c r="ZM1303"/>
      <c r="ZN1303"/>
      <c r="ZO1303"/>
      <c r="ZP1303"/>
      <c r="ZQ1303"/>
      <c r="ZR1303"/>
      <c r="ZS1303"/>
      <c r="ZT1303"/>
      <c r="ZU1303"/>
      <c r="ZV1303"/>
      <c r="ZW1303"/>
      <c r="ZX1303"/>
      <c r="ZY1303"/>
      <c r="ZZ1303"/>
      <c r="AAA1303"/>
      <c r="AAB1303"/>
      <c r="AAC1303"/>
      <c r="AAD1303"/>
      <c r="AAE1303"/>
      <c r="AAF1303"/>
      <c r="AAG1303"/>
      <c r="AAH1303"/>
      <c r="AAI1303"/>
      <c r="AAJ1303"/>
      <c r="AAK1303"/>
      <c r="AAL1303"/>
      <c r="AAM1303"/>
      <c r="AAN1303"/>
      <c r="AAO1303"/>
      <c r="AAP1303"/>
      <c r="AAQ1303"/>
      <c r="AAR1303"/>
      <c r="AAS1303"/>
      <c r="AAT1303"/>
      <c r="AAU1303"/>
      <c r="AAV1303"/>
      <c r="AAW1303"/>
      <c r="AAX1303"/>
      <c r="AAY1303"/>
      <c r="AAZ1303"/>
      <c r="ABA1303"/>
      <c r="ABB1303"/>
      <c r="ABC1303"/>
      <c r="ABD1303"/>
      <c r="ABE1303"/>
      <c r="ABF1303"/>
      <c r="ABG1303"/>
      <c r="ABH1303"/>
      <c r="ABI1303"/>
      <c r="ABJ1303"/>
      <c r="ABK1303"/>
      <c r="ABL1303"/>
      <c r="ABM1303"/>
      <c r="ABN1303"/>
      <c r="ABO1303"/>
      <c r="ABP1303"/>
      <c r="ABQ1303"/>
      <c r="ABR1303"/>
      <c r="ABS1303"/>
      <c r="ABT1303"/>
      <c r="ABU1303"/>
      <c r="ABV1303"/>
      <c r="ABW1303"/>
      <c r="ABX1303"/>
      <c r="ABY1303"/>
      <c r="ABZ1303"/>
      <c r="ACA1303"/>
      <c r="ACB1303"/>
      <c r="ACC1303"/>
      <c r="ACD1303"/>
      <c r="ACE1303"/>
      <c r="ACF1303"/>
      <c r="ACG1303"/>
      <c r="ACH1303"/>
      <c r="ACI1303"/>
      <c r="ACJ1303"/>
      <c r="ACK1303"/>
      <c r="ACL1303"/>
      <c r="ACM1303"/>
      <c r="ACN1303"/>
      <c r="ACO1303"/>
      <c r="ACP1303"/>
      <c r="ACQ1303"/>
      <c r="ACR1303"/>
      <c r="ACS1303"/>
      <c r="ACT1303"/>
      <c r="ACU1303"/>
      <c r="ACV1303"/>
      <c r="ACW1303"/>
      <c r="ACX1303"/>
      <c r="ACY1303"/>
      <c r="ACZ1303"/>
      <c r="ADA1303"/>
      <c r="ADB1303"/>
      <c r="ADC1303"/>
      <c r="ADD1303"/>
      <c r="ADE1303"/>
      <c r="ADF1303"/>
      <c r="ADG1303"/>
      <c r="ADH1303"/>
      <c r="ADI1303"/>
      <c r="ADJ1303"/>
      <c r="ADK1303"/>
      <c r="ADL1303"/>
      <c r="ADM1303"/>
      <c r="ADN1303"/>
      <c r="ADO1303"/>
      <c r="ADP1303"/>
      <c r="ADQ1303"/>
      <c r="ADR1303"/>
      <c r="ADS1303"/>
      <c r="ADT1303"/>
      <c r="ADU1303"/>
      <c r="ADV1303"/>
      <c r="ADW1303"/>
      <c r="ADX1303"/>
      <c r="ADY1303"/>
      <c r="ADZ1303"/>
      <c r="AEA1303"/>
      <c r="AEB1303"/>
      <c r="AEC1303"/>
      <c r="AED1303"/>
      <c r="AEE1303"/>
      <c r="AEF1303"/>
      <c r="AEG1303"/>
      <c r="AEH1303"/>
      <c r="AEI1303"/>
      <c r="AEJ1303"/>
      <c r="AEK1303"/>
      <c r="AEL1303"/>
      <c r="AEM1303"/>
      <c r="AEN1303"/>
      <c r="AEO1303"/>
      <c r="AEP1303"/>
      <c r="AEQ1303"/>
      <c r="AER1303"/>
      <c r="AES1303"/>
      <c r="AET1303"/>
      <c r="AEU1303"/>
      <c r="AEV1303"/>
      <c r="AEW1303"/>
      <c r="AEX1303"/>
      <c r="AEY1303"/>
      <c r="AEZ1303"/>
      <c r="AFA1303"/>
      <c r="AFB1303"/>
      <c r="AFC1303"/>
      <c r="AFD1303"/>
      <c r="AFE1303"/>
      <c r="AFF1303"/>
      <c r="AFG1303"/>
      <c r="AFH1303"/>
      <c r="AFI1303"/>
      <c r="AFJ1303"/>
      <c r="AFK1303"/>
      <c r="AFL1303"/>
      <c r="AFM1303"/>
      <c r="AFN1303"/>
      <c r="AFO1303"/>
      <c r="AFP1303"/>
      <c r="AFQ1303"/>
      <c r="AFR1303"/>
      <c r="AFS1303"/>
      <c r="AFT1303"/>
      <c r="AFU1303"/>
      <c r="AFV1303"/>
      <c r="AFW1303"/>
      <c r="AFX1303"/>
      <c r="AFY1303"/>
      <c r="AFZ1303"/>
      <c r="AGA1303"/>
      <c r="AGB1303"/>
      <c r="AGC1303"/>
      <c r="AGD1303"/>
      <c r="AGE1303"/>
      <c r="AGF1303"/>
      <c r="AGG1303"/>
      <c r="AGH1303"/>
      <c r="AGI1303"/>
      <c r="AGJ1303"/>
      <c r="AGK1303"/>
      <c r="AGL1303"/>
      <c r="AGM1303"/>
      <c r="AGN1303"/>
      <c r="AGO1303"/>
      <c r="AGP1303"/>
      <c r="AGQ1303"/>
      <c r="AGR1303"/>
      <c r="AGS1303"/>
      <c r="AGT1303"/>
      <c r="AGU1303"/>
      <c r="AGV1303"/>
      <c r="AGW1303"/>
      <c r="AGX1303"/>
      <c r="AGY1303"/>
      <c r="AGZ1303"/>
      <c r="AHA1303"/>
      <c r="AHB1303"/>
      <c r="AHC1303"/>
      <c r="AHD1303"/>
      <c r="AHE1303"/>
      <c r="AHF1303"/>
      <c r="AHG1303"/>
      <c r="AHH1303"/>
      <c r="AHI1303"/>
      <c r="AHJ1303"/>
      <c r="AHK1303"/>
      <c r="AHL1303"/>
      <c r="AHM1303"/>
      <c r="AHN1303"/>
      <c r="AHO1303"/>
      <c r="AHP1303"/>
      <c r="AHQ1303"/>
      <c r="AHR1303"/>
      <c r="AHS1303"/>
      <c r="AHT1303"/>
      <c r="AHU1303"/>
      <c r="AHV1303"/>
      <c r="AHW1303"/>
      <c r="AHX1303"/>
      <c r="AHY1303"/>
      <c r="AHZ1303"/>
      <c r="AIA1303"/>
      <c r="AIB1303"/>
      <c r="AIC1303"/>
      <c r="AID1303"/>
      <c r="AIE1303"/>
      <c r="AIF1303"/>
      <c r="AIG1303"/>
      <c r="AIH1303"/>
      <c r="AII1303"/>
      <c r="AIJ1303"/>
      <c r="AIK1303"/>
      <c r="AIL1303"/>
      <c r="AIM1303"/>
      <c r="AIN1303"/>
      <c r="AIO1303"/>
      <c r="AIP1303"/>
      <c r="AIQ1303"/>
      <c r="AIR1303"/>
      <c r="AIS1303"/>
      <c r="AIT1303"/>
      <c r="AIU1303"/>
      <c r="AIV1303"/>
      <c r="AIW1303"/>
      <c r="AIX1303"/>
      <c r="AIY1303"/>
      <c r="AIZ1303"/>
      <c r="AJA1303"/>
      <c r="AJB1303"/>
      <c r="AJC1303"/>
      <c r="AJD1303"/>
      <c r="AJE1303"/>
      <c r="AJF1303"/>
      <c r="AJG1303"/>
      <c r="AJH1303"/>
      <c r="AJI1303"/>
      <c r="AJJ1303"/>
      <c r="AJK1303"/>
      <c r="AJL1303"/>
      <c r="AJM1303"/>
      <c r="AJN1303"/>
      <c r="AJO1303"/>
      <c r="AJP1303"/>
      <c r="AJQ1303"/>
      <c r="AJR1303"/>
      <c r="AJS1303"/>
      <c r="AJT1303"/>
      <c r="AJU1303"/>
      <c r="AJV1303"/>
      <c r="AJW1303"/>
      <c r="AJX1303"/>
      <c r="AJY1303"/>
      <c r="AJZ1303"/>
      <c r="AKA1303"/>
      <c r="AKB1303"/>
      <c r="AKC1303"/>
      <c r="AKD1303"/>
      <c r="AKE1303"/>
      <c r="AKF1303"/>
      <c r="AKG1303"/>
      <c r="AKH1303"/>
      <c r="AKI1303"/>
      <c r="AKJ1303"/>
      <c r="AKK1303"/>
      <c r="AKL1303"/>
      <c r="AKM1303"/>
      <c r="AKN1303"/>
      <c r="AKO1303"/>
      <c r="AKP1303"/>
      <c r="AKQ1303"/>
      <c r="AKR1303"/>
      <c r="AKS1303"/>
      <c r="AKT1303"/>
      <c r="AKU1303"/>
      <c r="AKV1303"/>
      <c r="AKW1303"/>
      <c r="AKX1303"/>
      <c r="AKY1303"/>
      <c r="AKZ1303"/>
      <c r="ALA1303"/>
      <c r="ALB1303"/>
      <c r="ALC1303"/>
      <c r="ALD1303"/>
      <c r="ALE1303"/>
      <c r="ALF1303"/>
      <c r="ALG1303"/>
      <c r="ALH1303"/>
      <c r="ALI1303"/>
      <c r="ALJ1303"/>
      <c r="ALK1303"/>
      <c r="ALL1303"/>
      <c r="ALM1303"/>
      <c r="ALN1303"/>
      <c r="ALO1303"/>
      <c r="ALP1303"/>
      <c r="ALQ1303"/>
      <c r="ALR1303"/>
      <c r="ALS1303"/>
      <c r="ALT1303"/>
    </row>
    <row r="1304" spans="1:1008" x14ac:dyDescent="0.15">
      <c r="A1304" t="s">
        <v>4009</v>
      </c>
      <c r="B1304" s="8" t="s">
        <v>4082</v>
      </c>
      <c r="C1304" t="s">
        <v>4009</v>
      </c>
      <c r="D1304" s="8" t="s">
        <v>15</v>
      </c>
      <c r="E1304" t="s">
        <v>4009</v>
      </c>
      <c r="F1304" t="s">
        <v>4010</v>
      </c>
      <c r="G1304">
        <v>750</v>
      </c>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c r="AT1304"/>
      <c r="AU1304"/>
      <c r="AV1304"/>
      <c r="AW1304"/>
      <c r="AX1304"/>
      <c r="AY1304"/>
      <c r="AZ1304"/>
      <c r="BA1304"/>
      <c r="BB1304"/>
      <c r="BC1304"/>
      <c r="BD1304"/>
      <c r="BE1304"/>
      <c r="BF1304"/>
      <c r="BG1304"/>
      <c r="BH1304"/>
      <c r="BI1304"/>
      <c r="BJ1304"/>
      <c r="BK1304"/>
      <c r="BL1304"/>
      <c r="BM1304"/>
      <c r="BN1304"/>
      <c r="BO1304"/>
      <c r="BP1304"/>
      <c r="BQ1304"/>
      <c r="BR1304"/>
      <c r="BS1304"/>
      <c r="BT1304"/>
      <c r="BU1304"/>
      <c r="BV1304"/>
      <c r="BW1304"/>
      <c r="BX1304"/>
      <c r="BY1304"/>
      <c r="BZ1304"/>
      <c r="CA1304"/>
      <c r="CB1304"/>
      <c r="CC1304"/>
      <c r="CD1304"/>
      <c r="CE1304"/>
      <c r="CF1304"/>
      <c r="CG1304"/>
      <c r="CH1304"/>
      <c r="CI1304"/>
      <c r="CJ1304"/>
      <c r="CK1304"/>
      <c r="CL1304"/>
      <c r="CM1304"/>
      <c r="CN1304"/>
      <c r="CO1304"/>
      <c r="CP1304"/>
      <c r="CQ1304"/>
      <c r="CR1304"/>
      <c r="CS1304"/>
      <c r="CT1304"/>
      <c r="CU1304"/>
      <c r="CV1304"/>
      <c r="CW1304"/>
      <c r="CX1304"/>
      <c r="CY1304"/>
      <c r="CZ1304"/>
      <c r="DA1304"/>
      <c r="DB1304"/>
      <c r="DC1304"/>
      <c r="DD1304"/>
      <c r="DE1304"/>
      <c r="DF1304"/>
      <c r="DG1304"/>
      <c r="DH1304"/>
      <c r="DI1304"/>
      <c r="DJ1304"/>
      <c r="DK1304"/>
      <c r="DL1304"/>
      <c r="DM1304"/>
      <c r="DN1304"/>
      <c r="DO1304"/>
      <c r="DP1304"/>
      <c r="DQ1304"/>
      <c r="DR1304"/>
      <c r="DS1304"/>
      <c r="DT1304"/>
      <c r="DU1304"/>
      <c r="DV1304"/>
      <c r="DW1304"/>
      <c r="DX1304"/>
      <c r="DY1304"/>
      <c r="DZ1304"/>
      <c r="EA1304"/>
      <c r="EB1304"/>
      <c r="EC1304"/>
      <c r="ED1304"/>
      <c r="EE1304"/>
      <c r="EF1304"/>
      <c r="EG1304"/>
      <c r="EH1304"/>
      <c r="EI1304"/>
      <c r="EJ1304"/>
      <c r="EK1304"/>
      <c r="EL1304"/>
      <c r="EM1304"/>
      <c r="EN1304"/>
      <c r="EO1304"/>
      <c r="EP1304"/>
      <c r="EQ1304"/>
      <c r="ER1304"/>
      <c r="ES1304"/>
      <c r="ET1304"/>
      <c r="EU1304"/>
      <c r="EV1304"/>
      <c r="EW1304"/>
      <c r="EX1304"/>
      <c r="EY1304"/>
      <c r="EZ1304"/>
      <c r="FA1304"/>
      <c r="FB1304"/>
      <c r="FC1304"/>
      <c r="FD1304"/>
      <c r="FE1304"/>
      <c r="FF1304"/>
      <c r="FG1304"/>
      <c r="FH1304"/>
      <c r="FI1304"/>
      <c r="FJ1304"/>
      <c r="FK1304"/>
      <c r="FL1304"/>
      <c r="FM1304"/>
      <c r="FN1304"/>
      <c r="FO1304"/>
      <c r="FP1304"/>
      <c r="FQ1304"/>
      <c r="FR1304"/>
      <c r="FS1304"/>
      <c r="FT1304"/>
      <c r="FU1304"/>
      <c r="FV1304"/>
      <c r="FW1304"/>
      <c r="FX1304"/>
      <c r="FY1304"/>
      <c r="FZ1304"/>
      <c r="GA1304"/>
      <c r="GB1304"/>
      <c r="GC1304"/>
      <c r="GD1304"/>
      <c r="GE1304"/>
      <c r="GF1304"/>
      <c r="GG1304"/>
      <c r="GH1304"/>
      <c r="GI1304"/>
      <c r="GJ1304"/>
      <c r="GK1304"/>
      <c r="GL1304"/>
      <c r="GM1304"/>
      <c r="GN1304"/>
      <c r="GO1304"/>
      <c r="GP1304"/>
      <c r="GQ1304"/>
      <c r="GR1304"/>
      <c r="GS1304"/>
      <c r="GT1304"/>
      <c r="GU1304"/>
      <c r="GV1304"/>
      <c r="GW1304"/>
      <c r="GX1304"/>
      <c r="GY1304"/>
      <c r="GZ1304"/>
      <c r="HA1304"/>
      <c r="HB1304"/>
      <c r="HC1304"/>
      <c r="HD1304"/>
      <c r="HE1304"/>
      <c r="HF1304"/>
      <c r="HG1304"/>
      <c r="HH1304"/>
      <c r="HI1304"/>
      <c r="HJ1304"/>
      <c r="HK1304"/>
      <c r="HL1304"/>
      <c r="HM1304"/>
      <c r="HN1304"/>
      <c r="HO1304"/>
      <c r="HP1304"/>
      <c r="HQ1304"/>
      <c r="HR1304"/>
      <c r="HS1304"/>
      <c r="HT1304"/>
      <c r="HU1304"/>
      <c r="HV1304"/>
      <c r="HW1304"/>
      <c r="HX1304"/>
      <c r="HY1304"/>
      <c r="HZ1304"/>
      <c r="IA1304"/>
      <c r="IB1304"/>
      <c r="IC1304"/>
      <c r="ID1304"/>
      <c r="IE1304"/>
      <c r="IF1304"/>
      <c r="IG1304"/>
      <c r="IH1304"/>
      <c r="II1304"/>
      <c r="IJ1304"/>
      <c r="IK1304"/>
      <c r="IL1304"/>
      <c r="IM1304"/>
      <c r="IN1304"/>
      <c r="IO1304"/>
      <c r="IP1304"/>
      <c r="IQ1304"/>
      <c r="IR1304"/>
      <c r="IS1304"/>
      <c r="IT1304"/>
      <c r="IU1304"/>
      <c r="IV1304"/>
      <c r="IW1304"/>
      <c r="IX1304"/>
      <c r="IY1304"/>
      <c r="IZ1304"/>
      <c r="JA1304"/>
      <c r="JB1304"/>
      <c r="JC1304"/>
      <c r="JD1304"/>
      <c r="JE1304"/>
      <c r="JF1304"/>
      <c r="JG1304"/>
      <c r="JH1304"/>
      <c r="JI1304"/>
      <c r="JJ1304"/>
      <c r="JK1304"/>
      <c r="JL1304"/>
      <c r="JM1304"/>
      <c r="JN1304"/>
      <c r="JO1304"/>
      <c r="JP1304"/>
      <c r="JQ1304"/>
      <c r="JR1304"/>
      <c r="JS1304"/>
      <c r="JT1304"/>
      <c r="JU1304"/>
      <c r="JV1304"/>
      <c r="JW1304"/>
      <c r="JX1304"/>
      <c r="JY1304"/>
      <c r="JZ1304"/>
      <c r="KA1304"/>
      <c r="KB1304"/>
      <c r="KC1304"/>
      <c r="KD1304"/>
      <c r="KE1304"/>
      <c r="KF1304"/>
      <c r="KG1304"/>
      <c r="KH1304"/>
      <c r="KI1304"/>
      <c r="KJ1304"/>
      <c r="KK1304"/>
      <c r="KL1304"/>
      <c r="KM1304"/>
      <c r="KN1304"/>
      <c r="KO1304"/>
      <c r="KP1304"/>
      <c r="KQ1304"/>
      <c r="KR1304"/>
      <c r="KS1304"/>
      <c r="KT1304"/>
      <c r="KU1304"/>
      <c r="KV1304"/>
      <c r="KW1304"/>
      <c r="KX1304"/>
      <c r="KY1304"/>
      <c r="KZ1304"/>
      <c r="LA1304"/>
      <c r="LB1304"/>
      <c r="LC1304"/>
      <c r="LD1304"/>
      <c r="LE1304"/>
      <c r="LF1304"/>
      <c r="LG1304"/>
      <c r="LH1304"/>
      <c r="LI1304"/>
      <c r="LJ1304"/>
      <c r="LK1304"/>
      <c r="LL1304"/>
      <c r="LM1304"/>
      <c r="LN1304"/>
      <c r="LO1304"/>
      <c r="LP1304"/>
      <c r="LQ1304"/>
      <c r="LR1304"/>
      <c r="LS1304"/>
      <c r="LT1304"/>
      <c r="LU1304"/>
      <c r="LV1304"/>
      <c r="LW1304"/>
      <c r="LX1304"/>
      <c r="LY1304"/>
      <c r="LZ1304"/>
      <c r="MA1304"/>
      <c r="MB1304"/>
      <c r="MC1304"/>
      <c r="MD1304"/>
      <c r="ME1304"/>
      <c r="MF1304"/>
      <c r="MG1304"/>
      <c r="MH1304"/>
      <c r="MI1304"/>
      <c r="MJ1304"/>
      <c r="MK1304"/>
      <c r="ML1304"/>
      <c r="MM1304"/>
      <c r="MN1304"/>
      <c r="MO1304"/>
      <c r="MP1304"/>
      <c r="MQ1304"/>
      <c r="MR1304"/>
      <c r="MS1304"/>
      <c r="MT1304"/>
      <c r="MU1304"/>
      <c r="MV1304"/>
      <c r="MW1304"/>
      <c r="MX1304"/>
      <c r="MY1304"/>
      <c r="MZ1304"/>
      <c r="NA1304"/>
      <c r="NB1304"/>
      <c r="NC1304"/>
      <c r="ND1304"/>
      <c r="NE1304"/>
      <c r="NF1304"/>
      <c r="NG1304"/>
      <c r="NH1304"/>
      <c r="NI1304"/>
      <c r="NJ1304"/>
      <c r="NK1304"/>
      <c r="NL1304"/>
      <c r="NM1304"/>
      <c r="NN1304"/>
      <c r="NO1304"/>
      <c r="NP1304"/>
      <c r="NQ1304"/>
      <c r="NR1304"/>
      <c r="NS1304"/>
      <c r="NT1304"/>
      <c r="NU1304"/>
      <c r="NV1304"/>
      <c r="NW1304"/>
      <c r="NX1304"/>
      <c r="NY1304"/>
      <c r="NZ1304"/>
      <c r="OA1304"/>
      <c r="OB1304"/>
      <c r="OC1304"/>
      <c r="OD1304"/>
      <c r="OE1304"/>
      <c r="OF1304"/>
      <c r="OG1304"/>
      <c r="OH1304"/>
      <c r="OI1304"/>
      <c r="OJ1304"/>
      <c r="OK1304"/>
      <c r="OL1304"/>
      <c r="OM1304"/>
      <c r="ON1304"/>
      <c r="OO1304"/>
      <c r="OP1304"/>
      <c r="OQ1304"/>
      <c r="OR1304"/>
      <c r="OS1304"/>
      <c r="OT1304"/>
      <c r="OU1304"/>
      <c r="OV1304"/>
      <c r="OW1304"/>
      <c r="OX1304"/>
      <c r="OY1304"/>
      <c r="OZ1304"/>
      <c r="PA1304"/>
      <c r="PB1304"/>
      <c r="PC1304"/>
      <c r="PD1304"/>
      <c r="PE1304"/>
      <c r="PF1304"/>
      <c r="PG1304"/>
      <c r="PH1304"/>
      <c r="PI1304"/>
      <c r="PJ1304"/>
      <c r="PK1304"/>
      <c r="PL1304"/>
      <c r="PM1304"/>
      <c r="PN1304"/>
      <c r="PO1304"/>
      <c r="PP1304"/>
      <c r="PQ1304"/>
      <c r="PR1304"/>
      <c r="PS1304"/>
      <c r="PT1304"/>
      <c r="PU1304"/>
      <c r="PV1304"/>
      <c r="PW1304"/>
      <c r="PX1304"/>
      <c r="PY1304"/>
      <c r="PZ1304"/>
      <c r="QA1304"/>
      <c r="QB1304"/>
      <c r="QC1304"/>
      <c r="QD1304"/>
      <c r="QE1304"/>
      <c r="QF1304"/>
      <c r="QG1304"/>
      <c r="QH1304"/>
      <c r="QI1304"/>
      <c r="QJ1304"/>
      <c r="QK1304"/>
      <c r="QL1304"/>
      <c r="QM1304"/>
      <c r="QN1304"/>
      <c r="QO1304"/>
      <c r="QP1304"/>
      <c r="QQ1304"/>
      <c r="QR1304"/>
      <c r="QS1304"/>
      <c r="QT1304"/>
      <c r="QU1304"/>
      <c r="QV1304"/>
      <c r="QW1304"/>
      <c r="QX1304"/>
      <c r="QY1304"/>
      <c r="QZ1304"/>
      <c r="RA1304"/>
      <c r="RB1304"/>
      <c r="RC1304"/>
      <c r="RD1304"/>
      <c r="RE1304"/>
      <c r="RF1304"/>
      <c r="RG1304"/>
      <c r="RH1304"/>
      <c r="RI1304"/>
      <c r="RJ1304"/>
      <c r="RK1304"/>
      <c r="RL1304"/>
      <c r="RM1304"/>
      <c r="RN1304"/>
      <c r="RO1304"/>
      <c r="RP1304"/>
      <c r="RQ1304"/>
      <c r="RR1304"/>
      <c r="RS1304"/>
      <c r="RT1304"/>
      <c r="RU1304"/>
      <c r="RV1304"/>
      <c r="RW1304"/>
      <c r="RX1304"/>
      <c r="RY1304"/>
      <c r="RZ1304"/>
      <c r="SA1304"/>
      <c r="SB1304"/>
      <c r="SC1304"/>
      <c r="SD1304"/>
      <c r="SE1304"/>
      <c r="SF1304"/>
      <c r="SG1304"/>
      <c r="SH1304"/>
      <c r="SI1304"/>
      <c r="SJ1304"/>
      <c r="SK1304"/>
      <c r="SL1304"/>
      <c r="SM1304"/>
      <c r="SN1304"/>
      <c r="SO1304"/>
      <c r="SP1304"/>
      <c r="SQ1304"/>
      <c r="SR1304"/>
      <c r="SS1304"/>
      <c r="ST1304"/>
      <c r="SU1304"/>
      <c r="SV1304"/>
      <c r="SW1304"/>
      <c r="SX1304"/>
      <c r="SY1304"/>
      <c r="SZ1304"/>
      <c r="TA1304"/>
      <c r="TB1304"/>
      <c r="TC1304"/>
      <c r="TD1304"/>
      <c r="TE1304"/>
      <c r="TF1304"/>
      <c r="TG1304"/>
      <c r="TH1304"/>
      <c r="TI1304"/>
      <c r="TJ1304"/>
      <c r="TK1304"/>
      <c r="TL1304"/>
      <c r="TM1304"/>
      <c r="TN1304"/>
      <c r="TO1304"/>
      <c r="TP1304"/>
      <c r="TQ1304"/>
      <c r="TR1304"/>
      <c r="TS1304"/>
      <c r="TT1304"/>
      <c r="TU1304"/>
      <c r="TV1304"/>
      <c r="TW1304"/>
      <c r="TX1304"/>
      <c r="TY1304"/>
      <c r="TZ1304"/>
      <c r="UA1304"/>
      <c r="UB1304"/>
      <c r="UC1304"/>
      <c r="UD1304"/>
      <c r="UE1304"/>
      <c r="UF1304"/>
      <c r="UG1304"/>
      <c r="UH1304"/>
      <c r="UI1304"/>
      <c r="UJ1304"/>
      <c r="UK1304"/>
      <c r="UL1304"/>
      <c r="UM1304"/>
      <c r="UN1304"/>
      <c r="UO1304"/>
      <c r="UP1304"/>
      <c r="UQ1304"/>
      <c r="UR1304"/>
      <c r="US1304"/>
      <c r="UT1304"/>
      <c r="UU1304"/>
      <c r="UV1304"/>
      <c r="UW1304"/>
      <c r="UX1304"/>
      <c r="UY1304"/>
      <c r="UZ1304"/>
      <c r="VA1304"/>
      <c r="VB1304"/>
      <c r="VC1304"/>
      <c r="VD1304"/>
      <c r="VE1304"/>
      <c r="VF1304"/>
      <c r="VG1304"/>
      <c r="VH1304"/>
      <c r="VI1304"/>
      <c r="VJ1304"/>
      <c r="VK1304"/>
      <c r="VL1304"/>
      <c r="VM1304"/>
      <c r="VN1304"/>
      <c r="VO1304"/>
      <c r="VP1304"/>
      <c r="VQ1304"/>
      <c r="VR1304"/>
      <c r="VS1304"/>
      <c r="VT1304"/>
      <c r="VU1304"/>
      <c r="VV1304"/>
      <c r="VW1304"/>
      <c r="VX1304"/>
      <c r="VY1304"/>
      <c r="VZ1304"/>
      <c r="WA1304"/>
      <c r="WB1304"/>
      <c r="WC1304"/>
      <c r="WD1304"/>
      <c r="WE1304"/>
      <c r="WF1304"/>
      <c r="WG1304"/>
      <c r="WH1304"/>
      <c r="WI1304"/>
      <c r="WJ1304"/>
      <c r="WK1304"/>
      <c r="WL1304"/>
      <c r="WM1304"/>
      <c r="WN1304"/>
      <c r="WO1304"/>
      <c r="WP1304"/>
      <c r="WQ1304"/>
      <c r="WR1304"/>
      <c r="WS1304"/>
      <c r="WT1304"/>
      <c r="WU1304"/>
      <c r="WV1304"/>
      <c r="WW1304"/>
      <c r="WX1304"/>
      <c r="WY1304"/>
      <c r="WZ1304"/>
      <c r="XA1304"/>
      <c r="XB1304"/>
      <c r="XC1304"/>
      <c r="XD1304"/>
      <c r="XE1304"/>
      <c r="XF1304"/>
      <c r="XG1304"/>
      <c r="XH1304"/>
      <c r="XI1304"/>
      <c r="XJ1304"/>
      <c r="XK1304"/>
      <c r="XL1304"/>
      <c r="XM1304"/>
      <c r="XN1304"/>
      <c r="XO1304"/>
      <c r="XP1304"/>
      <c r="XQ1304"/>
      <c r="XR1304"/>
      <c r="XS1304"/>
      <c r="XT1304"/>
      <c r="XU1304"/>
      <c r="XV1304"/>
      <c r="XW1304"/>
      <c r="XX1304"/>
      <c r="XY1304"/>
      <c r="XZ1304"/>
      <c r="YA1304"/>
      <c r="YB1304"/>
      <c r="YC1304"/>
      <c r="YD1304"/>
      <c r="YE1304"/>
      <c r="YF1304"/>
      <c r="YG1304"/>
      <c r="YH1304"/>
      <c r="YI1304"/>
      <c r="YJ1304"/>
      <c r="YK1304"/>
      <c r="YL1304"/>
      <c r="YM1304"/>
      <c r="YN1304"/>
      <c r="YO1304"/>
      <c r="YP1304"/>
      <c r="YQ1304"/>
      <c r="YR1304"/>
      <c r="YS1304"/>
      <c r="YT1304"/>
      <c r="YU1304"/>
      <c r="YV1304"/>
      <c r="YW1304"/>
      <c r="YX1304"/>
      <c r="YY1304"/>
      <c r="YZ1304"/>
      <c r="ZA1304"/>
      <c r="ZB1304"/>
      <c r="ZC1304"/>
      <c r="ZD1304"/>
      <c r="ZE1304"/>
      <c r="ZF1304"/>
      <c r="ZG1304"/>
      <c r="ZH1304"/>
      <c r="ZI1304"/>
      <c r="ZJ1304"/>
      <c r="ZK1304"/>
      <c r="ZL1304"/>
      <c r="ZM1304"/>
      <c r="ZN1304"/>
      <c r="ZO1304"/>
      <c r="ZP1304"/>
      <c r="ZQ1304"/>
      <c r="ZR1304"/>
      <c r="ZS1304"/>
      <c r="ZT1304"/>
      <c r="ZU1304"/>
      <c r="ZV1304"/>
      <c r="ZW1304"/>
      <c r="ZX1304"/>
      <c r="ZY1304"/>
      <c r="ZZ1304"/>
      <c r="AAA1304"/>
      <c r="AAB1304"/>
      <c r="AAC1304"/>
      <c r="AAD1304"/>
      <c r="AAE1304"/>
      <c r="AAF1304"/>
      <c r="AAG1304"/>
      <c r="AAH1304"/>
      <c r="AAI1304"/>
      <c r="AAJ1304"/>
      <c r="AAK1304"/>
      <c r="AAL1304"/>
      <c r="AAM1304"/>
      <c r="AAN1304"/>
      <c r="AAO1304"/>
      <c r="AAP1304"/>
      <c r="AAQ1304"/>
      <c r="AAR1304"/>
      <c r="AAS1304"/>
      <c r="AAT1304"/>
      <c r="AAU1304"/>
      <c r="AAV1304"/>
      <c r="AAW1304"/>
      <c r="AAX1304"/>
      <c r="AAY1304"/>
      <c r="AAZ1304"/>
      <c r="ABA1304"/>
      <c r="ABB1304"/>
      <c r="ABC1304"/>
      <c r="ABD1304"/>
      <c r="ABE1304"/>
      <c r="ABF1304"/>
      <c r="ABG1304"/>
      <c r="ABH1304"/>
      <c r="ABI1304"/>
      <c r="ABJ1304"/>
      <c r="ABK1304"/>
      <c r="ABL1304"/>
      <c r="ABM1304"/>
      <c r="ABN1304"/>
      <c r="ABO1304"/>
      <c r="ABP1304"/>
      <c r="ABQ1304"/>
      <c r="ABR1304"/>
      <c r="ABS1304"/>
      <c r="ABT1304"/>
      <c r="ABU1304"/>
      <c r="ABV1304"/>
      <c r="ABW1304"/>
      <c r="ABX1304"/>
      <c r="ABY1304"/>
      <c r="ABZ1304"/>
      <c r="ACA1304"/>
      <c r="ACB1304"/>
      <c r="ACC1304"/>
      <c r="ACD1304"/>
      <c r="ACE1304"/>
      <c r="ACF1304"/>
      <c r="ACG1304"/>
      <c r="ACH1304"/>
      <c r="ACI1304"/>
      <c r="ACJ1304"/>
      <c r="ACK1304"/>
      <c r="ACL1304"/>
      <c r="ACM1304"/>
      <c r="ACN1304"/>
      <c r="ACO1304"/>
      <c r="ACP1304"/>
      <c r="ACQ1304"/>
      <c r="ACR1304"/>
      <c r="ACS1304"/>
      <c r="ACT1304"/>
      <c r="ACU1304"/>
      <c r="ACV1304"/>
      <c r="ACW1304"/>
      <c r="ACX1304"/>
      <c r="ACY1304"/>
      <c r="ACZ1304"/>
      <c r="ADA1304"/>
      <c r="ADB1304"/>
      <c r="ADC1304"/>
      <c r="ADD1304"/>
      <c r="ADE1304"/>
      <c r="ADF1304"/>
      <c r="ADG1304"/>
      <c r="ADH1304"/>
      <c r="ADI1304"/>
      <c r="ADJ1304"/>
      <c r="ADK1304"/>
      <c r="ADL1304"/>
      <c r="ADM1304"/>
      <c r="ADN1304"/>
      <c r="ADO1304"/>
      <c r="ADP1304"/>
      <c r="ADQ1304"/>
      <c r="ADR1304"/>
      <c r="ADS1304"/>
      <c r="ADT1304"/>
      <c r="ADU1304"/>
      <c r="ADV1304"/>
      <c r="ADW1304"/>
      <c r="ADX1304"/>
      <c r="ADY1304"/>
      <c r="ADZ1304"/>
      <c r="AEA1304"/>
      <c r="AEB1304"/>
      <c r="AEC1304"/>
      <c r="AED1304"/>
      <c r="AEE1304"/>
      <c r="AEF1304"/>
      <c r="AEG1304"/>
      <c r="AEH1304"/>
      <c r="AEI1304"/>
      <c r="AEJ1304"/>
      <c r="AEK1304"/>
      <c r="AEL1304"/>
      <c r="AEM1304"/>
      <c r="AEN1304"/>
      <c r="AEO1304"/>
      <c r="AEP1304"/>
      <c r="AEQ1304"/>
      <c r="AER1304"/>
      <c r="AES1304"/>
      <c r="AET1304"/>
      <c r="AEU1304"/>
      <c r="AEV1304"/>
      <c r="AEW1304"/>
      <c r="AEX1304"/>
      <c r="AEY1304"/>
      <c r="AEZ1304"/>
      <c r="AFA1304"/>
      <c r="AFB1304"/>
      <c r="AFC1304"/>
      <c r="AFD1304"/>
      <c r="AFE1304"/>
      <c r="AFF1304"/>
      <c r="AFG1304"/>
      <c r="AFH1304"/>
      <c r="AFI1304"/>
      <c r="AFJ1304"/>
      <c r="AFK1304"/>
      <c r="AFL1304"/>
      <c r="AFM1304"/>
      <c r="AFN1304"/>
      <c r="AFO1304"/>
      <c r="AFP1304"/>
      <c r="AFQ1304"/>
      <c r="AFR1304"/>
      <c r="AFS1304"/>
      <c r="AFT1304"/>
      <c r="AFU1304"/>
      <c r="AFV1304"/>
      <c r="AFW1304"/>
      <c r="AFX1304"/>
      <c r="AFY1304"/>
      <c r="AFZ1304"/>
      <c r="AGA1304"/>
      <c r="AGB1304"/>
      <c r="AGC1304"/>
      <c r="AGD1304"/>
      <c r="AGE1304"/>
      <c r="AGF1304"/>
      <c r="AGG1304"/>
      <c r="AGH1304"/>
      <c r="AGI1304"/>
      <c r="AGJ1304"/>
      <c r="AGK1304"/>
      <c r="AGL1304"/>
      <c r="AGM1304"/>
      <c r="AGN1304"/>
      <c r="AGO1304"/>
      <c r="AGP1304"/>
      <c r="AGQ1304"/>
      <c r="AGR1304"/>
      <c r="AGS1304"/>
      <c r="AGT1304"/>
      <c r="AGU1304"/>
      <c r="AGV1304"/>
      <c r="AGW1304"/>
      <c r="AGX1304"/>
      <c r="AGY1304"/>
      <c r="AGZ1304"/>
      <c r="AHA1304"/>
      <c r="AHB1304"/>
      <c r="AHC1304"/>
      <c r="AHD1304"/>
      <c r="AHE1304"/>
      <c r="AHF1304"/>
      <c r="AHG1304"/>
      <c r="AHH1304"/>
      <c r="AHI1304"/>
      <c r="AHJ1304"/>
      <c r="AHK1304"/>
      <c r="AHL1304"/>
      <c r="AHM1304"/>
      <c r="AHN1304"/>
      <c r="AHO1304"/>
      <c r="AHP1304"/>
      <c r="AHQ1304"/>
      <c r="AHR1304"/>
      <c r="AHS1304"/>
      <c r="AHT1304"/>
      <c r="AHU1304"/>
      <c r="AHV1304"/>
      <c r="AHW1304"/>
      <c r="AHX1304"/>
      <c r="AHY1304"/>
      <c r="AHZ1304"/>
      <c r="AIA1304"/>
      <c r="AIB1304"/>
      <c r="AIC1304"/>
      <c r="AID1304"/>
      <c r="AIE1304"/>
      <c r="AIF1304"/>
      <c r="AIG1304"/>
      <c r="AIH1304"/>
      <c r="AII1304"/>
      <c r="AIJ1304"/>
      <c r="AIK1304"/>
      <c r="AIL1304"/>
      <c r="AIM1304"/>
      <c r="AIN1304"/>
      <c r="AIO1304"/>
      <c r="AIP1304"/>
      <c r="AIQ1304"/>
      <c r="AIR1304"/>
      <c r="AIS1304"/>
      <c r="AIT1304"/>
      <c r="AIU1304"/>
      <c r="AIV1304"/>
      <c r="AIW1304"/>
      <c r="AIX1304"/>
      <c r="AIY1304"/>
      <c r="AIZ1304"/>
      <c r="AJA1304"/>
      <c r="AJB1304"/>
      <c r="AJC1304"/>
      <c r="AJD1304"/>
      <c r="AJE1304"/>
      <c r="AJF1304"/>
      <c r="AJG1304"/>
      <c r="AJH1304"/>
      <c r="AJI1304"/>
      <c r="AJJ1304"/>
      <c r="AJK1304"/>
      <c r="AJL1304"/>
      <c r="AJM1304"/>
      <c r="AJN1304"/>
      <c r="AJO1304"/>
      <c r="AJP1304"/>
      <c r="AJQ1304"/>
      <c r="AJR1304"/>
      <c r="AJS1304"/>
      <c r="AJT1304"/>
      <c r="AJU1304"/>
      <c r="AJV1304"/>
      <c r="AJW1304"/>
      <c r="AJX1304"/>
      <c r="AJY1304"/>
      <c r="AJZ1304"/>
      <c r="AKA1304"/>
      <c r="AKB1304"/>
      <c r="AKC1304"/>
      <c r="AKD1304"/>
      <c r="AKE1304"/>
      <c r="AKF1304"/>
      <c r="AKG1304"/>
      <c r="AKH1304"/>
      <c r="AKI1304"/>
      <c r="AKJ1304"/>
      <c r="AKK1304"/>
      <c r="AKL1304"/>
      <c r="AKM1304"/>
      <c r="AKN1304"/>
      <c r="AKO1304"/>
      <c r="AKP1304"/>
      <c r="AKQ1304"/>
      <c r="AKR1304"/>
      <c r="AKS1304"/>
      <c r="AKT1304"/>
      <c r="AKU1304"/>
      <c r="AKV1304"/>
      <c r="AKW1304"/>
      <c r="AKX1304"/>
      <c r="AKY1304"/>
      <c r="AKZ1304"/>
      <c r="ALA1304"/>
      <c r="ALB1304"/>
      <c r="ALC1304"/>
      <c r="ALD1304"/>
      <c r="ALE1304"/>
      <c r="ALF1304"/>
      <c r="ALG1304"/>
      <c r="ALH1304"/>
      <c r="ALI1304"/>
      <c r="ALJ1304"/>
      <c r="ALK1304"/>
      <c r="ALL1304"/>
      <c r="ALM1304"/>
      <c r="ALN1304"/>
      <c r="ALO1304"/>
      <c r="ALP1304"/>
      <c r="ALQ1304"/>
      <c r="ALR1304"/>
      <c r="ALS1304"/>
      <c r="ALT1304"/>
    </row>
    <row r="1305" spans="1:1008" x14ac:dyDescent="0.15">
      <c r="A1305" t="s">
        <v>4011</v>
      </c>
      <c r="B1305" s="8" t="s">
        <v>4082</v>
      </c>
      <c r="C1305" t="s">
        <v>4011</v>
      </c>
      <c r="D1305" s="8" t="s">
        <v>15</v>
      </c>
      <c r="E1305" t="s">
        <v>4011</v>
      </c>
      <c r="F1305" t="s">
        <v>4012</v>
      </c>
      <c r="G1305">
        <v>600</v>
      </c>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c r="AT1305"/>
      <c r="AU1305"/>
      <c r="AV1305"/>
      <c r="AW1305"/>
      <c r="AX1305"/>
      <c r="AY1305"/>
      <c r="AZ1305"/>
      <c r="BA1305"/>
      <c r="BB1305"/>
      <c r="BC1305"/>
      <c r="BD1305"/>
      <c r="BE1305"/>
      <c r="BF1305"/>
      <c r="BG1305"/>
      <c r="BH1305"/>
      <c r="BI1305"/>
      <c r="BJ1305"/>
      <c r="BK1305"/>
      <c r="BL1305"/>
      <c r="BM1305"/>
      <c r="BN1305"/>
      <c r="BO1305"/>
      <c r="BP1305"/>
      <c r="BQ1305"/>
      <c r="BR1305"/>
      <c r="BS1305"/>
      <c r="BT1305"/>
      <c r="BU1305"/>
      <c r="BV1305"/>
      <c r="BW1305"/>
      <c r="BX1305"/>
      <c r="BY1305"/>
      <c r="BZ1305"/>
      <c r="CA1305"/>
      <c r="CB1305"/>
      <c r="CC1305"/>
      <c r="CD1305"/>
      <c r="CE1305"/>
      <c r="CF1305"/>
      <c r="CG1305"/>
      <c r="CH1305"/>
      <c r="CI1305"/>
      <c r="CJ1305"/>
      <c r="CK1305"/>
      <c r="CL1305"/>
      <c r="CM1305"/>
      <c r="CN1305"/>
      <c r="CO1305"/>
      <c r="CP1305"/>
      <c r="CQ1305"/>
      <c r="CR1305"/>
      <c r="CS1305"/>
      <c r="CT1305"/>
      <c r="CU1305"/>
      <c r="CV1305"/>
      <c r="CW1305"/>
      <c r="CX1305"/>
      <c r="CY1305"/>
      <c r="CZ1305"/>
      <c r="DA1305"/>
      <c r="DB1305"/>
      <c r="DC1305"/>
      <c r="DD1305"/>
      <c r="DE1305"/>
      <c r="DF1305"/>
      <c r="DG1305"/>
      <c r="DH1305"/>
      <c r="DI1305"/>
      <c r="DJ1305"/>
      <c r="DK1305"/>
      <c r="DL1305"/>
      <c r="DM1305"/>
      <c r="DN1305"/>
      <c r="DO1305"/>
      <c r="DP1305"/>
      <c r="DQ1305"/>
      <c r="DR1305"/>
      <c r="DS1305"/>
      <c r="DT1305"/>
      <c r="DU1305"/>
      <c r="DV1305"/>
      <c r="DW1305"/>
      <c r="DX1305"/>
      <c r="DY1305"/>
      <c r="DZ1305"/>
      <c r="EA1305"/>
      <c r="EB1305"/>
      <c r="EC1305"/>
      <c r="ED1305"/>
      <c r="EE1305"/>
      <c r="EF1305"/>
      <c r="EG1305"/>
      <c r="EH1305"/>
      <c r="EI1305"/>
      <c r="EJ1305"/>
      <c r="EK1305"/>
      <c r="EL1305"/>
      <c r="EM1305"/>
      <c r="EN1305"/>
      <c r="EO1305"/>
      <c r="EP1305"/>
      <c r="EQ1305"/>
      <c r="ER1305"/>
      <c r="ES1305"/>
      <c r="ET1305"/>
      <c r="EU1305"/>
      <c r="EV1305"/>
      <c r="EW1305"/>
      <c r="EX1305"/>
      <c r="EY1305"/>
      <c r="EZ1305"/>
      <c r="FA1305"/>
      <c r="FB1305"/>
      <c r="FC1305"/>
      <c r="FD1305"/>
      <c r="FE1305"/>
      <c r="FF1305"/>
      <c r="FG1305"/>
      <c r="FH1305"/>
      <c r="FI1305"/>
      <c r="FJ1305"/>
      <c r="FK1305"/>
      <c r="FL1305"/>
      <c r="FM1305"/>
      <c r="FN1305"/>
      <c r="FO1305"/>
      <c r="FP1305"/>
      <c r="FQ1305"/>
      <c r="FR1305"/>
      <c r="FS1305"/>
      <c r="FT1305"/>
      <c r="FU1305"/>
      <c r="FV1305"/>
      <c r="FW1305"/>
      <c r="FX1305"/>
      <c r="FY1305"/>
      <c r="FZ1305"/>
      <c r="GA1305"/>
      <c r="GB1305"/>
      <c r="GC1305"/>
      <c r="GD1305"/>
      <c r="GE1305"/>
      <c r="GF1305"/>
      <c r="GG1305"/>
      <c r="GH1305"/>
      <c r="GI1305"/>
      <c r="GJ1305"/>
      <c r="GK1305"/>
      <c r="GL1305"/>
      <c r="GM1305"/>
      <c r="GN1305"/>
      <c r="GO1305"/>
      <c r="GP1305"/>
      <c r="GQ1305"/>
      <c r="GR1305"/>
      <c r="GS1305"/>
      <c r="GT1305"/>
      <c r="GU1305"/>
      <c r="GV1305"/>
      <c r="GW1305"/>
      <c r="GX1305"/>
      <c r="GY1305"/>
      <c r="GZ1305"/>
      <c r="HA1305"/>
      <c r="HB1305"/>
      <c r="HC1305"/>
      <c r="HD1305"/>
      <c r="HE1305"/>
      <c r="HF1305"/>
      <c r="HG1305"/>
      <c r="HH1305"/>
      <c r="HI1305"/>
      <c r="HJ1305"/>
      <c r="HK1305"/>
      <c r="HL1305"/>
      <c r="HM1305"/>
      <c r="HN1305"/>
      <c r="HO1305"/>
      <c r="HP1305"/>
      <c r="HQ1305"/>
      <c r="HR1305"/>
      <c r="HS1305"/>
      <c r="HT1305"/>
      <c r="HU1305"/>
      <c r="HV1305"/>
      <c r="HW1305"/>
      <c r="HX1305"/>
      <c r="HY1305"/>
      <c r="HZ1305"/>
      <c r="IA1305"/>
      <c r="IB1305"/>
      <c r="IC1305"/>
      <c r="ID1305"/>
      <c r="IE1305"/>
      <c r="IF1305"/>
      <c r="IG1305"/>
      <c r="IH1305"/>
      <c r="II1305"/>
      <c r="IJ1305"/>
      <c r="IK1305"/>
      <c r="IL1305"/>
      <c r="IM1305"/>
      <c r="IN1305"/>
      <c r="IO1305"/>
      <c r="IP1305"/>
      <c r="IQ1305"/>
      <c r="IR1305"/>
      <c r="IS1305"/>
      <c r="IT1305"/>
      <c r="IU1305"/>
      <c r="IV1305"/>
      <c r="IW1305"/>
      <c r="IX1305"/>
      <c r="IY1305"/>
      <c r="IZ1305"/>
      <c r="JA1305"/>
      <c r="JB1305"/>
      <c r="JC1305"/>
      <c r="JD1305"/>
      <c r="JE1305"/>
      <c r="JF1305"/>
      <c r="JG1305"/>
      <c r="JH1305"/>
      <c r="JI1305"/>
      <c r="JJ1305"/>
      <c r="JK1305"/>
      <c r="JL1305"/>
      <c r="JM1305"/>
      <c r="JN1305"/>
      <c r="JO1305"/>
      <c r="JP1305"/>
      <c r="JQ1305"/>
      <c r="JR1305"/>
      <c r="JS1305"/>
      <c r="JT1305"/>
      <c r="JU1305"/>
      <c r="JV1305"/>
      <c r="JW1305"/>
      <c r="JX1305"/>
      <c r="JY1305"/>
      <c r="JZ1305"/>
      <c r="KA1305"/>
      <c r="KB1305"/>
      <c r="KC1305"/>
      <c r="KD1305"/>
      <c r="KE1305"/>
      <c r="KF1305"/>
      <c r="KG1305"/>
      <c r="KH1305"/>
      <c r="KI1305"/>
      <c r="KJ1305"/>
      <c r="KK1305"/>
      <c r="KL1305"/>
      <c r="KM1305"/>
      <c r="KN1305"/>
      <c r="KO1305"/>
      <c r="KP1305"/>
      <c r="KQ1305"/>
      <c r="KR1305"/>
      <c r="KS1305"/>
      <c r="KT1305"/>
      <c r="KU1305"/>
      <c r="KV1305"/>
      <c r="KW1305"/>
      <c r="KX1305"/>
      <c r="KY1305"/>
      <c r="KZ1305"/>
      <c r="LA1305"/>
      <c r="LB1305"/>
      <c r="LC1305"/>
      <c r="LD1305"/>
      <c r="LE1305"/>
      <c r="LF1305"/>
      <c r="LG1305"/>
      <c r="LH1305"/>
      <c r="LI1305"/>
      <c r="LJ1305"/>
      <c r="LK1305"/>
      <c r="LL1305"/>
      <c r="LM1305"/>
      <c r="LN1305"/>
      <c r="LO1305"/>
      <c r="LP1305"/>
      <c r="LQ1305"/>
      <c r="LR1305"/>
      <c r="LS1305"/>
      <c r="LT1305"/>
      <c r="LU1305"/>
      <c r="LV1305"/>
      <c r="LW1305"/>
      <c r="LX1305"/>
      <c r="LY1305"/>
      <c r="LZ1305"/>
      <c r="MA1305"/>
      <c r="MB1305"/>
      <c r="MC1305"/>
      <c r="MD1305"/>
      <c r="ME1305"/>
      <c r="MF1305"/>
      <c r="MG1305"/>
      <c r="MH1305"/>
      <c r="MI1305"/>
      <c r="MJ1305"/>
      <c r="MK1305"/>
      <c r="ML1305"/>
      <c r="MM1305"/>
      <c r="MN1305"/>
      <c r="MO1305"/>
      <c r="MP1305"/>
      <c r="MQ1305"/>
      <c r="MR1305"/>
      <c r="MS1305"/>
      <c r="MT1305"/>
      <c r="MU1305"/>
      <c r="MV1305"/>
      <c r="MW1305"/>
      <c r="MX1305"/>
      <c r="MY1305"/>
      <c r="MZ1305"/>
      <c r="NA1305"/>
      <c r="NB1305"/>
      <c r="NC1305"/>
      <c r="ND1305"/>
      <c r="NE1305"/>
      <c r="NF1305"/>
      <c r="NG1305"/>
      <c r="NH1305"/>
      <c r="NI1305"/>
      <c r="NJ1305"/>
      <c r="NK1305"/>
      <c r="NL1305"/>
      <c r="NM1305"/>
      <c r="NN1305"/>
      <c r="NO1305"/>
      <c r="NP1305"/>
      <c r="NQ1305"/>
      <c r="NR1305"/>
      <c r="NS1305"/>
      <c r="NT1305"/>
      <c r="NU1305"/>
      <c r="NV1305"/>
      <c r="NW1305"/>
      <c r="NX1305"/>
      <c r="NY1305"/>
      <c r="NZ1305"/>
      <c r="OA1305"/>
      <c r="OB1305"/>
      <c r="OC1305"/>
      <c r="OD1305"/>
      <c r="OE1305"/>
      <c r="OF1305"/>
      <c r="OG1305"/>
      <c r="OH1305"/>
      <c r="OI1305"/>
      <c r="OJ1305"/>
      <c r="OK1305"/>
      <c r="OL1305"/>
      <c r="OM1305"/>
      <c r="ON1305"/>
      <c r="OO1305"/>
      <c r="OP1305"/>
      <c r="OQ1305"/>
      <c r="OR1305"/>
      <c r="OS1305"/>
      <c r="OT1305"/>
      <c r="OU1305"/>
      <c r="OV1305"/>
      <c r="OW1305"/>
      <c r="OX1305"/>
      <c r="OY1305"/>
      <c r="OZ1305"/>
      <c r="PA1305"/>
      <c r="PB1305"/>
      <c r="PC1305"/>
      <c r="PD1305"/>
      <c r="PE1305"/>
      <c r="PF1305"/>
      <c r="PG1305"/>
      <c r="PH1305"/>
      <c r="PI1305"/>
      <c r="PJ1305"/>
      <c r="PK1305"/>
      <c r="PL1305"/>
      <c r="PM1305"/>
      <c r="PN1305"/>
      <c r="PO1305"/>
      <c r="PP1305"/>
      <c r="PQ1305"/>
      <c r="PR1305"/>
      <c r="PS1305"/>
      <c r="PT1305"/>
      <c r="PU1305"/>
      <c r="PV1305"/>
      <c r="PW1305"/>
      <c r="PX1305"/>
      <c r="PY1305"/>
      <c r="PZ1305"/>
      <c r="QA1305"/>
      <c r="QB1305"/>
      <c r="QC1305"/>
      <c r="QD1305"/>
      <c r="QE1305"/>
      <c r="QF1305"/>
      <c r="QG1305"/>
      <c r="QH1305"/>
      <c r="QI1305"/>
      <c r="QJ1305"/>
      <c r="QK1305"/>
      <c r="QL1305"/>
      <c r="QM1305"/>
      <c r="QN1305"/>
      <c r="QO1305"/>
      <c r="QP1305"/>
      <c r="QQ1305"/>
      <c r="QR1305"/>
      <c r="QS1305"/>
      <c r="QT1305"/>
      <c r="QU1305"/>
      <c r="QV1305"/>
      <c r="QW1305"/>
      <c r="QX1305"/>
      <c r="QY1305"/>
      <c r="QZ1305"/>
      <c r="RA1305"/>
      <c r="RB1305"/>
      <c r="RC1305"/>
      <c r="RD1305"/>
      <c r="RE1305"/>
      <c r="RF1305"/>
      <c r="RG1305"/>
      <c r="RH1305"/>
      <c r="RI1305"/>
      <c r="RJ1305"/>
      <c r="RK1305"/>
      <c r="RL1305"/>
      <c r="RM1305"/>
      <c r="RN1305"/>
      <c r="RO1305"/>
      <c r="RP1305"/>
      <c r="RQ1305"/>
      <c r="RR1305"/>
      <c r="RS1305"/>
      <c r="RT1305"/>
      <c r="RU1305"/>
      <c r="RV1305"/>
      <c r="RW1305"/>
      <c r="RX1305"/>
      <c r="RY1305"/>
      <c r="RZ1305"/>
      <c r="SA1305"/>
      <c r="SB1305"/>
      <c r="SC1305"/>
      <c r="SD1305"/>
      <c r="SE1305"/>
      <c r="SF1305"/>
      <c r="SG1305"/>
      <c r="SH1305"/>
      <c r="SI1305"/>
      <c r="SJ1305"/>
      <c r="SK1305"/>
      <c r="SL1305"/>
      <c r="SM1305"/>
      <c r="SN1305"/>
      <c r="SO1305"/>
      <c r="SP1305"/>
      <c r="SQ1305"/>
      <c r="SR1305"/>
      <c r="SS1305"/>
      <c r="ST1305"/>
      <c r="SU1305"/>
      <c r="SV1305"/>
      <c r="SW1305"/>
      <c r="SX1305"/>
      <c r="SY1305"/>
      <c r="SZ1305"/>
      <c r="TA1305"/>
      <c r="TB1305"/>
      <c r="TC1305"/>
      <c r="TD1305"/>
      <c r="TE1305"/>
      <c r="TF1305"/>
      <c r="TG1305"/>
      <c r="TH1305"/>
      <c r="TI1305"/>
      <c r="TJ1305"/>
      <c r="TK1305"/>
      <c r="TL1305"/>
      <c r="TM1305"/>
      <c r="TN1305"/>
      <c r="TO1305"/>
      <c r="TP1305"/>
      <c r="TQ1305"/>
      <c r="TR1305"/>
      <c r="TS1305"/>
      <c r="TT1305"/>
      <c r="TU1305"/>
      <c r="TV1305"/>
      <c r="TW1305"/>
      <c r="TX1305"/>
      <c r="TY1305"/>
      <c r="TZ1305"/>
      <c r="UA1305"/>
      <c r="UB1305"/>
      <c r="UC1305"/>
      <c r="UD1305"/>
      <c r="UE1305"/>
      <c r="UF1305"/>
      <c r="UG1305"/>
      <c r="UH1305"/>
      <c r="UI1305"/>
      <c r="UJ1305"/>
      <c r="UK1305"/>
      <c r="UL1305"/>
      <c r="UM1305"/>
      <c r="UN1305"/>
      <c r="UO1305"/>
      <c r="UP1305"/>
      <c r="UQ1305"/>
      <c r="UR1305"/>
      <c r="US1305"/>
      <c r="UT1305"/>
      <c r="UU1305"/>
      <c r="UV1305"/>
      <c r="UW1305"/>
      <c r="UX1305"/>
      <c r="UY1305"/>
      <c r="UZ1305"/>
      <c r="VA1305"/>
      <c r="VB1305"/>
      <c r="VC1305"/>
      <c r="VD1305"/>
      <c r="VE1305"/>
      <c r="VF1305"/>
      <c r="VG1305"/>
      <c r="VH1305"/>
      <c r="VI1305"/>
      <c r="VJ1305"/>
      <c r="VK1305"/>
      <c r="VL1305"/>
      <c r="VM1305"/>
      <c r="VN1305"/>
      <c r="VO1305"/>
      <c r="VP1305"/>
      <c r="VQ1305"/>
      <c r="VR1305"/>
      <c r="VS1305"/>
      <c r="VT1305"/>
      <c r="VU1305"/>
      <c r="VV1305"/>
      <c r="VW1305"/>
      <c r="VX1305"/>
      <c r="VY1305"/>
      <c r="VZ1305"/>
      <c r="WA1305"/>
      <c r="WB1305"/>
      <c r="WC1305"/>
      <c r="WD1305"/>
      <c r="WE1305"/>
      <c r="WF1305"/>
      <c r="WG1305"/>
      <c r="WH1305"/>
      <c r="WI1305"/>
      <c r="WJ1305"/>
      <c r="WK1305"/>
      <c r="WL1305"/>
      <c r="WM1305"/>
      <c r="WN1305"/>
      <c r="WO1305"/>
      <c r="WP1305"/>
      <c r="WQ1305"/>
      <c r="WR1305"/>
      <c r="WS1305"/>
      <c r="WT1305"/>
      <c r="WU1305"/>
      <c r="WV1305"/>
      <c r="WW1305"/>
      <c r="WX1305"/>
      <c r="WY1305"/>
      <c r="WZ1305"/>
      <c r="XA1305"/>
      <c r="XB1305"/>
      <c r="XC1305"/>
      <c r="XD1305"/>
      <c r="XE1305"/>
      <c r="XF1305"/>
      <c r="XG1305"/>
      <c r="XH1305"/>
      <c r="XI1305"/>
      <c r="XJ1305"/>
      <c r="XK1305"/>
      <c r="XL1305"/>
      <c r="XM1305"/>
      <c r="XN1305"/>
      <c r="XO1305"/>
      <c r="XP1305"/>
      <c r="XQ1305"/>
      <c r="XR1305"/>
      <c r="XS1305"/>
      <c r="XT1305"/>
      <c r="XU1305"/>
      <c r="XV1305"/>
      <c r="XW1305"/>
      <c r="XX1305"/>
      <c r="XY1305"/>
      <c r="XZ1305"/>
      <c r="YA1305"/>
      <c r="YB1305"/>
      <c r="YC1305"/>
      <c r="YD1305"/>
      <c r="YE1305"/>
      <c r="YF1305"/>
      <c r="YG1305"/>
      <c r="YH1305"/>
      <c r="YI1305"/>
      <c r="YJ1305"/>
      <c r="YK1305"/>
      <c r="YL1305"/>
      <c r="YM1305"/>
      <c r="YN1305"/>
      <c r="YO1305"/>
      <c r="YP1305"/>
      <c r="YQ1305"/>
      <c r="YR1305"/>
      <c r="YS1305"/>
      <c r="YT1305"/>
      <c r="YU1305"/>
      <c r="YV1305"/>
      <c r="YW1305"/>
      <c r="YX1305"/>
      <c r="YY1305"/>
      <c r="YZ1305"/>
      <c r="ZA1305"/>
      <c r="ZB1305"/>
      <c r="ZC1305"/>
      <c r="ZD1305"/>
      <c r="ZE1305"/>
      <c r="ZF1305"/>
      <c r="ZG1305"/>
      <c r="ZH1305"/>
      <c r="ZI1305"/>
      <c r="ZJ1305"/>
      <c r="ZK1305"/>
      <c r="ZL1305"/>
      <c r="ZM1305"/>
      <c r="ZN1305"/>
      <c r="ZO1305"/>
      <c r="ZP1305"/>
      <c r="ZQ1305"/>
      <c r="ZR1305"/>
      <c r="ZS1305"/>
      <c r="ZT1305"/>
      <c r="ZU1305"/>
      <c r="ZV1305"/>
      <c r="ZW1305"/>
      <c r="ZX1305"/>
      <c r="ZY1305"/>
      <c r="ZZ1305"/>
      <c r="AAA1305"/>
      <c r="AAB1305"/>
      <c r="AAC1305"/>
      <c r="AAD1305"/>
      <c r="AAE1305"/>
      <c r="AAF1305"/>
      <c r="AAG1305"/>
      <c r="AAH1305"/>
      <c r="AAI1305"/>
      <c r="AAJ1305"/>
      <c r="AAK1305"/>
      <c r="AAL1305"/>
      <c r="AAM1305"/>
      <c r="AAN1305"/>
      <c r="AAO1305"/>
      <c r="AAP1305"/>
      <c r="AAQ1305"/>
      <c r="AAR1305"/>
      <c r="AAS1305"/>
      <c r="AAT1305"/>
      <c r="AAU1305"/>
      <c r="AAV1305"/>
      <c r="AAW1305"/>
      <c r="AAX1305"/>
      <c r="AAY1305"/>
      <c r="AAZ1305"/>
      <c r="ABA1305"/>
      <c r="ABB1305"/>
      <c r="ABC1305"/>
      <c r="ABD1305"/>
      <c r="ABE1305"/>
      <c r="ABF1305"/>
      <c r="ABG1305"/>
      <c r="ABH1305"/>
      <c r="ABI1305"/>
      <c r="ABJ1305"/>
      <c r="ABK1305"/>
      <c r="ABL1305"/>
      <c r="ABM1305"/>
      <c r="ABN1305"/>
      <c r="ABO1305"/>
      <c r="ABP1305"/>
      <c r="ABQ1305"/>
      <c r="ABR1305"/>
      <c r="ABS1305"/>
      <c r="ABT1305"/>
      <c r="ABU1305"/>
      <c r="ABV1305"/>
      <c r="ABW1305"/>
      <c r="ABX1305"/>
      <c r="ABY1305"/>
      <c r="ABZ1305"/>
      <c r="ACA1305"/>
      <c r="ACB1305"/>
      <c r="ACC1305"/>
      <c r="ACD1305"/>
      <c r="ACE1305"/>
      <c r="ACF1305"/>
      <c r="ACG1305"/>
      <c r="ACH1305"/>
      <c r="ACI1305"/>
      <c r="ACJ1305"/>
      <c r="ACK1305"/>
      <c r="ACL1305"/>
      <c r="ACM1305"/>
      <c r="ACN1305"/>
      <c r="ACO1305"/>
      <c r="ACP1305"/>
      <c r="ACQ1305"/>
      <c r="ACR1305"/>
      <c r="ACS1305"/>
      <c r="ACT1305"/>
      <c r="ACU1305"/>
      <c r="ACV1305"/>
      <c r="ACW1305"/>
      <c r="ACX1305"/>
      <c r="ACY1305"/>
      <c r="ACZ1305"/>
      <c r="ADA1305"/>
      <c r="ADB1305"/>
      <c r="ADC1305"/>
      <c r="ADD1305"/>
      <c r="ADE1305"/>
      <c r="ADF1305"/>
      <c r="ADG1305"/>
      <c r="ADH1305"/>
      <c r="ADI1305"/>
      <c r="ADJ1305"/>
      <c r="ADK1305"/>
      <c r="ADL1305"/>
      <c r="ADM1305"/>
      <c r="ADN1305"/>
      <c r="ADO1305"/>
      <c r="ADP1305"/>
      <c r="ADQ1305"/>
      <c r="ADR1305"/>
      <c r="ADS1305"/>
      <c r="ADT1305"/>
      <c r="ADU1305"/>
      <c r="ADV1305"/>
      <c r="ADW1305"/>
      <c r="ADX1305"/>
      <c r="ADY1305"/>
      <c r="ADZ1305"/>
      <c r="AEA1305"/>
      <c r="AEB1305"/>
      <c r="AEC1305"/>
      <c r="AED1305"/>
      <c r="AEE1305"/>
      <c r="AEF1305"/>
      <c r="AEG1305"/>
      <c r="AEH1305"/>
      <c r="AEI1305"/>
      <c r="AEJ1305"/>
      <c r="AEK1305"/>
      <c r="AEL1305"/>
      <c r="AEM1305"/>
      <c r="AEN1305"/>
      <c r="AEO1305"/>
      <c r="AEP1305"/>
      <c r="AEQ1305"/>
      <c r="AER1305"/>
      <c r="AES1305"/>
      <c r="AET1305"/>
      <c r="AEU1305"/>
      <c r="AEV1305"/>
      <c r="AEW1305"/>
      <c r="AEX1305"/>
      <c r="AEY1305"/>
      <c r="AEZ1305"/>
      <c r="AFA1305"/>
      <c r="AFB1305"/>
      <c r="AFC1305"/>
      <c r="AFD1305"/>
      <c r="AFE1305"/>
      <c r="AFF1305"/>
      <c r="AFG1305"/>
      <c r="AFH1305"/>
      <c r="AFI1305"/>
      <c r="AFJ1305"/>
      <c r="AFK1305"/>
      <c r="AFL1305"/>
      <c r="AFM1305"/>
      <c r="AFN1305"/>
      <c r="AFO1305"/>
      <c r="AFP1305"/>
      <c r="AFQ1305"/>
      <c r="AFR1305"/>
      <c r="AFS1305"/>
      <c r="AFT1305"/>
      <c r="AFU1305"/>
      <c r="AFV1305"/>
      <c r="AFW1305"/>
      <c r="AFX1305"/>
      <c r="AFY1305"/>
      <c r="AFZ1305"/>
      <c r="AGA1305"/>
      <c r="AGB1305"/>
      <c r="AGC1305"/>
      <c r="AGD1305"/>
      <c r="AGE1305"/>
      <c r="AGF1305"/>
      <c r="AGG1305"/>
      <c r="AGH1305"/>
      <c r="AGI1305"/>
      <c r="AGJ1305"/>
      <c r="AGK1305"/>
      <c r="AGL1305"/>
      <c r="AGM1305"/>
      <c r="AGN1305"/>
      <c r="AGO1305"/>
      <c r="AGP1305"/>
      <c r="AGQ1305"/>
      <c r="AGR1305"/>
      <c r="AGS1305"/>
      <c r="AGT1305"/>
      <c r="AGU1305"/>
      <c r="AGV1305"/>
      <c r="AGW1305"/>
      <c r="AGX1305"/>
      <c r="AGY1305"/>
      <c r="AGZ1305"/>
      <c r="AHA1305"/>
      <c r="AHB1305"/>
      <c r="AHC1305"/>
      <c r="AHD1305"/>
      <c r="AHE1305"/>
      <c r="AHF1305"/>
      <c r="AHG1305"/>
      <c r="AHH1305"/>
      <c r="AHI1305"/>
      <c r="AHJ1305"/>
      <c r="AHK1305"/>
      <c r="AHL1305"/>
      <c r="AHM1305"/>
      <c r="AHN1305"/>
      <c r="AHO1305"/>
      <c r="AHP1305"/>
      <c r="AHQ1305"/>
      <c r="AHR1305"/>
      <c r="AHS1305"/>
      <c r="AHT1305"/>
      <c r="AHU1305"/>
      <c r="AHV1305"/>
      <c r="AHW1305"/>
      <c r="AHX1305"/>
      <c r="AHY1305"/>
      <c r="AHZ1305"/>
      <c r="AIA1305"/>
      <c r="AIB1305"/>
      <c r="AIC1305"/>
      <c r="AID1305"/>
      <c r="AIE1305"/>
      <c r="AIF1305"/>
      <c r="AIG1305"/>
      <c r="AIH1305"/>
      <c r="AII1305"/>
      <c r="AIJ1305"/>
      <c r="AIK1305"/>
      <c r="AIL1305"/>
      <c r="AIM1305"/>
      <c r="AIN1305"/>
      <c r="AIO1305"/>
      <c r="AIP1305"/>
      <c r="AIQ1305"/>
      <c r="AIR1305"/>
      <c r="AIS1305"/>
      <c r="AIT1305"/>
      <c r="AIU1305"/>
      <c r="AIV1305"/>
      <c r="AIW1305"/>
      <c r="AIX1305"/>
      <c r="AIY1305"/>
      <c r="AIZ1305"/>
      <c r="AJA1305"/>
      <c r="AJB1305"/>
      <c r="AJC1305"/>
      <c r="AJD1305"/>
      <c r="AJE1305"/>
      <c r="AJF1305"/>
      <c r="AJG1305"/>
      <c r="AJH1305"/>
      <c r="AJI1305"/>
      <c r="AJJ1305"/>
      <c r="AJK1305"/>
      <c r="AJL1305"/>
      <c r="AJM1305"/>
      <c r="AJN1305"/>
      <c r="AJO1305"/>
      <c r="AJP1305"/>
      <c r="AJQ1305"/>
      <c r="AJR1305"/>
      <c r="AJS1305"/>
      <c r="AJT1305"/>
      <c r="AJU1305"/>
      <c r="AJV1305"/>
      <c r="AJW1305"/>
      <c r="AJX1305"/>
      <c r="AJY1305"/>
      <c r="AJZ1305"/>
      <c r="AKA1305"/>
      <c r="AKB1305"/>
      <c r="AKC1305"/>
      <c r="AKD1305"/>
      <c r="AKE1305"/>
      <c r="AKF1305"/>
      <c r="AKG1305"/>
      <c r="AKH1305"/>
      <c r="AKI1305"/>
      <c r="AKJ1305"/>
      <c r="AKK1305"/>
      <c r="AKL1305"/>
      <c r="AKM1305"/>
      <c r="AKN1305"/>
      <c r="AKO1305"/>
      <c r="AKP1305"/>
      <c r="AKQ1305"/>
      <c r="AKR1305"/>
      <c r="AKS1305"/>
      <c r="AKT1305"/>
      <c r="AKU1305"/>
      <c r="AKV1305"/>
      <c r="AKW1305"/>
      <c r="AKX1305"/>
      <c r="AKY1305"/>
      <c r="AKZ1305"/>
      <c r="ALA1305"/>
      <c r="ALB1305"/>
      <c r="ALC1305"/>
      <c r="ALD1305"/>
      <c r="ALE1305"/>
      <c r="ALF1305"/>
      <c r="ALG1305"/>
      <c r="ALH1305"/>
      <c r="ALI1305"/>
      <c r="ALJ1305"/>
      <c r="ALK1305"/>
      <c r="ALL1305"/>
      <c r="ALM1305"/>
      <c r="ALN1305"/>
      <c r="ALO1305"/>
      <c r="ALP1305"/>
      <c r="ALQ1305"/>
      <c r="ALR1305"/>
      <c r="ALS1305"/>
      <c r="ALT1305"/>
    </row>
    <row r="1306" spans="1:1008" x14ac:dyDescent="0.15">
      <c r="A1306" t="s">
        <v>4084</v>
      </c>
      <c r="B1306" s="8" t="s">
        <v>4082</v>
      </c>
      <c r="C1306"/>
      <c r="D1306" s="8" t="s">
        <v>15</v>
      </c>
      <c r="E1306" t="s">
        <v>4084</v>
      </c>
      <c r="F1306" s="8" t="s">
        <v>4085</v>
      </c>
      <c r="G1306">
        <v>730</v>
      </c>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c r="AT1306"/>
      <c r="AU1306"/>
      <c r="AV1306"/>
      <c r="AW1306"/>
      <c r="AX1306"/>
      <c r="AY1306"/>
      <c r="AZ1306"/>
      <c r="BA1306"/>
      <c r="BB1306"/>
      <c r="BC1306"/>
      <c r="BD1306"/>
      <c r="BE1306"/>
      <c r="BF1306"/>
      <c r="BG1306"/>
      <c r="BH1306"/>
      <c r="BI1306"/>
      <c r="BJ1306"/>
      <c r="BK1306"/>
      <c r="BL1306"/>
      <c r="BM1306"/>
      <c r="BN1306"/>
      <c r="BO1306"/>
      <c r="BP1306"/>
      <c r="BQ1306"/>
      <c r="BR1306"/>
      <c r="BS1306"/>
      <c r="BT1306"/>
      <c r="BU1306"/>
      <c r="BV1306"/>
      <c r="BW1306"/>
      <c r="BX1306"/>
      <c r="BY1306"/>
      <c r="BZ1306"/>
      <c r="CA1306"/>
      <c r="CB1306"/>
      <c r="CC1306"/>
      <c r="CD1306"/>
      <c r="CE1306"/>
      <c r="CF1306"/>
      <c r="CG1306"/>
      <c r="CH1306"/>
      <c r="CI1306"/>
      <c r="CJ1306"/>
      <c r="CK1306"/>
      <c r="CL1306"/>
      <c r="CM1306"/>
      <c r="CN1306"/>
      <c r="CO1306"/>
      <c r="CP1306"/>
      <c r="CQ1306"/>
      <c r="CR1306"/>
      <c r="CS1306"/>
      <c r="CT1306"/>
      <c r="CU1306"/>
      <c r="CV1306"/>
      <c r="CW1306"/>
      <c r="CX1306"/>
      <c r="CY1306"/>
      <c r="CZ1306"/>
      <c r="DA1306"/>
      <c r="DB1306"/>
      <c r="DC1306"/>
      <c r="DD1306"/>
      <c r="DE1306"/>
      <c r="DF1306"/>
      <c r="DG1306"/>
      <c r="DH1306"/>
      <c r="DI1306"/>
      <c r="DJ1306"/>
      <c r="DK1306"/>
      <c r="DL1306"/>
      <c r="DM1306"/>
      <c r="DN1306"/>
      <c r="DO1306"/>
      <c r="DP1306"/>
      <c r="DQ1306"/>
      <c r="DR1306"/>
      <c r="DS1306"/>
      <c r="DT1306"/>
      <c r="DU1306"/>
      <c r="DV1306"/>
      <c r="DW1306"/>
      <c r="DX1306"/>
      <c r="DY1306"/>
      <c r="DZ1306"/>
      <c r="EA1306"/>
      <c r="EB1306"/>
      <c r="EC1306"/>
      <c r="ED1306"/>
      <c r="EE1306"/>
      <c r="EF1306"/>
      <c r="EG1306"/>
      <c r="EH1306"/>
      <c r="EI1306"/>
      <c r="EJ1306"/>
      <c r="EK1306"/>
      <c r="EL1306"/>
      <c r="EM1306"/>
      <c r="EN1306"/>
      <c r="EO1306"/>
      <c r="EP1306"/>
      <c r="EQ1306"/>
      <c r="ER1306"/>
      <c r="ES1306"/>
      <c r="ET1306"/>
      <c r="EU1306"/>
      <c r="EV1306"/>
      <c r="EW1306"/>
      <c r="EX1306"/>
      <c r="EY1306"/>
      <c r="EZ1306"/>
      <c r="FA1306"/>
      <c r="FB1306"/>
      <c r="FC1306"/>
      <c r="FD1306"/>
      <c r="FE1306"/>
      <c r="FF1306"/>
      <c r="FG1306"/>
      <c r="FH1306"/>
      <c r="FI1306"/>
      <c r="FJ1306"/>
      <c r="FK1306"/>
      <c r="FL1306"/>
      <c r="FM1306"/>
      <c r="FN1306"/>
      <c r="FO1306"/>
      <c r="FP1306"/>
      <c r="FQ1306"/>
      <c r="FR1306"/>
      <c r="FS1306"/>
      <c r="FT1306"/>
      <c r="FU1306"/>
      <c r="FV1306"/>
      <c r="FW1306"/>
      <c r="FX1306"/>
      <c r="FY1306"/>
      <c r="FZ1306"/>
      <c r="GA1306"/>
      <c r="GB1306"/>
      <c r="GC1306"/>
      <c r="GD1306"/>
      <c r="GE1306"/>
      <c r="GF1306"/>
      <c r="GG1306"/>
      <c r="GH1306"/>
      <c r="GI1306"/>
      <c r="GJ1306"/>
      <c r="GK1306"/>
      <c r="GL1306"/>
      <c r="GM1306"/>
      <c r="GN1306"/>
      <c r="GO1306"/>
      <c r="GP1306"/>
      <c r="GQ1306"/>
      <c r="GR1306"/>
      <c r="GS1306"/>
      <c r="GT1306"/>
      <c r="GU1306"/>
      <c r="GV1306"/>
      <c r="GW1306"/>
      <c r="GX1306"/>
      <c r="GY1306"/>
      <c r="GZ1306"/>
      <c r="HA1306"/>
      <c r="HB1306"/>
      <c r="HC1306"/>
      <c r="HD1306"/>
      <c r="HE1306"/>
      <c r="HF1306"/>
      <c r="HG1306"/>
      <c r="HH1306"/>
      <c r="HI1306"/>
      <c r="HJ1306"/>
      <c r="HK1306"/>
      <c r="HL1306"/>
      <c r="HM1306"/>
      <c r="HN1306"/>
      <c r="HO1306"/>
      <c r="HP1306"/>
      <c r="HQ1306"/>
      <c r="HR1306"/>
      <c r="HS1306"/>
      <c r="HT1306"/>
      <c r="HU1306"/>
      <c r="HV1306"/>
      <c r="HW1306"/>
      <c r="HX1306"/>
      <c r="HY1306"/>
      <c r="HZ1306"/>
      <c r="IA1306"/>
      <c r="IB1306"/>
      <c r="IC1306"/>
      <c r="ID1306"/>
      <c r="IE1306"/>
      <c r="IF1306"/>
      <c r="IG1306"/>
      <c r="IH1306"/>
      <c r="II1306"/>
      <c r="IJ1306"/>
      <c r="IK1306"/>
      <c r="IL1306"/>
      <c r="IM1306"/>
      <c r="IN1306"/>
      <c r="IO1306"/>
      <c r="IP1306"/>
      <c r="IQ1306"/>
      <c r="IR1306"/>
      <c r="IS1306"/>
      <c r="IT1306"/>
      <c r="IU1306"/>
      <c r="IV1306"/>
      <c r="IW1306"/>
      <c r="IX1306"/>
      <c r="IY1306"/>
      <c r="IZ1306"/>
      <c r="JA1306"/>
      <c r="JB1306"/>
      <c r="JC1306"/>
      <c r="JD1306"/>
      <c r="JE1306"/>
      <c r="JF1306"/>
      <c r="JG1306"/>
      <c r="JH1306"/>
      <c r="JI1306"/>
      <c r="JJ1306"/>
      <c r="JK1306"/>
      <c r="JL1306"/>
      <c r="JM1306"/>
      <c r="JN1306"/>
      <c r="JO1306"/>
      <c r="JP1306"/>
      <c r="JQ1306"/>
      <c r="JR1306"/>
      <c r="JS1306"/>
      <c r="JT1306"/>
      <c r="JU1306"/>
      <c r="JV1306"/>
      <c r="JW1306"/>
      <c r="JX1306"/>
      <c r="JY1306"/>
      <c r="JZ1306"/>
      <c r="KA1306"/>
      <c r="KB1306"/>
      <c r="KC1306"/>
      <c r="KD1306"/>
      <c r="KE1306"/>
      <c r="KF1306"/>
      <c r="KG1306"/>
      <c r="KH1306"/>
      <c r="KI1306"/>
      <c r="KJ1306"/>
      <c r="KK1306"/>
      <c r="KL1306"/>
      <c r="KM1306"/>
      <c r="KN1306"/>
      <c r="KO1306"/>
      <c r="KP1306"/>
      <c r="KQ1306"/>
      <c r="KR1306"/>
      <c r="KS1306"/>
      <c r="KT1306"/>
      <c r="KU1306"/>
      <c r="KV1306"/>
      <c r="KW1306"/>
      <c r="KX1306"/>
      <c r="KY1306"/>
      <c r="KZ1306"/>
      <c r="LA1306"/>
      <c r="LB1306"/>
      <c r="LC1306"/>
      <c r="LD1306"/>
      <c r="LE1306"/>
      <c r="LF1306"/>
      <c r="LG1306"/>
      <c r="LH1306"/>
      <c r="LI1306"/>
      <c r="LJ1306"/>
      <c r="LK1306"/>
      <c r="LL1306"/>
      <c r="LM1306"/>
      <c r="LN1306"/>
      <c r="LO1306"/>
      <c r="LP1306"/>
      <c r="LQ1306"/>
      <c r="LR1306"/>
      <c r="LS1306"/>
      <c r="LT1306"/>
      <c r="LU1306"/>
      <c r="LV1306"/>
      <c r="LW1306"/>
      <c r="LX1306"/>
      <c r="LY1306"/>
      <c r="LZ1306"/>
      <c r="MA1306"/>
      <c r="MB1306"/>
      <c r="MC1306"/>
      <c r="MD1306"/>
      <c r="ME1306"/>
      <c r="MF1306"/>
      <c r="MG1306"/>
      <c r="MH1306"/>
      <c r="MI1306"/>
      <c r="MJ1306"/>
      <c r="MK1306"/>
      <c r="ML1306"/>
      <c r="MM1306"/>
      <c r="MN1306"/>
      <c r="MO1306"/>
      <c r="MP1306"/>
      <c r="MQ1306"/>
      <c r="MR1306"/>
      <c r="MS1306"/>
      <c r="MT1306"/>
      <c r="MU1306"/>
      <c r="MV1306"/>
      <c r="MW1306"/>
      <c r="MX1306"/>
      <c r="MY1306"/>
      <c r="MZ1306"/>
      <c r="NA1306"/>
      <c r="NB1306"/>
      <c r="NC1306"/>
      <c r="ND1306"/>
      <c r="NE1306"/>
      <c r="NF1306"/>
      <c r="NG1306"/>
      <c r="NH1306"/>
      <c r="NI1306"/>
      <c r="NJ1306"/>
      <c r="NK1306"/>
      <c r="NL1306"/>
      <c r="NM1306"/>
      <c r="NN1306"/>
      <c r="NO1306"/>
      <c r="NP1306"/>
      <c r="NQ1306"/>
      <c r="NR1306"/>
      <c r="NS1306"/>
      <c r="NT1306"/>
      <c r="NU1306"/>
      <c r="NV1306"/>
      <c r="NW1306"/>
      <c r="NX1306"/>
      <c r="NY1306"/>
      <c r="NZ1306"/>
      <c r="OA1306"/>
      <c r="OB1306"/>
      <c r="OC1306"/>
      <c r="OD1306"/>
      <c r="OE1306"/>
      <c r="OF1306"/>
      <c r="OG1306"/>
      <c r="OH1306"/>
      <c r="OI1306"/>
      <c r="OJ1306"/>
      <c r="OK1306"/>
      <c r="OL1306"/>
      <c r="OM1306"/>
      <c r="ON1306"/>
      <c r="OO1306"/>
      <c r="OP1306"/>
      <c r="OQ1306"/>
      <c r="OR1306"/>
      <c r="OS1306"/>
      <c r="OT1306"/>
      <c r="OU1306"/>
      <c r="OV1306"/>
      <c r="OW1306"/>
      <c r="OX1306"/>
      <c r="OY1306"/>
      <c r="OZ1306"/>
      <c r="PA1306"/>
      <c r="PB1306"/>
      <c r="PC1306"/>
      <c r="PD1306"/>
      <c r="PE1306"/>
      <c r="PF1306"/>
      <c r="PG1306"/>
      <c r="PH1306"/>
      <c r="PI1306"/>
      <c r="PJ1306"/>
      <c r="PK1306"/>
      <c r="PL1306"/>
      <c r="PM1306"/>
      <c r="PN1306"/>
      <c r="PO1306"/>
      <c r="PP1306"/>
      <c r="PQ1306"/>
      <c r="PR1306"/>
      <c r="PS1306"/>
      <c r="PT1306"/>
      <c r="PU1306"/>
      <c r="PV1306"/>
      <c r="PW1306"/>
      <c r="PX1306"/>
      <c r="PY1306"/>
      <c r="PZ1306"/>
      <c r="QA1306"/>
      <c r="QB1306"/>
      <c r="QC1306"/>
      <c r="QD1306"/>
      <c r="QE1306"/>
      <c r="QF1306"/>
      <c r="QG1306"/>
      <c r="QH1306"/>
      <c r="QI1306"/>
      <c r="QJ1306"/>
      <c r="QK1306"/>
      <c r="QL1306"/>
      <c r="QM1306"/>
      <c r="QN1306"/>
      <c r="QO1306"/>
      <c r="QP1306"/>
      <c r="QQ1306"/>
      <c r="QR1306"/>
      <c r="QS1306"/>
      <c r="QT1306"/>
      <c r="QU1306"/>
      <c r="QV1306"/>
      <c r="QW1306"/>
      <c r="QX1306"/>
      <c r="QY1306"/>
      <c r="QZ1306"/>
      <c r="RA1306"/>
      <c r="RB1306"/>
      <c r="RC1306"/>
      <c r="RD1306"/>
      <c r="RE1306"/>
      <c r="RF1306"/>
      <c r="RG1306"/>
      <c r="RH1306"/>
      <c r="RI1306"/>
      <c r="RJ1306"/>
      <c r="RK1306"/>
      <c r="RL1306"/>
      <c r="RM1306"/>
      <c r="RN1306"/>
      <c r="RO1306"/>
      <c r="RP1306"/>
      <c r="RQ1306"/>
      <c r="RR1306"/>
      <c r="RS1306"/>
      <c r="RT1306"/>
      <c r="RU1306"/>
      <c r="RV1306"/>
      <c r="RW1306"/>
      <c r="RX1306"/>
      <c r="RY1306"/>
      <c r="RZ1306"/>
      <c r="SA1306"/>
      <c r="SB1306"/>
      <c r="SC1306"/>
      <c r="SD1306"/>
      <c r="SE1306"/>
      <c r="SF1306"/>
      <c r="SG1306"/>
      <c r="SH1306"/>
      <c r="SI1306"/>
      <c r="SJ1306"/>
      <c r="SK1306"/>
      <c r="SL1306"/>
      <c r="SM1306"/>
      <c r="SN1306"/>
      <c r="SO1306"/>
      <c r="SP1306"/>
      <c r="SQ1306"/>
      <c r="SR1306"/>
      <c r="SS1306"/>
      <c r="ST1306"/>
      <c r="SU1306"/>
      <c r="SV1306"/>
      <c r="SW1306"/>
      <c r="SX1306"/>
      <c r="SY1306"/>
      <c r="SZ1306"/>
      <c r="TA1306"/>
      <c r="TB1306"/>
      <c r="TC1306"/>
      <c r="TD1306"/>
      <c r="TE1306"/>
      <c r="TF1306"/>
      <c r="TG1306"/>
      <c r="TH1306"/>
      <c r="TI1306"/>
      <c r="TJ1306"/>
      <c r="TK1306"/>
      <c r="TL1306"/>
      <c r="TM1306"/>
      <c r="TN1306"/>
      <c r="TO1306"/>
      <c r="TP1306"/>
      <c r="TQ1306"/>
      <c r="TR1306"/>
      <c r="TS1306"/>
      <c r="TT1306"/>
      <c r="TU1306"/>
      <c r="TV1306"/>
      <c r="TW1306"/>
      <c r="TX1306"/>
      <c r="TY1306"/>
      <c r="TZ1306"/>
      <c r="UA1306"/>
      <c r="UB1306"/>
      <c r="UC1306"/>
      <c r="UD1306"/>
      <c r="UE1306"/>
      <c r="UF1306"/>
      <c r="UG1306"/>
      <c r="UH1306"/>
      <c r="UI1306"/>
      <c r="UJ1306"/>
      <c r="UK1306"/>
      <c r="UL1306"/>
      <c r="UM1306"/>
      <c r="UN1306"/>
      <c r="UO1306"/>
      <c r="UP1306"/>
      <c r="UQ1306"/>
      <c r="UR1306"/>
      <c r="US1306"/>
      <c r="UT1306"/>
      <c r="UU1306"/>
      <c r="UV1306"/>
      <c r="UW1306"/>
      <c r="UX1306"/>
      <c r="UY1306"/>
      <c r="UZ1306"/>
      <c r="VA1306"/>
      <c r="VB1306"/>
      <c r="VC1306"/>
      <c r="VD1306"/>
      <c r="VE1306"/>
      <c r="VF1306"/>
      <c r="VG1306"/>
      <c r="VH1306"/>
      <c r="VI1306"/>
      <c r="VJ1306"/>
      <c r="VK1306"/>
      <c r="VL1306"/>
      <c r="VM1306"/>
      <c r="VN1306"/>
      <c r="VO1306"/>
      <c r="VP1306"/>
      <c r="VQ1306"/>
      <c r="VR1306"/>
      <c r="VS1306"/>
      <c r="VT1306"/>
      <c r="VU1306"/>
      <c r="VV1306"/>
      <c r="VW1306"/>
      <c r="VX1306"/>
      <c r="VY1306"/>
      <c r="VZ1306"/>
      <c r="WA1306"/>
      <c r="WB1306"/>
      <c r="WC1306"/>
      <c r="WD1306"/>
      <c r="WE1306"/>
      <c r="WF1306"/>
      <c r="WG1306"/>
      <c r="WH1306"/>
      <c r="WI1306"/>
      <c r="WJ1306"/>
      <c r="WK1306"/>
      <c r="WL1306"/>
      <c r="WM1306"/>
      <c r="WN1306"/>
      <c r="WO1306"/>
      <c r="WP1306"/>
      <c r="WQ1306"/>
      <c r="WR1306"/>
      <c r="WS1306"/>
      <c r="WT1306"/>
      <c r="WU1306"/>
      <c r="WV1306"/>
      <c r="WW1306"/>
      <c r="WX1306"/>
      <c r="WY1306"/>
      <c r="WZ1306"/>
      <c r="XA1306"/>
      <c r="XB1306"/>
      <c r="XC1306"/>
      <c r="XD1306"/>
      <c r="XE1306"/>
      <c r="XF1306"/>
      <c r="XG1306"/>
      <c r="XH1306"/>
      <c r="XI1306"/>
      <c r="XJ1306"/>
      <c r="XK1306"/>
      <c r="XL1306"/>
      <c r="XM1306"/>
      <c r="XN1306"/>
      <c r="XO1306"/>
      <c r="XP1306"/>
      <c r="XQ1306"/>
      <c r="XR1306"/>
      <c r="XS1306"/>
      <c r="XT1306"/>
      <c r="XU1306"/>
      <c r="XV1306"/>
      <c r="XW1306"/>
      <c r="XX1306"/>
      <c r="XY1306"/>
      <c r="XZ1306"/>
      <c r="YA1306"/>
      <c r="YB1306"/>
      <c r="YC1306"/>
      <c r="YD1306"/>
      <c r="YE1306"/>
      <c r="YF1306"/>
      <c r="YG1306"/>
      <c r="YH1306"/>
      <c r="YI1306"/>
      <c r="YJ1306"/>
      <c r="YK1306"/>
      <c r="YL1306"/>
      <c r="YM1306"/>
      <c r="YN1306"/>
      <c r="YO1306"/>
      <c r="YP1306"/>
      <c r="YQ1306"/>
      <c r="YR1306"/>
      <c r="YS1306"/>
      <c r="YT1306"/>
      <c r="YU1306"/>
      <c r="YV1306"/>
      <c r="YW1306"/>
      <c r="YX1306"/>
      <c r="YY1306"/>
      <c r="YZ1306"/>
      <c r="ZA1306"/>
      <c r="ZB1306"/>
      <c r="ZC1306"/>
      <c r="ZD1306"/>
      <c r="ZE1306"/>
      <c r="ZF1306"/>
      <c r="ZG1306"/>
      <c r="ZH1306"/>
      <c r="ZI1306"/>
      <c r="ZJ1306"/>
      <c r="ZK1306"/>
      <c r="ZL1306"/>
      <c r="ZM1306"/>
      <c r="ZN1306"/>
      <c r="ZO1306"/>
      <c r="ZP1306"/>
      <c r="ZQ1306"/>
      <c r="ZR1306"/>
      <c r="ZS1306"/>
      <c r="ZT1306"/>
      <c r="ZU1306"/>
      <c r="ZV1306"/>
      <c r="ZW1306"/>
      <c r="ZX1306"/>
      <c r="ZY1306"/>
      <c r="ZZ1306"/>
      <c r="AAA1306"/>
      <c r="AAB1306"/>
      <c r="AAC1306"/>
      <c r="AAD1306"/>
      <c r="AAE1306"/>
      <c r="AAF1306"/>
      <c r="AAG1306"/>
      <c r="AAH1306"/>
      <c r="AAI1306"/>
      <c r="AAJ1306"/>
      <c r="AAK1306"/>
      <c r="AAL1306"/>
      <c r="AAM1306"/>
      <c r="AAN1306"/>
      <c r="AAO1306"/>
      <c r="AAP1306"/>
      <c r="AAQ1306"/>
      <c r="AAR1306"/>
      <c r="AAS1306"/>
      <c r="AAT1306"/>
      <c r="AAU1306"/>
      <c r="AAV1306"/>
      <c r="AAW1306"/>
      <c r="AAX1306"/>
      <c r="AAY1306"/>
      <c r="AAZ1306"/>
      <c r="ABA1306"/>
      <c r="ABB1306"/>
      <c r="ABC1306"/>
      <c r="ABD1306"/>
      <c r="ABE1306"/>
      <c r="ABF1306"/>
      <c r="ABG1306"/>
      <c r="ABH1306"/>
      <c r="ABI1306"/>
      <c r="ABJ1306"/>
      <c r="ABK1306"/>
      <c r="ABL1306"/>
      <c r="ABM1306"/>
      <c r="ABN1306"/>
      <c r="ABO1306"/>
      <c r="ABP1306"/>
      <c r="ABQ1306"/>
      <c r="ABR1306"/>
      <c r="ABS1306"/>
      <c r="ABT1306"/>
      <c r="ABU1306"/>
      <c r="ABV1306"/>
      <c r="ABW1306"/>
      <c r="ABX1306"/>
      <c r="ABY1306"/>
      <c r="ABZ1306"/>
      <c r="ACA1306"/>
      <c r="ACB1306"/>
      <c r="ACC1306"/>
      <c r="ACD1306"/>
      <c r="ACE1306"/>
      <c r="ACF1306"/>
      <c r="ACG1306"/>
      <c r="ACH1306"/>
      <c r="ACI1306"/>
      <c r="ACJ1306"/>
      <c r="ACK1306"/>
      <c r="ACL1306"/>
      <c r="ACM1306"/>
      <c r="ACN1306"/>
      <c r="ACO1306"/>
      <c r="ACP1306"/>
      <c r="ACQ1306"/>
      <c r="ACR1306"/>
      <c r="ACS1306"/>
      <c r="ACT1306"/>
      <c r="ACU1306"/>
      <c r="ACV1306"/>
      <c r="ACW1306"/>
      <c r="ACX1306"/>
      <c r="ACY1306"/>
      <c r="ACZ1306"/>
      <c r="ADA1306"/>
      <c r="ADB1306"/>
      <c r="ADC1306"/>
      <c r="ADD1306"/>
      <c r="ADE1306"/>
      <c r="ADF1306"/>
      <c r="ADG1306"/>
      <c r="ADH1306"/>
      <c r="ADI1306"/>
      <c r="ADJ1306"/>
      <c r="ADK1306"/>
      <c r="ADL1306"/>
      <c r="ADM1306"/>
      <c r="ADN1306"/>
      <c r="ADO1306"/>
      <c r="ADP1306"/>
      <c r="ADQ1306"/>
      <c r="ADR1306"/>
      <c r="ADS1306"/>
      <c r="ADT1306"/>
      <c r="ADU1306"/>
      <c r="ADV1306"/>
      <c r="ADW1306"/>
      <c r="ADX1306"/>
      <c r="ADY1306"/>
      <c r="ADZ1306"/>
      <c r="AEA1306"/>
      <c r="AEB1306"/>
      <c r="AEC1306"/>
      <c r="AED1306"/>
      <c r="AEE1306"/>
      <c r="AEF1306"/>
      <c r="AEG1306"/>
      <c r="AEH1306"/>
      <c r="AEI1306"/>
      <c r="AEJ1306"/>
      <c r="AEK1306"/>
      <c r="AEL1306"/>
      <c r="AEM1306"/>
      <c r="AEN1306"/>
      <c r="AEO1306"/>
      <c r="AEP1306"/>
      <c r="AEQ1306"/>
      <c r="AER1306"/>
      <c r="AES1306"/>
      <c r="AET1306"/>
      <c r="AEU1306"/>
      <c r="AEV1306"/>
      <c r="AEW1306"/>
      <c r="AEX1306"/>
      <c r="AEY1306"/>
      <c r="AEZ1306"/>
      <c r="AFA1306"/>
      <c r="AFB1306"/>
      <c r="AFC1306"/>
      <c r="AFD1306"/>
      <c r="AFE1306"/>
      <c r="AFF1306"/>
      <c r="AFG1306"/>
      <c r="AFH1306"/>
      <c r="AFI1306"/>
      <c r="AFJ1306"/>
      <c r="AFK1306"/>
      <c r="AFL1306"/>
      <c r="AFM1306"/>
      <c r="AFN1306"/>
      <c r="AFO1306"/>
      <c r="AFP1306"/>
      <c r="AFQ1306"/>
      <c r="AFR1306"/>
      <c r="AFS1306"/>
      <c r="AFT1306"/>
      <c r="AFU1306"/>
      <c r="AFV1306"/>
      <c r="AFW1306"/>
      <c r="AFX1306"/>
      <c r="AFY1306"/>
      <c r="AFZ1306"/>
      <c r="AGA1306"/>
      <c r="AGB1306"/>
      <c r="AGC1306"/>
      <c r="AGD1306"/>
      <c r="AGE1306"/>
      <c r="AGF1306"/>
      <c r="AGG1306"/>
      <c r="AGH1306"/>
      <c r="AGI1306"/>
      <c r="AGJ1306"/>
      <c r="AGK1306"/>
      <c r="AGL1306"/>
      <c r="AGM1306"/>
      <c r="AGN1306"/>
      <c r="AGO1306"/>
      <c r="AGP1306"/>
      <c r="AGQ1306"/>
      <c r="AGR1306"/>
      <c r="AGS1306"/>
      <c r="AGT1306"/>
      <c r="AGU1306"/>
      <c r="AGV1306"/>
      <c r="AGW1306"/>
      <c r="AGX1306"/>
      <c r="AGY1306"/>
      <c r="AGZ1306"/>
      <c r="AHA1306"/>
      <c r="AHB1306"/>
      <c r="AHC1306"/>
      <c r="AHD1306"/>
      <c r="AHE1306"/>
      <c r="AHF1306"/>
      <c r="AHG1306"/>
      <c r="AHH1306"/>
      <c r="AHI1306"/>
      <c r="AHJ1306"/>
      <c r="AHK1306"/>
      <c r="AHL1306"/>
      <c r="AHM1306"/>
      <c r="AHN1306"/>
      <c r="AHO1306"/>
      <c r="AHP1306"/>
      <c r="AHQ1306"/>
      <c r="AHR1306"/>
      <c r="AHS1306"/>
      <c r="AHT1306"/>
      <c r="AHU1306"/>
      <c r="AHV1306"/>
      <c r="AHW1306"/>
      <c r="AHX1306"/>
      <c r="AHY1306"/>
      <c r="AHZ1306"/>
      <c r="AIA1306"/>
      <c r="AIB1306"/>
      <c r="AIC1306"/>
      <c r="AID1306"/>
      <c r="AIE1306"/>
      <c r="AIF1306"/>
      <c r="AIG1306"/>
      <c r="AIH1306"/>
      <c r="AII1306"/>
      <c r="AIJ1306"/>
      <c r="AIK1306"/>
      <c r="AIL1306"/>
      <c r="AIM1306"/>
      <c r="AIN1306"/>
      <c r="AIO1306"/>
      <c r="AIP1306"/>
      <c r="AIQ1306"/>
      <c r="AIR1306"/>
      <c r="AIS1306"/>
      <c r="AIT1306"/>
      <c r="AIU1306"/>
      <c r="AIV1306"/>
      <c r="AIW1306"/>
      <c r="AIX1306"/>
      <c r="AIY1306"/>
      <c r="AIZ1306"/>
      <c r="AJA1306"/>
      <c r="AJB1306"/>
      <c r="AJC1306"/>
      <c r="AJD1306"/>
      <c r="AJE1306"/>
      <c r="AJF1306"/>
      <c r="AJG1306"/>
      <c r="AJH1306"/>
      <c r="AJI1306"/>
      <c r="AJJ1306"/>
      <c r="AJK1306"/>
      <c r="AJL1306"/>
      <c r="AJM1306"/>
      <c r="AJN1306"/>
      <c r="AJO1306"/>
      <c r="AJP1306"/>
      <c r="AJQ1306"/>
      <c r="AJR1306"/>
      <c r="AJS1306"/>
      <c r="AJT1306"/>
      <c r="AJU1306"/>
      <c r="AJV1306"/>
      <c r="AJW1306"/>
      <c r="AJX1306"/>
      <c r="AJY1306"/>
      <c r="AJZ1306"/>
      <c r="AKA1306"/>
      <c r="AKB1306"/>
      <c r="AKC1306"/>
      <c r="AKD1306"/>
      <c r="AKE1306"/>
      <c r="AKF1306"/>
      <c r="AKG1306"/>
      <c r="AKH1306"/>
      <c r="AKI1306"/>
      <c r="AKJ1306"/>
      <c r="AKK1306"/>
      <c r="AKL1306"/>
      <c r="AKM1306"/>
      <c r="AKN1306"/>
      <c r="AKO1306"/>
      <c r="AKP1306"/>
      <c r="AKQ1306"/>
      <c r="AKR1306"/>
      <c r="AKS1306"/>
      <c r="AKT1306"/>
      <c r="AKU1306"/>
      <c r="AKV1306"/>
      <c r="AKW1306"/>
      <c r="AKX1306"/>
      <c r="AKY1306"/>
      <c r="AKZ1306"/>
      <c r="ALA1306"/>
      <c r="ALB1306"/>
      <c r="ALC1306"/>
      <c r="ALD1306"/>
      <c r="ALE1306"/>
      <c r="ALF1306"/>
      <c r="ALG1306"/>
      <c r="ALH1306"/>
      <c r="ALI1306"/>
      <c r="ALJ1306"/>
      <c r="ALK1306"/>
      <c r="ALL1306"/>
      <c r="ALM1306"/>
      <c r="ALN1306"/>
      <c r="ALO1306"/>
      <c r="ALP1306"/>
      <c r="ALQ1306"/>
      <c r="ALR1306"/>
      <c r="ALS1306"/>
      <c r="ALT1306"/>
    </row>
    <row r="1307" spans="1:1008" x14ac:dyDescent="0.15">
      <c r="A1307" t="s">
        <v>2250</v>
      </c>
      <c r="B1307" s="8" t="s">
        <v>4083</v>
      </c>
      <c r="C1307" t="s">
        <v>2250</v>
      </c>
      <c r="D1307" s="8" t="s">
        <v>15</v>
      </c>
      <c r="E1307" t="s">
        <v>2250</v>
      </c>
      <c r="F1307" t="s">
        <v>4068</v>
      </c>
      <c r="G1307">
        <v>600</v>
      </c>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c r="AT1307"/>
      <c r="AU1307"/>
      <c r="AV1307"/>
      <c r="AW1307"/>
      <c r="AX1307"/>
      <c r="AY1307"/>
      <c r="AZ1307"/>
      <c r="BA1307"/>
      <c r="BB1307"/>
      <c r="BC1307"/>
      <c r="BD1307"/>
      <c r="BE1307"/>
      <c r="BF1307"/>
      <c r="BG1307"/>
      <c r="BH1307"/>
      <c r="BI1307"/>
      <c r="BJ1307"/>
      <c r="BK1307"/>
      <c r="BL1307"/>
      <c r="BM1307"/>
      <c r="BN1307"/>
      <c r="BO1307"/>
      <c r="BP1307"/>
      <c r="BQ1307"/>
      <c r="BR1307"/>
      <c r="BS1307"/>
      <c r="BT1307"/>
      <c r="BU1307"/>
      <c r="BV1307"/>
      <c r="BW1307"/>
      <c r="BX1307"/>
      <c r="BY1307"/>
      <c r="BZ1307"/>
      <c r="CA1307"/>
      <c r="CB1307"/>
      <c r="CC1307"/>
      <c r="CD1307"/>
      <c r="CE1307"/>
      <c r="CF1307"/>
      <c r="CG1307"/>
      <c r="CH1307"/>
      <c r="CI1307"/>
      <c r="CJ1307"/>
      <c r="CK1307"/>
      <c r="CL1307"/>
      <c r="CM1307"/>
      <c r="CN1307"/>
      <c r="CO1307"/>
      <c r="CP1307"/>
      <c r="CQ1307"/>
      <c r="CR1307"/>
      <c r="CS1307"/>
      <c r="CT1307"/>
      <c r="CU1307"/>
      <c r="CV1307"/>
      <c r="CW1307"/>
      <c r="CX1307"/>
      <c r="CY1307"/>
      <c r="CZ1307"/>
      <c r="DA1307"/>
      <c r="DB1307"/>
      <c r="DC1307"/>
      <c r="DD1307"/>
      <c r="DE1307"/>
      <c r="DF1307"/>
      <c r="DG1307"/>
      <c r="DH1307"/>
      <c r="DI1307"/>
      <c r="DJ1307"/>
      <c r="DK1307"/>
      <c r="DL1307"/>
      <c r="DM1307"/>
      <c r="DN1307"/>
      <c r="DO1307"/>
      <c r="DP1307"/>
      <c r="DQ1307"/>
      <c r="DR1307"/>
      <c r="DS1307"/>
      <c r="DT1307"/>
      <c r="DU1307"/>
      <c r="DV1307"/>
      <c r="DW1307"/>
      <c r="DX1307"/>
      <c r="DY1307"/>
      <c r="DZ1307"/>
      <c r="EA1307"/>
      <c r="EB1307"/>
      <c r="EC1307"/>
      <c r="ED1307"/>
      <c r="EE1307"/>
      <c r="EF1307"/>
      <c r="EG1307"/>
      <c r="EH1307"/>
      <c r="EI1307"/>
      <c r="EJ1307"/>
      <c r="EK1307"/>
      <c r="EL1307"/>
      <c r="EM1307"/>
      <c r="EN1307"/>
      <c r="EO1307"/>
      <c r="EP1307"/>
      <c r="EQ1307"/>
      <c r="ER1307"/>
      <c r="ES1307"/>
      <c r="ET1307"/>
      <c r="EU1307"/>
      <c r="EV1307"/>
      <c r="EW1307"/>
      <c r="EX1307"/>
      <c r="EY1307"/>
      <c r="EZ1307"/>
      <c r="FA1307"/>
      <c r="FB1307"/>
      <c r="FC1307"/>
      <c r="FD1307"/>
      <c r="FE1307"/>
      <c r="FF1307"/>
      <c r="FG1307"/>
      <c r="FH1307"/>
      <c r="FI1307"/>
      <c r="FJ1307"/>
      <c r="FK1307"/>
      <c r="FL1307"/>
      <c r="FM1307"/>
      <c r="FN1307"/>
      <c r="FO1307"/>
      <c r="FP1307"/>
      <c r="FQ1307"/>
      <c r="FR1307"/>
      <c r="FS1307"/>
      <c r="FT1307"/>
      <c r="FU1307"/>
      <c r="FV1307"/>
      <c r="FW1307"/>
      <c r="FX1307"/>
      <c r="FY1307"/>
      <c r="FZ1307"/>
      <c r="GA1307"/>
      <c r="GB1307"/>
      <c r="GC1307"/>
      <c r="GD1307"/>
      <c r="GE1307"/>
      <c r="GF1307"/>
      <c r="GG1307"/>
      <c r="GH1307"/>
      <c r="GI1307"/>
      <c r="GJ1307"/>
      <c r="GK1307"/>
      <c r="GL1307"/>
      <c r="GM1307"/>
      <c r="GN1307"/>
      <c r="GO1307"/>
      <c r="GP1307"/>
      <c r="GQ1307"/>
      <c r="GR1307"/>
      <c r="GS1307"/>
      <c r="GT1307"/>
      <c r="GU1307"/>
      <c r="GV1307"/>
      <c r="GW1307"/>
      <c r="GX1307"/>
      <c r="GY1307"/>
      <c r="GZ1307"/>
      <c r="HA1307"/>
      <c r="HB1307"/>
      <c r="HC1307"/>
      <c r="HD1307"/>
      <c r="HE1307"/>
      <c r="HF1307"/>
      <c r="HG1307"/>
      <c r="HH1307"/>
      <c r="HI1307"/>
      <c r="HJ1307"/>
      <c r="HK1307"/>
      <c r="HL1307"/>
      <c r="HM1307"/>
      <c r="HN1307"/>
      <c r="HO1307"/>
      <c r="HP1307"/>
      <c r="HQ1307"/>
      <c r="HR1307"/>
      <c r="HS1307"/>
      <c r="HT1307"/>
      <c r="HU1307"/>
      <c r="HV1307"/>
      <c r="HW1307"/>
      <c r="HX1307"/>
      <c r="HY1307"/>
      <c r="HZ1307"/>
      <c r="IA1307"/>
      <c r="IB1307"/>
      <c r="IC1307"/>
      <c r="ID1307"/>
      <c r="IE1307"/>
      <c r="IF1307"/>
      <c r="IG1307"/>
      <c r="IH1307"/>
      <c r="II1307"/>
      <c r="IJ1307"/>
      <c r="IK1307"/>
      <c r="IL1307"/>
      <c r="IM1307"/>
      <c r="IN1307"/>
      <c r="IO1307"/>
      <c r="IP1307"/>
      <c r="IQ1307"/>
      <c r="IR1307"/>
      <c r="IS1307"/>
      <c r="IT1307"/>
      <c r="IU1307"/>
      <c r="IV1307"/>
      <c r="IW1307"/>
      <c r="IX1307"/>
      <c r="IY1307"/>
      <c r="IZ1307"/>
      <c r="JA1307"/>
      <c r="JB1307"/>
      <c r="JC1307"/>
      <c r="JD1307"/>
      <c r="JE1307"/>
      <c r="JF1307"/>
      <c r="JG1307"/>
      <c r="JH1307"/>
      <c r="JI1307"/>
      <c r="JJ1307"/>
      <c r="JK1307"/>
      <c r="JL1307"/>
      <c r="JM1307"/>
      <c r="JN1307"/>
      <c r="JO1307"/>
      <c r="JP1307"/>
      <c r="JQ1307"/>
      <c r="JR1307"/>
      <c r="JS1307"/>
      <c r="JT1307"/>
      <c r="JU1307"/>
      <c r="JV1307"/>
      <c r="JW1307"/>
      <c r="JX1307"/>
      <c r="JY1307"/>
      <c r="JZ1307"/>
      <c r="KA1307"/>
      <c r="KB1307"/>
      <c r="KC1307"/>
      <c r="KD1307"/>
      <c r="KE1307"/>
      <c r="KF1307"/>
      <c r="KG1307"/>
      <c r="KH1307"/>
      <c r="KI1307"/>
      <c r="KJ1307"/>
      <c r="KK1307"/>
      <c r="KL1307"/>
      <c r="KM1307"/>
      <c r="KN1307"/>
      <c r="KO1307"/>
      <c r="KP1307"/>
      <c r="KQ1307"/>
      <c r="KR1307"/>
      <c r="KS1307"/>
      <c r="KT1307"/>
      <c r="KU1307"/>
      <c r="KV1307"/>
      <c r="KW1307"/>
      <c r="KX1307"/>
      <c r="KY1307"/>
      <c r="KZ1307"/>
      <c r="LA1307"/>
      <c r="LB1307"/>
      <c r="LC1307"/>
      <c r="LD1307"/>
      <c r="LE1307"/>
      <c r="LF1307"/>
      <c r="LG1307"/>
      <c r="LH1307"/>
      <c r="LI1307"/>
      <c r="LJ1307"/>
      <c r="LK1307"/>
      <c r="LL1307"/>
      <c r="LM1307"/>
      <c r="LN1307"/>
      <c r="LO1307"/>
      <c r="LP1307"/>
      <c r="LQ1307"/>
      <c r="LR1307"/>
      <c r="LS1307"/>
      <c r="LT1307"/>
      <c r="LU1307"/>
      <c r="LV1307"/>
      <c r="LW1307"/>
      <c r="LX1307"/>
      <c r="LY1307"/>
      <c r="LZ1307"/>
      <c r="MA1307"/>
      <c r="MB1307"/>
      <c r="MC1307"/>
      <c r="MD1307"/>
      <c r="ME1307"/>
      <c r="MF1307"/>
      <c r="MG1307"/>
      <c r="MH1307"/>
      <c r="MI1307"/>
      <c r="MJ1307"/>
      <c r="MK1307"/>
      <c r="ML1307"/>
      <c r="MM1307"/>
      <c r="MN1307"/>
      <c r="MO1307"/>
      <c r="MP1307"/>
      <c r="MQ1307"/>
      <c r="MR1307"/>
      <c r="MS1307"/>
      <c r="MT1307"/>
      <c r="MU1307"/>
      <c r="MV1307"/>
      <c r="MW1307"/>
      <c r="MX1307"/>
      <c r="MY1307"/>
      <c r="MZ1307"/>
      <c r="NA1307"/>
      <c r="NB1307"/>
      <c r="NC1307"/>
      <c r="ND1307"/>
      <c r="NE1307"/>
      <c r="NF1307"/>
      <c r="NG1307"/>
      <c r="NH1307"/>
      <c r="NI1307"/>
      <c r="NJ1307"/>
      <c r="NK1307"/>
      <c r="NL1307"/>
      <c r="NM1307"/>
      <c r="NN1307"/>
      <c r="NO1307"/>
      <c r="NP1307"/>
      <c r="NQ1307"/>
      <c r="NR1307"/>
      <c r="NS1307"/>
      <c r="NT1307"/>
      <c r="NU1307"/>
      <c r="NV1307"/>
      <c r="NW1307"/>
      <c r="NX1307"/>
      <c r="NY1307"/>
      <c r="NZ1307"/>
      <c r="OA1307"/>
      <c r="OB1307"/>
      <c r="OC1307"/>
      <c r="OD1307"/>
      <c r="OE1307"/>
      <c r="OF1307"/>
      <c r="OG1307"/>
      <c r="OH1307"/>
      <c r="OI1307"/>
      <c r="OJ1307"/>
      <c r="OK1307"/>
      <c r="OL1307"/>
      <c r="OM1307"/>
      <c r="ON1307"/>
      <c r="OO1307"/>
      <c r="OP1307"/>
      <c r="OQ1307"/>
      <c r="OR1307"/>
      <c r="OS1307"/>
      <c r="OT1307"/>
      <c r="OU1307"/>
      <c r="OV1307"/>
      <c r="OW1307"/>
      <c r="OX1307"/>
      <c r="OY1307"/>
      <c r="OZ1307"/>
      <c r="PA1307"/>
      <c r="PB1307"/>
      <c r="PC1307"/>
      <c r="PD1307"/>
      <c r="PE1307"/>
      <c r="PF1307"/>
      <c r="PG1307"/>
      <c r="PH1307"/>
      <c r="PI1307"/>
      <c r="PJ1307"/>
      <c r="PK1307"/>
      <c r="PL1307"/>
      <c r="PM1307"/>
      <c r="PN1307"/>
      <c r="PO1307"/>
      <c r="PP1307"/>
      <c r="PQ1307"/>
      <c r="PR1307"/>
      <c r="PS1307"/>
      <c r="PT1307"/>
      <c r="PU1307"/>
      <c r="PV1307"/>
      <c r="PW1307"/>
      <c r="PX1307"/>
      <c r="PY1307"/>
      <c r="PZ1307"/>
      <c r="QA1307"/>
      <c r="QB1307"/>
      <c r="QC1307"/>
      <c r="QD1307"/>
      <c r="QE1307"/>
      <c r="QF1307"/>
      <c r="QG1307"/>
      <c r="QH1307"/>
      <c r="QI1307"/>
      <c r="QJ1307"/>
      <c r="QK1307"/>
      <c r="QL1307"/>
      <c r="QM1307"/>
      <c r="QN1307"/>
      <c r="QO1307"/>
      <c r="QP1307"/>
      <c r="QQ1307"/>
      <c r="QR1307"/>
      <c r="QS1307"/>
      <c r="QT1307"/>
      <c r="QU1307"/>
      <c r="QV1307"/>
      <c r="QW1307"/>
      <c r="QX1307"/>
      <c r="QY1307"/>
      <c r="QZ1307"/>
      <c r="RA1307"/>
      <c r="RB1307"/>
      <c r="RC1307"/>
      <c r="RD1307"/>
      <c r="RE1307"/>
      <c r="RF1307"/>
      <c r="RG1307"/>
      <c r="RH1307"/>
      <c r="RI1307"/>
      <c r="RJ1307"/>
      <c r="RK1307"/>
      <c r="RL1307"/>
      <c r="RM1307"/>
      <c r="RN1307"/>
      <c r="RO1307"/>
      <c r="RP1307"/>
      <c r="RQ1307"/>
      <c r="RR1307"/>
      <c r="RS1307"/>
      <c r="RT1307"/>
      <c r="RU1307"/>
      <c r="RV1307"/>
      <c r="RW1307"/>
      <c r="RX1307"/>
      <c r="RY1307"/>
      <c r="RZ1307"/>
      <c r="SA1307"/>
      <c r="SB1307"/>
      <c r="SC1307"/>
      <c r="SD1307"/>
      <c r="SE1307"/>
      <c r="SF1307"/>
      <c r="SG1307"/>
      <c r="SH1307"/>
      <c r="SI1307"/>
      <c r="SJ1307"/>
      <c r="SK1307"/>
      <c r="SL1307"/>
      <c r="SM1307"/>
      <c r="SN1307"/>
      <c r="SO1307"/>
      <c r="SP1307"/>
      <c r="SQ1307"/>
      <c r="SR1307"/>
      <c r="SS1307"/>
      <c r="ST1307"/>
      <c r="SU1307"/>
      <c r="SV1307"/>
      <c r="SW1307"/>
      <c r="SX1307"/>
      <c r="SY1307"/>
      <c r="SZ1307"/>
      <c r="TA1307"/>
      <c r="TB1307"/>
      <c r="TC1307"/>
      <c r="TD1307"/>
      <c r="TE1307"/>
      <c r="TF1307"/>
      <c r="TG1307"/>
      <c r="TH1307"/>
      <c r="TI1307"/>
      <c r="TJ1307"/>
      <c r="TK1307"/>
      <c r="TL1307"/>
      <c r="TM1307"/>
      <c r="TN1307"/>
      <c r="TO1307"/>
      <c r="TP1307"/>
      <c r="TQ1307"/>
      <c r="TR1307"/>
      <c r="TS1307"/>
      <c r="TT1307"/>
      <c r="TU1307"/>
      <c r="TV1307"/>
      <c r="TW1307"/>
      <c r="TX1307"/>
      <c r="TY1307"/>
      <c r="TZ1307"/>
      <c r="UA1307"/>
      <c r="UB1307"/>
      <c r="UC1307"/>
      <c r="UD1307"/>
      <c r="UE1307"/>
      <c r="UF1307"/>
      <c r="UG1307"/>
      <c r="UH1307"/>
      <c r="UI1307"/>
      <c r="UJ1307"/>
      <c r="UK1307"/>
      <c r="UL1307"/>
      <c r="UM1307"/>
      <c r="UN1307"/>
      <c r="UO1307"/>
      <c r="UP1307"/>
      <c r="UQ1307"/>
      <c r="UR1307"/>
      <c r="US1307"/>
      <c r="UT1307"/>
      <c r="UU1307"/>
      <c r="UV1307"/>
      <c r="UW1307"/>
      <c r="UX1307"/>
      <c r="UY1307"/>
      <c r="UZ1307"/>
      <c r="VA1307"/>
      <c r="VB1307"/>
      <c r="VC1307"/>
      <c r="VD1307"/>
      <c r="VE1307"/>
      <c r="VF1307"/>
      <c r="VG1307"/>
      <c r="VH1307"/>
      <c r="VI1307"/>
      <c r="VJ1307"/>
      <c r="VK1307"/>
      <c r="VL1307"/>
      <c r="VM1307"/>
      <c r="VN1307"/>
      <c r="VO1307"/>
      <c r="VP1307"/>
      <c r="VQ1307"/>
      <c r="VR1307"/>
      <c r="VS1307"/>
      <c r="VT1307"/>
      <c r="VU1307"/>
      <c r="VV1307"/>
      <c r="VW1307"/>
      <c r="VX1307"/>
      <c r="VY1307"/>
      <c r="VZ1307"/>
      <c r="WA1307"/>
      <c r="WB1307"/>
      <c r="WC1307"/>
      <c r="WD1307"/>
      <c r="WE1307"/>
      <c r="WF1307"/>
      <c r="WG1307"/>
      <c r="WH1307"/>
      <c r="WI1307"/>
      <c r="WJ1307"/>
      <c r="WK1307"/>
      <c r="WL1307"/>
      <c r="WM1307"/>
      <c r="WN1307"/>
      <c r="WO1307"/>
      <c r="WP1307"/>
      <c r="WQ1307"/>
      <c r="WR1307"/>
      <c r="WS1307"/>
      <c r="WT1307"/>
      <c r="WU1307"/>
      <c r="WV1307"/>
      <c r="WW1307"/>
      <c r="WX1307"/>
      <c r="WY1307"/>
      <c r="WZ1307"/>
      <c r="XA1307"/>
      <c r="XB1307"/>
      <c r="XC1307"/>
      <c r="XD1307"/>
      <c r="XE1307"/>
      <c r="XF1307"/>
      <c r="XG1307"/>
      <c r="XH1307"/>
      <c r="XI1307"/>
      <c r="XJ1307"/>
      <c r="XK1307"/>
      <c r="XL1307"/>
      <c r="XM1307"/>
      <c r="XN1307"/>
      <c r="XO1307"/>
      <c r="XP1307"/>
      <c r="XQ1307"/>
      <c r="XR1307"/>
      <c r="XS1307"/>
      <c r="XT1307"/>
      <c r="XU1307"/>
      <c r="XV1307"/>
      <c r="XW1307"/>
      <c r="XX1307"/>
      <c r="XY1307"/>
      <c r="XZ1307"/>
      <c r="YA1307"/>
      <c r="YB1307"/>
      <c r="YC1307"/>
      <c r="YD1307"/>
      <c r="YE1307"/>
      <c r="YF1307"/>
      <c r="YG1307"/>
      <c r="YH1307"/>
      <c r="YI1307"/>
      <c r="YJ1307"/>
      <c r="YK1307"/>
      <c r="YL1307"/>
      <c r="YM1307"/>
      <c r="YN1307"/>
      <c r="YO1307"/>
      <c r="YP1307"/>
      <c r="YQ1307"/>
      <c r="YR1307"/>
      <c r="YS1307"/>
      <c r="YT1307"/>
      <c r="YU1307"/>
      <c r="YV1307"/>
      <c r="YW1307"/>
      <c r="YX1307"/>
      <c r="YY1307"/>
      <c r="YZ1307"/>
      <c r="ZA1307"/>
      <c r="ZB1307"/>
      <c r="ZC1307"/>
      <c r="ZD1307"/>
      <c r="ZE1307"/>
      <c r="ZF1307"/>
      <c r="ZG1307"/>
      <c r="ZH1307"/>
      <c r="ZI1307"/>
      <c r="ZJ1307"/>
      <c r="ZK1307"/>
      <c r="ZL1307"/>
      <c r="ZM1307"/>
      <c r="ZN1307"/>
      <c r="ZO1307"/>
      <c r="ZP1307"/>
      <c r="ZQ1307"/>
      <c r="ZR1307"/>
      <c r="ZS1307"/>
      <c r="ZT1307"/>
      <c r="ZU1307"/>
      <c r="ZV1307"/>
      <c r="ZW1307"/>
      <c r="ZX1307"/>
      <c r="ZY1307"/>
      <c r="ZZ1307"/>
      <c r="AAA1307"/>
      <c r="AAB1307"/>
      <c r="AAC1307"/>
      <c r="AAD1307"/>
      <c r="AAE1307"/>
      <c r="AAF1307"/>
      <c r="AAG1307"/>
      <c r="AAH1307"/>
      <c r="AAI1307"/>
      <c r="AAJ1307"/>
      <c r="AAK1307"/>
      <c r="AAL1307"/>
      <c r="AAM1307"/>
      <c r="AAN1307"/>
      <c r="AAO1307"/>
      <c r="AAP1307"/>
      <c r="AAQ1307"/>
      <c r="AAR1307"/>
      <c r="AAS1307"/>
      <c r="AAT1307"/>
      <c r="AAU1307"/>
      <c r="AAV1307"/>
      <c r="AAW1307"/>
      <c r="AAX1307"/>
      <c r="AAY1307"/>
      <c r="AAZ1307"/>
      <c r="ABA1307"/>
      <c r="ABB1307"/>
      <c r="ABC1307"/>
      <c r="ABD1307"/>
      <c r="ABE1307"/>
      <c r="ABF1307"/>
      <c r="ABG1307"/>
      <c r="ABH1307"/>
      <c r="ABI1307"/>
      <c r="ABJ1307"/>
      <c r="ABK1307"/>
      <c r="ABL1307"/>
      <c r="ABM1307"/>
      <c r="ABN1307"/>
      <c r="ABO1307"/>
      <c r="ABP1307"/>
      <c r="ABQ1307"/>
      <c r="ABR1307"/>
      <c r="ABS1307"/>
      <c r="ABT1307"/>
      <c r="ABU1307"/>
      <c r="ABV1307"/>
      <c r="ABW1307"/>
      <c r="ABX1307"/>
      <c r="ABY1307"/>
      <c r="ABZ1307"/>
      <c r="ACA1307"/>
      <c r="ACB1307"/>
      <c r="ACC1307"/>
      <c r="ACD1307"/>
      <c r="ACE1307"/>
      <c r="ACF1307"/>
      <c r="ACG1307"/>
      <c r="ACH1307"/>
      <c r="ACI1307"/>
      <c r="ACJ1307"/>
      <c r="ACK1307"/>
      <c r="ACL1307"/>
      <c r="ACM1307"/>
      <c r="ACN1307"/>
      <c r="ACO1307"/>
      <c r="ACP1307"/>
      <c r="ACQ1307"/>
      <c r="ACR1307"/>
      <c r="ACS1307"/>
      <c r="ACT1307"/>
      <c r="ACU1307"/>
      <c r="ACV1307"/>
      <c r="ACW1307"/>
      <c r="ACX1307"/>
      <c r="ACY1307"/>
      <c r="ACZ1307"/>
      <c r="ADA1307"/>
      <c r="ADB1307"/>
      <c r="ADC1307"/>
      <c r="ADD1307"/>
      <c r="ADE1307"/>
      <c r="ADF1307"/>
      <c r="ADG1307"/>
      <c r="ADH1307"/>
      <c r="ADI1307"/>
      <c r="ADJ1307"/>
      <c r="ADK1307"/>
      <c r="ADL1307"/>
      <c r="ADM1307"/>
      <c r="ADN1307"/>
      <c r="ADO1307"/>
      <c r="ADP1307"/>
      <c r="ADQ1307"/>
      <c r="ADR1307"/>
      <c r="ADS1307"/>
      <c r="ADT1307"/>
      <c r="ADU1307"/>
      <c r="ADV1307"/>
      <c r="ADW1307"/>
      <c r="ADX1307"/>
      <c r="ADY1307"/>
      <c r="ADZ1307"/>
      <c r="AEA1307"/>
      <c r="AEB1307"/>
      <c r="AEC1307"/>
      <c r="AED1307"/>
      <c r="AEE1307"/>
      <c r="AEF1307"/>
      <c r="AEG1307"/>
      <c r="AEH1307"/>
      <c r="AEI1307"/>
      <c r="AEJ1307"/>
      <c r="AEK1307"/>
      <c r="AEL1307"/>
      <c r="AEM1307"/>
      <c r="AEN1307"/>
      <c r="AEO1307"/>
      <c r="AEP1307"/>
      <c r="AEQ1307"/>
      <c r="AER1307"/>
      <c r="AES1307"/>
      <c r="AET1307"/>
      <c r="AEU1307"/>
      <c r="AEV1307"/>
      <c r="AEW1307"/>
      <c r="AEX1307"/>
      <c r="AEY1307"/>
      <c r="AEZ1307"/>
      <c r="AFA1307"/>
      <c r="AFB1307"/>
      <c r="AFC1307"/>
      <c r="AFD1307"/>
      <c r="AFE1307"/>
      <c r="AFF1307"/>
      <c r="AFG1307"/>
      <c r="AFH1307"/>
      <c r="AFI1307"/>
      <c r="AFJ1307"/>
      <c r="AFK1307"/>
      <c r="AFL1307"/>
      <c r="AFM1307"/>
      <c r="AFN1307"/>
      <c r="AFO1307"/>
      <c r="AFP1307"/>
      <c r="AFQ1307"/>
      <c r="AFR1307"/>
      <c r="AFS1307"/>
      <c r="AFT1307"/>
      <c r="AFU1307"/>
      <c r="AFV1307"/>
      <c r="AFW1307"/>
      <c r="AFX1307"/>
      <c r="AFY1307"/>
      <c r="AFZ1307"/>
      <c r="AGA1307"/>
      <c r="AGB1307"/>
      <c r="AGC1307"/>
      <c r="AGD1307"/>
      <c r="AGE1307"/>
      <c r="AGF1307"/>
      <c r="AGG1307"/>
      <c r="AGH1307"/>
      <c r="AGI1307"/>
      <c r="AGJ1307"/>
      <c r="AGK1307"/>
      <c r="AGL1307"/>
      <c r="AGM1307"/>
      <c r="AGN1307"/>
      <c r="AGO1307"/>
      <c r="AGP1307"/>
      <c r="AGQ1307"/>
      <c r="AGR1307"/>
      <c r="AGS1307"/>
      <c r="AGT1307"/>
      <c r="AGU1307"/>
      <c r="AGV1307"/>
      <c r="AGW1307"/>
      <c r="AGX1307"/>
      <c r="AGY1307"/>
      <c r="AGZ1307"/>
      <c r="AHA1307"/>
      <c r="AHB1307"/>
      <c r="AHC1307"/>
      <c r="AHD1307"/>
      <c r="AHE1307"/>
      <c r="AHF1307"/>
      <c r="AHG1307"/>
      <c r="AHH1307"/>
      <c r="AHI1307"/>
      <c r="AHJ1307"/>
      <c r="AHK1307"/>
      <c r="AHL1307"/>
      <c r="AHM1307"/>
      <c r="AHN1307"/>
      <c r="AHO1307"/>
      <c r="AHP1307"/>
      <c r="AHQ1307"/>
      <c r="AHR1307"/>
      <c r="AHS1307"/>
      <c r="AHT1307"/>
      <c r="AHU1307"/>
      <c r="AHV1307"/>
      <c r="AHW1307"/>
      <c r="AHX1307"/>
      <c r="AHY1307"/>
      <c r="AHZ1307"/>
      <c r="AIA1307"/>
      <c r="AIB1307"/>
      <c r="AIC1307"/>
      <c r="AID1307"/>
      <c r="AIE1307"/>
      <c r="AIF1307"/>
      <c r="AIG1307"/>
      <c r="AIH1307"/>
      <c r="AII1307"/>
      <c r="AIJ1307"/>
      <c r="AIK1307"/>
      <c r="AIL1307"/>
      <c r="AIM1307"/>
      <c r="AIN1307"/>
      <c r="AIO1307"/>
      <c r="AIP1307"/>
      <c r="AIQ1307"/>
      <c r="AIR1307"/>
      <c r="AIS1307"/>
      <c r="AIT1307"/>
      <c r="AIU1307"/>
      <c r="AIV1307"/>
      <c r="AIW1307"/>
      <c r="AIX1307"/>
      <c r="AIY1307"/>
      <c r="AIZ1307"/>
      <c r="AJA1307"/>
      <c r="AJB1307"/>
      <c r="AJC1307"/>
      <c r="AJD1307"/>
      <c r="AJE1307"/>
      <c r="AJF1307"/>
      <c r="AJG1307"/>
      <c r="AJH1307"/>
      <c r="AJI1307"/>
      <c r="AJJ1307"/>
      <c r="AJK1307"/>
      <c r="AJL1307"/>
      <c r="AJM1307"/>
      <c r="AJN1307"/>
      <c r="AJO1307"/>
      <c r="AJP1307"/>
      <c r="AJQ1307"/>
      <c r="AJR1307"/>
      <c r="AJS1307"/>
      <c r="AJT1307"/>
      <c r="AJU1307"/>
      <c r="AJV1307"/>
      <c r="AJW1307"/>
      <c r="AJX1307"/>
      <c r="AJY1307"/>
      <c r="AJZ1307"/>
      <c r="AKA1307"/>
      <c r="AKB1307"/>
      <c r="AKC1307"/>
      <c r="AKD1307"/>
      <c r="AKE1307"/>
      <c r="AKF1307"/>
      <c r="AKG1307"/>
      <c r="AKH1307"/>
      <c r="AKI1307"/>
      <c r="AKJ1307"/>
      <c r="AKK1307"/>
      <c r="AKL1307"/>
      <c r="AKM1307"/>
      <c r="AKN1307"/>
      <c r="AKO1307"/>
      <c r="AKP1307"/>
      <c r="AKQ1307"/>
      <c r="AKR1307"/>
      <c r="AKS1307"/>
      <c r="AKT1307"/>
      <c r="AKU1307"/>
      <c r="AKV1307"/>
      <c r="AKW1307"/>
      <c r="AKX1307"/>
      <c r="AKY1307"/>
      <c r="AKZ1307"/>
      <c r="ALA1307"/>
      <c r="ALB1307"/>
      <c r="ALC1307"/>
      <c r="ALD1307"/>
      <c r="ALE1307"/>
      <c r="ALF1307"/>
      <c r="ALG1307"/>
      <c r="ALH1307"/>
      <c r="ALI1307"/>
      <c r="ALJ1307"/>
      <c r="ALK1307"/>
      <c r="ALL1307"/>
      <c r="ALM1307"/>
      <c r="ALN1307"/>
      <c r="ALO1307"/>
      <c r="ALP1307"/>
      <c r="ALQ1307"/>
      <c r="ALR1307"/>
      <c r="ALS1307"/>
      <c r="ALT1307"/>
    </row>
    <row r="1308" spans="1:1008" x14ac:dyDescent="0.15">
      <c r="A1308" t="s">
        <v>4069</v>
      </c>
      <c r="B1308" s="8" t="s">
        <v>4083</v>
      </c>
      <c r="C1308" t="s">
        <v>4069</v>
      </c>
      <c r="D1308" s="8" t="s">
        <v>15</v>
      </c>
      <c r="E1308" t="s">
        <v>4069</v>
      </c>
      <c r="F1308" t="s">
        <v>4070</v>
      </c>
      <c r="G1308">
        <v>550</v>
      </c>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c r="AT1308"/>
      <c r="AU1308"/>
      <c r="AV1308"/>
      <c r="AW1308"/>
      <c r="AX1308"/>
      <c r="AY1308"/>
      <c r="AZ1308"/>
      <c r="BA1308"/>
      <c r="BB1308"/>
      <c r="BC1308"/>
      <c r="BD1308"/>
      <c r="BE1308"/>
      <c r="BF1308"/>
      <c r="BG1308"/>
      <c r="BH1308"/>
      <c r="BI1308"/>
      <c r="BJ1308"/>
      <c r="BK1308"/>
      <c r="BL1308"/>
      <c r="BM1308"/>
      <c r="BN1308"/>
      <c r="BO1308"/>
      <c r="BP1308"/>
      <c r="BQ1308"/>
      <c r="BR1308"/>
      <c r="BS1308"/>
      <c r="BT1308"/>
      <c r="BU1308"/>
      <c r="BV1308"/>
      <c r="BW1308"/>
      <c r="BX1308"/>
      <c r="BY1308"/>
      <c r="BZ1308"/>
      <c r="CA1308"/>
      <c r="CB1308"/>
      <c r="CC1308"/>
      <c r="CD1308"/>
      <c r="CE1308"/>
      <c r="CF1308"/>
      <c r="CG1308"/>
      <c r="CH1308"/>
      <c r="CI1308"/>
      <c r="CJ1308"/>
      <c r="CK1308"/>
      <c r="CL1308"/>
      <c r="CM1308"/>
      <c r="CN1308"/>
      <c r="CO1308"/>
      <c r="CP1308"/>
      <c r="CQ1308"/>
      <c r="CR1308"/>
      <c r="CS1308"/>
      <c r="CT1308"/>
      <c r="CU1308"/>
      <c r="CV1308"/>
      <c r="CW1308"/>
      <c r="CX1308"/>
      <c r="CY1308"/>
      <c r="CZ1308"/>
      <c r="DA1308"/>
      <c r="DB1308"/>
      <c r="DC1308"/>
      <c r="DD1308"/>
      <c r="DE1308"/>
      <c r="DF1308"/>
      <c r="DG1308"/>
      <c r="DH1308"/>
      <c r="DI1308"/>
      <c r="DJ1308"/>
      <c r="DK1308"/>
      <c r="DL1308"/>
      <c r="DM1308"/>
      <c r="DN1308"/>
      <c r="DO1308"/>
      <c r="DP1308"/>
      <c r="DQ1308"/>
      <c r="DR1308"/>
      <c r="DS1308"/>
      <c r="DT1308"/>
      <c r="DU1308"/>
      <c r="DV1308"/>
      <c r="DW1308"/>
      <c r="DX1308"/>
      <c r="DY1308"/>
      <c r="DZ1308"/>
      <c r="EA1308"/>
      <c r="EB1308"/>
      <c r="EC1308"/>
      <c r="ED1308"/>
      <c r="EE1308"/>
      <c r="EF1308"/>
      <c r="EG1308"/>
      <c r="EH1308"/>
      <c r="EI1308"/>
      <c r="EJ1308"/>
      <c r="EK1308"/>
      <c r="EL1308"/>
      <c r="EM1308"/>
      <c r="EN1308"/>
      <c r="EO1308"/>
      <c r="EP1308"/>
      <c r="EQ1308"/>
      <c r="ER1308"/>
      <c r="ES1308"/>
      <c r="ET1308"/>
      <c r="EU1308"/>
      <c r="EV1308"/>
      <c r="EW1308"/>
      <c r="EX1308"/>
      <c r="EY1308"/>
      <c r="EZ1308"/>
      <c r="FA1308"/>
      <c r="FB1308"/>
      <c r="FC1308"/>
      <c r="FD1308"/>
      <c r="FE1308"/>
      <c r="FF1308"/>
      <c r="FG1308"/>
      <c r="FH1308"/>
      <c r="FI1308"/>
      <c r="FJ1308"/>
      <c r="FK1308"/>
      <c r="FL1308"/>
      <c r="FM1308"/>
      <c r="FN1308"/>
      <c r="FO1308"/>
      <c r="FP1308"/>
      <c r="FQ1308"/>
      <c r="FR1308"/>
      <c r="FS1308"/>
      <c r="FT1308"/>
      <c r="FU1308"/>
      <c r="FV1308"/>
      <c r="FW1308"/>
      <c r="FX1308"/>
      <c r="FY1308"/>
      <c r="FZ1308"/>
      <c r="GA1308"/>
      <c r="GB1308"/>
      <c r="GC1308"/>
      <c r="GD1308"/>
      <c r="GE1308"/>
      <c r="GF1308"/>
      <c r="GG1308"/>
      <c r="GH1308"/>
      <c r="GI1308"/>
      <c r="GJ1308"/>
      <c r="GK1308"/>
      <c r="GL1308"/>
      <c r="GM1308"/>
      <c r="GN1308"/>
      <c r="GO1308"/>
      <c r="GP1308"/>
      <c r="GQ1308"/>
      <c r="GR1308"/>
      <c r="GS1308"/>
      <c r="GT1308"/>
      <c r="GU1308"/>
      <c r="GV1308"/>
      <c r="GW1308"/>
      <c r="GX1308"/>
      <c r="GY1308"/>
      <c r="GZ1308"/>
      <c r="HA1308"/>
      <c r="HB1308"/>
      <c r="HC1308"/>
      <c r="HD1308"/>
      <c r="HE1308"/>
      <c r="HF1308"/>
      <c r="HG1308"/>
      <c r="HH1308"/>
      <c r="HI1308"/>
      <c r="HJ1308"/>
      <c r="HK1308"/>
      <c r="HL1308"/>
      <c r="HM1308"/>
      <c r="HN1308"/>
      <c r="HO1308"/>
      <c r="HP1308"/>
      <c r="HQ1308"/>
      <c r="HR1308"/>
      <c r="HS1308"/>
      <c r="HT1308"/>
      <c r="HU1308"/>
      <c r="HV1308"/>
      <c r="HW1308"/>
      <c r="HX1308"/>
      <c r="HY1308"/>
      <c r="HZ1308"/>
      <c r="IA1308"/>
      <c r="IB1308"/>
      <c r="IC1308"/>
      <c r="ID1308"/>
      <c r="IE1308"/>
      <c r="IF1308"/>
      <c r="IG1308"/>
      <c r="IH1308"/>
      <c r="II1308"/>
      <c r="IJ1308"/>
      <c r="IK1308"/>
      <c r="IL1308"/>
      <c r="IM1308"/>
      <c r="IN1308"/>
      <c r="IO1308"/>
      <c r="IP1308"/>
      <c r="IQ1308"/>
      <c r="IR1308"/>
      <c r="IS1308"/>
      <c r="IT1308"/>
      <c r="IU1308"/>
      <c r="IV1308"/>
      <c r="IW1308"/>
      <c r="IX1308"/>
      <c r="IY1308"/>
      <c r="IZ1308"/>
      <c r="JA1308"/>
      <c r="JB1308"/>
      <c r="JC1308"/>
      <c r="JD1308"/>
      <c r="JE1308"/>
      <c r="JF1308"/>
      <c r="JG1308"/>
      <c r="JH1308"/>
      <c r="JI1308"/>
      <c r="JJ1308"/>
      <c r="JK1308"/>
      <c r="JL1308"/>
      <c r="JM1308"/>
      <c r="JN1308"/>
      <c r="JO1308"/>
      <c r="JP1308"/>
      <c r="JQ1308"/>
      <c r="JR1308"/>
      <c r="JS1308"/>
      <c r="JT1308"/>
      <c r="JU1308"/>
      <c r="JV1308"/>
      <c r="JW1308"/>
      <c r="JX1308"/>
      <c r="JY1308"/>
      <c r="JZ1308"/>
      <c r="KA1308"/>
      <c r="KB1308"/>
      <c r="KC1308"/>
      <c r="KD1308"/>
      <c r="KE1308"/>
      <c r="KF1308"/>
      <c r="KG1308"/>
      <c r="KH1308"/>
      <c r="KI1308"/>
      <c r="KJ1308"/>
      <c r="KK1308"/>
      <c r="KL1308"/>
      <c r="KM1308"/>
      <c r="KN1308"/>
      <c r="KO1308"/>
      <c r="KP1308"/>
      <c r="KQ1308"/>
      <c r="KR1308"/>
      <c r="KS1308"/>
      <c r="KT1308"/>
      <c r="KU1308"/>
      <c r="KV1308"/>
      <c r="KW1308"/>
      <c r="KX1308"/>
      <c r="KY1308"/>
      <c r="KZ1308"/>
      <c r="LA1308"/>
      <c r="LB1308"/>
      <c r="LC1308"/>
      <c r="LD1308"/>
      <c r="LE1308"/>
      <c r="LF1308"/>
      <c r="LG1308"/>
      <c r="LH1308"/>
      <c r="LI1308"/>
      <c r="LJ1308"/>
      <c r="LK1308"/>
      <c r="LL1308"/>
      <c r="LM1308"/>
      <c r="LN1308"/>
      <c r="LO1308"/>
      <c r="LP1308"/>
      <c r="LQ1308"/>
      <c r="LR1308"/>
      <c r="LS1308"/>
      <c r="LT1308"/>
      <c r="LU1308"/>
      <c r="LV1308"/>
      <c r="LW1308"/>
      <c r="LX1308"/>
      <c r="LY1308"/>
      <c r="LZ1308"/>
      <c r="MA1308"/>
      <c r="MB1308"/>
      <c r="MC1308"/>
      <c r="MD1308"/>
      <c r="ME1308"/>
      <c r="MF1308"/>
      <c r="MG1308"/>
      <c r="MH1308"/>
      <c r="MI1308"/>
      <c r="MJ1308"/>
      <c r="MK1308"/>
      <c r="ML1308"/>
      <c r="MM1308"/>
      <c r="MN1308"/>
      <c r="MO1308"/>
      <c r="MP1308"/>
      <c r="MQ1308"/>
      <c r="MR1308"/>
      <c r="MS1308"/>
      <c r="MT1308"/>
      <c r="MU1308"/>
      <c r="MV1308"/>
      <c r="MW1308"/>
      <c r="MX1308"/>
      <c r="MY1308"/>
      <c r="MZ1308"/>
      <c r="NA1308"/>
      <c r="NB1308"/>
      <c r="NC1308"/>
      <c r="ND1308"/>
      <c r="NE1308"/>
      <c r="NF1308"/>
      <c r="NG1308"/>
      <c r="NH1308"/>
      <c r="NI1308"/>
      <c r="NJ1308"/>
      <c r="NK1308"/>
      <c r="NL1308"/>
      <c r="NM1308"/>
      <c r="NN1308"/>
      <c r="NO1308"/>
      <c r="NP1308"/>
      <c r="NQ1308"/>
      <c r="NR1308"/>
      <c r="NS1308"/>
      <c r="NT1308"/>
      <c r="NU1308"/>
      <c r="NV1308"/>
      <c r="NW1308"/>
      <c r="NX1308"/>
      <c r="NY1308"/>
      <c r="NZ1308"/>
      <c r="OA1308"/>
      <c r="OB1308"/>
      <c r="OC1308"/>
      <c r="OD1308"/>
      <c r="OE1308"/>
      <c r="OF1308"/>
      <c r="OG1308"/>
      <c r="OH1308"/>
      <c r="OI1308"/>
      <c r="OJ1308"/>
      <c r="OK1308"/>
      <c r="OL1308"/>
      <c r="OM1308"/>
      <c r="ON1308"/>
      <c r="OO1308"/>
      <c r="OP1308"/>
      <c r="OQ1308"/>
      <c r="OR1308"/>
      <c r="OS1308"/>
      <c r="OT1308"/>
      <c r="OU1308"/>
      <c r="OV1308"/>
      <c r="OW1308"/>
      <c r="OX1308"/>
      <c r="OY1308"/>
      <c r="OZ1308"/>
      <c r="PA1308"/>
      <c r="PB1308"/>
      <c r="PC1308"/>
      <c r="PD1308"/>
      <c r="PE1308"/>
      <c r="PF1308"/>
      <c r="PG1308"/>
      <c r="PH1308"/>
      <c r="PI1308"/>
      <c r="PJ1308"/>
      <c r="PK1308"/>
      <c r="PL1308"/>
      <c r="PM1308"/>
      <c r="PN1308"/>
      <c r="PO1308"/>
      <c r="PP1308"/>
      <c r="PQ1308"/>
      <c r="PR1308"/>
      <c r="PS1308"/>
      <c r="PT1308"/>
      <c r="PU1308"/>
      <c r="PV1308"/>
      <c r="PW1308"/>
      <c r="PX1308"/>
      <c r="PY1308"/>
      <c r="PZ1308"/>
      <c r="QA1308"/>
      <c r="QB1308"/>
      <c r="QC1308"/>
      <c r="QD1308"/>
      <c r="QE1308"/>
      <c r="QF1308"/>
      <c r="QG1308"/>
      <c r="QH1308"/>
      <c r="QI1308"/>
      <c r="QJ1308"/>
      <c r="QK1308"/>
      <c r="QL1308"/>
      <c r="QM1308"/>
      <c r="QN1308"/>
      <c r="QO1308"/>
      <c r="QP1308"/>
      <c r="QQ1308"/>
      <c r="QR1308"/>
      <c r="QS1308"/>
      <c r="QT1308"/>
      <c r="QU1308"/>
      <c r="QV1308"/>
      <c r="QW1308"/>
      <c r="QX1308"/>
      <c r="QY1308"/>
      <c r="QZ1308"/>
      <c r="RA1308"/>
      <c r="RB1308"/>
      <c r="RC1308"/>
      <c r="RD1308"/>
      <c r="RE1308"/>
      <c r="RF1308"/>
      <c r="RG1308"/>
      <c r="RH1308"/>
      <c r="RI1308"/>
      <c r="RJ1308"/>
      <c r="RK1308"/>
      <c r="RL1308"/>
      <c r="RM1308"/>
      <c r="RN1308"/>
      <c r="RO1308"/>
      <c r="RP1308"/>
      <c r="RQ1308"/>
      <c r="RR1308"/>
      <c r="RS1308"/>
      <c r="RT1308"/>
      <c r="RU1308"/>
      <c r="RV1308"/>
      <c r="RW1308"/>
      <c r="RX1308"/>
      <c r="RY1308"/>
      <c r="RZ1308"/>
      <c r="SA1308"/>
      <c r="SB1308"/>
      <c r="SC1308"/>
      <c r="SD1308"/>
      <c r="SE1308"/>
      <c r="SF1308"/>
      <c r="SG1308"/>
      <c r="SH1308"/>
      <c r="SI1308"/>
      <c r="SJ1308"/>
      <c r="SK1308"/>
      <c r="SL1308"/>
      <c r="SM1308"/>
      <c r="SN1308"/>
      <c r="SO1308"/>
      <c r="SP1308"/>
      <c r="SQ1308"/>
      <c r="SR1308"/>
      <c r="SS1308"/>
      <c r="ST1308"/>
      <c r="SU1308"/>
      <c r="SV1308"/>
      <c r="SW1308"/>
      <c r="SX1308"/>
      <c r="SY1308"/>
      <c r="SZ1308"/>
      <c r="TA1308"/>
      <c r="TB1308"/>
      <c r="TC1308"/>
      <c r="TD1308"/>
      <c r="TE1308"/>
      <c r="TF1308"/>
      <c r="TG1308"/>
      <c r="TH1308"/>
      <c r="TI1308"/>
      <c r="TJ1308"/>
      <c r="TK1308"/>
      <c r="TL1308"/>
      <c r="TM1308"/>
      <c r="TN1308"/>
      <c r="TO1308"/>
      <c r="TP1308"/>
      <c r="TQ1308"/>
      <c r="TR1308"/>
      <c r="TS1308"/>
      <c r="TT1308"/>
      <c r="TU1308"/>
      <c r="TV1308"/>
      <c r="TW1308"/>
      <c r="TX1308"/>
      <c r="TY1308"/>
      <c r="TZ1308"/>
      <c r="UA1308"/>
      <c r="UB1308"/>
      <c r="UC1308"/>
      <c r="UD1308"/>
      <c r="UE1308"/>
      <c r="UF1308"/>
      <c r="UG1308"/>
      <c r="UH1308"/>
      <c r="UI1308"/>
      <c r="UJ1308"/>
      <c r="UK1308"/>
      <c r="UL1308"/>
      <c r="UM1308"/>
      <c r="UN1308"/>
      <c r="UO1308"/>
      <c r="UP1308"/>
      <c r="UQ1308"/>
      <c r="UR1308"/>
      <c r="US1308"/>
      <c r="UT1308"/>
      <c r="UU1308"/>
      <c r="UV1308"/>
      <c r="UW1308"/>
      <c r="UX1308"/>
      <c r="UY1308"/>
      <c r="UZ1308"/>
      <c r="VA1308"/>
      <c r="VB1308"/>
      <c r="VC1308"/>
      <c r="VD1308"/>
      <c r="VE1308"/>
      <c r="VF1308"/>
      <c r="VG1308"/>
      <c r="VH1308"/>
      <c r="VI1308"/>
      <c r="VJ1308"/>
      <c r="VK1308"/>
      <c r="VL1308"/>
      <c r="VM1308"/>
      <c r="VN1308"/>
      <c r="VO1308"/>
      <c r="VP1308"/>
      <c r="VQ1308"/>
      <c r="VR1308"/>
      <c r="VS1308"/>
      <c r="VT1308"/>
      <c r="VU1308"/>
      <c r="VV1308"/>
      <c r="VW1308"/>
      <c r="VX1308"/>
      <c r="VY1308"/>
      <c r="VZ1308"/>
      <c r="WA1308"/>
      <c r="WB1308"/>
      <c r="WC1308"/>
      <c r="WD1308"/>
      <c r="WE1308"/>
      <c r="WF1308"/>
      <c r="WG1308"/>
      <c r="WH1308"/>
      <c r="WI1308"/>
      <c r="WJ1308"/>
      <c r="WK1308"/>
      <c r="WL1308"/>
      <c r="WM1308"/>
      <c r="WN1308"/>
      <c r="WO1308"/>
      <c r="WP1308"/>
      <c r="WQ1308"/>
      <c r="WR1308"/>
      <c r="WS1308"/>
      <c r="WT1308"/>
      <c r="WU1308"/>
      <c r="WV1308"/>
      <c r="WW1308"/>
      <c r="WX1308"/>
      <c r="WY1308"/>
      <c r="WZ1308"/>
      <c r="XA1308"/>
      <c r="XB1308"/>
      <c r="XC1308"/>
      <c r="XD1308"/>
      <c r="XE1308"/>
      <c r="XF1308"/>
      <c r="XG1308"/>
      <c r="XH1308"/>
      <c r="XI1308"/>
      <c r="XJ1308"/>
      <c r="XK1308"/>
      <c r="XL1308"/>
      <c r="XM1308"/>
      <c r="XN1308"/>
      <c r="XO1308"/>
      <c r="XP1308"/>
      <c r="XQ1308"/>
      <c r="XR1308"/>
      <c r="XS1308"/>
      <c r="XT1308"/>
      <c r="XU1308"/>
      <c r="XV1308"/>
      <c r="XW1308"/>
      <c r="XX1308"/>
      <c r="XY1308"/>
      <c r="XZ1308"/>
      <c r="YA1308"/>
      <c r="YB1308"/>
      <c r="YC1308"/>
      <c r="YD1308"/>
      <c r="YE1308"/>
      <c r="YF1308"/>
      <c r="YG1308"/>
      <c r="YH1308"/>
      <c r="YI1308"/>
      <c r="YJ1308"/>
      <c r="YK1308"/>
      <c r="YL1308"/>
      <c r="YM1308"/>
      <c r="YN1308"/>
      <c r="YO1308"/>
      <c r="YP1308"/>
      <c r="YQ1308"/>
      <c r="YR1308"/>
      <c r="YS1308"/>
      <c r="YT1308"/>
      <c r="YU1308"/>
      <c r="YV1308"/>
      <c r="YW1308"/>
      <c r="YX1308"/>
      <c r="YY1308"/>
      <c r="YZ1308"/>
      <c r="ZA1308"/>
      <c r="ZB1308"/>
      <c r="ZC1308"/>
      <c r="ZD1308"/>
      <c r="ZE1308"/>
      <c r="ZF1308"/>
      <c r="ZG1308"/>
      <c r="ZH1308"/>
      <c r="ZI1308"/>
      <c r="ZJ1308"/>
      <c r="ZK1308"/>
      <c r="ZL1308"/>
      <c r="ZM1308"/>
      <c r="ZN1308"/>
      <c r="ZO1308"/>
      <c r="ZP1308"/>
      <c r="ZQ1308"/>
      <c r="ZR1308"/>
      <c r="ZS1308"/>
      <c r="ZT1308"/>
      <c r="ZU1308"/>
      <c r="ZV1308"/>
      <c r="ZW1308"/>
      <c r="ZX1308"/>
      <c r="ZY1308"/>
      <c r="ZZ1308"/>
      <c r="AAA1308"/>
      <c r="AAB1308"/>
      <c r="AAC1308"/>
      <c r="AAD1308"/>
      <c r="AAE1308"/>
      <c r="AAF1308"/>
      <c r="AAG1308"/>
      <c r="AAH1308"/>
      <c r="AAI1308"/>
      <c r="AAJ1308"/>
      <c r="AAK1308"/>
      <c r="AAL1308"/>
      <c r="AAM1308"/>
      <c r="AAN1308"/>
      <c r="AAO1308"/>
      <c r="AAP1308"/>
      <c r="AAQ1308"/>
      <c r="AAR1308"/>
      <c r="AAS1308"/>
      <c r="AAT1308"/>
      <c r="AAU1308"/>
      <c r="AAV1308"/>
      <c r="AAW1308"/>
      <c r="AAX1308"/>
      <c r="AAY1308"/>
      <c r="AAZ1308"/>
      <c r="ABA1308"/>
      <c r="ABB1308"/>
      <c r="ABC1308"/>
      <c r="ABD1308"/>
      <c r="ABE1308"/>
      <c r="ABF1308"/>
      <c r="ABG1308"/>
      <c r="ABH1308"/>
      <c r="ABI1308"/>
      <c r="ABJ1308"/>
      <c r="ABK1308"/>
      <c r="ABL1308"/>
      <c r="ABM1308"/>
      <c r="ABN1308"/>
      <c r="ABO1308"/>
      <c r="ABP1308"/>
      <c r="ABQ1308"/>
      <c r="ABR1308"/>
      <c r="ABS1308"/>
      <c r="ABT1308"/>
      <c r="ABU1308"/>
      <c r="ABV1308"/>
      <c r="ABW1308"/>
      <c r="ABX1308"/>
      <c r="ABY1308"/>
      <c r="ABZ1308"/>
      <c r="ACA1308"/>
      <c r="ACB1308"/>
      <c r="ACC1308"/>
      <c r="ACD1308"/>
      <c r="ACE1308"/>
      <c r="ACF1308"/>
      <c r="ACG1308"/>
      <c r="ACH1308"/>
      <c r="ACI1308"/>
      <c r="ACJ1308"/>
      <c r="ACK1308"/>
      <c r="ACL1308"/>
      <c r="ACM1308"/>
      <c r="ACN1308"/>
      <c r="ACO1308"/>
      <c r="ACP1308"/>
      <c r="ACQ1308"/>
      <c r="ACR1308"/>
      <c r="ACS1308"/>
      <c r="ACT1308"/>
      <c r="ACU1308"/>
      <c r="ACV1308"/>
      <c r="ACW1308"/>
      <c r="ACX1308"/>
      <c r="ACY1308"/>
      <c r="ACZ1308"/>
      <c r="ADA1308"/>
      <c r="ADB1308"/>
      <c r="ADC1308"/>
      <c r="ADD1308"/>
      <c r="ADE1308"/>
      <c r="ADF1308"/>
      <c r="ADG1308"/>
      <c r="ADH1308"/>
      <c r="ADI1308"/>
      <c r="ADJ1308"/>
      <c r="ADK1308"/>
      <c r="ADL1308"/>
      <c r="ADM1308"/>
      <c r="ADN1308"/>
      <c r="ADO1308"/>
      <c r="ADP1308"/>
      <c r="ADQ1308"/>
      <c r="ADR1308"/>
      <c r="ADS1308"/>
      <c r="ADT1308"/>
      <c r="ADU1308"/>
      <c r="ADV1308"/>
      <c r="ADW1308"/>
      <c r="ADX1308"/>
      <c r="ADY1308"/>
      <c r="ADZ1308"/>
      <c r="AEA1308"/>
      <c r="AEB1308"/>
      <c r="AEC1308"/>
      <c r="AED1308"/>
      <c r="AEE1308"/>
      <c r="AEF1308"/>
      <c r="AEG1308"/>
      <c r="AEH1308"/>
      <c r="AEI1308"/>
      <c r="AEJ1308"/>
      <c r="AEK1308"/>
      <c r="AEL1308"/>
      <c r="AEM1308"/>
      <c r="AEN1308"/>
      <c r="AEO1308"/>
      <c r="AEP1308"/>
      <c r="AEQ1308"/>
      <c r="AER1308"/>
      <c r="AES1308"/>
      <c r="AET1308"/>
      <c r="AEU1308"/>
      <c r="AEV1308"/>
      <c r="AEW1308"/>
      <c r="AEX1308"/>
      <c r="AEY1308"/>
      <c r="AEZ1308"/>
      <c r="AFA1308"/>
      <c r="AFB1308"/>
      <c r="AFC1308"/>
      <c r="AFD1308"/>
      <c r="AFE1308"/>
      <c r="AFF1308"/>
      <c r="AFG1308"/>
      <c r="AFH1308"/>
      <c r="AFI1308"/>
      <c r="AFJ1308"/>
      <c r="AFK1308"/>
      <c r="AFL1308"/>
      <c r="AFM1308"/>
      <c r="AFN1308"/>
      <c r="AFO1308"/>
      <c r="AFP1308"/>
      <c r="AFQ1308"/>
      <c r="AFR1308"/>
      <c r="AFS1308"/>
      <c r="AFT1308"/>
      <c r="AFU1308"/>
      <c r="AFV1308"/>
      <c r="AFW1308"/>
      <c r="AFX1308"/>
      <c r="AFY1308"/>
      <c r="AFZ1308"/>
      <c r="AGA1308"/>
      <c r="AGB1308"/>
      <c r="AGC1308"/>
      <c r="AGD1308"/>
      <c r="AGE1308"/>
      <c r="AGF1308"/>
      <c r="AGG1308"/>
      <c r="AGH1308"/>
      <c r="AGI1308"/>
      <c r="AGJ1308"/>
      <c r="AGK1308"/>
      <c r="AGL1308"/>
      <c r="AGM1308"/>
      <c r="AGN1308"/>
      <c r="AGO1308"/>
      <c r="AGP1308"/>
      <c r="AGQ1308"/>
      <c r="AGR1308"/>
      <c r="AGS1308"/>
      <c r="AGT1308"/>
      <c r="AGU1308"/>
      <c r="AGV1308"/>
      <c r="AGW1308"/>
      <c r="AGX1308"/>
      <c r="AGY1308"/>
      <c r="AGZ1308"/>
      <c r="AHA1308"/>
      <c r="AHB1308"/>
      <c r="AHC1308"/>
      <c r="AHD1308"/>
      <c r="AHE1308"/>
      <c r="AHF1308"/>
      <c r="AHG1308"/>
      <c r="AHH1308"/>
      <c r="AHI1308"/>
      <c r="AHJ1308"/>
      <c r="AHK1308"/>
      <c r="AHL1308"/>
      <c r="AHM1308"/>
      <c r="AHN1308"/>
      <c r="AHO1308"/>
      <c r="AHP1308"/>
      <c r="AHQ1308"/>
      <c r="AHR1308"/>
      <c r="AHS1308"/>
      <c r="AHT1308"/>
      <c r="AHU1308"/>
      <c r="AHV1308"/>
      <c r="AHW1308"/>
      <c r="AHX1308"/>
      <c r="AHY1308"/>
      <c r="AHZ1308"/>
      <c r="AIA1308"/>
      <c r="AIB1308"/>
      <c r="AIC1308"/>
      <c r="AID1308"/>
      <c r="AIE1308"/>
      <c r="AIF1308"/>
      <c r="AIG1308"/>
      <c r="AIH1308"/>
      <c r="AII1308"/>
      <c r="AIJ1308"/>
      <c r="AIK1308"/>
      <c r="AIL1308"/>
      <c r="AIM1308"/>
      <c r="AIN1308"/>
      <c r="AIO1308"/>
      <c r="AIP1308"/>
      <c r="AIQ1308"/>
      <c r="AIR1308"/>
      <c r="AIS1308"/>
      <c r="AIT1308"/>
      <c r="AIU1308"/>
      <c r="AIV1308"/>
      <c r="AIW1308"/>
      <c r="AIX1308"/>
      <c r="AIY1308"/>
      <c r="AIZ1308"/>
      <c r="AJA1308"/>
      <c r="AJB1308"/>
      <c r="AJC1308"/>
      <c r="AJD1308"/>
      <c r="AJE1308"/>
      <c r="AJF1308"/>
      <c r="AJG1308"/>
      <c r="AJH1308"/>
      <c r="AJI1308"/>
      <c r="AJJ1308"/>
      <c r="AJK1308"/>
      <c r="AJL1308"/>
      <c r="AJM1308"/>
      <c r="AJN1308"/>
      <c r="AJO1308"/>
      <c r="AJP1308"/>
      <c r="AJQ1308"/>
      <c r="AJR1308"/>
      <c r="AJS1308"/>
      <c r="AJT1308"/>
      <c r="AJU1308"/>
      <c r="AJV1308"/>
      <c r="AJW1308"/>
      <c r="AJX1308"/>
      <c r="AJY1308"/>
      <c r="AJZ1308"/>
      <c r="AKA1308"/>
      <c r="AKB1308"/>
      <c r="AKC1308"/>
      <c r="AKD1308"/>
      <c r="AKE1308"/>
      <c r="AKF1308"/>
      <c r="AKG1308"/>
      <c r="AKH1308"/>
      <c r="AKI1308"/>
      <c r="AKJ1308"/>
      <c r="AKK1308"/>
      <c r="AKL1308"/>
      <c r="AKM1308"/>
      <c r="AKN1308"/>
      <c r="AKO1308"/>
      <c r="AKP1308"/>
      <c r="AKQ1308"/>
      <c r="AKR1308"/>
      <c r="AKS1308"/>
      <c r="AKT1308"/>
      <c r="AKU1308"/>
      <c r="AKV1308"/>
      <c r="AKW1308"/>
      <c r="AKX1308"/>
      <c r="AKY1308"/>
      <c r="AKZ1308"/>
      <c r="ALA1308"/>
      <c r="ALB1308"/>
      <c r="ALC1308"/>
      <c r="ALD1308"/>
      <c r="ALE1308"/>
      <c r="ALF1308"/>
      <c r="ALG1308"/>
      <c r="ALH1308"/>
      <c r="ALI1308"/>
      <c r="ALJ1308"/>
      <c r="ALK1308"/>
      <c r="ALL1308"/>
      <c r="ALM1308"/>
      <c r="ALN1308"/>
      <c r="ALO1308"/>
      <c r="ALP1308"/>
      <c r="ALQ1308"/>
      <c r="ALR1308"/>
      <c r="ALS1308"/>
      <c r="ALT1308"/>
    </row>
    <row r="1309" spans="1:1008" x14ac:dyDescent="0.15">
      <c r="A1309" t="s">
        <v>2253</v>
      </c>
      <c r="B1309" s="8" t="s">
        <v>4083</v>
      </c>
      <c r="C1309" t="s">
        <v>2253</v>
      </c>
      <c r="D1309" s="8" t="s">
        <v>15</v>
      </c>
      <c r="E1309" t="s">
        <v>2253</v>
      </c>
      <c r="F1309" t="s">
        <v>2254</v>
      </c>
      <c r="G1309">
        <v>650</v>
      </c>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c r="AT1309"/>
      <c r="AU1309"/>
      <c r="AV1309"/>
      <c r="AW1309"/>
      <c r="AX1309"/>
      <c r="AY1309"/>
      <c r="AZ1309"/>
      <c r="BA1309"/>
      <c r="BB1309"/>
      <c r="BC1309"/>
      <c r="BD1309"/>
      <c r="BE1309"/>
      <c r="BF1309"/>
      <c r="BG1309"/>
      <c r="BH1309"/>
      <c r="BI1309"/>
      <c r="BJ1309"/>
      <c r="BK1309"/>
      <c r="BL1309"/>
      <c r="BM1309"/>
      <c r="BN1309"/>
      <c r="BO1309"/>
      <c r="BP1309"/>
      <c r="BQ1309"/>
      <c r="BR1309"/>
      <c r="BS1309"/>
      <c r="BT1309"/>
      <c r="BU1309"/>
      <c r="BV1309"/>
      <c r="BW1309"/>
      <c r="BX1309"/>
      <c r="BY1309"/>
      <c r="BZ1309"/>
      <c r="CA1309"/>
      <c r="CB1309"/>
      <c r="CC1309"/>
      <c r="CD1309"/>
      <c r="CE1309"/>
      <c r="CF1309"/>
      <c r="CG1309"/>
      <c r="CH1309"/>
      <c r="CI1309"/>
      <c r="CJ1309"/>
      <c r="CK1309"/>
      <c r="CL1309"/>
      <c r="CM1309"/>
      <c r="CN1309"/>
      <c r="CO1309"/>
      <c r="CP1309"/>
      <c r="CQ1309"/>
      <c r="CR1309"/>
      <c r="CS1309"/>
      <c r="CT1309"/>
      <c r="CU1309"/>
      <c r="CV1309"/>
      <c r="CW1309"/>
      <c r="CX1309"/>
      <c r="CY1309"/>
      <c r="CZ1309"/>
      <c r="DA1309"/>
      <c r="DB1309"/>
      <c r="DC1309"/>
      <c r="DD1309"/>
      <c r="DE1309"/>
      <c r="DF1309"/>
      <c r="DG1309"/>
      <c r="DH1309"/>
      <c r="DI1309"/>
      <c r="DJ1309"/>
      <c r="DK1309"/>
      <c r="DL1309"/>
      <c r="DM1309"/>
      <c r="DN1309"/>
      <c r="DO1309"/>
      <c r="DP1309"/>
      <c r="DQ1309"/>
      <c r="DR1309"/>
      <c r="DS1309"/>
      <c r="DT1309"/>
      <c r="DU1309"/>
      <c r="DV1309"/>
      <c r="DW1309"/>
      <c r="DX1309"/>
      <c r="DY1309"/>
      <c r="DZ1309"/>
      <c r="EA1309"/>
      <c r="EB1309"/>
      <c r="EC1309"/>
      <c r="ED1309"/>
      <c r="EE1309"/>
      <c r="EF1309"/>
      <c r="EG1309"/>
      <c r="EH1309"/>
      <c r="EI1309"/>
      <c r="EJ1309"/>
      <c r="EK1309"/>
      <c r="EL1309"/>
      <c r="EM1309"/>
      <c r="EN1309"/>
      <c r="EO1309"/>
      <c r="EP1309"/>
      <c r="EQ1309"/>
      <c r="ER1309"/>
      <c r="ES1309"/>
      <c r="ET1309"/>
      <c r="EU1309"/>
      <c r="EV1309"/>
      <c r="EW1309"/>
      <c r="EX1309"/>
      <c r="EY1309"/>
      <c r="EZ1309"/>
      <c r="FA1309"/>
      <c r="FB1309"/>
      <c r="FC1309"/>
      <c r="FD1309"/>
      <c r="FE1309"/>
      <c r="FF1309"/>
      <c r="FG1309"/>
      <c r="FH1309"/>
      <c r="FI1309"/>
      <c r="FJ1309"/>
      <c r="FK1309"/>
      <c r="FL1309"/>
      <c r="FM1309"/>
      <c r="FN1309"/>
      <c r="FO1309"/>
      <c r="FP1309"/>
      <c r="FQ1309"/>
      <c r="FR1309"/>
      <c r="FS1309"/>
      <c r="FT1309"/>
      <c r="FU1309"/>
      <c r="FV1309"/>
      <c r="FW1309"/>
      <c r="FX1309"/>
      <c r="FY1309"/>
      <c r="FZ1309"/>
      <c r="GA1309"/>
      <c r="GB1309"/>
      <c r="GC1309"/>
      <c r="GD1309"/>
      <c r="GE1309"/>
      <c r="GF1309"/>
      <c r="GG1309"/>
      <c r="GH1309"/>
      <c r="GI1309"/>
      <c r="GJ1309"/>
      <c r="GK1309"/>
      <c r="GL1309"/>
      <c r="GM1309"/>
      <c r="GN1309"/>
      <c r="GO1309"/>
      <c r="GP1309"/>
      <c r="GQ1309"/>
      <c r="GR1309"/>
      <c r="GS1309"/>
      <c r="GT1309"/>
      <c r="GU1309"/>
      <c r="GV1309"/>
      <c r="GW1309"/>
      <c r="GX1309"/>
      <c r="GY1309"/>
      <c r="GZ1309"/>
      <c r="HA1309"/>
      <c r="HB1309"/>
      <c r="HC1309"/>
      <c r="HD1309"/>
      <c r="HE1309"/>
      <c r="HF1309"/>
      <c r="HG1309"/>
      <c r="HH1309"/>
      <c r="HI1309"/>
      <c r="HJ1309"/>
      <c r="HK1309"/>
      <c r="HL1309"/>
      <c r="HM1309"/>
      <c r="HN1309"/>
      <c r="HO1309"/>
      <c r="HP1309"/>
      <c r="HQ1309"/>
      <c r="HR1309"/>
      <c r="HS1309"/>
      <c r="HT1309"/>
      <c r="HU1309"/>
      <c r="HV1309"/>
      <c r="HW1309"/>
      <c r="HX1309"/>
      <c r="HY1309"/>
      <c r="HZ1309"/>
      <c r="IA1309"/>
      <c r="IB1309"/>
      <c r="IC1309"/>
      <c r="ID1309"/>
      <c r="IE1309"/>
      <c r="IF1309"/>
      <c r="IG1309"/>
      <c r="IH1309"/>
      <c r="II1309"/>
      <c r="IJ1309"/>
      <c r="IK1309"/>
      <c r="IL1309"/>
      <c r="IM1309"/>
      <c r="IN1309"/>
      <c r="IO1309"/>
      <c r="IP1309"/>
      <c r="IQ1309"/>
      <c r="IR1309"/>
      <c r="IS1309"/>
      <c r="IT1309"/>
      <c r="IU1309"/>
      <c r="IV1309"/>
      <c r="IW1309"/>
      <c r="IX1309"/>
      <c r="IY1309"/>
      <c r="IZ1309"/>
      <c r="JA1309"/>
      <c r="JB1309"/>
      <c r="JC1309"/>
      <c r="JD1309"/>
      <c r="JE1309"/>
      <c r="JF1309"/>
      <c r="JG1309"/>
      <c r="JH1309"/>
      <c r="JI1309"/>
      <c r="JJ1309"/>
      <c r="JK1309"/>
      <c r="JL1309"/>
      <c r="JM1309"/>
      <c r="JN1309"/>
      <c r="JO1309"/>
      <c r="JP1309"/>
      <c r="JQ1309"/>
      <c r="JR1309"/>
      <c r="JS1309"/>
      <c r="JT1309"/>
      <c r="JU1309"/>
      <c r="JV1309"/>
      <c r="JW1309"/>
      <c r="JX1309"/>
      <c r="JY1309"/>
      <c r="JZ1309"/>
      <c r="KA1309"/>
      <c r="KB1309"/>
      <c r="KC1309"/>
      <c r="KD1309"/>
      <c r="KE1309"/>
      <c r="KF1309"/>
      <c r="KG1309"/>
      <c r="KH1309"/>
      <c r="KI1309"/>
      <c r="KJ1309"/>
      <c r="KK1309"/>
      <c r="KL1309"/>
      <c r="KM1309"/>
      <c r="KN1309"/>
      <c r="KO1309"/>
      <c r="KP1309"/>
      <c r="KQ1309"/>
      <c r="KR1309"/>
      <c r="KS1309"/>
      <c r="KT1309"/>
      <c r="KU1309"/>
      <c r="KV1309"/>
      <c r="KW1309"/>
      <c r="KX1309"/>
      <c r="KY1309"/>
      <c r="KZ1309"/>
      <c r="LA1309"/>
      <c r="LB1309"/>
      <c r="LC1309"/>
      <c r="LD1309"/>
      <c r="LE1309"/>
      <c r="LF1309"/>
      <c r="LG1309"/>
      <c r="LH1309"/>
      <c r="LI1309"/>
      <c r="LJ1309"/>
      <c r="LK1309"/>
      <c r="LL1309"/>
      <c r="LM1309"/>
      <c r="LN1309"/>
      <c r="LO1309"/>
      <c r="LP1309"/>
      <c r="LQ1309"/>
      <c r="LR1309"/>
      <c r="LS1309"/>
      <c r="LT1309"/>
      <c r="LU1309"/>
      <c r="LV1309"/>
      <c r="LW1309"/>
      <c r="LX1309"/>
      <c r="LY1309"/>
      <c r="LZ1309"/>
      <c r="MA1309"/>
      <c r="MB1309"/>
      <c r="MC1309"/>
      <c r="MD1309"/>
      <c r="ME1309"/>
      <c r="MF1309"/>
      <c r="MG1309"/>
      <c r="MH1309"/>
      <c r="MI1309"/>
      <c r="MJ1309"/>
      <c r="MK1309"/>
      <c r="ML1309"/>
      <c r="MM1309"/>
      <c r="MN1309"/>
      <c r="MO1309"/>
      <c r="MP1309"/>
      <c r="MQ1309"/>
      <c r="MR1309"/>
      <c r="MS1309"/>
      <c r="MT1309"/>
      <c r="MU1309"/>
      <c r="MV1309"/>
      <c r="MW1309"/>
      <c r="MX1309"/>
      <c r="MY1309"/>
      <c r="MZ1309"/>
      <c r="NA1309"/>
      <c r="NB1309"/>
      <c r="NC1309"/>
      <c r="ND1309"/>
      <c r="NE1309"/>
      <c r="NF1309"/>
      <c r="NG1309"/>
      <c r="NH1309"/>
      <c r="NI1309"/>
      <c r="NJ1309"/>
      <c r="NK1309"/>
      <c r="NL1309"/>
      <c r="NM1309"/>
      <c r="NN1309"/>
      <c r="NO1309"/>
      <c r="NP1309"/>
      <c r="NQ1309"/>
      <c r="NR1309"/>
      <c r="NS1309"/>
      <c r="NT1309"/>
      <c r="NU1309"/>
      <c r="NV1309"/>
      <c r="NW1309"/>
      <c r="NX1309"/>
      <c r="NY1309"/>
      <c r="NZ1309"/>
      <c r="OA1309"/>
      <c r="OB1309"/>
      <c r="OC1309"/>
      <c r="OD1309"/>
      <c r="OE1309"/>
      <c r="OF1309"/>
      <c r="OG1309"/>
      <c r="OH1309"/>
      <c r="OI1309"/>
      <c r="OJ1309"/>
      <c r="OK1309"/>
      <c r="OL1309"/>
      <c r="OM1309"/>
      <c r="ON1309"/>
      <c r="OO1309"/>
      <c r="OP1309"/>
      <c r="OQ1309"/>
      <c r="OR1309"/>
      <c r="OS1309"/>
      <c r="OT1309"/>
      <c r="OU1309"/>
      <c r="OV1309"/>
      <c r="OW1309"/>
      <c r="OX1309"/>
      <c r="OY1309"/>
      <c r="OZ1309"/>
      <c r="PA1309"/>
      <c r="PB1309"/>
      <c r="PC1309"/>
      <c r="PD1309"/>
      <c r="PE1309"/>
      <c r="PF1309"/>
      <c r="PG1309"/>
      <c r="PH1309"/>
      <c r="PI1309"/>
      <c r="PJ1309"/>
      <c r="PK1309"/>
      <c r="PL1309"/>
      <c r="PM1309"/>
      <c r="PN1309"/>
      <c r="PO1309"/>
      <c r="PP1309"/>
      <c r="PQ1309"/>
      <c r="PR1309"/>
      <c r="PS1309"/>
      <c r="PT1309"/>
      <c r="PU1309"/>
      <c r="PV1309"/>
      <c r="PW1309"/>
      <c r="PX1309"/>
      <c r="PY1309"/>
      <c r="PZ1309"/>
      <c r="QA1309"/>
      <c r="QB1309"/>
      <c r="QC1309"/>
      <c r="QD1309"/>
      <c r="QE1309"/>
      <c r="QF1309"/>
      <c r="QG1309"/>
      <c r="QH1309"/>
      <c r="QI1309"/>
      <c r="QJ1309"/>
      <c r="QK1309"/>
      <c r="QL1309"/>
      <c r="QM1309"/>
      <c r="QN1309"/>
      <c r="QO1309"/>
      <c r="QP1309"/>
      <c r="QQ1309"/>
      <c r="QR1309"/>
      <c r="QS1309"/>
      <c r="QT1309"/>
      <c r="QU1309"/>
      <c r="QV1309"/>
      <c r="QW1309"/>
      <c r="QX1309"/>
      <c r="QY1309"/>
      <c r="QZ1309"/>
      <c r="RA1309"/>
      <c r="RB1309"/>
      <c r="RC1309"/>
      <c r="RD1309"/>
      <c r="RE1309"/>
      <c r="RF1309"/>
      <c r="RG1309"/>
      <c r="RH1309"/>
      <c r="RI1309"/>
      <c r="RJ1309"/>
      <c r="RK1309"/>
      <c r="RL1309"/>
      <c r="RM1309"/>
      <c r="RN1309"/>
      <c r="RO1309"/>
      <c r="RP1309"/>
      <c r="RQ1309"/>
      <c r="RR1309"/>
      <c r="RS1309"/>
      <c r="RT1309"/>
      <c r="RU1309"/>
      <c r="RV1309"/>
      <c r="RW1309"/>
      <c r="RX1309"/>
      <c r="RY1309"/>
      <c r="RZ1309"/>
      <c r="SA1309"/>
      <c r="SB1309"/>
      <c r="SC1309"/>
      <c r="SD1309"/>
      <c r="SE1309"/>
      <c r="SF1309"/>
      <c r="SG1309"/>
      <c r="SH1309"/>
      <c r="SI1309"/>
      <c r="SJ1309"/>
      <c r="SK1309"/>
      <c r="SL1309"/>
      <c r="SM1309"/>
      <c r="SN1309"/>
      <c r="SO1309"/>
      <c r="SP1309"/>
      <c r="SQ1309"/>
      <c r="SR1309"/>
      <c r="SS1309"/>
      <c r="ST1309"/>
      <c r="SU1309"/>
      <c r="SV1309"/>
      <c r="SW1309"/>
      <c r="SX1309"/>
      <c r="SY1309"/>
      <c r="SZ1309"/>
      <c r="TA1309"/>
      <c r="TB1309"/>
      <c r="TC1309"/>
      <c r="TD1309"/>
      <c r="TE1309"/>
      <c r="TF1309"/>
      <c r="TG1309"/>
      <c r="TH1309"/>
      <c r="TI1309"/>
      <c r="TJ1309"/>
      <c r="TK1309"/>
      <c r="TL1309"/>
      <c r="TM1309"/>
      <c r="TN1309"/>
      <c r="TO1309"/>
      <c r="TP1309"/>
      <c r="TQ1309"/>
      <c r="TR1309"/>
      <c r="TS1309"/>
      <c r="TT1309"/>
      <c r="TU1309"/>
      <c r="TV1309"/>
      <c r="TW1309"/>
      <c r="TX1309"/>
      <c r="TY1309"/>
      <c r="TZ1309"/>
      <c r="UA1309"/>
      <c r="UB1309"/>
      <c r="UC1309"/>
      <c r="UD1309"/>
      <c r="UE1309"/>
      <c r="UF1309"/>
      <c r="UG1309"/>
      <c r="UH1309"/>
      <c r="UI1309"/>
      <c r="UJ1309"/>
      <c r="UK1309"/>
      <c r="UL1309"/>
      <c r="UM1309"/>
      <c r="UN1309"/>
      <c r="UO1309"/>
      <c r="UP1309"/>
      <c r="UQ1309"/>
      <c r="UR1309"/>
      <c r="US1309"/>
      <c r="UT1309"/>
      <c r="UU1309"/>
      <c r="UV1309"/>
      <c r="UW1309"/>
      <c r="UX1309"/>
      <c r="UY1309"/>
      <c r="UZ1309"/>
      <c r="VA1309"/>
      <c r="VB1309"/>
      <c r="VC1309"/>
      <c r="VD1309"/>
      <c r="VE1309"/>
      <c r="VF1309"/>
      <c r="VG1309"/>
      <c r="VH1309"/>
      <c r="VI1309"/>
      <c r="VJ1309"/>
      <c r="VK1309"/>
      <c r="VL1309"/>
      <c r="VM1309"/>
      <c r="VN1309"/>
      <c r="VO1309"/>
      <c r="VP1309"/>
      <c r="VQ1309"/>
      <c r="VR1309"/>
      <c r="VS1309"/>
      <c r="VT1309"/>
      <c r="VU1309"/>
      <c r="VV1309"/>
      <c r="VW1309"/>
      <c r="VX1309"/>
      <c r="VY1309"/>
      <c r="VZ1309"/>
      <c r="WA1309"/>
      <c r="WB1309"/>
      <c r="WC1309"/>
      <c r="WD1309"/>
      <c r="WE1309"/>
      <c r="WF1309"/>
      <c r="WG1309"/>
      <c r="WH1309"/>
      <c r="WI1309"/>
      <c r="WJ1309"/>
      <c r="WK1309"/>
      <c r="WL1309"/>
      <c r="WM1309"/>
      <c r="WN1309"/>
      <c r="WO1309"/>
      <c r="WP1309"/>
      <c r="WQ1309"/>
      <c r="WR1309"/>
      <c r="WS1309"/>
      <c r="WT1309"/>
      <c r="WU1309"/>
      <c r="WV1309"/>
      <c r="WW1309"/>
      <c r="WX1309"/>
      <c r="WY1309"/>
      <c r="WZ1309"/>
      <c r="XA1309"/>
      <c r="XB1309"/>
      <c r="XC1309"/>
      <c r="XD1309"/>
      <c r="XE1309"/>
      <c r="XF1309"/>
      <c r="XG1309"/>
      <c r="XH1309"/>
      <c r="XI1309"/>
      <c r="XJ1309"/>
      <c r="XK1309"/>
      <c r="XL1309"/>
      <c r="XM1309"/>
      <c r="XN1309"/>
      <c r="XO1309"/>
      <c r="XP1309"/>
      <c r="XQ1309"/>
      <c r="XR1309"/>
      <c r="XS1309"/>
      <c r="XT1309"/>
      <c r="XU1309"/>
      <c r="XV1309"/>
      <c r="XW1309"/>
      <c r="XX1309"/>
      <c r="XY1309"/>
      <c r="XZ1309"/>
      <c r="YA1309"/>
      <c r="YB1309"/>
      <c r="YC1309"/>
      <c r="YD1309"/>
      <c r="YE1309"/>
      <c r="YF1309"/>
      <c r="YG1309"/>
      <c r="YH1309"/>
      <c r="YI1309"/>
      <c r="YJ1309"/>
      <c r="YK1309"/>
      <c r="YL1309"/>
      <c r="YM1309"/>
      <c r="YN1309"/>
      <c r="YO1309"/>
      <c r="YP1309"/>
      <c r="YQ1309"/>
      <c r="YR1309"/>
      <c r="YS1309"/>
      <c r="YT1309"/>
      <c r="YU1309"/>
      <c r="YV1309"/>
      <c r="YW1309"/>
      <c r="YX1309"/>
      <c r="YY1309"/>
      <c r="YZ1309"/>
      <c r="ZA1309"/>
      <c r="ZB1309"/>
      <c r="ZC1309"/>
      <c r="ZD1309"/>
      <c r="ZE1309"/>
      <c r="ZF1309"/>
      <c r="ZG1309"/>
      <c r="ZH1309"/>
      <c r="ZI1309"/>
      <c r="ZJ1309"/>
      <c r="ZK1309"/>
      <c r="ZL1309"/>
      <c r="ZM1309"/>
      <c r="ZN1309"/>
      <c r="ZO1309"/>
      <c r="ZP1309"/>
      <c r="ZQ1309"/>
      <c r="ZR1309"/>
      <c r="ZS1309"/>
      <c r="ZT1309"/>
      <c r="ZU1309"/>
      <c r="ZV1309"/>
      <c r="ZW1309"/>
      <c r="ZX1309"/>
      <c r="ZY1309"/>
      <c r="ZZ1309"/>
      <c r="AAA1309"/>
      <c r="AAB1309"/>
      <c r="AAC1309"/>
      <c r="AAD1309"/>
      <c r="AAE1309"/>
      <c r="AAF1309"/>
      <c r="AAG1309"/>
      <c r="AAH1309"/>
      <c r="AAI1309"/>
      <c r="AAJ1309"/>
      <c r="AAK1309"/>
      <c r="AAL1309"/>
      <c r="AAM1309"/>
      <c r="AAN1309"/>
      <c r="AAO1309"/>
      <c r="AAP1309"/>
      <c r="AAQ1309"/>
      <c r="AAR1309"/>
      <c r="AAS1309"/>
      <c r="AAT1309"/>
      <c r="AAU1309"/>
      <c r="AAV1309"/>
      <c r="AAW1309"/>
      <c r="AAX1309"/>
      <c r="AAY1309"/>
      <c r="AAZ1309"/>
      <c r="ABA1309"/>
      <c r="ABB1309"/>
      <c r="ABC1309"/>
      <c r="ABD1309"/>
      <c r="ABE1309"/>
      <c r="ABF1309"/>
      <c r="ABG1309"/>
      <c r="ABH1309"/>
      <c r="ABI1309"/>
      <c r="ABJ1309"/>
      <c r="ABK1309"/>
      <c r="ABL1309"/>
      <c r="ABM1309"/>
      <c r="ABN1309"/>
      <c r="ABO1309"/>
      <c r="ABP1309"/>
      <c r="ABQ1309"/>
      <c r="ABR1309"/>
      <c r="ABS1309"/>
      <c r="ABT1309"/>
      <c r="ABU1309"/>
      <c r="ABV1309"/>
      <c r="ABW1309"/>
      <c r="ABX1309"/>
      <c r="ABY1309"/>
      <c r="ABZ1309"/>
      <c r="ACA1309"/>
      <c r="ACB1309"/>
      <c r="ACC1309"/>
      <c r="ACD1309"/>
      <c r="ACE1309"/>
      <c r="ACF1309"/>
      <c r="ACG1309"/>
      <c r="ACH1309"/>
      <c r="ACI1309"/>
      <c r="ACJ1309"/>
      <c r="ACK1309"/>
      <c r="ACL1309"/>
      <c r="ACM1309"/>
      <c r="ACN1309"/>
      <c r="ACO1309"/>
      <c r="ACP1309"/>
      <c r="ACQ1309"/>
      <c r="ACR1309"/>
      <c r="ACS1309"/>
      <c r="ACT1309"/>
      <c r="ACU1309"/>
      <c r="ACV1309"/>
      <c r="ACW1309"/>
      <c r="ACX1309"/>
      <c r="ACY1309"/>
      <c r="ACZ1309"/>
      <c r="ADA1309"/>
      <c r="ADB1309"/>
      <c r="ADC1309"/>
      <c r="ADD1309"/>
      <c r="ADE1309"/>
      <c r="ADF1309"/>
      <c r="ADG1309"/>
      <c r="ADH1309"/>
      <c r="ADI1309"/>
      <c r="ADJ1309"/>
      <c r="ADK1309"/>
      <c r="ADL1309"/>
      <c r="ADM1309"/>
      <c r="ADN1309"/>
      <c r="ADO1309"/>
      <c r="ADP1309"/>
      <c r="ADQ1309"/>
      <c r="ADR1309"/>
      <c r="ADS1309"/>
      <c r="ADT1309"/>
      <c r="ADU1309"/>
      <c r="ADV1309"/>
      <c r="ADW1309"/>
      <c r="ADX1309"/>
      <c r="ADY1309"/>
      <c r="ADZ1309"/>
      <c r="AEA1309"/>
      <c r="AEB1309"/>
      <c r="AEC1309"/>
      <c r="AED1309"/>
      <c r="AEE1309"/>
      <c r="AEF1309"/>
      <c r="AEG1309"/>
      <c r="AEH1309"/>
      <c r="AEI1309"/>
      <c r="AEJ1309"/>
      <c r="AEK1309"/>
      <c r="AEL1309"/>
      <c r="AEM1309"/>
      <c r="AEN1309"/>
      <c r="AEO1309"/>
      <c r="AEP1309"/>
      <c r="AEQ1309"/>
      <c r="AER1309"/>
      <c r="AES1309"/>
      <c r="AET1309"/>
      <c r="AEU1309"/>
      <c r="AEV1309"/>
      <c r="AEW1309"/>
      <c r="AEX1309"/>
      <c r="AEY1309"/>
      <c r="AEZ1309"/>
      <c r="AFA1309"/>
      <c r="AFB1309"/>
      <c r="AFC1309"/>
      <c r="AFD1309"/>
      <c r="AFE1309"/>
      <c r="AFF1309"/>
      <c r="AFG1309"/>
      <c r="AFH1309"/>
      <c r="AFI1309"/>
      <c r="AFJ1309"/>
      <c r="AFK1309"/>
      <c r="AFL1309"/>
      <c r="AFM1309"/>
      <c r="AFN1309"/>
      <c r="AFO1309"/>
      <c r="AFP1309"/>
      <c r="AFQ1309"/>
      <c r="AFR1309"/>
      <c r="AFS1309"/>
      <c r="AFT1309"/>
      <c r="AFU1309"/>
      <c r="AFV1309"/>
      <c r="AFW1309"/>
      <c r="AFX1309"/>
      <c r="AFY1309"/>
      <c r="AFZ1309"/>
      <c r="AGA1309"/>
      <c r="AGB1309"/>
      <c r="AGC1309"/>
      <c r="AGD1309"/>
      <c r="AGE1309"/>
      <c r="AGF1309"/>
      <c r="AGG1309"/>
      <c r="AGH1309"/>
      <c r="AGI1309"/>
      <c r="AGJ1309"/>
      <c r="AGK1309"/>
      <c r="AGL1309"/>
      <c r="AGM1309"/>
      <c r="AGN1309"/>
      <c r="AGO1309"/>
      <c r="AGP1309"/>
      <c r="AGQ1309"/>
      <c r="AGR1309"/>
      <c r="AGS1309"/>
      <c r="AGT1309"/>
      <c r="AGU1309"/>
      <c r="AGV1309"/>
      <c r="AGW1309"/>
      <c r="AGX1309"/>
      <c r="AGY1309"/>
      <c r="AGZ1309"/>
      <c r="AHA1309"/>
      <c r="AHB1309"/>
      <c r="AHC1309"/>
      <c r="AHD1309"/>
      <c r="AHE1309"/>
      <c r="AHF1309"/>
      <c r="AHG1309"/>
      <c r="AHH1309"/>
      <c r="AHI1309"/>
      <c r="AHJ1309"/>
      <c r="AHK1309"/>
      <c r="AHL1309"/>
      <c r="AHM1309"/>
      <c r="AHN1309"/>
      <c r="AHO1309"/>
      <c r="AHP1309"/>
      <c r="AHQ1309"/>
      <c r="AHR1309"/>
      <c r="AHS1309"/>
      <c r="AHT1309"/>
      <c r="AHU1309"/>
      <c r="AHV1309"/>
      <c r="AHW1309"/>
      <c r="AHX1309"/>
      <c r="AHY1309"/>
      <c r="AHZ1309"/>
      <c r="AIA1309"/>
      <c r="AIB1309"/>
      <c r="AIC1309"/>
      <c r="AID1309"/>
      <c r="AIE1309"/>
      <c r="AIF1309"/>
      <c r="AIG1309"/>
      <c r="AIH1309"/>
      <c r="AII1309"/>
      <c r="AIJ1309"/>
      <c r="AIK1309"/>
      <c r="AIL1309"/>
      <c r="AIM1309"/>
      <c r="AIN1309"/>
      <c r="AIO1309"/>
      <c r="AIP1309"/>
      <c r="AIQ1309"/>
      <c r="AIR1309"/>
      <c r="AIS1309"/>
      <c r="AIT1309"/>
      <c r="AIU1309"/>
      <c r="AIV1309"/>
      <c r="AIW1309"/>
      <c r="AIX1309"/>
      <c r="AIY1309"/>
      <c r="AIZ1309"/>
      <c r="AJA1309"/>
      <c r="AJB1309"/>
      <c r="AJC1309"/>
      <c r="AJD1309"/>
      <c r="AJE1309"/>
      <c r="AJF1309"/>
      <c r="AJG1309"/>
      <c r="AJH1309"/>
      <c r="AJI1309"/>
      <c r="AJJ1309"/>
      <c r="AJK1309"/>
      <c r="AJL1309"/>
      <c r="AJM1309"/>
      <c r="AJN1309"/>
      <c r="AJO1309"/>
      <c r="AJP1309"/>
      <c r="AJQ1309"/>
      <c r="AJR1309"/>
      <c r="AJS1309"/>
      <c r="AJT1309"/>
      <c r="AJU1309"/>
      <c r="AJV1309"/>
      <c r="AJW1309"/>
      <c r="AJX1309"/>
      <c r="AJY1309"/>
      <c r="AJZ1309"/>
      <c r="AKA1309"/>
      <c r="AKB1309"/>
      <c r="AKC1309"/>
      <c r="AKD1309"/>
      <c r="AKE1309"/>
      <c r="AKF1309"/>
      <c r="AKG1309"/>
      <c r="AKH1309"/>
      <c r="AKI1309"/>
      <c r="AKJ1309"/>
      <c r="AKK1309"/>
      <c r="AKL1309"/>
      <c r="AKM1309"/>
      <c r="AKN1309"/>
      <c r="AKO1309"/>
      <c r="AKP1309"/>
      <c r="AKQ1309"/>
      <c r="AKR1309"/>
      <c r="AKS1309"/>
      <c r="AKT1309"/>
      <c r="AKU1309"/>
      <c r="AKV1309"/>
      <c r="AKW1309"/>
      <c r="AKX1309"/>
      <c r="AKY1309"/>
      <c r="AKZ1309"/>
      <c r="ALA1309"/>
      <c r="ALB1309"/>
      <c r="ALC1309"/>
      <c r="ALD1309"/>
      <c r="ALE1309"/>
      <c r="ALF1309"/>
      <c r="ALG1309"/>
      <c r="ALH1309"/>
      <c r="ALI1309"/>
      <c r="ALJ1309"/>
      <c r="ALK1309"/>
      <c r="ALL1309"/>
      <c r="ALM1309"/>
      <c r="ALN1309"/>
      <c r="ALO1309"/>
      <c r="ALP1309"/>
      <c r="ALQ1309"/>
      <c r="ALR1309"/>
      <c r="ALS1309"/>
      <c r="ALT1309"/>
    </row>
    <row r="1310" spans="1:1008" x14ac:dyDescent="0.15">
      <c r="A1310" t="s">
        <v>2256</v>
      </c>
      <c r="B1310" s="8" t="s">
        <v>4083</v>
      </c>
      <c r="C1310" t="s">
        <v>2256</v>
      </c>
      <c r="D1310" s="8" t="s">
        <v>15</v>
      </c>
      <c r="E1310" t="s">
        <v>2256</v>
      </c>
      <c r="F1310" t="s">
        <v>2257</v>
      </c>
      <c r="G1310">
        <v>700</v>
      </c>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c r="AT1310"/>
      <c r="AU1310"/>
      <c r="AV1310"/>
      <c r="AW1310"/>
      <c r="AX1310"/>
      <c r="AY1310"/>
      <c r="AZ1310"/>
      <c r="BA1310"/>
      <c r="BB1310"/>
      <c r="BC1310"/>
      <c r="BD1310"/>
      <c r="BE1310"/>
      <c r="BF1310"/>
      <c r="BG1310"/>
      <c r="BH1310"/>
      <c r="BI1310"/>
      <c r="BJ1310"/>
      <c r="BK1310"/>
      <c r="BL1310"/>
      <c r="BM1310"/>
      <c r="BN1310"/>
      <c r="BO1310"/>
      <c r="BP1310"/>
      <c r="BQ1310"/>
      <c r="BR1310"/>
      <c r="BS1310"/>
      <c r="BT1310"/>
      <c r="BU1310"/>
      <c r="BV1310"/>
      <c r="BW1310"/>
      <c r="BX1310"/>
      <c r="BY1310"/>
      <c r="BZ1310"/>
      <c r="CA1310"/>
      <c r="CB1310"/>
      <c r="CC1310"/>
      <c r="CD1310"/>
      <c r="CE1310"/>
      <c r="CF1310"/>
      <c r="CG1310"/>
      <c r="CH1310"/>
      <c r="CI1310"/>
      <c r="CJ1310"/>
      <c r="CK1310"/>
      <c r="CL1310"/>
      <c r="CM1310"/>
      <c r="CN1310"/>
      <c r="CO1310"/>
      <c r="CP1310"/>
      <c r="CQ1310"/>
      <c r="CR1310"/>
      <c r="CS1310"/>
      <c r="CT1310"/>
      <c r="CU1310"/>
      <c r="CV1310"/>
      <c r="CW1310"/>
      <c r="CX1310"/>
      <c r="CY1310"/>
      <c r="CZ1310"/>
      <c r="DA1310"/>
      <c r="DB1310"/>
      <c r="DC1310"/>
      <c r="DD1310"/>
      <c r="DE1310"/>
      <c r="DF1310"/>
      <c r="DG1310"/>
      <c r="DH1310"/>
      <c r="DI1310"/>
      <c r="DJ1310"/>
      <c r="DK1310"/>
      <c r="DL1310"/>
      <c r="DM1310"/>
      <c r="DN1310"/>
      <c r="DO1310"/>
      <c r="DP1310"/>
      <c r="DQ1310"/>
      <c r="DR1310"/>
      <c r="DS1310"/>
      <c r="DT1310"/>
      <c r="DU1310"/>
      <c r="DV1310"/>
      <c r="DW1310"/>
      <c r="DX1310"/>
      <c r="DY1310"/>
      <c r="DZ1310"/>
      <c r="EA1310"/>
      <c r="EB1310"/>
      <c r="EC1310"/>
      <c r="ED1310"/>
      <c r="EE1310"/>
      <c r="EF1310"/>
      <c r="EG1310"/>
      <c r="EH1310"/>
      <c r="EI1310"/>
      <c r="EJ1310"/>
      <c r="EK1310"/>
      <c r="EL1310"/>
      <c r="EM1310"/>
      <c r="EN1310"/>
      <c r="EO1310"/>
      <c r="EP1310"/>
      <c r="EQ1310"/>
      <c r="ER1310"/>
      <c r="ES1310"/>
      <c r="ET1310"/>
      <c r="EU1310"/>
      <c r="EV1310"/>
      <c r="EW1310"/>
      <c r="EX1310"/>
      <c r="EY1310"/>
      <c r="EZ1310"/>
      <c r="FA1310"/>
      <c r="FB1310"/>
      <c r="FC1310"/>
      <c r="FD1310"/>
      <c r="FE1310"/>
      <c r="FF1310"/>
      <c r="FG1310"/>
      <c r="FH1310"/>
      <c r="FI1310"/>
      <c r="FJ1310"/>
      <c r="FK1310"/>
      <c r="FL1310"/>
      <c r="FM1310"/>
      <c r="FN1310"/>
      <c r="FO1310"/>
      <c r="FP1310"/>
      <c r="FQ1310"/>
      <c r="FR1310"/>
      <c r="FS1310"/>
      <c r="FT1310"/>
      <c r="FU1310"/>
      <c r="FV1310"/>
      <c r="FW1310"/>
      <c r="FX1310"/>
      <c r="FY1310"/>
      <c r="FZ1310"/>
      <c r="GA1310"/>
      <c r="GB1310"/>
      <c r="GC1310"/>
      <c r="GD1310"/>
      <c r="GE1310"/>
      <c r="GF1310"/>
      <c r="GG1310"/>
      <c r="GH1310"/>
      <c r="GI1310"/>
      <c r="GJ1310"/>
      <c r="GK1310"/>
      <c r="GL1310"/>
      <c r="GM1310"/>
      <c r="GN1310"/>
      <c r="GO1310"/>
      <c r="GP1310"/>
      <c r="GQ1310"/>
      <c r="GR1310"/>
      <c r="GS1310"/>
      <c r="GT1310"/>
      <c r="GU1310"/>
      <c r="GV1310"/>
      <c r="GW1310"/>
      <c r="GX1310"/>
      <c r="GY1310"/>
      <c r="GZ1310"/>
      <c r="HA1310"/>
      <c r="HB1310"/>
      <c r="HC1310"/>
      <c r="HD1310"/>
      <c r="HE1310"/>
      <c r="HF1310"/>
      <c r="HG1310"/>
      <c r="HH1310"/>
      <c r="HI1310"/>
      <c r="HJ1310"/>
      <c r="HK1310"/>
      <c r="HL1310"/>
      <c r="HM1310"/>
      <c r="HN1310"/>
      <c r="HO1310"/>
      <c r="HP1310"/>
      <c r="HQ1310"/>
      <c r="HR1310"/>
      <c r="HS1310"/>
      <c r="HT1310"/>
      <c r="HU1310"/>
      <c r="HV1310"/>
      <c r="HW1310"/>
      <c r="HX1310"/>
      <c r="HY1310"/>
      <c r="HZ1310"/>
      <c r="IA1310"/>
      <c r="IB1310"/>
      <c r="IC1310"/>
      <c r="ID1310"/>
      <c r="IE1310"/>
      <c r="IF1310"/>
      <c r="IG1310"/>
      <c r="IH1310"/>
      <c r="II1310"/>
      <c r="IJ1310"/>
      <c r="IK1310"/>
      <c r="IL1310"/>
      <c r="IM1310"/>
      <c r="IN1310"/>
      <c r="IO1310"/>
      <c r="IP1310"/>
      <c r="IQ1310"/>
      <c r="IR1310"/>
      <c r="IS1310"/>
      <c r="IT1310"/>
      <c r="IU1310"/>
      <c r="IV1310"/>
      <c r="IW1310"/>
      <c r="IX1310"/>
      <c r="IY1310"/>
      <c r="IZ1310"/>
      <c r="JA1310"/>
      <c r="JB1310"/>
      <c r="JC1310"/>
      <c r="JD1310"/>
      <c r="JE1310"/>
      <c r="JF1310"/>
      <c r="JG1310"/>
      <c r="JH1310"/>
      <c r="JI1310"/>
      <c r="JJ1310"/>
      <c r="JK1310"/>
      <c r="JL1310"/>
      <c r="JM1310"/>
      <c r="JN1310"/>
      <c r="JO1310"/>
      <c r="JP1310"/>
      <c r="JQ1310"/>
      <c r="JR1310"/>
      <c r="JS1310"/>
      <c r="JT1310"/>
      <c r="JU1310"/>
      <c r="JV1310"/>
      <c r="JW1310"/>
      <c r="JX1310"/>
      <c r="JY1310"/>
      <c r="JZ1310"/>
      <c r="KA1310"/>
      <c r="KB1310"/>
      <c r="KC1310"/>
      <c r="KD1310"/>
      <c r="KE1310"/>
      <c r="KF1310"/>
      <c r="KG1310"/>
      <c r="KH1310"/>
      <c r="KI1310"/>
      <c r="KJ1310"/>
      <c r="KK1310"/>
      <c r="KL1310"/>
      <c r="KM1310"/>
      <c r="KN1310"/>
      <c r="KO1310"/>
      <c r="KP1310"/>
      <c r="KQ1310"/>
      <c r="KR1310"/>
      <c r="KS1310"/>
      <c r="KT1310"/>
      <c r="KU1310"/>
      <c r="KV1310"/>
      <c r="KW1310"/>
      <c r="KX1310"/>
      <c r="KY1310"/>
      <c r="KZ1310"/>
      <c r="LA1310"/>
      <c r="LB1310"/>
      <c r="LC1310"/>
      <c r="LD1310"/>
      <c r="LE1310"/>
      <c r="LF1310"/>
      <c r="LG1310"/>
      <c r="LH1310"/>
      <c r="LI1310"/>
      <c r="LJ1310"/>
      <c r="LK1310"/>
      <c r="LL1310"/>
      <c r="LM1310"/>
      <c r="LN1310"/>
      <c r="LO1310"/>
      <c r="LP1310"/>
      <c r="LQ1310"/>
      <c r="LR1310"/>
      <c r="LS1310"/>
      <c r="LT1310"/>
      <c r="LU1310"/>
      <c r="LV1310"/>
      <c r="LW1310"/>
      <c r="LX1310"/>
      <c r="LY1310"/>
      <c r="LZ1310"/>
      <c r="MA1310"/>
      <c r="MB1310"/>
      <c r="MC1310"/>
      <c r="MD1310"/>
      <c r="ME1310"/>
      <c r="MF1310"/>
      <c r="MG1310"/>
      <c r="MH1310"/>
      <c r="MI1310"/>
      <c r="MJ1310"/>
      <c r="MK1310"/>
      <c r="ML1310"/>
      <c r="MM1310"/>
      <c r="MN1310"/>
      <c r="MO1310"/>
      <c r="MP1310"/>
      <c r="MQ1310"/>
      <c r="MR1310"/>
      <c r="MS1310"/>
      <c r="MT1310"/>
      <c r="MU1310"/>
      <c r="MV1310"/>
      <c r="MW1310"/>
      <c r="MX1310"/>
      <c r="MY1310"/>
      <c r="MZ1310"/>
      <c r="NA1310"/>
      <c r="NB1310"/>
      <c r="NC1310"/>
      <c r="ND1310"/>
      <c r="NE1310"/>
      <c r="NF1310"/>
      <c r="NG1310"/>
      <c r="NH1310"/>
      <c r="NI1310"/>
      <c r="NJ1310"/>
      <c r="NK1310"/>
      <c r="NL1310"/>
      <c r="NM1310"/>
      <c r="NN1310"/>
      <c r="NO1310"/>
      <c r="NP1310"/>
      <c r="NQ1310"/>
      <c r="NR1310"/>
      <c r="NS1310"/>
      <c r="NT1310"/>
      <c r="NU1310"/>
      <c r="NV1310"/>
      <c r="NW1310"/>
      <c r="NX1310"/>
      <c r="NY1310"/>
      <c r="NZ1310"/>
      <c r="OA1310"/>
      <c r="OB1310"/>
      <c r="OC1310"/>
      <c r="OD1310"/>
      <c r="OE1310"/>
      <c r="OF1310"/>
      <c r="OG1310"/>
      <c r="OH1310"/>
      <c r="OI1310"/>
      <c r="OJ1310"/>
      <c r="OK1310"/>
      <c r="OL1310"/>
      <c r="OM1310"/>
      <c r="ON1310"/>
      <c r="OO1310"/>
      <c r="OP1310"/>
      <c r="OQ1310"/>
      <c r="OR1310"/>
      <c r="OS1310"/>
      <c r="OT1310"/>
      <c r="OU1310"/>
      <c r="OV1310"/>
      <c r="OW1310"/>
      <c r="OX1310"/>
      <c r="OY1310"/>
      <c r="OZ1310"/>
      <c r="PA1310"/>
      <c r="PB1310"/>
      <c r="PC1310"/>
      <c r="PD1310"/>
      <c r="PE1310"/>
      <c r="PF1310"/>
      <c r="PG1310"/>
      <c r="PH1310"/>
      <c r="PI1310"/>
      <c r="PJ1310"/>
      <c r="PK1310"/>
      <c r="PL1310"/>
      <c r="PM1310"/>
      <c r="PN1310"/>
      <c r="PO1310"/>
      <c r="PP1310"/>
      <c r="PQ1310"/>
      <c r="PR1310"/>
      <c r="PS1310"/>
      <c r="PT1310"/>
      <c r="PU1310"/>
      <c r="PV1310"/>
      <c r="PW1310"/>
      <c r="PX1310"/>
      <c r="PY1310"/>
      <c r="PZ1310"/>
      <c r="QA1310"/>
      <c r="QB1310"/>
      <c r="QC1310"/>
      <c r="QD1310"/>
      <c r="QE1310"/>
      <c r="QF1310"/>
      <c r="QG1310"/>
      <c r="QH1310"/>
      <c r="QI1310"/>
      <c r="QJ1310"/>
      <c r="QK1310"/>
      <c r="QL1310"/>
      <c r="QM1310"/>
      <c r="QN1310"/>
      <c r="QO1310"/>
      <c r="QP1310"/>
      <c r="QQ1310"/>
      <c r="QR1310"/>
      <c r="QS1310"/>
      <c r="QT1310"/>
      <c r="QU1310"/>
      <c r="QV1310"/>
      <c r="QW1310"/>
      <c r="QX1310"/>
      <c r="QY1310"/>
      <c r="QZ1310"/>
      <c r="RA1310"/>
      <c r="RB1310"/>
      <c r="RC1310"/>
      <c r="RD1310"/>
      <c r="RE1310"/>
      <c r="RF1310"/>
      <c r="RG1310"/>
      <c r="RH1310"/>
      <c r="RI1310"/>
      <c r="RJ1310"/>
      <c r="RK1310"/>
      <c r="RL1310"/>
      <c r="RM1310"/>
      <c r="RN1310"/>
      <c r="RO1310"/>
      <c r="RP1310"/>
      <c r="RQ1310"/>
      <c r="RR1310"/>
      <c r="RS1310"/>
      <c r="RT1310"/>
      <c r="RU1310"/>
      <c r="RV1310"/>
      <c r="RW1310"/>
      <c r="RX1310"/>
      <c r="RY1310"/>
      <c r="RZ1310"/>
      <c r="SA1310"/>
      <c r="SB1310"/>
      <c r="SC1310"/>
      <c r="SD1310"/>
      <c r="SE1310"/>
      <c r="SF1310"/>
      <c r="SG1310"/>
      <c r="SH1310"/>
      <c r="SI1310"/>
      <c r="SJ1310"/>
      <c r="SK1310"/>
      <c r="SL1310"/>
      <c r="SM1310"/>
      <c r="SN1310"/>
      <c r="SO1310"/>
      <c r="SP1310"/>
      <c r="SQ1310"/>
      <c r="SR1310"/>
      <c r="SS1310"/>
      <c r="ST1310"/>
      <c r="SU1310"/>
      <c r="SV1310"/>
      <c r="SW1310"/>
      <c r="SX1310"/>
      <c r="SY1310"/>
      <c r="SZ1310"/>
      <c r="TA1310"/>
      <c r="TB1310"/>
      <c r="TC1310"/>
      <c r="TD1310"/>
      <c r="TE1310"/>
      <c r="TF1310"/>
      <c r="TG1310"/>
      <c r="TH1310"/>
      <c r="TI1310"/>
      <c r="TJ1310"/>
      <c r="TK1310"/>
      <c r="TL1310"/>
      <c r="TM1310"/>
      <c r="TN1310"/>
      <c r="TO1310"/>
      <c r="TP1310"/>
      <c r="TQ1310"/>
      <c r="TR1310"/>
      <c r="TS1310"/>
      <c r="TT1310"/>
      <c r="TU1310"/>
      <c r="TV1310"/>
      <c r="TW1310"/>
      <c r="TX1310"/>
      <c r="TY1310"/>
      <c r="TZ1310"/>
      <c r="UA1310"/>
      <c r="UB1310"/>
      <c r="UC1310"/>
      <c r="UD1310"/>
      <c r="UE1310"/>
      <c r="UF1310"/>
      <c r="UG1310"/>
      <c r="UH1310"/>
      <c r="UI1310"/>
      <c r="UJ1310"/>
      <c r="UK1310"/>
      <c r="UL1310"/>
      <c r="UM1310"/>
      <c r="UN1310"/>
      <c r="UO1310"/>
      <c r="UP1310"/>
      <c r="UQ1310"/>
      <c r="UR1310"/>
      <c r="US1310"/>
      <c r="UT1310"/>
      <c r="UU1310"/>
      <c r="UV1310"/>
      <c r="UW1310"/>
      <c r="UX1310"/>
      <c r="UY1310"/>
      <c r="UZ1310"/>
      <c r="VA1310"/>
      <c r="VB1310"/>
      <c r="VC1310"/>
      <c r="VD1310"/>
      <c r="VE1310"/>
      <c r="VF1310"/>
      <c r="VG1310"/>
      <c r="VH1310"/>
      <c r="VI1310"/>
      <c r="VJ1310"/>
      <c r="VK1310"/>
      <c r="VL1310"/>
      <c r="VM1310"/>
      <c r="VN1310"/>
      <c r="VO1310"/>
      <c r="VP1310"/>
      <c r="VQ1310"/>
      <c r="VR1310"/>
      <c r="VS1310"/>
      <c r="VT1310"/>
      <c r="VU1310"/>
      <c r="VV1310"/>
      <c r="VW1310"/>
      <c r="VX1310"/>
      <c r="VY1310"/>
      <c r="VZ1310"/>
      <c r="WA1310"/>
      <c r="WB1310"/>
      <c r="WC1310"/>
      <c r="WD1310"/>
      <c r="WE1310"/>
      <c r="WF1310"/>
      <c r="WG1310"/>
      <c r="WH1310"/>
      <c r="WI1310"/>
      <c r="WJ1310"/>
      <c r="WK1310"/>
      <c r="WL1310"/>
      <c r="WM1310"/>
      <c r="WN1310"/>
      <c r="WO1310"/>
      <c r="WP1310"/>
      <c r="WQ1310"/>
      <c r="WR1310"/>
      <c r="WS1310"/>
      <c r="WT1310"/>
      <c r="WU1310"/>
      <c r="WV1310"/>
      <c r="WW1310"/>
      <c r="WX1310"/>
      <c r="WY1310"/>
      <c r="WZ1310"/>
      <c r="XA1310"/>
      <c r="XB1310"/>
      <c r="XC1310"/>
      <c r="XD1310"/>
      <c r="XE1310"/>
      <c r="XF1310"/>
      <c r="XG1310"/>
      <c r="XH1310"/>
      <c r="XI1310"/>
      <c r="XJ1310"/>
      <c r="XK1310"/>
      <c r="XL1310"/>
      <c r="XM1310"/>
      <c r="XN1310"/>
      <c r="XO1310"/>
      <c r="XP1310"/>
      <c r="XQ1310"/>
      <c r="XR1310"/>
      <c r="XS1310"/>
      <c r="XT1310"/>
      <c r="XU1310"/>
      <c r="XV1310"/>
      <c r="XW1310"/>
      <c r="XX1310"/>
      <c r="XY1310"/>
      <c r="XZ1310"/>
      <c r="YA1310"/>
      <c r="YB1310"/>
      <c r="YC1310"/>
      <c r="YD1310"/>
      <c r="YE1310"/>
      <c r="YF1310"/>
      <c r="YG1310"/>
      <c r="YH1310"/>
      <c r="YI1310"/>
      <c r="YJ1310"/>
      <c r="YK1310"/>
      <c r="YL1310"/>
      <c r="YM1310"/>
      <c r="YN1310"/>
      <c r="YO1310"/>
      <c r="YP1310"/>
      <c r="YQ1310"/>
      <c r="YR1310"/>
      <c r="YS1310"/>
      <c r="YT1310"/>
      <c r="YU1310"/>
      <c r="YV1310"/>
      <c r="YW1310"/>
      <c r="YX1310"/>
      <c r="YY1310"/>
      <c r="YZ1310"/>
      <c r="ZA1310"/>
      <c r="ZB1310"/>
      <c r="ZC1310"/>
      <c r="ZD1310"/>
      <c r="ZE1310"/>
      <c r="ZF1310"/>
      <c r="ZG1310"/>
      <c r="ZH1310"/>
      <c r="ZI1310"/>
      <c r="ZJ1310"/>
      <c r="ZK1310"/>
      <c r="ZL1310"/>
      <c r="ZM1310"/>
      <c r="ZN1310"/>
      <c r="ZO1310"/>
      <c r="ZP1310"/>
      <c r="ZQ1310"/>
      <c r="ZR1310"/>
      <c r="ZS1310"/>
      <c r="ZT1310"/>
      <c r="ZU1310"/>
      <c r="ZV1310"/>
      <c r="ZW1310"/>
      <c r="ZX1310"/>
      <c r="ZY1310"/>
      <c r="ZZ1310"/>
      <c r="AAA1310"/>
      <c r="AAB1310"/>
      <c r="AAC1310"/>
      <c r="AAD1310"/>
      <c r="AAE1310"/>
      <c r="AAF1310"/>
      <c r="AAG1310"/>
      <c r="AAH1310"/>
      <c r="AAI1310"/>
      <c r="AAJ1310"/>
      <c r="AAK1310"/>
      <c r="AAL1310"/>
      <c r="AAM1310"/>
      <c r="AAN1310"/>
      <c r="AAO1310"/>
      <c r="AAP1310"/>
      <c r="AAQ1310"/>
      <c r="AAR1310"/>
      <c r="AAS1310"/>
      <c r="AAT1310"/>
      <c r="AAU1310"/>
      <c r="AAV1310"/>
      <c r="AAW1310"/>
      <c r="AAX1310"/>
      <c r="AAY1310"/>
      <c r="AAZ1310"/>
      <c r="ABA1310"/>
      <c r="ABB1310"/>
      <c r="ABC1310"/>
      <c r="ABD1310"/>
      <c r="ABE1310"/>
      <c r="ABF1310"/>
      <c r="ABG1310"/>
      <c r="ABH1310"/>
      <c r="ABI1310"/>
      <c r="ABJ1310"/>
      <c r="ABK1310"/>
      <c r="ABL1310"/>
      <c r="ABM1310"/>
      <c r="ABN1310"/>
      <c r="ABO1310"/>
      <c r="ABP1310"/>
      <c r="ABQ1310"/>
      <c r="ABR1310"/>
      <c r="ABS1310"/>
      <c r="ABT1310"/>
      <c r="ABU1310"/>
      <c r="ABV1310"/>
      <c r="ABW1310"/>
      <c r="ABX1310"/>
      <c r="ABY1310"/>
      <c r="ABZ1310"/>
      <c r="ACA1310"/>
      <c r="ACB1310"/>
      <c r="ACC1310"/>
      <c r="ACD1310"/>
      <c r="ACE1310"/>
      <c r="ACF1310"/>
      <c r="ACG1310"/>
      <c r="ACH1310"/>
      <c r="ACI1310"/>
      <c r="ACJ1310"/>
      <c r="ACK1310"/>
      <c r="ACL1310"/>
      <c r="ACM1310"/>
      <c r="ACN1310"/>
      <c r="ACO1310"/>
      <c r="ACP1310"/>
      <c r="ACQ1310"/>
      <c r="ACR1310"/>
      <c r="ACS1310"/>
      <c r="ACT1310"/>
      <c r="ACU1310"/>
      <c r="ACV1310"/>
      <c r="ACW1310"/>
      <c r="ACX1310"/>
      <c r="ACY1310"/>
      <c r="ACZ1310"/>
      <c r="ADA1310"/>
      <c r="ADB1310"/>
      <c r="ADC1310"/>
      <c r="ADD1310"/>
      <c r="ADE1310"/>
      <c r="ADF1310"/>
      <c r="ADG1310"/>
      <c r="ADH1310"/>
      <c r="ADI1310"/>
      <c r="ADJ1310"/>
      <c r="ADK1310"/>
      <c r="ADL1310"/>
      <c r="ADM1310"/>
      <c r="ADN1310"/>
      <c r="ADO1310"/>
      <c r="ADP1310"/>
      <c r="ADQ1310"/>
      <c r="ADR1310"/>
      <c r="ADS1310"/>
      <c r="ADT1310"/>
      <c r="ADU1310"/>
      <c r="ADV1310"/>
      <c r="ADW1310"/>
      <c r="ADX1310"/>
      <c r="ADY1310"/>
      <c r="ADZ1310"/>
      <c r="AEA1310"/>
      <c r="AEB1310"/>
      <c r="AEC1310"/>
      <c r="AED1310"/>
      <c r="AEE1310"/>
      <c r="AEF1310"/>
      <c r="AEG1310"/>
      <c r="AEH1310"/>
      <c r="AEI1310"/>
      <c r="AEJ1310"/>
      <c r="AEK1310"/>
      <c r="AEL1310"/>
      <c r="AEM1310"/>
      <c r="AEN1310"/>
      <c r="AEO1310"/>
      <c r="AEP1310"/>
      <c r="AEQ1310"/>
      <c r="AER1310"/>
      <c r="AES1310"/>
      <c r="AET1310"/>
      <c r="AEU1310"/>
      <c r="AEV1310"/>
      <c r="AEW1310"/>
      <c r="AEX1310"/>
      <c r="AEY1310"/>
      <c r="AEZ1310"/>
      <c r="AFA1310"/>
      <c r="AFB1310"/>
      <c r="AFC1310"/>
      <c r="AFD1310"/>
      <c r="AFE1310"/>
      <c r="AFF1310"/>
      <c r="AFG1310"/>
      <c r="AFH1310"/>
      <c r="AFI1310"/>
      <c r="AFJ1310"/>
      <c r="AFK1310"/>
      <c r="AFL1310"/>
      <c r="AFM1310"/>
      <c r="AFN1310"/>
      <c r="AFO1310"/>
      <c r="AFP1310"/>
      <c r="AFQ1310"/>
      <c r="AFR1310"/>
      <c r="AFS1310"/>
      <c r="AFT1310"/>
      <c r="AFU1310"/>
      <c r="AFV1310"/>
      <c r="AFW1310"/>
      <c r="AFX1310"/>
      <c r="AFY1310"/>
      <c r="AFZ1310"/>
      <c r="AGA1310"/>
      <c r="AGB1310"/>
      <c r="AGC1310"/>
      <c r="AGD1310"/>
      <c r="AGE1310"/>
      <c r="AGF1310"/>
      <c r="AGG1310"/>
      <c r="AGH1310"/>
      <c r="AGI1310"/>
      <c r="AGJ1310"/>
      <c r="AGK1310"/>
      <c r="AGL1310"/>
      <c r="AGM1310"/>
      <c r="AGN1310"/>
      <c r="AGO1310"/>
      <c r="AGP1310"/>
      <c r="AGQ1310"/>
      <c r="AGR1310"/>
      <c r="AGS1310"/>
      <c r="AGT1310"/>
      <c r="AGU1310"/>
      <c r="AGV1310"/>
      <c r="AGW1310"/>
      <c r="AGX1310"/>
      <c r="AGY1310"/>
      <c r="AGZ1310"/>
      <c r="AHA1310"/>
      <c r="AHB1310"/>
      <c r="AHC1310"/>
      <c r="AHD1310"/>
      <c r="AHE1310"/>
      <c r="AHF1310"/>
      <c r="AHG1310"/>
      <c r="AHH1310"/>
      <c r="AHI1310"/>
      <c r="AHJ1310"/>
      <c r="AHK1310"/>
      <c r="AHL1310"/>
      <c r="AHM1310"/>
      <c r="AHN1310"/>
      <c r="AHO1310"/>
      <c r="AHP1310"/>
      <c r="AHQ1310"/>
      <c r="AHR1310"/>
      <c r="AHS1310"/>
      <c r="AHT1310"/>
      <c r="AHU1310"/>
      <c r="AHV1310"/>
      <c r="AHW1310"/>
      <c r="AHX1310"/>
      <c r="AHY1310"/>
      <c r="AHZ1310"/>
      <c r="AIA1310"/>
      <c r="AIB1310"/>
      <c r="AIC1310"/>
      <c r="AID1310"/>
      <c r="AIE1310"/>
      <c r="AIF1310"/>
      <c r="AIG1310"/>
      <c r="AIH1310"/>
      <c r="AII1310"/>
      <c r="AIJ1310"/>
      <c r="AIK1310"/>
      <c r="AIL1310"/>
      <c r="AIM1310"/>
      <c r="AIN1310"/>
      <c r="AIO1310"/>
      <c r="AIP1310"/>
      <c r="AIQ1310"/>
      <c r="AIR1310"/>
      <c r="AIS1310"/>
      <c r="AIT1310"/>
      <c r="AIU1310"/>
      <c r="AIV1310"/>
      <c r="AIW1310"/>
      <c r="AIX1310"/>
      <c r="AIY1310"/>
      <c r="AIZ1310"/>
      <c r="AJA1310"/>
      <c r="AJB1310"/>
      <c r="AJC1310"/>
      <c r="AJD1310"/>
      <c r="AJE1310"/>
      <c r="AJF1310"/>
      <c r="AJG1310"/>
      <c r="AJH1310"/>
      <c r="AJI1310"/>
      <c r="AJJ1310"/>
      <c r="AJK1310"/>
      <c r="AJL1310"/>
      <c r="AJM1310"/>
      <c r="AJN1310"/>
      <c r="AJO1310"/>
      <c r="AJP1310"/>
      <c r="AJQ1310"/>
      <c r="AJR1310"/>
      <c r="AJS1310"/>
      <c r="AJT1310"/>
      <c r="AJU1310"/>
      <c r="AJV1310"/>
      <c r="AJW1310"/>
      <c r="AJX1310"/>
      <c r="AJY1310"/>
      <c r="AJZ1310"/>
      <c r="AKA1310"/>
      <c r="AKB1310"/>
      <c r="AKC1310"/>
      <c r="AKD1310"/>
      <c r="AKE1310"/>
      <c r="AKF1310"/>
      <c r="AKG1310"/>
      <c r="AKH1310"/>
      <c r="AKI1310"/>
      <c r="AKJ1310"/>
      <c r="AKK1310"/>
      <c r="AKL1310"/>
      <c r="AKM1310"/>
      <c r="AKN1310"/>
      <c r="AKO1310"/>
      <c r="AKP1310"/>
      <c r="AKQ1310"/>
      <c r="AKR1310"/>
      <c r="AKS1310"/>
      <c r="AKT1310"/>
      <c r="AKU1310"/>
      <c r="AKV1310"/>
      <c r="AKW1310"/>
      <c r="AKX1310"/>
      <c r="AKY1310"/>
      <c r="AKZ1310"/>
      <c r="ALA1310"/>
      <c r="ALB1310"/>
      <c r="ALC1310"/>
      <c r="ALD1310"/>
      <c r="ALE1310"/>
      <c r="ALF1310"/>
      <c r="ALG1310"/>
      <c r="ALH1310"/>
      <c r="ALI1310"/>
      <c r="ALJ1310"/>
      <c r="ALK1310"/>
      <c r="ALL1310"/>
      <c r="ALM1310"/>
      <c r="ALN1310"/>
      <c r="ALO1310"/>
      <c r="ALP1310"/>
      <c r="ALQ1310"/>
      <c r="ALR1310"/>
      <c r="ALS1310"/>
      <c r="ALT1310"/>
    </row>
    <row r="1311" spans="1:1008" x14ac:dyDescent="0.15">
      <c r="A1311" s="8" t="s">
        <v>4092</v>
      </c>
      <c r="B1311" t="s">
        <v>4091</v>
      </c>
      <c r="C1311" s="8" t="s">
        <v>4092</v>
      </c>
      <c r="D1311" s="8" t="s">
        <v>15</v>
      </c>
      <c r="E1311" s="8" t="s">
        <v>4094</v>
      </c>
      <c r="F1311" s="8" t="s">
        <v>4095</v>
      </c>
      <c r="G1311" s="8">
        <v>750</v>
      </c>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c r="AT1311"/>
      <c r="AU1311"/>
      <c r="AV1311"/>
      <c r="AW1311"/>
      <c r="AX1311"/>
      <c r="AY1311"/>
      <c r="AZ1311"/>
      <c r="BA1311"/>
      <c r="BB1311"/>
      <c r="BC1311"/>
      <c r="BD1311"/>
      <c r="BE1311"/>
      <c r="BF1311"/>
      <c r="BG1311"/>
      <c r="BH1311"/>
      <c r="BI1311"/>
      <c r="BJ1311"/>
      <c r="BK1311"/>
      <c r="BL1311"/>
      <c r="BM1311"/>
      <c r="BN1311"/>
      <c r="BO1311"/>
      <c r="BP1311"/>
      <c r="BQ1311"/>
      <c r="BR1311"/>
      <c r="BS1311"/>
      <c r="BT1311"/>
      <c r="BU1311"/>
      <c r="BV1311"/>
      <c r="BW1311"/>
      <c r="BX1311"/>
      <c r="BY1311"/>
      <c r="BZ1311"/>
      <c r="CA1311"/>
      <c r="CB1311"/>
      <c r="CC1311"/>
      <c r="CD1311"/>
      <c r="CE1311"/>
      <c r="CF1311"/>
      <c r="CG1311"/>
      <c r="CH1311"/>
      <c r="CI1311"/>
      <c r="CJ1311"/>
      <c r="CK1311"/>
      <c r="CL1311"/>
      <c r="CM1311"/>
      <c r="CN1311"/>
      <c r="CO1311"/>
      <c r="CP1311"/>
      <c r="CQ1311"/>
      <c r="CR1311"/>
      <c r="CS1311"/>
      <c r="CT1311"/>
      <c r="CU1311"/>
      <c r="CV1311"/>
      <c r="CW1311"/>
      <c r="CX1311"/>
      <c r="CY1311"/>
      <c r="CZ1311"/>
      <c r="DA1311"/>
      <c r="DB1311"/>
      <c r="DC1311"/>
      <c r="DD1311"/>
      <c r="DE1311"/>
      <c r="DF1311"/>
      <c r="DG1311"/>
      <c r="DH1311"/>
      <c r="DI1311"/>
      <c r="DJ1311"/>
      <c r="DK1311"/>
      <c r="DL1311"/>
      <c r="DM1311"/>
      <c r="DN1311"/>
      <c r="DO1311"/>
      <c r="DP1311"/>
      <c r="DQ1311"/>
      <c r="DR1311"/>
      <c r="DS1311"/>
      <c r="DT1311"/>
      <c r="DU1311"/>
      <c r="DV1311"/>
      <c r="DW1311"/>
      <c r="DX1311"/>
      <c r="DY1311"/>
      <c r="DZ1311"/>
      <c r="EA1311"/>
      <c r="EB1311"/>
      <c r="EC1311"/>
      <c r="ED1311"/>
      <c r="EE1311"/>
      <c r="EF1311"/>
      <c r="EG1311"/>
      <c r="EH1311"/>
      <c r="EI1311"/>
      <c r="EJ1311"/>
      <c r="EK1311"/>
      <c r="EL1311"/>
      <c r="EM1311"/>
      <c r="EN1311"/>
      <c r="EO1311"/>
      <c r="EP1311"/>
      <c r="EQ1311"/>
      <c r="ER1311"/>
      <c r="ES1311"/>
      <c r="ET1311"/>
      <c r="EU1311"/>
      <c r="EV1311"/>
      <c r="EW1311"/>
      <c r="EX1311"/>
      <c r="EY1311"/>
      <c r="EZ1311"/>
      <c r="FA1311"/>
      <c r="FB1311"/>
      <c r="FC1311"/>
      <c r="FD1311"/>
      <c r="FE1311"/>
      <c r="FF1311"/>
      <c r="FG1311"/>
      <c r="FH1311"/>
      <c r="FI1311"/>
      <c r="FJ1311"/>
      <c r="FK1311"/>
      <c r="FL1311"/>
      <c r="FM1311"/>
      <c r="FN1311"/>
      <c r="FO1311"/>
      <c r="FP1311"/>
      <c r="FQ1311"/>
      <c r="FR1311"/>
      <c r="FS1311"/>
      <c r="FT1311"/>
      <c r="FU1311"/>
      <c r="FV1311"/>
      <c r="FW1311"/>
      <c r="FX1311"/>
      <c r="FY1311"/>
      <c r="FZ1311"/>
      <c r="GA1311"/>
      <c r="GB1311"/>
      <c r="GC1311"/>
      <c r="GD1311"/>
      <c r="GE1311"/>
      <c r="GF1311"/>
      <c r="GG1311"/>
      <c r="GH1311"/>
      <c r="GI1311"/>
      <c r="GJ1311"/>
      <c r="GK1311"/>
      <c r="GL1311"/>
      <c r="GM1311"/>
      <c r="GN1311"/>
      <c r="GO1311"/>
      <c r="GP1311"/>
      <c r="GQ1311"/>
      <c r="GR1311"/>
      <c r="GS1311"/>
      <c r="GT1311"/>
      <c r="GU1311"/>
      <c r="GV1311"/>
      <c r="GW1311"/>
      <c r="GX1311"/>
      <c r="GY1311"/>
      <c r="GZ1311"/>
      <c r="HA1311"/>
      <c r="HB1311"/>
      <c r="HC1311"/>
      <c r="HD1311"/>
      <c r="HE1311"/>
      <c r="HF1311"/>
      <c r="HG1311"/>
      <c r="HH1311"/>
      <c r="HI1311"/>
      <c r="HJ1311"/>
      <c r="HK1311"/>
      <c r="HL1311"/>
      <c r="HM1311"/>
      <c r="HN1311"/>
      <c r="HO1311"/>
      <c r="HP1311"/>
      <c r="HQ1311"/>
      <c r="HR1311"/>
      <c r="HS1311"/>
      <c r="HT1311"/>
      <c r="HU1311"/>
      <c r="HV1311"/>
      <c r="HW1311"/>
      <c r="HX1311"/>
      <c r="HY1311"/>
      <c r="HZ1311"/>
      <c r="IA1311"/>
      <c r="IB1311"/>
      <c r="IC1311"/>
      <c r="ID1311"/>
      <c r="IE1311"/>
      <c r="IF1311"/>
      <c r="IG1311"/>
      <c r="IH1311"/>
      <c r="II1311"/>
      <c r="IJ1311"/>
      <c r="IK1311"/>
      <c r="IL1311"/>
      <c r="IM1311"/>
      <c r="IN1311"/>
      <c r="IO1311"/>
      <c r="IP1311"/>
      <c r="IQ1311"/>
      <c r="IR1311"/>
      <c r="IS1311"/>
      <c r="IT1311"/>
      <c r="IU1311"/>
      <c r="IV1311"/>
      <c r="IW1311"/>
      <c r="IX1311"/>
      <c r="IY1311"/>
      <c r="IZ1311"/>
      <c r="JA1311"/>
      <c r="JB1311"/>
      <c r="JC1311"/>
      <c r="JD1311"/>
      <c r="JE1311"/>
      <c r="JF1311"/>
      <c r="JG1311"/>
      <c r="JH1311"/>
      <c r="JI1311"/>
      <c r="JJ1311"/>
      <c r="JK1311"/>
      <c r="JL1311"/>
      <c r="JM1311"/>
      <c r="JN1311"/>
      <c r="JO1311"/>
      <c r="JP1311"/>
      <c r="JQ1311"/>
      <c r="JR1311"/>
      <c r="JS1311"/>
      <c r="JT1311"/>
      <c r="JU1311"/>
      <c r="JV1311"/>
      <c r="JW1311"/>
      <c r="JX1311"/>
      <c r="JY1311"/>
      <c r="JZ1311"/>
      <c r="KA1311"/>
      <c r="KB1311"/>
      <c r="KC1311"/>
      <c r="KD1311"/>
      <c r="KE1311"/>
      <c r="KF1311"/>
      <c r="KG1311"/>
      <c r="KH1311"/>
      <c r="KI1311"/>
      <c r="KJ1311"/>
      <c r="KK1311"/>
      <c r="KL1311"/>
      <c r="KM1311"/>
      <c r="KN1311"/>
      <c r="KO1311"/>
      <c r="KP1311"/>
      <c r="KQ1311"/>
      <c r="KR1311"/>
      <c r="KS1311"/>
      <c r="KT1311"/>
      <c r="KU1311"/>
      <c r="KV1311"/>
      <c r="KW1311"/>
      <c r="KX1311"/>
      <c r="KY1311"/>
      <c r="KZ1311"/>
      <c r="LA1311"/>
      <c r="LB1311"/>
      <c r="LC1311"/>
      <c r="LD1311"/>
      <c r="LE1311"/>
      <c r="LF1311"/>
      <c r="LG1311"/>
      <c r="LH1311"/>
      <c r="LI1311"/>
      <c r="LJ1311"/>
      <c r="LK1311"/>
      <c r="LL1311"/>
      <c r="LM1311"/>
      <c r="LN1311"/>
      <c r="LO1311"/>
      <c r="LP1311"/>
      <c r="LQ1311"/>
      <c r="LR1311"/>
      <c r="LS1311"/>
      <c r="LT1311"/>
      <c r="LU1311"/>
      <c r="LV1311"/>
      <c r="LW1311"/>
      <c r="LX1311"/>
      <c r="LY1311"/>
      <c r="LZ1311"/>
      <c r="MA1311"/>
      <c r="MB1311"/>
      <c r="MC1311"/>
      <c r="MD1311"/>
      <c r="ME1311"/>
      <c r="MF1311"/>
      <c r="MG1311"/>
      <c r="MH1311"/>
      <c r="MI1311"/>
      <c r="MJ1311"/>
      <c r="MK1311"/>
      <c r="ML1311"/>
      <c r="MM1311"/>
      <c r="MN1311"/>
      <c r="MO1311"/>
      <c r="MP1311"/>
      <c r="MQ1311"/>
      <c r="MR1311"/>
      <c r="MS1311"/>
      <c r="MT1311"/>
      <c r="MU1311"/>
      <c r="MV1311"/>
      <c r="MW1311"/>
      <c r="MX1311"/>
      <c r="MY1311"/>
      <c r="MZ1311"/>
      <c r="NA1311"/>
      <c r="NB1311"/>
      <c r="NC1311"/>
      <c r="ND1311"/>
      <c r="NE1311"/>
      <c r="NF1311"/>
      <c r="NG1311"/>
      <c r="NH1311"/>
      <c r="NI1311"/>
      <c r="NJ1311"/>
      <c r="NK1311"/>
      <c r="NL1311"/>
      <c r="NM1311"/>
      <c r="NN1311"/>
      <c r="NO1311"/>
      <c r="NP1311"/>
      <c r="NQ1311"/>
      <c r="NR1311"/>
      <c r="NS1311"/>
      <c r="NT1311"/>
      <c r="NU1311"/>
      <c r="NV1311"/>
      <c r="NW1311"/>
      <c r="NX1311"/>
      <c r="NY1311"/>
      <c r="NZ1311"/>
      <c r="OA1311"/>
      <c r="OB1311"/>
      <c r="OC1311"/>
      <c r="OD1311"/>
      <c r="OE1311"/>
      <c r="OF1311"/>
      <c r="OG1311"/>
      <c r="OH1311"/>
      <c r="OI1311"/>
      <c r="OJ1311"/>
      <c r="OK1311"/>
      <c r="OL1311"/>
      <c r="OM1311"/>
      <c r="ON1311"/>
      <c r="OO1311"/>
      <c r="OP1311"/>
      <c r="OQ1311"/>
      <c r="OR1311"/>
      <c r="OS1311"/>
      <c r="OT1311"/>
      <c r="OU1311"/>
      <c r="OV1311"/>
      <c r="OW1311"/>
      <c r="OX1311"/>
      <c r="OY1311"/>
      <c r="OZ1311"/>
      <c r="PA1311"/>
      <c r="PB1311"/>
      <c r="PC1311"/>
      <c r="PD1311"/>
      <c r="PE1311"/>
      <c r="PF1311"/>
      <c r="PG1311"/>
      <c r="PH1311"/>
      <c r="PI1311"/>
      <c r="PJ1311"/>
      <c r="PK1311"/>
      <c r="PL1311"/>
      <c r="PM1311"/>
      <c r="PN1311"/>
      <c r="PO1311"/>
      <c r="PP1311"/>
      <c r="PQ1311"/>
      <c r="PR1311"/>
      <c r="PS1311"/>
      <c r="PT1311"/>
      <c r="PU1311"/>
      <c r="PV1311"/>
      <c r="PW1311"/>
      <c r="PX1311"/>
      <c r="PY1311"/>
      <c r="PZ1311"/>
      <c r="QA1311"/>
      <c r="QB1311"/>
      <c r="QC1311"/>
      <c r="QD1311"/>
      <c r="QE1311"/>
      <c r="QF1311"/>
      <c r="QG1311"/>
      <c r="QH1311"/>
      <c r="QI1311"/>
      <c r="QJ1311"/>
      <c r="QK1311"/>
      <c r="QL1311"/>
      <c r="QM1311"/>
      <c r="QN1311"/>
      <c r="QO1311"/>
      <c r="QP1311"/>
      <c r="QQ1311"/>
      <c r="QR1311"/>
      <c r="QS1311"/>
      <c r="QT1311"/>
      <c r="QU1311"/>
      <c r="QV1311"/>
      <c r="QW1311"/>
      <c r="QX1311"/>
      <c r="QY1311"/>
      <c r="QZ1311"/>
      <c r="RA1311"/>
      <c r="RB1311"/>
      <c r="RC1311"/>
      <c r="RD1311"/>
      <c r="RE1311"/>
      <c r="RF1311"/>
      <c r="RG1311"/>
      <c r="RH1311"/>
      <c r="RI1311"/>
      <c r="RJ1311"/>
      <c r="RK1311"/>
      <c r="RL1311"/>
      <c r="RM1311"/>
      <c r="RN1311"/>
      <c r="RO1311"/>
      <c r="RP1311"/>
      <c r="RQ1311"/>
      <c r="RR1311"/>
      <c r="RS1311"/>
      <c r="RT1311"/>
      <c r="RU1311"/>
      <c r="RV1311"/>
      <c r="RW1311"/>
      <c r="RX1311"/>
      <c r="RY1311"/>
      <c r="RZ1311"/>
      <c r="SA1311"/>
      <c r="SB1311"/>
      <c r="SC1311"/>
      <c r="SD1311"/>
      <c r="SE1311"/>
      <c r="SF1311"/>
      <c r="SG1311"/>
      <c r="SH1311"/>
      <c r="SI1311"/>
      <c r="SJ1311"/>
      <c r="SK1311"/>
      <c r="SL1311"/>
      <c r="SM1311"/>
      <c r="SN1311"/>
      <c r="SO1311"/>
      <c r="SP1311"/>
      <c r="SQ1311"/>
      <c r="SR1311"/>
      <c r="SS1311"/>
      <c r="ST1311"/>
      <c r="SU1311"/>
      <c r="SV1311"/>
      <c r="SW1311"/>
      <c r="SX1311"/>
      <c r="SY1311"/>
      <c r="SZ1311"/>
      <c r="TA1311"/>
      <c r="TB1311"/>
      <c r="TC1311"/>
      <c r="TD1311"/>
      <c r="TE1311"/>
      <c r="TF1311"/>
      <c r="TG1311"/>
      <c r="TH1311"/>
      <c r="TI1311"/>
      <c r="TJ1311"/>
      <c r="TK1311"/>
      <c r="TL1311"/>
      <c r="TM1311"/>
      <c r="TN1311"/>
      <c r="TO1311"/>
      <c r="TP1311"/>
      <c r="TQ1311"/>
      <c r="TR1311"/>
      <c r="TS1311"/>
      <c r="TT1311"/>
      <c r="TU1311"/>
      <c r="TV1311"/>
      <c r="TW1311"/>
      <c r="TX1311"/>
      <c r="TY1311"/>
      <c r="TZ1311"/>
      <c r="UA1311"/>
      <c r="UB1311"/>
      <c r="UC1311"/>
      <c r="UD1311"/>
      <c r="UE1311"/>
      <c r="UF1311"/>
      <c r="UG1311"/>
      <c r="UH1311"/>
      <c r="UI1311"/>
      <c r="UJ1311"/>
      <c r="UK1311"/>
      <c r="UL1311"/>
      <c r="UM1311"/>
      <c r="UN1311"/>
      <c r="UO1311"/>
      <c r="UP1311"/>
      <c r="UQ1311"/>
      <c r="UR1311"/>
      <c r="US1311"/>
      <c r="UT1311"/>
      <c r="UU1311"/>
      <c r="UV1311"/>
      <c r="UW1311"/>
      <c r="UX1311"/>
      <c r="UY1311"/>
      <c r="UZ1311"/>
      <c r="VA1311"/>
      <c r="VB1311"/>
      <c r="VC1311"/>
      <c r="VD1311"/>
      <c r="VE1311"/>
      <c r="VF1311"/>
      <c r="VG1311"/>
      <c r="VH1311"/>
      <c r="VI1311"/>
      <c r="VJ1311"/>
      <c r="VK1311"/>
      <c r="VL1311"/>
      <c r="VM1311"/>
      <c r="VN1311"/>
      <c r="VO1311"/>
      <c r="VP1311"/>
      <c r="VQ1311"/>
      <c r="VR1311"/>
      <c r="VS1311"/>
      <c r="VT1311"/>
      <c r="VU1311"/>
      <c r="VV1311"/>
      <c r="VW1311"/>
      <c r="VX1311"/>
      <c r="VY1311"/>
      <c r="VZ1311"/>
      <c r="WA1311"/>
      <c r="WB1311"/>
      <c r="WC1311"/>
      <c r="WD1311"/>
      <c r="WE1311"/>
      <c r="WF1311"/>
      <c r="WG1311"/>
      <c r="WH1311"/>
      <c r="WI1311"/>
      <c r="WJ1311"/>
      <c r="WK1311"/>
      <c r="WL1311"/>
      <c r="WM1311"/>
      <c r="WN1311"/>
      <c r="WO1311"/>
      <c r="WP1311"/>
      <c r="WQ1311"/>
      <c r="WR1311"/>
      <c r="WS1311"/>
      <c r="WT1311"/>
      <c r="WU1311"/>
      <c r="WV1311"/>
      <c r="WW1311"/>
      <c r="WX1311"/>
      <c r="WY1311"/>
      <c r="WZ1311"/>
      <c r="XA1311"/>
      <c r="XB1311"/>
      <c r="XC1311"/>
      <c r="XD1311"/>
      <c r="XE1311"/>
      <c r="XF1311"/>
      <c r="XG1311"/>
      <c r="XH1311"/>
      <c r="XI1311"/>
      <c r="XJ1311"/>
      <c r="XK1311"/>
      <c r="XL1311"/>
      <c r="XM1311"/>
      <c r="XN1311"/>
      <c r="XO1311"/>
      <c r="XP1311"/>
      <c r="XQ1311"/>
      <c r="XR1311"/>
      <c r="XS1311"/>
      <c r="XT1311"/>
      <c r="XU1311"/>
      <c r="XV1311"/>
      <c r="XW1311"/>
      <c r="XX1311"/>
      <c r="XY1311"/>
      <c r="XZ1311"/>
      <c r="YA1311"/>
      <c r="YB1311"/>
      <c r="YC1311"/>
      <c r="YD1311"/>
      <c r="YE1311"/>
      <c r="YF1311"/>
      <c r="YG1311"/>
      <c r="YH1311"/>
      <c r="YI1311"/>
      <c r="YJ1311"/>
      <c r="YK1311"/>
      <c r="YL1311"/>
      <c r="YM1311"/>
      <c r="YN1311"/>
      <c r="YO1311"/>
      <c r="YP1311"/>
      <c r="YQ1311"/>
      <c r="YR1311"/>
      <c r="YS1311"/>
      <c r="YT1311"/>
      <c r="YU1311"/>
      <c r="YV1311"/>
      <c r="YW1311"/>
      <c r="YX1311"/>
      <c r="YY1311"/>
      <c r="YZ1311"/>
      <c r="ZA1311"/>
      <c r="ZB1311"/>
      <c r="ZC1311"/>
      <c r="ZD1311"/>
      <c r="ZE1311"/>
      <c r="ZF1311"/>
      <c r="ZG1311"/>
      <c r="ZH1311"/>
      <c r="ZI1311"/>
      <c r="ZJ1311"/>
      <c r="ZK1311"/>
      <c r="ZL1311"/>
      <c r="ZM1311"/>
      <c r="ZN1311"/>
      <c r="ZO1311"/>
      <c r="ZP1311"/>
      <c r="ZQ1311"/>
      <c r="ZR1311"/>
      <c r="ZS1311"/>
      <c r="ZT1311"/>
      <c r="ZU1311"/>
      <c r="ZV1311"/>
      <c r="ZW1311"/>
      <c r="ZX1311"/>
      <c r="ZY1311"/>
      <c r="ZZ1311"/>
      <c r="AAA1311"/>
      <c r="AAB1311"/>
      <c r="AAC1311"/>
      <c r="AAD1311"/>
      <c r="AAE1311"/>
      <c r="AAF1311"/>
      <c r="AAG1311"/>
      <c r="AAH1311"/>
      <c r="AAI1311"/>
      <c r="AAJ1311"/>
      <c r="AAK1311"/>
      <c r="AAL1311"/>
      <c r="AAM1311"/>
      <c r="AAN1311"/>
      <c r="AAO1311"/>
      <c r="AAP1311"/>
      <c r="AAQ1311"/>
      <c r="AAR1311"/>
      <c r="AAS1311"/>
      <c r="AAT1311"/>
      <c r="AAU1311"/>
      <c r="AAV1311"/>
      <c r="AAW1311"/>
      <c r="AAX1311"/>
      <c r="AAY1311"/>
      <c r="AAZ1311"/>
      <c r="ABA1311"/>
      <c r="ABB1311"/>
      <c r="ABC1311"/>
      <c r="ABD1311"/>
      <c r="ABE1311"/>
      <c r="ABF1311"/>
      <c r="ABG1311"/>
      <c r="ABH1311"/>
      <c r="ABI1311"/>
      <c r="ABJ1311"/>
      <c r="ABK1311"/>
      <c r="ABL1311"/>
      <c r="ABM1311"/>
      <c r="ABN1311"/>
      <c r="ABO1311"/>
      <c r="ABP1311"/>
      <c r="ABQ1311"/>
      <c r="ABR1311"/>
      <c r="ABS1311"/>
      <c r="ABT1311"/>
      <c r="ABU1311"/>
      <c r="ABV1311"/>
      <c r="ABW1311"/>
      <c r="ABX1311"/>
      <c r="ABY1311"/>
      <c r="ABZ1311"/>
      <c r="ACA1311"/>
      <c r="ACB1311"/>
      <c r="ACC1311"/>
      <c r="ACD1311"/>
      <c r="ACE1311"/>
      <c r="ACF1311"/>
      <c r="ACG1311"/>
      <c r="ACH1311"/>
      <c r="ACI1311"/>
      <c r="ACJ1311"/>
      <c r="ACK1311"/>
      <c r="ACL1311"/>
      <c r="ACM1311"/>
      <c r="ACN1311"/>
      <c r="ACO1311"/>
      <c r="ACP1311"/>
      <c r="ACQ1311"/>
      <c r="ACR1311"/>
      <c r="ACS1311"/>
      <c r="ACT1311"/>
      <c r="ACU1311"/>
      <c r="ACV1311"/>
      <c r="ACW1311"/>
      <c r="ACX1311"/>
      <c r="ACY1311"/>
      <c r="ACZ1311"/>
      <c r="ADA1311"/>
      <c r="ADB1311"/>
      <c r="ADC1311"/>
      <c r="ADD1311"/>
      <c r="ADE1311"/>
      <c r="ADF1311"/>
      <c r="ADG1311"/>
      <c r="ADH1311"/>
      <c r="ADI1311"/>
      <c r="ADJ1311"/>
      <c r="ADK1311"/>
      <c r="ADL1311"/>
      <c r="ADM1311"/>
      <c r="ADN1311"/>
      <c r="ADO1311"/>
      <c r="ADP1311"/>
      <c r="ADQ1311"/>
      <c r="ADR1311"/>
      <c r="ADS1311"/>
      <c r="ADT1311"/>
      <c r="ADU1311"/>
      <c r="ADV1311"/>
      <c r="ADW1311"/>
      <c r="ADX1311"/>
      <c r="ADY1311"/>
      <c r="ADZ1311"/>
      <c r="AEA1311"/>
      <c r="AEB1311"/>
      <c r="AEC1311"/>
      <c r="AED1311"/>
      <c r="AEE1311"/>
      <c r="AEF1311"/>
      <c r="AEG1311"/>
      <c r="AEH1311"/>
      <c r="AEI1311"/>
      <c r="AEJ1311"/>
      <c r="AEK1311"/>
      <c r="AEL1311"/>
      <c r="AEM1311"/>
      <c r="AEN1311"/>
      <c r="AEO1311"/>
      <c r="AEP1311"/>
      <c r="AEQ1311"/>
      <c r="AER1311"/>
      <c r="AES1311"/>
      <c r="AET1311"/>
      <c r="AEU1311"/>
      <c r="AEV1311"/>
      <c r="AEW1311"/>
      <c r="AEX1311"/>
      <c r="AEY1311"/>
      <c r="AEZ1311"/>
      <c r="AFA1311"/>
      <c r="AFB1311"/>
      <c r="AFC1311"/>
      <c r="AFD1311"/>
      <c r="AFE1311"/>
      <c r="AFF1311"/>
      <c r="AFG1311"/>
      <c r="AFH1311"/>
      <c r="AFI1311"/>
      <c r="AFJ1311"/>
      <c r="AFK1311"/>
      <c r="AFL1311"/>
      <c r="AFM1311"/>
      <c r="AFN1311"/>
      <c r="AFO1311"/>
      <c r="AFP1311"/>
      <c r="AFQ1311"/>
      <c r="AFR1311"/>
      <c r="AFS1311"/>
      <c r="AFT1311"/>
      <c r="AFU1311"/>
      <c r="AFV1311"/>
      <c r="AFW1311"/>
      <c r="AFX1311"/>
      <c r="AFY1311"/>
      <c r="AFZ1311"/>
      <c r="AGA1311"/>
      <c r="AGB1311"/>
      <c r="AGC1311"/>
      <c r="AGD1311"/>
      <c r="AGE1311"/>
      <c r="AGF1311"/>
      <c r="AGG1311"/>
      <c r="AGH1311"/>
      <c r="AGI1311"/>
      <c r="AGJ1311"/>
      <c r="AGK1311"/>
      <c r="AGL1311"/>
      <c r="AGM1311"/>
      <c r="AGN1311"/>
      <c r="AGO1311"/>
      <c r="AGP1311"/>
      <c r="AGQ1311"/>
      <c r="AGR1311"/>
      <c r="AGS1311"/>
      <c r="AGT1311"/>
      <c r="AGU1311"/>
      <c r="AGV1311"/>
      <c r="AGW1311"/>
      <c r="AGX1311"/>
      <c r="AGY1311"/>
      <c r="AGZ1311"/>
      <c r="AHA1311"/>
      <c r="AHB1311"/>
      <c r="AHC1311"/>
      <c r="AHD1311"/>
      <c r="AHE1311"/>
      <c r="AHF1311"/>
      <c r="AHG1311"/>
      <c r="AHH1311"/>
      <c r="AHI1311"/>
      <c r="AHJ1311"/>
      <c r="AHK1311"/>
      <c r="AHL1311"/>
      <c r="AHM1311"/>
      <c r="AHN1311"/>
      <c r="AHO1311"/>
      <c r="AHP1311"/>
      <c r="AHQ1311"/>
      <c r="AHR1311"/>
      <c r="AHS1311"/>
      <c r="AHT1311"/>
      <c r="AHU1311"/>
      <c r="AHV1311"/>
      <c r="AHW1311"/>
      <c r="AHX1311"/>
      <c r="AHY1311"/>
      <c r="AHZ1311"/>
      <c r="AIA1311"/>
      <c r="AIB1311"/>
      <c r="AIC1311"/>
      <c r="AID1311"/>
      <c r="AIE1311"/>
      <c r="AIF1311"/>
      <c r="AIG1311"/>
      <c r="AIH1311"/>
      <c r="AII1311"/>
      <c r="AIJ1311"/>
      <c r="AIK1311"/>
      <c r="AIL1311"/>
      <c r="AIM1311"/>
      <c r="AIN1311"/>
      <c r="AIO1311"/>
      <c r="AIP1311"/>
      <c r="AIQ1311"/>
      <c r="AIR1311"/>
      <c r="AIS1311"/>
      <c r="AIT1311"/>
      <c r="AIU1311"/>
      <c r="AIV1311"/>
      <c r="AIW1311"/>
      <c r="AIX1311"/>
      <c r="AIY1311"/>
      <c r="AIZ1311"/>
      <c r="AJA1311"/>
      <c r="AJB1311"/>
      <c r="AJC1311"/>
      <c r="AJD1311"/>
      <c r="AJE1311"/>
      <c r="AJF1311"/>
      <c r="AJG1311"/>
      <c r="AJH1311"/>
      <c r="AJI1311"/>
      <c r="AJJ1311"/>
      <c r="AJK1311"/>
      <c r="AJL1311"/>
      <c r="AJM1311"/>
      <c r="AJN1311"/>
      <c r="AJO1311"/>
      <c r="AJP1311"/>
      <c r="AJQ1311"/>
      <c r="AJR1311"/>
      <c r="AJS1311"/>
      <c r="AJT1311"/>
      <c r="AJU1311"/>
      <c r="AJV1311"/>
      <c r="AJW1311"/>
      <c r="AJX1311"/>
      <c r="AJY1311"/>
      <c r="AJZ1311"/>
      <c r="AKA1311"/>
      <c r="AKB1311"/>
      <c r="AKC1311"/>
      <c r="AKD1311"/>
      <c r="AKE1311"/>
      <c r="AKF1311"/>
      <c r="AKG1311"/>
      <c r="AKH1311"/>
      <c r="AKI1311"/>
      <c r="AKJ1311"/>
      <c r="AKK1311"/>
      <c r="AKL1311"/>
      <c r="AKM1311"/>
      <c r="AKN1311"/>
      <c r="AKO1311"/>
      <c r="AKP1311"/>
      <c r="AKQ1311"/>
      <c r="AKR1311"/>
      <c r="AKS1311"/>
      <c r="AKT1311"/>
      <c r="AKU1311"/>
      <c r="AKV1311"/>
      <c r="AKW1311"/>
      <c r="AKX1311"/>
      <c r="AKY1311"/>
      <c r="AKZ1311"/>
      <c r="ALA1311"/>
      <c r="ALB1311"/>
      <c r="ALC1311"/>
      <c r="ALD1311"/>
      <c r="ALE1311"/>
      <c r="ALF1311"/>
      <c r="ALG1311"/>
      <c r="ALH1311"/>
      <c r="ALI1311"/>
      <c r="ALJ1311"/>
      <c r="ALK1311"/>
      <c r="ALL1311"/>
      <c r="ALM1311"/>
      <c r="ALN1311"/>
      <c r="ALO1311"/>
      <c r="ALP1311"/>
      <c r="ALQ1311"/>
      <c r="ALR1311"/>
      <c r="ALS1311"/>
      <c r="ALT1311"/>
    </row>
    <row r="1312" spans="1:1008" x14ac:dyDescent="0.15">
      <c r="A1312" s="8" t="s">
        <v>4093</v>
      </c>
      <c r="B1312" t="s">
        <v>4091</v>
      </c>
      <c r="C1312" s="8" t="s">
        <v>4093</v>
      </c>
      <c r="E1312" s="8" t="s">
        <v>182</v>
      </c>
      <c r="F1312" s="8" t="s">
        <v>4096</v>
      </c>
      <c r="G1312" s="8">
        <v>500</v>
      </c>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c r="AT1312"/>
      <c r="AU1312"/>
      <c r="AV1312"/>
      <c r="AW1312"/>
      <c r="AX1312"/>
      <c r="AY1312"/>
      <c r="AZ1312"/>
      <c r="BA1312"/>
      <c r="BB1312"/>
      <c r="BC1312"/>
      <c r="BD1312"/>
      <c r="BE1312"/>
      <c r="BF1312"/>
      <c r="BG1312"/>
      <c r="BH1312"/>
      <c r="BI1312"/>
      <c r="BJ1312"/>
      <c r="BK1312"/>
      <c r="BL1312"/>
      <c r="BM1312"/>
      <c r="BN1312"/>
      <c r="BO1312"/>
      <c r="BP1312"/>
      <c r="BQ1312"/>
      <c r="BR1312"/>
      <c r="BS1312"/>
      <c r="BT1312"/>
      <c r="BU1312"/>
      <c r="BV1312"/>
      <c r="BW1312"/>
      <c r="BX1312"/>
      <c r="BY1312"/>
      <c r="BZ1312"/>
      <c r="CA1312"/>
      <c r="CB1312"/>
      <c r="CC1312"/>
      <c r="CD1312"/>
      <c r="CE1312"/>
      <c r="CF1312"/>
      <c r="CG1312"/>
      <c r="CH1312"/>
      <c r="CI1312"/>
      <c r="CJ1312"/>
      <c r="CK1312"/>
      <c r="CL1312"/>
      <c r="CM1312"/>
      <c r="CN1312"/>
      <c r="CO1312"/>
      <c r="CP1312"/>
      <c r="CQ1312"/>
      <c r="CR1312"/>
      <c r="CS1312"/>
      <c r="CT1312"/>
      <c r="CU1312"/>
      <c r="CV1312"/>
      <c r="CW1312"/>
      <c r="CX1312"/>
      <c r="CY1312"/>
      <c r="CZ1312"/>
      <c r="DA1312"/>
      <c r="DB1312"/>
      <c r="DC1312"/>
      <c r="DD1312"/>
      <c r="DE1312"/>
      <c r="DF1312"/>
      <c r="DG1312"/>
      <c r="DH1312"/>
      <c r="DI1312"/>
      <c r="DJ1312"/>
      <c r="DK1312"/>
      <c r="DL1312"/>
      <c r="DM1312"/>
      <c r="DN1312"/>
      <c r="DO1312"/>
      <c r="DP1312"/>
      <c r="DQ1312"/>
      <c r="DR1312"/>
      <c r="DS1312"/>
      <c r="DT1312"/>
      <c r="DU1312"/>
      <c r="DV1312"/>
      <c r="DW1312"/>
      <c r="DX1312"/>
      <c r="DY1312"/>
      <c r="DZ1312"/>
      <c r="EA1312"/>
      <c r="EB1312"/>
      <c r="EC1312"/>
      <c r="ED1312"/>
      <c r="EE1312"/>
      <c r="EF1312"/>
      <c r="EG1312"/>
      <c r="EH1312"/>
      <c r="EI1312"/>
      <c r="EJ1312"/>
      <c r="EK1312"/>
      <c r="EL1312"/>
      <c r="EM1312"/>
      <c r="EN1312"/>
      <c r="EO1312"/>
      <c r="EP1312"/>
      <c r="EQ1312"/>
      <c r="ER1312"/>
      <c r="ES1312"/>
      <c r="ET1312"/>
      <c r="EU1312"/>
      <c r="EV1312"/>
      <c r="EW1312"/>
      <c r="EX1312"/>
      <c r="EY1312"/>
      <c r="EZ1312"/>
      <c r="FA1312"/>
      <c r="FB1312"/>
      <c r="FC1312"/>
      <c r="FD1312"/>
      <c r="FE1312"/>
      <c r="FF1312"/>
      <c r="FG1312"/>
      <c r="FH1312"/>
      <c r="FI1312"/>
      <c r="FJ1312"/>
      <c r="FK1312"/>
      <c r="FL1312"/>
      <c r="FM1312"/>
      <c r="FN1312"/>
      <c r="FO1312"/>
      <c r="FP1312"/>
      <c r="FQ1312"/>
      <c r="FR1312"/>
      <c r="FS1312"/>
      <c r="FT1312"/>
      <c r="FU1312"/>
      <c r="FV1312"/>
      <c r="FW1312"/>
      <c r="FX1312"/>
      <c r="FY1312"/>
      <c r="FZ1312"/>
      <c r="GA1312"/>
      <c r="GB1312"/>
      <c r="GC1312"/>
      <c r="GD1312"/>
      <c r="GE1312"/>
      <c r="GF1312"/>
      <c r="GG1312"/>
      <c r="GH1312"/>
      <c r="GI1312"/>
      <c r="GJ1312"/>
      <c r="GK1312"/>
      <c r="GL1312"/>
      <c r="GM1312"/>
      <c r="GN1312"/>
      <c r="GO1312"/>
      <c r="GP1312"/>
      <c r="GQ1312"/>
      <c r="GR1312"/>
      <c r="GS1312"/>
      <c r="GT1312"/>
      <c r="GU1312"/>
      <c r="GV1312"/>
      <c r="GW1312"/>
      <c r="GX1312"/>
      <c r="GY1312"/>
      <c r="GZ1312"/>
      <c r="HA1312"/>
      <c r="HB1312"/>
      <c r="HC1312"/>
      <c r="HD1312"/>
      <c r="HE1312"/>
      <c r="HF1312"/>
      <c r="HG1312"/>
      <c r="HH1312"/>
      <c r="HI1312"/>
      <c r="HJ1312"/>
      <c r="HK1312"/>
      <c r="HL1312"/>
      <c r="HM1312"/>
      <c r="HN1312"/>
      <c r="HO1312"/>
      <c r="HP1312"/>
      <c r="HQ1312"/>
      <c r="HR1312"/>
      <c r="HS1312"/>
      <c r="HT1312"/>
      <c r="HU1312"/>
      <c r="HV1312"/>
      <c r="HW1312"/>
      <c r="HX1312"/>
      <c r="HY1312"/>
      <c r="HZ1312"/>
      <c r="IA1312"/>
      <c r="IB1312"/>
      <c r="IC1312"/>
      <c r="ID1312"/>
      <c r="IE1312"/>
      <c r="IF1312"/>
      <c r="IG1312"/>
      <c r="IH1312"/>
      <c r="II1312"/>
      <c r="IJ1312"/>
      <c r="IK1312"/>
      <c r="IL1312"/>
      <c r="IM1312"/>
      <c r="IN1312"/>
      <c r="IO1312"/>
      <c r="IP1312"/>
      <c r="IQ1312"/>
      <c r="IR1312"/>
      <c r="IS1312"/>
      <c r="IT1312"/>
      <c r="IU1312"/>
      <c r="IV1312"/>
      <c r="IW1312"/>
      <c r="IX1312"/>
      <c r="IY1312"/>
      <c r="IZ1312"/>
      <c r="JA1312"/>
      <c r="JB1312"/>
      <c r="JC1312"/>
      <c r="JD1312"/>
      <c r="JE1312"/>
      <c r="JF1312"/>
      <c r="JG1312"/>
      <c r="JH1312"/>
      <c r="JI1312"/>
      <c r="JJ1312"/>
      <c r="JK1312"/>
      <c r="JL1312"/>
      <c r="JM1312"/>
      <c r="JN1312"/>
      <c r="JO1312"/>
      <c r="JP1312"/>
      <c r="JQ1312"/>
      <c r="JR1312"/>
      <c r="JS1312"/>
      <c r="JT1312"/>
      <c r="JU1312"/>
      <c r="JV1312"/>
      <c r="JW1312"/>
      <c r="JX1312"/>
      <c r="JY1312"/>
      <c r="JZ1312"/>
      <c r="KA1312"/>
      <c r="KB1312"/>
      <c r="KC1312"/>
      <c r="KD1312"/>
      <c r="KE1312"/>
      <c r="KF1312"/>
      <c r="KG1312"/>
      <c r="KH1312"/>
      <c r="KI1312"/>
      <c r="KJ1312"/>
      <c r="KK1312"/>
      <c r="KL1312"/>
      <c r="KM1312"/>
      <c r="KN1312"/>
      <c r="KO1312"/>
      <c r="KP1312"/>
      <c r="KQ1312"/>
      <c r="KR1312"/>
      <c r="KS1312"/>
      <c r="KT1312"/>
      <c r="KU1312"/>
      <c r="KV1312"/>
      <c r="KW1312"/>
      <c r="KX1312"/>
      <c r="KY1312"/>
      <c r="KZ1312"/>
      <c r="LA1312"/>
      <c r="LB1312"/>
      <c r="LC1312"/>
      <c r="LD1312"/>
      <c r="LE1312"/>
      <c r="LF1312"/>
      <c r="LG1312"/>
      <c r="LH1312"/>
      <c r="LI1312"/>
      <c r="LJ1312"/>
      <c r="LK1312"/>
      <c r="LL1312"/>
      <c r="LM1312"/>
      <c r="LN1312"/>
      <c r="LO1312"/>
      <c r="LP1312"/>
      <c r="LQ1312"/>
      <c r="LR1312"/>
      <c r="LS1312"/>
      <c r="LT1312"/>
      <c r="LU1312"/>
      <c r="LV1312"/>
      <c r="LW1312"/>
      <c r="LX1312"/>
      <c r="LY1312"/>
      <c r="LZ1312"/>
      <c r="MA1312"/>
      <c r="MB1312"/>
      <c r="MC1312"/>
      <c r="MD1312"/>
      <c r="ME1312"/>
      <c r="MF1312"/>
      <c r="MG1312"/>
      <c r="MH1312"/>
      <c r="MI1312"/>
      <c r="MJ1312"/>
      <c r="MK1312"/>
      <c r="ML1312"/>
      <c r="MM1312"/>
      <c r="MN1312"/>
      <c r="MO1312"/>
      <c r="MP1312"/>
      <c r="MQ1312"/>
      <c r="MR1312"/>
      <c r="MS1312"/>
      <c r="MT1312"/>
      <c r="MU1312"/>
      <c r="MV1312"/>
      <c r="MW1312"/>
      <c r="MX1312"/>
      <c r="MY1312"/>
      <c r="MZ1312"/>
      <c r="NA1312"/>
      <c r="NB1312"/>
      <c r="NC1312"/>
      <c r="ND1312"/>
      <c r="NE1312"/>
      <c r="NF1312"/>
      <c r="NG1312"/>
      <c r="NH1312"/>
      <c r="NI1312"/>
      <c r="NJ1312"/>
      <c r="NK1312"/>
      <c r="NL1312"/>
      <c r="NM1312"/>
      <c r="NN1312"/>
      <c r="NO1312"/>
      <c r="NP1312"/>
      <c r="NQ1312"/>
      <c r="NR1312"/>
      <c r="NS1312"/>
      <c r="NT1312"/>
      <c r="NU1312"/>
      <c r="NV1312"/>
      <c r="NW1312"/>
      <c r="NX1312"/>
      <c r="NY1312"/>
      <c r="NZ1312"/>
      <c r="OA1312"/>
      <c r="OB1312"/>
      <c r="OC1312"/>
      <c r="OD1312"/>
      <c r="OE1312"/>
      <c r="OF1312"/>
      <c r="OG1312"/>
      <c r="OH1312"/>
      <c r="OI1312"/>
      <c r="OJ1312"/>
      <c r="OK1312"/>
      <c r="OL1312"/>
      <c r="OM1312"/>
      <c r="ON1312"/>
      <c r="OO1312"/>
      <c r="OP1312"/>
      <c r="OQ1312"/>
      <c r="OR1312"/>
      <c r="OS1312"/>
      <c r="OT1312"/>
      <c r="OU1312"/>
      <c r="OV1312"/>
      <c r="OW1312"/>
      <c r="OX1312"/>
      <c r="OY1312"/>
      <c r="OZ1312"/>
      <c r="PA1312"/>
      <c r="PB1312"/>
      <c r="PC1312"/>
      <c r="PD1312"/>
      <c r="PE1312"/>
      <c r="PF1312"/>
      <c r="PG1312"/>
      <c r="PH1312"/>
      <c r="PI1312"/>
      <c r="PJ1312"/>
      <c r="PK1312"/>
      <c r="PL1312"/>
      <c r="PM1312"/>
      <c r="PN1312"/>
      <c r="PO1312"/>
      <c r="PP1312"/>
      <c r="PQ1312"/>
      <c r="PR1312"/>
      <c r="PS1312"/>
      <c r="PT1312"/>
      <c r="PU1312"/>
      <c r="PV1312"/>
      <c r="PW1312"/>
      <c r="PX1312"/>
      <c r="PY1312"/>
      <c r="PZ1312"/>
      <c r="QA1312"/>
      <c r="QB1312"/>
      <c r="QC1312"/>
      <c r="QD1312"/>
      <c r="QE1312"/>
      <c r="QF1312"/>
      <c r="QG1312"/>
      <c r="QH1312"/>
      <c r="QI1312"/>
      <c r="QJ1312"/>
      <c r="QK1312"/>
      <c r="QL1312"/>
      <c r="QM1312"/>
      <c r="QN1312"/>
      <c r="QO1312"/>
      <c r="QP1312"/>
      <c r="QQ1312"/>
      <c r="QR1312"/>
      <c r="QS1312"/>
      <c r="QT1312"/>
      <c r="QU1312"/>
      <c r="QV1312"/>
      <c r="QW1312"/>
      <c r="QX1312"/>
      <c r="QY1312"/>
      <c r="QZ1312"/>
      <c r="RA1312"/>
      <c r="RB1312"/>
      <c r="RC1312"/>
      <c r="RD1312"/>
      <c r="RE1312"/>
      <c r="RF1312"/>
      <c r="RG1312"/>
      <c r="RH1312"/>
      <c r="RI1312"/>
      <c r="RJ1312"/>
      <c r="RK1312"/>
      <c r="RL1312"/>
      <c r="RM1312"/>
      <c r="RN1312"/>
      <c r="RO1312"/>
      <c r="RP1312"/>
      <c r="RQ1312"/>
      <c r="RR1312"/>
      <c r="RS1312"/>
      <c r="RT1312"/>
      <c r="RU1312"/>
      <c r="RV1312"/>
      <c r="RW1312"/>
      <c r="RX1312"/>
      <c r="RY1312"/>
      <c r="RZ1312"/>
      <c r="SA1312"/>
      <c r="SB1312"/>
      <c r="SC1312"/>
      <c r="SD1312"/>
      <c r="SE1312"/>
      <c r="SF1312"/>
      <c r="SG1312"/>
      <c r="SH1312"/>
      <c r="SI1312"/>
      <c r="SJ1312"/>
      <c r="SK1312"/>
      <c r="SL1312"/>
      <c r="SM1312"/>
      <c r="SN1312"/>
      <c r="SO1312"/>
      <c r="SP1312"/>
      <c r="SQ1312"/>
      <c r="SR1312"/>
      <c r="SS1312"/>
      <c r="ST1312"/>
      <c r="SU1312"/>
      <c r="SV1312"/>
      <c r="SW1312"/>
      <c r="SX1312"/>
      <c r="SY1312"/>
      <c r="SZ1312"/>
      <c r="TA1312"/>
      <c r="TB1312"/>
      <c r="TC1312"/>
      <c r="TD1312"/>
      <c r="TE1312"/>
      <c r="TF1312"/>
      <c r="TG1312"/>
      <c r="TH1312"/>
      <c r="TI1312"/>
      <c r="TJ1312"/>
      <c r="TK1312"/>
      <c r="TL1312"/>
      <c r="TM1312"/>
      <c r="TN1312"/>
      <c r="TO1312"/>
      <c r="TP1312"/>
      <c r="TQ1312"/>
      <c r="TR1312"/>
      <c r="TS1312"/>
      <c r="TT1312"/>
      <c r="TU1312"/>
      <c r="TV1312"/>
      <c r="TW1312"/>
      <c r="TX1312"/>
      <c r="TY1312"/>
      <c r="TZ1312"/>
      <c r="UA1312"/>
      <c r="UB1312"/>
      <c r="UC1312"/>
      <c r="UD1312"/>
      <c r="UE1312"/>
      <c r="UF1312"/>
      <c r="UG1312"/>
      <c r="UH1312"/>
      <c r="UI1312"/>
      <c r="UJ1312"/>
      <c r="UK1312"/>
      <c r="UL1312"/>
      <c r="UM1312"/>
      <c r="UN1312"/>
      <c r="UO1312"/>
      <c r="UP1312"/>
      <c r="UQ1312"/>
      <c r="UR1312"/>
      <c r="US1312"/>
      <c r="UT1312"/>
      <c r="UU1312"/>
      <c r="UV1312"/>
      <c r="UW1312"/>
      <c r="UX1312"/>
      <c r="UY1312"/>
      <c r="UZ1312"/>
      <c r="VA1312"/>
      <c r="VB1312"/>
      <c r="VC1312"/>
      <c r="VD1312"/>
      <c r="VE1312"/>
      <c r="VF1312"/>
      <c r="VG1312"/>
      <c r="VH1312"/>
      <c r="VI1312"/>
      <c r="VJ1312"/>
      <c r="VK1312"/>
      <c r="VL1312"/>
      <c r="VM1312"/>
      <c r="VN1312"/>
      <c r="VO1312"/>
      <c r="VP1312"/>
      <c r="VQ1312"/>
      <c r="VR1312"/>
      <c r="VS1312"/>
      <c r="VT1312"/>
      <c r="VU1312"/>
      <c r="VV1312"/>
      <c r="VW1312"/>
      <c r="VX1312"/>
      <c r="VY1312"/>
      <c r="VZ1312"/>
      <c r="WA1312"/>
      <c r="WB1312"/>
      <c r="WC1312"/>
      <c r="WD1312"/>
      <c r="WE1312"/>
      <c r="WF1312"/>
      <c r="WG1312"/>
      <c r="WH1312"/>
      <c r="WI1312"/>
      <c r="WJ1312"/>
      <c r="WK1312"/>
      <c r="WL1312"/>
      <c r="WM1312"/>
      <c r="WN1312"/>
      <c r="WO1312"/>
      <c r="WP1312"/>
      <c r="WQ1312"/>
      <c r="WR1312"/>
      <c r="WS1312"/>
      <c r="WT1312"/>
      <c r="WU1312"/>
      <c r="WV1312"/>
      <c r="WW1312"/>
      <c r="WX1312"/>
      <c r="WY1312"/>
      <c r="WZ1312"/>
      <c r="XA1312"/>
      <c r="XB1312"/>
      <c r="XC1312"/>
      <c r="XD1312"/>
      <c r="XE1312"/>
      <c r="XF1312"/>
      <c r="XG1312"/>
      <c r="XH1312"/>
      <c r="XI1312"/>
      <c r="XJ1312"/>
      <c r="XK1312"/>
      <c r="XL1312"/>
      <c r="XM1312"/>
      <c r="XN1312"/>
      <c r="XO1312"/>
      <c r="XP1312"/>
      <c r="XQ1312"/>
      <c r="XR1312"/>
      <c r="XS1312"/>
      <c r="XT1312"/>
      <c r="XU1312"/>
      <c r="XV1312"/>
      <c r="XW1312"/>
      <c r="XX1312"/>
      <c r="XY1312"/>
      <c r="XZ1312"/>
      <c r="YA1312"/>
      <c r="YB1312"/>
      <c r="YC1312"/>
      <c r="YD1312"/>
      <c r="YE1312"/>
      <c r="YF1312"/>
      <c r="YG1312"/>
      <c r="YH1312"/>
      <c r="YI1312"/>
      <c r="YJ1312"/>
      <c r="YK1312"/>
      <c r="YL1312"/>
      <c r="YM1312"/>
      <c r="YN1312"/>
      <c r="YO1312"/>
      <c r="YP1312"/>
      <c r="YQ1312"/>
      <c r="YR1312"/>
      <c r="YS1312"/>
      <c r="YT1312"/>
      <c r="YU1312"/>
      <c r="YV1312"/>
      <c r="YW1312"/>
      <c r="YX1312"/>
      <c r="YY1312"/>
      <c r="YZ1312"/>
      <c r="ZA1312"/>
      <c r="ZB1312"/>
      <c r="ZC1312"/>
      <c r="ZD1312"/>
      <c r="ZE1312"/>
      <c r="ZF1312"/>
      <c r="ZG1312"/>
      <c r="ZH1312"/>
      <c r="ZI1312"/>
      <c r="ZJ1312"/>
      <c r="ZK1312"/>
      <c r="ZL1312"/>
      <c r="ZM1312"/>
      <c r="ZN1312"/>
      <c r="ZO1312"/>
      <c r="ZP1312"/>
      <c r="ZQ1312"/>
      <c r="ZR1312"/>
      <c r="ZS1312"/>
      <c r="ZT1312"/>
      <c r="ZU1312"/>
      <c r="ZV1312"/>
      <c r="ZW1312"/>
      <c r="ZX1312"/>
      <c r="ZY1312"/>
      <c r="ZZ1312"/>
      <c r="AAA1312"/>
      <c r="AAB1312"/>
      <c r="AAC1312"/>
      <c r="AAD1312"/>
      <c r="AAE1312"/>
      <c r="AAF1312"/>
      <c r="AAG1312"/>
      <c r="AAH1312"/>
      <c r="AAI1312"/>
      <c r="AAJ1312"/>
      <c r="AAK1312"/>
      <c r="AAL1312"/>
      <c r="AAM1312"/>
      <c r="AAN1312"/>
      <c r="AAO1312"/>
      <c r="AAP1312"/>
      <c r="AAQ1312"/>
      <c r="AAR1312"/>
      <c r="AAS1312"/>
      <c r="AAT1312"/>
      <c r="AAU1312"/>
      <c r="AAV1312"/>
      <c r="AAW1312"/>
      <c r="AAX1312"/>
      <c r="AAY1312"/>
      <c r="AAZ1312"/>
      <c r="ABA1312"/>
      <c r="ABB1312"/>
      <c r="ABC1312"/>
      <c r="ABD1312"/>
      <c r="ABE1312"/>
      <c r="ABF1312"/>
      <c r="ABG1312"/>
      <c r="ABH1312"/>
      <c r="ABI1312"/>
      <c r="ABJ1312"/>
      <c r="ABK1312"/>
      <c r="ABL1312"/>
      <c r="ABM1312"/>
      <c r="ABN1312"/>
      <c r="ABO1312"/>
      <c r="ABP1312"/>
      <c r="ABQ1312"/>
      <c r="ABR1312"/>
      <c r="ABS1312"/>
      <c r="ABT1312"/>
      <c r="ABU1312"/>
      <c r="ABV1312"/>
      <c r="ABW1312"/>
      <c r="ABX1312"/>
      <c r="ABY1312"/>
      <c r="ABZ1312"/>
      <c r="ACA1312"/>
      <c r="ACB1312"/>
      <c r="ACC1312"/>
      <c r="ACD1312"/>
      <c r="ACE1312"/>
      <c r="ACF1312"/>
      <c r="ACG1312"/>
      <c r="ACH1312"/>
      <c r="ACI1312"/>
      <c r="ACJ1312"/>
      <c r="ACK1312"/>
      <c r="ACL1312"/>
      <c r="ACM1312"/>
      <c r="ACN1312"/>
      <c r="ACO1312"/>
      <c r="ACP1312"/>
      <c r="ACQ1312"/>
      <c r="ACR1312"/>
      <c r="ACS1312"/>
      <c r="ACT1312"/>
      <c r="ACU1312"/>
      <c r="ACV1312"/>
      <c r="ACW1312"/>
      <c r="ACX1312"/>
      <c r="ACY1312"/>
      <c r="ACZ1312"/>
      <c r="ADA1312"/>
      <c r="ADB1312"/>
      <c r="ADC1312"/>
      <c r="ADD1312"/>
      <c r="ADE1312"/>
      <c r="ADF1312"/>
      <c r="ADG1312"/>
      <c r="ADH1312"/>
      <c r="ADI1312"/>
      <c r="ADJ1312"/>
      <c r="ADK1312"/>
      <c r="ADL1312"/>
      <c r="ADM1312"/>
      <c r="ADN1312"/>
      <c r="ADO1312"/>
      <c r="ADP1312"/>
      <c r="ADQ1312"/>
      <c r="ADR1312"/>
      <c r="ADS1312"/>
      <c r="ADT1312"/>
      <c r="ADU1312"/>
      <c r="ADV1312"/>
      <c r="ADW1312"/>
      <c r="ADX1312"/>
      <c r="ADY1312"/>
      <c r="ADZ1312"/>
      <c r="AEA1312"/>
      <c r="AEB1312"/>
      <c r="AEC1312"/>
      <c r="AED1312"/>
      <c r="AEE1312"/>
      <c r="AEF1312"/>
      <c r="AEG1312"/>
      <c r="AEH1312"/>
      <c r="AEI1312"/>
      <c r="AEJ1312"/>
      <c r="AEK1312"/>
      <c r="AEL1312"/>
      <c r="AEM1312"/>
      <c r="AEN1312"/>
      <c r="AEO1312"/>
      <c r="AEP1312"/>
      <c r="AEQ1312"/>
      <c r="AER1312"/>
      <c r="AES1312"/>
      <c r="AET1312"/>
      <c r="AEU1312"/>
      <c r="AEV1312"/>
      <c r="AEW1312"/>
      <c r="AEX1312"/>
      <c r="AEY1312"/>
      <c r="AEZ1312"/>
      <c r="AFA1312"/>
      <c r="AFB1312"/>
      <c r="AFC1312"/>
      <c r="AFD1312"/>
      <c r="AFE1312"/>
      <c r="AFF1312"/>
      <c r="AFG1312"/>
      <c r="AFH1312"/>
      <c r="AFI1312"/>
      <c r="AFJ1312"/>
      <c r="AFK1312"/>
      <c r="AFL1312"/>
      <c r="AFM1312"/>
      <c r="AFN1312"/>
      <c r="AFO1312"/>
      <c r="AFP1312"/>
      <c r="AFQ1312"/>
      <c r="AFR1312"/>
      <c r="AFS1312"/>
      <c r="AFT1312"/>
      <c r="AFU1312"/>
      <c r="AFV1312"/>
      <c r="AFW1312"/>
      <c r="AFX1312"/>
      <c r="AFY1312"/>
      <c r="AFZ1312"/>
      <c r="AGA1312"/>
      <c r="AGB1312"/>
      <c r="AGC1312"/>
      <c r="AGD1312"/>
      <c r="AGE1312"/>
      <c r="AGF1312"/>
      <c r="AGG1312"/>
      <c r="AGH1312"/>
      <c r="AGI1312"/>
      <c r="AGJ1312"/>
      <c r="AGK1312"/>
      <c r="AGL1312"/>
      <c r="AGM1312"/>
      <c r="AGN1312"/>
      <c r="AGO1312"/>
      <c r="AGP1312"/>
      <c r="AGQ1312"/>
      <c r="AGR1312"/>
      <c r="AGS1312"/>
      <c r="AGT1312"/>
      <c r="AGU1312"/>
      <c r="AGV1312"/>
      <c r="AGW1312"/>
      <c r="AGX1312"/>
      <c r="AGY1312"/>
      <c r="AGZ1312"/>
      <c r="AHA1312"/>
      <c r="AHB1312"/>
      <c r="AHC1312"/>
      <c r="AHD1312"/>
      <c r="AHE1312"/>
      <c r="AHF1312"/>
      <c r="AHG1312"/>
      <c r="AHH1312"/>
      <c r="AHI1312"/>
      <c r="AHJ1312"/>
      <c r="AHK1312"/>
      <c r="AHL1312"/>
      <c r="AHM1312"/>
      <c r="AHN1312"/>
      <c r="AHO1312"/>
      <c r="AHP1312"/>
      <c r="AHQ1312"/>
      <c r="AHR1312"/>
      <c r="AHS1312"/>
      <c r="AHT1312"/>
      <c r="AHU1312"/>
      <c r="AHV1312"/>
      <c r="AHW1312"/>
      <c r="AHX1312"/>
      <c r="AHY1312"/>
      <c r="AHZ1312"/>
      <c r="AIA1312"/>
      <c r="AIB1312"/>
      <c r="AIC1312"/>
      <c r="AID1312"/>
      <c r="AIE1312"/>
      <c r="AIF1312"/>
      <c r="AIG1312"/>
      <c r="AIH1312"/>
      <c r="AII1312"/>
      <c r="AIJ1312"/>
      <c r="AIK1312"/>
      <c r="AIL1312"/>
      <c r="AIM1312"/>
      <c r="AIN1312"/>
      <c r="AIO1312"/>
      <c r="AIP1312"/>
      <c r="AIQ1312"/>
      <c r="AIR1312"/>
      <c r="AIS1312"/>
      <c r="AIT1312"/>
      <c r="AIU1312"/>
      <c r="AIV1312"/>
      <c r="AIW1312"/>
      <c r="AIX1312"/>
      <c r="AIY1312"/>
      <c r="AIZ1312"/>
      <c r="AJA1312"/>
      <c r="AJB1312"/>
      <c r="AJC1312"/>
      <c r="AJD1312"/>
      <c r="AJE1312"/>
      <c r="AJF1312"/>
      <c r="AJG1312"/>
      <c r="AJH1312"/>
      <c r="AJI1312"/>
      <c r="AJJ1312"/>
      <c r="AJK1312"/>
      <c r="AJL1312"/>
      <c r="AJM1312"/>
      <c r="AJN1312"/>
      <c r="AJO1312"/>
      <c r="AJP1312"/>
      <c r="AJQ1312"/>
      <c r="AJR1312"/>
      <c r="AJS1312"/>
      <c r="AJT1312"/>
      <c r="AJU1312"/>
      <c r="AJV1312"/>
      <c r="AJW1312"/>
      <c r="AJX1312"/>
      <c r="AJY1312"/>
      <c r="AJZ1312"/>
      <c r="AKA1312"/>
      <c r="AKB1312"/>
      <c r="AKC1312"/>
      <c r="AKD1312"/>
      <c r="AKE1312"/>
      <c r="AKF1312"/>
      <c r="AKG1312"/>
      <c r="AKH1312"/>
      <c r="AKI1312"/>
      <c r="AKJ1312"/>
      <c r="AKK1312"/>
      <c r="AKL1312"/>
      <c r="AKM1312"/>
      <c r="AKN1312"/>
      <c r="AKO1312"/>
      <c r="AKP1312"/>
      <c r="AKQ1312"/>
      <c r="AKR1312"/>
      <c r="AKS1312"/>
      <c r="AKT1312"/>
      <c r="AKU1312"/>
      <c r="AKV1312"/>
      <c r="AKW1312"/>
      <c r="AKX1312"/>
      <c r="AKY1312"/>
      <c r="AKZ1312"/>
      <c r="ALA1312"/>
      <c r="ALB1312"/>
      <c r="ALC1312"/>
      <c r="ALD1312"/>
      <c r="ALE1312"/>
      <c r="ALF1312"/>
      <c r="ALG1312"/>
      <c r="ALH1312"/>
      <c r="ALI1312"/>
      <c r="ALJ1312"/>
      <c r="ALK1312"/>
      <c r="ALL1312"/>
      <c r="ALM1312"/>
      <c r="ALN1312"/>
      <c r="ALO1312"/>
      <c r="ALP1312"/>
      <c r="ALQ1312"/>
      <c r="ALR1312"/>
      <c r="ALS1312"/>
      <c r="ALT1312"/>
    </row>
    <row r="1313" spans="3:1008" x14ac:dyDescent="0.15">
      <c r="C1313"/>
      <c r="F1313"/>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c r="AT1313"/>
      <c r="AU1313"/>
      <c r="AV1313"/>
      <c r="AW1313"/>
      <c r="AX1313"/>
      <c r="AY1313"/>
      <c r="AZ1313"/>
      <c r="BA1313"/>
      <c r="BB1313"/>
      <c r="BC1313"/>
      <c r="BD1313"/>
      <c r="BE1313"/>
      <c r="BF1313"/>
      <c r="BG1313"/>
      <c r="BH1313"/>
      <c r="BI1313"/>
      <c r="BJ1313"/>
      <c r="BK1313"/>
      <c r="BL1313"/>
      <c r="BM1313"/>
      <c r="BN1313"/>
      <c r="BO1313"/>
      <c r="BP1313"/>
      <c r="BQ1313"/>
      <c r="BR1313"/>
      <c r="BS1313"/>
      <c r="BT1313"/>
      <c r="BU1313"/>
      <c r="BV1313"/>
      <c r="BW1313"/>
      <c r="BX1313"/>
      <c r="BY1313"/>
      <c r="BZ1313"/>
      <c r="CA1313"/>
      <c r="CB1313"/>
      <c r="CC1313"/>
      <c r="CD1313"/>
      <c r="CE1313"/>
      <c r="CF1313"/>
      <c r="CG1313"/>
      <c r="CH1313"/>
      <c r="CI1313"/>
      <c r="CJ1313"/>
      <c r="CK1313"/>
      <c r="CL1313"/>
      <c r="CM1313"/>
      <c r="CN1313"/>
      <c r="CO1313"/>
      <c r="CP1313"/>
      <c r="CQ1313"/>
      <c r="CR1313"/>
      <c r="CS1313"/>
      <c r="CT1313"/>
      <c r="CU1313"/>
      <c r="CV1313"/>
      <c r="CW1313"/>
      <c r="CX1313"/>
      <c r="CY1313"/>
      <c r="CZ1313"/>
      <c r="DA1313"/>
      <c r="DB1313"/>
      <c r="DC1313"/>
      <c r="DD1313"/>
      <c r="DE1313"/>
      <c r="DF1313"/>
      <c r="DG1313"/>
      <c r="DH1313"/>
      <c r="DI1313"/>
      <c r="DJ1313"/>
      <c r="DK1313"/>
      <c r="DL1313"/>
      <c r="DM1313"/>
      <c r="DN1313"/>
      <c r="DO1313"/>
      <c r="DP1313"/>
      <c r="DQ1313"/>
      <c r="DR1313"/>
      <c r="DS1313"/>
      <c r="DT1313"/>
      <c r="DU1313"/>
      <c r="DV1313"/>
      <c r="DW1313"/>
      <c r="DX1313"/>
      <c r="DY1313"/>
      <c r="DZ1313"/>
      <c r="EA1313"/>
      <c r="EB1313"/>
      <c r="EC1313"/>
      <c r="ED1313"/>
      <c r="EE1313"/>
      <c r="EF1313"/>
      <c r="EG1313"/>
      <c r="EH1313"/>
      <c r="EI1313"/>
      <c r="EJ1313"/>
      <c r="EK1313"/>
      <c r="EL1313"/>
      <c r="EM1313"/>
      <c r="EN1313"/>
      <c r="EO1313"/>
      <c r="EP1313"/>
      <c r="EQ1313"/>
      <c r="ER1313"/>
      <c r="ES1313"/>
      <c r="ET1313"/>
      <c r="EU1313"/>
      <c r="EV1313"/>
      <c r="EW1313"/>
      <c r="EX1313"/>
      <c r="EY1313"/>
      <c r="EZ1313"/>
      <c r="FA1313"/>
      <c r="FB1313"/>
      <c r="FC1313"/>
      <c r="FD1313"/>
      <c r="FE1313"/>
      <c r="FF1313"/>
      <c r="FG1313"/>
      <c r="FH1313"/>
      <c r="FI1313"/>
      <c r="FJ1313"/>
      <c r="FK1313"/>
      <c r="FL1313"/>
      <c r="FM1313"/>
      <c r="FN1313"/>
      <c r="FO1313"/>
      <c r="FP1313"/>
      <c r="FQ1313"/>
      <c r="FR1313"/>
      <c r="FS1313"/>
      <c r="FT1313"/>
      <c r="FU1313"/>
      <c r="FV1313"/>
      <c r="FW1313"/>
      <c r="FX1313"/>
      <c r="FY1313"/>
      <c r="FZ1313"/>
      <c r="GA1313"/>
      <c r="GB1313"/>
      <c r="GC1313"/>
      <c r="GD1313"/>
      <c r="GE1313"/>
      <c r="GF1313"/>
      <c r="GG1313"/>
      <c r="GH1313"/>
      <c r="GI1313"/>
      <c r="GJ1313"/>
      <c r="GK1313"/>
      <c r="GL1313"/>
      <c r="GM1313"/>
      <c r="GN1313"/>
      <c r="GO1313"/>
      <c r="GP1313"/>
      <c r="GQ1313"/>
      <c r="GR1313"/>
      <c r="GS1313"/>
      <c r="GT1313"/>
      <c r="GU1313"/>
      <c r="GV1313"/>
      <c r="GW1313"/>
      <c r="GX1313"/>
      <c r="GY1313"/>
      <c r="GZ1313"/>
      <c r="HA1313"/>
      <c r="HB1313"/>
      <c r="HC1313"/>
      <c r="HD1313"/>
      <c r="HE1313"/>
      <c r="HF1313"/>
      <c r="HG1313"/>
      <c r="HH1313"/>
      <c r="HI1313"/>
      <c r="HJ1313"/>
      <c r="HK1313"/>
      <c r="HL1313"/>
      <c r="HM1313"/>
      <c r="HN1313"/>
      <c r="HO1313"/>
      <c r="HP1313"/>
      <c r="HQ1313"/>
      <c r="HR1313"/>
      <c r="HS1313"/>
      <c r="HT1313"/>
      <c r="HU1313"/>
      <c r="HV1313"/>
      <c r="HW1313"/>
      <c r="HX1313"/>
      <c r="HY1313"/>
      <c r="HZ1313"/>
      <c r="IA1313"/>
      <c r="IB1313"/>
      <c r="IC1313"/>
      <c r="ID1313"/>
      <c r="IE1313"/>
      <c r="IF1313"/>
      <c r="IG1313"/>
      <c r="IH1313"/>
      <c r="II1313"/>
      <c r="IJ1313"/>
      <c r="IK1313"/>
      <c r="IL1313"/>
      <c r="IM1313"/>
      <c r="IN1313"/>
      <c r="IO1313"/>
      <c r="IP1313"/>
      <c r="IQ1313"/>
      <c r="IR1313"/>
      <c r="IS1313"/>
      <c r="IT1313"/>
      <c r="IU1313"/>
      <c r="IV1313"/>
      <c r="IW1313"/>
      <c r="IX1313"/>
      <c r="IY1313"/>
      <c r="IZ1313"/>
      <c r="JA1313"/>
      <c r="JB1313"/>
      <c r="JC1313"/>
      <c r="JD1313"/>
      <c r="JE1313"/>
      <c r="JF1313"/>
      <c r="JG1313"/>
      <c r="JH1313"/>
      <c r="JI1313"/>
      <c r="JJ1313"/>
      <c r="JK1313"/>
      <c r="JL1313"/>
      <c r="JM1313"/>
      <c r="JN1313"/>
      <c r="JO1313"/>
      <c r="JP1313"/>
      <c r="JQ1313"/>
      <c r="JR1313"/>
      <c r="JS1313"/>
      <c r="JT1313"/>
      <c r="JU1313"/>
      <c r="JV1313"/>
      <c r="JW1313"/>
      <c r="JX1313"/>
      <c r="JY1313"/>
      <c r="JZ1313"/>
      <c r="KA1313"/>
      <c r="KB1313"/>
      <c r="KC1313"/>
      <c r="KD1313"/>
      <c r="KE1313"/>
      <c r="KF1313"/>
      <c r="KG1313"/>
      <c r="KH1313"/>
      <c r="KI1313"/>
      <c r="KJ1313"/>
      <c r="KK1313"/>
      <c r="KL1313"/>
      <c r="KM1313"/>
      <c r="KN1313"/>
      <c r="KO1313"/>
      <c r="KP1313"/>
      <c r="KQ1313"/>
      <c r="KR1313"/>
      <c r="KS1313"/>
      <c r="KT1313"/>
      <c r="KU1313"/>
      <c r="KV1313"/>
      <c r="KW1313"/>
      <c r="KX1313"/>
      <c r="KY1313"/>
      <c r="KZ1313"/>
      <c r="LA1313"/>
      <c r="LB1313"/>
      <c r="LC1313"/>
      <c r="LD1313"/>
      <c r="LE1313"/>
      <c r="LF1313"/>
      <c r="LG1313"/>
      <c r="LH1313"/>
      <c r="LI1313"/>
      <c r="LJ1313"/>
      <c r="LK1313"/>
      <c r="LL1313"/>
      <c r="LM1313"/>
      <c r="LN1313"/>
      <c r="LO1313"/>
      <c r="LP1313"/>
      <c r="LQ1313"/>
      <c r="LR1313"/>
      <c r="LS1313"/>
      <c r="LT1313"/>
      <c r="LU1313"/>
      <c r="LV1313"/>
      <c r="LW1313"/>
      <c r="LX1313"/>
      <c r="LY1313"/>
      <c r="LZ1313"/>
      <c r="MA1313"/>
      <c r="MB1313"/>
      <c r="MC1313"/>
      <c r="MD1313"/>
      <c r="ME1313"/>
      <c r="MF1313"/>
      <c r="MG1313"/>
      <c r="MH1313"/>
      <c r="MI1313"/>
      <c r="MJ1313"/>
      <c r="MK1313"/>
      <c r="ML1313"/>
      <c r="MM1313"/>
      <c r="MN1313"/>
      <c r="MO1313"/>
      <c r="MP1313"/>
      <c r="MQ1313"/>
      <c r="MR1313"/>
      <c r="MS1313"/>
      <c r="MT1313"/>
      <c r="MU1313"/>
      <c r="MV1313"/>
      <c r="MW1313"/>
      <c r="MX1313"/>
      <c r="MY1313"/>
      <c r="MZ1313"/>
      <c r="NA1313"/>
      <c r="NB1313"/>
      <c r="NC1313"/>
      <c r="ND1313"/>
      <c r="NE1313"/>
      <c r="NF1313"/>
      <c r="NG1313"/>
      <c r="NH1313"/>
      <c r="NI1313"/>
      <c r="NJ1313"/>
      <c r="NK1313"/>
      <c r="NL1313"/>
      <c r="NM1313"/>
      <c r="NN1313"/>
      <c r="NO1313"/>
      <c r="NP1313"/>
      <c r="NQ1313"/>
      <c r="NR1313"/>
      <c r="NS1313"/>
      <c r="NT1313"/>
      <c r="NU1313"/>
      <c r="NV1313"/>
      <c r="NW1313"/>
      <c r="NX1313"/>
      <c r="NY1313"/>
      <c r="NZ1313"/>
      <c r="OA1313"/>
      <c r="OB1313"/>
      <c r="OC1313"/>
      <c r="OD1313"/>
      <c r="OE1313"/>
      <c r="OF1313"/>
      <c r="OG1313"/>
      <c r="OH1313"/>
      <c r="OI1313"/>
      <c r="OJ1313"/>
      <c r="OK1313"/>
      <c r="OL1313"/>
      <c r="OM1313"/>
      <c r="ON1313"/>
      <c r="OO1313"/>
      <c r="OP1313"/>
      <c r="OQ1313"/>
      <c r="OR1313"/>
      <c r="OS1313"/>
      <c r="OT1313"/>
      <c r="OU1313"/>
      <c r="OV1313"/>
      <c r="OW1313"/>
      <c r="OX1313"/>
      <c r="OY1313"/>
      <c r="OZ1313"/>
      <c r="PA1313"/>
      <c r="PB1313"/>
      <c r="PC1313"/>
      <c r="PD1313"/>
      <c r="PE1313"/>
      <c r="PF1313"/>
      <c r="PG1313"/>
      <c r="PH1313"/>
      <c r="PI1313"/>
      <c r="PJ1313"/>
      <c r="PK1313"/>
      <c r="PL1313"/>
      <c r="PM1313"/>
      <c r="PN1313"/>
      <c r="PO1313"/>
      <c r="PP1313"/>
      <c r="PQ1313"/>
      <c r="PR1313"/>
      <c r="PS1313"/>
      <c r="PT1313"/>
      <c r="PU1313"/>
      <c r="PV1313"/>
      <c r="PW1313"/>
      <c r="PX1313"/>
      <c r="PY1313"/>
      <c r="PZ1313"/>
      <c r="QA1313"/>
      <c r="QB1313"/>
      <c r="QC1313"/>
      <c r="QD1313"/>
      <c r="QE1313"/>
      <c r="QF1313"/>
      <c r="QG1313"/>
      <c r="QH1313"/>
      <c r="QI1313"/>
      <c r="QJ1313"/>
      <c r="QK1313"/>
      <c r="QL1313"/>
      <c r="QM1313"/>
      <c r="QN1313"/>
      <c r="QO1313"/>
      <c r="QP1313"/>
      <c r="QQ1313"/>
      <c r="QR1313"/>
      <c r="QS1313"/>
      <c r="QT1313"/>
      <c r="QU1313"/>
      <c r="QV1313"/>
      <c r="QW1313"/>
      <c r="QX1313"/>
      <c r="QY1313"/>
      <c r="QZ1313"/>
      <c r="RA1313"/>
      <c r="RB1313"/>
      <c r="RC1313"/>
      <c r="RD1313"/>
      <c r="RE1313"/>
      <c r="RF1313"/>
      <c r="RG1313"/>
      <c r="RH1313"/>
      <c r="RI1313"/>
      <c r="RJ1313"/>
      <c r="RK1313"/>
      <c r="RL1313"/>
      <c r="RM1313"/>
      <c r="RN1313"/>
      <c r="RO1313"/>
      <c r="RP1313"/>
      <c r="RQ1313"/>
      <c r="RR1313"/>
      <c r="RS1313"/>
      <c r="RT1313"/>
      <c r="RU1313"/>
      <c r="RV1313"/>
      <c r="RW1313"/>
      <c r="RX1313"/>
      <c r="RY1313"/>
      <c r="RZ1313"/>
      <c r="SA1313"/>
      <c r="SB1313"/>
      <c r="SC1313"/>
      <c r="SD1313"/>
      <c r="SE1313"/>
      <c r="SF1313"/>
      <c r="SG1313"/>
      <c r="SH1313"/>
      <c r="SI1313"/>
      <c r="SJ1313"/>
      <c r="SK1313"/>
      <c r="SL1313"/>
      <c r="SM1313"/>
      <c r="SN1313"/>
      <c r="SO1313"/>
      <c r="SP1313"/>
      <c r="SQ1313"/>
      <c r="SR1313"/>
      <c r="SS1313"/>
      <c r="ST1313"/>
      <c r="SU1313"/>
      <c r="SV1313"/>
      <c r="SW1313"/>
      <c r="SX1313"/>
      <c r="SY1313"/>
      <c r="SZ1313"/>
      <c r="TA1313"/>
      <c r="TB1313"/>
      <c r="TC1313"/>
      <c r="TD1313"/>
      <c r="TE1313"/>
      <c r="TF1313"/>
      <c r="TG1313"/>
      <c r="TH1313"/>
      <c r="TI1313"/>
      <c r="TJ1313"/>
      <c r="TK1313"/>
      <c r="TL1313"/>
      <c r="TM1313"/>
      <c r="TN1313"/>
      <c r="TO1313"/>
      <c r="TP1313"/>
      <c r="TQ1313"/>
      <c r="TR1313"/>
      <c r="TS1313"/>
      <c r="TT1313"/>
      <c r="TU1313"/>
      <c r="TV1313"/>
      <c r="TW1313"/>
      <c r="TX1313"/>
      <c r="TY1313"/>
      <c r="TZ1313"/>
      <c r="UA1313"/>
      <c r="UB1313"/>
      <c r="UC1313"/>
      <c r="UD1313"/>
      <c r="UE1313"/>
      <c r="UF1313"/>
      <c r="UG1313"/>
      <c r="UH1313"/>
      <c r="UI1313"/>
      <c r="UJ1313"/>
      <c r="UK1313"/>
      <c r="UL1313"/>
      <c r="UM1313"/>
      <c r="UN1313"/>
      <c r="UO1313"/>
      <c r="UP1313"/>
      <c r="UQ1313"/>
      <c r="UR1313"/>
      <c r="US1313"/>
      <c r="UT1313"/>
      <c r="UU1313"/>
      <c r="UV1313"/>
      <c r="UW1313"/>
      <c r="UX1313"/>
      <c r="UY1313"/>
      <c r="UZ1313"/>
      <c r="VA1313"/>
      <c r="VB1313"/>
      <c r="VC1313"/>
      <c r="VD1313"/>
      <c r="VE1313"/>
      <c r="VF1313"/>
      <c r="VG1313"/>
      <c r="VH1313"/>
      <c r="VI1313"/>
      <c r="VJ1313"/>
      <c r="VK1313"/>
      <c r="VL1313"/>
      <c r="VM1313"/>
      <c r="VN1313"/>
      <c r="VO1313"/>
      <c r="VP1313"/>
      <c r="VQ1313"/>
      <c r="VR1313"/>
      <c r="VS1313"/>
      <c r="VT1313"/>
      <c r="VU1313"/>
      <c r="VV1313"/>
      <c r="VW1313"/>
      <c r="VX1313"/>
      <c r="VY1313"/>
      <c r="VZ1313"/>
      <c r="WA1313"/>
      <c r="WB1313"/>
      <c r="WC1313"/>
      <c r="WD1313"/>
      <c r="WE1313"/>
      <c r="WF1313"/>
      <c r="WG1313"/>
      <c r="WH1313"/>
      <c r="WI1313"/>
      <c r="WJ1313"/>
      <c r="WK1313"/>
      <c r="WL1313"/>
      <c r="WM1313"/>
      <c r="WN1313"/>
      <c r="WO1313"/>
      <c r="WP1313"/>
      <c r="WQ1313"/>
      <c r="WR1313"/>
      <c r="WS1313"/>
      <c r="WT1313"/>
      <c r="WU1313"/>
      <c r="WV1313"/>
      <c r="WW1313"/>
      <c r="WX1313"/>
      <c r="WY1313"/>
      <c r="WZ1313"/>
      <c r="XA1313"/>
      <c r="XB1313"/>
      <c r="XC1313"/>
      <c r="XD1313"/>
      <c r="XE1313"/>
      <c r="XF1313"/>
      <c r="XG1313"/>
      <c r="XH1313"/>
      <c r="XI1313"/>
      <c r="XJ1313"/>
      <c r="XK1313"/>
      <c r="XL1313"/>
      <c r="XM1313"/>
      <c r="XN1313"/>
      <c r="XO1313"/>
      <c r="XP1313"/>
      <c r="XQ1313"/>
      <c r="XR1313"/>
      <c r="XS1313"/>
      <c r="XT1313"/>
      <c r="XU1313"/>
      <c r="XV1313"/>
      <c r="XW1313"/>
      <c r="XX1313"/>
      <c r="XY1313"/>
      <c r="XZ1313"/>
      <c r="YA1313"/>
      <c r="YB1313"/>
      <c r="YC1313"/>
      <c r="YD1313"/>
      <c r="YE1313"/>
      <c r="YF1313"/>
      <c r="YG1313"/>
      <c r="YH1313"/>
      <c r="YI1313"/>
      <c r="YJ1313"/>
      <c r="YK1313"/>
      <c r="YL1313"/>
      <c r="YM1313"/>
      <c r="YN1313"/>
      <c r="YO1313"/>
      <c r="YP1313"/>
      <c r="YQ1313"/>
      <c r="YR1313"/>
      <c r="YS1313"/>
      <c r="YT1313"/>
      <c r="YU1313"/>
      <c r="YV1313"/>
      <c r="YW1313"/>
      <c r="YX1313"/>
      <c r="YY1313"/>
      <c r="YZ1313"/>
      <c r="ZA1313"/>
      <c r="ZB1313"/>
      <c r="ZC1313"/>
      <c r="ZD1313"/>
      <c r="ZE1313"/>
      <c r="ZF1313"/>
      <c r="ZG1313"/>
      <c r="ZH1313"/>
      <c r="ZI1313"/>
      <c r="ZJ1313"/>
      <c r="ZK1313"/>
      <c r="ZL1313"/>
      <c r="ZM1313"/>
      <c r="ZN1313"/>
      <c r="ZO1313"/>
      <c r="ZP1313"/>
      <c r="ZQ1313"/>
      <c r="ZR1313"/>
      <c r="ZS1313"/>
      <c r="ZT1313"/>
      <c r="ZU1313"/>
      <c r="ZV1313"/>
      <c r="ZW1313"/>
      <c r="ZX1313"/>
      <c r="ZY1313"/>
      <c r="ZZ1313"/>
      <c r="AAA1313"/>
      <c r="AAB1313"/>
      <c r="AAC1313"/>
      <c r="AAD1313"/>
      <c r="AAE1313"/>
      <c r="AAF1313"/>
      <c r="AAG1313"/>
      <c r="AAH1313"/>
      <c r="AAI1313"/>
      <c r="AAJ1313"/>
      <c r="AAK1313"/>
      <c r="AAL1313"/>
      <c r="AAM1313"/>
      <c r="AAN1313"/>
      <c r="AAO1313"/>
      <c r="AAP1313"/>
      <c r="AAQ1313"/>
      <c r="AAR1313"/>
      <c r="AAS1313"/>
      <c r="AAT1313"/>
      <c r="AAU1313"/>
      <c r="AAV1313"/>
      <c r="AAW1313"/>
      <c r="AAX1313"/>
      <c r="AAY1313"/>
      <c r="AAZ1313"/>
      <c r="ABA1313"/>
      <c r="ABB1313"/>
      <c r="ABC1313"/>
      <c r="ABD1313"/>
      <c r="ABE1313"/>
      <c r="ABF1313"/>
      <c r="ABG1313"/>
      <c r="ABH1313"/>
      <c r="ABI1313"/>
      <c r="ABJ1313"/>
      <c r="ABK1313"/>
      <c r="ABL1313"/>
      <c r="ABM1313"/>
      <c r="ABN1313"/>
      <c r="ABO1313"/>
      <c r="ABP1313"/>
      <c r="ABQ1313"/>
      <c r="ABR1313"/>
      <c r="ABS1313"/>
      <c r="ABT1313"/>
      <c r="ABU1313"/>
      <c r="ABV1313"/>
      <c r="ABW1313"/>
      <c r="ABX1313"/>
      <c r="ABY1313"/>
      <c r="ABZ1313"/>
      <c r="ACA1313"/>
      <c r="ACB1313"/>
      <c r="ACC1313"/>
      <c r="ACD1313"/>
      <c r="ACE1313"/>
      <c r="ACF1313"/>
      <c r="ACG1313"/>
      <c r="ACH1313"/>
      <c r="ACI1313"/>
      <c r="ACJ1313"/>
      <c r="ACK1313"/>
      <c r="ACL1313"/>
      <c r="ACM1313"/>
      <c r="ACN1313"/>
      <c r="ACO1313"/>
      <c r="ACP1313"/>
      <c r="ACQ1313"/>
      <c r="ACR1313"/>
      <c r="ACS1313"/>
      <c r="ACT1313"/>
      <c r="ACU1313"/>
      <c r="ACV1313"/>
      <c r="ACW1313"/>
      <c r="ACX1313"/>
      <c r="ACY1313"/>
      <c r="ACZ1313"/>
      <c r="ADA1313"/>
      <c r="ADB1313"/>
      <c r="ADC1313"/>
      <c r="ADD1313"/>
      <c r="ADE1313"/>
      <c r="ADF1313"/>
      <c r="ADG1313"/>
      <c r="ADH1313"/>
      <c r="ADI1313"/>
      <c r="ADJ1313"/>
      <c r="ADK1313"/>
      <c r="ADL1313"/>
      <c r="ADM1313"/>
      <c r="ADN1313"/>
      <c r="ADO1313"/>
      <c r="ADP1313"/>
      <c r="ADQ1313"/>
      <c r="ADR1313"/>
      <c r="ADS1313"/>
      <c r="ADT1313"/>
      <c r="ADU1313"/>
      <c r="ADV1313"/>
      <c r="ADW1313"/>
      <c r="ADX1313"/>
      <c r="ADY1313"/>
      <c r="ADZ1313"/>
      <c r="AEA1313"/>
      <c r="AEB1313"/>
      <c r="AEC1313"/>
      <c r="AED1313"/>
      <c r="AEE1313"/>
      <c r="AEF1313"/>
      <c r="AEG1313"/>
      <c r="AEH1313"/>
      <c r="AEI1313"/>
      <c r="AEJ1313"/>
      <c r="AEK1313"/>
      <c r="AEL1313"/>
      <c r="AEM1313"/>
      <c r="AEN1313"/>
      <c r="AEO1313"/>
      <c r="AEP1313"/>
      <c r="AEQ1313"/>
      <c r="AER1313"/>
      <c r="AES1313"/>
      <c r="AET1313"/>
      <c r="AEU1313"/>
      <c r="AEV1313"/>
      <c r="AEW1313"/>
      <c r="AEX1313"/>
      <c r="AEY1313"/>
      <c r="AEZ1313"/>
      <c r="AFA1313"/>
      <c r="AFB1313"/>
      <c r="AFC1313"/>
      <c r="AFD1313"/>
      <c r="AFE1313"/>
      <c r="AFF1313"/>
      <c r="AFG1313"/>
      <c r="AFH1313"/>
      <c r="AFI1313"/>
      <c r="AFJ1313"/>
      <c r="AFK1313"/>
      <c r="AFL1313"/>
      <c r="AFM1313"/>
      <c r="AFN1313"/>
      <c r="AFO1313"/>
      <c r="AFP1313"/>
      <c r="AFQ1313"/>
      <c r="AFR1313"/>
      <c r="AFS1313"/>
      <c r="AFT1313"/>
      <c r="AFU1313"/>
      <c r="AFV1313"/>
      <c r="AFW1313"/>
      <c r="AFX1313"/>
      <c r="AFY1313"/>
      <c r="AFZ1313"/>
      <c r="AGA1313"/>
      <c r="AGB1313"/>
      <c r="AGC1313"/>
      <c r="AGD1313"/>
      <c r="AGE1313"/>
      <c r="AGF1313"/>
      <c r="AGG1313"/>
      <c r="AGH1313"/>
      <c r="AGI1313"/>
      <c r="AGJ1313"/>
      <c r="AGK1313"/>
      <c r="AGL1313"/>
      <c r="AGM1313"/>
      <c r="AGN1313"/>
      <c r="AGO1313"/>
      <c r="AGP1313"/>
      <c r="AGQ1313"/>
      <c r="AGR1313"/>
      <c r="AGS1313"/>
      <c r="AGT1313"/>
      <c r="AGU1313"/>
      <c r="AGV1313"/>
      <c r="AGW1313"/>
      <c r="AGX1313"/>
      <c r="AGY1313"/>
      <c r="AGZ1313"/>
      <c r="AHA1313"/>
      <c r="AHB1313"/>
      <c r="AHC1313"/>
      <c r="AHD1313"/>
      <c r="AHE1313"/>
      <c r="AHF1313"/>
      <c r="AHG1313"/>
      <c r="AHH1313"/>
      <c r="AHI1313"/>
      <c r="AHJ1313"/>
      <c r="AHK1313"/>
      <c r="AHL1313"/>
      <c r="AHM1313"/>
      <c r="AHN1313"/>
      <c r="AHO1313"/>
      <c r="AHP1313"/>
      <c r="AHQ1313"/>
      <c r="AHR1313"/>
      <c r="AHS1313"/>
      <c r="AHT1313"/>
      <c r="AHU1313"/>
      <c r="AHV1313"/>
      <c r="AHW1313"/>
      <c r="AHX1313"/>
      <c r="AHY1313"/>
      <c r="AHZ1313"/>
      <c r="AIA1313"/>
      <c r="AIB1313"/>
      <c r="AIC1313"/>
      <c r="AID1313"/>
      <c r="AIE1313"/>
      <c r="AIF1313"/>
      <c r="AIG1313"/>
      <c r="AIH1313"/>
      <c r="AII1313"/>
      <c r="AIJ1313"/>
      <c r="AIK1313"/>
      <c r="AIL1313"/>
      <c r="AIM1313"/>
      <c r="AIN1313"/>
      <c r="AIO1313"/>
      <c r="AIP1313"/>
      <c r="AIQ1313"/>
      <c r="AIR1313"/>
      <c r="AIS1313"/>
      <c r="AIT1313"/>
      <c r="AIU1313"/>
      <c r="AIV1313"/>
      <c r="AIW1313"/>
      <c r="AIX1313"/>
      <c r="AIY1313"/>
      <c r="AIZ1313"/>
      <c r="AJA1313"/>
      <c r="AJB1313"/>
      <c r="AJC1313"/>
      <c r="AJD1313"/>
      <c r="AJE1313"/>
      <c r="AJF1313"/>
      <c r="AJG1313"/>
      <c r="AJH1313"/>
      <c r="AJI1313"/>
      <c r="AJJ1313"/>
      <c r="AJK1313"/>
      <c r="AJL1313"/>
      <c r="AJM1313"/>
      <c r="AJN1313"/>
      <c r="AJO1313"/>
      <c r="AJP1313"/>
      <c r="AJQ1313"/>
      <c r="AJR1313"/>
      <c r="AJS1313"/>
      <c r="AJT1313"/>
      <c r="AJU1313"/>
      <c r="AJV1313"/>
      <c r="AJW1313"/>
      <c r="AJX1313"/>
      <c r="AJY1313"/>
      <c r="AJZ1313"/>
      <c r="AKA1313"/>
      <c r="AKB1313"/>
      <c r="AKC1313"/>
      <c r="AKD1313"/>
      <c r="AKE1313"/>
      <c r="AKF1313"/>
      <c r="AKG1313"/>
      <c r="AKH1313"/>
      <c r="AKI1313"/>
      <c r="AKJ1313"/>
      <c r="AKK1313"/>
      <c r="AKL1313"/>
      <c r="AKM1313"/>
      <c r="AKN1313"/>
      <c r="AKO1313"/>
      <c r="AKP1313"/>
      <c r="AKQ1313"/>
      <c r="AKR1313"/>
      <c r="AKS1313"/>
      <c r="AKT1313"/>
      <c r="AKU1313"/>
      <c r="AKV1313"/>
      <c r="AKW1313"/>
      <c r="AKX1313"/>
      <c r="AKY1313"/>
      <c r="AKZ1313"/>
      <c r="ALA1313"/>
      <c r="ALB1313"/>
      <c r="ALC1313"/>
      <c r="ALD1313"/>
      <c r="ALE1313"/>
      <c r="ALF1313"/>
      <c r="ALG1313"/>
      <c r="ALH1313"/>
      <c r="ALI1313"/>
      <c r="ALJ1313"/>
      <c r="ALK1313"/>
      <c r="ALL1313"/>
      <c r="ALM1313"/>
      <c r="ALN1313"/>
      <c r="ALO1313"/>
      <c r="ALP1313"/>
      <c r="ALQ1313"/>
      <c r="ALR1313"/>
      <c r="ALS1313"/>
      <c r="ALT1313"/>
    </row>
    <row r="1314" spans="3:1008" x14ac:dyDescent="0.15">
      <c r="C1314"/>
      <c r="F1314"/>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c r="AT1314"/>
      <c r="AU1314"/>
      <c r="AV1314"/>
      <c r="AW1314"/>
      <c r="AX1314"/>
      <c r="AY1314"/>
      <c r="AZ1314"/>
      <c r="BA1314"/>
      <c r="BB1314"/>
      <c r="BC1314"/>
      <c r="BD1314"/>
      <c r="BE1314"/>
      <c r="BF1314"/>
      <c r="BG1314"/>
      <c r="BH1314"/>
      <c r="BI1314"/>
      <c r="BJ1314"/>
      <c r="BK1314"/>
      <c r="BL1314"/>
      <c r="BM1314"/>
      <c r="BN1314"/>
      <c r="BO1314"/>
      <c r="BP1314"/>
      <c r="BQ1314"/>
      <c r="BR1314"/>
      <c r="BS1314"/>
      <c r="BT1314"/>
      <c r="BU1314"/>
      <c r="BV1314"/>
      <c r="BW1314"/>
      <c r="BX1314"/>
      <c r="BY1314"/>
      <c r="BZ1314"/>
      <c r="CA1314"/>
      <c r="CB1314"/>
      <c r="CC1314"/>
      <c r="CD1314"/>
      <c r="CE1314"/>
      <c r="CF1314"/>
      <c r="CG1314"/>
      <c r="CH1314"/>
      <c r="CI1314"/>
      <c r="CJ1314"/>
      <c r="CK1314"/>
      <c r="CL1314"/>
      <c r="CM1314"/>
      <c r="CN1314"/>
      <c r="CO1314"/>
      <c r="CP1314"/>
      <c r="CQ1314"/>
      <c r="CR1314"/>
      <c r="CS1314"/>
      <c r="CT1314"/>
      <c r="CU1314"/>
      <c r="CV1314"/>
      <c r="CW1314"/>
      <c r="CX1314"/>
      <c r="CY1314"/>
      <c r="CZ1314"/>
      <c r="DA1314"/>
      <c r="DB1314"/>
      <c r="DC1314"/>
      <c r="DD1314"/>
      <c r="DE1314"/>
      <c r="DF1314"/>
      <c r="DG1314"/>
      <c r="DH1314"/>
      <c r="DI1314"/>
      <c r="DJ1314"/>
      <c r="DK1314"/>
      <c r="DL1314"/>
      <c r="DM1314"/>
      <c r="DN1314"/>
      <c r="DO1314"/>
      <c r="DP1314"/>
      <c r="DQ1314"/>
      <c r="DR1314"/>
      <c r="DS1314"/>
      <c r="DT1314"/>
      <c r="DU1314"/>
      <c r="DV1314"/>
      <c r="DW1314"/>
      <c r="DX1314"/>
      <c r="DY1314"/>
      <c r="DZ1314"/>
      <c r="EA1314"/>
      <c r="EB1314"/>
      <c r="EC1314"/>
      <c r="ED1314"/>
      <c r="EE1314"/>
      <c r="EF1314"/>
      <c r="EG1314"/>
      <c r="EH1314"/>
      <c r="EI1314"/>
      <c r="EJ1314"/>
      <c r="EK1314"/>
      <c r="EL1314"/>
      <c r="EM1314"/>
      <c r="EN1314"/>
      <c r="EO1314"/>
      <c r="EP1314"/>
      <c r="EQ1314"/>
      <c r="ER1314"/>
      <c r="ES1314"/>
      <c r="ET1314"/>
      <c r="EU1314"/>
      <c r="EV1314"/>
      <c r="EW1314"/>
      <c r="EX1314"/>
      <c r="EY1314"/>
      <c r="EZ1314"/>
      <c r="FA1314"/>
      <c r="FB1314"/>
      <c r="FC1314"/>
      <c r="FD1314"/>
      <c r="FE1314"/>
      <c r="FF1314"/>
      <c r="FG1314"/>
      <c r="FH1314"/>
      <c r="FI1314"/>
      <c r="FJ1314"/>
      <c r="FK1314"/>
      <c r="FL1314"/>
      <c r="FM1314"/>
      <c r="FN1314"/>
      <c r="FO1314"/>
      <c r="FP1314"/>
      <c r="FQ1314"/>
      <c r="FR1314"/>
      <c r="FS1314"/>
      <c r="FT1314"/>
      <c r="FU1314"/>
      <c r="FV1314"/>
      <c r="FW1314"/>
      <c r="FX1314"/>
      <c r="FY1314"/>
      <c r="FZ1314"/>
      <c r="GA1314"/>
      <c r="GB1314"/>
      <c r="GC1314"/>
      <c r="GD1314"/>
      <c r="GE1314"/>
      <c r="GF1314"/>
      <c r="GG1314"/>
      <c r="GH1314"/>
      <c r="GI1314"/>
      <c r="GJ1314"/>
      <c r="GK1314"/>
      <c r="GL1314"/>
      <c r="GM1314"/>
      <c r="GN1314"/>
      <c r="GO1314"/>
      <c r="GP1314"/>
      <c r="GQ1314"/>
      <c r="GR1314"/>
      <c r="GS1314"/>
      <c r="GT1314"/>
      <c r="GU1314"/>
      <c r="GV1314"/>
      <c r="GW1314"/>
      <c r="GX1314"/>
      <c r="GY1314"/>
      <c r="GZ1314"/>
      <c r="HA1314"/>
      <c r="HB1314"/>
      <c r="HC1314"/>
      <c r="HD1314"/>
      <c r="HE1314"/>
      <c r="HF1314"/>
      <c r="HG1314"/>
      <c r="HH1314"/>
      <c r="HI1314"/>
      <c r="HJ1314"/>
      <c r="HK1314"/>
      <c r="HL1314"/>
      <c r="HM1314"/>
      <c r="HN1314"/>
      <c r="HO1314"/>
      <c r="HP1314"/>
      <c r="HQ1314"/>
      <c r="HR1314"/>
      <c r="HS1314"/>
      <c r="HT1314"/>
      <c r="HU1314"/>
      <c r="HV1314"/>
      <c r="HW1314"/>
      <c r="HX1314"/>
      <c r="HY1314"/>
      <c r="HZ1314"/>
      <c r="IA1314"/>
      <c r="IB1314"/>
      <c r="IC1314"/>
      <c r="ID1314"/>
      <c r="IE1314"/>
      <c r="IF1314"/>
      <c r="IG1314"/>
      <c r="IH1314"/>
      <c r="II1314"/>
      <c r="IJ1314"/>
      <c r="IK1314"/>
      <c r="IL1314"/>
      <c r="IM1314"/>
      <c r="IN1314"/>
      <c r="IO1314"/>
      <c r="IP1314"/>
      <c r="IQ1314"/>
      <c r="IR1314"/>
      <c r="IS1314"/>
      <c r="IT1314"/>
      <c r="IU1314"/>
      <c r="IV1314"/>
      <c r="IW1314"/>
      <c r="IX1314"/>
      <c r="IY1314"/>
      <c r="IZ1314"/>
      <c r="JA1314"/>
      <c r="JB1314"/>
      <c r="JC1314"/>
      <c r="JD1314"/>
      <c r="JE1314"/>
      <c r="JF1314"/>
      <c r="JG1314"/>
      <c r="JH1314"/>
      <c r="JI1314"/>
      <c r="JJ1314"/>
      <c r="JK1314"/>
      <c r="JL1314"/>
      <c r="JM1314"/>
      <c r="JN1314"/>
      <c r="JO1314"/>
      <c r="JP1314"/>
      <c r="JQ1314"/>
      <c r="JR1314"/>
      <c r="JS1314"/>
      <c r="JT1314"/>
      <c r="JU1314"/>
      <c r="JV1314"/>
      <c r="JW1314"/>
      <c r="JX1314"/>
      <c r="JY1314"/>
      <c r="JZ1314"/>
      <c r="KA1314"/>
      <c r="KB1314"/>
      <c r="KC1314"/>
      <c r="KD1314"/>
      <c r="KE1314"/>
      <c r="KF1314"/>
      <c r="KG1314"/>
      <c r="KH1314"/>
      <c r="KI1314"/>
      <c r="KJ1314"/>
      <c r="KK1314"/>
      <c r="KL1314"/>
      <c r="KM1314"/>
      <c r="KN1314"/>
      <c r="KO1314"/>
      <c r="KP1314"/>
      <c r="KQ1314"/>
      <c r="KR1314"/>
      <c r="KS1314"/>
      <c r="KT1314"/>
      <c r="KU1314"/>
      <c r="KV1314"/>
      <c r="KW1314"/>
      <c r="KX1314"/>
      <c r="KY1314"/>
      <c r="KZ1314"/>
      <c r="LA1314"/>
      <c r="LB1314"/>
      <c r="LC1314"/>
      <c r="LD1314"/>
      <c r="LE1314"/>
      <c r="LF1314"/>
      <c r="LG1314"/>
      <c r="LH1314"/>
      <c r="LI1314"/>
      <c r="LJ1314"/>
      <c r="LK1314"/>
      <c r="LL1314"/>
      <c r="LM1314"/>
      <c r="LN1314"/>
      <c r="LO1314"/>
      <c r="LP1314"/>
      <c r="LQ1314"/>
      <c r="LR1314"/>
      <c r="LS1314"/>
      <c r="LT1314"/>
      <c r="LU1314"/>
      <c r="LV1314"/>
      <c r="LW1314"/>
      <c r="LX1314"/>
      <c r="LY1314"/>
      <c r="LZ1314"/>
      <c r="MA1314"/>
      <c r="MB1314"/>
      <c r="MC1314"/>
      <c r="MD1314"/>
      <c r="ME1314"/>
      <c r="MF1314"/>
      <c r="MG1314"/>
      <c r="MH1314"/>
      <c r="MI1314"/>
      <c r="MJ1314"/>
      <c r="MK1314"/>
      <c r="ML1314"/>
      <c r="MM1314"/>
      <c r="MN1314"/>
      <c r="MO1314"/>
      <c r="MP1314"/>
      <c r="MQ1314"/>
      <c r="MR1314"/>
      <c r="MS1314"/>
      <c r="MT1314"/>
      <c r="MU1314"/>
      <c r="MV1314"/>
      <c r="MW1314"/>
      <c r="MX1314"/>
      <c r="MY1314"/>
      <c r="MZ1314"/>
      <c r="NA1314"/>
      <c r="NB1314"/>
      <c r="NC1314"/>
      <c r="ND1314"/>
      <c r="NE1314"/>
      <c r="NF1314"/>
      <c r="NG1314"/>
      <c r="NH1314"/>
      <c r="NI1314"/>
      <c r="NJ1314"/>
      <c r="NK1314"/>
      <c r="NL1314"/>
      <c r="NM1314"/>
      <c r="NN1314"/>
      <c r="NO1314"/>
      <c r="NP1314"/>
      <c r="NQ1314"/>
      <c r="NR1314"/>
      <c r="NS1314"/>
      <c r="NT1314"/>
      <c r="NU1314"/>
      <c r="NV1314"/>
      <c r="NW1314"/>
      <c r="NX1314"/>
      <c r="NY1314"/>
      <c r="NZ1314"/>
      <c r="OA1314"/>
      <c r="OB1314"/>
      <c r="OC1314"/>
      <c r="OD1314"/>
      <c r="OE1314"/>
      <c r="OF1314"/>
      <c r="OG1314"/>
      <c r="OH1314"/>
      <c r="OI1314"/>
      <c r="OJ1314"/>
      <c r="OK1314"/>
      <c r="OL1314"/>
      <c r="OM1314"/>
      <c r="ON1314"/>
      <c r="OO1314"/>
      <c r="OP1314"/>
      <c r="OQ1314"/>
      <c r="OR1314"/>
      <c r="OS1314"/>
      <c r="OT1314"/>
      <c r="OU1314"/>
      <c r="OV1314"/>
      <c r="OW1314"/>
      <c r="OX1314"/>
      <c r="OY1314"/>
      <c r="OZ1314"/>
      <c r="PA1314"/>
      <c r="PB1314"/>
      <c r="PC1314"/>
      <c r="PD1314"/>
      <c r="PE1314"/>
      <c r="PF1314"/>
      <c r="PG1314"/>
      <c r="PH1314"/>
      <c r="PI1314"/>
      <c r="PJ1314"/>
      <c r="PK1314"/>
      <c r="PL1314"/>
      <c r="PM1314"/>
      <c r="PN1314"/>
      <c r="PO1314"/>
      <c r="PP1314"/>
      <c r="PQ1314"/>
      <c r="PR1314"/>
      <c r="PS1314"/>
      <c r="PT1314"/>
      <c r="PU1314"/>
      <c r="PV1314"/>
      <c r="PW1314"/>
      <c r="PX1314"/>
      <c r="PY1314"/>
      <c r="PZ1314"/>
      <c r="QA1314"/>
      <c r="QB1314"/>
      <c r="QC1314"/>
      <c r="QD1314"/>
      <c r="QE1314"/>
      <c r="QF1314"/>
      <c r="QG1314"/>
      <c r="QH1314"/>
      <c r="QI1314"/>
      <c r="QJ1314"/>
      <c r="QK1314"/>
      <c r="QL1314"/>
      <c r="QM1314"/>
      <c r="QN1314"/>
      <c r="QO1314"/>
      <c r="QP1314"/>
      <c r="QQ1314"/>
      <c r="QR1314"/>
      <c r="QS1314"/>
      <c r="QT1314"/>
      <c r="QU1314"/>
      <c r="QV1314"/>
      <c r="QW1314"/>
      <c r="QX1314"/>
      <c r="QY1314"/>
      <c r="QZ1314"/>
      <c r="RA1314"/>
      <c r="RB1314"/>
      <c r="RC1314"/>
      <c r="RD1314"/>
      <c r="RE1314"/>
      <c r="RF1314"/>
      <c r="RG1314"/>
      <c r="RH1314"/>
      <c r="RI1314"/>
      <c r="RJ1314"/>
      <c r="RK1314"/>
      <c r="RL1314"/>
      <c r="RM1314"/>
      <c r="RN1314"/>
      <c r="RO1314"/>
      <c r="RP1314"/>
      <c r="RQ1314"/>
      <c r="RR1314"/>
      <c r="RS1314"/>
      <c r="RT1314"/>
      <c r="RU1314"/>
      <c r="RV1314"/>
      <c r="RW1314"/>
      <c r="RX1314"/>
      <c r="RY1314"/>
      <c r="RZ1314"/>
      <c r="SA1314"/>
      <c r="SB1314"/>
      <c r="SC1314"/>
      <c r="SD1314"/>
      <c r="SE1314"/>
      <c r="SF1314"/>
      <c r="SG1314"/>
      <c r="SH1314"/>
      <c r="SI1314"/>
      <c r="SJ1314"/>
      <c r="SK1314"/>
      <c r="SL1314"/>
      <c r="SM1314"/>
      <c r="SN1314"/>
      <c r="SO1314"/>
      <c r="SP1314"/>
      <c r="SQ1314"/>
      <c r="SR1314"/>
      <c r="SS1314"/>
      <c r="ST1314"/>
      <c r="SU1314"/>
      <c r="SV1314"/>
      <c r="SW1314"/>
      <c r="SX1314"/>
      <c r="SY1314"/>
      <c r="SZ1314"/>
      <c r="TA1314"/>
      <c r="TB1314"/>
      <c r="TC1314"/>
      <c r="TD1314"/>
      <c r="TE1314"/>
      <c r="TF1314"/>
      <c r="TG1314"/>
      <c r="TH1314"/>
      <c r="TI1314"/>
      <c r="TJ1314"/>
      <c r="TK1314"/>
      <c r="TL1314"/>
      <c r="TM1314"/>
      <c r="TN1314"/>
      <c r="TO1314"/>
      <c r="TP1314"/>
      <c r="TQ1314"/>
      <c r="TR1314"/>
      <c r="TS1314"/>
      <c r="TT1314"/>
      <c r="TU1314"/>
      <c r="TV1314"/>
      <c r="TW1314"/>
      <c r="TX1314"/>
      <c r="TY1314"/>
      <c r="TZ1314"/>
      <c r="UA1314"/>
      <c r="UB1314"/>
      <c r="UC1314"/>
      <c r="UD1314"/>
      <c r="UE1314"/>
      <c r="UF1314"/>
      <c r="UG1314"/>
      <c r="UH1314"/>
      <c r="UI1314"/>
      <c r="UJ1314"/>
      <c r="UK1314"/>
      <c r="UL1314"/>
      <c r="UM1314"/>
      <c r="UN1314"/>
      <c r="UO1314"/>
      <c r="UP1314"/>
      <c r="UQ1314"/>
      <c r="UR1314"/>
      <c r="US1314"/>
      <c r="UT1314"/>
      <c r="UU1314"/>
      <c r="UV1314"/>
      <c r="UW1314"/>
      <c r="UX1314"/>
      <c r="UY1314"/>
      <c r="UZ1314"/>
      <c r="VA1314"/>
      <c r="VB1314"/>
      <c r="VC1314"/>
      <c r="VD1314"/>
      <c r="VE1314"/>
      <c r="VF1314"/>
      <c r="VG1314"/>
      <c r="VH1314"/>
      <c r="VI1314"/>
      <c r="VJ1314"/>
      <c r="VK1314"/>
      <c r="VL1314"/>
      <c r="VM1314"/>
      <c r="VN1314"/>
      <c r="VO1314"/>
      <c r="VP1314"/>
      <c r="VQ1314"/>
      <c r="VR1314"/>
      <c r="VS1314"/>
      <c r="VT1314"/>
      <c r="VU1314"/>
      <c r="VV1314"/>
      <c r="VW1314"/>
      <c r="VX1314"/>
      <c r="VY1314"/>
      <c r="VZ1314"/>
      <c r="WA1314"/>
      <c r="WB1314"/>
      <c r="WC1314"/>
      <c r="WD1314"/>
      <c r="WE1314"/>
      <c r="WF1314"/>
      <c r="WG1314"/>
      <c r="WH1314"/>
      <c r="WI1314"/>
      <c r="WJ1314"/>
      <c r="WK1314"/>
      <c r="WL1314"/>
      <c r="WM1314"/>
      <c r="WN1314"/>
      <c r="WO1314"/>
      <c r="WP1314"/>
      <c r="WQ1314"/>
      <c r="WR1314"/>
      <c r="WS1314"/>
      <c r="WT1314"/>
      <c r="WU1314"/>
      <c r="WV1314"/>
      <c r="WW1314"/>
      <c r="WX1314"/>
      <c r="WY1314"/>
      <c r="WZ1314"/>
      <c r="XA1314"/>
      <c r="XB1314"/>
      <c r="XC1314"/>
      <c r="XD1314"/>
      <c r="XE1314"/>
      <c r="XF1314"/>
      <c r="XG1314"/>
      <c r="XH1314"/>
      <c r="XI1314"/>
      <c r="XJ1314"/>
      <c r="XK1314"/>
      <c r="XL1314"/>
      <c r="XM1314"/>
      <c r="XN1314"/>
      <c r="XO1314"/>
      <c r="XP1314"/>
      <c r="XQ1314"/>
      <c r="XR1314"/>
      <c r="XS1314"/>
      <c r="XT1314"/>
      <c r="XU1314"/>
      <c r="XV1314"/>
      <c r="XW1314"/>
      <c r="XX1314"/>
      <c r="XY1314"/>
      <c r="XZ1314"/>
      <c r="YA1314"/>
      <c r="YB1314"/>
      <c r="YC1314"/>
      <c r="YD1314"/>
      <c r="YE1314"/>
      <c r="YF1314"/>
      <c r="YG1314"/>
      <c r="YH1314"/>
      <c r="YI1314"/>
      <c r="YJ1314"/>
      <c r="YK1314"/>
      <c r="YL1314"/>
      <c r="YM1314"/>
      <c r="YN1314"/>
      <c r="YO1314"/>
      <c r="YP1314"/>
      <c r="YQ1314"/>
      <c r="YR1314"/>
      <c r="YS1314"/>
      <c r="YT1314"/>
      <c r="YU1314"/>
      <c r="YV1314"/>
      <c r="YW1314"/>
      <c r="YX1314"/>
      <c r="YY1314"/>
      <c r="YZ1314"/>
      <c r="ZA1314"/>
      <c r="ZB1314"/>
      <c r="ZC1314"/>
      <c r="ZD1314"/>
      <c r="ZE1314"/>
      <c r="ZF1314"/>
      <c r="ZG1314"/>
      <c r="ZH1314"/>
      <c r="ZI1314"/>
      <c r="ZJ1314"/>
      <c r="ZK1314"/>
      <c r="ZL1314"/>
      <c r="ZM1314"/>
      <c r="ZN1314"/>
      <c r="ZO1314"/>
      <c r="ZP1314"/>
      <c r="ZQ1314"/>
      <c r="ZR1314"/>
      <c r="ZS1314"/>
      <c r="ZT1314"/>
      <c r="ZU1314"/>
      <c r="ZV1314"/>
      <c r="ZW1314"/>
      <c r="ZX1314"/>
      <c r="ZY1314"/>
      <c r="ZZ1314"/>
      <c r="AAA1314"/>
      <c r="AAB1314"/>
      <c r="AAC1314"/>
      <c r="AAD1314"/>
      <c r="AAE1314"/>
      <c r="AAF1314"/>
      <c r="AAG1314"/>
      <c r="AAH1314"/>
      <c r="AAI1314"/>
      <c r="AAJ1314"/>
      <c r="AAK1314"/>
      <c r="AAL1314"/>
      <c r="AAM1314"/>
      <c r="AAN1314"/>
      <c r="AAO1314"/>
      <c r="AAP1314"/>
      <c r="AAQ1314"/>
      <c r="AAR1314"/>
      <c r="AAS1314"/>
      <c r="AAT1314"/>
      <c r="AAU1314"/>
      <c r="AAV1314"/>
      <c r="AAW1314"/>
      <c r="AAX1314"/>
      <c r="AAY1314"/>
      <c r="AAZ1314"/>
      <c r="ABA1314"/>
      <c r="ABB1314"/>
      <c r="ABC1314"/>
      <c r="ABD1314"/>
      <c r="ABE1314"/>
      <c r="ABF1314"/>
      <c r="ABG1314"/>
      <c r="ABH1314"/>
      <c r="ABI1314"/>
      <c r="ABJ1314"/>
      <c r="ABK1314"/>
      <c r="ABL1314"/>
      <c r="ABM1314"/>
      <c r="ABN1314"/>
      <c r="ABO1314"/>
      <c r="ABP1314"/>
      <c r="ABQ1314"/>
      <c r="ABR1314"/>
      <c r="ABS1314"/>
      <c r="ABT1314"/>
      <c r="ABU1314"/>
      <c r="ABV1314"/>
      <c r="ABW1314"/>
      <c r="ABX1314"/>
      <c r="ABY1314"/>
      <c r="ABZ1314"/>
      <c r="ACA1314"/>
      <c r="ACB1314"/>
      <c r="ACC1314"/>
      <c r="ACD1314"/>
      <c r="ACE1314"/>
      <c r="ACF1314"/>
      <c r="ACG1314"/>
      <c r="ACH1314"/>
      <c r="ACI1314"/>
      <c r="ACJ1314"/>
      <c r="ACK1314"/>
      <c r="ACL1314"/>
      <c r="ACM1314"/>
      <c r="ACN1314"/>
      <c r="ACO1314"/>
      <c r="ACP1314"/>
      <c r="ACQ1314"/>
      <c r="ACR1314"/>
      <c r="ACS1314"/>
      <c r="ACT1314"/>
      <c r="ACU1314"/>
      <c r="ACV1314"/>
      <c r="ACW1314"/>
      <c r="ACX1314"/>
      <c r="ACY1314"/>
      <c r="ACZ1314"/>
      <c r="ADA1314"/>
      <c r="ADB1314"/>
      <c r="ADC1314"/>
      <c r="ADD1314"/>
      <c r="ADE1314"/>
      <c r="ADF1314"/>
      <c r="ADG1314"/>
      <c r="ADH1314"/>
      <c r="ADI1314"/>
      <c r="ADJ1314"/>
      <c r="ADK1314"/>
      <c r="ADL1314"/>
      <c r="ADM1314"/>
      <c r="ADN1314"/>
      <c r="ADO1314"/>
      <c r="ADP1314"/>
      <c r="ADQ1314"/>
      <c r="ADR1314"/>
      <c r="ADS1314"/>
      <c r="ADT1314"/>
      <c r="ADU1314"/>
      <c r="ADV1314"/>
      <c r="ADW1314"/>
      <c r="ADX1314"/>
      <c r="ADY1314"/>
      <c r="ADZ1314"/>
      <c r="AEA1314"/>
      <c r="AEB1314"/>
      <c r="AEC1314"/>
      <c r="AED1314"/>
      <c r="AEE1314"/>
      <c r="AEF1314"/>
      <c r="AEG1314"/>
      <c r="AEH1314"/>
      <c r="AEI1314"/>
      <c r="AEJ1314"/>
      <c r="AEK1314"/>
      <c r="AEL1314"/>
      <c r="AEM1314"/>
      <c r="AEN1314"/>
      <c r="AEO1314"/>
      <c r="AEP1314"/>
      <c r="AEQ1314"/>
      <c r="AER1314"/>
      <c r="AES1314"/>
      <c r="AET1314"/>
      <c r="AEU1314"/>
      <c r="AEV1314"/>
      <c r="AEW1314"/>
      <c r="AEX1314"/>
      <c r="AEY1314"/>
      <c r="AEZ1314"/>
      <c r="AFA1314"/>
      <c r="AFB1314"/>
      <c r="AFC1314"/>
      <c r="AFD1314"/>
      <c r="AFE1314"/>
      <c r="AFF1314"/>
      <c r="AFG1314"/>
      <c r="AFH1314"/>
      <c r="AFI1314"/>
      <c r="AFJ1314"/>
      <c r="AFK1314"/>
      <c r="AFL1314"/>
      <c r="AFM1314"/>
      <c r="AFN1314"/>
      <c r="AFO1314"/>
      <c r="AFP1314"/>
      <c r="AFQ1314"/>
      <c r="AFR1314"/>
      <c r="AFS1314"/>
      <c r="AFT1314"/>
      <c r="AFU1314"/>
      <c r="AFV1314"/>
      <c r="AFW1314"/>
      <c r="AFX1314"/>
      <c r="AFY1314"/>
      <c r="AFZ1314"/>
      <c r="AGA1314"/>
      <c r="AGB1314"/>
      <c r="AGC1314"/>
      <c r="AGD1314"/>
      <c r="AGE1314"/>
      <c r="AGF1314"/>
      <c r="AGG1314"/>
      <c r="AGH1314"/>
      <c r="AGI1314"/>
      <c r="AGJ1314"/>
      <c r="AGK1314"/>
      <c r="AGL1314"/>
      <c r="AGM1314"/>
      <c r="AGN1314"/>
      <c r="AGO1314"/>
      <c r="AGP1314"/>
      <c r="AGQ1314"/>
      <c r="AGR1314"/>
      <c r="AGS1314"/>
      <c r="AGT1314"/>
      <c r="AGU1314"/>
      <c r="AGV1314"/>
      <c r="AGW1314"/>
      <c r="AGX1314"/>
      <c r="AGY1314"/>
      <c r="AGZ1314"/>
      <c r="AHA1314"/>
      <c r="AHB1314"/>
      <c r="AHC1314"/>
      <c r="AHD1314"/>
      <c r="AHE1314"/>
      <c r="AHF1314"/>
      <c r="AHG1314"/>
      <c r="AHH1314"/>
      <c r="AHI1314"/>
      <c r="AHJ1314"/>
      <c r="AHK1314"/>
      <c r="AHL1314"/>
      <c r="AHM1314"/>
      <c r="AHN1314"/>
      <c r="AHO1314"/>
      <c r="AHP1314"/>
      <c r="AHQ1314"/>
      <c r="AHR1314"/>
      <c r="AHS1314"/>
      <c r="AHT1314"/>
      <c r="AHU1314"/>
      <c r="AHV1314"/>
      <c r="AHW1314"/>
      <c r="AHX1314"/>
      <c r="AHY1314"/>
      <c r="AHZ1314"/>
      <c r="AIA1314"/>
      <c r="AIB1314"/>
      <c r="AIC1314"/>
      <c r="AID1314"/>
      <c r="AIE1314"/>
      <c r="AIF1314"/>
      <c r="AIG1314"/>
      <c r="AIH1314"/>
      <c r="AII1314"/>
      <c r="AIJ1314"/>
      <c r="AIK1314"/>
      <c r="AIL1314"/>
      <c r="AIM1314"/>
      <c r="AIN1314"/>
      <c r="AIO1314"/>
      <c r="AIP1314"/>
      <c r="AIQ1314"/>
      <c r="AIR1314"/>
      <c r="AIS1314"/>
      <c r="AIT1314"/>
      <c r="AIU1314"/>
      <c r="AIV1314"/>
      <c r="AIW1314"/>
      <c r="AIX1314"/>
      <c r="AIY1314"/>
      <c r="AIZ1314"/>
      <c r="AJA1314"/>
      <c r="AJB1314"/>
      <c r="AJC1314"/>
      <c r="AJD1314"/>
      <c r="AJE1314"/>
      <c r="AJF1314"/>
      <c r="AJG1314"/>
      <c r="AJH1314"/>
      <c r="AJI1314"/>
      <c r="AJJ1314"/>
      <c r="AJK1314"/>
      <c r="AJL1314"/>
      <c r="AJM1314"/>
      <c r="AJN1314"/>
      <c r="AJO1314"/>
      <c r="AJP1314"/>
      <c r="AJQ1314"/>
      <c r="AJR1314"/>
      <c r="AJS1314"/>
      <c r="AJT1314"/>
      <c r="AJU1314"/>
      <c r="AJV1314"/>
      <c r="AJW1314"/>
      <c r="AJX1314"/>
      <c r="AJY1314"/>
      <c r="AJZ1314"/>
      <c r="AKA1314"/>
      <c r="AKB1314"/>
      <c r="AKC1314"/>
      <c r="AKD1314"/>
      <c r="AKE1314"/>
      <c r="AKF1314"/>
      <c r="AKG1314"/>
      <c r="AKH1314"/>
      <c r="AKI1314"/>
      <c r="AKJ1314"/>
      <c r="AKK1314"/>
      <c r="AKL1314"/>
      <c r="AKM1314"/>
      <c r="AKN1314"/>
      <c r="AKO1314"/>
      <c r="AKP1314"/>
      <c r="AKQ1314"/>
      <c r="AKR1314"/>
      <c r="AKS1314"/>
      <c r="AKT1314"/>
      <c r="AKU1314"/>
      <c r="AKV1314"/>
      <c r="AKW1314"/>
      <c r="AKX1314"/>
      <c r="AKY1314"/>
      <c r="AKZ1314"/>
      <c r="ALA1314"/>
      <c r="ALB1314"/>
      <c r="ALC1314"/>
      <c r="ALD1314"/>
      <c r="ALE1314"/>
      <c r="ALF1314"/>
      <c r="ALG1314"/>
      <c r="ALH1314"/>
      <c r="ALI1314"/>
      <c r="ALJ1314"/>
      <c r="ALK1314"/>
      <c r="ALL1314"/>
      <c r="ALM1314"/>
      <c r="ALN1314"/>
      <c r="ALO1314"/>
      <c r="ALP1314"/>
      <c r="ALQ1314"/>
      <c r="ALR1314"/>
      <c r="ALS1314"/>
      <c r="ALT1314"/>
    </row>
    <row r="1315" spans="3:1008" x14ac:dyDescent="0.15">
      <c r="C1315"/>
      <c r="F1315"/>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c r="AT1315"/>
      <c r="AU1315"/>
      <c r="AV1315"/>
      <c r="AW1315"/>
      <c r="AX1315"/>
      <c r="AY1315"/>
      <c r="AZ1315"/>
      <c r="BA1315"/>
      <c r="BB1315"/>
      <c r="BC1315"/>
      <c r="BD1315"/>
      <c r="BE1315"/>
      <c r="BF1315"/>
      <c r="BG1315"/>
      <c r="BH1315"/>
      <c r="BI1315"/>
      <c r="BJ1315"/>
      <c r="BK1315"/>
      <c r="BL1315"/>
      <c r="BM1315"/>
      <c r="BN1315"/>
      <c r="BO1315"/>
      <c r="BP1315"/>
      <c r="BQ1315"/>
      <c r="BR1315"/>
      <c r="BS1315"/>
      <c r="BT1315"/>
      <c r="BU1315"/>
      <c r="BV1315"/>
      <c r="BW1315"/>
      <c r="BX1315"/>
      <c r="BY1315"/>
      <c r="BZ1315"/>
      <c r="CA1315"/>
      <c r="CB1315"/>
      <c r="CC1315"/>
      <c r="CD1315"/>
      <c r="CE1315"/>
      <c r="CF1315"/>
      <c r="CG1315"/>
      <c r="CH1315"/>
      <c r="CI1315"/>
      <c r="CJ1315"/>
      <c r="CK1315"/>
      <c r="CL1315"/>
      <c r="CM1315"/>
      <c r="CN1315"/>
      <c r="CO1315"/>
      <c r="CP1315"/>
      <c r="CQ1315"/>
      <c r="CR1315"/>
      <c r="CS1315"/>
      <c r="CT1315"/>
      <c r="CU1315"/>
      <c r="CV1315"/>
      <c r="CW1315"/>
      <c r="CX1315"/>
      <c r="CY1315"/>
      <c r="CZ1315"/>
      <c r="DA1315"/>
      <c r="DB1315"/>
      <c r="DC1315"/>
      <c r="DD1315"/>
      <c r="DE1315"/>
      <c r="DF1315"/>
      <c r="DG1315"/>
      <c r="DH1315"/>
      <c r="DI1315"/>
      <c r="DJ1315"/>
      <c r="DK1315"/>
      <c r="DL1315"/>
      <c r="DM1315"/>
      <c r="DN1315"/>
      <c r="DO1315"/>
      <c r="DP1315"/>
      <c r="DQ1315"/>
      <c r="DR1315"/>
      <c r="DS1315"/>
      <c r="DT1315"/>
      <c r="DU1315"/>
      <c r="DV1315"/>
      <c r="DW1315"/>
      <c r="DX1315"/>
      <c r="DY1315"/>
      <c r="DZ1315"/>
      <c r="EA1315"/>
      <c r="EB1315"/>
      <c r="EC1315"/>
      <c r="ED1315"/>
      <c r="EE1315"/>
      <c r="EF1315"/>
      <c r="EG1315"/>
      <c r="EH1315"/>
      <c r="EI1315"/>
      <c r="EJ1315"/>
      <c r="EK1315"/>
      <c r="EL1315"/>
      <c r="EM1315"/>
      <c r="EN1315"/>
      <c r="EO1315"/>
      <c r="EP1315"/>
      <c r="EQ1315"/>
      <c r="ER1315"/>
      <c r="ES1315"/>
      <c r="ET1315"/>
      <c r="EU1315"/>
      <c r="EV1315"/>
      <c r="EW1315"/>
      <c r="EX1315"/>
      <c r="EY1315"/>
      <c r="EZ1315"/>
      <c r="FA1315"/>
      <c r="FB1315"/>
      <c r="FC1315"/>
      <c r="FD1315"/>
      <c r="FE1315"/>
      <c r="FF1315"/>
      <c r="FG1315"/>
      <c r="FH1315"/>
      <c r="FI1315"/>
      <c r="FJ1315"/>
      <c r="FK1315"/>
      <c r="FL1315"/>
      <c r="FM1315"/>
      <c r="FN1315"/>
      <c r="FO1315"/>
      <c r="FP1315"/>
      <c r="FQ1315"/>
      <c r="FR1315"/>
      <c r="FS1315"/>
      <c r="FT1315"/>
      <c r="FU1315"/>
      <c r="FV1315"/>
      <c r="FW1315"/>
      <c r="FX1315"/>
      <c r="FY1315"/>
      <c r="FZ1315"/>
      <c r="GA1315"/>
      <c r="GB1315"/>
      <c r="GC1315"/>
      <c r="GD1315"/>
      <c r="GE1315"/>
      <c r="GF1315"/>
      <c r="GG1315"/>
      <c r="GH1315"/>
      <c r="GI1315"/>
      <c r="GJ1315"/>
      <c r="GK1315"/>
      <c r="GL1315"/>
      <c r="GM1315"/>
      <c r="GN1315"/>
      <c r="GO1315"/>
      <c r="GP1315"/>
      <c r="GQ1315"/>
      <c r="GR1315"/>
      <c r="GS1315"/>
      <c r="GT1315"/>
      <c r="GU1315"/>
      <c r="GV1315"/>
      <c r="GW1315"/>
      <c r="GX1315"/>
      <c r="GY1315"/>
      <c r="GZ1315"/>
      <c r="HA1315"/>
      <c r="HB1315"/>
      <c r="HC1315"/>
      <c r="HD1315"/>
      <c r="HE1315"/>
      <c r="HF1315"/>
      <c r="HG1315"/>
      <c r="HH1315"/>
      <c r="HI1315"/>
      <c r="HJ1315"/>
      <c r="HK1315"/>
      <c r="HL1315"/>
      <c r="HM1315"/>
      <c r="HN1315"/>
      <c r="HO1315"/>
      <c r="HP1315"/>
      <c r="HQ1315"/>
      <c r="HR1315"/>
      <c r="HS1315"/>
      <c r="HT1315"/>
      <c r="HU1315"/>
      <c r="HV1315"/>
      <c r="HW1315"/>
      <c r="HX1315"/>
      <c r="HY1315"/>
      <c r="HZ1315"/>
      <c r="IA1315"/>
      <c r="IB1315"/>
      <c r="IC1315"/>
      <c r="ID1315"/>
      <c r="IE1315"/>
      <c r="IF1315"/>
      <c r="IG1315"/>
      <c r="IH1315"/>
      <c r="II1315"/>
      <c r="IJ1315"/>
      <c r="IK1315"/>
      <c r="IL1315"/>
      <c r="IM1315"/>
      <c r="IN1315"/>
      <c r="IO1315"/>
      <c r="IP1315"/>
      <c r="IQ1315"/>
      <c r="IR1315"/>
      <c r="IS1315"/>
      <c r="IT1315"/>
      <c r="IU1315"/>
      <c r="IV1315"/>
      <c r="IW1315"/>
      <c r="IX1315"/>
      <c r="IY1315"/>
      <c r="IZ1315"/>
      <c r="JA1315"/>
      <c r="JB1315"/>
      <c r="JC1315"/>
      <c r="JD1315"/>
      <c r="JE1315"/>
      <c r="JF1315"/>
      <c r="JG1315"/>
      <c r="JH1315"/>
      <c r="JI1315"/>
      <c r="JJ1315"/>
      <c r="JK1315"/>
      <c r="JL1315"/>
      <c r="JM1315"/>
      <c r="JN1315"/>
      <c r="JO1315"/>
      <c r="JP1315"/>
      <c r="JQ1315"/>
      <c r="JR1315"/>
      <c r="JS1315"/>
      <c r="JT1315"/>
      <c r="JU1315"/>
      <c r="JV1315"/>
      <c r="JW1315"/>
      <c r="JX1315"/>
      <c r="JY1315"/>
      <c r="JZ1315"/>
      <c r="KA1315"/>
      <c r="KB1315"/>
      <c r="KC1315"/>
      <c r="KD1315"/>
      <c r="KE1315"/>
      <c r="KF1315"/>
      <c r="KG1315"/>
      <c r="KH1315"/>
      <c r="KI1315"/>
      <c r="KJ1315"/>
      <c r="KK1315"/>
      <c r="KL1315"/>
      <c r="KM1315"/>
      <c r="KN1315"/>
      <c r="KO1315"/>
      <c r="KP1315"/>
      <c r="KQ1315"/>
      <c r="KR1315"/>
      <c r="KS1315"/>
      <c r="KT1315"/>
      <c r="KU1315"/>
      <c r="KV1315"/>
      <c r="KW1315"/>
      <c r="KX1315"/>
      <c r="KY1315"/>
      <c r="KZ1315"/>
      <c r="LA1315"/>
      <c r="LB1315"/>
      <c r="LC1315"/>
      <c r="LD1315"/>
      <c r="LE1315"/>
      <c r="LF1315"/>
      <c r="LG1315"/>
      <c r="LH1315"/>
      <c r="LI1315"/>
      <c r="LJ1315"/>
      <c r="LK1315"/>
      <c r="LL1315"/>
      <c r="LM1315"/>
      <c r="LN1315"/>
      <c r="LO1315"/>
      <c r="LP1315"/>
      <c r="LQ1315"/>
      <c r="LR1315"/>
      <c r="LS1315"/>
      <c r="LT1315"/>
      <c r="LU1315"/>
      <c r="LV1315"/>
      <c r="LW1315"/>
      <c r="LX1315"/>
      <c r="LY1315"/>
      <c r="LZ1315"/>
      <c r="MA1315"/>
      <c r="MB1315"/>
      <c r="MC1315"/>
      <c r="MD1315"/>
      <c r="ME1315"/>
      <c r="MF1315"/>
      <c r="MG1315"/>
      <c r="MH1315"/>
      <c r="MI1315"/>
      <c r="MJ1315"/>
      <c r="MK1315"/>
      <c r="ML1315"/>
      <c r="MM1315"/>
      <c r="MN1315"/>
      <c r="MO1315"/>
      <c r="MP1315"/>
      <c r="MQ1315"/>
      <c r="MR1315"/>
      <c r="MS1315"/>
      <c r="MT1315"/>
      <c r="MU1315"/>
      <c r="MV1315"/>
      <c r="MW1315"/>
      <c r="MX1315"/>
      <c r="MY1315"/>
      <c r="MZ1315"/>
      <c r="NA1315"/>
      <c r="NB1315"/>
      <c r="NC1315"/>
      <c r="ND1315"/>
      <c r="NE1315"/>
      <c r="NF1315"/>
      <c r="NG1315"/>
      <c r="NH1315"/>
      <c r="NI1315"/>
      <c r="NJ1315"/>
      <c r="NK1315"/>
      <c r="NL1315"/>
      <c r="NM1315"/>
      <c r="NN1315"/>
      <c r="NO1315"/>
      <c r="NP1315"/>
      <c r="NQ1315"/>
      <c r="NR1315"/>
      <c r="NS1315"/>
      <c r="NT1315"/>
      <c r="NU1315"/>
      <c r="NV1315"/>
      <c r="NW1315"/>
      <c r="NX1315"/>
      <c r="NY1315"/>
      <c r="NZ1315"/>
      <c r="OA1315"/>
      <c r="OB1315"/>
      <c r="OC1315"/>
      <c r="OD1315"/>
      <c r="OE1315"/>
      <c r="OF1315"/>
      <c r="OG1315"/>
      <c r="OH1315"/>
      <c r="OI1315"/>
      <c r="OJ1315"/>
      <c r="OK1315"/>
      <c r="OL1315"/>
      <c r="OM1315"/>
      <c r="ON1315"/>
      <c r="OO1315"/>
      <c r="OP1315"/>
      <c r="OQ1315"/>
      <c r="OR1315"/>
      <c r="OS1315"/>
      <c r="OT1315"/>
      <c r="OU1315"/>
      <c r="OV1315"/>
      <c r="OW1315"/>
      <c r="OX1315"/>
      <c r="OY1315"/>
      <c r="OZ1315"/>
      <c r="PA1315"/>
      <c r="PB1315"/>
      <c r="PC1315"/>
      <c r="PD1315"/>
      <c r="PE1315"/>
      <c r="PF1315"/>
      <c r="PG1315"/>
      <c r="PH1315"/>
      <c r="PI1315"/>
      <c r="PJ1315"/>
      <c r="PK1315"/>
      <c r="PL1315"/>
      <c r="PM1315"/>
      <c r="PN1315"/>
      <c r="PO1315"/>
      <c r="PP1315"/>
      <c r="PQ1315"/>
      <c r="PR1315"/>
      <c r="PS1315"/>
      <c r="PT1315"/>
      <c r="PU1315"/>
      <c r="PV1315"/>
      <c r="PW1315"/>
      <c r="PX1315"/>
      <c r="PY1315"/>
      <c r="PZ1315"/>
      <c r="QA1315"/>
      <c r="QB1315"/>
      <c r="QC1315"/>
      <c r="QD1315"/>
      <c r="QE1315"/>
      <c r="QF1315"/>
      <c r="QG1315"/>
      <c r="QH1315"/>
      <c r="QI1315"/>
      <c r="QJ1315"/>
      <c r="QK1315"/>
      <c r="QL1315"/>
      <c r="QM1315"/>
      <c r="QN1315"/>
      <c r="QO1315"/>
      <c r="QP1315"/>
      <c r="QQ1315"/>
      <c r="QR1315"/>
      <c r="QS1315"/>
      <c r="QT1315"/>
      <c r="QU1315"/>
      <c r="QV1315"/>
      <c r="QW1315"/>
      <c r="QX1315"/>
      <c r="QY1315"/>
      <c r="QZ1315"/>
      <c r="RA1315"/>
      <c r="RB1315"/>
      <c r="RC1315"/>
      <c r="RD1315"/>
      <c r="RE1315"/>
      <c r="RF1315"/>
      <c r="RG1315"/>
      <c r="RH1315"/>
      <c r="RI1315"/>
      <c r="RJ1315"/>
      <c r="RK1315"/>
      <c r="RL1315"/>
      <c r="RM1315"/>
      <c r="RN1315"/>
      <c r="RO1315"/>
      <c r="RP1315"/>
      <c r="RQ1315"/>
      <c r="RR1315"/>
      <c r="RS1315"/>
      <c r="RT1315"/>
      <c r="RU1315"/>
      <c r="RV1315"/>
      <c r="RW1315"/>
      <c r="RX1315"/>
      <c r="RY1315"/>
      <c r="RZ1315"/>
      <c r="SA1315"/>
      <c r="SB1315"/>
      <c r="SC1315"/>
      <c r="SD1315"/>
      <c r="SE1315"/>
      <c r="SF1315"/>
      <c r="SG1315"/>
      <c r="SH1315"/>
      <c r="SI1315"/>
      <c r="SJ1315"/>
      <c r="SK1315"/>
      <c r="SL1315"/>
      <c r="SM1315"/>
      <c r="SN1315"/>
      <c r="SO1315"/>
      <c r="SP1315"/>
      <c r="SQ1315"/>
      <c r="SR1315"/>
      <c r="SS1315"/>
      <c r="ST1315"/>
      <c r="SU1315"/>
      <c r="SV1315"/>
      <c r="SW1315"/>
      <c r="SX1315"/>
      <c r="SY1315"/>
      <c r="SZ1315"/>
      <c r="TA1315"/>
      <c r="TB1315"/>
      <c r="TC1315"/>
      <c r="TD1315"/>
      <c r="TE1315"/>
      <c r="TF1315"/>
      <c r="TG1315"/>
      <c r="TH1315"/>
      <c r="TI1315"/>
      <c r="TJ1315"/>
      <c r="TK1315"/>
      <c r="TL1315"/>
      <c r="TM1315"/>
      <c r="TN1315"/>
      <c r="TO1315"/>
      <c r="TP1315"/>
      <c r="TQ1315"/>
      <c r="TR1315"/>
      <c r="TS1315"/>
      <c r="TT1315"/>
      <c r="TU1315"/>
      <c r="TV1315"/>
      <c r="TW1315"/>
      <c r="TX1315"/>
      <c r="TY1315"/>
      <c r="TZ1315"/>
      <c r="UA1315"/>
      <c r="UB1315"/>
      <c r="UC1315"/>
      <c r="UD1315"/>
      <c r="UE1315"/>
      <c r="UF1315"/>
      <c r="UG1315"/>
      <c r="UH1315"/>
      <c r="UI1315"/>
      <c r="UJ1315"/>
      <c r="UK1315"/>
      <c r="UL1315"/>
      <c r="UM1315"/>
      <c r="UN1315"/>
      <c r="UO1315"/>
      <c r="UP1315"/>
      <c r="UQ1315"/>
      <c r="UR1315"/>
      <c r="US1315"/>
      <c r="UT1315"/>
      <c r="UU1315"/>
      <c r="UV1315"/>
      <c r="UW1315"/>
      <c r="UX1315"/>
      <c r="UY1315"/>
      <c r="UZ1315"/>
      <c r="VA1315"/>
      <c r="VB1315"/>
      <c r="VC1315"/>
      <c r="VD1315"/>
      <c r="VE1315"/>
      <c r="VF1315"/>
      <c r="VG1315"/>
      <c r="VH1315"/>
      <c r="VI1315"/>
      <c r="VJ1315"/>
      <c r="VK1315"/>
      <c r="VL1315"/>
      <c r="VM1315"/>
      <c r="VN1315"/>
      <c r="VO1315"/>
      <c r="VP1315"/>
      <c r="VQ1315"/>
      <c r="VR1315"/>
      <c r="VS1315"/>
      <c r="VT1315"/>
      <c r="VU1315"/>
      <c r="VV1315"/>
      <c r="VW1315"/>
      <c r="VX1315"/>
      <c r="VY1315"/>
      <c r="VZ1315"/>
      <c r="WA1315"/>
      <c r="WB1315"/>
      <c r="WC1315"/>
      <c r="WD1315"/>
      <c r="WE1315"/>
      <c r="WF1315"/>
      <c r="WG1315"/>
      <c r="WH1315"/>
      <c r="WI1315"/>
      <c r="WJ1315"/>
      <c r="WK1315"/>
      <c r="WL1315"/>
      <c r="WM1315"/>
      <c r="WN1315"/>
      <c r="WO1315"/>
      <c r="WP1315"/>
      <c r="WQ1315"/>
      <c r="WR1315"/>
      <c r="WS1315"/>
      <c r="WT1315"/>
      <c r="WU1315"/>
      <c r="WV1315"/>
      <c r="WW1315"/>
      <c r="WX1315"/>
      <c r="WY1315"/>
      <c r="WZ1315"/>
      <c r="XA1315"/>
      <c r="XB1315"/>
      <c r="XC1315"/>
      <c r="XD1315"/>
      <c r="XE1315"/>
      <c r="XF1315"/>
      <c r="XG1315"/>
      <c r="XH1315"/>
      <c r="XI1315"/>
      <c r="XJ1315"/>
      <c r="XK1315"/>
      <c r="XL1315"/>
      <c r="XM1315"/>
      <c r="XN1315"/>
      <c r="XO1315"/>
      <c r="XP1315"/>
      <c r="XQ1315"/>
      <c r="XR1315"/>
      <c r="XS1315"/>
      <c r="XT1315"/>
      <c r="XU1315"/>
      <c r="XV1315"/>
      <c r="XW1315"/>
      <c r="XX1315"/>
      <c r="XY1315"/>
      <c r="XZ1315"/>
      <c r="YA1315"/>
      <c r="YB1315"/>
      <c r="YC1315"/>
      <c r="YD1315"/>
      <c r="YE1315"/>
      <c r="YF1315"/>
      <c r="YG1315"/>
      <c r="YH1315"/>
      <c r="YI1315"/>
      <c r="YJ1315"/>
      <c r="YK1315"/>
      <c r="YL1315"/>
      <c r="YM1315"/>
      <c r="YN1315"/>
      <c r="YO1315"/>
      <c r="YP1315"/>
      <c r="YQ1315"/>
      <c r="YR1315"/>
      <c r="YS1315"/>
      <c r="YT1315"/>
      <c r="YU1315"/>
      <c r="YV1315"/>
      <c r="YW1315"/>
      <c r="YX1315"/>
      <c r="YY1315"/>
      <c r="YZ1315"/>
      <c r="ZA1315"/>
      <c r="ZB1315"/>
      <c r="ZC1315"/>
      <c r="ZD1315"/>
      <c r="ZE1315"/>
      <c r="ZF1315"/>
      <c r="ZG1315"/>
      <c r="ZH1315"/>
      <c r="ZI1315"/>
      <c r="ZJ1315"/>
      <c r="ZK1315"/>
      <c r="ZL1315"/>
      <c r="ZM1315"/>
      <c r="ZN1315"/>
      <c r="ZO1315"/>
      <c r="ZP1315"/>
      <c r="ZQ1315"/>
      <c r="ZR1315"/>
      <c r="ZS1315"/>
      <c r="ZT1315"/>
      <c r="ZU1315"/>
      <c r="ZV1315"/>
      <c r="ZW1315"/>
      <c r="ZX1315"/>
      <c r="ZY1315"/>
      <c r="ZZ1315"/>
      <c r="AAA1315"/>
      <c r="AAB1315"/>
      <c r="AAC1315"/>
      <c r="AAD1315"/>
      <c r="AAE1315"/>
      <c r="AAF1315"/>
      <c r="AAG1315"/>
      <c r="AAH1315"/>
      <c r="AAI1315"/>
      <c r="AAJ1315"/>
      <c r="AAK1315"/>
      <c r="AAL1315"/>
      <c r="AAM1315"/>
      <c r="AAN1315"/>
      <c r="AAO1315"/>
      <c r="AAP1315"/>
      <c r="AAQ1315"/>
      <c r="AAR1315"/>
      <c r="AAS1315"/>
      <c r="AAT1315"/>
      <c r="AAU1315"/>
      <c r="AAV1315"/>
      <c r="AAW1315"/>
      <c r="AAX1315"/>
      <c r="AAY1315"/>
      <c r="AAZ1315"/>
      <c r="ABA1315"/>
      <c r="ABB1315"/>
      <c r="ABC1315"/>
      <c r="ABD1315"/>
      <c r="ABE1315"/>
      <c r="ABF1315"/>
      <c r="ABG1315"/>
      <c r="ABH1315"/>
      <c r="ABI1315"/>
      <c r="ABJ1315"/>
      <c r="ABK1315"/>
      <c r="ABL1315"/>
      <c r="ABM1315"/>
      <c r="ABN1315"/>
      <c r="ABO1315"/>
      <c r="ABP1315"/>
      <c r="ABQ1315"/>
      <c r="ABR1315"/>
      <c r="ABS1315"/>
      <c r="ABT1315"/>
      <c r="ABU1315"/>
      <c r="ABV1315"/>
      <c r="ABW1315"/>
      <c r="ABX1315"/>
      <c r="ABY1315"/>
      <c r="ABZ1315"/>
      <c r="ACA1315"/>
      <c r="ACB1315"/>
      <c r="ACC1315"/>
      <c r="ACD1315"/>
      <c r="ACE1315"/>
      <c r="ACF1315"/>
      <c r="ACG1315"/>
      <c r="ACH1315"/>
      <c r="ACI1315"/>
      <c r="ACJ1315"/>
      <c r="ACK1315"/>
      <c r="ACL1315"/>
      <c r="ACM1315"/>
      <c r="ACN1315"/>
      <c r="ACO1315"/>
      <c r="ACP1315"/>
      <c r="ACQ1315"/>
      <c r="ACR1315"/>
      <c r="ACS1315"/>
      <c r="ACT1315"/>
      <c r="ACU1315"/>
      <c r="ACV1315"/>
      <c r="ACW1315"/>
      <c r="ACX1315"/>
      <c r="ACY1315"/>
      <c r="ACZ1315"/>
      <c r="ADA1315"/>
      <c r="ADB1315"/>
      <c r="ADC1315"/>
      <c r="ADD1315"/>
      <c r="ADE1315"/>
      <c r="ADF1315"/>
      <c r="ADG1315"/>
      <c r="ADH1315"/>
      <c r="ADI1315"/>
      <c r="ADJ1315"/>
      <c r="ADK1315"/>
      <c r="ADL1315"/>
      <c r="ADM1315"/>
      <c r="ADN1315"/>
      <c r="ADO1315"/>
      <c r="ADP1315"/>
      <c r="ADQ1315"/>
      <c r="ADR1315"/>
      <c r="ADS1315"/>
      <c r="ADT1315"/>
      <c r="ADU1315"/>
      <c r="ADV1315"/>
      <c r="ADW1315"/>
      <c r="ADX1315"/>
      <c r="ADY1315"/>
      <c r="ADZ1315"/>
      <c r="AEA1315"/>
      <c r="AEB1315"/>
      <c r="AEC1315"/>
      <c r="AED1315"/>
      <c r="AEE1315"/>
      <c r="AEF1315"/>
      <c r="AEG1315"/>
      <c r="AEH1315"/>
      <c r="AEI1315"/>
      <c r="AEJ1315"/>
      <c r="AEK1315"/>
      <c r="AEL1315"/>
      <c r="AEM1315"/>
      <c r="AEN1315"/>
      <c r="AEO1315"/>
      <c r="AEP1315"/>
      <c r="AEQ1315"/>
      <c r="AER1315"/>
      <c r="AES1315"/>
      <c r="AET1315"/>
      <c r="AEU1315"/>
      <c r="AEV1315"/>
      <c r="AEW1315"/>
      <c r="AEX1315"/>
      <c r="AEY1315"/>
      <c r="AEZ1315"/>
      <c r="AFA1315"/>
      <c r="AFB1315"/>
      <c r="AFC1315"/>
      <c r="AFD1315"/>
      <c r="AFE1315"/>
      <c r="AFF1315"/>
      <c r="AFG1315"/>
      <c r="AFH1315"/>
      <c r="AFI1315"/>
      <c r="AFJ1315"/>
      <c r="AFK1315"/>
      <c r="AFL1315"/>
      <c r="AFM1315"/>
      <c r="AFN1315"/>
      <c r="AFO1315"/>
      <c r="AFP1315"/>
      <c r="AFQ1315"/>
      <c r="AFR1315"/>
      <c r="AFS1315"/>
      <c r="AFT1315"/>
      <c r="AFU1315"/>
      <c r="AFV1315"/>
      <c r="AFW1315"/>
      <c r="AFX1315"/>
      <c r="AFY1315"/>
      <c r="AFZ1315"/>
      <c r="AGA1315"/>
      <c r="AGB1315"/>
      <c r="AGC1315"/>
      <c r="AGD1315"/>
      <c r="AGE1315"/>
      <c r="AGF1315"/>
      <c r="AGG1315"/>
      <c r="AGH1315"/>
      <c r="AGI1315"/>
      <c r="AGJ1315"/>
      <c r="AGK1315"/>
      <c r="AGL1315"/>
      <c r="AGM1315"/>
      <c r="AGN1315"/>
      <c r="AGO1315"/>
      <c r="AGP1315"/>
      <c r="AGQ1315"/>
      <c r="AGR1315"/>
      <c r="AGS1315"/>
      <c r="AGT1315"/>
      <c r="AGU1315"/>
      <c r="AGV1315"/>
      <c r="AGW1315"/>
      <c r="AGX1315"/>
      <c r="AGY1315"/>
      <c r="AGZ1315"/>
      <c r="AHA1315"/>
      <c r="AHB1315"/>
      <c r="AHC1315"/>
      <c r="AHD1315"/>
      <c r="AHE1315"/>
      <c r="AHF1315"/>
      <c r="AHG1315"/>
      <c r="AHH1315"/>
      <c r="AHI1315"/>
      <c r="AHJ1315"/>
      <c r="AHK1315"/>
      <c r="AHL1315"/>
      <c r="AHM1315"/>
      <c r="AHN1315"/>
      <c r="AHO1315"/>
      <c r="AHP1315"/>
      <c r="AHQ1315"/>
      <c r="AHR1315"/>
      <c r="AHS1315"/>
      <c r="AHT1315"/>
      <c r="AHU1315"/>
      <c r="AHV1315"/>
      <c r="AHW1315"/>
      <c r="AHX1315"/>
      <c r="AHY1315"/>
      <c r="AHZ1315"/>
      <c r="AIA1315"/>
      <c r="AIB1315"/>
      <c r="AIC1315"/>
      <c r="AID1315"/>
      <c r="AIE1315"/>
      <c r="AIF1315"/>
      <c r="AIG1315"/>
      <c r="AIH1315"/>
      <c r="AII1315"/>
      <c r="AIJ1315"/>
      <c r="AIK1315"/>
      <c r="AIL1315"/>
      <c r="AIM1315"/>
      <c r="AIN1315"/>
      <c r="AIO1315"/>
      <c r="AIP1315"/>
      <c r="AIQ1315"/>
      <c r="AIR1315"/>
      <c r="AIS1315"/>
      <c r="AIT1315"/>
      <c r="AIU1315"/>
      <c r="AIV1315"/>
      <c r="AIW1315"/>
      <c r="AIX1315"/>
      <c r="AIY1315"/>
      <c r="AIZ1315"/>
      <c r="AJA1315"/>
      <c r="AJB1315"/>
      <c r="AJC1315"/>
      <c r="AJD1315"/>
      <c r="AJE1315"/>
      <c r="AJF1315"/>
      <c r="AJG1315"/>
      <c r="AJH1315"/>
      <c r="AJI1315"/>
      <c r="AJJ1315"/>
      <c r="AJK1315"/>
      <c r="AJL1315"/>
      <c r="AJM1315"/>
      <c r="AJN1315"/>
      <c r="AJO1315"/>
      <c r="AJP1315"/>
      <c r="AJQ1315"/>
      <c r="AJR1315"/>
      <c r="AJS1315"/>
      <c r="AJT1315"/>
      <c r="AJU1315"/>
      <c r="AJV1315"/>
      <c r="AJW1315"/>
      <c r="AJX1315"/>
      <c r="AJY1315"/>
      <c r="AJZ1315"/>
      <c r="AKA1315"/>
      <c r="AKB1315"/>
      <c r="AKC1315"/>
      <c r="AKD1315"/>
      <c r="AKE1315"/>
      <c r="AKF1315"/>
      <c r="AKG1315"/>
      <c r="AKH1315"/>
      <c r="AKI1315"/>
      <c r="AKJ1315"/>
      <c r="AKK1315"/>
      <c r="AKL1315"/>
      <c r="AKM1315"/>
      <c r="AKN1315"/>
      <c r="AKO1315"/>
      <c r="AKP1315"/>
      <c r="AKQ1315"/>
      <c r="AKR1315"/>
      <c r="AKS1315"/>
      <c r="AKT1315"/>
      <c r="AKU1315"/>
      <c r="AKV1315"/>
      <c r="AKW1315"/>
      <c r="AKX1315"/>
      <c r="AKY1315"/>
      <c r="AKZ1315"/>
      <c r="ALA1315"/>
      <c r="ALB1315"/>
      <c r="ALC1315"/>
      <c r="ALD1315"/>
      <c r="ALE1315"/>
      <c r="ALF1315"/>
      <c r="ALG1315"/>
      <c r="ALH1315"/>
      <c r="ALI1315"/>
      <c r="ALJ1315"/>
      <c r="ALK1315"/>
      <c r="ALL1315"/>
      <c r="ALM1315"/>
      <c r="ALN1315"/>
      <c r="ALO1315"/>
      <c r="ALP1315"/>
      <c r="ALQ1315"/>
      <c r="ALR1315"/>
      <c r="ALS1315"/>
      <c r="ALT1315"/>
    </row>
    <row r="1316" spans="3:1008" x14ac:dyDescent="0.15">
      <c r="C1316"/>
      <c r="F1316"/>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c r="AT1316"/>
      <c r="AU1316"/>
      <c r="AV1316"/>
      <c r="AW1316"/>
      <c r="AX1316"/>
      <c r="AY1316"/>
      <c r="AZ1316"/>
      <c r="BA1316"/>
      <c r="BB1316"/>
      <c r="BC1316"/>
      <c r="BD1316"/>
      <c r="BE1316"/>
      <c r="BF1316"/>
      <c r="BG1316"/>
      <c r="BH1316"/>
      <c r="BI1316"/>
      <c r="BJ1316"/>
      <c r="BK1316"/>
      <c r="BL1316"/>
      <c r="BM1316"/>
      <c r="BN1316"/>
      <c r="BO1316"/>
      <c r="BP1316"/>
      <c r="BQ1316"/>
      <c r="BR1316"/>
      <c r="BS1316"/>
      <c r="BT1316"/>
      <c r="BU1316"/>
      <c r="BV1316"/>
      <c r="BW1316"/>
      <c r="BX1316"/>
      <c r="BY1316"/>
      <c r="BZ1316"/>
      <c r="CA1316"/>
      <c r="CB1316"/>
      <c r="CC1316"/>
      <c r="CD1316"/>
      <c r="CE1316"/>
      <c r="CF1316"/>
      <c r="CG1316"/>
      <c r="CH1316"/>
      <c r="CI1316"/>
      <c r="CJ1316"/>
      <c r="CK1316"/>
      <c r="CL1316"/>
      <c r="CM1316"/>
      <c r="CN1316"/>
      <c r="CO1316"/>
      <c r="CP1316"/>
      <c r="CQ1316"/>
      <c r="CR1316"/>
      <c r="CS1316"/>
      <c r="CT1316"/>
      <c r="CU1316"/>
      <c r="CV1316"/>
      <c r="CW1316"/>
      <c r="CX1316"/>
      <c r="CY1316"/>
      <c r="CZ1316"/>
      <c r="DA1316"/>
      <c r="DB1316"/>
      <c r="DC1316"/>
      <c r="DD1316"/>
      <c r="DE1316"/>
      <c r="DF1316"/>
      <c r="DG1316"/>
      <c r="DH1316"/>
      <c r="DI1316"/>
      <c r="DJ1316"/>
      <c r="DK1316"/>
      <c r="DL1316"/>
      <c r="DM1316"/>
      <c r="DN1316"/>
      <c r="DO1316"/>
      <c r="DP1316"/>
      <c r="DQ1316"/>
      <c r="DR1316"/>
      <c r="DS1316"/>
      <c r="DT1316"/>
      <c r="DU1316"/>
      <c r="DV1316"/>
      <c r="DW1316"/>
      <c r="DX1316"/>
      <c r="DY1316"/>
      <c r="DZ1316"/>
      <c r="EA1316"/>
      <c r="EB1316"/>
      <c r="EC1316"/>
      <c r="ED1316"/>
      <c r="EE1316"/>
      <c r="EF1316"/>
      <c r="EG1316"/>
      <c r="EH1316"/>
      <c r="EI1316"/>
      <c r="EJ1316"/>
      <c r="EK1316"/>
      <c r="EL1316"/>
      <c r="EM1316"/>
      <c r="EN1316"/>
      <c r="EO1316"/>
      <c r="EP1316"/>
      <c r="EQ1316"/>
      <c r="ER1316"/>
      <c r="ES1316"/>
      <c r="ET1316"/>
      <c r="EU1316"/>
      <c r="EV1316"/>
      <c r="EW1316"/>
      <c r="EX1316"/>
      <c r="EY1316"/>
      <c r="EZ1316"/>
      <c r="FA1316"/>
      <c r="FB1316"/>
      <c r="FC1316"/>
      <c r="FD1316"/>
      <c r="FE1316"/>
      <c r="FF1316"/>
      <c r="FG1316"/>
      <c r="FH1316"/>
      <c r="FI1316"/>
      <c r="FJ1316"/>
      <c r="FK1316"/>
      <c r="FL1316"/>
      <c r="FM1316"/>
      <c r="FN1316"/>
      <c r="FO1316"/>
      <c r="FP1316"/>
      <c r="FQ1316"/>
      <c r="FR1316"/>
      <c r="FS1316"/>
      <c r="FT1316"/>
      <c r="FU1316"/>
      <c r="FV1316"/>
      <c r="FW1316"/>
      <c r="FX1316"/>
      <c r="FY1316"/>
      <c r="FZ1316"/>
      <c r="GA1316"/>
      <c r="GB1316"/>
      <c r="GC1316"/>
      <c r="GD1316"/>
      <c r="GE1316"/>
      <c r="GF1316"/>
      <c r="GG1316"/>
      <c r="GH1316"/>
      <c r="GI1316"/>
      <c r="GJ1316"/>
      <c r="GK1316"/>
      <c r="GL1316"/>
      <c r="GM1316"/>
      <c r="GN1316"/>
      <c r="GO1316"/>
      <c r="GP1316"/>
      <c r="GQ1316"/>
      <c r="GR1316"/>
      <c r="GS1316"/>
      <c r="GT1316"/>
      <c r="GU1316"/>
      <c r="GV1316"/>
      <c r="GW1316"/>
      <c r="GX1316"/>
      <c r="GY1316"/>
      <c r="GZ1316"/>
      <c r="HA1316"/>
      <c r="HB1316"/>
      <c r="HC1316"/>
      <c r="HD1316"/>
      <c r="HE1316"/>
      <c r="HF1316"/>
      <c r="HG1316"/>
      <c r="HH1316"/>
      <c r="HI1316"/>
      <c r="HJ1316"/>
      <c r="HK1316"/>
      <c r="HL1316"/>
      <c r="HM1316"/>
      <c r="HN1316"/>
      <c r="HO1316"/>
      <c r="HP1316"/>
      <c r="HQ1316"/>
      <c r="HR1316"/>
      <c r="HS1316"/>
      <c r="HT1316"/>
      <c r="HU1316"/>
      <c r="HV1316"/>
      <c r="HW1316"/>
      <c r="HX1316"/>
      <c r="HY1316"/>
      <c r="HZ1316"/>
      <c r="IA1316"/>
      <c r="IB1316"/>
      <c r="IC1316"/>
      <c r="ID1316"/>
      <c r="IE1316"/>
      <c r="IF1316"/>
      <c r="IG1316"/>
      <c r="IH1316"/>
      <c r="II1316"/>
      <c r="IJ1316"/>
      <c r="IK1316"/>
      <c r="IL1316"/>
      <c r="IM1316"/>
      <c r="IN1316"/>
      <c r="IO1316"/>
      <c r="IP1316"/>
      <c r="IQ1316"/>
      <c r="IR1316"/>
      <c r="IS1316"/>
      <c r="IT1316"/>
      <c r="IU1316"/>
      <c r="IV1316"/>
      <c r="IW1316"/>
      <c r="IX1316"/>
      <c r="IY1316"/>
      <c r="IZ1316"/>
      <c r="JA1316"/>
      <c r="JB1316"/>
      <c r="JC1316"/>
      <c r="JD1316"/>
      <c r="JE1316"/>
      <c r="JF1316"/>
      <c r="JG1316"/>
      <c r="JH1316"/>
      <c r="JI1316"/>
      <c r="JJ1316"/>
      <c r="JK1316"/>
      <c r="JL1316"/>
      <c r="JM1316"/>
      <c r="JN1316"/>
      <c r="JO1316"/>
      <c r="JP1316"/>
      <c r="JQ1316"/>
      <c r="JR1316"/>
      <c r="JS1316"/>
      <c r="JT1316"/>
      <c r="JU1316"/>
      <c r="JV1316"/>
      <c r="JW1316"/>
      <c r="JX1316"/>
      <c r="JY1316"/>
      <c r="JZ1316"/>
      <c r="KA1316"/>
      <c r="KB1316"/>
      <c r="KC1316"/>
      <c r="KD1316"/>
      <c r="KE1316"/>
      <c r="KF1316"/>
      <c r="KG1316"/>
      <c r="KH1316"/>
      <c r="KI1316"/>
      <c r="KJ1316"/>
      <c r="KK1316"/>
      <c r="KL1316"/>
      <c r="KM1316"/>
      <c r="KN1316"/>
      <c r="KO1316"/>
      <c r="KP1316"/>
      <c r="KQ1316"/>
      <c r="KR1316"/>
      <c r="KS1316"/>
      <c r="KT1316"/>
      <c r="KU1316"/>
      <c r="KV1316"/>
      <c r="KW1316"/>
      <c r="KX1316"/>
      <c r="KY1316"/>
      <c r="KZ1316"/>
      <c r="LA1316"/>
      <c r="LB1316"/>
      <c r="LC1316"/>
      <c r="LD1316"/>
      <c r="LE1316"/>
      <c r="LF1316"/>
      <c r="LG1316"/>
      <c r="LH1316"/>
      <c r="LI1316"/>
      <c r="LJ1316"/>
      <c r="LK1316"/>
      <c r="LL1316"/>
      <c r="LM1316"/>
      <c r="LN1316"/>
      <c r="LO1316"/>
      <c r="LP1316"/>
      <c r="LQ1316"/>
      <c r="LR1316"/>
      <c r="LS1316"/>
      <c r="LT1316"/>
      <c r="LU1316"/>
      <c r="LV1316"/>
      <c r="LW1316"/>
      <c r="LX1316"/>
      <c r="LY1316"/>
      <c r="LZ1316"/>
      <c r="MA1316"/>
      <c r="MB1316"/>
      <c r="MC1316"/>
      <c r="MD1316"/>
      <c r="ME1316"/>
      <c r="MF1316"/>
      <c r="MG1316"/>
      <c r="MH1316"/>
      <c r="MI1316"/>
      <c r="MJ1316"/>
      <c r="MK1316"/>
      <c r="ML1316"/>
      <c r="MM1316"/>
      <c r="MN1316"/>
      <c r="MO1316"/>
      <c r="MP1316"/>
      <c r="MQ1316"/>
      <c r="MR1316"/>
      <c r="MS1316"/>
      <c r="MT1316"/>
      <c r="MU1316"/>
      <c r="MV1316"/>
      <c r="MW1316"/>
      <c r="MX1316"/>
      <c r="MY1316"/>
      <c r="MZ1316"/>
      <c r="NA1316"/>
      <c r="NB1316"/>
      <c r="NC1316"/>
      <c r="ND1316"/>
      <c r="NE1316"/>
      <c r="NF1316"/>
      <c r="NG1316"/>
      <c r="NH1316"/>
      <c r="NI1316"/>
      <c r="NJ1316"/>
      <c r="NK1316"/>
      <c r="NL1316"/>
      <c r="NM1316"/>
      <c r="NN1316"/>
      <c r="NO1316"/>
      <c r="NP1316"/>
      <c r="NQ1316"/>
      <c r="NR1316"/>
      <c r="NS1316"/>
      <c r="NT1316"/>
      <c r="NU1316"/>
      <c r="NV1316"/>
      <c r="NW1316"/>
      <c r="NX1316"/>
      <c r="NY1316"/>
      <c r="NZ1316"/>
      <c r="OA1316"/>
      <c r="OB1316"/>
      <c r="OC1316"/>
      <c r="OD1316"/>
      <c r="OE1316"/>
      <c r="OF1316"/>
      <c r="OG1316"/>
      <c r="OH1316"/>
      <c r="OI1316"/>
      <c r="OJ1316"/>
      <c r="OK1316"/>
      <c r="OL1316"/>
      <c r="OM1316"/>
      <c r="ON1316"/>
      <c r="OO1316"/>
      <c r="OP1316"/>
      <c r="OQ1316"/>
      <c r="OR1316"/>
      <c r="OS1316"/>
      <c r="OT1316"/>
      <c r="OU1316"/>
      <c r="OV1316"/>
      <c r="OW1316"/>
      <c r="OX1316"/>
      <c r="OY1316"/>
      <c r="OZ1316"/>
      <c r="PA1316"/>
      <c r="PB1316"/>
      <c r="PC1316"/>
      <c r="PD1316"/>
      <c r="PE1316"/>
      <c r="PF1316"/>
      <c r="PG1316"/>
      <c r="PH1316"/>
      <c r="PI1316"/>
      <c r="PJ1316"/>
      <c r="PK1316"/>
      <c r="PL1316"/>
      <c r="PM1316"/>
      <c r="PN1316"/>
      <c r="PO1316"/>
      <c r="PP1316"/>
      <c r="PQ1316"/>
      <c r="PR1316"/>
      <c r="PS1316"/>
      <c r="PT1316"/>
      <c r="PU1316"/>
      <c r="PV1316"/>
      <c r="PW1316"/>
      <c r="PX1316"/>
      <c r="PY1316"/>
      <c r="PZ1316"/>
      <c r="QA1316"/>
      <c r="QB1316"/>
      <c r="QC1316"/>
      <c r="QD1316"/>
      <c r="QE1316"/>
      <c r="QF1316"/>
      <c r="QG1316"/>
      <c r="QH1316"/>
      <c r="QI1316"/>
      <c r="QJ1316"/>
      <c r="QK1316"/>
      <c r="QL1316"/>
      <c r="QM1316"/>
      <c r="QN1316"/>
      <c r="QO1316"/>
      <c r="QP1316"/>
      <c r="QQ1316"/>
      <c r="QR1316"/>
      <c r="QS1316"/>
      <c r="QT1316"/>
      <c r="QU1316"/>
      <c r="QV1316"/>
      <c r="QW1316"/>
      <c r="QX1316"/>
      <c r="QY1316"/>
      <c r="QZ1316"/>
      <c r="RA1316"/>
      <c r="RB1316"/>
      <c r="RC1316"/>
      <c r="RD1316"/>
      <c r="RE1316"/>
      <c r="RF1316"/>
      <c r="RG1316"/>
      <c r="RH1316"/>
      <c r="RI1316"/>
      <c r="RJ1316"/>
      <c r="RK1316"/>
      <c r="RL1316"/>
      <c r="RM1316"/>
      <c r="RN1316"/>
      <c r="RO1316"/>
      <c r="RP1316"/>
      <c r="RQ1316"/>
      <c r="RR1316"/>
      <c r="RS1316"/>
      <c r="RT1316"/>
      <c r="RU1316"/>
      <c r="RV1316"/>
      <c r="RW1316"/>
      <c r="RX1316"/>
      <c r="RY1316"/>
      <c r="RZ1316"/>
      <c r="SA1316"/>
      <c r="SB1316"/>
      <c r="SC1316"/>
      <c r="SD1316"/>
      <c r="SE1316"/>
      <c r="SF1316"/>
      <c r="SG1316"/>
      <c r="SH1316"/>
      <c r="SI1316"/>
      <c r="SJ1316"/>
      <c r="SK1316"/>
      <c r="SL1316"/>
      <c r="SM1316"/>
      <c r="SN1316"/>
      <c r="SO1316"/>
      <c r="SP1316"/>
      <c r="SQ1316"/>
      <c r="SR1316"/>
      <c r="SS1316"/>
      <c r="ST1316"/>
      <c r="SU1316"/>
      <c r="SV1316"/>
      <c r="SW1316"/>
      <c r="SX1316"/>
      <c r="SY1316"/>
      <c r="SZ1316"/>
      <c r="TA1316"/>
      <c r="TB1316"/>
      <c r="TC1316"/>
      <c r="TD1316"/>
      <c r="TE1316"/>
      <c r="TF1316"/>
      <c r="TG1316"/>
      <c r="TH1316"/>
      <c r="TI1316"/>
      <c r="TJ1316"/>
      <c r="TK1316"/>
      <c r="TL1316"/>
      <c r="TM1316"/>
      <c r="TN1316"/>
      <c r="TO1316"/>
      <c r="TP1316"/>
      <c r="TQ1316"/>
      <c r="TR1316"/>
      <c r="TS1316"/>
      <c r="TT1316"/>
      <c r="TU1316"/>
      <c r="TV1316"/>
      <c r="TW1316"/>
      <c r="TX1316"/>
      <c r="TY1316"/>
      <c r="TZ1316"/>
      <c r="UA1316"/>
      <c r="UB1316"/>
      <c r="UC1316"/>
      <c r="UD1316"/>
      <c r="UE1316"/>
      <c r="UF1316"/>
      <c r="UG1316"/>
      <c r="UH1316"/>
      <c r="UI1316"/>
      <c r="UJ1316"/>
      <c r="UK1316"/>
      <c r="UL1316"/>
      <c r="UM1316"/>
      <c r="UN1316"/>
      <c r="UO1316"/>
      <c r="UP1316"/>
      <c r="UQ1316"/>
      <c r="UR1316"/>
      <c r="US1316"/>
      <c r="UT1316"/>
      <c r="UU1316"/>
      <c r="UV1316"/>
      <c r="UW1316"/>
      <c r="UX1316"/>
      <c r="UY1316"/>
      <c r="UZ1316"/>
      <c r="VA1316"/>
      <c r="VB1316"/>
      <c r="VC1316"/>
      <c r="VD1316"/>
      <c r="VE1316"/>
      <c r="VF1316"/>
      <c r="VG1316"/>
      <c r="VH1316"/>
      <c r="VI1316"/>
      <c r="VJ1316"/>
      <c r="VK1316"/>
      <c r="VL1316"/>
      <c r="VM1316"/>
      <c r="VN1316"/>
      <c r="VO1316"/>
      <c r="VP1316"/>
      <c r="VQ1316"/>
      <c r="VR1316"/>
      <c r="VS1316"/>
      <c r="VT1316"/>
      <c r="VU1316"/>
      <c r="VV1316"/>
      <c r="VW1316"/>
      <c r="VX1316"/>
      <c r="VY1316"/>
      <c r="VZ1316"/>
      <c r="WA1316"/>
      <c r="WB1316"/>
      <c r="WC1316"/>
      <c r="WD1316"/>
      <c r="WE1316"/>
      <c r="WF1316"/>
      <c r="WG1316"/>
      <c r="WH1316"/>
      <c r="WI1316"/>
      <c r="WJ1316"/>
      <c r="WK1316"/>
      <c r="WL1316"/>
      <c r="WM1316"/>
      <c r="WN1316"/>
      <c r="WO1316"/>
      <c r="WP1316"/>
      <c r="WQ1316"/>
      <c r="WR1316"/>
      <c r="WS1316"/>
      <c r="WT1316"/>
      <c r="WU1316"/>
      <c r="WV1316"/>
      <c r="WW1316"/>
      <c r="WX1316"/>
      <c r="WY1316"/>
      <c r="WZ1316"/>
      <c r="XA1316"/>
      <c r="XB1316"/>
      <c r="XC1316"/>
      <c r="XD1316"/>
      <c r="XE1316"/>
      <c r="XF1316"/>
      <c r="XG1316"/>
      <c r="XH1316"/>
      <c r="XI1316"/>
      <c r="XJ1316"/>
      <c r="XK1316"/>
      <c r="XL1316"/>
      <c r="XM1316"/>
      <c r="XN1316"/>
      <c r="XO1316"/>
      <c r="XP1316"/>
      <c r="XQ1316"/>
      <c r="XR1316"/>
      <c r="XS1316"/>
      <c r="XT1316"/>
      <c r="XU1316"/>
      <c r="XV1316"/>
      <c r="XW1316"/>
      <c r="XX1316"/>
      <c r="XY1316"/>
      <c r="XZ1316"/>
      <c r="YA1316"/>
      <c r="YB1316"/>
      <c r="YC1316"/>
      <c r="YD1316"/>
      <c r="YE1316"/>
      <c r="YF1316"/>
      <c r="YG1316"/>
      <c r="YH1316"/>
      <c r="YI1316"/>
      <c r="YJ1316"/>
      <c r="YK1316"/>
      <c r="YL1316"/>
      <c r="YM1316"/>
      <c r="YN1316"/>
      <c r="YO1316"/>
      <c r="YP1316"/>
      <c r="YQ1316"/>
      <c r="YR1316"/>
      <c r="YS1316"/>
      <c r="YT1316"/>
      <c r="YU1316"/>
      <c r="YV1316"/>
      <c r="YW1316"/>
      <c r="YX1316"/>
      <c r="YY1316"/>
      <c r="YZ1316"/>
      <c r="ZA1316"/>
      <c r="ZB1316"/>
      <c r="ZC1316"/>
      <c r="ZD1316"/>
      <c r="ZE1316"/>
      <c r="ZF1316"/>
      <c r="ZG1316"/>
      <c r="ZH1316"/>
      <c r="ZI1316"/>
      <c r="ZJ1316"/>
      <c r="ZK1316"/>
      <c r="ZL1316"/>
      <c r="ZM1316"/>
      <c r="ZN1316"/>
      <c r="ZO1316"/>
      <c r="ZP1316"/>
      <c r="ZQ1316"/>
      <c r="ZR1316"/>
      <c r="ZS1316"/>
      <c r="ZT1316"/>
      <c r="ZU1316"/>
      <c r="ZV1316"/>
      <c r="ZW1316"/>
      <c r="ZX1316"/>
      <c r="ZY1316"/>
      <c r="ZZ1316"/>
      <c r="AAA1316"/>
      <c r="AAB1316"/>
      <c r="AAC1316"/>
      <c r="AAD1316"/>
      <c r="AAE1316"/>
      <c r="AAF1316"/>
      <c r="AAG1316"/>
      <c r="AAH1316"/>
      <c r="AAI1316"/>
      <c r="AAJ1316"/>
      <c r="AAK1316"/>
      <c r="AAL1316"/>
      <c r="AAM1316"/>
      <c r="AAN1316"/>
      <c r="AAO1316"/>
      <c r="AAP1316"/>
      <c r="AAQ1316"/>
      <c r="AAR1316"/>
      <c r="AAS1316"/>
      <c r="AAT1316"/>
      <c r="AAU1316"/>
      <c r="AAV1316"/>
      <c r="AAW1316"/>
      <c r="AAX1316"/>
      <c r="AAY1316"/>
      <c r="AAZ1316"/>
      <c r="ABA1316"/>
      <c r="ABB1316"/>
      <c r="ABC1316"/>
      <c r="ABD1316"/>
      <c r="ABE1316"/>
      <c r="ABF1316"/>
      <c r="ABG1316"/>
      <c r="ABH1316"/>
      <c r="ABI1316"/>
      <c r="ABJ1316"/>
      <c r="ABK1316"/>
      <c r="ABL1316"/>
      <c r="ABM1316"/>
      <c r="ABN1316"/>
      <c r="ABO1316"/>
      <c r="ABP1316"/>
      <c r="ABQ1316"/>
      <c r="ABR1316"/>
      <c r="ABS1316"/>
      <c r="ABT1316"/>
      <c r="ABU1316"/>
      <c r="ABV1316"/>
      <c r="ABW1316"/>
      <c r="ABX1316"/>
      <c r="ABY1316"/>
      <c r="ABZ1316"/>
      <c r="ACA1316"/>
      <c r="ACB1316"/>
      <c r="ACC1316"/>
      <c r="ACD1316"/>
      <c r="ACE1316"/>
      <c r="ACF1316"/>
      <c r="ACG1316"/>
      <c r="ACH1316"/>
      <c r="ACI1316"/>
      <c r="ACJ1316"/>
      <c r="ACK1316"/>
      <c r="ACL1316"/>
      <c r="ACM1316"/>
      <c r="ACN1316"/>
      <c r="ACO1316"/>
      <c r="ACP1316"/>
      <c r="ACQ1316"/>
      <c r="ACR1316"/>
      <c r="ACS1316"/>
      <c r="ACT1316"/>
      <c r="ACU1316"/>
      <c r="ACV1316"/>
      <c r="ACW1316"/>
      <c r="ACX1316"/>
      <c r="ACY1316"/>
      <c r="ACZ1316"/>
      <c r="ADA1316"/>
      <c r="ADB1316"/>
      <c r="ADC1316"/>
      <c r="ADD1316"/>
      <c r="ADE1316"/>
      <c r="ADF1316"/>
      <c r="ADG1316"/>
      <c r="ADH1316"/>
      <c r="ADI1316"/>
      <c r="ADJ1316"/>
      <c r="ADK1316"/>
      <c r="ADL1316"/>
      <c r="ADM1316"/>
      <c r="ADN1316"/>
      <c r="ADO1316"/>
      <c r="ADP1316"/>
      <c r="ADQ1316"/>
      <c r="ADR1316"/>
      <c r="ADS1316"/>
      <c r="ADT1316"/>
      <c r="ADU1316"/>
      <c r="ADV1316"/>
      <c r="ADW1316"/>
      <c r="ADX1316"/>
      <c r="ADY1316"/>
      <c r="ADZ1316"/>
      <c r="AEA1316"/>
      <c r="AEB1316"/>
      <c r="AEC1316"/>
      <c r="AED1316"/>
      <c r="AEE1316"/>
      <c r="AEF1316"/>
      <c r="AEG1316"/>
      <c r="AEH1316"/>
      <c r="AEI1316"/>
      <c r="AEJ1316"/>
      <c r="AEK1316"/>
      <c r="AEL1316"/>
      <c r="AEM1316"/>
      <c r="AEN1316"/>
      <c r="AEO1316"/>
      <c r="AEP1316"/>
      <c r="AEQ1316"/>
      <c r="AER1316"/>
      <c r="AES1316"/>
      <c r="AET1316"/>
      <c r="AEU1316"/>
      <c r="AEV1316"/>
      <c r="AEW1316"/>
      <c r="AEX1316"/>
      <c r="AEY1316"/>
      <c r="AEZ1316"/>
      <c r="AFA1316"/>
      <c r="AFB1316"/>
      <c r="AFC1316"/>
      <c r="AFD1316"/>
      <c r="AFE1316"/>
      <c r="AFF1316"/>
      <c r="AFG1316"/>
      <c r="AFH1316"/>
      <c r="AFI1316"/>
      <c r="AFJ1316"/>
      <c r="AFK1316"/>
      <c r="AFL1316"/>
      <c r="AFM1316"/>
      <c r="AFN1316"/>
      <c r="AFO1316"/>
      <c r="AFP1316"/>
      <c r="AFQ1316"/>
      <c r="AFR1316"/>
      <c r="AFS1316"/>
      <c r="AFT1316"/>
      <c r="AFU1316"/>
      <c r="AFV1316"/>
      <c r="AFW1316"/>
      <c r="AFX1316"/>
      <c r="AFY1316"/>
      <c r="AFZ1316"/>
      <c r="AGA1316"/>
      <c r="AGB1316"/>
      <c r="AGC1316"/>
      <c r="AGD1316"/>
      <c r="AGE1316"/>
      <c r="AGF1316"/>
      <c r="AGG1316"/>
      <c r="AGH1316"/>
      <c r="AGI1316"/>
      <c r="AGJ1316"/>
      <c r="AGK1316"/>
      <c r="AGL1316"/>
      <c r="AGM1316"/>
      <c r="AGN1316"/>
      <c r="AGO1316"/>
      <c r="AGP1316"/>
      <c r="AGQ1316"/>
      <c r="AGR1316"/>
      <c r="AGS1316"/>
      <c r="AGT1316"/>
      <c r="AGU1316"/>
      <c r="AGV1316"/>
      <c r="AGW1316"/>
      <c r="AGX1316"/>
      <c r="AGY1316"/>
      <c r="AGZ1316"/>
      <c r="AHA1316"/>
      <c r="AHB1316"/>
      <c r="AHC1316"/>
      <c r="AHD1316"/>
      <c r="AHE1316"/>
      <c r="AHF1316"/>
      <c r="AHG1316"/>
      <c r="AHH1316"/>
      <c r="AHI1316"/>
      <c r="AHJ1316"/>
      <c r="AHK1316"/>
      <c r="AHL1316"/>
      <c r="AHM1316"/>
      <c r="AHN1316"/>
      <c r="AHO1316"/>
      <c r="AHP1316"/>
      <c r="AHQ1316"/>
      <c r="AHR1316"/>
      <c r="AHS1316"/>
      <c r="AHT1316"/>
      <c r="AHU1316"/>
      <c r="AHV1316"/>
      <c r="AHW1316"/>
      <c r="AHX1316"/>
      <c r="AHY1316"/>
      <c r="AHZ1316"/>
      <c r="AIA1316"/>
      <c r="AIB1316"/>
      <c r="AIC1316"/>
      <c r="AID1316"/>
      <c r="AIE1316"/>
      <c r="AIF1316"/>
      <c r="AIG1316"/>
      <c r="AIH1316"/>
      <c r="AII1316"/>
      <c r="AIJ1316"/>
      <c r="AIK1316"/>
      <c r="AIL1316"/>
      <c r="AIM1316"/>
      <c r="AIN1316"/>
      <c r="AIO1316"/>
      <c r="AIP1316"/>
      <c r="AIQ1316"/>
      <c r="AIR1316"/>
      <c r="AIS1316"/>
      <c r="AIT1316"/>
      <c r="AIU1316"/>
      <c r="AIV1316"/>
      <c r="AIW1316"/>
      <c r="AIX1316"/>
      <c r="AIY1316"/>
      <c r="AIZ1316"/>
      <c r="AJA1316"/>
      <c r="AJB1316"/>
      <c r="AJC1316"/>
      <c r="AJD1316"/>
      <c r="AJE1316"/>
      <c r="AJF1316"/>
      <c r="AJG1316"/>
      <c r="AJH1316"/>
      <c r="AJI1316"/>
      <c r="AJJ1316"/>
      <c r="AJK1316"/>
      <c r="AJL1316"/>
      <c r="AJM1316"/>
      <c r="AJN1316"/>
      <c r="AJO1316"/>
      <c r="AJP1316"/>
      <c r="AJQ1316"/>
      <c r="AJR1316"/>
      <c r="AJS1316"/>
      <c r="AJT1316"/>
      <c r="AJU1316"/>
      <c r="AJV1316"/>
      <c r="AJW1316"/>
      <c r="AJX1316"/>
      <c r="AJY1316"/>
      <c r="AJZ1316"/>
      <c r="AKA1316"/>
      <c r="AKB1316"/>
      <c r="AKC1316"/>
      <c r="AKD1316"/>
      <c r="AKE1316"/>
      <c r="AKF1316"/>
      <c r="AKG1316"/>
      <c r="AKH1316"/>
      <c r="AKI1316"/>
      <c r="AKJ1316"/>
      <c r="AKK1316"/>
      <c r="AKL1316"/>
      <c r="AKM1316"/>
      <c r="AKN1316"/>
      <c r="AKO1316"/>
      <c r="AKP1316"/>
      <c r="AKQ1316"/>
      <c r="AKR1316"/>
      <c r="AKS1316"/>
      <c r="AKT1316"/>
      <c r="AKU1316"/>
      <c r="AKV1316"/>
      <c r="AKW1316"/>
      <c r="AKX1316"/>
      <c r="AKY1316"/>
      <c r="AKZ1316"/>
      <c r="ALA1316"/>
      <c r="ALB1316"/>
      <c r="ALC1316"/>
      <c r="ALD1316"/>
      <c r="ALE1316"/>
      <c r="ALF1316"/>
      <c r="ALG1316"/>
      <c r="ALH1316"/>
      <c r="ALI1316"/>
      <c r="ALJ1316"/>
      <c r="ALK1316"/>
      <c r="ALL1316"/>
      <c r="ALM1316"/>
      <c r="ALN1316"/>
      <c r="ALO1316"/>
      <c r="ALP1316"/>
      <c r="ALQ1316"/>
      <c r="ALR1316"/>
      <c r="ALS1316"/>
      <c r="ALT1316"/>
    </row>
    <row r="1317" spans="3:1008" x14ac:dyDescent="0.15">
      <c r="C1317"/>
      <c r="F1317"/>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c r="AT1317"/>
      <c r="AU1317"/>
      <c r="AV1317"/>
      <c r="AW1317"/>
      <c r="AX1317"/>
      <c r="AY1317"/>
      <c r="AZ1317"/>
      <c r="BA1317"/>
      <c r="BB1317"/>
      <c r="BC1317"/>
      <c r="BD1317"/>
      <c r="BE1317"/>
      <c r="BF1317"/>
      <c r="BG1317"/>
      <c r="BH1317"/>
      <c r="BI1317"/>
      <c r="BJ1317"/>
      <c r="BK1317"/>
      <c r="BL1317"/>
      <c r="BM1317"/>
      <c r="BN1317"/>
      <c r="BO1317"/>
      <c r="BP1317"/>
      <c r="BQ1317"/>
      <c r="BR1317"/>
      <c r="BS1317"/>
      <c r="BT1317"/>
      <c r="BU1317"/>
      <c r="BV1317"/>
      <c r="BW1317"/>
      <c r="BX1317"/>
      <c r="BY1317"/>
      <c r="BZ1317"/>
      <c r="CA1317"/>
      <c r="CB1317"/>
      <c r="CC1317"/>
      <c r="CD1317"/>
      <c r="CE1317"/>
      <c r="CF1317"/>
      <c r="CG1317"/>
      <c r="CH1317"/>
      <c r="CI1317"/>
      <c r="CJ1317"/>
      <c r="CK1317"/>
      <c r="CL1317"/>
      <c r="CM1317"/>
      <c r="CN1317"/>
      <c r="CO1317"/>
      <c r="CP1317"/>
      <c r="CQ1317"/>
      <c r="CR1317"/>
      <c r="CS1317"/>
      <c r="CT1317"/>
      <c r="CU1317"/>
      <c r="CV1317"/>
      <c r="CW1317"/>
      <c r="CX1317"/>
      <c r="CY1317"/>
      <c r="CZ1317"/>
      <c r="DA1317"/>
      <c r="DB1317"/>
      <c r="DC1317"/>
      <c r="DD1317"/>
      <c r="DE1317"/>
      <c r="DF1317"/>
      <c r="DG1317"/>
      <c r="DH1317"/>
      <c r="DI1317"/>
      <c r="DJ1317"/>
      <c r="DK1317"/>
      <c r="DL1317"/>
      <c r="DM1317"/>
      <c r="DN1317"/>
      <c r="DO1317"/>
      <c r="DP1317"/>
      <c r="DQ1317"/>
      <c r="DR1317"/>
      <c r="DS1317"/>
      <c r="DT1317"/>
      <c r="DU1317"/>
      <c r="DV1317"/>
      <c r="DW1317"/>
      <c r="DX1317"/>
      <c r="DY1317"/>
      <c r="DZ1317"/>
      <c r="EA1317"/>
      <c r="EB1317"/>
      <c r="EC1317"/>
      <c r="ED1317"/>
      <c r="EE1317"/>
      <c r="EF1317"/>
      <c r="EG1317"/>
      <c r="EH1317"/>
      <c r="EI1317"/>
      <c r="EJ1317"/>
      <c r="EK1317"/>
      <c r="EL1317"/>
      <c r="EM1317"/>
      <c r="EN1317"/>
      <c r="EO1317"/>
      <c r="EP1317"/>
      <c r="EQ1317"/>
      <c r="ER1317"/>
      <c r="ES1317"/>
      <c r="ET1317"/>
      <c r="EU1317"/>
      <c r="EV1317"/>
      <c r="EW1317"/>
      <c r="EX1317"/>
      <c r="EY1317"/>
      <c r="EZ1317"/>
      <c r="FA1317"/>
      <c r="FB1317"/>
      <c r="FC1317"/>
      <c r="FD1317"/>
      <c r="FE1317"/>
      <c r="FF1317"/>
      <c r="FG1317"/>
      <c r="FH1317"/>
      <c r="FI1317"/>
      <c r="FJ1317"/>
      <c r="FK1317"/>
      <c r="FL1317"/>
      <c r="FM1317"/>
      <c r="FN1317"/>
      <c r="FO1317"/>
      <c r="FP1317"/>
      <c r="FQ1317"/>
      <c r="FR1317"/>
      <c r="FS1317"/>
      <c r="FT1317"/>
      <c r="FU1317"/>
      <c r="FV1317"/>
      <c r="FW1317"/>
      <c r="FX1317"/>
      <c r="FY1317"/>
      <c r="FZ1317"/>
      <c r="GA1317"/>
      <c r="GB1317"/>
      <c r="GC1317"/>
      <c r="GD1317"/>
      <c r="GE1317"/>
      <c r="GF1317"/>
      <c r="GG1317"/>
      <c r="GH1317"/>
      <c r="GI1317"/>
      <c r="GJ1317"/>
      <c r="GK1317"/>
      <c r="GL1317"/>
      <c r="GM1317"/>
      <c r="GN1317"/>
      <c r="GO1317"/>
      <c r="GP1317"/>
      <c r="GQ1317"/>
      <c r="GR1317"/>
      <c r="GS1317"/>
      <c r="GT1317"/>
      <c r="GU1317"/>
      <c r="GV1317"/>
      <c r="GW1317"/>
      <c r="GX1317"/>
      <c r="GY1317"/>
      <c r="GZ1317"/>
      <c r="HA1317"/>
      <c r="HB1317"/>
      <c r="HC1317"/>
      <c r="HD1317"/>
      <c r="HE1317"/>
      <c r="HF1317"/>
      <c r="HG1317"/>
      <c r="HH1317"/>
      <c r="HI1317"/>
      <c r="HJ1317"/>
      <c r="HK1317"/>
      <c r="HL1317"/>
      <c r="HM1317"/>
      <c r="HN1317"/>
      <c r="HO1317"/>
      <c r="HP1317"/>
      <c r="HQ1317"/>
      <c r="HR1317"/>
      <c r="HS1317"/>
      <c r="HT1317"/>
      <c r="HU1317"/>
      <c r="HV1317"/>
      <c r="HW1317"/>
      <c r="HX1317"/>
      <c r="HY1317"/>
      <c r="HZ1317"/>
      <c r="IA1317"/>
      <c r="IB1317"/>
      <c r="IC1317"/>
      <c r="ID1317"/>
      <c r="IE1317"/>
      <c r="IF1317"/>
      <c r="IG1317"/>
      <c r="IH1317"/>
      <c r="II1317"/>
      <c r="IJ1317"/>
      <c r="IK1317"/>
      <c r="IL1317"/>
      <c r="IM1317"/>
      <c r="IN1317"/>
      <c r="IO1317"/>
      <c r="IP1317"/>
      <c r="IQ1317"/>
      <c r="IR1317"/>
      <c r="IS1317"/>
      <c r="IT1317"/>
      <c r="IU1317"/>
      <c r="IV1317"/>
      <c r="IW1317"/>
      <c r="IX1317"/>
      <c r="IY1317"/>
      <c r="IZ1317"/>
      <c r="JA1317"/>
      <c r="JB1317"/>
      <c r="JC1317"/>
      <c r="JD1317"/>
      <c r="JE1317"/>
      <c r="JF1317"/>
      <c r="JG1317"/>
      <c r="JH1317"/>
      <c r="JI1317"/>
      <c r="JJ1317"/>
      <c r="JK1317"/>
      <c r="JL1317"/>
      <c r="JM1317"/>
      <c r="JN1317"/>
      <c r="JO1317"/>
      <c r="JP1317"/>
      <c r="JQ1317"/>
      <c r="JR1317"/>
      <c r="JS1317"/>
      <c r="JT1317"/>
      <c r="JU1317"/>
      <c r="JV1317"/>
      <c r="JW1317"/>
      <c r="JX1317"/>
      <c r="JY1317"/>
      <c r="JZ1317"/>
      <c r="KA1317"/>
      <c r="KB1317"/>
      <c r="KC1317"/>
      <c r="KD1317"/>
      <c r="KE1317"/>
      <c r="KF1317"/>
      <c r="KG1317"/>
      <c r="KH1317"/>
      <c r="KI1317"/>
      <c r="KJ1317"/>
      <c r="KK1317"/>
      <c r="KL1317"/>
      <c r="KM1317"/>
      <c r="KN1317"/>
      <c r="KO1317"/>
      <c r="KP1317"/>
      <c r="KQ1317"/>
      <c r="KR1317"/>
      <c r="KS1317"/>
      <c r="KT1317"/>
      <c r="KU1317"/>
      <c r="KV1317"/>
      <c r="KW1317"/>
      <c r="KX1317"/>
      <c r="KY1317"/>
      <c r="KZ1317"/>
      <c r="LA1317"/>
      <c r="LB1317"/>
      <c r="LC1317"/>
      <c r="LD1317"/>
      <c r="LE1317"/>
      <c r="LF1317"/>
      <c r="LG1317"/>
      <c r="LH1317"/>
      <c r="LI1317"/>
      <c r="LJ1317"/>
      <c r="LK1317"/>
      <c r="LL1317"/>
      <c r="LM1317"/>
      <c r="LN1317"/>
      <c r="LO1317"/>
      <c r="LP1317"/>
      <c r="LQ1317"/>
      <c r="LR1317"/>
      <c r="LS1317"/>
      <c r="LT1317"/>
      <c r="LU1317"/>
      <c r="LV1317"/>
      <c r="LW1317"/>
      <c r="LX1317"/>
      <c r="LY1317"/>
      <c r="LZ1317"/>
      <c r="MA1317"/>
      <c r="MB1317"/>
      <c r="MC1317"/>
      <c r="MD1317"/>
      <c r="ME1317"/>
      <c r="MF1317"/>
      <c r="MG1317"/>
      <c r="MH1317"/>
      <c r="MI1317"/>
      <c r="MJ1317"/>
      <c r="MK1317"/>
      <c r="ML1317"/>
      <c r="MM1317"/>
      <c r="MN1317"/>
      <c r="MO1317"/>
      <c r="MP1317"/>
      <c r="MQ1317"/>
      <c r="MR1317"/>
      <c r="MS1317"/>
      <c r="MT1317"/>
      <c r="MU1317"/>
      <c r="MV1317"/>
      <c r="MW1317"/>
      <c r="MX1317"/>
      <c r="MY1317"/>
      <c r="MZ1317"/>
      <c r="NA1317"/>
      <c r="NB1317"/>
      <c r="NC1317"/>
      <c r="ND1317"/>
      <c r="NE1317"/>
      <c r="NF1317"/>
      <c r="NG1317"/>
      <c r="NH1317"/>
      <c r="NI1317"/>
      <c r="NJ1317"/>
      <c r="NK1317"/>
      <c r="NL1317"/>
      <c r="NM1317"/>
      <c r="NN1317"/>
      <c r="NO1317"/>
      <c r="NP1317"/>
      <c r="NQ1317"/>
      <c r="NR1317"/>
      <c r="NS1317"/>
      <c r="NT1317"/>
      <c r="NU1317"/>
      <c r="NV1317"/>
      <c r="NW1317"/>
      <c r="NX1317"/>
      <c r="NY1317"/>
      <c r="NZ1317"/>
      <c r="OA1317"/>
      <c r="OB1317"/>
      <c r="OC1317"/>
      <c r="OD1317"/>
      <c r="OE1317"/>
      <c r="OF1317"/>
      <c r="OG1317"/>
      <c r="OH1317"/>
      <c r="OI1317"/>
      <c r="OJ1317"/>
      <c r="OK1317"/>
      <c r="OL1317"/>
      <c r="OM1317"/>
      <c r="ON1317"/>
      <c r="OO1317"/>
      <c r="OP1317"/>
      <c r="OQ1317"/>
      <c r="OR1317"/>
      <c r="OS1317"/>
      <c r="OT1317"/>
      <c r="OU1317"/>
      <c r="OV1317"/>
      <c r="OW1317"/>
      <c r="OX1317"/>
      <c r="OY1317"/>
      <c r="OZ1317"/>
      <c r="PA1317"/>
      <c r="PB1317"/>
      <c r="PC1317"/>
      <c r="PD1317"/>
      <c r="PE1317"/>
      <c r="PF1317"/>
      <c r="PG1317"/>
      <c r="PH1317"/>
      <c r="PI1317"/>
      <c r="PJ1317"/>
      <c r="PK1317"/>
      <c r="PL1317"/>
      <c r="PM1317"/>
      <c r="PN1317"/>
      <c r="PO1317"/>
      <c r="PP1317"/>
      <c r="PQ1317"/>
      <c r="PR1317"/>
      <c r="PS1317"/>
      <c r="PT1317"/>
      <c r="PU1317"/>
      <c r="PV1317"/>
      <c r="PW1317"/>
      <c r="PX1317"/>
      <c r="PY1317"/>
      <c r="PZ1317"/>
      <c r="QA1317"/>
      <c r="QB1317"/>
      <c r="QC1317"/>
      <c r="QD1317"/>
      <c r="QE1317"/>
      <c r="QF1317"/>
      <c r="QG1317"/>
      <c r="QH1317"/>
      <c r="QI1317"/>
      <c r="QJ1317"/>
      <c r="QK1317"/>
      <c r="QL1317"/>
      <c r="QM1317"/>
      <c r="QN1317"/>
      <c r="QO1317"/>
      <c r="QP1317"/>
      <c r="QQ1317"/>
      <c r="QR1317"/>
      <c r="QS1317"/>
      <c r="QT1317"/>
      <c r="QU1317"/>
      <c r="QV1317"/>
      <c r="QW1317"/>
      <c r="QX1317"/>
      <c r="QY1317"/>
      <c r="QZ1317"/>
      <c r="RA1317"/>
      <c r="RB1317"/>
      <c r="RC1317"/>
      <c r="RD1317"/>
      <c r="RE1317"/>
      <c r="RF1317"/>
      <c r="RG1317"/>
      <c r="RH1317"/>
      <c r="RI1317"/>
      <c r="RJ1317"/>
      <c r="RK1317"/>
      <c r="RL1317"/>
      <c r="RM1317"/>
      <c r="RN1317"/>
      <c r="RO1317"/>
      <c r="RP1317"/>
      <c r="RQ1317"/>
      <c r="RR1317"/>
      <c r="RS1317"/>
      <c r="RT1317"/>
      <c r="RU1317"/>
      <c r="RV1317"/>
      <c r="RW1317"/>
      <c r="RX1317"/>
      <c r="RY1317"/>
      <c r="RZ1317"/>
      <c r="SA1317"/>
      <c r="SB1317"/>
      <c r="SC1317"/>
      <c r="SD1317"/>
      <c r="SE1317"/>
      <c r="SF1317"/>
      <c r="SG1317"/>
      <c r="SH1317"/>
      <c r="SI1317"/>
      <c r="SJ1317"/>
      <c r="SK1317"/>
      <c r="SL1317"/>
      <c r="SM1317"/>
      <c r="SN1317"/>
      <c r="SO1317"/>
      <c r="SP1317"/>
      <c r="SQ1317"/>
      <c r="SR1317"/>
      <c r="SS1317"/>
      <c r="ST1317"/>
      <c r="SU1317"/>
      <c r="SV1317"/>
      <c r="SW1317"/>
      <c r="SX1317"/>
      <c r="SY1317"/>
      <c r="SZ1317"/>
      <c r="TA1317"/>
      <c r="TB1317"/>
      <c r="TC1317"/>
      <c r="TD1317"/>
      <c r="TE1317"/>
      <c r="TF1317"/>
      <c r="TG1317"/>
      <c r="TH1317"/>
      <c r="TI1317"/>
      <c r="TJ1317"/>
      <c r="TK1317"/>
      <c r="TL1317"/>
      <c r="TM1317"/>
      <c r="TN1317"/>
      <c r="TO1317"/>
      <c r="TP1317"/>
      <c r="TQ1317"/>
      <c r="TR1317"/>
      <c r="TS1317"/>
      <c r="TT1317"/>
      <c r="TU1317"/>
      <c r="TV1317"/>
      <c r="TW1317"/>
      <c r="TX1317"/>
      <c r="TY1317"/>
      <c r="TZ1317"/>
      <c r="UA1317"/>
      <c r="UB1317"/>
      <c r="UC1317"/>
      <c r="UD1317"/>
      <c r="UE1317"/>
      <c r="UF1317"/>
      <c r="UG1317"/>
      <c r="UH1317"/>
      <c r="UI1317"/>
      <c r="UJ1317"/>
      <c r="UK1317"/>
      <c r="UL1317"/>
      <c r="UM1317"/>
      <c r="UN1317"/>
      <c r="UO1317"/>
      <c r="UP1317"/>
      <c r="UQ1317"/>
      <c r="UR1317"/>
      <c r="US1317"/>
      <c r="UT1317"/>
      <c r="UU1317"/>
      <c r="UV1317"/>
      <c r="UW1317"/>
      <c r="UX1317"/>
      <c r="UY1317"/>
      <c r="UZ1317"/>
      <c r="VA1317"/>
      <c r="VB1317"/>
      <c r="VC1317"/>
      <c r="VD1317"/>
      <c r="VE1317"/>
      <c r="VF1317"/>
      <c r="VG1317"/>
      <c r="VH1317"/>
      <c r="VI1317"/>
      <c r="VJ1317"/>
      <c r="VK1317"/>
      <c r="VL1317"/>
      <c r="VM1317"/>
      <c r="VN1317"/>
      <c r="VO1317"/>
      <c r="VP1317"/>
      <c r="VQ1317"/>
      <c r="VR1317"/>
      <c r="VS1317"/>
      <c r="VT1317"/>
      <c r="VU1317"/>
      <c r="VV1317"/>
      <c r="VW1317"/>
      <c r="VX1317"/>
      <c r="VY1317"/>
      <c r="VZ1317"/>
      <c r="WA1317"/>
      <c r="WB1317"/>
      <c r="WC1317"/>
      <c r="WD1317"/>
      <c r="WE1317"/>
      <c r="WF1317"/>
      <c r="WG1317"/>
      <c r="WH1317"/>
      <c r="WI1317"/>
      <c r="WJ1317"/>
      <c r="WK1317"/>
      <c r="WL1317"/>
      <c r="WM1317"/>
      <c r="WN1317"/>
      <c r="WO1317"/>
      <c r="WP1317"/>
      <c r="WQ1317"/>
      <c r="WR1317"/>
      <c r="WS1317"/>
      <c r="WT1317"/>
      <c r="WU1317"/>
      <c r="WV1317"/>
      <c r="WW1317"/>
      <c r="WX1317"/>
      <c r="WY1317"/>
      <c r="WZ1317"/>
      <c r="XA1317"/>
      <c r="XB1317"/>
      <c r="XC1317"/>
      <c r="XD1317"/>
      <c r="XE1317"/>
      <c r="XF1317"/>
      <c r="XG1317"/>
      <c r="XH1317"/>
      <c r="XI1317"/>
      <c r="XJ1317"/>
      <c r="XK1317"/>
      <c r="XL1317"/>
      <c r="XM1317"/>
      <c r="XN1317"/>
      <c r="XO1317"/>
      <c r="XP1317"/>
      <c r="XQ1317"/>
      <c r="XR1317"/>
      <c r="XS1317"/>
      <c r="XT1317"/>
      <c r="XU1317"/>
      <c r="XV1317"/>
      <c r="XW1317"/>
      <c r="XX1317"/>
      <c r="XY1317"/>
      <c r="XZ1317"/>
      <c r="YA1317"/>
      <c r="YB1317"/>
      <c r="YC1317"/>
      <c r="YD1317"/>
      <c r="YE1317"/>
      <c r="YF1317"/>
      <c r="YG1317"/>
      <c r="YH1317"/>
      <c r="YI1317"/>
      <c r="YJ1317"/>
      <c r="YK1317"/>
      <c r="YL1317"/>
      <c r="YM1317"/>
      <c r="YN1317"/>
      <c r="YO1317"/>
      <c r="YP1317"/>
      <c r="YQ1317"/>
      <c r="YR1317"/>
      <c r="YS1317"/>
      <c r="YT1317"/>
      <c r="YU1317"/>
      <c r="YV1317"/>
      <c r="YW1317"/>
      <c r="YX1317"/>
      <c r="YY1317"/>
      <c r="YZ1317"/>
      <c r="ZA1317"/>
      <c r="ZB1317"/>
      <c r="ZC1317"/>
      <c r="ZD1317"/>
      <c r="ZE1317"/>
      <c r="ZF1317"/>
      <c r="ZG1317"/>
      <c r="ZH1317"/>
      <c r="ZI1317"/>
      <c r="ZJ1317"/>
      <c r="ZK1317"/>
      <c r="ZL1317"/>
      <c r="ZM1317"/>
      <c r="ZN1317"/>
      <c r="ZO1317"/>
      <c r="ZP1317"/>
      <c r="ZQ1317"/>
      <c r="ZR1317"/>
      <c r="ZS1317"/>
      <c r="ZT1317"/>
      <c r="ZU1317"/>
      <c r="ZV1317"/>
      <c r="ZW1317"/>
      <c r="ZX1317"/>
      <c r="ZY1317"/>
      <c r="ZZ1317"/>
      <c r="AAA1317"/>
      <c r="AAB1317"/>
      <c r="AAC1317"/>
      <c r="AAD1317"/>
      <c r="AAE1317"/>
      <c r="AAF1317"/>
      <c r="AAG1317"/>
      <c r="AAH1317"/>
      <c r="AAI1317"/>
      <c r="AAJ1317"/>
      <c r="AAK1317"/>
      <c r="AAL1317"/>
      <c r="AAM1317"/>
      <c r="AAN1317"/>
      <c r="AAO1317"/>
      <c r="AAP1317"/>
      <c r="AAQ1317"/>
      <c r="AAR1317"/>
      <c r="AAS1317"/>
      <c r="AAT1317"/>
      <c r="AAU1317"/>
      <c r="AAV1317"/>
      <c r="AAW1317"/>
      <c r="AAX1317"/>
      <c r="AAY1317"/>
      <c r="AAZ1317"/>
      <c r="ABA1317"/>
      <c r="ABB1317"/>
      <c r="ABC1317"/>
      <c r="ABD1317"/>
      <c r="ABE1317"/>
      <c r="ABF1317"/>
      <c r="ABG1317"/>
      <c r="ABH1317"/>
      <c r="ABI1317"/>
      <c r="ABJ1317"/>
      <c r="ABK1317"/>
      <c r="ABL1317"/>
      <c r="ABM1317"/>
      <c r="ABN1317"/>
      <c r="ABO1317"/>
      <c r="ABP1317"/>
      <c r="ABQ1317"/>
      <c r="ABR1317"/>
      <c r="ABS1317"/>
      <c r="ABT1317"/>
      <c r="ABU1317"/>
      <c r="ABV1317"/>
      <c r="ABW1317"/>
      <c r="ABX1317"/>
      <c r="ABY1317"/>
      <c r="ABZ1317"/>
      <c r="ACA1317"/>
      <c r="ACB1317"/>
      <c r="ACC1317"/>
      <c r="ACD1317"/>
      <c r="ACE1317"/>
      <c r="ACF1317"/>
      <c r="ACG1317"/>
      <c r="ACH1317"/>
      <c r="ACI1317"/>
      <c r="ACJ1317"/>
      <c r="ACK1317"/>
      <c r="ACL1317"/>
      <c r="ACM1317"/>
      <c r="ACN1317"/>
      <c r="ACO1317"/>
      <c r="ACP1317"/>
      <c r="ACQ1317"/>
      <c r="ACR1317"/>
      <c r="ACS1317"/>
      <c r="ACT1317"/>
      <c r="ACU1317"/>
      <c r="ACV1317"/>
      <c r="ACW1317"/>
      <c r="ACX1317"/>
      <c r="ACY1317"/>
      <c r="ACZ1317"/>
      <c r="ADA1317"/>
      <c r="ADB1317"/>
      <c r="ADC1317"/>
      <c r="ADD1317"/>
      <c r="ADE1317"/>
      <c r="ADF1317"/>
      <c r="ADG1317"/>
      <c r="ADH1317"/>
      <c r="ADI1317"/>
      <c r="ADJ1317"/>
      <c r="ADK1317"/>
      <c r="ADL1317"/>
      <c r="ADM1317"/>
      <c r="ADN1317"/>
      <c r="ADO1317"/>
      <c r="ADP1317"/>
      <c r="ADQ1317"/>
      <c r="ADR1317"/>
      <c r="ADS1317"/>
      <c r="ADT1317"/>
      <c r="ADU1317"/>
      <c r="ADV1317"/>
      <c r="ADW1317"/>
      <c r="ADX1317"/>
      <c r="ADY1317"/>
      <c r="ADZ1317"/>
      <c r="AEA1317"/>
      <c r="AEB1317"/>
      <c r="AEC1317"/>
      <c r="AED1317"/>
      <c r="AEE1317"/>
      <c r="AEF1317"/>
      <c r="AEG1317"/>
      <c r="AEH1317"/>
      <c r="AEI1317"/>
      <c r="AEJ1317"/>
      <c r="AEK1317"/>
      <c r="AEL1317"/>
      <c r="AEM1317"/>
      <c r="AEN1317"/>
      <c r="AEO1317"/>
      <c r="AEP1317"/>
      <c r="AEQ1317"/>
      <c r="AER1317"/>
      <c r="AES1317"/>
      <c r="AET1317"/>
      <c r="AEU1317"/>
      <c r="AEV1317"/>
      <c r="AEW1317"/>
      <c r="AEX1317"/>
      <c r="AEY1317"/>
      <c r="AEZ1317"/>
      <c r="AFA1317"/>
      <c r="AFB1317"/>
      <c r="AFC1317"/>
      <c r="AFD1317"/>
      <c r="AFE1317"/>
      <c r="AFF1317"/>
      <c r="AFG1317"/>
      <c r="AFH1317"/>
      <c r="AFI1317"/>
      <c r="AFJ1317"/>
      <c r="AFK1317"/>
      <c r="AFL1317"/>
      <c r="AFM1317"/>
      <c r="AFN1317"/>
      <c r="AFO1317"/>
      <c r="AFP1317"/>
      <c r="AFQ1317"/>
      <c r="AFR1317"/>
      <c r="AFS1317"/>
      <c r="AFT1317"/>
      <c r="AFU1317"/>
      <c r="AFV1317"/>
      <c r="AFW1317"/>
      <c r="AFX1317"/>
      <c r="AFY1317"/>
      <c r="AFZ1317"/>
      <c r="AGA1317"/>
      <c r="AGB1317"/>
      <c r="AGC1317"/>
      <c r="AGD1317"/>
      <c r="AGE1317"/>
      <c r="AGF1317"/>
      <c r="AGG1317"/>
      <c r="AGH1317"/>
      <c r="AGI1317"/>
      <c r="AGJ1317"/>
      <c r="AGK1317"/>
      <c r="AGL1317"/>
      <c r="AGM1317"/>
      <c r="AGN1317"/>
      <c r="AGO1317"/>
      <c r="AGP1317"/>
      <c r="AGQ1317"/>
      <c r="AGR1317"/>
      <c r="AGS1317"/>
      <c r="AGT1317"/>
      <c r="AGU1317"/>
      <c r="AGV1317"/>
      <c r="AGW1317"/>
      <c r="AGX1317"/>
      <c r="AGY1317"/>
      <c r="AGZ1317"/>
      <c r="AHA1317"/>
      <c r="AHB1317"/>
      <c r="AHC1317"/>
      <c r="AHD1317"/>
      <c r="AHE1317"/>
      <c r="AHF1317"/>
      <c r="AHG1317"/>
      <c r="AHH1317"/>
      <c r="AHI1317"/>
      <c r="AHJ1317"/>
      <c r="AHK1317"/>
      <c r="AHL1317"/>
      <c r="AHM1317"/>
      <c r="AHN1317"/>
      <c r="AHO1317"/>
      <c r="AHP1317"/>
      <c r="AHQ1317"/>
      <c r="AHR1317"/>
      <c r="AHS1317"/>
      <c r="AHT1317"/>
      <c r="AHU1317"/>
      <c r="AHV1317"/>
      <c r="AHW1317"/>
      <c r="AHX1317"/>
      <c r="AHY1317"/>
      <c r="AHZ1317"/>
      <c r="AIA1317"/>
      <c r="AIB1317"/>
      <c r="AIC1317"/>
      <c r="AID1317"/>
      <c r="AIE1317"/>
      <c r="AIF1317"/>
      <c r="AIG1317"/>
      <c r="AIH1317"/>
      <c r="AII1317"/>
      <c r="AIJ1317"/>
      <c r="AIK1317"/>
      <c r="AIL1317"/>
      <c r="AIM1317"/>
      <c r="AIN1317"/>
      <c r="AIO1317"/>
      <c r="AIP1317"/>
      <c r="AIQ1317"/>
      <c r="AIR1317"/>
      <c r="AIS1317"/>
      <c r="AIT1317"/>
      <c r="AIU1317"/>
      <c r="AIV1317"/>
      <c r="AIW1317"/>
      <c r="AIX1317"/>
      <c r="AIY1317"/>
      <c r="AIZ1317"/>
      <c r="AJA1317"/>
      <c r="AJB1317"/>
      <c r="AJC1317"/>
      <c r="AJD1317"/>
      <c r="AJE1317"/>
      <c r="AJF1317"/>
      <c r="AJG1317"/>
      <c r="AJH1317"/>
      <c r="AJI1317"/>
      <c r="AJJ1317"/>
      <c r="AJK1317"/>
      <c r="AJL1317"/>
      <c r="AJM1317"/>
      <c r="AJN1317"/>
      <c r="AJO1317"/>
      <c r="AJP1317"/>
      <c r="AJQ1317"/>
      <c r="AJR1317"/>
      <c r="AJS1317"/>
      <c r="AJT1317"/>
      <c r="AJU1317"/>
      <c r="AJV1317"/>
      <c r="AJW1317"/>
      <c r="AJX1317"/>
      <c r="AJY1317"/>
      <c r="AJZ1317"/>
      <c r="AKA1317"/>
      <c r="AKB1317"/>
      <c r="AKC1317"/>
      <c r="AKD1317"/>
      <c r="AKE1317"/>
      <c r="AKF1317"/>
      <c r="AKG1317"/>
      <c r="AKH1317"/>
      <c r="AKI1317"/>
      <c r="AKJ1317"/>
      <c r="AKK1317"/>
      <c r="AKL1317"/>
      <c r="AKM1317"/>
      <c r="AKN1317"/>
      <c r="AKO1317"/>
      <c r="AKP1317"/>
      <c r="AKQ1317"/>
      <c r="AKR1317"/>
      <c r="AKS1317"/>
      <c r="AKT1317"/>
      <c r="AKU1317"/>
      <c r="AKV1317"/>
      <c r="AKW1317"/>
      <c r="AKX1317"/>
      <c r="AKY1317"/>
      <c r="AKZ1317"/>
      <c r="ALA1317"/>
      <c r="ALB1317"/>
      <c r="ALC1317"/>
      <c r="ALD1317"/>
      <c r="ALE1317"/>
      <c r="ALF1317"/>
      <c r="ALG1317"/>
      <c r="ALH1317"/>
      <c r="ALI1317"/>
      <c r="ALJ1317"/>
      <c r="ALK1317"/>
      <c r="ALL1317"/>
      <c r="ALM1317"/>
      <c r="ALN1317"/>
      <c r="ALO1317"/>
      <c r="ALP1317"/>
      <c r="ALQ1317"/>
      <c r="ALR1317"/>
      <c r="ALS1317"/>
      <c r="ALT1317"/>
    </row>
    <row r="1318" spans="3:1008" x14ac:dyDescent="0.15">
      <c r="C1318"/>
      <c r="F1318"/>
      <c r="H131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c r="AT1318"/>
      <c r="AU1318"/>
      <c r="AV1318"/>
      <c r="AW1318"/>
      <c r="AX1318"/>
      <c r="AY1318"/>
      <c r="AZ1318"/>
      <c r="BA1318"/>
      <c r="BB1318"/>
      <c r="BC1318"/>
      <c r="BD1318"/>
      <c r="BE1318"/>
      <c r="BF1318"/>
      <c r="BG1318"/>
      <c r="BH1318"/>
      <c r="BI1318"/>
      <c r="BJ1318"/>
      <c r="BK1318"/>
      <c r="BL1318"/>
      <c r="BM1318"/>
      <c r="BN1318"/>
      <c r="BO1318"/>
      <c r="BP1318"/>
      <c r="BQ1318"/>
      <c r="BR1318"/>
      <c r="BS1318"/>
      <c r="BT1318"/>
      <c r="BU1318"/>
      <c r="BV1318"/>
      <c r="BW1318"/>
      <c r="BX1318"/>
      <c r="BY1318"/>
      <c r="BZ1318"/>
      <c r="CA1318"/>
      <c r="CB1318"/>
      <c r="CC1318"/>
      <c r="CD1318"/>
      <c r="CE1318"/>
      <c r="CF1318"/>
      <c r="CG1318"/>
      <c r="CH1318"/>
      <c r="CI1318"/>
      <c r="CJ1318"/>
      <c r="CK1318"/>
      <c r="CL1318"/>
      <c r="CM1318"/>
      <c r="CN1318"/>
      <c r="CO1318"/>
      <c r="CP1318"/>
      <c r="CQ1318"/>
      <c r="CR1318"/>
      <c r="CS1318"/>
      <c r="CT1318"/>
      <c r="CU1318"/>
      <c r="CV1318"/>
      <c r="CW1318"/>
      <c r="CX1318"/>
      <c r="CY1318"/>
      <c r="CZ1318"/>
      <c r="DA1318"/>
      <c r="DB1318"/>
      <c r="DC1318"/>
      <c r="DD1318"/>
      <c r="DE1318"/>
      <c r="DF1318"/>
      <c r="DG1318"/>
      <c r="DH1318"/>
      <c r="DI1318"/>
      <c r="DJ1318"/>
      <c r="DK1318"/>
      <c r="DL1318"/>
      <c r="DM1318"/>
      <c r="DN1318"/>
      <c r="DO1318"/>
      <c r="DP1318"/>
      <c r="DQ1318"/>
      <c r="DR1318"/>
      <c r="DS1318"/>
      <c r="DT1318"/>
      <c r="DU1318"/>
      <c r="DV1318"/>
      <c r="DW1318"/>
      <c r="DX1318"/>
      <c r="DY1318"/>
      <c r="DZ1318"/>
      <c r="EA1318"/>
      <c r="EB1318"/>
      <c r="EC1318"/>
      <c r="ED1318"/>
      <c r="EE1318"/>
      <c r="EF1318"/>
      <c r="EG1318"/>
      <c r="EH1318"/>
      <c r="EI1318"/>
      <c r="EJ1318"/>
      <c r="EK1318"/>
      <c r="EL1318"/>
      <c r="EM1318"/>
      <c r="EN1318"/>
      <c r="EO1318"/>
      <c r="EP1318"/>
      <c r="EQ1318"/>
      <c r="ER1318"/>
      <c r="ES1318"/>
      <c r="ET1318"/>
      <c r="EU1318"/>
      <c r="EV1318"/>
      <c r="EW1318"/>
      <c r="EX1318"/>
      <c r="EY1318"/>
      <c r="EZ1318"/>
      <c r="FA1318"/>
      <c r="FB1318"/>
      <c r="FC1318"/>
      <c r="FD1318"/>
      <c r="FE1318"/>
      <c r="FF1318"/>
      <c r="FG1318"/>
      <c r="FH1318"/>
      <c r="FI1318"/>
      <c r="FJ1318"/>
      <c r="FK1318"/>
      <c r="FL1318"/>
      <c r="FM1318"/>
      <c r="FN1318"/>
      <c r="FO1318"/>
      <c r="FP1318"/>
      <c r="FQ1318"/>
      <c r="FR1318"/>
      <c r="FS1318"/>
      <c r="FT1318"/>
      <c r="FU1318"/>
      <c r="FV1318"/>
      <c r="FW1318"/>
      <c r="FX1318"/>
      <c r="FY1318"/>
      <c r="FZ1318"/>
      <c r="GA1318"/>
      <c r="GB1318"/>
      <c r="GC1318"/>
      <c r="GD1318"/>
      <c r="GE1318"/>
      <c r="GF1318"/>
      <c r="GG1318"/>
      <c r="GH1318"/>
      <c r="GI1318"/>
      <c r="GJ1318"/>
      <c r="GK1318"/>
      <c r="GL1318"/>
      <c r="GM1318"/>
      <c r="GN1318"/>
      <c r="GO1318"/>
      <c r="GP1318"/>
      <c r="GQ1318"/>
      <c r="GR1318"/>
      <c r="GS1318"/>
      <c r="GT1318"/>
      <c r="GU1318"/>
      <c r="GV1318"/>
      <c r="GW1318"/>
      <c r="GX1318"/>
      <c r="GY1318"/>
      <c r="GZ1318"/>
      <c r="HA1318"/>
      <c r="HB1318"/>
      <c r="HC1318"/>
      <c r="HD1318"/>
      <c r="HE1318"/>
      <c r="HF1318"/>
      <c r="HG1318"/>
      <c r="HH1318"/>
      <c r="HI1318"/>
      <c r="HJ1318"/>
      <c r="HK1318"/>
      <c r="HL1318"/>
      <c r="HM1318"/>
      <c r="HN1318"/>
      <c r="HO1318"/>
      <c r="HP1318"/>
      <c r="HQ1318"/>
      <c r="HR1318"/>
      <c r="HS1318"/>
      <c r="HT1318"/>
      <c r="HU1318"/>
      <c r="HV1318"/>
      <c r="HW1318"/>
      <c r="HX1318"/>
      <c r="HY1318"/>
      <c r="HZ1318"/>
      <c r="IA1318"/>
      <c r="IB1318"/>
      <c r="IC1318"/>
      <c r="ID1318"/>
      <c r="IE1318"/>
      <c r="IF1318"/>
      <c r="IG1318"/>
      <c r="IH1318"/>
      <c r="II1318"/>
      <c r="IJ1318"/>
      <c r="IK1318"/>
      <c r="IL1318"/>
      <c r="IM1318"/>
      <c r="IN1318"/>
      <c r="IO1318"/>
      <c r="IP1318"/>
      <c r="IQ1318"/>
      <c r="IR1318"/>
      <c r="IS1318"/>
      <c r="IT1318"/>
      <c r="IU1318"/>
      <c r="IV1318"/>
      <c r="IW1318"/>
      <c r="IX1318"/>
      <c r="IY1318"/>
      <c r="IZ1318"/>
      <c r="JA1318"/>
      <c r="JB1318"/>
      <c r="JC1318"/>
      <c r="JD1318"/>
      <c r="JE1318"/>
      <c r="JF1318"/>
      <c r="JG1318"/>
      <c r="JH1318"/>
      <c r="JI1318"/>
      <c r="JJ1318"/>
      <c r="JK1318"/>
      <c r="JL1318"/>
      <c r="JM1318"/>
      <c r="JN1318"/>
      <c r="JO1318"/>
      <c r="JP1318"/>
      <c r="JQ1318"/>
      <c r="JR1318"/>
      <c r="JS1318"/>
      <c r="JT1318"/>
      <c r="JU1318"/>
      <c r="JV1318"/>
      <c r="JW1318"/>
      <c r="JX1318"/>
      <c r="JY1318"/>
      <c r="JZ1318"/>
      <c r="KA1318"/>
      <c r="KB1318"/>
      <c r="KC1318"/>
      <c r="KD1318"/>
      <c r="KE1318"/>
      <c r="KF1318"/>
      <c r="KG1318"/>
      <c r="KH1318"/>
      <c r="KI1318"/>
      <c r="KJ1318"/>
      <c r="KK1318"/>
      <c r="KL1318"/>
      <c r="KM1318"/>
      <c r="KN1318"/>
      <c r="KO1318"/>
      <c r="KP1318"/>
      <c r="KQ1318"/>
      <c r="KR1318"/>
      <c r="KS1318"/>
      <c r="KT1318"/>
      <c r="KU1318"/>
      <c r="KV1318"/>
      <c r="KW1318"/>
      <c r="KX1318"/>
      <c r="KY1318"/>
      <c r="KZ1318"/>
      <c r="LA1318"/>
      <c r="LB1318"/>
      <c r="LC1318"/>
      <c r="LD1318"/>
      <c r="LE1318"/>
      <c r="LF1318"/>
      <c r="LG1318"/>
      <c r="LH1318"/>
      <c r="LI1318"/>
      <c r="LJ1318"/>
      <c r="LK1318"/>
      <c r="LL1318"/>
      <c r="LM1318"/>
      <c r="LN1318"/>
      <c r="LO1318"/>
      <c r="LP1318"/>
      <c r="LQ1318"/>
      <c r="LR1318"/>
      <c r="LS1318"/>
      <c r="LT1318"/>
      <c r="LU1318"/>
      <c r="LV1318"/>
      <c r="LW1318"/>
      <c r="LX1318"/>
      <c r="LY1318"/>
      <c r="LZ1318"/>
      <c r="MA1318"/>
      <c r="MB1318"/>
      <c r="MC1318"/>
      <c r="MD1318"/>
      <c r="ME1318"/>
      <c r="MF1318"/>
      <c r="MG1318"/>
      <c r="MH1318"/>
      <c r="MI1318"/>
      <c r="MJ1318"/>
      <c r="MK1318"/>
      <c r="ML1318"/>
      <c r="MM1318"/>
      <c r="MN1318"/>
      <c r="MO1318"/>
      <c r="MP1318"/>
      <c r="MQ1318"/>
      <c r="MR1318"/>
      <c r="MS1318"/>
      <c r="MT1318"/>
      <c r="MU1318"/>
      <c r="MV1318"/>
      <c r="MW1318"/>
      <c r="MX1318"/>
      <c r="MY1318"/>
      <c r="MZ1318"/>
      <c r="NA1318"/>
      <c r="NB1318"/>
      <c r="NC1318"/>
      <c r="ND1318"/>
      <c r="NE1318"/>
      <c r="NF1318"/>
      <c r="NG1318"/>
      <c r="NH1318"/>
      <c r="NI1318"/>
      <c r="NJ1318"/>
      <c r="NK1318"/>
      <c r="NL1318"/>
      <c r="NM1318"/>
      <c r="NN1318"/>
      <c r="NO1318"/>
      <c r="NP1318"/>
      <c r="NQ1318"/>
      <c r="NR1318"/>
      <c r="NS1318"/>
      <c r="NT1318"/>
      <c r="NU1318"/>
      <c r="NV1318"/>
      <c r="NW1318"/>
      <c r="NX1318"/>
      <c r="NY1318"/>
      <c r="NZ1318"/>
      <c r="OA1318"/>
      <c r="OB1318"/>
      <c r="OC1318"/>
      <c r="OD1318"/>
      <c r="OE1318"/>
      <c r="OF1318"/>
      <c r="OG1318"/>
      <c r="OH1318"/>
      <c r="OI1318"/>
      <c r="OJ1318"/>
      <c r="OK1318"/>
      <c r="OL1318"/>
      <c r="OM1318"/>
      <c r="ON1318"/>
      <c r="OO1318"/>
      <c r="OP1318"/>
      <c r="OQ1318"/>
      <c r="OR1318"/>
      <c r="OS1318"/>
      <c r="OT1318"/>
      <c r="OU1318"/>
      <c r="OV1318"/>
      <c r="OW1318"/>
      <c r="OX1318"/>
      <c r="OY1318"/>
      <c r="OZ1318"/>
      <c r="PA1318"/>
      <c r="PB1318"/>
      <c r="PC1318"/>
      <c r="PD1318"/>
      <c r="PE1318"/>
      <c r="PF1318"/>
      <c r="PG1318"/>
      <c r="PH1318"/>
      <c r="PI1318"/>
      <c r="PJ1318"/>
      <c r="PK1318"/>
      <c r="PL1318"/>
      <c r="PM1318"/>
      <c r="PN1318"/>
      <c r="PO1318"/>
      <c r="PP1318"/>
      <c r="PQ1318"/>
      <c r="PR1318"/>
      <c r="PS1318"/>
      <c r="PT1318"/>
      <c r="PU1318"/>
      <c r="PV1318"/>
      <c r="PW1318"/>
      <c r="PX1318"/>
      <c r="PY1318"/>
      <c r="PZ1318"/>
      <c r="QA1318"/>
      <c r="QB1318"/>
      <c r="QC1318"/>
      <c r="QD1318"/>
      <c r="QE1318"/>
      <c r="QF1318"/>
      <c r="QG1318"/>
      <c r="QH1318"/>
      <c r="QI1318"/>
      <c r="QJ1318"/>
      <c r="QK1318"/>
      <c r="QL1318"/>
      <c r="QM1318"/>
      <c r="QN1318"/>
      <c r="QO1318"/>
      <c r="QP1318"/>
      <c r="QQ1318"/>
      <c r="QR1318"/>
      <c r="QS1318"/>
      <c r="QT1318"/>
      <c r="QU1318"/>
      <c r="QV1318"/>
      <c r="QW1318"/>
      <c r="QX1318"/>
      <c r="QY1318"/>
      <c r="QZ1318"/>
      <c r="RA1318"/>
      <c r="RB1318"/>
      <c r="RC1318"/>
      <c r="RD1318"/>
      <c r="RE1318"/>
      <c r="RF1318"/>
      <c r="RG1318"/>
      <c r="RH1318"/>
      <c r="RI1318"/>
      <c r="RJ1318"/>
      <c r="RK1318"/>
      <c r="RL1318"/>
      <c r="RM1318"/>
      <c r="RN1318"/>
      <c r="RO1318"/>
      <c r="RP1318"/>
      <c r="RQ1318"/>
      <c r="RR1318"/>
      <c r="RS1318"/>
      <c r="RT1318"/>
      <c r="RU1318"/>
      <c r="RV1318"/>
      <c r="RW1318"/>
      <c r="RX1318"/>
      <c r="RY1318"/>
      <c r="RZ1318"/>
      <c r="SA1318"/>
      <c r="SB1318"/>
      <c r="SC1318"/>
      <c r="SD1318"/>
      <c r="SE1318"/>
      <c r="SF1318"/>
      <c r="SG1318"/>
      <c r="SH1318"/>
      <c r="SI1318"/>
      <c r="SJ1318"/>
      <c r="SK1318"/>
      <c r="SL1318"/>
      <c r="SM1318"/>
      <c r="SN1318"/>
      <c r="SO1318"/>
      <c r="SP1318"/>
      <c r="SQ1318"/>
      <c r="SR1318"/>
      <c r="SS1318"/>
      <c r="ST1318"/>
      <c r="SU1318"/>
      <c r="SV1318"/>
      <c r="SW1318"/>
      <c r="SX1318"/>
      <c r="SY1318"/>
      <c r="SZ1318"/>
      <c r="TA1318"/>
      <c r="TB1318"/>
      <c r="TC1318"/>
      <c r="TD1318"/>
      <c r="TE1318"/>
      <c r="TF1318"/>
      <c r="TG1318"/>
      <c r="TH1318"/>
      <c r="TI1318"/>
      <c r="TJ1318"/>
      <c r="TK1318"/>
      <c r="TL1318"/>
      <c r="TM1318"/>
      <c r="TN1318"/>
      <c r="TO1318"/>
      <c r="TP1318"/>
      <c r="TQ1318"/>
      <c r="TR1318"/>
      <c r="TS1318"/>
      <c r="TT1318"/>
      <c r="TU1318"/>
      <c r="TV1318"/>
      <c r="TW1318"/>
      <c r="TX1318"/>
      <c r="TY1318"/>
      <c r="TZ1318"/>
      <c r="UA1318"/>
      <c r="UB1318"/>
      <c r="UC1318"/>
      <c r="UD1318"/>
      <c r="UE1318"/>
      <c r="UF1318"/>
      <c r="UG1318"/>
      <c r="UH1318"/>
      <c r="UI1318"/>
      <c r="UJ1318"/>
      <c r="UK1318"/>
      <c r="UL1318"/>
      <c r="UM1318"/>
      <c r="UN1318"/>
      <c r="UO1318"/>
      <c r="UP1318"/>
      <c r="UQ1318"/>
      <c r="UR1318"/>
      <c r="US1318"/>
      <c r="UT1318"/>
      <c r="UU1318"/>
      <c r="UV1318"/>
      <c r="UW1318"/>
      <c r="UX1318"/>
      <c r="UY1318"/>
      <c r="UZ1318"/>
      <c r="VA1318"/>
      <c r="VB1318"/>
      <c r="VC1318"/>
      <c r="VD1318"/>
      <c r="VE1318"/>
      <c r="VF1318"/>
      <c r="VG1318"/>
      <c r="VH1318"/>
      <c r="VI1318"/>
      <c r="VJ1318"/>
      <c r="VK1318"/>
      <c r="VL1318"/>
      <c r="VM1318"/>
      <c r="VN1318"/>
      <c r="VO1318"/>
      <c r="VP1318"/>
      <c r="VQ1318"/>
      <c r="VR1318"/>
      <c r="VS1318"/>
      <c r="VT1318"/>
      <c r="VU1318"/>
      <c r="VV1318"/>
      <c r="VW1318"/>
      <c r="VX1318"/>
      <c r="VY1318"/>
      <c r="VZ1318"/>
      <c r="WA1318"/>
      <c r="WB1318"/>
      <c r="WC1318"/>
      <c r="WD1318"/>
      <c r="WE1318"/>
      <c r="WF1318"/>
      <c r="WG1318"/>
      <c r="WH1318"/>
      <c r="WI1318"/>
      <c r="WJ1318"/>
      <c r="WK1318"/>
      <c r="WL1318"/>
      <c r="WM1318"/>
      <c r="WN1318"/>
      <c r="WO1318"/>
      <c r="WP1318"/>
      <c r="WQ1318"/>
      <c r="WR1318"/>
      <c r="WS1318"/>
      <c r="WT1318"/>
      <c r="WU1318"/>
      <c r="WV1318"/>
      <c r="WW1318"/>
      <c r="WX1318"/>
      <c r="WY1318"/>
      <c r="WZ1318"/>
      <c r="XA1318"/>
      <c r="XB1318"/>
      <c r="XC1318"/>
      <c r="XD1318"/>
      <c r="XE1318"/>
      <c r="XF1318"/>
      <c r="XG1318"/>
      <c r="XH1318"/>
      <c r="XI1318"/>
      <c r="XJ1318"/>
      <c r="XK1318"/>
      <c r="XL1318"/>
      <c r="XM1318"/>
      <c r="XN1318"/>
      <c r="XO1318"/>
      <c r="XP1318"/>
      <c r="XQ1318"/>
      <c r="XR1318"/>
      <c r="XS1318"/>
      <c r="XT1318"/>
      <c r="XU1318"/>
      <c r="XV1318"/>
      <c r="XW1318"/>
      <c r="XX1318"/>
      <c r="XY1318"/>
      <c r="XZ1318"/>
      <c r="YA1318"/>
      <c r="YB1318"/>
      <c r="YC1318"/>
      <c r="YD1318"/>
      <c r="YE1318"/>
      <c r="YF1318"/>
      <c r="YG1318"/>
      <c r="YH1318"/>
      <c r="YI1318"/>
      <c r="YJ1318"/>
      <c r="YK1318"/>
      <c r="YL1318"/>
      <c r="YM1318"/>
      <c r="YN1318"/>
      <c r="YO1318"/>
      <c r="YP1318"/>
      <c r="YQ1318"/>
      <c r="YR1318"/>
      <c r="YS1318"/>
      <c r="YT1318"/>
      <c r="YU1318"/>
      <c r="YV1318"/>
      <c r="YW1318"/>
      <c r="YX1318"/>
      <c r="YY1318"/>
      <c r="YZ1318"/>
      <c r="ZA1318"/>
      <c r="ZB1318"/>
      <c r="ZC1318"/>
      <c r="ZD1318"/>
      <c r="ZE1318"/>
      <c r="ZF1318"/>
      <c r="ZG1318"/>
      <c r="ZH1318"/>
      <c r="ZI1318"/>
      <c r="ZJ1318"/>
      <c r="ZK1318"/>
      <c r="ZL1318"/>
      <c r="ZM1318"/>
      <c r="ZN1318"/>
      <c r="ZO1318"/>
      <c r="ZP1318"/>
      <c r="ZQ1318"/>
      <c r="ZR1318"/>
      <c r="ZS1318"/>
      <c r="ZT1318"/>
      <c r="ZU1318"/>
      <c r="ZV1318"/>
      <c r="ZW1318"/>
      <c r="ZX1318"/>
      <c r="ZY1318"/>
      <c r="ZZ1318"/>
      <c r="AAA1318"/>
      <c r="AAB1318"/>
      <c r="AAC1318"/>
      <c r="AAD1318"/>
      <c r="AAE1318"/>
      <c r="AAF1318"/>
      <c r="AAG1318"/>
      <c r="AAH1318"/>
      <c r="AAI1318"/>
      <c r="AAJ1318"/>
      <c r="AAK1318"/>
      <c r="AAL1318"/>
      <c r="AAM1318"/>
      <c r="AAN1318"/>
      <c r="AAO1318"/>
      <c r="AAP1318"/>
      <c r="AAQ1318"/>
      <c r="AAR1318"/>
      <c r="AAS1318"/>
      <c r="AAT1318"/>
      <c r="AAU1318"/>
      <c r="AAV1318"/>
      <c r="AAW1318"/>
      <c r="AAX1318"/>
      <c r="AAY1318"/>
      <c r="AAZ1318"/>
      <c r="ABA1318"/>
      <c r="ABB1318"/>
      <c r="ABC1318"/>
      <c r="ABD1318"/>
      <c r="ABE1318"/>
      <c r="ABF1318"/>
      <c r="ABG1318"/>
      <c r="ABH1318"/>
      <c r="ABI1318"/>
      <c r="ABJ1318"/>
      <c r="ABK1318"/>
      <c r="ABL1318"/>
      <c r="ABM1318"/>
      <c r="ABN1318"/>
      <c r="ABO1318"/>
      <c r="ABP1318"/>
      <c r="ABQ1318"/>
      <c r="ABR1318"/>
      <c r="ABS1318"/>
      <c r="ABT1318"/>
      <c r="ABU1318"/>
      <c r="ABV1318"/>
      <c r="ABW1318"/>
      <c r="ABX1318"/>
      <c r="ABY1318"/>
      <c r="ABZ1318"/>
      <c r="ACA1318"/>
      <c r="ACB1318"/>
      <c r="ACC1318"/>
      <c r="ACD1318"/>
      <c r="ACE1318"/>
      <c r="ACF1318"/>
      <c r="ACG1318"/>
      <c r="ACH1318"/>
      <c r="ACI1318"/>
      <c r="ACJ1318"/>
      <c r="ACK1318"/>
      <c r="ACL1318"/>
      <c r="ACM1318"/>
      <c r="ACN1318"/>
      <c r="ACO1318"/>
      <c r="ACP1318"/>
      <c r="ACQ1318"/>
      <c r="ACR1318"/>
      <c r="ACS1318"/>
      <c r="ACT1318"/>
      <c r="ACU1318"/>
      <c r="ACV1318"/>
      <c r="ACW1318"/>
      <c r="ACX1318"/>
      <c r="ACY1318"/>
      <c r="ACZ1318"/>
      <c r="ADA1318"/>
      <c r="ADB1318"/>
      <c r="ADC1318"/>
      <c r="ADD1318"/>
      <c r="ADE1318"/>
      <c r="ADF1318"/>
      <c r="ADG1318"/>
      <c r="ADH1318"/>
      <c r="ADI1318"/>
      <c r="ADJ1318"/>
      <c r="ADK1318"/>
      <c r="ADL1318"/>
      <c r="ADM1318"/>
      <c r="ADN1318"/>
      <c r="ADO1318"/>
      <c r="ADP1318"/>
      <c r="ADQ1318"/>
      <c r="ADR1318"/>
      <c r="ADS1318"/>
      <c r="ADT1318"/>
      <c r="ADU1318"/>
      <c r="ADV1318"/>
      <c r="ADW1318"/>
      <c r="ADX1318"/>
      <c r="ADY1318"/>
      <c r="ADZ1318"/>
      <c r="AEA1318"/>
      <c r="AEB1318"/>
      <c r="AEC1318"/>
      <c r="AED1318"/>
      <c r="AEE1318"/>
      <c r="AEF1318"/>
      <c r="AEG1318"/>
      <c r="AEH1318"/>
      <c r="AEI1318"/>
      <c r="AEJ1318"/>
      <c r="AEK1318"/>
      <c r="AEL1318"/>
      <c r="AEM1318"/>
      <c r="AEN1318"/>
      <c r="AEO1318"/>
      <c r="AEP1318"/>
      <c r="AEQ1318"/>
      <c r="AER1318"/>
      <c r="AES1318"/>
      <c r="AET1318"/>
      <c r="AEU1318"/>
      <c r="AEV1318"/>
      <c r="AEW1318"/>
      <c r="AEX1318"/>
      <c r="AEY1318"/>
      <c r="AEZ1318"/>
      <c r="AFA1318"/>
      <c r="AFB1318"/>
      <c r="AFC1318"/>
      <c r="AFD1318"/>
      <c r="AFE1318"/>
      <c r="AFF1318"/>
      <c r="AFG1318"/>
      <c r="AFH1318"/>
      <c r="AFI1318"/>
      <c r="AFJ1318"/>
      <c r="AFK1318"/>
      <c r="AFL1318"/>
      <c r="AFM1318"/>
      <c r="AFN1318"/>
      <c r="AFO1318"/>
      <c r="AFP1318"/>
      <c r="AFQ1318"/>
      <c r="AFR1318"/>
      <c r="AFS1318"/>
      <c r="AFT1318"/>
      <c r="AFU1318"/>
      <c r="AFV1318"/>
      <c r="AFW1318"/>
      <c r="AFX1318"/>
      <c r="AFY1318"/>
      <c r="AFZ1318"/>
      <c r="AGA1318"/>
      <c r="AGB1318"/>
      <c r="AGC1318"/>
      <c r="AGD1318"/>
      <c r="AGE1318"/>
      <c r="AGF1318"/>
      <c r="AGG1318"/>
      <c r="AGH1318"/>
      <c r="AGI1318"/>
      <c r="AGJ1318"/>
      <c r="AGK1318"/>
      <c r="AGL1318"/>
      <c r="AGM1318"/>
      <c r="AGN1318"/>
      <c r="AGO1318"/>
      <c r="AGP1318"/>
      <c r="AGQ1318"/>
      <c r="AGR1318"/>
      <c r="AGS1318"/>
      <c r="AGT1318"/>
      <c r="AGU1318"/>
      <c r="AGV1318"/>
      <c r="AGW1318"/>
      <c r="AGX1318"/>
      <c r="AGY1318"/>
      <c r="AGZ1318"/>
      <c r="AHA1318"/>
      <c r="AHB1318"/>
      <c r="AHC1318"/>
      <c r="AHD1318"/>
      <c r="AHE1318"/>
      <c r="AHF1318"/>
      <c r="AHG1318"/>
      <c r="AHH1318"/>
      <c r="AHI1318"/>
      <c r="AHJ1318"/>
      <c r="AHK1318"/>
      <c r="AHL1318"/>
      <c r="AHM1318"/>
      <c r="AHN1318"/>
      <c r="AHO1318"/>
      <c r="AHP1318"/>
      <c r="AHQ1318"/>
      <c r="AHR1318"/>
      <c r="AHS1318"/>
      <c r="AHT1318"/>
      <c r="AHU1318"/>
      <c r="AHV1318"/>
      <c r="AHW1318"/>
      <c r="AHX1318"/>
      <c r="AHY1318"/>
      <c r="AHZ1318"/>
      <c r="AIA1318"/>
      <c r="AIB1318"/>
      <c r="AIC1318"/>
      <c r="AID1318"/>
      <c r="AIE1318"/>
      <c r="AIF1318"/>
      <c r="AIG1318"/>
      <c r="AIH1318"/>
      <c r="AII1318"/>
      <c r="AIJ1318"/>
      <c r="AIK1318"/>
      <c r="AIL1318"/>
      <c r="AIM1318"/>
      <c r="AIN1318"/>
      <c r="AIO1318"/>
      <c r="AIP1318"/>
      <c r="AIQ1318"/>
      <c r="AIR1318"/>
      <c r="AIS1318"/>
      <c r="AIT1318"/>
      <c r="AIU1318"/>
      <c r="AIV1318"/>
      <c r="AIW1318"/>
      <c r="AIX1318"/>
      <c r="AIY1318"/>
      <c r="AIZ1318"/>
      <c r="AJA1318"/>
      <c r="AJB1318"/>
      <c r="AJC1318"/>
      <c r="AJD1318"/>
      <c r="AJE1318"/>
      <c r="AJF1318"/>
      <c r="AJG1318"/>
      <c r="AJH1318"/>
      <c r="AJI1318"/>
      <c r="AJJ1318"/>
      <c r="AJK1318"/>
      <c r="AJL1318"/>
      <c r="AJM1318"/>
      <c r="AJN1318"/>
      <c r="AJO1318"/>
      <c r="AJP1318"/>
      <c r="AJQ1318"/>
      <c r="AJR1318"/>
      <c r="AJS1318"/>
      <c r="AJT1318"/>
      <c r="AJU1318"/>
      <c r="AJV1318"/>
      <c r="AJW1318"/>
      <c r="AJX1318"/>
      <c r="AJY1318"/>
      <c r="AJZ1318"/>
      <c r="AKA1318"/>
      <c r="AKB1318"/>
      <c r="AKC1318"/>
      <c r="AKD1318"/>
      <c r="AKE1318"/>
      <c r="AKF1318"/>
      <c r="AKG1318"/>
      <c r="AKH1318"/>
      <c r="AKI1318"/>
      <c r="AKJ1318"/>
      <c r="AKK1318"/>
      <c r="AKL1318"/>
      <c r="AKM1318"/>
      <c r="AKN1318"/>
      <c r="AKO1318"/>
      <c r="AKP1318"/>
      <c r="AKQ1318"/>
      <c r="AKR1318"/>
      <c r="AKS1318"/>
      <c r="AKT1318"/>
      <c r="AKU1318"/>
      <c r="AKV1318"/>
      <c r="AKW1318"/>
      <c r="AKX1318"/>
      <c r="AKY1318"/>
      <c r="AKZ1318"/>
      <c r="ALA1318"/>
      <c r="ALB1318"/>
      <c r="ALC1318"/>
      <c r="ALD1318"/>
      <c r="ALE1318"/>
      <c r="ALF1318"/>
      <c r="ALG1318"/>
      <c r="ALH1318"/>
      <c r="ALI1318"/>
      <c r="ALJ1318"/>
      <c r="ALK1318"/>
      <c r="ALL1318"/>
      <c r="ALM1318"/>
      <c r="ALN1318"/>
      <c r="ALO1318"/>
      <c r="ALP1318"/>
      <c r="ALQ1318"/>
      <c r="ALR1318"/>
      <c r="ALS1318"/>
      <c r="ALT1318"/>
    </row>
    <row r="1319" spans="3:1008" x14ac:dyDescent="0.15">
      <c r="C1319"/>
      <c r="F1319"/>
      <c r="H1319"/>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c r="AT1319"/>
      <c r="AU1319"/>
      <c r="AV1319"/>
      <c r="AW1319"/>
      <c r="AX1319"/>
      <c r="AY1319"/>
      <c r="AZ1319"/>
      <c r="BA1319"/>
      <c r="BB1319"/>
      <c r="BC1319"/>
      <c r="BD1319"/>
      <c r="BE1319"/>
      <c r="BF1319"/>
      <c r="BG1319"/>
      <c r="BH1319"/>
      <c r="BI1319"/>
      <c r="BJ1319"/>
      <c r="BK1319"/>
      <c r="BL1319"/>
      <c r="BM1319"/>
      <c r="BN1319"/>
      <c r="BO1319"/>
      <c r="BP1319"/>
      <c r="BQ1319"/>
      <c r="BR1319"/>
      <c r="BS1319"/>
      <c r="BT1319"/>
      <c r="BU1319"/>
      <c r="BV1319"/>
      <c r="BW1319"/>
      <c r="BX1319"/>
      <c r="BY1319"/>
      <c r="BZ1319"/>
      <c r="CA1319"/>
      <c r="CB1319"/>
      <c r="CC1319"/>
      <c r="CD1319"/>
      <c r="CE1319"/>
      <c r="CF1319"/>
      <c r="CG1319"/>
      <c r="CH1319"/>
      <c r="CI1319"/>
      <c r="CJ1319"/>
      <c r="CK1319"/>
      <c r="CL1319"/>
      <c r="CM1319"/>
      <c r="CN1319"/>
      <c r="CO1319"/>
      <c r="CP1319"/>
      <c r="CQ1319"/>
      <c r="CR1319"/>
      <c r="CS1319"/>
      <c r="CT1319"/>
      <c r="CU1319"/>
      <c r="CV1319"/>
      <c r="CW1319"/>
      <c r="CX1319"/>
      <c r="CY1319"/>
      <c r="CZ1319"/>
      <c r="DA1319"/>
      <c r="DB1319"/>
      <c r="DC1319"/>
      <c r="DD1319"/>
      <c r="DE1319"/>
      <c r="DF1319"/>
      <c r="DG1319"/>
      <c r="DH1319"/>
      <c r="DI1319"/>
      <c r="DJ1319"/>
      <c r="DK1319"/>
      <c r="DL1319"/>
      <c r="DM1319"/>
      <c r="DN1319"/>
      <c r="DO1319"/>
      <c r="DP1319"/>
      <c r="DQ1319"/>
      <c r="DR1319"/>
      <c r="DS1319"/>
      <c r="DT1319"/>
      <c r="DU1319"/>
      <c r="DV1319"/>
      <c r="DW1319"/>
      <c r="DX1319"/>
      <c r="DY1319"/>
      <c r="DZ1319"/>
      <c r="EA1319"/>
      <c r="EB1319"/>
      <c r="EC1319"/>
      <c r="ED1319"/>
      <c r="EE1319"/>
      <c r="EF1319"/>
      <c r="EG1319"/>
      <c r="EH1319"/>
      <c r="EI1319"/>
      <c r="EJ1319"/>
      <c r="EK1319"/>
      <c r="EL1319"/>
      <c r="EM1319"/>
      <c r="EN1319"/>
      <c r="EO1319"/>
      <c r="EP1319"/>
      <c r="EQ1319"/>
      <c r="ER1319"/>
      <c r="ES1319"/>
      <c r="ET1319"/>
      <c r="EU1319"/>
      <c r="EV1319"/>
      <c r="EW1319"/>
      <c r="EX1319"/>
      <c r="EY1319"/>
      <c r="EZ1319"/>
      <c r="FA1319"/>
      <c r="FB1319"/>
      <c r="FC1319"/>
      <c r="FD1319"/>
      <c r="FE1319"/>
      <c r="FF1319"/>
      <c r="FG1319"/>
      <c r="FH1319"/>
      <c r="FI1319"/>
      <c r="FJ1319"/>
      <c r="FK1319"/>
      <c r="FL1319"/>
      <c r="FM1319"/>
      <c r="FN1319"/>
      <c r="FO1319"/>
      <c r="FP1319"/>
      <c r="FQ1319"/>
      <c r="FR1319"/>
      <c r="FS1319"/>
      <c r="FT1319"/>
      <c r="FU1319"/>
      <c r="FV1319"/>
      <c r="FW1319"/>
      <c r="FX1319"/>
      <c r="FY1319"/>
      <c r="FZ1319"/>
      <c r="GA1319"/>
      <c r="GB1319"/>
      <c r="GC1319"/>
      <c r="GD1319"/>
      <c r="GE1319"/>
      <c r="GF1319"/>
      <c r="GG1319"/>
      <c r="GH1319"/>
      <c r="GI1319"/>
      <c r="GJ1319"/>
      <c r="GK1319"/>
      <c r="GL1319"/>
      <c r="GM1319"/>
      <c r="GN1319"/>
      <c r="GO1319"/>
      <c r="GP1319"/>
      <c r="GQ1319"/>
      <c r="GR1319"/>
      <c r="GS1319"/>
      <c r="GT1319"/>
      <c r="GU1319"/>
      <c r="GV1319"/>
      <c r="GW1319"/>
      <c r="GX1319"/>
      <c r="GY1319"/>
      <c r="GZ1319"/>
      <c r="HA1319"/>
      <c r="HB1319"/>
      <c r="HC1319"/>
      <c r="HD1319"/>
      <c r="HE1319"/>
      <c r="HF1319"/>
      <c r="HG1319"/>
      <c r="HH1319"/>
      <c r="HI1319"/>
      <c r="HJ1319"/>
      <c r="HK1319"/>
      <c r="HL1319"/>
      <c r="HM1319"/>
      <c r="HN1319"/>
      <c r="HO1319"/>
      <c r="HP1319"/>
      <c r="HQ1319"/>
      <c r="HR1319"/>
      <c r="HS1319"/>
      <c r="HT1319"/>
      <c r="HU1319"/>
      <c r="HV1319"/>
      <c r="HW1319"/>
      <c r="HX1319"/>
      <c r="HY1319"/>
      <c r="HZ1319"/>
      <c r="IA1319"/>
      <c r="IB1319"/>
      <c r="IC1319"/>
      <c r="ID1319"/>
      <c r="IE1319"/>
      <c r="IF1319"/>
      <c r="IG1319"/>
      <c r="IH1319"/>
      <c r="II1319"/>
      <c r="IJ1319"/>
      <c r="IK1319"/>
      <c r="IL1319"/>
      <c r="IM1319"/>
      <c r="IN1319"/>
      <c r="IO1319"/>
      <c r="IP1319"/>
      <c r="IQ1319"/>
      <c r="IR1319"/>
      <c r="IS1319"/>
      <c r="IT1319"/>
      <c r="IU1319"/>
      <c r="IV1319"/>
      <c r="IW1319"/>
      <c r="IX1319"/>
      <c r="IY1319"/>
      <c r="IZ1319"/>
      <c r="JA1319"/>
      <c r="JB1319"/>
      <c r="JC1319"/>
      <c r="JD1319"/>
      <c r="JE1319"/>
      <c r="JF1319"/>
      <c r="JG1319"/>
      <c r="JH1319"/>
      <c r="JI1319"/>
      <c r="JJ1319"/>
      <c r="JK1319"/>
      <c r="JL1319"/>
      <c r="JM1319"/>
      <c r="JN1319"/>
      <c r="JO1319"/>
      <c r="JP1319"/>
      <c r="JQ1319"/>
      <c r="JR1319"/>
      <c r="JS1319"/>
      <c r="JT1319"/>
      <c r="JU1319"/>
      <c r="JV1319"/>
      <c r="JW1319"/>
      <c r="JX1319"/>
      <c r="JY1319"/>
      <c r="JZ1319"/>
      <c r="KA1319"/>
      <c r="KB1319"/>
      <c r="KC1319"/>
      <c r="KD1319"/>
      <c r="KE1319"/>
      <c r="KF1319"/>
      <c r="KG1319"/>
      <c r="KH1319"/>
      <c r="KI1319"/>
      <c r="KJ1319"/>
      <c r="KK1319"/>
      <c r="KL1319"/>
      <c r="KM1319"/>
      <c r="KN1319"/>
      <c r="KO1319"/>
      <c r="KP1319"/>
      <c r="KQ1319"/>
      <c r="KR1319"/>
      <c r="KS1319"/>
      <c r="KT1319"/>
      <c r="KU1319"/>
      <c r="KV1319"/>
      <c r="KW1319"/>
      <c r="KX1319"/>
      <c r="KY1319"/>
      <c r="KZ1319"/>
      <c r="LA1319"/>
      <c r="LB1319"/>
      <c r="LC1319"/>
      <c r="LD1319"/>
      <c r="LE1319"/>
      <c r="LF1319"/>
      <c r="LG1319"/>
      <c r="LH1319"/>
      <c r="LI1319"/>
      <c r="LJ1319"/>
      <c r="LK1319"/>
      <c r="LL1319"/>
      <c r="LM1319"/>
      <c r="LN1319"/>
      <c r="LO1319"/>
      <c r="LP1319"/>
      <c r="LQ1319"/>
      <c r="LR1319"/>
      <c r="LS1319"/>
      <c r="LT1319"/>
      <c r="LU1319"/>
      <c r="LV1319"/>
      <c r="LW1319"/>
      <c r="LX1319"/>
      <c r="LY1319"/>
      <c r="LZ1319"/>
      <c r="MA1319"/>
      <c r="MB1319"/>
      <c r="MC1319"/>
      <c r="MD1319"/>
      <c r="ME1319"/>
      <c r="MF1319"/>
      <c r="MG1319"/>
      <c r="MH1319"/>
      <c r="MI1319"/>
      <c r="MJ1319"/>
      <c r="MK1319"/>
      <c r="ML1319"/>
      <c r="MM1319"/>
      <c r="MN1319"/>
      <c r="MO1319"/>
      <c r="MP1319"/>
      <c r="MQ1319"/>
      <c r="MR1319"/>
      <c r="MS1319"/>
      <c r="MT1319"/>
      <c r="MU1319"/>
      <c r="MV1319"/>
      <c r="MW1319"/>
      <c r="MX1319"/>
      <c r="MY1319"/>
      <c r="MZ1319"/>
      <c r="NA1319"/>
      <c r="NB1319"/>
      <c r="NC1319"/>
      <c r="ND1319"/>
      <c r="NE1319"/>
      <c r="NF1319"/>
      <c r="NG1319"/>
      <c r="NH1319"/>
      <c r="NI1319"/>
      <c r="NJ1319"/>
      <c r="NK1319"/>
      <c r="NL1319"/>
      <c r="NM1319"/>
      <c r="NN1319"/>
      <c r="NO1319"/>
      <c r="NP1319"/>
      <c r="NQ1319"/>
      <c r="NR1319"/>
      <c r="NS1319"/>
      <c r="NT1319"/>
      <c r="NU1319"/>
      <c r="NV1319"/>
      <c r="NW1319"/>
      <c r="NX1319"/>
      <c r="NY1319"/>
      <c r="NZ1319"/>
      <c r="OA1319"/>
      <c r="OB1319"/>
      <c r="OC1319"/>
      <c r="OD1319"/>
      <c r="OE1319"/>
      <c r="OF1319"/>
      <c r="OG1319"/>
      <c r="OH1319"/>
      <c r="OI1319"/>
      <c r="OJ1319"/>
      <c r="OK1319"/>
      <c r="OL1319"/>
      <c r="OM1319"/>
      <c r="ON1319"/>
      <c r="OO1319"/>
      <c r="OP1319"/>
      <c r="OQ1319"/>
      <c r="OR1319"/>
      <c r="OS1319"/>
      <c r="OT1319"/>
      <c r="OU1319"/>
      <c r="OV1319"/>
      <c r="OW1319"/>
      <c r="OX1319"/>
      <c r="OY1319"/>
      <c r="OZ1319"/>
      <c r="PA1319"/>
      <c r="PB1319"/>
      <c r="PC1319"/>
      <c r="PD1319"/>
      <c r="PE1319"/>
      <c r="PF1319"/>
      <c r="PG1319"/>
      <c r="PH1319"/>
      <c r="PI1319"/>
      <c r="PJ1319"/>
      <c r="PK1319"/>
      <c r="PL1319"/>
      <c r="PM1319"/>
      <c r="PN1319"/>
      <c r="PO1319"/>
      <c r="PP1319"/>
      <c r="PQ1319"/>
      <c r="PR1319"/>
      <c r="PS1319"/>
      <c r="PT1319"/>
      <c r="PU1319"/>
      <c r="PV1319"/>
      <c r="PW1319"/>
      <c r="PX1319"/>
      <c r="PY1319"/>
      <c r="PZ1319"/>
      <c r="QA1319"/>
      <c r="QB1319"/>
      <c r="QC1319"/>
      <c r="QD1319"/>
      <c r="QE1319"/>
      <c r="QF1319"/>
      <c r="QG1319"/>
      <c r="QH1319"/>
      <c r="QI1319"/>
      <c r="QJ1319"/>
      <c r="QK1319"/>
      <c r="QL1319"/>
      <c r="QM1319"/>
      <c r="QN1319"/>
      <c r="QO1319"/>
      <c r="QP1319"/>
      <c r="QQ1319"/>
      <c r="QR1319"/>
      <c r="QS1319"/>
      <c r="QT1319"/>
      <c r="QU1319"/>
      <c r="QV1319"/>
      <c r="QW1319"/>
      <c r="QX1319"/>
      <c r="QY1319"/>
      <c r="QZ1319"/>
      <c r="RA1319"/>
      <c r="RB1319"/>
      <c r="RC1319"/>
      <c r="RD1319"/>
      <c r="RE1319"/>
      <c r="RF1319"/>
      <c r="RG1319"/>
      <c r="RH1319"/>
      <c r="RI1319"/>
      <c r="RJ1319"/>
      <c r="RK1319"/>
      <c r="RL1319"/>
      <c r="RM1319"/>
      <c r="RN1319"/>
      <c r="RO1319"/>
      <c r="RP1319"/>
      <c r="RQ1319"/>
      <c r="RR1319"/>
      <c r="RS1319"/>
      <c r="RT1319"/>
      <c r="RU1319"/>
      <c r="RV1319"/>
      <c r="RW1319"/>
      <c r="RX1319"/>
      <c r="RY1319"/>
      <c r="RZ1319"/>
      <c r="SA1319"/>
      <c r="SB1319"/>
      <c r="SC1319"/>
      <c r="SD1319"/>
      <c r="SE1319"/>
      <c r="SF1319"/>
      <c r="SG1319"/>
      <c r="SH1319"/>
      <c r="SI1319"/>
      <c r="SJ1319"/>
      <c r="SK1319"/>
      <c r="SL1319"/>
      <c r="SM1319"/>
      <c r="SN1319"/>
      <c r="SO1319"/>
      <c r="SP1319"/>
      <c r="SQ1319"/>
      <c r="SR1319"/>
      <c r="SS1319"/>
      <c r="ST1319"/>
      <c r="SU1319"/>
      <c r="SV1319"/>
      <c r="SW1319"/>
      <c r="SX1319"/>
      <c r="SY1319"/>
      <c r="SZ1319"/>
      <c r="TA1319"/>
      <c r="TB1319"/>
      <c r="TC1319"/>
      <c r="TD1319"/>
      <c r="TE1319"/>
      <c r="TF1319"/>
      <c r="TG1319"/>
      <c r="TH1319"/>
      <c r="TI1319"/>
      <c r="TJ1319"/>
      <c r="TK1319"/>
      <c r="TL1319"/>
      <c r="TM1319"/>
      <c r="TN1319"/>
      <c r="TO1319"/>
      <c r="TP1319"/>
      <c r="TQ1319"/>
      <c r="TR1319"/>
      <c r="TS1319"/>
      <c r="TT1319"/>
      <c r="TU1319"/>
      <c r="TV1319"/>
      <c r="TW1319"/>
      <c r="TX1319"/>
      <c r="TY1319"/>
      <c r="TZ1319"/>
      <c r="UA1319"/>
      <c r="UB1319"/>
      <c r="UC1319"/>
      <c r="UD1319"/>
      <c r="UE1319"/>
      <c r="UF1319"/>
      <c r="UG1319"/>
      <c r="UH1319"/>
      <c r="UI1319"/>
      <c r="UJ1319"/>
      <c r="UK1319"/>
      <c r="UL1319"/>
      <c r="UM1319"/>
      <c r="UN1319"/>
      <c r="UO1319"/>
      <c r="UP1319"/>
      <c r="UQ1319"/>
      <c r="UR1319"/>
      <c r="US1319"/>
      <c r="UT1319"/>
      <c r="UU1319"/>
      <c r="UV1319"/>
      <c r="UW1319"/>
      <c r="UX1319"/>
      <c r="UY1319"/>
      <c r="UZ1319"/>
      <c r="VA1319"/>
      <c r="VB1319"/>
      <c r="VC1319"/>
      <c r="VD1319"/>
      <c r="VE1319"/>
      <c r="VF1319"/>
      <c r="VG1319"/>
      <c r="VH1319"/>
      <c r="VI1319"/>
      <c r="VJ1319"/>
      <c r="VK1319"/>
      <c r="VL1319"/>
      <c r="VM1319"/>
      <c r="VN1319"/>
      <c r="VO1319"/>
      <c r="VP1319"/>
      <c r="VQ1319"/>
      <c r="VR1319"/>
      <c r="VS1319"/>
      <c r="VT1319"/>
      <c r="VU1319"/>
      <c r="VV1319"/>
      <c r="VW1319"/>
      <c r="VX1319"/>
      <c r="VY1319"/>
      <c r="VZ1319"/>
      <c r="WA1319"/>
      <c r="WB1319"/>
      <c r="WC1319"/>
      <c r="WD1319"/>
      <c r="WE1319"/>
      <c r="WF1319"/>
      <c r="WG1319"/>
      <c r="WH1319"/>
      <c r="WI1319"/>
      <c r="WJ1319"/>
      <c r="WK1319"/>
      <c r="WL1319"/>
      <c r="WM1319"/>
      <c r="WN1319"/>
      <c r="WO1319"/>
      <c r="WP1319"/>
      <c r="WQ1319"/>
      <c r="WR1319"/>
      <c r="WS1319"/>
      <c r="WT1319"/>
      <c r="WU1319"/>
      <c r="WV1319"/>
      <c r="WW1319"/>
      <c r="WX1319"/>
      <c r="WY1319"/>
      <c r="WZ1319"/>
      <c r="XA1319"/>
      <c r="XB1319"/>
      <c r="XC1319"/>
      <c r="XD1319"/>
      <c r="XE1319"/>
      <c r="XF1319"/>
      <c r="XG1319"/>
      <c r="XH1319"/>
      <c r="XI1319"/>
      <c r="XJ1319"/>
      <c r="XK1319"/>
      <c r="XL1319"/>
      <c r="XM1319"/>
      <c r="XN1319"/>
      <c r="XO1319"/>
      <c r="XP1319"/>
      <c r="XQ1319"/>
      <c r="XR1319"/>
      <c r="XS1319"/>
      <c r="XT1319"/>
      <c r="XU1319"/>
      <c r="XV1319"/>
      <c r="XW1319"/>
      <c r="XX1319"/>
      <c r="XY1319"/>
      <c r="XZ1319"/>
      <c r="YA1319"/>
      <c r="YB1319"/>
      <c r="YC1319"/>
      <c r="YD1319"/>
      <c r="YE1319"/>
      <c r="YF1319"/>
      <c r="YG1319"/>
      <c r="YH1319"/>
      <c r="YI1319"/>
      <c r="YJ1319"/>
      <c r="YK1319"/>
      <c r="YL1319"/>
      <c r="YM1319"/>
      <c r="YN1319"/>
      <c r="YO1319"/>
      <c r="YP1319"/>
      <c r="YQ1319"/>
      <c r="YR1319"/>
      <c r="YS1319"/>
      <c r="YT1319"/>
      <c r="YU1319"/>
      <c r="YV1319"/>
      <c r="YW1319"/>
      <c r="YX1319"/>
      <c r="YY1319"/>
      <c r="YZ1319"/>
      <c r="ZA1319"/>
      <c r="ZB1319"/>
      <c r="ZC1319"/>
      <c r="ZD1319"/>
      <c r="ZE1319"/>
      <c r="ZF1319"/>
      <c r="ZG1319"/>
      <c r="ZH1319"/>
      <c r="ZI1319"/>
      <c r="ZJ1319"/>
      <c r="ZK1319"/>
      <c r="ZL1319"/>
      <c r="ZM1319"/>
      <c r="ZN1319"/>
      <c r="ZO1319"/>
      <c r="ZP1319"/>
      <c r="ZQ1319"/>
      <c r="ZR1319"/>
      <c r="ZS1319"/>
      <c r="ZT1319"/>
      <c r="ZU1319"/>
      <c r="ZV1319"/>
      <c r="ZW1319"/>
      <c r="ZX1319"/>
      <c r="ZY1319"/>
      <c r="ZZ1319"/>
      <c r="AAA1319"/>
      <c r="AAB1319"/>
      <c r="AAC1319"/>
      <c r="AAD1319"/>
      <c r="AAE1319"/>
      <c r="AAF1319"/>
      <c r="AAG1319"/>
      <c r="AAH1319"/>
      <c r="AAI1319"/>
      <c r="AAJ1319"/>
      <c r="AAK1319"/>
      <c r="AAL1319"/>
      <c r="AAM1319"/>
      <c r="AAN1319"/>
      <c r="AAO1319"/>
      <c r="AAP1319"/>
      <c r="AAQ1319"/>
      <c r="AAR1319"/>
      <c r="AAS1319"/>
      <c r="AAT1319"/>
      <c r="AAU1319"/>
      <c r="AAV1319"/>
      <c r="AAW1319"/>
      <c r="AAX1319"/>
      <c r="AAY1319"/>
      <c r="AAZ1319"/>
      <c r="ABA1319"/>
      <c r="ABB1319"/>
      <c r="ABC1319"/>
      <c r="ABD1319"/>
      <c r="ABE1319"/>
      <c r="ABF1319"/>
      <c r="ABG1319"/>
      <c r="ABH1319"/>
      <c r="ABI1319"/>
      <c r="ABJ1319"/>
      <c r="ABK1319"/>
      <c r="ABL1319"/>
      <c r="ABM1319"/>
      <c r="ABN1319"/>
      <c r="ABO1319"/>
      <c r="ABP1319"/>
      <c r="ABQ1319"/>
      <c r="ABR1319"/>
      <c r="ABS1319"/>
      <c r="ABT1319"/>
      <c r="ABU1319"/>
      <c r="ABV1319"/>
      <c r="ABW1319"/>
      <c r="ABX1319"/>
      <c r="ABY1319"/>
      <c r="ABZ1319"/>
      <c r="ACA1319"/>
      <c r="ACB1319"/>
      <c r="ACC1319"/>
      <c r="ACD1319"/>
      <c r="ACE1319"/>
      <c r="ACF1319"/>
      <c r="ACG1319"/>
      <c r="ACH1319"/>
      <c r="ACI1319"/>
      <c r="ACJ1319"/>
      <c r="ACK1319"/>
      <c r="ACL1319"/>
      <c r="ACM1319"/>
      <c r="ACN1319"/>
      <c r="ACO1319"/>
      <c r="ACP1319"/>
      <c r="ACQ1319"/>
      <c r="ACR1319"/>
      <c r="ACS1319"/>
      <c r="ACT1319"/>
      <c r="ACU1319"/>
      <c r="ACV1319"/>
      <c r="ACW1319"/>
      <c r="ACX1319"/>
      <c r="ACY1319"/>
      <c r="ACZ1319"/>
      <c r="ADA1319"/>
      <c r="ADB1319"/>
      <c r="ADC1319"/>
      <c r="ADD1319"/>
      <c r="ADE1319"/>
      <c r="ADF1319"/>
      <c r="ADG1319"/>
      <c r="ADH1319"/>
      <c r="ADI1319"/>
      <c r="ADJ1319"/>
      <c r="ADK1319"/>
      <c r="ADL1319"/>
      <c r="ADM1319"/>
      <c r="ADN1319"/>
      <c r="ADO1319"/>
      <c r="ADP1319"/>
      <c r="ADQ1319"/>
      <c r="ADR1319"/>
      <c r="ADS1319"/>
      <c r="ADT1319"/>
      <c r="ADU1319"/>
      <c r="ADV1319"/>
      <c r="ADW1319"/>
      <c r="ADX1319"/>
      <c r="ADY1319"/>
      <c r="ADZ1319"/>
      <c r="AEA1319"/>
      <c r="AEB1319"/>
      <c r="AEC1319"/>
      <c r="AED1319"/>
      <c r="AEE1319"/>
      <c r="AEF1319"/>
      <c r="AEG1319"/>
      <c r="AEH1319"/>
      <c r="AEI1319"/>
      <c r="AEJ1319"/>
      <c r="AEK1319"/>
      <c r="AEL1319"/>
      <c r="AEM1319"/>
      <c r="AEN1319"/>
      <c r="AEO1319"/>
      <c r="AEP1319"/>
      <c r="AEQ1319"/>
      <c r="AER1319"/>
      <c r="AES1319"/>
      <c r="AET1319"/>
      <c r="AEU1319"/>
      <c r="AEV1319"/>
      <c r="AEW1319"/>
      <c r="AEX1319"/>
      <c r="AEY1319"/>
      <c r="AEZ1319"/>
      <c r="AFA1319"/>
      <c r="AFB1319"/>
      <c r="AFC1319"/>
      <c r="AFD1319"/>
      <c r="AFE1319"/>
      <c r="AFF1319"/>
      <c r="AFG1319"/>
      <c r="AFH1319"/>
      <c r="AFI1319"/>
      <c r="AFJ1319"/>
      <c r="AFK1319"/>
      <c r="AFL1319"/>
      <c r="AFM1319"/>
      <c r="AFN1319"/>
      <c r="AFO1319"/>
      <c r="AFP1319"/>
      <c r="AFQ1319"/>
      <c r="AFR1319"/>
      <c r="AFS1319"/>
      <c r="AFT1319"/>
      <c r="AFU1319"/>
      <c r="AFV1319"/>
      <c r="AFW1319"/>
      <c r="AFX1319"/>
      <c r="AFY1319"/>
      <c r="AFZ1319"/>
      <c r="AGA1319"/>
      <c r="AGB1319"/>
      <c r="AGC1319"/>
      <c r="AGD1319"/>
      <c r="AGE1319"/>
      <c r="AGF1319"/>
      <c r="AGG1319"/>
      <c r="AGH1319"/>
      <c r="AGI1319"/>
      <c r="AGJ1319"/>
      <c r="AGK1319"/>
      <c r="AGL1319"/>
      <c r="AGM1319"/>
      <c r="AGN1319"/>
      <c r="AGO1319"/>
      <c r="AGP1319"/>
      <c r="AGQ1319"/>
      <c r="AGR1319"/>
      <c r="AGS1319"/>
      <c r="AGT1319"/>
      <c r="AGU1319"/>
      <c r="AGV1319"/>
      <c r="AGW1319"/>
      <c r="AGX1319"/>
      <c r="AGY1319"/>
      <c r="AGZ1319"/>
      <c r="AHA1319"/>
      <c r="AHB1319"/>
      <c r="AHC1319"/>
      <c r="AHD1319"/>
      <c r="AHE1319"/>
      <c r="AHF1319"/>
      <c r="AHG1319"/>
      <c r="AHH1319"/>
      <c r="AHI1319"/>
      <c r="AHJ1319"/>
      <c r="AHK1319"/>
      <c r="AHL1319"/>
      <c r="AHM1319"/>
      <c r="AHN1319"/>
      <c r="AHO1319"/>
      <c r="AHP1319"/>
      <c r="AHQ1319"/>
      <c r="AHR1319"/>
      <c r="AHS1319"/>
      <c r="AHT1319"/>
      <c r="AHU1319"/>
      <c r="AHV1319"/>
      <c r="AHW1319"/>
      <c r="AHX1319"/>
      <c r="AHY1319"/>
      <c r="AHZ1319"/>
      <c r="AIA1319"/>
      <c r="AIB1319"/>
      <c r="AIC1319"/>
      <c r="AID1319"/>
      <c r="AIE1319"/>
      <c r="AIF1319"/>
      <c r="AIG1319"/>
      <c r="AIH1319"/>
      <c r="AII1319"/>
      <c r="AIJ1319"/>
      <c r="AIK1319"/>
      <c r="AIL1319"/>
      <c r="AIM1319"/>
      <c r="AIN1319"/>
      <c r="AIO1319"/>
      <c r="AIP1319"/>
      <c r="AIQ1319"/>
      <c r="AIR1319"/>
      <c r="AIS1319"/>
      <c r="AIT1319"/>
      <c r="AIU1319"/>
      <c r="AIV1319"/>
      <c r="AIW1319"/>
      <c r="AIX1319"/>
      <c r="AIY1319"/>
      <c r="AIZ1319"/>
      <c r="AJA1319"/>
      <c r="AJB1319"/>
      <c r="AJC1319"/>
      <c r="AJD1319"/>
      <c r="AJE1319"/>
      <c r="AJF1319"/>
      <c r="AJG1319"/>
      <c r="AJH1319"/>
      <c r="AJI1319"/>
      <c r="AJJ1319"/>
      <c r="AJK1319"/>
      <c r="AJL1319"/>
      <c r="AJM1319"/>
      <c r="AJN1319"/>
      <c r="AJO1319"/>
      <c r="AJP1319"/>
      <c r="AJQ1319"/>
      <c r="AJR1319"/>
      <c r="AJS1319"/>
      <c r="AJT1319"/>
      <c r="AJU1319"/>
      <c r="AJV1319"/>
      <c r="AJW1319"/>
      <c r="AJX1319"/>
      <c r="AJY1319"/>
      <c r="AJZ1319"/>
      <c r="AKA1319"/>
      <c r="AKB1319"/>
      <c r="AKC1319"/>
      <c r="AKD1319"/>
      <c r="AKE1319"/>
      <c r="AKF1319"/>
      <c r="AKG1319"/>
      <c r="AKH1319"/>
      <c r="AKI1319"/>
      <c r="AKJ1319"/>
      <c r="AKK1319"/>
      <c r="AKL1319"/>
      <c r="AKM1319"/>
      <c r="AKN1319"/>
      <c r="AKO1319"/>
      <c r="AKP1319"/>
      <c r="AKQ1319"/>
      <c r="AKR1319"/>
      <c r="AKS1319"/>
      <c r="AKT1319"/>
      <c r="AKU1319"/>
      <c r="AKV1319"/>
      <c r="AKW1319"/>
      <c r="AKX1319"/>
      <c r="AKY1319"/>
      <c r="AKZ1319"/>
      <c r="ALA1319"/>
      <c r="ALB1319"/>
      <c r="ALC1319"/>
      <c r="ALD1319"/>
      <c r="ALE1319"/>
      <c r="ALF1319"/>
      <c r="ALG1319"/>
      <c r="ALH1319"/>
      <c r="ALI1319"/>
      <c r="ALJ1319"/>
      <c r="ALK1319"/>
      <c r="ALL1319"/>
      <c r="ALM1319"/>
      <c r="ALN1319"/>
      <c r="ALO1319"/>
      <c r="ALP1319"/>
      <c r="ALQ1319"/>
      <c r="ALR1319"/>
      <c r="ALS1319"/>
      <c r="ALT1319"/>
    </row>
  </sheetData>
  <conditionalFormatting sqref="F9:F187 F189:F197 F199:F340 E250 F342:F350">
    <cfRule type="cellIs" dxfId="3" priority="2" operator="equal">
      <formula>INDIRECT(ADDRESS(ROW()-1,COLUMN()))</formula>
    </cfRule>
  </conditionalFormatting>
  <conditionalFormatting sqref="F381">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x14ac:dyDescent="0.15"/>
  <sheetData>
    <row r="1" spans="1:1" x14ac:dyDescent="0.15">
      <c r="A1" s="31" t="s">
        <v>4073</v>
      </c>
    </row>
    <row r="2" spans="1:1" x14ac:dyDescent="0.15">
      <c r="A2" s="8" t="s">
        <v>4074</v>
      </c>
    </row>
    <row r="3" spans="1:1" x14ac:dyDescent="0.15">
      <c r="A3" s="8" t="s">
        <v>4075</v>
      </c>
    </row>
    <row r="4" spans="1:1" x14ac:dyDescent="0.15">
      <c r="A4" s="8" t="s">
        <v>4076</v>
      </c>
    </row>
    <row r="5" spans="1:1" x14ac:dyDescent="0.15">
      <c r="A5" s="8" t="s">
        <v>4077</v>
      </c>
    </row>
    <row r="6" spans="1:1" x14ac:dyDescent="0.15">
      <c r="A6" s="8" t="s">
        <v>4078</v>
      </c>
    </row>
    <row r="7" spans="1:1" x14ac:dyDescent="0.15">
      <c r="A7" s="8" t="s">
        <v>3977</v>
      </c>
    </row>
    <row r="8" spans="1:1" x14ac:dyDescent="0.15">
      <c r="A8" s="8" t="s">
        <v>3975</v>
      </c>
    </row>
    <row r="9" spans="1:1" x14ac:dyDescent="0.15">
      <c r="A9" s="8" t="s">
        <v>3980</v>
      </c>
    </row>
    <row r="10" spans="1:1" x14ac:dyDescent="0.15">
      <c r="A10" s="8" t="s">
        <v>4079</v>
      </c>
    </row>
    <row r="11" spans="1:1" x14ac:dyDescent="0.15">
      <c r="A11" s="8" t="s">
        <v>4080</v>
      </c>
    </row>
    <row r="12" spans="1:1" x14ac:dyDescent="0.15">
      <c r="A12" s="8" t="s">
        <v>1170</v>
      </c>
    </row>
    <row r="13" spans="1:1" x14ac:dyDescent="0.15">
      <c r="A13" s="8" t="s">
        <v>4081</v>
      </c>
    </row>
    <row r="14" spans="1:1" x14ac:dyDescent="0.15">
      <c r="A14" s="8" t="s">
        <v>4082</v>
      </c>
    </row>
    <row r="15" spans="1:1" x14ac:dyDescent="0.15">
      <c r="A15" s="8" t="s">
        <v>4083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2130</v>
      </c>
      <c r="B2" s="8" t="s">
        <v>158</v>
      </c>
      <c r="C2" s="8" t="str">
        <f>B2&amp;":"&amp;A2</f>
        <v>att_organism:UP000000589</v>
      </c>
      <c r="D2" s="8" t="s">
        <v>2131</v>
      </c>
      <c r="E2" s="8" t="s">
        <v>2132</v>
      </c>
      <c r="F2" s="8" t="s">
        <v>2133</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2134</v>
      </c>
      <c r="B3" s="8" t="s">
        <v>158</v>
      </c>
      <c r="C3" s="8" t="str">
        <f>B3&amp;":"&amp;A3</f>
        <v>att_organism:UP000001940</v>
      </c>
      <c r="D3" s="8" t="s">
        <v>2135</v>
      </c>
      <c r="E3" s="8" t="s">
        <v>2136</v>
      </c>
      <c r="F3" s="8" t="s">
        <v>2137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2138</v>
      </c>
      <c r="B4" s="8" t="s">
        <v>158</v>
      </c>
      <c r="C4" s="8" t="str">
        <f>B4&amp;":"&amp;A4</f>
        <v>att_organism:UP000002311</v>
      </c>
      <c r="D4" s="8" t="s">
        <v>2139</v>
      </c>
      <c r="E4" s="8" t="s">
        <v>2140</v>
      </c>
      <c r="F4" s="8" t="s">
        <v>2141</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2142</v>
      </c>
      <c r="B5" s="8" t="s">
        <v>158</v>
      </c>
      <c r="C5" s="8" t="str">
        <f>B5&amp;":"&amp;A5</f>
        <v>att_organism:UP000002494</v>
      </c>
      <c r="D5" s="8" t="s">
        <v>2143</v>
      </c>
      <c r="E5" s="8" t="s">
        <v>2144</v>
      </c>
      <c r="F5" s="8" t="s">
        <v>2145</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2146</v>
      </c>
      <c r="B6" s="8" t="s">
        <v>158</v>
      </c>
      <c r="C6" s="8" t="str">
        <f>B6&amp;":"&amp;A6</f>
        <v>att_organism:UP000005640</v>
      </c>
      <c r="D6" s="8" t="s">
        <v>2147</v>
      </c>
      <c r="E6" s="8" t="s">
        <v>2148</v>
      </c>
      <c r="F6" s="8" t="s">
        <v>2149</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x14ac:dyDescent="0.15"/>
  <sheetData>
    <row r="1" spans="1:1022" x14ac:dyDescent="0.15">
      <c r="A1" s="8" t="s">
        <v>2807</v>
      </c>
      <c r="B1" s="8" t="s">
        <v>191</v>
      </c>
      <c r="C1" s="8" t="str">
        <f t="shared" ref="C1:C8" si="0">B1&amp;":"&amp;A1</f>
        <v>att_user_research_group:niessen</v>
      </c>
      <c r="D1" s="8" t="s">
        <v>15</v>
      </c>
      <c r="E1" s="8" t="s">
        <v>2808</v>
      </c>
      <c r="F1" s="8" t="s">
        <v>2428</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2809</v>
      </c>
      <c r="B2" s="8" t="s">
        <v>191</v>
      </c>
      <c r="C2" s="8" t="str">
        <f t="shared" si="0"/>
        <v>att_user_research_group:gloeckner</v>
      </c>
      <c r="D2" s="8" t="s">
        <v>15</v>
      </c>
      <c r="E2" s="8" t="s">
        <v>2810</v>
      </c>
      <c r="F2" s="8" t="s">
        <v>2811</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2812</v>
      </c>
      <c r="B3" s="8" t="s">
        <v>191</v>
      </c>
      <c r="C3" s="8" t="str">
        <f t="shared" si="0"/>
        <v>att_user_research_group:bazzi</v>
      </c>
      <c r="D3" s="8" t="s">
        <v>15</v>
      </c>
      <c r="E3" s="8" t="s">
        <v>2813</v>
      </c>
      <c r="F3" s="8" t="s">
        <v>2814</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2815</v>
      </c>
      <c r="B4" s="8" t="s">
        <v>191</v>
      </c>
      <c r="C4" s="8" t="str">
        <f t="shared" si="0"/>
        <v>att_user_research_group:hallek</v>
      </c>
      <c r="D4" s="8" t="s">
        <v>15</v>
      </c>
      <c r="E4" s="8" t="s">
        <v>2816</v>
      </c>
      <c r="F4" s="8" t="s">
        <v>2817</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2818</v>
      </c>
      <c r="B5" s="8" t="s">
        <v>191</v>
      </c>
      <c r="C5" s="8" t="str">
        <f t="shared" si="0"/>
        <v>att_user_research_group:benzing</v>
      </c>
      <c r="D5" s="8" t="s">
        <v>15</v>
      </c>
      <c r="E5" s="8" t="s">
        <v>2819</v>
      </c>
      <c r="F5" s="8" t="s">
        <v>2820</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2821</v>
      </c>
      <c r="B6" s="8" t="s">
        <v>191</v>
      </c>
      <c r="C6" s="8" t="str">
        <f t="shared" si="0"/>
        <v>att_user_research_group:hennies</v>
      </c>
      <c r="D6" s="8" t="s">
        <v>15</v>
      </c>
      <c r="E6" s="8" t="s">
        <v>2822</v>
      </c>
      <c r="F6" s="8" t="s">
        <v>2823</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2824</v>
      </c>
      <c r="B7" s="8" t="s">
        <v>191</v>
      </c>
      <c r="C7" s="8" t="str">
        <f t="shared" si="0"/>
        <v>att_user_research_group:vonkarstedt</v>
      </c>
      <c r="D7" s="8" t="s">
        <v>15</v>
      </c>
      <c r="E7" s="8" t="s">
        <v>2825</v>
      </c>
      <c r="F7" s="8" t="s">
        <v>2826</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2827</v>
      </c>
      <c r="B8" s="8" t="s">
        <v>191</v>
      </c>
      <c r="C8" s="8" t="str">
        <f t="shared" si="0"/>
        <v>att_user_research_group:laessig</v>
      </c>
      <c r="D8" s="8" t="s">
        <v>15</v>
      </c>
      <c r="E8" s="8" t="s">
        <v>2828</v>
      </c>
      <c r="F8" s="8" t="s">
        <v>2829</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2442</v>
      </c>
      <c r="B1" s="10" t="s">
        <v>2443</v>
      </c>
      <c r="C1" s="10" t="s">
        <v>2444</v>
      </c>
      <c r="D1" s="10" t="s">
        <v>2445</v>
      </c>
      <c r="E1" s="10" t="s">
        <v>2446</v>
      </c>
      <c r="F1" s="10" t="s">
        <v>2447</v>
      </c>
      <c r="G1" s="10" t="s">
        <v>2448</v>
      </c>
      <c r="H1" s="10" t="s">
        <v>2449</v>
      </c>
      <c r="I1" s="10" t="s">
        <v>2450</v>
      </c>
      <c r="J1" s="10" t="s">
        <v>2451</v>
      </c>
      <c r="K1" s="10" t="s">
        <v>2452</v>
      </c>
      <c r="L1" s="10" t="s">
        <v>2453</v>
      </c>
      <c r="M1" s="10" t="s">
        <v>2454</v>
      </c>
      <c r="N1" s="10" t="s">
        <v>2455</v>
      </c>
      <c r="O1" s="10" t="s">
        <v>2456</v>
      </c>
    </row>
    <row r="2" spans="1:15" x14ac:dyDescent="0.15">
      <c r="A2" s="11" t="s">
        <v>19</v>
      </c>
      <c r="B2" s="11"/>
      <c r="C2" s="6" t="s">
        <v>266</v>
      </c>
      <c r="D2" s="6" t="s">
        <v>267</v>
      </c>
      <c r="E2" s="6" t="s">
        <v>15</v>
      </c>
      <c r="F2" s="6" t="s">
        <v>22</v>
      </c>
      <c r="G2" s="6" t="s">
        <v>2457</v>
      </c>
      <c r="H2" s="6" t="str">
        <f t="shared" ref="H2:H65" si="0">"att_"&amp;G2</f>
        <v>att_acquisition</v>
      </c>
      <c r="I2" s="6" t="s">
        <v>266</v>
      </c>
      <c r="J2" s="6" t="str">
        <f t="shared" ref="J2:J65" si="1">H2&amp;":"&amp;I2</f>
        <v>att_acquisition:dda</v>
      </c>
      <c r="K2" s="11" t="s">
        <v>19</v>
      </c>
      <c r="L2" s="6" t="s">
        <v>268</v>
      </c>
      <c r="M2" s="6" t="s">
        <v>15</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19</v>
      </c>
      <c r="B3" s="11"/>
      <c r="C3" s="6" t="s">
        <v>269</v>
      </c>
      <c r="D3" s="6" t="s">
        <v>270</v>
      </c>
      <c r="E3" s="6" t="s">
        <v>15</v>
      </c>
      <c r="F3" s="6" t="s">
        <v>22</v>
      </c>
      <c r="G3" s="6" t="s">
        <v>2457</v>
      </c>
      <c r="H3" s="6" t="str">
        <f t="shared" si="0"/>
        <v>att_acquisition</v>
      </c>
      <c r="I3" s="6" t="s">
        <v>269</v>
      </c>
      <c r="J3" s="6" t="str">
        <f t="shared" si="1"/>
        <v>att_acquisition:dia</v>
      </c>
      <c r="K3" s="11" t="s">
        <v>19</v>
      </c>
      <c r="L3" s="6" t="s">
        <v>271</v>
      </c>
      <c r="M3" s="6" t="s">
        <v>15</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19</v>
      </c>
      <c r="B4" s="11"/>
      <c r="C4" s="6" t="s">
        <v>272</v>
      </c>
      <c r="D4" s="6" t="s">
        <v>273</v>
      </c>
      <c r="E4" s="6" t="s">
        <v>15</v>
      </c>
      <c r="F4" s="6" t="s">
        <v>22</v>
      </c>
      <c r="G4" s="6" t="s">
        <v>2457</v>
      </c>
      <c r="H4" s="6" t="str">
        <f t="shared" si="0"/>
        <v>att_acquisition</v>
      </c>
      <c r="I4" s="6" t="s">
        <v>272</v>
      </c>
      <c r="J4" s="6" t="str">
        <f t="shared" si="1"/>
        <v>att_acquisition:srm</v>
      </c>
      <c r="K4" s="11" t="s">
        <v>19</v>
      </c>
      <c r="L4" s="6" t="s">
        <v>274</v>
      </c>
      <c r="M4" s="6" t="s">
        <v>15</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2458</v>
      </c>
      <c r="D5" s="6" t="s">
        <v>292</v>
      </c>
      <c r="E5" s="6" t="s">
        <v>15</v>
      </c>
      <c r="F5" s="6" t="s">
        <v>2459</v>
      </c>
      <c r="G5" s="6" t="s">
        <v>2460</v>
      </c>
      <c r="H5" s="6" t="str">
        <f t="shared" si="0"/>
        <v>att_animal_model</v>
      </c>
      <c r="I5" s="6" t="s">
        <v>290</v>
      </c>
      <c r="J5" s="6" t="str">
        <f t="shared" si="1"/>
        <v>att_animal_model:adipoq_cre</v>
      </c>
      <c r="K5" s="11" t="s">
        <v>19</v>
      </c>
      <c r="L5" s="6" t="s">
        <v>293</v>
      </c>
      <c r="M5" s="6" t="s">
        <v>15</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2461</v>
      </c>
      <c r="D6" s="6" t="s">
        <v>295</v>
      </c>
      <c r="E6" s="6" t="s">
        <v>15</v>
      </c>
      <c r="F6" s="6" t="s">
        <v>2459</v>
      </c>
      <c r="G6" s="6" t="s">
        <v>2460</v>
      </c>
      <c r="H6" s="6" t="str">
        <f t="shared" si="0"/>
        <v>att_animal_model</v>
      </c>
      <c r="I6" s="6" t="s">
        <v>294</v>
      </c>
      <c r="J6" s="6" t="str">
        <f t="shared" si="1"/>
        <v>att_animal_model:alb_cre</v>
      </c>
      <c r="K6" s="11" t="s">
        <v>19</v>
      </c>
      <c r="L6" s="6" t="s">
        <v>296</v>
      </c>
      <c r="M6" s="6" t="s">
        <v>15</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2462</v>
      </c>
      <c r="D7" s="6" t="s">
        <v>298</v>
      </c>
      <c r="E7" s="6" t="s">
        <v>15</v>
      </c>
      <c r="F7" s="6" t="s">
        <v>2459</v>
      </c>
      <c r="G7" s="6" t="s">
        <v>2460</v>
      </c>
      <c r="H7" s="6" t="str">
        <f t="shared" si="0"/>
        <v>att_animal_model</v>
      </c>
      <c r="I7" s="6" t="s">
        <v>297</v>
      </c>
      <c r="J7" s="6" t="str">
        <f t="shared" si="1"/>
        <v>att_animal_model:asc_ko</v>
      </c>
      <c r="K7" s="11" t="s">
        <v>19</v>
      </c>
      <c r="L7" s="6" t="s">
        <v>298</v>
      </c>
      <c r="M7" s="6" t="s">
        <v>15</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2463</v>
      </c>
      <c r="D8" s="6" t="s">
        <v>300</v>
      </c>
      <c r="E8" s="6" t="s">
        <v>15</v>
      </c>
      <c r="F8" s="6" t="s">
        <v>2459</v>
      </c>
      <c r="G8" s="6" t="s">
        <v>2460</v>
      </c>
      <c r="H8" s="6" t="str">
        <f t="shared" si="0"/>
        <v>att_animal_model</v>
      </c>
      <c r="I8" s="6" t="s">
        <v>299</v>
      </c>
      <c r="J8" s="6" t="str">
        <f t="shared" si="1"/>
        <v>att_animal_model:baf53b_cre</v>
      </c>
      <c r="K8" s="11" t="s">
        <v>19</v>
      </c>
      <c r="L8" s="6" t="s">
        <v>301</v>
      </c>
      <c r="M8" s="6" t="s">
        <v>15</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2464</v>
      </c>
      <c r="D9" s="6" t="s">
        <v>303</v>
      </c>
      <c r="E9" s="6" t="s">
        <v>15</v>
      </c>
      <c r="F9" s="6" t="s">
        <v>2459</v>
      </c>
      <c r="G9" s="6" t="s">
        <v>2460</v>
      </c>
      <c r="H9" s="6" t="str">
        <f t="shared" si="0"/>
        <v>att_animal_model</v>
      </c>
      <c r="I9" s="6" t="s">
        <v>302</v>
      </c>
      <c r="J9" s="6" t="str">
        <f t="shared" si="1"/>
        <v>att_animal_model:c57_bl6j</v>
      </c>
      <c r="K9" s="11" t="s">
        <v>19</v>
      </c>
      <c r="L9" s="6" t="s">
        <v>303</v>
      </c>
      <c r="M9" s="6" t="s">
        <v>15</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2465</v>
      </c>
      <c r="D10" s="6" t="s">
        <v>305</v>
      </c>
      <c r="E10" s="6" t="s">
        <v>15</v>
      </c>
      <c r="F10" s="6" t="s">
        <v>2459</v>
      </c>
      <c r="G10" s="6" t="s">
        <v>2460</v>
      </c>
      <c r="H10" s="6" t="str">
        <f t="shared" si="0"/>
        <v>att_animal_model</v>
      </c>
      <c r="I10" s="6" t="s">
        <v>304</v>
      </c>
      <c r="J10" s="6" t="str">
        <f t="shared" si="1"/>
        <v>att_animal_model:clec4f_cre</v>
      </c>
      <c r="K10" s="11" t="s">
        <v>19</v>
      </c>
      <c r="L10" s="6" t="s">
        <v>306</v>
      </c>
      <c r="M10" s="6" t="s">
        <v>15</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2466</v>
      </c>
      <c r="D11" s="6" t="s">
        <v>308</v>
      </c>
      <c r="E11" s="6" t="s">
        <v>15</v>
      </c>
      <c r="F11" s="6" t="s">
        <v>2459</v>
      </c>
      <c r="G11" s="6" t="s">
        <v>2460</v>
      </c>
      <c r="H11" s="6" t="str">
        <f t="shared" si="0"/>
        <v>att_animal_model</v>
      </c>
      <c r="I11" s="6" t="s">
        <v>307</v>
      </c>
      <c r="J11" s="6" t="str">
        <f t="shared" si="1"/>
        <v>att_animal_model:cx3cr1_cre</v>
      </c>
      <c r="K11" s="11" t="s">
        <v>19</v>
      </c>
      <c r="L11" s="6" t="s">
        <v>309</v>
      </c>
      <c r="M11" s="6" t="s">
        <v>15</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310</v>
      </c>
      <c r="D12" s="6" t="s">
        <v>311</v>
      </c>
      <c r="E12" s="6" t="s">
        <v>15</v>
      </c>
      <c r="F12" s="6" t="s">
        <v>2459</v>
      </c>
      <c r="G12" s="6" t="s">
        <v>2460</v>
      </c>
      <c r="H12" s="6" t="str">
        <f t="shared" si="0"/>
        <v>att_animal_model</v>
      </c>
      <c r="I12" s="6" t="s">
        <v>310</v>
      </c>
      <c r="J12" s="6" t="str">
        <f t="shared" si="1"/>
        <v>att_animal_model:cxcr4creert2</v>
      </c>
      <c r="K12" s="11" t="s">
        <v>19</v>
      </c>
      <c r="L12" s="6" t="s">
        <v>311</v>
      </c>
      <c r="M12" s="6" t="s">
        <v>15</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2467</v>
      </c>
      <c r="D13" s="6" t="s">
        <v>313</v>
      </c>
      <c r="E13" s="6" t="s">
        <v>15</v>
      </c>
      <c r="F13" s="6" t="s">
        <v>2459</v>
      </c>
      <c r="G13" s="6" t="s">
        <v>2460</v>
      </c>
      <c r="H13" s="6" t="str">
        <f t="shared" si="0"/>
        <v>att_animal_model</v>
      </c>
      <c r="I13" s="6" t="s">
        <v>312</v>
      </c>
      <c r="J13" s="6" t="str">
        <f t="shared" si="1"/>
        <v>att_animal_model:glast_cre</v>
      </c>
      <c r="K13" s="11" t="s">
        <v>19</v>
      </c>
      <c r="L13" s="6" t="s">
        <v>314</v>
      </c>
      <c r="M13" s="6" t="s">
        <v>15</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2468</v>
      </c>
      <c r="D14" s="6" t="s">
        <v>316</v>
      </c>
      <c r="E14" s="6" t="s">
        <v>15</v>
      </c>
      <c r="F14" s="6" t="s">
        <v>2459</v>
      </c>
      <c r="G14" s="6" t="s">
        <v>2460</v>
      </c>
      <c r="H14" s="6" t="str">
        <f t="shared" si="0"/>
        <v>att_animal_model</v>
      </c>
      <c r="I14" s="6" t="s">
        <v>315</v>
      </c>
      <c r="J14" s="6" t="str">
        <f t="shared" si="1"/>
        <v>att_animal_model:lrat_cre</v>
      </c>
      <c r="K14" s="11" t="s">
        <v>19</v>
      </c>
      <c r="L14" s="6" t="s">
        <v>317</v>
      </c>
      <c r="M14" s="6" t="s">
        <v>15</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2469</v>
      </c>
      <c r="D15" s="6" t="s">
        <v>319</v>
      </c>
      <c r="E15" s="6" t="s">
        <v>15</v>
      </c>
      <c r="F15" s="6" t="s">
        <v>2459</v>
      </c>
      <c r="G15" s="6" t="s">
        <v>2460</v>
      </c>
      <c r="H15" s="6" t="str">
        <f t="shared" si="0"/>
        <v>att_animal_model</v>
      </c>
      <c r="I15" s="6" t="s">
        <v>318</v>
      </c>
      <c r="J15" s="6" t="str">
        <f t="shared" si="1"/>
        <v>att_animal_model:lysm_cre</v>
      </c>
      <c r="K15" s="11" t="s">
        <v>19</v>
      </c>
      <c r="L15" s="6" t="s">
        <v>320</v>
      </c>
      <c r="M15" s="6" t="s">
        <v>15</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2470</v>
      </c>
      <c r="D16" s="6" t="s">
        <v>322</v>
      </c>
      <c r="E16" s="6" t="s">
        <v>15</v>
      </c>
      <c r="F16" s="6" t="s">
        <v>2459</v>
      </c>
      <c r="G16" s="6" t="s">
        <v>2460</v>
      </c>
      <c r="H16" s="6" t="str">
        <f t="shared" si="0"/>
        <v>att_animal_model</v>
      </c>
      <c r="I16" s="6" t="s">
        <v>321</v>
      </c>
      <c r="J16" s="6" t="str">
        <f t="shared" si="1"/>
        <v>att_animal_model:ms4a3_cre</v>
      </c>
      <c r="K16" s="11" t="s">
        <v>19</v>
      </c>
      <c r="L16" s="6" t="s">
        <v>323</v>
      </c>
      <c r="M16" s="6" t="s">
        <v>15</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2471</v>
      </c>
      <c r="D17" s="6" t="s">
        <v>325</v>
      </c>
      <c r="E17" s="6" t="s">
        <v>15</v>
      </c>
      <c r="F17" s="6" t="s">
        <v>2459</v>
      </c>
      <c r="G17" s="6" t="s">
        <v>2460</v>
      </c>
      <c r="H17" s="6" t="str">
        <f t="shared" si="0"/>
        <v>att_animal_model</v>
      </c>
      <c r="I17" s="6" t="s">
        <v>324</v>
      </c>
      <c r="J17" s="6" t="str">
        <f t="shared" si="1"/>
        <v>att_animal_model:mt_nlrp3_cre</v>
      </c>
      <c r="K17" s="11" t="s">
        <v>19</v>
      </c>
      <c r="L17" s="6" t="s">
        <v>326</v>
      </c>
      <c r="M17" s="6" t="s">
        <v>15</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2472</v>
      </c>
      <c r="D18" s="6" t="s">
        <v>328</v>
      </c>
      <c r="E18" s="6" t="s">
        <v>15</v>
      </c>
      <c r="F18" s="6" t="s">
        <v>2459</v>
      </c>
      <c r="G18" s="6" t="s">
        <v>2460</v>
      </c>
      <c r="H18" s="6" t="str">
        <f t="shared" si="0"/>
        <v>att_animal_model</v>
      </c>
      <c r="I18" s="6" t="s">
        <v>327</v>
      </c>
      <c r="J18" s="6" t="str">
        <f t="shared" si="1"/>
        <v>att_animal_model:nlrp3_flox</v>
      </c>
      <c r="K18" s="11" t="s">
        <v>19</v>
      </c>
      <c r="L18" s="6" t="s">
        <v>328</v>
      </c>
      <c r="M18" s="6" t="s">
        <v>15</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2473</v>
      </c>
      <c r="D19" s="6" t="s">
        <v>330</v>
      </c>
      <c r="E19" s="6" t="s">
        <v>15</v>
      </c>
      <c r="F19" s="6" t="s">
        <v>2459</v>
      </c>
      <c r="G19" s="6" t="s">
        <v>2460</v>
      </c>
      <c r="H19" s="6" t="str">
        <f t="shared" si="0"/>
        <v>att_animal_model</v>
      </c>
      <c r="I19" s="6" t="s">
        <v>329</v>
      </c>
      <c r="J19" s="6" t="str">
        <f t="shared" si="1"/>
        <v>att_animal_model:nlrp3_ko</v>
      </c>
      <c r="K19" s="11" t="s">
        <v>19</v>
      </c>
      <c r="L19" s="6" t="s">
        <v>330</v>
      </c>
      <c r="M19" s="6" t="s">
        <v>15</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331</v>
      </c>
      <c r="D20" s="6" t="s">
        <v>332</v>
      </c>
      <c r="E20" s="6" t="s">
        <v>15</v>
      </c>
      <c r="F20" s="6" t="s">
        <v>2459</v>
      </c>
      <c r="G20" s="6" t="s">
        <v>2460</v>
      </c>
      <c r="H20" s="6" t="str">
        <f t="shared" si="0"/>
        <v>att_animal_model</v>
      </c>
      <c r="I20" s="6" t="s">
        <v>331</v>
      </c>
      <c r="J20" s="6" t="str">
        <f t="shared" si="1"/>
        <v>att_animal_model:oaf</v>
      </c>
      <c r="K20" s="11" t="s">
        <v>19</v>
      </c>
      <c r="L20" s="6" t="s">
        <v>332</v>
      </c>
      <c r="M20" s="6" t="s">
        <v>15</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2474</v>
      </c>
      <c r="D21" s="6" t="s">
        <v>334</v>
      </c>
      <c r="E21" s="6" t="s">
        <v>15</v>
      </c>
      <c r="F21" s="6" t="s">
        <v>2459</v>
      </c>
      <c r="G21" s="6" t="s">
        <v>2460</v>
      </c>
      <c r="H21" s="6" t="str">
        <f t="shared" si="0"/>
        <v>att_animal_model</v>
      </c>
      <c r="I21" s="6" t="s">
        <v>333</v>
      </c>
      <c r="J21" s="6" t="str">
        <f t="shared" si="1"/>
        <v>att_animal_model:r26_ert2cre</v>
      </c>
      <c r="K21" s="11" t="s">
        <v>19</v>
      </c>
      <c r="L21" s="6" t="s">
        <v>335</v>
      </c>
      <c r="M21" s="6" t="s">
        <v>15</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2475</v>
      </c>
      <c r="D22" s="12" t="s">
        <v>337</v>
      </c>
      <c r="E22" s="6" t="s">
        <v>15</v>
      </c>
      <c r="F22" s="6" t="s">
        <v>2459</v>
      </c>
      <c r="G22" s="6" t="s">
        <v>2460</v>
      </c>
      <c r="H22" s="6" t="str">
        <f t="shared" si="0"/>
        <v>att_animal_model</v>
      </c>
      <c r="I22" s="6" t="s">
        <v>336</v>
      </c>
      <c r="J22" s="6" t="str">
        <f t="shared" si="1"/>
        <v>att_animal_model:r26_metrs_flox</v>
      </c>
      <c r="K22" s="11" t="s">
        <v>19</v>
      </c>
      <c r="L22" s="6" t="s">
        <v>338</v>
      </c>
      <c r="M22" s="6" t="s">
        <v>15</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2476</v>
      </c>
      <c r="D23" s="6" t="s">
        <v>340</v>
      </c>
      <c r="E23" s="6" t="s">
        <v>15</v>
      </c>
      <c r="F23" s="6" t="s">
        <v>2459</v>
      </c>
      <c r="G23" s="6" t="s">
        <v>2460</v>
      </c>
      <c r="H23" s="6" t="str">
        <f t="shared" si="0"/>
        <v>att_animal_model</v>
      </c>
      <c r="I23" s="6" t="s">
        <v>339</v>
      </c>
      <c r="J23" s="6" t="str">
        <f t="shared" si="1"/>
        <v>att_animal_model:r26_nlrp3_flox</v>
      </c>
      <c r="K23" s="11" t="s">
        <v>19</v>
      </c>
      <c r="L23" s="6" t="s">
        <v>340</v>
      </c>
      <c r="M23" s="6" t="s">
        <v>15</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2477</v>
      </c>
      <c r="D24" s="6" t="s">
        <v>342</v>
      </c>
      <c r="E24" s="6" t="s">
        <v>15</v>
      </c>
      <c r="F24" s="6" t="s">
        <v>2459</v>
      </c>
      <c r="G24" s="6" t="s">
        <v>2460</v>
      </c>
      <c r="H24" s="6" t="str">
        <f t="shared" si="0"/>
        <v>att_animal_model</v>
      </c>
      <c r="I24" s="6" t="s">
        <v>341</v>
      </c>
      <c r="J24" s="6" t="str">
        <f t="shared" si="1"/>
        <v>att_animal_model:ribotag_lox</v>
      </c>
      <c r="K24" s="11" t="s">
        <v>19</v>
      </c>
      <c r="L24" s="6" t="s">
        <v>335</v>
      </c>
      <c r="M24" s="6" t="s">
        <v>15</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2478</v>
      </c>
      <c r="D25" s="6" t="s">
        <v>344</v>
      </c>
      <c r="E25" s="6" t="s">
        <v>15</v>
      </c>
      <c r="F25" s="6" t="s">
        <v>2459</v>
      </c>
      <c r="G25" s="6" t="s">
        <v>2460</v>
      </c>
      <c r="H25" s="6" t="str">
        <f t="shared" si="0"/>
        <v>att_animal_model</v>
      </c>
      <c r="I25" s="6" t="s">
        <v>343</v>
      </c>
      <c r="J25" s="6" t="str">
        <f t="shared" si="1"/>
        <v>att_animal_model:sox10_cre</v>
      </c>
      <c r="K25" s="11" t="s">
        <v>19</v>
      </c>
      <c r="L25" s="6" t="s">
        <v>345</v>
      </c>
      <c r="M25" s="6" t="s">
        <v>15</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2479</v>
      </c>
      <c r="D26" s="6" t="s">
        <v>347</v>
      </c>
      <c r="E26" s="6" t="s">
        <v>15</v>
      </c>
      <c r="F26" s="6" t="s">
        <v>2459</v>
      </c>
      <c r="G26" s="6" t="s">
        <v>2460</v>
      </c>
      <c r="H26" s="6" t="str">
        <f t="shared" si="0"/>
        <v>att_animal_model</v>
      </c>
      <c r="I26" s="6" t="s">
        <v>346</v>
      </c>
      <c r="J26" s="6" t="str">
        <f t="shared" si="1"/>
        <v>att_animal_model:ucp1_cre</v>
      </c>
      <c r="K26" s="11" t="s">
        <v>19</v>
      </c>
      <c r="L26" s="6" t="s">
        <v>348</v>
      </c>
      <c r="M26" s="6" t="s">
        <v>15</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2480</v>
      </c>
      <c r="D27" s="6" t="s">
        <v>350</v>
      </c>
      <c r="E27" s="6" t="s">
        <v>15</v>
      </c>
      <c r="F27" s="6" t="s">
        <v>2459</v>
      </c>
      <c r="G27" s="6" t="s">
        <v>2460</v>
      </c>
      <c r="H27" s="6" t="str">
        <f t="shared" si="0"/>
        <v>att_animal_model</v>
      </c>
      <c r="I27" s="6" t="s">
        <v>349</v>
      </c>
      <c r="J27" s="6" t="str">
        <f t="shared" si="1"/>
        <v>att_animal_model:vil_cre</v>
      </c>
      <c r="K27" s="11" t="s">
        <v>19</v>
      </c>
      <c r="L27" s="6" t="s">
        <v>351</v>
      </c>
      <c r="M27" s="6" t="s">
        <v>15</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440</v>
      </c>
      <c r="E28" s="6" t="s">
        <v>15</v>
      </c>
      <c r="F28" s="6" t="s">
        <v>2481</v>
      </c>
      <c r="G28" s="6" t="s">
        <v>2482</v>
      </c>
      <c r="H28" s="6" t="str">
        <f t="shared" si="0"/>
        <v>att_celllines</v>
      </c>
      <c r="I28" s="6" t="s">
        <v>439</v>
      </c>
      <c r="J28" s="6" t="str">
        <f t="shared" si="1"/>
        <v>att_celllines:786_0</v>
      </c>
      <c r="K28" s="11" t="s">
        <v>19</v>
      </c>
      <c r="L28" s="6" t="s">
        <v>441</v>
      </c>
      <c r="M28" s="6" t="s">
        <v>2483</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442</v>
      </c>
      <c r="D29" s="6" t="s">
        <v>443</v>
      </c>
      <c r="E29" s="6" t="s">
        <v>15</v>
      </c>
      <c r="F29" s="6" t="s">
        <v>2481</v>
      </c>
      <c r="G29" s="6" t="s">
        <v>2482</v>
      </c>
      <c r="H29" s="6" t="str">
        <f t="shared" si="0"/>
        <v>att_celllines</v>
      </c>
      <c r="I29" s="6" t="s">
        <v>442</v>
      </c>
      <c r="J29" s="6" t="str">
        <f t="shared" si="1"/>
        <v>att_celllines:a498</v>
      </c>
      <c r="K29" s="11" t="s">
        <v>19</v>
      </c>
      <c r="L29" s="6" t="s">
        <v>441</v>
      </c>
      <c r="M29" s="6" t="s">
        <v>2483</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444</v>
      </c>
      <c r="D30" s="6" t="s">
        <v>445</v>
      </c>
      <c r="E30" s="6" t="s">
        <v>15</v>
      </c>
      <c r="F30" s="6" t="s">
        <v>2481</v>
      </c>
      <c r="G30" s="6" t="s">
        <v>2482</v>
      </c>
      <c r="H30" s="6" t="str">
        <f t="shared" si="0"/>
        <v>att_celllines</v>
      </c>
      <c r="I30" s="6" t="s">
        <v>444</v>
      </c>
      <c r="J30" s="6" t="str">
        <f t="shared" si="1"/>
        <v>att_celllines:a549</v>
      </c>
      <c r="K30" s="11" t="s">
        <v>19</v>
      </c>
      <c r="L30" s="6" t="s">
        <v>446</v>
      </c>
      <c r="M30" s="6" t="s">
        <v>2483</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447</v>
      </c>
      <c r="D31" s="6" t="s">
        <v>448</v>
      </c>
      <c r="E31" s="6" t="s">
        <v>15</v>
      </c>
      <c r="F31" s="6" t="s">
        <v>2481</v>
      </c>
      <c r="G31" s="6" t="s">
        <v>2482</v>
      </c>
      <c r="H31" s="6" t="str">
        <f t="shared" si="0"/>
        <v>att_celllines</v>
      </c>
      <c r="I31" s="6" t="s">
        <v>447</v>
      </c>
      <c r="J31" s="6" t="str">
        <f t="shared" si="1"/>
        <v>att_celllines:achn</v>
      </c>
      <c r="K31" s="11" t="s">
        <v>19</v>
      </c>
      <c r="L31" s="6" t="s">
        <v>441</v>
      </c>
      <c r="M31" s="6" t="s">
        <v>2483</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449</v>
      </c>
      <c r="D32" s="6" t="s">
        <v>450</v>
      </c>
      <c r="E32" s="6" t="s">
        <v>15</v>
      </c>
      <c r="F32" s="6" t="s">
        <v>2481</v>
      </c>
      <c r="G32" s="6" t="s">
        <v>2482</v>
      </c>
      <c r="H32" s="6" t="str">
        <f t="shared" si="0"/>
        <v>att_celllines</v>
      </c>
      <c r="I32" s="6" t="s">
        <v>449</v>
      </c>
      <c r="J32" s="6" t="str">
        <f t="shared" si="1"/>
        <v>att_celllines:bmdc</v>
      </c>
      <c r="K32" s="11" t="s">
        <v>19</v>
      </c>
      <c r="L32" s="6" t="s">
        <v>450</v>
      </c>
      <c r="M32" s="6" t="s">
        <v>15</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451</v>
      </c>
      <c r="D33" s="6" t="s">
        <v>452</v>
      </c>
      <c r="E33" s="6" t="s">
        <v>15</v>
      </c>
      <c r="F33" s="6" t="s">
        <v>2481</v>
      </c>
      <c r="G33" s="6" t="s">
        <v>2482</v>
      </c>
      <c r="H33" s="6" t="str">
        <f t="shared" si="0"/>
        <v>att_celllines</v>
      </c>
      <c r="I33" s="6" t="s">
        <v>451</v>
      </c>
      <c r="J33" s="6" t="str">
        <f t="shared" si="1"/>
        <v>att_celllines:bmm</v>
      </c>
      <c r="K33" s="11" t="s">
        <v>19</v>
      </c>
      <c r="L33" s="6" t="s">
        <v>453</v>
      </c>
      <c r="M33" s="6" t="s">
        <v>15</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454</v>
      </c>
      <c r="D34" s="6" t="s">
        <v>455</v>
      </c>
      <c r="E34" s="6" t="s">
        <v>15</v>
      </c>
      <c r="F34" s="6" t="s">
        <v>2481</v>
      </c>
      <c r="G34" s="6" t="s">
        <v>2482</v>
      </c>
      <c r="H34" s="6" t="str">
        <f t="shared" si="0"/>
        <v>att_celllines</v>
      </c>
      <c r="I34" s="6" t="s">
        <v>454</v>
      </c>
      <c r="J34" s="6" t="str">
        <f t="shared" si="1"/>
        <v>att_celllines:bt549</v>
      </c>
      <c r="K34" s="11" t="s">
        <v>19</v>
      </c>
      <c r="L34" s="6" t="s">
        <v>456</v>
      </c>
      <c r="M34" s="6" t="s">
        <v>2483</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457</v>
      </c>
      <c r="D35" s="6" t="s">
        <v>458</v>
      </c>
      <c r="E35" s="6" t="s">
        <v>15</v>
      </c>
      <c r="F35" s="6" t="s">
        <v>2481</v>
      </c>
      <c r="G35" s="6" t="s">
        <v>2482</v>
      </c>
      <c r="H35" s="6" t="str">
        <f t="shared" si="0"/>
        <v>att_celllines</v>
      </c>
      <c r="I35" s="6" t="s">
        <v>457</v>
      </c>
      <c r="J35" s="6" t="str">
        <f t="shared" si="1"/>
        <v>att_celllines:caki1</v>
      </c>
      <c r="K35" s="11" t="s">
        <v>19</v>
      </c>
      <c r="L35" s="6" t="s">
        <v>441</v>
      </c>
      <c r="M35" s="6" t="s">
        <v>2483</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459</v>
      </c>
      <c r="D36" s="6" t="s">
        <v>460</v>
      </c>
      <c r="E36" s="6" t="s">
        <v>15</v>
      </c>
      <c r="F36" s="6" t="s">
        <v>2481</v>
      </c>
      <c r="G36" s="6" t="s">
        <v>2482</v>
      </c>
      <c r="H36" s="6" t="str">
        <f t="shared" si="0"/>
        <v>att_celllines</v>
      </c>
      <c r="I36" s="6" t="s">
        <v>459</v>
      </c>
      <c r="J36" s="6" t="str">
        <f t="shared" si="1"/>
        <v>att_celllines:cho</v>
      </c>
      <c r="K36" s="11" t="s">
        <v>19</v>
      </c>
      <c r="L36" s="6" t="s">
        <v>461</v>
      </c>
      <c r="M36" s="6" t="s">
        <v>2484</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462</v>
      </c>
      <c r="D37" s="6" t="s">
        <v>463</v>
      </c>
      <c r="E37" s="6" t="s">
        <v>15</v>
      </c>
      <c r="F37" s="6" t="s">
        <v>2481</v>
      </c>
      <c r="G37" s="6" t="s">
        <v>2482</v>
      </c>
      <c r="H37" s="6" t="str">
        <f t="shared" si="0"/>
        <v>att_celllines</v>
      </c>
      <c r="I37" s="6" t="s">
        <v>462</v>
      </c>
      <c r="J37" s="6" t="str">
        <f t="shared" si="1"/>
        <v>att_celllines:colo205</v>
      </c>
      <c r="K37" s="11" t="s">
        <v>19</v>
      </c>
      <c r="L37" s="6" t="s">
        <v>464</v>
      </c>
      <c r="M37" s="6" t="s">
        <v>2483</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465</v>
      </c>
      <c r="D38" s="6" t="s">
        <v>466</v>
      </c>
      <c r="E38" s="6" t="s">
        <v>15</v>
      </c>
      <c r="F38" s="6" t="s">
        <v>2481</v>
      </c>
      <c r="G38" s="6" t="s">
        <v>2482</v>
      </c>
      <c r="H38" s="6" t="str">
        <f t="shared" si="0"/>
        <v>att_celllines</v>
      </c>
      <c r="I38" s="6" t="s">
        <v>465</v>
      </c>
      <c r="J38" s="6" t="str">
        <f t="shared" si="1"/>
        <v>att_celllines:crfcem</v>
      </c>
      <c r="K38" s="11" t="s">
        <v>19</v>
      </c>
      <c r="L38" s="6" t="s">
        <v>467</v>
      </c>
      <c r="M38" s="6" t="s">
        <v>2483</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468</v>
      </c>
      <c r="D39" s="6" t="s">
        <v>469</v>
      </c>
      <c r="E39" s="6" t="s">
        <v>15</v>
      </c>
      <c r="F39" s="6" t="s">
        <v>2481</v>
      </c>
      <c r="G39" s="6" t="s">
        <v>2482</v>
      </c>
      <c r="H39" s="6" t="str">
        <f t="shared" si="0"/>
        <v>att_celllines</v>
      </c>
      <c r="I39" s="6" t="s">
        <v>468</v>
      </c>
      <c r="J39" s="6" t="str">
        <f t="shared" si="1"/>
        <v>att_celllines:du145</v>
      </c>
      <c r="K39" s="11" t="s">
        <v>19</v>
      </c>
      <c r="L39" s="6" t="s">
        <v>470</v>
      </c>
      <c r="M39" s="6" t="s">
        <v>2483</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471</v>
      </c>
      <c r="D40" s="6" t="s">
        <v>472</v>
      </c>
      <c r="E40" s="6" t="s">
        <v>15</v>
      </c>
      <c r="F40" s="6" t="s">
        <v>2481</v>
      </c>
      <c r="G40" s="6" t="s">
        <v>2482</v>
      </c>
      <c r="H40" s="6" t="str">
        <f t="shared" si="0"/>
        <v>att_celllines</v>
      </c>
      <c r="I40" s="6" t="s">
        <v>471</v>
      </c>
      <c r="J40" s="6" t="str">
        <f t="shared" si="1"/>
        <v>att_celllines:ekvx</v>
      </c>
      <c r="K40" s="11" t="s">
        <v>19</v>
      </c>
      <c r="L40" s="6" t="s">
        <v>446</v>
      </c>
      <c r="M40" s="6" t="s">
        <v>2483</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473</v>
      </c>
      <c r="D41" s="6" t="s">
        <v>474</v>
      </c>
      <c r="E41" s="6" t="s">
        <v>15</v>
      </c>
      <c r="F41" s="6" t="s">
        <v>2481</v>
      </c>
      <c r="G41" s="6" t="s">
        <v>2482</v>
      </c>
      <c r="H41" s="6" t="str">
        <f t="shared" si="0"/>
        <v>att_celllines</v>
      </c>
      <c r="I41" s="6" t="s">
        <v>473</v>
      </c>
      <c r="J41" s="6" t="str">
        <f t="shared" si="1"/>
        <v>att_celllines:hcc2998</v>
      </c>
      <c r="K41" s="11" t="s">
        <v>19</v>
      </c>
      <c r="L41" s="6" t="s">
        <v>464</v>
      </c>
      <c r="M41" s="6" t="s">
        <v>2483</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475</v>
      </c>
      <c r="D42" s="6" t="s">
        <v>476</v>
      </c>
      <c r="E42" s="6" t="s">
        <v>15</v>
      </c>
      <c r="F42" s="6" t="s">
        <v>2481</v>
      </c>
      <c r="G42" s="6" t="s">
        <v>2482</v>
      </c>
      <c r="H42" s="6" t="str">
        <f t="shared" si="0"/>
        <v>att_celllines</v>
      </c>
      <c r="I42" s="6" t="s">
        <v>475</v>
      </c>
      <c r="J42" s="6" t="str">
        <f t="shared" si="1"/>
        <v>att_celllines:hct116</v>
      </c>
      <c r="K42" s="11" t="s">
        <v>19</v>
      </c>
      <c r="L42" s="6" t="s">
        <v>464</v>
      </c>
      <c r="M42" s="6" t="s">
        <v>2483</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477</v>
      </c>
      <c r="D43" s="6" t="s">
        <v>478</v>
      </c>
      <c r="E43" s="6" t="s">
        <v>15</v>
      </c>
      <c r="F43" s="6" t="s">
        <v>2481</v>
      </c>
      <c r="G43" s="6" t="s">
        <v>2482</v>
      </c>
      <c r="H43" s="6" t="str">
        <f t="shared" si="0"/>
        <v>att_celllines</v>
      </c>
      <c r="I43" s="6" t="s">
        <v>477</v>
      </c>
      <c r="J43" s="6" t="str">
        <f t="shared" si="1"/>
        <v>att_celllines:hct15</v>
      </c>
      <c r="K43" s="11" t="s">
        <v>19</v>
      </c>
      <c r="L43" s="6" t="s">
        <v>464</v>
      </c>
      <c r="M43" s="6" t="s">
        <v>2483</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479</v>
      </c>
      <c r="D44" s="6" t="s">
        <v>480</v>
      </c>
      <c r="E44" s="6" t="s">
        <v>15</v>
      </c>
      <c r="F44" s="6" t="s">
        <v>2481</v>
      </c>
      <c r="G44" s="6" t="s">
        <v>2482</v>
      </c>
      <c r="H44" s="6" t="str">
        <f t="shared" si="0"/>
        <v>att_celllines</v>
      </c>
      <c r="I44" s="6" t="s">
        <v>479</v>
      </c>
      <c r="J44" s="6" t="str">
        <f t="shared" si="1"/>
        <v>att_celllines:hek293</v>
      </c>
      <c r="K44" s="11" t="s">
        <v>19</v>
      </c>
      <c r="L44" s="6" t="s">
        <v>481</v>
      </c>
      <c r="M44" s="6" t="s">
        <v>2484</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482</v>
      </c>
      <c r="D45" s="6" t="s">
        <v>483</v>
      </c>
      <c r="E45" s="6" t="s">
        <v>15</v>
      </c>
      <c r="F45" s="6" t="s">
        <v>2481</v>
      </c>
      <c r="G45" s="6" t="s">
        <v>2482</v>
      </c>
      <c r="H45" s="6" t="str">
        <f t="shared" si="0"/>
        <v>att_celllines</v>
      </c>
      <c r="I45" s="6" t="s">
        <v>482</v>
      </c>
      <c r="J45" s="6" t="str">
        <f t="shared" si="1"/>
        <v>att_celllines:hek293t</v>
      </c>
      <c r="K45" s="11" t="s">
        <v>19</v>
      </c>
      <c r="L45" s="6" t="s">
        <v>484</v>
      </c>
      <c r="M45" s="6" t="s">
        <v>2484</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485</v>
      </c>
      <c r="D46" s="6" t="s">
        <v>486</v>
      </c>
      <c r="E46" s="6" t="s">
        <v>15</v>
      </c>
      <c r="F46" s="6" t="s">
        <v>2481</v>
      </c>
      <c r="G46" s="6" t="s">
        <v>2482</v>
      </c>
      <c r="H46" s="6" t="str">
        <f t="shared" si="0"/>
        <v>att_celllines</v>
      </c>
      <c r="I46" s="6" t="s">
        <v>485</v>
      </c>
      <c r="J46" s="6" t="str">
        <f t="shared" si="1"/>
        <v>att_celllines:hela</v>
      </c>
      <c r="K46" s="11" t="s">
        <v>19</v>
      </c>
      <c r="L46" s="6" t="s">
        <v>487</v>
      </c>
      <c r="M46" s="6" t="s">
        <v>2484</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488</v>
      </c>
      <c r="D47" s="6" t="s">
        <v>489</v>
      </c>
      <c r="E47" s="6" t="s">
        <v>15</v>
      </c>
      <c r="F47" s="6" t="s">
        <v>2481</v>
      </c>
      <c r="G47" s="6" t="s">
        <v>2482</v>
      </c>
      <c r="H47" s="6" t="str">
        <f t="shared" si="0"/>
        <v>att_celllines</v>
      </c>
      <c r="I47" s="6" t="s">
        <v>488</v>
      </c>
      <c r="J47" s="6" t="str">
        <f t="shared" si="1"/>
        <v>att_celllines:hl60</v>
      </c>
      <c r="K47" s="11" t="s">
        <v>19</v>
      </c>
      <c r="L47" s="6" t="s">
        <v>467</v>
      </c>
      <c r="M47" s="6" t="s">
        <v>2483</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490</v>
      </c>
      <c r="D48" s="6" t="s">
        <v>491</v>
      </c>
      <c r="E48" s="6" t="s">
        <v>15</v>
      </c>
      <c r="F48" s="6" t="s">
        <v>2481</v>
      </c>
      <c r="G48" s="6" t="s">
        <v>2482</v>
      </c>
      <c r="H48" s="6" t="str">
        <f t="shared" si="0"/>
        <v>att_celllines</v>
      </c>
      <c r="I48" s="6" t="s">
        <v>490</v>
      </c>
      <c r="J48" s="6" t="str">
        <f t="shared" si="1"/>
        <v>att_celllines:hop62</v>
      </c>
      <c r="K48" s="11" t="s">
        <v>19</v>
      </c>
      <c r="L48" s="6" t="s">
        <v>446</v>
      </c>
      <c r="M48" s="6" t="s">
        <v>2483</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492</v>
      </c>
      <c r="D49" s="6" t="s">
        <v>493</v>
      </c>
      <c r="E49" s="6" t="s">
        <v>15</v>
      </c>
      <c r="F49" s="6" t="s">
        <v>2481</v>
      </c>
      <c r="G49" s="6" t="s">
        <v>2482</v>
      </c>
      <c r="H49" s="6" t="str">
        <f t="shared" si="0"/>
        <v>att_celllines</v>
      </c>
      <c r="I49" s="6" t="s">
        <v>492</v>
      </c>
      <c r="J49" s="6" t="str">
        <f t="shared" si="1"/>
        <v>att_celllines:hop92</v>
      </c>
      <c r="K49" s="11" t="s">
        <v>19</v>
      </c>
      <c r="L49" s="6" t="s">
        <v>446</v>
      </c>
      <c r="M49" s="6" t="s">
        <v>2483</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494</v>
      </c>
      <c r="D50" s="6" t="s">
        <v>495</v>
      </c>
      <c r="E50" s="6" t="s">
        <v>15</v>
      </c>
      <c r="F50" s="6" t="s">
        <v>2481</v>
      </c>
      <c r="G50" s="6" t="s">
        <v>2482</v>
      </c>
      <c r="H50" s="6" t="str">
        <f t="shared" si="0"/>
        <v>att_celllines</v>
      </c>
      <c r="I50" s="6" t="s">
        <v>494</v>
      </c>
      <c r="J50" s="6" t="str">
        <f t="shared" si="1"/>
        <v>att_celllines:hs578t</v>
      </c>
      <c r="K50" s="11" t="s">
        <v>19</v>
      </c>
      <c r="L50" s="6" t="s">
        <v>456</v>
      </c>
      <c r="M50" s="6" t="s">
        <v>2483</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496</v>
      </c>
      <c r="D51" s="6" t="s">
        <v>497</v>
      </c>
      <c r="E51" s="6" t="s">
        <v>15</v>
      </c>
      <c r="F51" s="6" t="s">
        <v>2481</v>
      </c>
      <c r="G51" s="6" t="s">
        <v>2482</v>
      </c>
      <c r="H51" s="6" t="str">
        <f t="shared" si="0"/>
        <v>att_celllines</v>
      </c>
      <c r="I51" s="6" t="s">
        <v>496</v>
      </c>
      <c r="J51" s="6" t="str">
        <f t="shared" si="1"/>
        <v>att_celllines:ht29</v>
      </c>
      <c r="K51" s="11" t="s">
        <v>19</v>
      </c>
      <c r="L51" s="6" t="s">
        <v>464</v>
      </c>
      <c r="M51" s="6" t="s">
        <v>2483</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498</v>
      </c>
      <c r="D52" s="6" t="s">
        <v>499</v>
      </c>
      <c r="E52" s="6" t="s">
        <v>15</v>
      </c>
      <c r="F52" s="6" t="s">
        <v>2481</v>
      </c>
      <c r="G52" s="6" t="s">
        <v>2482</v>
      </c>
      <c r="H52" s="6" t="str">
        <f t="shared" si="0"/>
        <v>att_celllines</v>
      </c>
      <c r="I52" s="6" t="s">
        <v>498</v>
      </c>
      <c r="J52" s="6" t="str">
        <f t="shared" si="1"/>
        <v>att_celllines:igrov1</v>
      </c>
      <c r="K52" s="11" t="s">
        <v>19</v>
      </c>
      <c r="L52" s="6" t="s">
        <v>500</v>
      </c>
      <c r="M52" s="6" t="s">
        <v>2483</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504</v>
      </c>
      <c r="D53" s="6" t="s">
        <v>505</v>
      </c>
      <c r="E53" s="6" t="s">
        <v>15</v>
      </c>
      <c r="F53" s="6" t="s">
        <v>2481</v>
      </c>
      <c r="G53" s="6" t="s">
        <v>2482</v>
      </c>
      <c r="H53" s="6" t="str">
        <f t="shared" si="0"/>
        <v>att_celllines</v>
      </c>
      <c r="I53" s="6" t="s">
        <v>504</v>
      </c>
      <c r="J53" s="6" t="str">
        <f t="shared" si="1"/>
        <v>att_celllines:jeko1</v>
      </c>
      <c r="K53" s="11" t="s">
        <v>19</v>
      </c>
      <c r="L53" s="6" t="s">
        <v>506</v>
      </c>
      <c r="M53" s="6" t="s">
        <v>15</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507</v>
      </c>
      <c r="D54" s="6" t="s">
        <v>508</v>
      </c>
      <c r="E54" s="6" t="s">
        <v>15</v>
      </c>
      <c r="F54" s="6" t="s">
        <v>2481</v>
      </c>
      <c r="G54" s="6" t="s">
        <v>2482</v>
      </c>
      <c r="H54" s="6" t="str">
        <f t="shared" si="0"/>
        <v>att_celllines</v>
      </c>
      <c r="I54" s="6" t="s">
        <v>507</v>
      </c>
      <c r="J54" s="6" t="str">
        <f t="shared" si="1"/>
        <v>att_celllines:jurkat</v>
      </c>
      <c r="K54" s="11" t="s">
        <v>19</v>
      </c>
      <c r="L54" s="6" t="s">
        <v>509</v>
      </c>
      <c r="M54" s="6" t="s">
        <v>15</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510</v>
      </c>
      <c r="D55" s="6" t="s">
        <v>511</v>
      </c>
      <c r="E55" s="6" t="s">
        <v>15</v>
      </c>
      <c r="F55" s="6" t="s">
        <v>2481</v>
      </c>
      <c r="G55" s="6" t="s">
        <v>2482</v>
      </c>
      <c r="H55" s="6" t="str">
        <f t="shared" si="0"/>
        <v>att_celllines</v>
      </c>
      <c r="I55" s="6" t="s">
        <v>510</v>
      </c>
      <c r="J55" s="6" t="str">
        <f t="shared" si="1"/>
        <v>att_celllines:jvm13</v>
      </c>
      <c r="K55" s="11" t="s">
        <v>19</v>
      </c>
      <c r="L55" s="6" t="s">
        <v>506</v>
      </c>
      <c r="M55" s="6" t="s">
        <v>15</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512</v>
      </c>
      <c r="D56" s="6" t="s">
        <v>513</v>
      </c>
      <c r="E56" s="6" t="s">
        <v>15</v>
      </c>
      <c r="F56" s="6" t="s">
        <v>2481</v>
      </c>
      <c r="G56" s="6" t="s">
        <v>2482</v>
      </c>
      <c r="H56" s="6" t="str">
        <f t="shared" si="0"/>
        <v>att_celllines</v>
      </c>
      <c r="I56" s="6" t="s">
        <v>512</v>
      </c>
      <c r="J56" s="6" t="str">
        <f t="shared" si="1"/>
        <v>att_celllines:jvm2</v>
      </c>
      <c r="K56" s="11" t="s">
        <v>19</v>
      </c>
      <c r="L56" s="6" t="s">
        <v>506</v>
      </c>
      <c r="M56" s="6" t="s">
        <v>15</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514</v>
      </c>
      <c r="D57" s="6" t="s">
        <v>515</v>
      </c>
      <c r="E57" s="6" t="s">
        <v>15</v>
      </c>
      <c r="F57" s="6" t="s">
        <v>2481</v>
      </c>
      <c r="G57" s="6" t="s">
        <v>2482</v>
      </c>
      <c r="H57" s="6" t="str">
        <f t="shared" si="0"/>
        <v>att_celllines</v>
      </c>
      <c r="I57" s="6" t="s">
        <v>514</v>
      </c>
      <c r="J57" s="6" t="str">
        <f t="shared" si="1"/>
        <v>att_celllines:k562</v>
      </c>
      <c r="K57" s="11" t="s">
        <v>19</v>
      </c>
      <c r="L57" s="6" t="s">
        <v>467</v>
      </c>
      <c r="M57" s="6" t="s">
        <v>2483</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516</v>
      </c>
      <c r="D58" s="6" t="s">
        <v>517</v>
      </c>
      <c r="E58" s="6" t="s">
        <v>15</v>
      </c>
      <c r="F58" s="6" t="s">
        <v>2481</v>
      </c>
      <c r="G58" s="6" t="s">
        <v>2482</v>
      </c>
      <c r="H58" s="6" t="str">
        <f t="shared" si="0"/>
        <v>att_celllines</v>
      </c>
      <c r="I58" s="6" t="s">
        <v>516</v>
      </c>
      <c r="J58" s="6" t="str">
        <f t="shared" si="1"/>
        <v>att_celllines:km12</v>
      </c>
      <c r="K58" s="11" t="s">
        <v>19</v>
      </c>
      <c r="L58" s="6" t="s">
        <v>464</v>
      </c>
      <c r="M58" s="6" t="s">
        <v>2483</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518</v>
      </c>
      <c r="D59" s="6" t="s">
        <v>519</v>
      </c>
      <c r="E59" s="6" t="s">
        <v>15</v>
      </c>
      <c r="F59" s="6" t="s">
        <v>2481</v>
      </c>
      <c r="G59" s="6" t="s">
        <v>2482</v>
      </c>
      <c r="H59" s="6" t="str">
        <f t="shared" si="0"/>
        <v>att_celllines</v>
      </c>
      <c r="I59" s="6" t="s">
        <v>518</v>
      </c>
      <c r="J59" s="6" t="str">
        <f t="shared" si="1"/>
        <v>att_celllines:lox_imvi</v>
      </c>
      <c r="K59" s="11" t="s">
        <v>19</v>
      </c>
      <c r="L59" s="6" t="s">
        <v>520</v>
      </c>
      <c r="M59" s="6" t="s">
        <v>2483</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521</v>
      </c>
      <c r="D60" s="6" t="s">
        <v>522</v>
      </c>
      <c r="E60" s="6" t="s">
        <v>15</v>
      </c>
      <c r="F60" s="6" t="s">
        <v>2481</v>
      </c>
      <c r="G60" s="6" t="s">
        <v>2482</v>
      </c>
      <c r="H60" s="6" t="str">
        <f t="shared" si="0"/>
        <v>att_celllines</v>
      </c>
      <c r="I60" s="6" t="s">
        <v>521</v>
      </c>
      <c r="J60" s="6" t="str">
        <f t="shared" si="1"/>
        <v>att_celllines:m14</v>
      </c>
      <c r="K60" s="11" t="s">
        <v>19</v>
      </c>
      <c r="L60" s="6" t="s">
        <v>520</v>
      </c>
      <c r="M60" s="6" t="s">
        <v>2483</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523</v>
      </c>
      <c r="D61" s="6" t="s">
        <v>524</v>
      </c>
      <c r="E61" s="6" t="s">
        <v>15</v>
      </c>
      <c r="F61" s="6" t="s">
        <v>2481</v>
      </c>
      <c r="G61" s="6" t="s">
        <v>2482</v>
      </c>
      <c r="H61" s="6" t="str">
        <f t="shared" si="0"/>
        <v>att_celllines</v>
      </c>
      <c r="I61" s="6" t="s">
        <v>523</v>
      </c>
      <c r="J61" s="6" t="str">
        <f t="shared" si="1"/>
        <v>att_celllines:malme3m</v>
      </c>
      <c r="K61" s="11" t="s">
        <v>19</v>
      </c>
      <c r="L61" s="6" t="s">
        <v>520</v>
      </c>
      <c r="M61" s="6" t="s">
        <v>2483</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525</v>
      </c>
      <c r="D62" s="6" t="s">
        <v>526</v>
      </c>
      <c r="E62" s="6" t="s">
        <v>15</v>
      </c>
      <c r="F62" s="6" t="s">
        <v>2481</v>
      </c>
      <c r="G62" s="6" t="s">
        <v>2482</v>
      </c>
      <c r="H62" s="6" t="str">
        <f t="shared" si="0"/>
        <v>att_celllines</v>
      </c>
      <c r="I62" s="6" t="s">
        <v>525</v>
      </c>
      <c r="J62" s="6" t="str">
        <f t="shared" si="1"/>
        <v>att_celllines:maver1</v>
      </c>
      <c r="K62" s="11" t="s">
        <v>19</v>
      </c>
      <c r="L62" s="6" t="s">
        <v>506</v>
      </c>
      <c r="M62" s="6" t="s">
        <v>15</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527</v>
      </c>
      <c r="D63" s="6" t="s">
        <v>528</v>
      </c>
      <c r="E63" s="6" t="s">
        <v>15</v>
      </c>
      <c r="F63" s="6" t="s">
        <v>2481</v>
      </c>
      <c r="G63" s="6" t="s">
        <v>2482</v>
      </c>
      <c r="H63" s="6" t="str">
        <f t="shared" si="0"/>
        <v>att_celllines</v>
      </c>
      <c r="I63" s="6" t="s">
        <v>527</v>
      </c>
      <c r="J63" s="6" t="str">
        <f t="shared" si="1"/>
        <v>att_celllines:mcf7</v>
      </c>
      <c r="K63" s="11" t="s">
        <v>19</v>
      </c>
      <c r="L63" s="6" t="s">
        <v>456</v>
      </c>
      <c r="M63" s="6" t="s">
        <v>2483</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529</v>
      </c>
      <c r="D64" s="6" t="s">
        <v>530</v>
      </c>
      <c r="E64" s="6" t="s">
        <v>15</v>
      </c>
      <c r="F64" s="6" t="s">
        <v>2481</v>
      </c>
      <c r="G64" s="6" t="s">
        <v>2482</v>
      </c>
      <c r="H64" s="6" t="str">
        <f t="shared" si="0"/>
        <v>att_celllines</v>
      </c>
      <c r="I64" s="6" t="s">
        <v>529</v>
      </c>
      <c r="J64" s="6" t="str">
        <f t="shared" si="1"/>
        <v>att_celllines:mdamb231</v>
      </c>
      <c r="K64" s="11" t="s">
        <v>19</v>
      </c>
      <c r="L64" s="6" t="s">
        <v>456</v>
      </c>
      <c r="M64" s="6" t="s">
        <v>2483</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531</v>
      </c>
      <c r="D65" s="6" t="s">
        <v>532</v>
      </c>
      <c r="E65" s="6" t="s">
        <v>15</v>
      </c>
      <c r="F65" s="6" t="s">
        <v>2481</v>
      </c>
      <c r="G65" s="6" t="s">
        <v>2482</v>
      </c>
      <c r="H65" s="6" t="str">
        <f t="shared" si="0"/>
        <v>att_celllines</v>
      </c>
      <c r="I65" s="6" t="s">
        <v>531</v>
      </c>
      <c r="J65" s="6" t="str">
        <f t="shared" si="1"/>
        <v>att_celllines:mdamb435</v>
      </c>
      <c r="K65" s="11" t="s">
        <v>19</v>
      </c>
      <c r="L65" s="6" t="s">
        <v>520</v>
      </c>
      <c r="M65" s="6" t="s">
        <v>2483</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533</v>
      </c>
      <c r="D66" s="6" t="s">
        <v>534</v>
      </c>
      <c r="E66" s="6" t="s">
        <v>15</v>
      </c>
      <c r="F66" s="6" t="s">
        <v>2481</v>
      </c>
      <c r="G66" s="6" t="s">
        <v>2482</v>
      </c>
      <c r="H66" s="6" t="str">
        <f t="shared" ref="H66:H129" si="4">"att_"&amp;G66</f>
        <v>att_celllines</v>
      </c>
      <c r="I66" s="6" t="s">
        <v>533</v>
      </c>
      <c r="J66" s="6" t="str">
        <f t="shared" ref="J66:J129" si="5">H66&amp;":"&amp;I66</f>
        <v>att_celllines:mdamb468</v>
      </c>
      <c r="K66" s="11" t="s">
        <v>19</v>
      </c>
      <c r="L66" s="6" t="s">
        <v>456</v>
      </c>
      <c r="M66" s="6" t="s">
        <v>2483</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538</v>
      </c>
      <c r="D67" s="6" t="s">
        <v>539</v>
      </c>
      <c r="E67" s="6" t="s">
        <v>15</v>
      </c>
      <c r="F67" s="6" t="s">
        <v>2481</v>
      </c>
      <c r="G67" s="6" t="s">
        <v>2482</v>
      </c>
      <c r="H67" s="6" t="str">
        <f t="shared" si="4"/>
        <v>att_celllines</v>
      </c>
      <c r="I67" s="6" t="s">
        <v>538</v>
      </c>
      <c r="J67" s="6" t="str">
        <f t="shared" si="5"/>
        <v>att_celllines:mino</v>
      </c>
      <c r="K67" s="11" t="s">
        <v>19</v>
      </c>
      <c r="L67" s="6" t="s">
        <v>506</v>
      </c>
      <c r="M67" s="6" t="s">
        <v>15</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540</v>
      </c>
      <c r="D68" s="6" t="s">
        <v>541</v>
      </c>
      <c r="E68" s="6" t="s">
        <v>15</v>
      </c>
      <c r="F68" s="6" t="s">
        <v>2481</v>
      </c>
      <c r="G68" s="6" t="s">
        <v>2482</v>
      </c>
      <c r="H68" s="6" t="str">
        <f t="shared" si="4"/>
        <v>att_celllines</v>
      </c>
      <c r="I68" s="6" t="s">
        <v>540</v>
      </c>
      <c r="J68" s="6" t="str">
        <f t="shared" si="5"/>
        <v>att_celllines:molt4</v>
      </c>
      <c r="K68" s="11" t="s">
        <v>19</v>
      </c>
      <c r="L68" s="6" t="s">
        <v>467</v>
      </c>
      <c r="M68" s="6" t="s">
        <v>2483</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542</v>
      </c>
      <c r="D69" s="6" t="s">
        <v>543</v>
      </c>
      <c r="E69" s="6" t="s">
        <v>15</v>
      </c>
      <c r="F69" s="6" t="s">
        <v>2481</v>
      </c>
      <c r="G69" s="6" t="s">
        <v>2482</v>
      </c>
      <c r="H69" s="6" t="str">
        <f t="shared" si="4"/>
        <v>att_celllines</v>
      </c>
      <c r="I69" s="6" t="s">
        <v>542</v>
      </c>
      <c r="J69" s="6" t="str">
        <f t="shared" si="5"/>
        <v>att_celllines:nceb1</v>
      </c>
      <c r="K69" s="11" t="s">
        <v>19</v>
      </c>
      <c r="L69" s="6" t="s">
        <v>506</v>
      </c>
      <c r="M69" s="6" t="s">
        <v>15</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545</v>
      </c>
      <c r="D70" s="6" t="s">
        <v>546</v>
      </c>
      <c r="E70" s="6" t="s">
        <v>15</v>
      </c>
      <c r="F70" s="6" t="s">
        <v>2481</v>
      </c>
      <c r="G70" s="6" t="s">
        <v>2482</v>
      </c>
      <c r="H70" s="6" t="str">
        <f t="shared" si="4"/>
        <v>att_celllines</v>
      </c>
      <c r="I70" s="6" t="s">
        <v>544</v>
      </c>
      <c r="J70" s="6" t="str">
        <f t="shared" si="5"/>
        <v>att_celllines:nci_adrres</v>
      </c>
      <c r="K70" s="11" t="s">
        <v>19</v>
      </c>
      <c r="L70" s="6" t="s">
        <v>500</v>
      </c>
      <c r="M70" s="6" t="s">
        <v>2483</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548</v>
      </c>
      <c r="D71" s="6" t="s">
        <v>549</v>
      </c>
      <c r="E71" s="6" t="s">
        <v>15</v>
      </c>
      <c r="F71" s="6" t="s">
        <v>2481</v>
      </c>
      <c r="G71" s="6" t="s">
        <v>2482</v>
      </c>
      <c r="H71" s="6" t="str">
        <f t="shared" si="4"/>
        <v>att_celllines</v>
      </c>
      <c r="I71" s="6" t="s">
        <v>547</v>
      </c>
      <c r="J71" s="6" t="str">
        <f t="shared" si="5"/>
        <v>att_celllines:nci_h226</v>
      </c>
      <c r="K71" s="11" t="s">
        <v>19</v>
      </c>
      <c r="L71" s="6" t="s">
        <v>446</v>
      </c>
      <c r="M71" s="6" t="s">
        <v>2483</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551</v>
      </c>
      <c r="D72" s="6" t="s">
        <v>552</v>
      </c>
      <c r="E72" s="6" t="s">
        <v>15</v>
      </c>
      <c r="F72" s="6" t="s">
        <v>2481</v>
      </c>
      <c r="G72" s="6" t="s">
        <v>2482</v>
      </c>
      <c r="H72" s="6" t="str">
        <f t="shared" si="4"/>
        <v>att_celllines</v>
      </c>
      <c r="I72" s="6" t="s">
        <v>550</v>
      </c>
      <c r="J72" s="6" t="str">
        <f t="shared" si="5"/>
        <v>att_celllines:nci_h23</v>
      </c>
      <c r="K72" s="11" t="s">
        <v>19</v>
      </c>
      <c r="L72" s="6" t="s">
        <v>446</v>
      </c>
      <c r="M72" s="6" t="s">
        <v>2483</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554</v>
      </c>
      <c r="D73" s="6" t="s">
        <v>555</v>
      </c>
      <c r="E73" s="6" t="s">
        <v>15</v>
      </c>
      <c r="F73" s="6" t="s">
        <v>2481</v>
      </c>
      <c r="G73" s="6" t="s">
        <v>2482</v>
      </c>
      <c r="H73" s="6" t="str">
        <f t="shared" si="4"/>
        <v>att_celllines</v>
      </c>
      <c r="I73" s="6" t="s">
        <v>553</v>
      </c>
      <c r="J73" s="6" t="str">
        <f t="shared" si="5"/>
        <v>att_celllines:nci_h322m</v>
      </c>
      <c r="K73" s="11" t="s">
        <v>19</v>
      </c>
      <c r="L73" s="6" t="s">
        <v>446</v>
      </c>
      <c r="M73" s="6" t="s">
        <v>2483</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557</v>
      </c>
      <c r="D74" s="6" t="s">
        <v>558</v>
      </c>
      <c r="E74" s="6" t="s">
        <v>15</v>
      </c>
      <c r="F74" s="6" t="s">
        <v>2481</v>
      </c>
      <c r="G74" s="6" t="s">
        <v>2482</v>
      </c>
      <c r="H74" s="6" t="str">
        <f t="shared" si="4"/>
        <v>att_celllines</v>
      </c>
      <c r="I74" s="6" t="s">
        <v>556</v>
      </c>
      <c r="J74" s="6" t="str">
        <f t="shared" si="5"/>
        <v>att_celllines:nci_h460</v>
      </c>
      <c r="K74" s="11" t="s">
        <v>19</v>
      </c>
      <c r="L74" s="6" t="s">
        <v>446</v>
      </c>
      <c r="M74" s="6" t="s">
        <v>2483</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560</v>
      </c>
      <c r="D75" s="6" t="s">
        <v>561</v>
      </c>
      <c r="E75" s="6" t="s">
        <v>15</v>
      </c>
      <c r="F75" s="6" t="s">
        <v>2481</v>
      </c>
      <c r="G75" s="6" t="s">
        <v>2482</v>
      </c>
      <c r="H75" s="6" t="str">
        <f t="shared" si="4"/>
        <v>att_celllines</v>
      </c>
      <c r="I75" s="6" t="s">
        <v>559</v>
      </c>
      <c r="J75" s="6" t="str">
        <f t="shared" si="5"/>
        <v>att_celllines:nci_h522</v>
      </c>
      <c r="K75" s="11" t="s">
        <v>19</v>
      </c>
      <c r="L75" s="6" t="s">
        <v>446</v>
      </c>
      <c r="M75" s="6" t="s">
        <v>2483</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562</v>
      </c>
      <c r="D76" s="6" t="s">
        <v>563</v>
      </c>
      <c r="E76" s="6" t="s">
        <v>15</v>
      </c>
      <c r="F76" s="6" t="s">
        <v>2481</v>
      </c>
      <c r="G76" s="6" t="s">
        <v>2482</v>
      </c>
      <c r="H76" s="6" t="str">
        <f t="shared" si="4"/>
        <v>att_celllines</v>
      </c>
      <c r="I76" s="6" t="s">
        <v>562</v>
      </c>
      <c r="J76" s="6" t="str">
        <f t="shared" si="5"/>
        <v>att_celllines:ovcar3</v>
      </c>
      <c r="K76" s="11" t="s">
        <v>19</v>
      </c>
      <c r="L76" s="6" t="s">
        <v>500</v>
      </c>
      <c r="M76" s="6" t="s">
        <v>2483</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564</v>
      </c>
      <c r="D77" s="6" t="s">
        <v>565</v>
      </c>
      <c r="E77" s="6" t="s">
        <v>15</v>
      </c>
      <c r="F77" s="6" t="s">
        <v>2481</v>
      </c>
      <c r="G77" s="6" t="s">
        <v>2482</v>
      </c>
      <c r="H77" s="6" t="str">
        <f t="shared" si="4"/>
        <v>att_celllines</v>
      </c>
      <c r="I77" s="6" t="s">
        <v>564</v>
      </c>
      <c r="J77" s="6" t="str">
        <f t="shared" si="5"/>
        <v>att_celllines:ovcar4</v>
      </c>
      <c r="K77" s="11" t="s">
        <v>19</v>
      </c>
      <c r="L77" s="6" t="s">
        <v>500</v>
      </c>
      <c r="M77" s="6" t="s">
        <v>2483</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566</v>
      </c>
      <c r="D78" s="6" t="s">
        <v>567</v>
      </c>
      <c r="E78" s="6" t="s">
        <v>15</v>
      </c>
      <c r="F78" s="6" t="s">
        <v>2481</v>
      </c>
      <c r="G78" s="6" t="s">
        <v>2482</v>
      </c>
      <c r="H78" s="6" t="str">
        <f t="shared" si="4"/>
        <v>att_celllines</v>
      </c>
      <c r="I78" s="6" t="s">
        <v>566</v>
      </c>
      <c r="J78" s="6" t="str">
        <f t="shared" si="5"/>
        <v>att_celllines:ovcar5</v>
      </c>
      <c r="K78" s="11" t="s">
        <v>19</v>
      </c>
      <c r="L78" s="6" t="s">
        <v>500</v>
      </c>
      <c r="M78" s="6" t="s">
        <v>2483</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568</v>
      </c>
      <c r="D79" s="6" t="s">
        <v>569</v>
      </c>
      <c r="E79" s="6" t="s">
        <v>15</v>
      </c>
      <c r="F79" s="6" t="s">
        <v>2481</v>
      </c>
      <c r="G79" s="6" t="s">
        <v>2482</v>
      </c>
      <c r="H79" s="6" t="str">
        <f t="shared" si="4"/>
        <v>att_celllines</v>
      </c>
      <c r="I79" s="6" t="s">
        <v>568</v>
      </c>
      <c r="J79" s="6" t="str">
        <f t="shared" si="5"/>
        <v>att_celllines:ovcar8</v>
      </c>
      <c r="K79" s="11" t="s">
        <v>19</v>
      </c>
      <c r="L79" s="6" t="s">
        <v>500</v>
      </c>
      <c r="M79" s="6" t="s">
        <v>2483</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570</v>
      </c>
      <c r="D80" s="6" t="s">
        <v>571</v>
      </c>
      <c r="E80" s="6" t="s">
        <v>15</v>
      </c>
      <c r="F80" s="6" t="s">
        <v>2481</v>
      </c>
      <c r="G80" s="6" t="s">
        <v>2482</v>
      </c>
      <c r="H80" s="6" t="str">
        <f t="shared" si="4"/>
        <v>att_celllines</v>
      </c>
      <c r="I80" s="6" t="s">
        <v>570</v>
      </c>
      <c r="J80" s="6" t="str">
        <f t="shared" si="5"/>
        <v>att_celllines:p388</v>
      </c>
      <c r="K80" s="11" t="s">
        <v>19</v>
      </c>
      <c r="L80" s="6" t="s">
        <v>572</v>
      </c>
      <c r="M80" s="6" t="s">
        <v>15</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573</v>
      </c>
      <c r="D81" s="6" t="s">
        <v>574</v>
      </c>
      <c r="E81" s="6" t="s">
        <v>15</v>
      </c>
      <c r="F81" s="6" t="s">
        <v>2481</v>
      </c>
      <c r="G81" s="6" t="s">
        <v>2482</v>
      </c>
      <c r="H81" s="6" t="str">
        <f t="shared" si="4"/>
        <v>att_celllines</v>
      </c>
      <c r="I81" s="6" t="s">
        <v>573</v>
      </c>
      <c r="J81" s="6" t="str">
        <f t="shared" si="5"/>
        <v>att_celllines:pc3</v>
      </c>
      <c r="K81" s="11" t="s">
        <v>19</v>
      </c>
      <c r="L81" s="6" t="s">
        <v>470</v>
      </c>
      <c r="M81" s="6" t="s">
        <v>2483</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575</v>
      </c>
      <c r="D82" s="6" t="s">
        <v>576</v>
      </c>
      <c r="E82" s="6" t="s">
        <v>15</v>
      </c>
      <c r="F82" s="6" t="s">
        <v>2481</v>
      </c>
      <c r="G82" s="6" t="s">
        <v>2482</v>
      </c>
      <c r="H82" s="6" t="str">
        <f t="shared" si="4"/>
        <v>att_celllines</v>
      </c>
      <c r="I82" s="6" t="s">
        <v>575</v>
      </c>
      <c r="J82" s="6" t="str">
        <f t="shared" si="5"/>
        <v>att_celllines:rec1</v>
      </c>
      <c r="K82" s="11" t="s">
        <v>19</v>
      </c>
      <c r="L82" s="6" t="s">
        <v>506</v>
      </c>
      <c r="M82" s="6" t="s">
        <v>15</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577</v>
      </c>
      <c r="D83" s="6" t="s">
        <v>578</v>
      </c>
      <c r="E83" s="6" t="s">
        <v>15</v>
      </c>
      <c r="F83" s="6" t="s">
        <v>2481</v>
      </c>
      <c r="G83" s="6" t="s">
        <v>2482</v>
      </c>
      <c r="H83" s="6" t="str">
        <f t="shared" si="4"/>
        <v>att_celllines</v>
      </c>
      <c r="I83" s="6" t="s">
        <v>577</v>
      </c>
      <c r="J83" s="6" t="str">
        <f t="shared" si="5"/>
        <v>att_celllines:rpmi8226</v>
      </c>
      <c r="K83" s="11" t="s">
        <v>19</v>
      </c>
      <c r="L83" s="6" t="s">
        <v>467</v>
      </c>
      <c r="M83" s="6" t="s">
        <v>2483</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579</v>
      </c>
      <c r="D84" s="6" t="s">
        <v>580</v>
      </c>
      <c r="E84" s="6" t="s">
        <v>15</v>
      </c>
      <c r="F84" s="6" t="s">
        <v>2481</v>
      </c>
      <c r="G84" s="6" t="s">
        <v>2482</v>
      </c>
      <c r="H84" s="6" t="str">
        <f t="shared" si="4"/>
        <v>att_celllines</v>
      </c>
      <c r="I84" s="6" t="s">
        <v>579</v>
      </c>
      <c r="J84" s="6" t="str">
        <f t="shared" si="5"/>
        <v>att_celllines:rxf393</v>
      </c>
      <c r="K84" s="11" t="s">
        <v>19</v>
      </c>
      <c r="L84" s="6" t="s">
        <v>441</v>
      </c>
      <c r="M84" s="6" t="s">
        <v>2483</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581</v>
      </c>
      <c r="D85" s="6" t="s">
        <v>582</v>
      </c>
      <c r="E85" s="6" t="s">
        <v>15</v>
      </c>
      <c r="F85" s="6" t="s">
        <v>2481</v>
      </c>
      <c r="G85" s="6" t="s">
        <v>2482</v>
      </c>
      <c r="H85" s="6" t="str">
        <f t="shared" si="4"/>
        <v>att_celllines</v>
      </c>
      <c r="I85" s="6" t="s">
        <v>581</v>
      </c>
      <c r="J85" s="6" t="str">
        <f t="shared" si="5"/>
        <v>att_celllines:sf268</v>
      </c>
      <c r="K85" s="11" t="s">
        <v>19</v>
      </c>
      <c r="L85" s="6" t="s">
        <v>583</v>
      </c>
      <c r="M85" s="6" t="s">
        <v>2483</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584</v>
      </c>
      <c r="D86" s="6" t="s">
        <v>585</v>
      </c>
      <c r="E86" s="6" t="s">
        <v>15</v>
      </c>
      <c r="F86" s="6" t="s">
        <v>2481</v>
      </c>
      <c r="G86" s="6" t="s">
        <v>2482</v>
      </c>
      <c r="H86" s="6" t="str">
        <f t="shared" si="4"/>
        <v>att_celllines</v>
      </c>
      <c r="I86" s="6" t="s">
        <v>584</v>
      </c>
      <c r="J86" s="6" t="str">
        <f t="shared" si="5"/>
        <v>att_celllines:sf295</v>
      </c>
      <c r="K86" s="11" t="s">
        <v>19</v>
      </c>
      <c r="L86" s="6" t="s">
        <v>583</v>
      </c>
      <c r="M86" s="6" t="s">
        <v>2483</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586</v>
      </c>
      <c r="D87" s="6" t="s">
        <v>587</v>
      </c>
      <c r="E87" s="6" t="s">
        <v>15</v>
      </c>
      <c r="F87" s="6" t="s">
        <v>2481</v>
      </c>
      <c r="G87" s="6" t="s">
        <v>2482</v>
      </c>
      <c r="H87" s="6" t="str">
        <f t="shared" si="4"/>
        <v>att_celllines</v>
      </c>
      <c r="I87" s="6" t="s">
        <v>586</v>
      </c>
      <c r="J87" s="6" t="str">
        <f t="shared" si="5"/>
        <v>att_celllines:sf539</v>
      </c>
      <c r="K87" s="11" t="s">
        <v>19</v>
      </c>
      <c r="L87" s="6" t="s">
        <v>583</v>
      </c>
      <c r="M87" s="6" t="s">
        <v>2483</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588</v>
      </c>
      <c r="D88" s="6" t="s">
        <v>589</v>
      </c>
      <c r="E88" s="6" t="s">
        <v>15</v>
      </c>
      <c r="F88" s="6" t="s">
        <v>2481</v>
      </c>
      <c r="G88" s="6" t="s">
        <v>2482</v>
      </c>
      <c r="H88" s="6" t="str">
        <f t="shared" si="4"/>
        <v>att_celllines</v>
      </c>
      <c r="I88" s="6" t="s">
        <v>588</v>
      </c>
      <c r="J88" s="6" t="str">
        <f t="shared" si="5"/>
        <v>att_celllines:skmel2</v>
      </c>
      <c r="K88" s="11" t="s">
        <v>19</v>
      </c>
      <c r="L88" s="6" t="s">
        <v>520</v>
      </c>
      <c r="M88" s="6" t="s">
        <v>2483</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590</v>
      </c>
      <c r="D89" s="6" t="s">
        <v>591</v>
      </c>
      <c r="E89" s="6" t="s">
        <v>15</v>
      </c>
      <c r="F89" s="6" t="s">
        <v>2481</v>
      </c>
      <c r="G89" s="6" t="s">
        <v>2482</v>
      </c>
      <c r="H89" s="6" t="str">
        <f t="shared" si="4"/>
        <v>att_celllines</v>
      </c>
      <c r="I89" s="6" t="s">
        <v>590</v>
      </c>
      <c r="J89" s="6" t="str">
        <f t="shared" si="5"/>
        <v>att_celllines:skmel28</v>
      </c>
      <c r="K89" s="11" t="s">
        <v>19</v>
      </c>
      <c r="L89" s="6" t="s">
        <v>520</v>
      </c>
      <c r="M89" s="6" t="s">
        <v>2483</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592</v>
      </c>
      <c r="D90" s="6" t="s">
        <v>593</v>
      </c>
      <c r="E90" s="6" t="s">
        <v>15</v>
      </c>
      <c r="F90" s="6" t="s">
        <v>2481</v>
      </c>
      <c r="G90" s="6" t="s">
        <v>2482</v>
      </c>
      <c r="H90" s="6" t="str">
        <f t="shared" si="4"/>
        <v>att_celllines</v>
      </c>
      <c r="I90" s="6" t="s">
        <v>592</v>
      </c>
      <c r="J90" s="6" t="str">
        <f t="shared" si="5"/>
        <v>att_celllines:skmel5</v>
      </c>
      <c r="K90" s="11" t="s">
        <v>19</v>
      </c>
      <c r="L90" s="6" t="s">
        <v>520</v>
      </c>
      <c r="M90" s="6" t="s">
        <v>2483</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594</v>
      </c>
      <c r="D91" s="6" t="s">
        <v>595</v>
      </c>
      <c r="E91" s="6" t="s">
        <v>15</v>
      </c>
      <c r="F91" s="6" t="s">
        <v>2481</v>
      </c>
      <c r="G91" s="6" t="s">
        <v>2482</v>
      </c>
      <c r="H91" s="6" t="str">
        <f t="shared" si="4"/>
        <v>att_celllines</v>
      </c>
      <c r="I91" s="6" t="s">
        <v>594</v>
      </c>
      <c r="J91" s="6" t="str">
        <f t="shared" si="5"/>
        <v>att_celllines:skov3</v>
      </c>
      <c r="K91" s="11" t="s">
        <v>19</v>
      </c>
      <c r="L91" s="6" t="s">
        <v>500</v>
      </c>
      <c r="M91" s="6" t="s">
        <v>2483</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596</v>
      </c>
      <c r="D92" s="6" t="s">
        <v>597</v>
      </c>
      <c r="E92" s="6" t="s">
        <v>15</v>
      </c>
      <c r="F92" s="6" t="s">
        <v>2481</v>
      </c>
      <c r="G92" s="6" t="s">
        <v>2482</v>
      </c>
      <c r="H92" s="6" t="str">
        <f t="shared" si="4"/>
        <v>att_celllines</v>
      </c>
      <c r="I92" s="6" t="s">
        <v>596</v>
      </c>
      <c r="J92" s="6" t="str">
        <f t="shared" si="5"/>
        <v>att_celllines:sn12c</v>
      </c>
      <c r="K92" s="11" t="s">
        <v>19</v>
      </c>
      <c r="L92" s="6" t="s">
        <v>441</v>
      </c>
      <c r="M92" s="6" t="s">
        <v>2483</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598</v>
      </c>
      <c r="D93" s="6" t="s">
        <v>599</v>
      </c>
      <c r="E93" s="6" t="s">
        <v>15</v>
      </c>
      <c r="F93" s="6" t="s">
        <v>2481</v>
      </c>
      <c r="G93" s="6" t="s">
        <v>2482</v>
      </c>
      <c r="H93" s="6" t="str">
        <f t="shared" si="4"/>
        <v>att_celllines</v>
      </c>
      <c r="I93" s="6" t="s">
        <v>598</v>
      </c>
      <c r="J93" s="6" t="str">
        <f t="shared" si="5"/>
        <v>att_celllines:snb19</v>
      </c>
      <c r="K93" s="11" t="s">
        <v>19</v>
      </c>
      <c r="L93" s="6" t="s">
        <v>583</v>
      </c>
      <c r="M93" s="6" t="s">
        <v>2483</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600</v>
      </c>
      <c r="D94" s="6" t="s">
        <v>601</v>
      </c>
      <c r="E94" s="6" t="s">
        <v>15</v>
      </c>
      <c r="F94" s="6" t="s">
        <v>2481</v>
      </c>
      <c r="G94" s="6" t="s">
        <v>2482</v>
      </c>
      <c r="H94" s="6" t="str">
        <f t="shared" si="4"/>
        <v>att_celllines</v>
      </c>
      <c r="I94" s="6" t="s">
        <v>600</v>
      </c>
      <c r="J94" s="6" t="str">
        <f t="shared" si="5"/>
        <v>att_celllines:snb75</v>
      </c>
      <c r="K94" s="11" t="s">
        <v>19</v>
      </c>
      <c r="L94" s="6" t="s">
        <v>583</v>
      </c>
      <c r="M94" s="6" t="s">
        <v>2483</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602</v>
      </c>
      <c r="D95" s="6" t="s">
        <v>603</v>
      </c>
      <c r="E95" s="6" t="s">
        <v>15</v>
      </c>
      <c r="F95" s="6" t="s">
        <v>2481</v>
      </c>
      <c r="G95" s="6" t="s">
        <v>2482</v>
      </c>
      <c r="H95" s="6" t="str">
        <f t="shared" si="4"/>
        <v>att_celllines</v>
      </c>
      <c r="I95" s="6" t="s">
        <v>602</v>
      </c>
      <c r="J95" s="6" t="str">
        <f t="shared" si="5"/>
        <v>att_celllines:sr</v>
      </c>
      <c r="K95" s="11" t="s">
        <v>19</v>
      </c>
      <c r="L95" s="6" t="s">
        <v>467</v>
      </c>
      <c r="M95" s="6" t="s">
        <v>2483</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604</v>
      </c>
      <c r="D96" s="6" t="s">
        <v>605</v>
      </c>
      <c r="E96" s="6" t="s">
        <v>15</v>
      </c>
      <c r="F96" s="6" t="s">
        <v>2481</v>
      </c>
      <c r="G96" s="6" t="s">
        <v>2482</v>
      </c>
      <c r="H96" s="6" t="str">
        <f t="shared" si="4"/>
        <v>att_celllines</v>
      </c>
      <c r="I96" s="6" t="s">
        <v>604</v>
      </c>
      <c r="J96" s="6" t="str">
        <f t="shared" si="5"/>
        <v>att_celllines:sw620</v>
      </c>
      <c r="K96" s="11" t="s">
        <v>19</v>
      </c>
      <c r="L96" s="6" t="s">
        <v>464</v>
      </c>
      <c r="M96" s="6" t="s">
        <v>2483</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606</v>
      </c>
      <c r="D97" s="6" t="s">
        <v>607</v>
      </c>
      <c r="E97" s="6" t="s">
        <v>15</v>
      </c>
      <c r="F97" s="6" t="s">
        <v>2481</v>
      </c>
      <c r="G97" s="6" t="s">
        <v>2482</v>
      </c>
      <c r="H97" s="6" t="str">
        <f t="shared" si="4"/>
        <v>att_celllines</v>
      </c>
      <c r="I97" s="6" t="s">
        <v>606</v>
      </c>
      <c r="J97" s="6" t="str">
        <f t="shared" si="5"/>
        <v>att_celllines:t47d</v>
      </c>
      <c r="K97" s="11" t="s">
        <v>19</v>
      </c>
      <c r="L97" s="6" t="s">
        <v>456</v>
      </c>
      <c r="M97" s="6" t="s">
        <v>2483</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608</v>
      </c>
      <c r="D98" s="6" t="s">
        <v>609</v>
      </c>
      <c r="E98" s="6" t="s">
        <v>15</v>
      </c>
      <c r="F98" s="6" t="s">
        <v>2481</v>
      </c>
      <c r="G98" s="6" t="s">
        <v>2482</v>
      </c>
      <c r="H98" s="6" t="str">
        <f t="shared" si="4"/>
        <v>att_celllines</v>
      </c>
      <c r="I98" s="6" t="s">
        <v>608</v>
      </c>
      <c r="J98" s="6" t="str">
        <f t="shared" si="5"/>
        <v>att_celllines:thp1</v>
      </c>
      <c r="K98" s="11" t="s">
        <v>19</v>
      </c>
      <c r="L98" s="6" t="s">
        <v>610</v>
      </c>
      <c r="M98" s="6" t="s">
        <v>15</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611</v>
      </c>
      <c r="D99" s="6" t="s">
        <v>612</v>
      </c>
      <c r="E99" s="6" t="s">
        <v>15</v>
      </c>
      <c r="F99" s="6" t="s">
        <v>2481</v>
      </c>
      <c r="G99" s="6" t="s">
        <v>2482</v>
      </c>
      <c r="H99" s="6" t="str">
        <f t="shared" si="4"/>
        <v>att_celllines</v>
      </c>
      <c r="I99" s="6" t="s">
        <v>611</v>
      </c>
      <c r="J99" s="6" t="str">
        <f t="shared" si="5"/>
        <v>att_celllines:tk10</v>
      </c>
      <c r="K99" s="11" t="s">
        <v>19</v>
      </c>
      <c r="L99" s="6" t="s">
        <v>441</v>
      </c>
      <c r="M99" s="6" t="s">
        <v>2483</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613</v>
      </c>
      <c r="D100" s="6" t="s">
        <v>614</v>
      </c>
      <c r="E100" s="6" t="s">
        <v>15</v>
      </c>
      <c r="F100" s="6" t="s">
        <v>2481</v>
      </c>
      <c r="G100" s="6" t="s">
        <v>2482</v>
      </c>
      <c r="H100" s="6" t="str">
        <f t="shared" si="4"/>
        <v>att_celllines</v>
      </c>
      <c r="I100" s="6" t="s">
        <v>613</v>
      </c>
      <c r="J100" s="6" t="str">
        <f t="shared" si="5"/>
        <v>att_celllines:u251</v>
      </c>
      <c r="K100" s="11" t="s">
        <v>19</v>
      </c>
      <c r="L100" s="6" t="s">
        <v>583</v>
      </c>
      <c r="M100" s="6" t="s">
        <v>2483</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615</v>
      </c>
      <c r="D101" s="6" t="s">
        <v>616</v>
      </c>
      <c r="E101" s="6" t="s">
        <v>15</v>
      </c>
      <c r="F101" s="6" t="s">
        <v>2481</v>
      </c>
      <c r="G101" s="6" t="s">
        <v>2482</v>
      </c>
      <c r="H101" s="6" t="str">
        <f t="shared" si="4"/>
        <v>att_celllines</v>
      </c>
      <c r="I101" s="6" t="s">
        <v>615</v>
      </c>
      <c r="J101" s="6" t="str">
        <f t="shared" si="5"/>
        <v>att_celllines:u937</v>
      </c>
      <c r="K101" s="11" t="s">
        <v>19</v>
      </c>
      <c r="L101" s="6" t="s">
        <v>617</v>
      </c>
      <c r="M101" s="6" t="s">
        <v>15</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618</v>
      </c>
      <c r="D102" s="6" t="s">
        <v>619</v>
      </c>
      <c r="E102" s="6" t="s">
        <v>15</v>
      </c>
      <c r="F102" s="6" t="s">
        <v>2481</v>
      </c>
      <c r="G102" s="6" t="s">
        <v>2482</v>
      </c>
      <c r="H102" s="6" t="str">
        <f t="shared" si="4"/>
        <v>att_celllines</v>
      </c>
      <c r="I102" s="6" t="s">
        <v>618</v>
      </c>
      <c r="J102" s="6" t="str">
        <f t="shared" si="5"/>
        <v>att_celllines:uacc257</v>
      </c>
      <c r="K102" s="11" t="s">
        <v>19</v>
      </c>
      <c r="L102" s="6" t="s">
        <v>520</v>
      </c>
      <c r="M102" s="6" t="s">
        <v>2483</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620</v>
      </c>
      <c r="D103" s="6" t="s">
        <v>621</v>
      </c>
      <c r="E103" s="6" t="s">
        <v>15</v>
      </c>
      <c r="F103" s="6" t="s">
        <v>2481</v>
      </c>
      <c r="G103" s="6" t="s">
        <v>2482</v>
      </c>
      <c r="H103" s="6" t="str">
        <f t="shared" si="4"/>
        <v>att_celllines</v>
      </c>
      <c r="I103" s="6" t="s">
        <v>620</v>
      </c>
      <c r="J103" s="6" t="str">
        <f t="shared" si="5"/>
        <v>att_celllines:uacc62</v>
      </c>
      <c r="K103" s="11" t="s">
        <v>19</v>
      </c>
      <c r="L103" s="6" t="s">
        <v>520</v>
      </c>
      <c r="M103" s="6" t="s">
        <v>2483</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622</v>
      </c>
      <c r="D104" s="6" t="s">
        <v>623</v>
      </c>
      <c r="E104" s="6" t="s">
        <v>15</v>
      </c>
      <c r="F104" s="6" t="s">
        <v>2481</v>
      </c>
      <c r="G104" s="6" t="s">
        <v>2482</v>
      </c>
      <c r="H104" s="6" t="str">
        <f t="shared" si="4"/>
        <v>att_celllines</v>
      </c>
      <c r="I104" s="6" t="s">
        <v>622</v>
      </c>
      <c r="J104" s="6" t="str">
        <f t="shared" si="5"/>
        <v>att_celllines:uo31</v>
      </c>
      <c r="K104" s="11" t="s">
        <v>19</v>
      </c>
      <c r="L104" s="6" t="s">
        <v>441</v>
      </c>
      <c r="M104" s="6" t="s">
        <v>2483</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624</v>
      </c>
      <c r="D105" s="6" t="s">
        <v>625</v>
      </c>
      <c r="E105" s="6" t="s">
        <v>15</v>
      </c>
      <c r="F105" s="6" t="s">
        <v>2481</v>
      </c>
      <c r="G105" s="6" t="s">
        <v>2482</v>
      </c>
      <c r="H105" s="6" t="str">
        <f t="shared" si="4"/>
        <v>att_celllines</v>
      </c>
      <c r="I105" s="6" t="s">
        <v>624</v>
      </c>
      <c r="J105" s="6" t="str">
        <f t="shared" si="5"/>
        <v>att_celllines:z138</v>
      </c>
      <c r="K105" s="11" t="s">
        <v>19</v>
      </c>
      <c r="L105" s="6" t="s">
        <v>506</v>
      </c>
      <c r="M105" s="6" t="s">
        <v>15</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353</v>
      </c>
      <c r="D106" s="6" t="s">
        <v>354</v>
      </c>
      <c r="E106" s="6" t="s">
        <v>15</v>
      </c>
      <c r="F106" s="6" t="s">
        <v>2485</v>
      </c>
      <c r="G106" s="6" t="s">
        <v>2486</v>
      </c>
      <c r="H106" s="6" t="str">
        <f t="shared" si="4"/>
        <v>att_cells</v>
      </c>
      <c r="I106" s="6" t="s">
        <v>352</v>
      </c>
      <c r="J106" s="6" t="str">
        <f t="shared" si="5"/>
        <v>att_cells:adipose_macrophages</v>
      </c>
      <c r="K106" s="11" t="s">
        <v>19</v>
      </c>
      <c r="L106" s="6" t="s">
        <v>355</v>
      </c>
      <c r="M106" s="6" t="s">
        <v>15</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356</v>
      </c>
      <c r="D107" s="6" t="s">
        <v>314</v>
      </c>
      <c r="E107" s="6" t="s">
        <v>15</v>
      </c>
      <c r="F107" s="6" t="s">
        <v>2485</v>
      </c>
      <c r="G107" s="6" t="s">
        <v>2486</v>
      </c>
      <c r="H107" s="6" t="str">
        <f t="shared" si="4"/>
        <v>att_cells</v>
      </c>
      <c r="I107" s="6" t="s">
        <v>356</v>
      </c>
      <c r="J107" s="6" t="str">
        <f t="shared" si="5"/>
        <v>att_cells:astrocytes</v>
      </c>
      <c r="K107" s="11" t="s">
        <v>19</v>
      </c>
      <c r="L107" s="6" t="s">
        <v>314</v>
      </c>
      <c r="M107" s="6" t="s">
        <v>15</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357</v>
      </c>
      <c r="D108" s="6" t="s">
        <v>358</v>
      </c>
      <c r="E108" s="6" t="s">
        <v>15</v>
      </c>
      <c r="F108" s="6" t="s">
        <v>2485</v>
      </c>
      <c r="G108" s="6" t="s">
        <v>2486</v>
      </c>
      <c r="H108" s="6" t="str">
        <f t="shared" si="4"/>
        <v>att_cells</v>
      </c>
      <c r="I108" s="6" t="s">
        <v>357</v>
      </c>
      <c r="J108" s="6" t="str">
        <f t="shared" si="5"/>
        <v>att_cells:basophils</v>
      </c>
      <c r="K108" s="11" t="s">
        <v>19</v>
      </c>
      <c r="L108" s="6" t="s">
        <v>359</v>
      </c>
      <c r="M108" s="6" t="s">
        <v>15</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360</v>
      </c>
      <c r="D109" s="6" t="s">
        <v>361</v>
      </c>
      <c r="E109" s="6" t="s">
        <v>15</v>
      </c>
      <c r="F109" s="6" t="s">
        <v>2485</v>
      </c>
      <c r="G109" s="6" t="s">
        <v>2486</v>
      </c>
      <c r="H109" s="6" t="str">
        <f t="shared" si="4"/>
        <v>att_cells</v>
      </c>
      <c r="I109" s="6" t="s">
        <v>360</v>
      </c>
      <c r="J109" s="6" t="str">
        <f t="shared" si="5"/>
        <v>att_cells:bcells</v>
      </c>
      <c r="K109" s="11" t="s">
        <v>19</v>
      </c>
      <c r="L109" s="6" t="s">
        <v>361</v>
      </c>
      <c r="M109" s="6" t="s">
        <v>15</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362</v>
      </c>
      <c r="D110" s="6" t="s">
        <v>363</v>
      </c>
      <c r="E110" s="6" t="s">
        <v>15</v>
      </c>
      <c r="F110" s="6" t="s">
        <v>2485</v>
      </c>
      <c r="G110" s="6" t="s">
        <v>2486</v>
      </c>
      <c r="H110" s="6" t="str">
        <f t="shared" si="4"/>
        <v>att_cells</v>
      </c>
      <c r="I110" s="6" t="s">
        <v>362</v>
      </c>
      <c r="J110" s="6" t="str">
        <f t="shared" si="5"/>
        <v>att_cells:cytotoxict</v>
      </c>
      <c r="K110" s="11" t="s">
        <v>19</v>
      </c>
      <c r="L110" s="6" t="s">
        <v>364</v>
      </c>
      <c r="M110" s="6" t="s">
        <v>15</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365</v>
      </c>
      <c r="D111" s="6" t="s">
        <v>366</v>
      </c>
      <c r="E111" s="6" t="s">
        <v>15</v>
      </c>
      <c r="F111" s="6" t="s">
        <v>2485</v>
      </c>
      <c r="G111" s="6" t="s">
        <v>2486</v>
      </c>
      <c r="H111" s="6" t="str">
        <f t="shared" si="4"/>
        <v>att_cells</v>
      </c>
      <c r="I111" s="6" t="s">
        <v>365</v>
      </c>
      <c r="J111" s="6" t="str">
        <f t="shared" si="5"/>
        <v>att_cells:endothelial</v>
      </c>
      <c r="K111" s="11" t="s">
        <v>19</v>
      </c>
      <c r="L111" s="6" t="s">
        <v>367</v>
      </c>
      <c r="M111" s="6" t="s">
        <v>15</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368</v>
      </c>
      <c r="D112" s="6" t="s">
        <v>369</v>
      </c>
      <c r="E112" s="6" t="s">
        <v>15</v>
      </c>
      <c r="F112" s="6" t="s">
        <v>2485</v>
      </c>
      <c r="G112" s="6" t="s">
        <v>2486</v>
      </c>
      <c r="H112" s="6" t="str">
        <f t="shared" si="4"/>
        <v>att_cells</v>
      </c>
      <c r="I112" s="6" t="s">
        <v>368</v>
      </c>
      <c r="J112" s="6" t="str">
        <f t="shared" si="5"/>
        <v>att_cells:eosinophils</v>
      </c>
      <c r="K112" s="11" t="s">
        <v>19</v>
      </c>
      <c r="L112" s="6" t="s">
        <v>370</v>
      </c>
      <c r="M112" s="6" t="s">
        <v>15</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371</v>
      </c>
      <c r="D113" s="6" t="s">
        <v>372</v>
      </c>
      <c r="E113" s="6" t="s">
        <v>15</v>
      </c>
      <c r="F113" s="6" t="s">
        <v>2485</v>
      </c>
      <c r="G113" s="6" t="s">
        <v>2486</v>
      </c>
      <c r="H113" s="6" t="str">
        <f t="shared" si="4"/>
        <v>att_cells</v>
      </c>
      <c r="I113" s="6" t="s">
        <v>371</v>
      </c>
      <c r="J113" s="6" t="str">
        <f t="shared" si="5"/>
        <v>att_cells:epithelioid</v>
      </c>
      <c r="K113" s="11" t="s">
        <v>19</v>
      </c>
      <c r="L113" s="6" t="s">
        <v>373</v>
      </c>
      <c r="M113" s="6" t="s">
        <v>15</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374</v>
      </c>
      <c r="D114" s="6" t="s">
        <v>375</v>
      </c>
      <c r="E114" s="6" t="s">
        <v>15</v>
      </c>
      <c r="F114" s="6" t="s">
        <v>2485</v>
      </c>
      <c r="G114" s="6" t="s">
        <v>2486</v>
      </c>
      <c r="H114" s="6" t="str">
        <f t="shared" si="4"/>
        <v>att_cells</v>
      </c>
      <c r="I114" s="6" t="s">
        <v>374</v>
      </c>
      <c r="J114" s="6" t="str">
        <f t="shared" si="5"/>
        <v>att_cells:erythrocytes</v>
      </c>
      <c r="K114" s="11" t="s">
        <v>19</v>
      </c>
      <c r="L114" s="6" t="s">
        <v>376</v>
      </c>
      <c r="M114" s="6" t="s">
        <v>15</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377</v>
      </c>
      <c r="D115" s="6" t="s">
        <v>378</v>
      </c>
      <c r="E115" s="6" t="s">
        <v>15</v>
      </c>
      <c r="F115" s="6" t="s">
        <v>2485</v>
      </c>
      <c r="G115" s="6" t="s">
        <v>2486</v>
      </c>
      <c r="H115" s="6" t="str">
        <f t="shared" si="4"/>
        <v>att_cells</v>
      </c>
      <c r="I115" s="6" t="s">
        <v>377</v>
      </c>
      <c r="J115" s="6" t="str">
        <f t="shared" si="5"/>
        <v>att_cells:gammadeltat</v>
      </c>
      <c r="K115" s="11" t="s">
        <v>19</v>
      </c>
      <c r="L115" s="6" t="s">
        <v>379</v>
      </c>
      <c r="M115" s="6" t="s">
        <v>15</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380</v>
      </c>
      <c r="D116" s="6" t="s">
        <v>381</v>
      </c>
      <c r="E116" s="6" t="s">
        <v>15</v>
      </c>
      <c r="F116" s="6" t="s">
        <v>2485</v>
      </c>
      <c r="G116" s="6" t="s">
        <v>2486</v>
      </c>
      <c r="H116" s="6" t="str">
        <f t="shared" si="4"/>
        <v>att_cells</v>
      </c>
      <c r="I116" s="6" t="s">
        <v>380</v>
      </c>
      <c r="J116" s="6" t="str">
        <f t="shared" si="5"/>
        <v>att_cells:hofbauer</v>
      </c>
      <c r="K116" s="11" t="s">
        <v>19</v>
      </c>
      <c r="L116" s="6" t="s">
        <v>382</v>
      </c>
      <c r="M116" s="6" t="s">
        <v>15</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383</v>
      </c>
      <c r="D117" s="6" t="s">
        <v>384</v>
      </c>
      <c r="E117" s="6" t="s">
        <v>15</v>
      </c>
      <c r="F117" s="6" t="s">
        <v>2485</v>
      </c>
      <c r="G117" s="6" t="s">
        <v>2486</v>
      </c>
      <c r="H117" s="6" t="str">
        <f t="shared" si="4"/>
        <v>att_cells</v>
      </c>
      <c r="I117" s="6" t="s">
        <v>383</v>
      </c>
      <c r="J117" s="6" t="str">
        <f t="shared" si="5"/>
        <v>att_cells:keratinocytes</v>
      </c>
      <c r="K117" s="11" t="s">
        <v>19</v>
      </c>
      <c r="L117" s="6" t="s">
        <v>385</v>
      </c>
      <c r="M117" s="6" t="s">
        <v>15</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386</v>
      </c>
      <c r="D118" s="6" t="s">
        <v>387</v>
      </c>
      <c r="E118" s="6" t="s">
        <v>15</v>
      </c>
      <c r="F118" s="6" t="s">
        <v>2485</v>
      </c>
      <c r="G118" s="6" t="s">
        <v>2486</v>
      </c>
      <c r="H118" s="6" t="str">
        <f t="shared" si="4"/>
        <v>att_cells</v>
      </c>
      <c r="I118" s="6" t="s">
        <v>386</v>
      </c>
      <c r="J118" s="6" t="str">
        <f t="shared" si="5"/>
        <v>att_cells:kupffer</v>
      </c>
      <c r="K118" s="11" t="s">
        <v>19</v>
      </c>
      <c r="L118" s="6" t="s">
        <v>388</v>
      </c>
      <c r="M118" s="6" t="s">
        <v>15</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389</v>
      </c>
      <c r="D119" s="6" t="s">
        <v>390</v>
      </c>
      <c r="E119" s="6" t="s">
        <v>15</v>
      </c>
      <c r="F119" s="6" t="s">
        <v>2485</v>
      </c>
      <c r="G119" s="6" t="s">
        <v>2486</v>
      </c>
      <c r="H119" s="6" t="str">
        <f t="shared" si="4"/>
        <v>att_cells</v>
      </c>
      <c r="I119" s="6" t="s">
        <v>389</v>
      </c>
      <c r="J119" s="6" t="str">
        <f t="shared" si="5"/>
        <v>att_cells:langerhans</v>
      </c>
      <c r="K119" s="11" t="s">
        <v>19</v>
      </c>
      <c r="L119" s="6" t="s">
        <v>391</v>
      </c>
      <c r="M119" s="6" t="s">
        <v>15</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392</v>
      </c>
      <c r="D120" s="6" t="s">
        <v>393</v>
      </c>
      <c r="E120" s="6" t="s">
        <v>15</v>
      </c>
      <c r="F120" s="6" t="s">
        <v>2485</v>
      </c>
      <c r="G120" s="6" t="s">
        <v>2486</v>
      </c>
      <c r="H120" s="6" t="str">
        <f t="shared" si="4"/>
        <v>att_cells</v>
      </c>
      <c r="I120" s="6" t="s">
        <v>392</v>
      </c>
      <c r="J120" s="6" t="str">
        <f t="shared" si="5"/>
        <v>att_cells:leukocytes</v>
      </c>
      <c r="K120" s="11" t="s">
        <v>19</v>
      </c>
      <c r="L120" s="6" t="s">
        <v>394</v>
      </c>
      <c r="M120" s="6" t="s">
        <v>15</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395</v>
      </c>
      <c r="D121" s="6" t="s">
        <v>396</v>
      </c>
      <c r="E121" s="6" t="s">
        <v>15</v>
      </c>
      <c r="F121" s="6" t="s">
        <v>2485</v>
      </c>
      <c r="G121" s="6" t="s">
        <v>2486</v>
      </c>
      <c r="H121" s="6" t="str">
        <f t="shared" si="4"/>
        <v>att_cells</v>
      </c>
      <c r="I121" s="6" t="s">
        <v>395</v>
      </c>
      <c r="J121" s="6" t="str">
        <f t="shared" si="5"/>
        <v>att_cells:lymphocytes</v>
      </c>
      <c r="K121" s="11" t="s">
        <v>19</v>
      </c>
      <c r="L121" s="6" t="s">
        <v>397</v>
      </c>
      <c r="M121" s="6" t="s">
        <v>15</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398</v>
      </c>
      <c r="D122" s="6" t="s">
        <v>399</v>
      </c>
      <c r="E122" s="6" t="s">
        <v>15</v>
      </c>
      <c r="F122" s="6" t="s">
        <v>2485</v>
      </c>
      <c r="G122" s="6" t="s">
        <v>2486</v>
      </c>
      <c r="H122" s="6" t="str">
        <f t="shared" si="4"/>
        <v>att_cells</v>
      </c>
      <c r="I122" s="6" t="s">
        <v>398</v>
      </c>
      <c r="J122" s="6" t="str">
        <f t="shared" si="5"/>
        <v>att_cells:macrophage</v>
      </c>
      <c r="K122" s="11" t="s">
        <v>19</v>
      </c>
      <c r="L122" s="6" t="s">
        <v>399</v>
      </c>
      <c r="M122" s="6" t="s">
        <v>15</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400</v>
      </c>
      <c r="D123" s="6" t="s">
        <v>401</v>
      </c>
      <c r="E123" s="6" t="s">
        <v>15</v>
      </c>
      <c r="F123" s="6" t="s">
        <v>2485</v>
      </c>
      <c r="G123" s="6" t="s">
        <v>2486</v>
      </c>
      <c r="H123" s="6" t="str">
        <f t="shared" si="4"/>
        <v>att_cells</v>
      </c>
      <c r="I123" s="6" t="s">
        <v>400</v>
      </c>
      <c r="J123" s="6" t="str">
        <f t="shared" si="5"/>
        <v>att_cells:microglia</v>
      </c>
      <c r="K123" s="11" t="s">
        <v>19</v>
      </c>
      <c r="L123" s="6" t="s">
        <v>402</v>
      </c>
      <c r="M123" s="6" t="s">
        <v>15</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403</v>
      </c>
      <c r="D124" s="6" t="s">
        <v>404</v>
      </c>
      <c r="E124" s="6" t="s">
        <v>15</v>
      </c>
      <c r="F124" s="6" t="s">
        <v>2485</v>
      </c>
      <c r="G124" s="6" t="s">
        <v>2486</v>
      </c>
      <c r="H124" s="6" t="str">
        <f t="shared" si="4"/>
        <v>att_cells</v>
      </c>
      <c r="I124" s="6" t="s">
        <v>403</v>
      </c>
      <c r="J124" s="6" t="str">
        <f t="shared" si="5"/>
        <v>att_cells:monoblast</v>
      </c>
      <c r="K124" s="11" t="s">
        <v>19</v>
      </c>
      <c r="L124" s="6" t="s">
        <v>404</v>
      </c>
      <c r="M124" s="6" t="s">
        <v>15</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405</v>
      </c>
      <c r="D125" s="6" t="s">
        <v>323</v>
      </c>
      <c r="E125" s="6" t="s">
        <v>15</v>
      </c>
      <c r="F125" s="6" t="s">
        <v>2485</v>
      </c>
      <c r="G125" s="6" t="s">
        <v>2486</v>
      </c>
      <c r="H125" s="6" t="str">
        <f t="shared" si="4"/>
        <v>att_cells</v>
      </c>
      <c r="I125" s="6" t="s">
        <v>405</v>
      </c>
      <c r="J125" s="6" t="str">
        <f t="shared" si="5"/>
        <v>att_cells:monocytes</v>
      </c>
      <c r="K125" s="11" t="s">
        <v>19</v>
      </c>
      <c r="L125" s="6" t="s">
        <v>406</v>
      </c>
      <c r="M125" s="6" t="s">
        <v>15</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407</v>
      </c>
      <c r="D126" s="6" t="s">
        <v>408</v>
      </c>
      <c r="E126" s="6" t="s">
        <v>15</v>
      </c>
      <c r="F126" s="6" t="s">
        <v>2485</v>
      </c>
      <c r="G126" s="6" t="s">
        <v>2486</v>
      </c>
      <c r="H126" s="6" t="str">
        <f t="shared" si="4"/>
        <v>att_cells</v>
      </c>
      <c r="I126" s="6" t="s">
        <v>407</v>
      </c>
      <c r="J126" s="6" t="str">
        <f t="shared" si="5"/>
        <v>att_cells:neutrophils</v>
      </c>
      <c r="K126" s="11" t="s">
        <v>19</v>
      </c>
      <c r="L126" s="6" t="s">
        <v>409</v>
      </c>
      <c r="M126" s="6" t="s">
        <v>15</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410</v>
      </c>
      <c r="D127" s="6" t="s">
        <v>411</v>
      </c>
      <c r="E127" s="6" t="s">
        <v>15</v>
      </c>
      <c r="F127" s="6" t="s">
        <v>2485</v>
      </c>
      <c r="G127" s="6" t="s">
        <v>2486</v>
      </c>
      <c r="H127" s="6" t="str">
        <f t="shared" si="4"/>
        <v>att_cells</v>
      </c>
      <c r="I127" s="6" t="s">
        <v>410</v>
      </c>
      <c r="J127" s="6" t="str">
        <f t="shared" si="5"/>
        <v>att_cells:nk</v>
      </c>
      <c r="K127" s="11" t="s">
        <v>19</v>
      </c>
      <c r="L127" s="6" t="s">
        <v>412</v>
      </c>
      <c r="M127" s="6" t="s">
        <v>15</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413</v>
      </c>
      <c r="D128" s="6" t="s">
        <v>414</v>
      </c>
      <c r="E128" s="6" t="s">
        <v>15</v>
      </c>
      <c r="F128" s="6" t="s">
        <v>2485</v>
      </c>
      <c r="G128" s="6" t="s">
        <v>2486</v>
      </c>
      <c r="H128" s="6" t="str">
        <f t="shared" si="4"/>
        <v>att_cells</v>
      </c>
      <c r="I128" s="6" t="s">
        <v>413</v>
      </c>
      <c r="J128" s="6" t="str">
        <f t="shared" si="5"/>
        <v>att_cells:osteoblast</v>
      </c>
      <c r="K128" s="11" t="s">
        <v>19</v>
      </c>
      <c r="L128" s="6" t="s">
        <v>415</v>
      </c>
      <c r="M128" s="6" t="s">
        <v>15</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416</v>
      </c>
      <c r="D129" s="6" t="s">
        <v>417</v>
      </c>
      <c r="E129" s="6" t="s">
        <v>15</v>
      </c>
      <c r="F129" s="6" t="s">
        <v>2485</v>
      </c>
      <c r="G129" s="6" t="s">
        <v>2486</v>
      </c>
      <c r="H129" s="6" t="str">
        <f t="shared" si="4"/>
        <v>att_cells</v>
      </c>
      <c r="I129" s="6" t="s">
        <v>416</v>
      </c>
      <c r="J129" s="6" t="str">
        <f t="shared" si="5"/>
        <v>att_cells:osteoclast</v>
      </c>
      <c r="K129" s="11" t="s">
        <v>19</v>
      </c>
      <c r="L129" s="6" t="s">
        <v>418</v>
      </c>
      <c r="M129" s="6" t="s">
        <v>15</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419</v>
      </c>
      <c r="D130" s="6" t="s">
        <v>420</v>
      </c>
      <c r="E130" s="6" t="s">
        <v>15</v>
      </c>
      <c r="F130" s="6" t="s">
        <v>2485</v>
      </c>
      <c r="G130" s="6" t="s">
        <v>2486</v>
      </c>
      <c r="H130" s="6" t="str">
        <f t="shared" ref="H130:H193" si="8">"att_"&amp;G130</f>
        <v>att_cells</v>
      </c>
      <c r="I130" s="6" t="s">
        <v>419</v>
      </c>
      <c r="J130" s="6" t="str">
        <f t="shared" ref="J130:J193" si="9">H130&amp;":"&amp;I130</f>
        <v>att_cells:osteocytes</v>
      </c>
      <c r="K130" s="11" t="s">
        <v>19</v>
      </c>
      <c r="L130" s="6" t="s">
        <v>421</v>
      </c>
      <c r="M130" s="6" t="s">
        <v>15</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422</v>
      </c>
      <c r="D131" s="6" t="s">
        <v>423</v>
      </c>
      <c r="E131" s="6" t="s">
        <v>15</v>
      </c>
      <c r="F131" s="6" t="s">
        <v>2485</v>
      </c>
      <c r="G131" s="6" t="s">
        <v>2486</v>
      </c>
      <c r="H131" s="6" t="str">
        <f t="shared" si="8"/>
        <v>att_cells</v>
      </c>
      <c r="I131" s="6" t="s">
        <v>422</v>
      </c>
      <c r="J131" s="6" t="str">
        <f t="shared" si="9"/>
        <v>att_cells:osteogenic</v>
      </c>
      <c r="K131" s="11" t="s">
        <v>19</v>
      </c>
      <c r="L131" s="6" t="s">
        <v>424</v>
      </c>
      <c r="M131" s="6" t="s">
        <v>15</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425</v>
      </c>
      <c r="D132" s="6" t="s">
        <v>426</v>
      </c>
      <c r="E132" s="6" t="s">
        <v>15</v>
      </c>
      <c r="F132" s="6" t="s">
        <v>2485</v>
      </c>
      <c r="G132" s="6" t="s">
        <v>2486</v>
      </c>
      <c r="H132" s="6" t="str">
        <f t="shared" si="8"/>
        <v>att_cells</v>
      </c>
      <c r="I132" s="6" t="s">
        <v>425</v>
      </c>
      <c r="J132" s="6" t="str">
        <f t="shared" si="9"/>
        <v>att_cells:regt</v>
      </c>
      <c r="K132" s="11" t="s">
        <v>19</v>
      </c>
      <c r="L132" s="6" t="s">
        <v>427</v>
      </c>
      <c r="M132" s="6" t="s">
        <v>15</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428</v>
      </c>
      <c r="D133" s="6" t="s">
        <v>429</v>
      </c>
      <c r="E133" s="6" t="s">
        <v>15</v>
      </c>
      <c r="F133" s="6" t="s">
        <v>2485</v>
      </c>
      <c r="G133" s="6" t="s">
        <v>2486</v>
      </c>
      <c r="H133" s="6" t="str">
        <f t="shared" si="8"/>
        <v>att_cells</v>
      </c>
      <c r="I133" s="6" t="s">
        <v>428</v>
      </c>
      <c r="J133" s="6" t="str">
        <f t="shared" si="9"/>
        <v>att_cells:stemcells</v>
      </c>
      <c r="K133" s="11" t="s">
        <v>19</v>
      </c>
      <c r="L133" s="6" t="s">
        <v>430</v>
      </c>
      <c r="M133" s="6" t="s">
        <v>15</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431</v>
      </c>
      <c r="D134" s="6" t="s">
        <v>432</v>
      </c>
      <c r="E134" s="6" t="s">
        <v>15</v>
      </c>
      <c r="F134" s="6" t="s">
        <v>2485</v>
      </c>
      <c r="G134" s="6" t="s">
        <v>2486</v>
      </c>
      <c r="H134" s="6" t="str">
        <f t="shared" si="8"/>
        <v>att_cells</v>
      </c>
      <c r="I134" s="6" t="s">
        <v>431</v>
      </c>
      <c r="J134" s="6" t="str">
        <f t="shared" si="9"/>
        <v>att_cells:tcells</v>
      </c>
      <c r="K134" s="11" t="s">
        <v>19</v>
      </c>
      <c r="L134" s="6" t="s">
        <v>432</v>
      </c>
      <c r="M134" s="6" t="s">
        <v>15</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433</v>
      </c>
      <c r="D135" s="6" t="s">
        <v>434</v>
      </c>
      <c r="E135" s="6" t="s">
        <v>15</v>
      </c>
      <c r="F135" s="6" t="s">
        <v>2485</v>
      </c>
      <c r="G135" s="6" t="s">
        <v>2486</v>
      </c>
      <c r="H135" s="6" t="str">
        <f t="shared" si="8"/>
        <v>att_cells</v>
      </c>
      <c r="I135" s="6" t="s">
        <v>433</v>
      </c>
      <c r="J135" s="6" t="str">
        <f t="shared" si="9"/>
        <v>att_cells:thelper</v>
      </c>
      <c r="K135" s="11" t="s">
        <v>19</v>
      </c>
      <c r="L135" s="6" t="s">
        <v>435</v>
      </c>
      <c r="M135" s="6" t="s">
        <v>15</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436</v>
      </c>
      <c r="D136" s="6" t="s">
        <v>437</v>
      </c>
      <c r="E136" s="6" t="s">
        <v>15</v>
      </c>
      <c r="F136" s="6" t="s">
        <v>2485</v>
      </c>
      <c r="G136" s="6" t="s">
        <v>2486</v>
      </c>
      <c r="H136" s="6" t="str">
        <f t="shared" si="8"/>
        <v>att_cells</v>
      </c>
      <c r="I136" s="6" t="s">
        <v>436</v>
      </c>
      <c r="J136" s="6" t="str">
        <f t="shared" si="9"/>
        <v>att_cells:thrombocytes</v>
      </c>
      <c r="K136" s="11" t="s">
        <v>19</v>
      </c>
      <c r="L136" s="6" t="s">
        <v>438</v>
      </c>
      <c r="M136" s="6" t="s">
        <v>15</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669</v>
      </c>
      <c r="D137" s="6" t="s">
        <v>670</v>
      </c>
      <c r="E137" s="6" t="s">
        <v>15</v>
      </c>
      <c r="F137" s="6" t="s">
        <v>2487</v>
      </c>
      <c r="G137" s="6" t="s">
        <v>2488</v>
      </c>
      <c r="H137" s="6" t="str">
        <f t="shared" si="8"/>
        <v>att_compound</v>
      </c>
      <c r="I137" s="6" t="s">
        <v>669</v>
      </c>
      <c r="J137" s="6" t="str">
        <f t="shared" si="9"/>
        <v>att_compound:anisomycin</v>
      </c>
      <c r="K137" s="11" t="s">
        <v>19</v>
      </c>
      <c r="L137" s="6" t="s">
        <v>670</v>
      </c>
      <c r="M137" s="6" t="s">
        <v>15</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674</v>
      </c>
      <c r="D138" s="6" t="s">
        <v>675</v>
      </c>
      <c r="E138" s="6" t="s">
        <v>15</v>
      </c>
      <c r="F138" s="6" t="s">
        <v>2487</v>
      </c>
      <c r="G138" s="6" t="s">
        <v>2488</v>
      </c>
      <c r="H138" s="6" t="str">
        <f t="shared" si="8"/>
        <v>att_compound</v>
      </c>
      <c r="I138" s="6" t="s">
        <v>674</v>
      </c>
      <c r="J138" s="6" t="str">
        <f t="shared" si="9"/>
        <v>att_compound:atp</v>
      </c>
      <c r="K138" s="11" t="s">
        <v>19</v>
      </c>
      <c r="L138" s="6" t="s">
        <v>676</v>
      </c>
      <c r="M138" s="6" t="s">
        <v>15</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677</v>
      </c>
      <c r="D139" s="6" t="s">
        <v>677</v>
      </c>
      <c r="E139" s="6" t="s">
        <v>15</v>
      </c>
      <c r="F139" s="6" t="s">
        <v>2487</v>
      </c>
      <c r="G139" s="6" t="s">
        <v>2488</v>
      </c>
      <c r="H139" s="6" t="str">
        <f t="shared" si="8"/>
        <v>att_compound</v>
      </c>
      <c r="I139" s="6" t="s">
        <v>677</v>
      </c>
      <c r="J139" s="6" t="str">
        <f t="shared" si="9"/>
        <v>att_compound:berzosertib</v>
      </c>
      <c r="K139" s="11" t="s">
        <v>19</v>
      </c>
      <c r="L139" s="6" t="s">
        <v>678</v>
      </c>
      <c r="M139" s="6" t="s">
        <v>15</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679</v>
      </c>
      <c r="D140" s="6" t="s">
        <v>679</v>
      </c>
      <c r="E140" s="6" t="s">
        <v>15</v>
      </c>
      <c r="F140" s="6" t="s">
        <v>2487</v>
      </c>
      <c r="G140" s="6" t="s">
        <v>2488</v>
      </c>
      <c r="H140" s="6" t="str">
        <f t="shared" si="8"/>
        <v>att_compound</v>
      </c>
      <c r="I140" s="6" t="s">
        <v>679</v>
      </c>
      <c r="J140" s="6" t="str">
        <f t="shared" si="9"/>
        <v>att_compound:bortezomib</v>
      </c>
      <c r="K140" s="11" t="s">
        <v>19</v>
      </c>
      <c r="L140" s="6" t="s">
        <v>680</v>
      </c>
      <c r="M140" s="6" t="s">
        <v>15</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2489</v>
      </c>
      <c r="D141" s="14" t="s">
        <v>2490</v>
      </c>
      <c r="E141" s="14" t="s">
        <v>15</v>
      </c>
      <c r="F141" s="14" t="s">
        <v>2487</v>
      </c>
      <c r="G141" s="14" t="s">
        <v>2488</v>
      </c>
      <c r="H141" s="14" t="str">
        <f t="shared" si="8"/>
        <v>att_compound</v>
      </c>
      <c r="I141" s="14" t="s">
        <v>2489</v>
      </c>
      <c r="J141" s="14" t="str">
        <f t="shared" si="9"/>
        <v>att_compound:cgas</v>
      </c>
      <c r="K141" s="15" t="s">
        <v>19</v>
      </c>
      <c r="L141" s="14" t="s">
        <v>2490</v>
      </c>
      <c r="M141" s="14" t="s">
        <v>15</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684</v>
      </c>
      <c r="D142" s="6" t="s">
        <v>684</v>
      </c>
      <c r="E142" s="6" t="s">
        <v>15</v>
      </c>
      <c r="F142" s="6" t="s">
        <v>2487</v>
      </c>
      <c r="G142" s="6" t="s">
        <v>2488</v>
      </c>
      <c r="H142" s="6" t="str">
        <f t="shared" si="8"/>
        <v>att_compound</v>
      </c>
      <c r="I142" s="6" t="s">
        <v>684</v>
      </c>
      <c r="J142" s="6" t="str">
        <f t="shared" si="9"/>
        <v>att_compound:cycloheximide</v>
      </c>
      <c r="K142" s="11" t="s">
        <v>19</v>
      </c>
      <c r="L142" s="6" t="s">
        <v>685</v>
      </c>
      <c r="M142" s="6" t="s">
        <v>15</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2491</v>
      </c>
      <c r="D143" s="6" t="s">
        <v>2492</v>
      </c>
      <c r="E143" s="6" t="s">
        <v>15</v>
      </c>
      <c r="F143" s="6" t="s">
        <v>2487</v>
      </c>
      <c r="G143" s="6" t="s">
        <v>2488</v>
      </c>
      <c r="H143" s="6" t="str">
        <f t="shared" si="8"/>
        <v>att_compound</v>
      </c>
      <c r="I143" s="6" t="s">
        <v>2491</v>
      </c>
      <c r="J143" s="6" t="str">
        <f t="shared" si="9"/>
        <v>att_compound:diabzi</v>
      </c>
      <c r="K143" s="11" t="s">
        <v>19</v>
      </c>
      <c r="L143" s="6" t="s">
        <v>2492</v>
      </c>
      <c r="M143" s="6" t="s">
        <v>15</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686</v>
      </c>
      <c r="D144" s="6" t="s">
        <v>687</v>
      </c>
      <c r="E144" s="6" t="s">
        <v>15</v>
      </c>
      <c r="F144" s="6" t="s">
        <v>2487</v>
      </c>
      <c r="G144" s="6" t="s">
        <v>2488</v>
      </c>
      <c r="H144" s="6" t="str">
        <f t="shared" si="8"/>
        <v>att_compound</v>
      </c>
      <c r="I144" s="6" t="s">
        <v>686</v>
      </c>
      <c r="J144" s="6" t="str">
        <f t="shared" si="9"/>
        <v>att_compound:dmso</v>
      </c>
      <c r="K144" s="11" t="s">
        <v>19</v>
      </c>
      <c r="L144" s="6" t="s">
        <v>2493</v>
      </c>
      <c r="M144" s="6" t="s">
        <v>15</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689</v>
      </c>
      <c r="D145" s="6" t="s">
        <v>689</v>
      </c>
      <c r="E145" s="6" t="s">
        <v>15</v>
      </c>
      <c r="F145" s="6" t="s">
        <v>2487</v>
      </c>
      <c r="G145" s="6" t="s">
        <v>2488</v>
      </c>
      <c r="H145" s="6" t="str">
        <f t="shared" si="8"/>
        <v>att_compound</v>
      </c>
      <c r="I145" s="6" t="s">
        <v>689</v>
      </c>
      <c r="J145" s="6" t="str">
        <f t="shared" si="9"/>
        <v>att_compound:doxorubicin</v>
      </c>
      <c r="K145" s="11" t="s">
        <v>19</v>
      </c>
      <c r="L145" s="6" t="s">
        <v>690</v>
      </c>
      <c r="M145" s="6" t="s">
        <v>15</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692</v>
      </c>
      <c r="D146" s="6" t="s">
        <v>692</v>
      </c>
      <c r="E146" s="6" t="s">
        <v>15</v>
      </c>
      <c r="F146" s="6" t="s">
        <v>2487</v>
      </c>
      <c r="G146" s="6" t="s">
        <v>2488</v>
      </c>
      <c r="H146" s="6" t="str">
        <f t="shared" si="8"/>
        <v>att_compound</v>
      </c>
      <c r="I146" s="6" t="s">
        <v>692</v>
      </c>
      <c r="J146" s="6" t="str">
        <f t="shared" si="9"/>
        <v>att_compound:doxycycline</v>
      </c>
      <c r="K146" s="11" t="s">
        <v>19</v>
      </c>
      <c r="L146" s="6" t="s">
        <v>693</v>
      </c>
      <c r="M146" s="6" t="s">
        <v>15</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695</v>
      </c>
      <c r="D147" s="6" t="s">
        <v>695</v>
      </c>
      <c r="E147" s="6" t="s">
        <v>15</v>
      </c>
      <c r="F147" s="6" t="s">
        <v>2487</v>
      </c>
      <c r="G147" s="6" t="s">
        <v>2488</v>
      </c>
      <c r="H147" s="6" t="str">
        <f t="shared" si="8"/>
        <v>att_compound</v>
      </c>
      <c r="I147" s="6" t="s">
        <v>695</v>
      </c>
      <c r="J147" s="6" t="str">
        <f t="shared" si="9"/>
        <v>att_compound:etoposide</v>
      </c>
      <c r="K147" s="11" t="s">
        <v>19</v>
      </c>
      <c r="L147" s="6" t="s">
        <v>695</v>
      </c>
      <c r="M147" s="6" t="s">
        <v>15</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2494</v>
      </c>
      <c r="D148" s="6" t="s">
        <v>2494</v>
      </c>
      <c r="E148" s="6" t="s">
        <v>15</v>
      </c>
      <c r="F148" s="6" t="s">
        <v>2487</v>
      </c>
      <c r="G148" s="6" t="s">
        <v>2488</v>
      </c>
      <c r="H148" s="6" t="str">
        <f t="shared" si="8"/>
        <v>att_compound</v>
      </c>
      <c r="I148" s="6" t="s">
        <v>2494</v>
      </c>
      <c r="J148" s="6" t="str">
        <f t="shared" si="9"/>
        <v>att_compound:lactimidomycin</v>
      </c>
      <c r="K148" s="11" t="s">
        <v>19</v>
      </c>
      <c r="L148" s="6" t="s">
        <v>2495</v>
      </c>
      <c r="M148" s="6" t="s">
        <v>15</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2496</v>
      </c>
      <c r="D149" s="6" t="s">
        <v>2497</v>
      </c>
      <c r="E149" s="6" t="s">
        <v>15</v>
      </c>
      <c r="F149" s="6" t="s">
        <v>2487</v>
      </c>
      <c r="G149" s="6" t="s">
        <v>2488</v>
      </c>
      <c r="H149" s="6" t="str">
        <f t="shared" si="8"/>
        <v>att_compound</v>
      </c>
      <c r="I149" s="6" t="s">
        <v>2496</v>
      </c>
      <c r="J149" s="6" t="str">
        <f t="shared" si="9"/>
        <v>att_compound:lps</v>
      </c>
      <c r="K149" s="11" t="s">
        <v>19</v>
      </c>
      <c r="L149" s="6" t="s">
        <v>2498</v>
      </c>
      <c r="M149" s="6" t="s">
        <v>15</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2499</v>
      </c>
      <c r="D150" s="6" t="s">
        <v>2500</v>
      </c>
      <c r="E150" s="6" t="s">
        <v>15</v>
      </c>
      <c r="F150" s="6" t="s">
        <v>2487</v>
      </c>
      <c r="G150" s="6" t="s">
        <v>2488</v>
      </c>
      <c r="H150" s="6" t="str">
        <f t="shared" si="8"/>
        <v>att_compound</v>
      </c>
      <c r="I150" s="6" t="s">
        <v>2499</v>
      </c>
      <c r="J150" s="6" t="str">
        <f t="shared" si="9"/>
        <v>att_compound:niap</v>
      </c>
      <c r="K150" s="11" t="s">
        <v>19</v>
      </c>
      <c r="L150" s="6" t="s">
        <v>2500</v>
      </c>
      <c r="M150" s="6" t="s">
        <v>15</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2501</v>
      </c>
      <c r="D151" s="6" t="s">
        <v>2502</v>
      </c>
      <c r="E151" s="6" t="s">
        <v>15</v>
      </c>
      <c r="F151" s="6" t="s">
        <v>2487</v>
      </c>
      <c r="G151" s="6" t="s">
        <v>2488</v>
      </c>
      <c r="H151" s="6" t="str">
        <f t="shared" si="8"/>
        <v>att_compound</v>
      </c>
      <c r="I151" s="6" t="s">
        <v>2501</v>
      </c>
      <c r="J151" s="6" t="str">
        <f t="shared" si="9"/>
        <v>att_compound:pam</v>
      </c>
      <c r="K151" s="11" t="s">
        <v>19</v>
      </c>
      <c r="L151" s="6" t="s">
        <v>2503</v>
      </c>
      <c r="M151" s="6" t="s">
        <v>15</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2504</v>
      </c>
      <c r="D152" s="6" t="s">
        <v>2505</v>
      </c>
      <c r="E152" s="6" t="s">
        <v>15</v>
      </c>
      <c r="F152" s="6" t="s">
        <v>2487</v>
      </c>
      <c r="G152" s="6" t="s">
        <v>2488</v>
      </c>
      <c r="H152" s="6" t="str">
        <f t="shared" si="8"/>
        <v>att_compound</v>
      </c>
      <c r="I152" s="6" t="s">
        <v>2504</v>
      </c>
      <c r="J152" s="6" t="str">
        <f t="shared" si="9"/>
        <v>att_compound:r837</v>
      </c>
      <c r="K152" s="11" t="s">
        <v>19</v>
      </c>
      <c r="L152" s="6" t="s">
        <v>2506</v>
      </c>
      <c r="M152" s="6" t="s">
        <v>15</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2507</v>
      </c>
      <c r="D153" s="6" t="s">
        <v>2508</v>
      </c>
      <c r="E153" s="6" t="s">
        <v>15</v>
      </c>
      <c r="F153" s="6" t="s">
        <v>2487</v>
      </c>
      <c r="G153" s="6" t="s">
        <v>2488</v>
      </c>
      <c r="H153" s="6" t="str">
        <f t="shared" si="8"/>
        <v>att_compound</v>
      </c>
      <c r="I153" s="6" t="s">
        <v>2507</v>
      </c>
      <c r="J153" s="6" t="str">
        <f t="shared" si="9"/>
        <v>att_compound:r848</v>
      </c>
      <c r="K153" s="11" t="s">
        <v>19</v>
      </c>
      <c r="L153" s="6" t="s">
        <v>2509</v>
      </c>
      <c r="M153" s="6" t="s">
        <v>15</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716</v>
      </c>
      <c r="D154" s="6" t="s">
        <v>716</v>
      </c>
      <c r="E154" s="6" t="s">
        <v>15</v>
      </c>
      <c r="F154" s="6" t="s">
        <v>2487</v>
      </c>
      <c r="G154" s="6" t="s">
        <v>2488</v>
      </c>
      <c r="H154" s="6" t="str">
        <f t="shared" si="8"/>
        <v>att_compound</v>
      </c>
      <c r="I154" s="6" t="s">
        <v>716</v>
      </c>
      <c r="J154" s="6" t="str">
        <f t="shared" si="9"/>
        <v>att_compound:tamoxifen</v>
      </c>
      <c r="K154" s="11" t="s">
        <v>19</v>
      </c>
      <c r="L154" s="6" t="s">
        <v>717</v>
      </c>
      <c r="M154" s="6" t="s">
        <v>15</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721</v>
      </c>
      <c r="D155" s="6" t="s">
        <v>721</v>
      </c>
      <c r="E155" s="6" t="s">
        <v>15</v>
      </c>
      <c r="F155" s="6" t="s">
        <v>2487</v>
      </c>
      <c r="G155" s="6" t="s">
        <v>2488</v>
      </c>
      <c r="H155" s="6" t="str">
        <f t="shared" si="8"/>
        <v>att_compound</v>
      </c>
      <c r="I155" s="6" t="s">
        <v>721</v>
      </c>
      <c r="J155" s="6" t="str">
        <f t="shared" si="9"/>
        <v>att_compound:trametinib</v>
      </c>
      <c r="K155" s="11" t="s">
        <v>19</v>
      </c>
      <c r="L155" s="6" t="s">
        <v>722</v>
      </c>
      <c r="M155" s="6" t="s">
        <v>15</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723</v>
      </c>
      <c r="D156" s="6" t="s">
        <v>724</v>
      </c>
      <c r="E156" s="6" t="s">
        <v>15</v>
      </c>
      <c r="F156" s="6" t="s">
        <v>2487</v>
      </c>
      <c r="G156" s="6" t="s">
        <v>2488</v>
      </c>
      <c r="H156" s="6" t="str">
        <f t="shared" si="8"/>
        <v>att_compound</v>
      </c>
      <c r="I156" s="6" t="s">
        <v>723</v>
      </c>
      <c r="J156" s="6" t="str">
        <f t="shared" si="9"/>
        <v>att_compound:unstimulated</v>
      </c>
      <c r="K156" s="11" t="s">
        <v>19</v>
      </c>
      <c r="L156" s="6" t="s">
        <v>725</v>
      </c>
      <c r="M156" s="6" t="s">
        <v>15</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726</v>
      </c>
      <c r="D157" s="6" t="s">
        <v>726</v>
      </c>
      <c r="E157" s="6" t="s">
        <v>15</v>
      </c>
      <c r="F157" s="6" t="s">
        <v>2510</v>
      </c>
      <c r="G157" s="6" t="s">
        <v>2511</v>
      </c>
      <c r="H157" s="6" t="str">
        <f t="shared" si="8"/>
        <v>att_context</v>
      </c>
      <c r="I157" s="6" t="s">
        <v>726</v>
      </c>
      <c r="J157" s="6" t="str">
        <f t="shared" si="9"/>
        <v>att_context:microenvironment</v>
      </c>
      <c r="K157" s="11" t="s">
        <v>19</v>
      </c>
      <c r="L157" s="6" t="s">
        <v>726</v>
      </c>
      <c r="M157" s="6" t="s">
        <v>15</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19</v>
      </c>
      <c r="B158" s="11"/>
      <c r="C158" s="6" t="s">
        <v>936</v>
      </c>
      <c r="D158" s="6" t="s">
        <v>935</v>
      </c>
      <c r="E158" s="6" t="s">
        <v>15</v>
      </c>
      <c r="F158" s="6" t="s">
        <v>2512</v>
      </c>
      <c r="G158" s="6" t="s">
        <v>2513</v>
      </c>
      <c r="H158" s="6" t="str">
        <f t="shared" si="8"/>
        <v>att_dataset</v>
      </c>
      <c r="I158" s="6" t="s">
        <v>936</v>
      </c>
      <c r="J158" s="6" t="str">
        <f t="shared" si="9"/>
        <v>att_dataset:database search</v>
      </c>
      <c r="K158" s="11" t="s">
        <v>19</v>
      </c>
      <c r="L158" s="6" t="s">
        <v>936</v>
      </c>
      <c r="M158" s="6" t="s">
        <v>15</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19</v>
      </c>
      <c r="B159" s="11"/>
      <c r="C159" s="6" t="s">
        <v>938</v>
      </c>
      <c r="D159" s="6" t="s">
        <v>938</v>
      </c>
      <c r="E159" s="6" t="s">
        <v>15</v>
      </c>
      <c r="F159" s="6" t="s">
        <v>2512</v>
      </c>
      <c r="G159" s="6" t="s">
        <v>2513</v>
      </c>
      <c r="H159" s="6" t="str">
        <f t="shared" si="8"/>
        <v>att_dataset</v>
      </c>
      <c r="I159" s="6" t="s">
        <v>938</v>
      </c>
      <c r="J159" s="6" t="str">
        <f t="shared" si="9"/>
        <v>att_dataset:de novo</v>
      </c>
      <c r="K159" s="11" t="s">
        <v>19</v>
      </c>
      <c r="L159" s="6" t="s">
        <v>938</v>
      </c>
      <c r="M159" s="6" t="s">
        <v>15</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1008</v>
      </c>
      <c r="D160" s="6" t="s">
        <v>1009</v>
      </c>
      <c r="E160" s="6" t="s">
        <v>15</v>
      </c>
      <c r="F160" s="6" t="s">
        <v>86</v>
      </c>
      <c r="G160" s="6" t="s">
        <v>2514</v>
      </c>
      <c r="H160" s="6" t="str">
        <f t="shared" si="8"/>
        <v>att_disease</v>
      </c>
      <c r="I160" s="6" t="s">
        <v>1008</v>
      </c>
      <c r="J160" s="6" t="str">
        <f t="shared" si="9"/>
        <v>att_disease:als</v>
      </c>
      <c r="K160" s="11" t="s">
        <v>19</v>
      </c>
      <c r="L160" s="6" t="s">
        <v>1010</v>
      </c>
      <c r="M160" s="6" t="s">
        <v>15</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1011</v>
      </c>
      <c r="D161" s="6" t="s">
        <v>1012</v>
      </c>
      <c r="E161" s="6" t="s">
        <v>15</v>
      </c>
      <c r="F161" s="6" t="s">
        <v>86</v>
      </c>
      <c r="G161" s="6" t="s">
        <v>2514</v>
      </c>
      <c r="H161" s="6" t="str">
        <f t="shared" si="8"/>
        <v>att_disease</v>
      </c>
      <c r="I161" s="6" t="s">
        <v>1011</v>
      </c>
      <c r="J161" s="6" t="str">
        <f t="shared" si="9"/>
        <v>att_disease:alzheimer</v>
      </c>
      <c r="K161" s="11" t="s">
        <v>19</v>
      </c>
      <c r="L161" s="6" t="s">
        <v>1013</v>
      </c>
      <c r="M161" s="6" t="s">
        <v>15</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1014</v>
      </c>
      <c r="D162" s="6" t="s">
        <v>1015</v>
      </c>
      <c r="E162" s="6" t="s">
        <v>15</v>
      </c>
      <c r="F162" s="6" t="s">
        <v>86</v>
      </c>
      <c r="G162" s="6" t="s">
        <v>2514</v>
      </c>
      <c r="H162" s="6" t="str">
        <f t="shared" si="8"/>
        <v>att_disease</v>
      </c>
      <c r="I162" s="6" t="s">
        <v>1014</v>
      </c>
      <c r="J162" s="6" t="str">
        <f t="shared" si="9"/>
        <v>att_disease:autoimmune</v>
      </c>
      <c r="K162" s="11" t="s">
        <v>19</v>
      </c>
      <c r="L162" s="6" t="s">
        <v>1016</v>
      </c>
      <c r="M162" s="6" t="s">
        <v>15</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1017</v>
      </c>
      <c r="D163" s="6" t="s">
        <v>1018</v>
      </c>
      <c r="E163" s="6" t="s">
        <v>15</v>
      </c>
      <c r="F163" s="6" t="s">
        <v>86</v>
      </c>
      <c r="G163" s="6" t="s">
        <v>2514</v>
      </c>
      <c r="H163" s="6" t="str">
        <f t="shared" si="8"/>
        <v>att_disease</v>
      </c>
      <c r="I163" s="6" t="s">
        <v>1017</v>
      </c>
      <c r="J163" s="6" t="str">
        <f t="shared" si="9"/>
        <v>att_disease:cancer</v>
      </c>
      <c r="K163" s="11" t="s">
        <v>19</v>
      </c>
      <c r="L163" s="6" t="s">
        <v>1019</v>
      </c>
      <c r="M163" s="6" t="s">
        <v>15</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1021</v>
      </c>
      <c r="D164" s="6" t="s">
        <v>1022</v>
      </c>
      <c r="E164" s="6" t="s">
        <v>15</v>
      </c>
      <c r="F164" s="6" t="s">
        <v>86</v>
      </c>
      <c r="G164" s="6" t="s">
        <v>2514</v>
      </c>
      <c r="H164" s="6" t="str">
        <f t="shared" si="8"/>
        <v>att_disease</v>
      </c>
      <c r="I164" s="6" t="s">
        <v>1020</v>
      </c>
      <c r="J164" s="6" t="str">
        <f t="shared" si="9"/>
        <v>att_disease:cardiovascular_diseases</v>
      </c>
      <c r="K164" s="11" t="s">
        <v>19</v>
      </c>
      <c r="L164" s="6" t="s">
        <v>1023</v>
      </c>
      <c r="M164" s="6" t="s">
        <v>15</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1024</v>
      </c>
      <c r="D165" s="6" t="s">
        <v>1026</v>
      </c>
      <c r="E165" s="6" t="s">
        <v>15</v>
      </c>
      <c r="F165" s="6" t="s">
        <v>86</v>
      </c>
      <c r="G165" s="6" t="s">
        <v>2514</v>
      </c>
      <c r="H165" s="6" t="str">
        <f t="shared" si="8"/>
        <v>att_disease</v>
      </c>
      <c r="I165" s="6" t="s">
        <v>1024</v>
      </c>
      <c r="J165" s="6" t="str">
        <f t="shared" si="9"/>
        <v>att_disease:chronic_inflammation</v>
      </c>
      <c r="K165" s="11" t="s">
        <v>19</v>
      </c>
      <c r="L165" s="6" t="s">
        <v>1027</v>
      </c>
      <c r="M165" s="6" t="s">
        <v>15</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1028</v>
      </c>
      <c r="D166" s="6" t="s">
        <v>1029</v>
      </c>
      <c r="E166" s="6" t="s">
        <v>15</v>
      </c>
      <c r="F166" s="6" t="s">
        <v>86</v>
      </c>
      <c r="G166" s="6" t="s">
        <v>2514</v>
      </c>
      <c r="H166" s="6" t="str">
        <f t="shared" si="8"/>
        <v>att_disease</v>
      </c>
      <c r="I166" s="6" t="s">
        <v>1028</v>
      </c>
      <c r="J166" s="6" t="str">
        <f t="shared" si="9"/>
        <v>att_disease:coeliac</v>
      </c>
      <c r="K166" s="11" t="s">
        <v>19</v>
      </c>
      <c r="L166" s="6" t="s">
        <v>1030</v>
      </c>
      <c r="M166" s="6" t="s">
        <v>15</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1031</v>
      </c>
      <c r="D167" s="6" t="s">
        <v>1032</v>
      </c>
      <c r="E167" s="6" t="s">
        <v>15</v>
      </c>
      <c r="F167" s="6" t="s">
        <v>86</v>
      </c>
      <c r="G167" s="6" t="s">
        <v>2514</v>
      </c>
      <c r="H167" s="6" t="str">
        <f t="shared" si="8"/>
        <v>att_disease</v>
      </c>
      <c r="I167" s="6" t="s">
        <v>1031</v>
      </c>
      <c r="J167" s="6" t="str">
        <f t="shared" si="9"/>
        <v>att_disease:covid19</v>
      </c>
      <c r="K167" s="11" t="s">
        <v>19</v>
      </c>
      <c r="L167" s="6" t="s">
        <v>1033</v>
      </c>
      <c r="M167" s="6" t="s">
        <v>15</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1034</v>
      </c>
      <c r="D168" s="6" t="s">
        <v>1035</v>
      </c>
      <c r="E168" s="6" t="s">
        <v>15</v>
      </c>
      <c r="F168" s="6" t="s">
        <v>86</v>
      </c>
      <c r="G168" s="6" t="s">
        <v>2514</v>
      </c>
      <c r="H168" s="6" t="str">
        <f t="shared" si="8"/>
        <v>att_disease</v>
      </c>
      <c r="I168" s="6" t="s">
        <v>1034</v>
      </c>
      <c r="J168" s="6" t="str">
        <f t="shared" si="9"/>
        <v>att_disease:dementia</v>
      </c>
      <c r="K168" s="11" t="s">
        <v>19</v>
      </c>
      <c r="L168" s="6" t="s">
        <v>1035</v>
      </c>
      <c r="M168" s="6" t="s">
        <v>15</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1036</v>
      </c>
      <c r="D169" s="6" t="s">
        <v>1037</v>
      </c>
      <c r="E169" s="6" t="s">
        <v>15</v>
      </c>
      <c r="F169" s="6" t="s">
        <v>86</v>
      </c>
      <c r="G169" s="6" t="s">
        <v>2514</v>
      </c>
      <c r="H169" s="6" t="str">
        <f t="shared" si="8"/>
        <v>att_disease</v>
      </c>
      <c r="I169" s="6" t="s">
        <v>1036</v>
      </c>
      <c r="J169" s="6" t="str">
        <f t="shared" si="9"/>
        <v>att_disease:demyelinating</v>
      </c>
      <c r="K169" s="11" t="s">
        <v>19</v>
      </c>
      <c r="L169" s="6" t="s">
        <v>1038</v>
      </c>
      <c r="M169" s="6" t="s">
        <v>15</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1039</v>
      </c>
      <c r="D170" s="6" t="s">
        <v>1040</v>
      </c>
      <c r="E170" s="6" t="s">
        <v>15</v>
      </c>
      <c r="F170" s="6" t="s">
        <v>86</v>
      </c>
      <c r="G170" s="6" t="s">
        <v>2514</v>
      </c>
      <c r="H170" s="6" t="str">
        <f t="shared" si="8"/>
        <v>att_disease</v>
      </c>
      <c r="I170" s="6" t="s">
        <v>1039</v>
      </c>
      <c r="J170" s="6" t="str">
        <f t="shared" si="9"/>
        <v>att_disease:diabetes</v>
      </c>
      <c r="K170" s="11" t="s">
        <v>19</v>
      </c>
      <c r="L170" s="6" t="s">
        <v>1040</v>
      </c>
      <c r="M170" s="6" t="s">
        <v>15</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1041</v>
      </c>
      <c r="D171" s="6" t="s">
        <v>1042</v>
      </c>
      <c r="E171" s="6" t="s">
        <v>15</v>
      </c>
      <c r="F171" s="6" t="s">
        <v>86</v>
      </c>
      <c r="G171" s="6" t="s">
        <v>2514</v>
      </c>
      <c r="H171" s="6" t="str">
        <f t="shared" si="8"/>
        <v>att_disease</v>
      </c>
      <c r="I171" s="6" t="s">
        <v>1041</v>
      </c>
      <c r="J171" s="6" t="str">
        <f t="shared" si="9"/>
        <v>att_disease:glioblastoma</v>
      </c>
      <c r="K171" s="11" t="s">
        <v>19</v>
      </c>
      <c r="L171" s="6" t="s">
        <v>1043</v>
      </c>
      <c r="M171" s="6" t="s">
        <v>15</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1044</v>
      </c>
      <c r="D172" s="6" t="s">
        <v>1045</v>
      </c>
      <c r="E172" s="6" t="s">
        <v>15</v>
      </c>
      <c r="F172" s="6" t="s">
        <v>86</v>
      </c>
      <c r="G172" s="6" t="s">
        <v>2514</v>
      </c>
      <c r="H172" s="6" t="str">
        <f t="shared" si="8"/>
        <v>att_disease</v>
      </c>
      <c r="I172" s="6" t="s">
        <v>1044</v>
      </c>
      <c r="J172" s="6" t="str">
        <f t="shared" si="9"/>
        <v>att_disease:hiv</v>
      </c>
      <c r="K172" s="11" t="s">
        <v>19</v>
      </c>
      <c r="L172" s="6" t="s">
        <v>1046</v>
      </c>
      <c r="M172" s="6" t="s">
        <v>15</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1047</v>
      </c>
      <c r="D173" s="6" t="s">
        <v>1048</v>
      </c>
      <c r="E173" s="6" t="s">
        <v>15</v>
      </c>
      <c r="F173" s="6" t="s">
        <v>86</v>
      </c>
      <c r="G173" s="6" t="s">
        <v>2514</v>
      </c>
      <c r="H173" s="6" t="str">
        <f t="shared" si="8"/>
        <v>att_disease</v>
      </c>
      <c r="I173" s="6" t="s">
        <v>1047</v>
      </c>
      <c r="J173" s="6" t="str">
        <f t="shared" si="9"/>
        <v>att_disease:huntington</v>
      </c>
      <c r="K173" s="11" t="s">
        <v>19</v>
      </c>
      <c r="L173" s="6" t="s">
        <v>1049</v>
      </c>
      <c r="M173" s="6" t="s">
        <v>15</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1050</v>
      </c>
      <c r="D174" s="6" t="s">
        <v>1051</v>
      </c>
      <c r="E174" s="6" t="s">
        <v>15</v>
      </c>
      <c r="F174" s="6" t="s">
        <v>86</v>
      </c>
      <c r="G174" s="6" t="s">
        <v>2514</v>
      </c>
      <c r="H174" s="6" t="str">
        <f t="shared" si="8"/>
        <v>att_disease</v>
      </c>
      <c r="I174" s="6" t="s">
        <v>1050</v>
      </c>
      <c r="J174" s="6" t="str">
        <f t="shared" si="9"/>
        <v>att_disease:ibd</v>
      </c>
      <c r="K174" s="11" t="s">
        <v>19</v>
      </c>
      <c r="L174" s="6" t="s">
        <v>1052</v>
      </c>
      <c r="M174" s="6" t="s">
        <v>15</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1053</v>
      </c>
      <c r="D175" s="6" t="s">
        <v>1054</v>
      </c>
      <c r="E175" s="6" t="s">
        <v>15</v>
      </c>
      <c r="F175" s="6" t="s">
        <v>86</v>
      </c>
      <c r="G175" s="6" t="s">
        <v>2514</v>
      </c>
      <c r="H175" s="6" t="str">
        <f t="shared" si="8"/>
        <v>att_disease</v>
      </c>
      <c r="I175" s="6" t="s">
        <v>1053</v>
      </c>
      <c r="J175" s="6" t="str">
        <f t="shared" si="9"/>
        <v>att_disease:infection</v>
      </c>
      <c r="K175" s="11" t="s">
        <v>19</v>
      </c>
      <c r="L175" s="6" t="s">
        <v>1055</v>
      </c>
      <c r="M175" s="6" t="s">
        <v>15</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1056</v>
      </c>
      <c r="D176" s="6" t="s">
        <v>1057</v>
      </c>
      <c r="E176" s="6" t="s">
        <v>15</v>
      </c>
      <c r="F176" s="6" t="s">
        <v>86</v>
      </c>
      <c r="G176" s="6" t="s">
        <v>2514</v>
      </c>
      <c r="H176" s="6" t="str">
        <f t="shared" si="8"/>
        <v>att_disease</v>
      </c>
      <c r="I176" s="6" t="s">
        <v>1056</v>
      </c>
      <c r="J176" s="6" t="str">
        <f t="shared" si="9"/>
        <v>att_disease:influenza</v>
      </c>
      <c r="K176" s="11" t="s">
        <v>19</v>
      </c>
      <c r="L176" s="6" t="s">
        <v>1058</v>
      </c>
      <c r="M176" s="6" t="s">
        <v>15</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1059</v>
      </c>
      <c r="D177" s="6" t="s">
        <v>572</v>
      </c>
      <c r="E177" s="6" t="s">
        <v>15</v>
      </c>
      <c r="F177" s="6" t="s">
        <v>86</v>
      </c>
      <c r="G177" s="6" t="s">
        <v>2514</v>
      </c>
      <c r="H177" s="6" t="str">
        <f t="shared" si="8"/>
        <v>att_disease</v>
      </c>
      <c r="I177" s="6" t="s">
        <v>1059</v>
      </c>
      <c r="J177" s="6" t="str">
        <f t="shared" si="9"/>
        <v>att_disease:leukemia</v>
      </c>
      <c r="K177" s="11" t="s">
        <v>19</v>
      </c>
      <c r="L177" s="6" t="s">
        <v>1060</v>
      </c>
      <c r="M177" s="6" t="s">
        <v>15</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1061</v>
      </c>
      <c r="D178" s="6" t="s">
        <v>1062</v>
      </c>
      <c r="E178" s="6" t="s">
        <v>15</v>
      </c>
      <c r="F178" s="6" t="s">
        <v>86</v>
      </c>
      <c r="G178" s="6" t="s">
        <v>2514</v>
      </c>
      <c r="H178" s="6" t="str">
        <f t="shared" si="8"/>
        <v>att_disease</v>
      </c>
      <c r="I178" s="6" t="s">
        <v>1061</v>
      </c>
      <c r="J178" s="6" t="str">
        <f t="shared" si="9"/>
        <v>att_disease:lymphoma</v>
      </c>
      <c r="K178" s="11" t="s">
        <v>19</v>
      </c>
      <c r="L178" s="6" t="s">
        <v>1063</v>
      </c>
      <c r="M178" s="6" t="s">
        <v>15</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1064</v>
      </c>
      <c r="D179" s="6" t="s">
        <v>1065</v>
      </c>
      <c r="E179" s="6" t="s">
        <v>15</v>
      </c>
      <c r="F179" s="6" t="s">
        <v>86</v>
      </c>
      <c r="G179" s="6" t="s">
        <v>2514</v>
      </c>
      <c r="H179" s="6" t="str">
        <f t="shared" si="8"/>
        <v>att_disease</v>
      </c>
      <c r="I179" s="6" t="s">
        <v>1064</v>
      </c>
      <c r="J179" s="6" t="str">
        <f t="shared" si="9"/>
        <v>att_disease:malaria</v>
      </c>
      <c r="K179" s="11" t="s">
        <v>19</v>
      </c>
      <c r="L179" s="6" t="s">
        <v>1066</v>
      </c>
      <c r="M179" s="6" t="s">
        <v>15</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23</v>
      </c>
      <c r="D180" s="6" t="s">
        <v>1067</v>
      </c>
      <c r="E180" s="6" t="s">
        <v>15</v>
      </c>
      <c r="F180" s="6" t="s">
        <v>86</v>
      </c>
      <c r="G180" s="6" t="s">
        <v>2514</v>
      </c>
      <c r="H180" s="6" t="str">
        <f t="shared" si="8"/>
        <v>att_disease</v>
      </c>
      <c r="I180" s="6" t="s">
        <v>23</v>
      </c>
      <c r="J180" s="6" t="str">
        <f t="shared" si="9"/>
        <v>att_disease:ms</v>
      </c>
      <c r="K180" s="11" t="s">
        <v>19</v>
      </c>
      <c r="L180" s="6" t="s">
        <v>1068</v>
      </c>
      <c r="M180" s="6" t="s">
        <v>15</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1069</v>
      </c>
      <c r="D181" s="6" t="s">
        <v>1070</v>
      </c>
      <c r="E181" s="6" t="s">
        <v>15</v>
      </c>
      <c r="F181" s="6" t="s">
        <v>86</v>
      </c>
      <c r="G181" s="6" t="s">
        <v>2514</v>
      </c>
      <c r="H181" s="6" t="str">
        <f t="shared" si="8"/>
        <v>att_disease</v>
      </c>
      <c r="I181" s="6" t="s">
        <v>1069</v>
      </c>
      <c r="J181" s="6" t="str">
        <f t="shared" si="9"/>
        <v>att_disease:msa</v>
      </c>
      <c r="K181" s="11" t="s">
        <v>19</v>
      </c>
      <c r="L181" s="6" t="s">
        <v>1071</v>
      </c>
      <c r="M181" s="6" t="s">
        <v>15</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1072</v>
      </c>
      <c r="D182" s="6" t="s">
        <v>1073</v>
      </c>
      <c r="E182" s="6" t="s">
        <v>15</v>
      </c>
      <c r="F182" s="6" t="s">
        <v>86</v>
      </c>
      <c r="G182" s="6" t="s">
        <v>2514</v>
      </c>
      <c r="H182" s="6" t="str">
        <f t="shared" si="8"/>
        <v>att_disease</v>
      </c>
      <c r="I182" s="6" t="s">
        <v>1072</v>
      </c>
      <c r="J182" s="6" t="str">
        <f t="shared" si="9"/>
        <v>att_disease:neurodegenerative</v>
      </c>
      <c r="K182" s="11" t="s">
        <v>19</v>
      </c>
      <c r="L182" s="6" t="s">
        <v>1074</v>
      </c>
      <c r="M182" s="6" t="s">
        <v>15</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1075</v>
      </c>
      <c r="D183" s="6" t="s">
        <v>1076</v>
      </c>
      <c r="E183" s="6" t="s">
        <v>15</v>
      </c>
      <c r="F183" s="6" t="s">
        <v>86</v>
      </c>
      <c r="G183" s="6" t="s">
        <v>2514</v>
      </c>
      <c r="H183" s="6" t="str">
        <f t="shared" si="8"/>
        <v>att_disease</v>
      </c>
      <c r="I183" s="6" t="s">
        <v>1075</v>
      </c>
      <c r="J183" s="6" t="str">
        <f t="shared" si="9"/>
        <v>att_disease:parkinson</v>
      </c>
      <c r="K183" s="11" t="s">
        <v>19</v>
      </c>
      <c r="L183" s="6" t="s">
        <v>1077</v>
      </c>
      <c r="M183" s="6" t="s">
        <v>15</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1078</v>
      </c>
      <c r="D184" s="6" t="s">
        <v>1079</v>
      </c>
      <c r="E184" s="6" t="s">
        <v>15</v>
      </c>
      <c r="F184" s="6" t="s">
        <v>86</v>
      </c>
      <c r="G184" s="6" t="s">
        <v>2514</v>
      </c>
      <c r="H184" s="6" t="str">
        <f t="shared" si="8"/>
        <v>att_disease</v>
      </c>
      <c r="I184" s="6" t="s">
        <v>1078</v>
      </c>
      <c r="J184" s="6" t="str">
        <f t="shared" si="9"/>
        <v>att_disease:prion</v>
      </c>
      <c r="K184" s="11" t="s">
        <v>19</v>
      </c>
      <c r="L184" s="6" t="s">
        <v>1080</v>
      </c>
      <c r="M184" s="6" t="s">
        <v>15</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1081</v>
      </c>
      <c r="D185" s="6" t="s">
        <v>1082</v>
      </c>
      <c r="E185" s="6" t="s">
        <v>15</v>
      </c>
      <c r="F185" s="6" t="s">
        <v>86</v>
      </c>
      <c r="G185" s="6" t="s">
        <v>2514</v>
      </c>
      <c r="H185" s="6" t="str">
        <f t="shared" si="8"/>
        <v>att_disease</v>
      </c>
      <c r="I185" s="6" t="s">
        <v>1081</v>
      </c>
      <c r="J185" s="6" t="str">
        <f t="shared" si="9"/>
        <v>att_disease:rheumatoid</v>
      </c>
      <c r="K185" s="11" t="s">
        <v>19</v>
      </c>
      <c r="L185" s="6" t="s">
        <v>1083</v>
      </c>
      <c r="M185" s="6" t="s">
        <v>15</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1084</v>
      </c>
      <c r="D186" s="6" t="s">
        <v>1085</v>
      </c>
      <c r="E186" s="6" t="s">
        <v>15</v>
      </c>
      <c r="F186" s="6" t="s">
        <v>86</v>
      </c>
      <c r="G186" s="6" t="s">
        <v>2514</v>
      </c>
      <c r="H186" s="6" t="str">
        <f t="shared" si="8"/>
        <v>att_disease</v>
      </c>
      <c r="I186" s="6" t="s">
        <v>1084</v>
      </c>
      <c r="J186" s="6" t="str">
        <f t="shared" si="9"/>
        <v>att_disease:stress</v>
      </c>
      <c r="K186" s="11" t="s">
        <v>19</v>
      </c>
      <c r="L186" s="6" t="s">
        <v>1086</v>
      </c>
      <c r="M186" s="6" t="s">
        <v>15</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1087</v>
      </c>
      <c r="D187" s="6" t="s">
        <v>1088</v>
      </c>
      <c r="E187" s="6" t="s">
        <v>15</v>
      </c>
      <c r="F187" s="6" t="s">
        <v>86</v>
      </c>
      <c r="G187" s="6" t="s">
        <v>2514</v>
      </c>
      <c r="H187" s="6" t="str">
        <f t="shared" si="8"/>
        <v>att_disease</v>
      </c>
      <c r="I187" s="6" t="s">
        <v>1087</v>
      </c>
      <c r="J187" s="6" t="str">
        <f t="shared" si="9"/>
        <v>att_disease:stroke</v>
      </c>
      <c r="K187" s="11" t="s">
        <v>19</v>
      </c>
      <c r="L187" s="6" t="s">
        <v>1089</v>
      </c>
      <c r="M187" s="6" t="s">
        <v>15</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1090</v>
      </c>
      <c r="D188" s="6" t="s">
        <v>1091</v>
      </c>
      <c r="E188" s="6" t="s">
        <v>15</v>
      </c>
      <c r="F188" s="6" t="s">
        <v>86</v>
      </c>
      <c r="G188" s="6" t="s">
        <v>2514</v>
      </c>
      <c r="H188" s="6" t="str">
        <f t="shared" si="8"/>
        <v>att_disease</v>
      </c>
      <c r="I188" s="6" t="s">
        <v>1090</v>
      </c>
      <c r="J188" s="6" t="str">
        <f t="shared" si="9"/>
        <v>att_disease:tuberculosis</v>
      </c>
      <c r="K188" s="11" t="s">
        <v>19</v>
      </c>
      <c r="L188" s="6" t="s">
        <v>1092</v>
      </c>
      <c r="M188" s="6" t="s">
        <v>15</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19</v>
      </c>
      <c r="B189" s="11"/>
      <c r="C189" s="6" t="s">
        <v>1099</v>
      </c>
      <c r="D189" s="6" t="s">
        <v>1100</v>
      </c>
      <c r="E189" s="6" t="s">
        <v>15</v>
      </c>
      <c r="F189" s="6" t="s">
        <v>90</v>
      </c>
      <c r="G189" s="6" t="s">
        <v>2515</v>
      </c>
      <c r="H189" s="6" t="str">
        <f t="shared" si="8"/>
        <v>att_experiment</v>
      </c>
      <c r="I189" s="6" t="s">
        <v>1099</v>
      </c>
      <c r="J189" s="6" t="str">
        <f t="shared" si="9"/>
        <v>att_experiment:acetylome</v>
      </c>
      <c r="K189" s="11" t="s">
        <v>19</v>
      </c>
      <c r="L189" s="6" t="s">
        <v>1100</v>
      </c>
      <c r="M189" s="6" t="s">
        <v>15</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19</v>
      </c>
      <c r="B190" s="11"/>
      <c r="C190" s="6" t="s">
        <v>1101</v>
      </c>
      <c r="D190" s="6" t="s">
        <v>1102</v>
      </c>
      <c r="E190" s="6" t="s">
        <v>15</v>
      </c>
      <c r="F190" s="6" t="s">
        <v>90</v>
      </c>
      <c r="G190" s="6" t="s">
        <v>2515</v>
      </c>
      <c r="H190" s="6" t="str">
        <f t="shared" si="8"/>
        <v>att_experiment</v>
      </c>
      <c r="I190" s="6" t="s">
        <v>1101</v>
      </c>
      <c r="J190" s="6" t="str">
        <f t="shared" si="9"/>
        <v>att_experiment:dvp</v>
      </c>
      <c r="K190" s="11" t="s">
        <v>19</v>
      </c>
      <c r="L190" s="6" t="s">
        <v>1103</v>
      </c>
      <c r="M190" s="6" t="s">
        <v>15</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19</v>
      </c>
      <c r="B191" s="11"/>
      <c r="C191" s="6" t="s">
        <v>1104</v>
      </c>
      <c r="D191" s="6" t="s">
        <v>1106</v>
      </c>
      <c r="E191" s="6" t="s">
        <v>15</v>
      </c>
      <c r="F191" s="6" t="s">
        <v>90</v>
      </c>
      <c r="G191" s="6" t="s">
        <v>2515</v>
      </c>
      <c r="H191" s="6" t="str">
        <f t="shared" si="8"/>
        <v>att_experiment</v>
      </c>
      <c r="I191" s="6" t="s">
        <v>1104</v>
      </c>
      <c r="J191" s="6" t="str">
        <f t="shared" si="9"/>
        <v>att_experiment:expression_proteome</v>
      </c>
      <c r="K191" s="11" t="s">
        <v>19</v>
      </c>
      <c r="L191" s="6" t="s">
        <v>1106</v>
      </c>
      <c r="M191" s="6" t="s">
        <v>15</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19</v>
      </c>
      <c r="B192" s="11"/>
      <c r="C192" s="6" t="s">
        <v>1107</v>
      </c>
      <c r="D192" s="6" t="s">
        <v>1108</v>
      </c>
      <c r="E192" s="6" t="s">
        <v>15</v>
      </c>
      <c r="F192" s="6" t="s">
        <v>90</v>
      </c>
      <c r="G192" s="6" t="s">
        <v>2515</v>
      </c>
      <c r="H192" s="6" t="str">
        <f t="shared" si="8"/>
        <v>att_experiment</v>
      </c>
      <c r="I192" s="6" t="s">
        <v>1107</v>
      </c>
      <c r="J192" s="6" t="str">
        <f t="shared" si="9"/>
        <v>att_experiment:interaction</v>
      </c>
      <c r="K192" s="11" t="s">
        <v>19</v>
      </c>
      <c r="L192" s="6" t="s">
        <v>1108</v>
      </c>
      <c r="M192" s="6" t="s">
        <v>15</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19</v>
      </c>
      <c r="B193" s="11"/>
      <c r="C193" s="6" t="s">
        <v>1109</v>
      </c>
      <c r="D193" s="6" t="s">
        <v>1110</v>
      </c>
      <c r="E193" s="6" t="s">
        <v>15</v>
      </c>
      <c r="F193" s="6" t="s">
        <v>90</v>
      </c>
      <c r="G193" s="6" t="s">
        <v>2515</v>
      </c>
      <c r="H193" s="6" t="str">
        <f t="shared" si="8"/>
        <v>att_experiment</v>
      </c>
      <c r="I193" s="6" t="s">
        <v>1109</v>
      </c>
      <c r="J193" s="6" t="str">
        <f t="shared" si="9"/>
        <v>att_experiment:metrs</v>
      </c>
      <c r="K193" s="11" t="s">
        <v>19</v>
      </c>
      <c r="L193" s="6" t="s">
        <v>1110</v>
      </c>
      <c r="M193" s="6" t="s">
        <v>15</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19</v>
      </c>
      <c r="B194" s="11"/>
      <c r="C194" s="6" t="s">
        <v>2516</v>
      </c>
      <c r="D194" s="6" t="s">
        <v>1113</v>
      </c>
      <c r="E194" s="6" t="s">
        <v>15</v>
      </c>
      <c r="F194" s="6" t="s">
        <v>90</v>
      </c>
      <c r="G194" s="6" t="s">
        <v>2515</v>
      </c>
      <c r="H194" s="6" t="str">
        <f t="shared" ref="H194:H221" si="12">"att_"&amp;G194</f>
        <v>att_experiment</v>
      </c>
      <c r="I194" s="6" t="s">
        <v>1111</v>
      </c>
      <c r="J194" s="6" t="str">
        <f t="shared" ref="J194:J221" si="13">H194&amp;":"&amp;I194</f>
        <v>att_experiment:neo_nterm_enrichment</v>
      </c>
      <c r="K194" s="11" t="s">
        <v>19</v>
      </c>
      <c r="L194" s="6" t="s">
        <v>1113</v>
      </c>
      <c r="M194" s="6" t="s">
        <v>15</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19</v>
      </c>
      <c r="B195" s="11"/>
      <c r="C195" s="6" t="s">
        <v>2517</v>
      </c>
      <c r="D195" s="6" t="s">
        <v>2518</v>
      </c>
      <c r="E195" s="6" t="s">
        <v>15</v>
      </c>
      <c r="F195" s="6" t="s">
        <v>90</v>
      </c>
      <c r="G195" s="6" t="s">
        <v>2515</v>
      </c>
      <c r="H195" s="6" t="str">
        <f t="shared" si="12"/>
        <v>att_experiment</v>
      </c>
      <c r="I195" s="6" t="s">
        <v>2517</v>
      </c>
      <c r="J195" s="6" t="str">
        <f t="shared" si="13"/>
        <v>att_experiment:other_ptm</v>
      </c>
      <c r="K195" s="11" t="s">
        <v>19</v>
      </c>
      <c r="L195" s="6" t="s">
        <v>2518</v>
      </c>
      <c r="M195" s="6" t="s">
        <v>15</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19</v>
      </c>
      <c r="B196" s="11"/>
      <c r="C196" s="6" t="s">
        <v>1114</v>
      </c>
      <c r="D196" s="6" t="s">
        <v>1115</v>
      </c>
      <c r="E196" s="6" t="s">
        <v>15</v>
      </c>
      <c r="F196" s="6" t="s">
        <v>90</v>
      </c>
      <c r="G196" s="6" t="s">
        <v>2515</v>
      </c>
      <c r="H196" s="6" t="str">
        <f t="shared" si="12"/>
        <v>att_experiment</v>
      </c>
      <c r="I196" s="6" t="s">
        <v>1114</v>
      </c>
      <c r="J196" s="6" t="str">
        <f t="shared" si="13"/>
        <v>att_experiment:oxinome</v>
      </c>
      <c r="K196" s="11" t="s">
        <v>19</v>
      </c>
      <c r="L196" s="6" t="s">
        <v>1115</v>
      </c>
      <c r="M196" s="6" t="s">
        <v>15</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19</v>
      </c>
      <c r="B197" s="11"/>
      <c r="C197" s="6" t="s">
        <v>1116</v>
      </c>
      <c r="D197" s="6" t="s">
        <v>1117</v>
      </c>
      <c r="E197" s="6" t="s">
        <v>15</v>
      </c>
      <c r="F197" s="6" t="s">
        <v>90</v>
      </c>
      <c r="G197" s="6" t="s">
        <v>2515</v>
      </c>
      <c r="H197" s="6" t="str">
        <f t="shared" si="12"/>
        <v>att_experiment</v>
      </c>
      <c r="I197" s="6" t="s">
        <v>1116</v>
      </c>
      <c r="J197" s="6" t="str">
        <f t="shared" si="13"/>
        <v>att_experiment:phosphoproteome</v>
      </c>
      <c r="K197" s="11" t="s">
        <v>19</v>
      </c>
      <c r="L197" s="6" t="s">
        <v>1117</v>
      </c>
      <c r="M197" s="6" t="s">
        <v>15</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19</v>
      </c>
      <c r="B198" s="11"/>
      <c r="C198" s="6" t="s">
        <v>2519</v>
      </c>
      <c r="D198" s="6" t="s">
        <v>1119</v>
      </c>
      <c r="E198" s="6" t="s">
        <v>15</v>
      </c>
      <c r="F198" s="6" t="s">
        <v>90</v>
      </c>
      <c r="G198" s="6" t="s">
        <v>2515</v>
      </c>
      <c r="H198" s="6" t="str">
        <f t="shared" si="12"/>
        <v>att_experiment</v>
      </c>
      <c r="I198" s="6" t="s">
        <v>1118</v>
      </c>
      <c r="J198" s="6" t="str">
        <f t="shared" si="13"/>
        <v>att_experiment:pulse_silac</v>
      </c>
      <c r="K198" s="11" t="s">
        <v>19</v>
      </c>
      <c r="L198" s="6" t="s">
        <v>1119</v>
      </c>
      <c r="M198" s="6" t="s">
        <v>15</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19</v>
      </c>
      <c r="B199" s="11"/>
      <c r="C199" s="6" t="s">
        <v>1120</v>
      </c>
      <c r="D199" s="6" t="s">
        <v>1121</v>
      </c>
      <c r="E199" s="6" t="s">
        <v>15</v>
      </c>
      <c r="F199" s="6" t="s">
        <v>90</v>
      </c>
      <c r="G199" s="6" t="s">
        <v>2515</v>
      </c>
      <c r="H199" s="6" t="str">
        <f t="shared" si="12"/>
        <v>att_experiment</v>
      </c>
      <c r="I199" s="6" t="s">
        <v>1120</v>
      </c>
      <c r="J199" s="6" t="str">
        <f t="shared" si="13"/>
        <v>att_experiment:secretome</v>
      </c>
      <c r="K199" s="11" t="s">
        <v>19</v>
      </c>
      <c r="L199" s="6" t="s">
        <v>1121</v>
      </c>
      <c r="M199" s="6" t="s">
        <v>15</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19</v>
      </c>
      <c r="B200" s="11"/>
      <c r="C200" s="6" t="s">
        <v>1122</v>
      </c>
      <c r="D200" s="6" t="s">
        <v>1123</v>
      </c>
      <c r="E200" s="6" t="s">
        <v>15</v>
      </c>
      <c r="F200" s="6" t="s">
        <v>90</v>
      </c>
      <c r="G200" s="6" t="s">
        <v>2515</v>
      </c>
      <c r="H200" s="6" t="str">
        <f t="shared" si="12"/>
        <v>att_experiment</v>
      </c>
      <c r="I200" s="6" t="s">
        <v>1122</v>
      </c>
      <c r="J200" s="6" t="str">
        <f t="shared" si="13"/>
        <v>att_experiment:spatial</v>
      </c>
      <c r="K200" s="11" t="s">
        <v>19</v>
      </c>
      <c r="L200" s="6" t="s">
        <v>1123</v>
      </c>
      <c r="M200" s="6" t="s">
        <v>15</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19</v>
      </c>
      <c r="B201" s="11"/>
      <c r="C201" s="6" t="s">
        <v>1124</v>
      </c>
      <c r="D201" s="6" t="s">
        <v>1125</v>
      </c>
      <c r="E201" s="6" t="s">
        <v>15</v>
      </c>
      <c r="F201" s="6" t="s">
        <v>90</v>
      </c>
      <c r="G201" s="6" t="s">
        <v>2515</v>
      </c>
      <c r="H201" s="6" t="str">
        <f t="shared" si="12"/>
        <v>att_experiment</v>
      </c>
      <c r="I201" s="6" t="s">
        <v>1124</v>
      </c>
      <c r="J201" s="6" t="str">
        <f t="shared" si="13"/>
        <v>att_experiment:ubiquitinome</v>
      </c>
      <c r="K201" s="11" t="s">
        <v>19</v>
      </c>
      <c r="L201" s="6" t="s">
        <v>1125</v>
      </c>
      <c r="M201" s="6" t="s">
        <v>15</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1132</v>
      </c>
      <c r="D202" s="6" t="s">
        <v>1134</v>
      </c>
      <c r="E202" s="6" t="s">
        <v>15</v>
      </c>
      <c r="F202" s="6" t="s">
        <v>2520</v>
      </c>
      <c r="G202" s="6" t="s">
        <v>2521</v>
      </c>
      <c r="H202" s="6" t="str">
        <f t="shared" si="12"/>
        <v>att_fluid</v>
      </c>
      <c r="I202" s="6" t="s">
        <v>1132</v>
      </c>
      <c r="J202" s="6" t="str">
        <f t="shared" si="13"/>
        <v>att_fluid:bal</v>
      </c>
      <c r="K202" s="11" t="s">
        <v>19</v>
      </c>
      <c r="L202" s="6" t="s">
        <v>1135</v>
      </c>
      <c r="M202" s="6" t="s">
        <v>15</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1136</v>
      </c>
      <c r="D203" s="6" t="s">
        <v>1137</v>
      </c>
      <c r="E203" s="6" t="s">
        <v>15</v>
      </c>
      <c r="F203" s="6" t="s">
        <v>2520</v>
      </c>
      <c r="G203" s="6" t="s">
        <v>2521</v>
      </c>
      <c r="H203" s="6" t="str">
        <f t="shared" si="12"/>
        <v>att_fluid</v>
      </c>
      <c r="I203" s="6" t="s">
        <v>1136</v>
      </c>
      <c r="J203" s="6" t="str">
        <f t="shared" si="13"/>
        <v>att_fluid:cerebrospinal</v>
      </c>
      <c r="K203" s="11" t="s">
        <v>19</v>
      </c>
      <c r="L203" s="6" t="s">
        <v>1138</v>
      </c>
      <c r="M203" s="6" t="s">
        <v>15</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1139</v>
      </c>
      <c r="D204" s="6" t="s">
        <v>1140</v>
      </c>
      <c r="E204" s="6" t="s">
        <v>15</v>
      </c>
      <c r="F204" s="6" t="s">
        <v>2520</v>
      </c>
      <c r="G204" s="6" t="s">
        <v>2521</v>
      </c>
      <c r="H204" s="6" t="str">
        <f t="shared" si="12"/>
        <v>att_fluid</v>
      </c>
      <c r="I204" s="6" t="s">
        <v>1139</v>
      </c>
      <c r="J204" s="6" t="str">
        <f t="shared" si="13"/>
        <v>att_fluid:feces</v>
      </c>
      <c r="K204" s="11" t="s">
        <v>19</v>
      </c>
      <c r="L204" s="6" t="s">
        <v>1141</v>
      </c>
      <c r="M204" s="6" t="s">
        <v>15</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1142</v>
      </c>
      <c r="D205" s="6" t="s">
        <v>1143</v>
      </c>
      <c r="E205" s="6" t="s">
        <v>15</v>
      </c>
      <c r="F205" s="6" t="s">
        <v>2520</v>
      </c>
      <c r="G205" s="6" t="s">
        <v>2521</v>
      </c>
      <c r="H205" s="6" t="str">
        <f t="shared" si="12"/>
        <v>att_fluid</v>
      </c>
      <c r="I205" s="6" t="s">
        <v>1142</v>
      </c>
      <c r="J205" s="6" t="str">
        <f t="shared" si="13"/>
        <v>att_fluid:interstitial</v>
      </c>
      <c r="K205" s="11" t="s">
        <v>19</v>
      </c>
      <c r="L205" s="6" t="s">
        <v>1144</v>
      </c>
      <c r="M205" s="6" t="s">
        <v>15</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1145</v>
      </c>
      <c r="D206" s="6" t="s">
        <v>1146</v>
      </c>
      <c r="E206" s="6" t="s">
        <v>15</v>
      </c>
      <c r="F206" s="6" t="s">
        <v>2520</v>
      </c>
      <c r="G206" s="6" t="s">
        <v>2521</v>
      </c>
      <c r="H206" s="6" t="str">
        <f t="shared" si="12"/>
        <v>att_fluid</v>
      </c>
      <c r="I206" s="6" t="s">
        <v>1145</v>
      </c>
      <c r="J206" s="6" t="str">
        <f t="shared" si="13"/>
        <v>att_fluid:lymph</v>
      </c>
      <c r="K206" s="11" t="s">
        <v>19</v>
      </c>
      <c r="L206" s="6" t="s">
        <v>1147</v>
      </c>
      <c r="M206" s="6" t="s">
        <v>15</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1148</v>
      </c>
      <c r="D207" s="6" t="s">
        <v>1149</v>
      </c>
      <c r="E207" s="6" t="s">
        <v>15</v>
      </c>
      <c r="F207" s="6" t="s">
        <v>2520</v>
      </c>
      <c r="G207" s="6" t="s">
        <v>2521</v>
      </c>
      <c r="H207" s="6" t="str">
        <f t="shared" si="12"/>
        <v>att_fluid</v>
      </c>
      <c r="I207" s="6" t="s">
        <v>1148</v>
      </c>
      <c r="J207" s="6" t="str">
        <f t="shared" si="13"/>
        <v>att_fluid:peritoneal</v>
      </c>
      <c r="K207" s="11" t="s">
        <v>19</v>
      </c>
      <c r="L207" s="6" t="s">
        <v>1150</v>
      </c>
      <c r="M207" s="6" t="s">
        <v>15</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1151</v>
      </c>
      <c r="D208" s="6" t="s">
        <v>1152</v>
      </c>
      <c r="E208" s="6" t="s">
        <v>15</v>
      </c>
      <c r="F208" s="6" t="s">
        <v>2520</v>
      </c>
      <c r="G208" s="6" t="s">
        <v>2521</v>
      </c>
      <c r="H208" s="6" t="str">
        <f t="shared" si="12"/>
        <v>att_fluid</v>
      </c>
      <c r="I208" s="6" t="s">
        <v>1151</v>
      </c>
      <c r="J208" s="6" t="str">
        <f t="shared" si="13"/>
        <v>att_fluid:plasma</v>
      </c>
      <c r="K208" s="11" t="s">
        <v>19</v>
      </c>
      <c r="L208" s="6" t="s">
        <v>1153</v>
      </c>
      <c r="M208" s="6" t="s">
        <v>15</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1154</v>
      </c>
      <c r="D209" s="6" t="s">
        <v>1155</v>
      </c>
      <c r="E209" s="6" t="s">
        <v>15</v>
      </c>
      <c r="F209" s="6" t="s">
        <v>2520</v>
      </c>
      <c r="G209" s="6" t="s">
        <v>2521</v>
      </c>
      <c r="H209" s="6" t="str">
        <f t="shared" si="12"/>
        <v>att_fluid</v>
      </c>
      <c r="I209" s="6" t="s">
        <v>1154</v>
      </c>
      <c r="J209" s="6" t="str">
        <f t="shared" si="13"/>
        <v>att_fluid:pleural</v>
      </c>
      <c r="K209" s="11" t="s">
        <v>19</v>
      </c>
      <c r="L209" s="6" t="s">
        <v>1156</v>
      </c>
      <c r="M209" s="6" t="s">
        <v>15</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1157</v>
      </c>
      <c r="D210" s="6" t="s">
        <v>1158</v>
      </c>
      <c r="E210" s="6" t="s">
        <v>15</v>
      </c>
      <c r="F210" s="6" t="s">
        <v>2520</v>
      </c>
      <c r="G210" s="6" t="s">
        <v>2521</v>
      </c>
      <c r="H210" s="6" t="str">
        <f t="shared" si="12"/>
        <v>att_fluid</v>
      </c>
      <c r="I210" s="6" t="s">
        <v>1157</v>
      </c>
      <c r="J210" s="6" t="str">
        <f t="shared" si="13"/>
        <v>att_fluid:saliva</v>
      </c>
      <c r="K210" s="11" t="s">
        <v>19</v>
      </c>
      <c r="L210" s="6" t="s">
        <v>1159</v>
      </c>
      <c r="M210" s="6" t="s">
        <v>15</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1160</v>
      </c>
      <c r="D211" s="6" t="s">
        <v>1161</v>
      </c>
      <c r="E211" s="6" t="s">
        <v>15</v>
      </c>
      <c r="F211" s="6" t="s">
        <v>2520</v>
      </c>
      <c r="G211" s="6" t="s">
        <v>2521</v>
      </c>
      <c r="H211" s="6" t="str">
        <f t="shared" si="12"/>
        <v>att_fluid</v>
      </c>
      <c r="I211" s="6" t="s">
        <v>1160</v>
      </c>
      <c r="J211" s="6" t="str">
        <f t="shared" si="13"/>
        <v>att_fluid:seminal</v>
      </c>
      <c r="K211" s="11" t="s">
        <v>19</v>
      </c>
      <c r="L211" s="6" t="s">
        <v>1162</v>
      </c>
      <c r="M211" s="6" t="s">
        <v>15</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1163</v>
      </c>
      <c r="D212" s="6" t="s">
        <v>1164</v>
      </c>
      <c r="E212" s="6" t="s">
        <v>15</v>
      </c>
      <c r="F212" s="6" t="s">
        <v>2520</v>
      </c>
      <c r="G212" s="6" t="s">
        <v>2521</v>
      </c>
      <c r="H212" s="6" t="str">
        <f t="shared" si="12"/>
        <v>att_fluid</v>
      </c>
      <c r="I212" s="6" t="s">
        <v>1163</v>
      </c>
      <c r="J212" s="6" t="str">
        <f t="shared" si="13"/>
        <v>att_fluid:serum</v>
      </c>
      <c r="K212" s="11" t="s">
        <v>19</v>
      </c>
      <c r="L212" s="6" t="s">
        <v>1165</v>
      </c>
      <c r="M212" s="6" t="s">
        <v>15</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1166</v>
      </c>
      <c r="D213" s="6" t="s">
        <v>1167</v>
      </c>
      <c r="E213" s="6" t="s">
        <v>15</v>
      </c>
      <c r="F213" s="6" t="s">
        <v>2520</v>
      </c>
      <c r="G213" s="6" t="s">
        <v>2521</v>
      </c>
      <c r="H213" s="6" t="str">
        <f t="shared" si="12"/>
        <v>att_fluid</v>
      </c>
      <c r="I213" s="6" t="s">
        <v>1166</v>
      </c>
      <c r="J213" s="6" t="str">
        <f t="shared" si="13"/>
        <v>att_fluid:urine</v>
      </c>
      <c r="K213" s="11" t="s">
        <v>19</v>
      </c>
      <c r="L213" s="6" t="s">
        <v>1168</v>
      </c>
      <c r="M213" s="6" t="s">
        <v>15</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1169</v>
      </c>
      <c r="D214" s="6" t="s">
        <v>1169</v>
      </c>
      <c r="E214" s="6" t="s">
        <v>15</v>
      </c>
      <c r="F214" s="6" t="s">
        <v>177</v>
      </c>
      <c r="G214" s="6" t="s">
        <v>2522</v>
      </c>
      <c r="H214" s="6" t="str">
        <f t="shared" si="12"/>
        <v>att_fraction</v>
      </c>
      <c r="I214" s="6" t="s">
        <v>1169</v>
      </c>
      <c r="J214" s="6" t="str">
        <f t="shared" si="13"/>
        <v>att_fraction:01k</v>
      </c>
      <c r="K214" s="11" t="s">
        <v>19</v>
      </c>
      <c r="L214" s="6" t="s">
        <v>2523</v>
      </c>
      <c r="M214" s="6" t="s">
        <v>1122</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1172</v>
      </c>
      <c r="D215" s="6" t="s">
        <v>1172</v>
      </c>
      <c r="E215" s="6" t="s">
        <v>15</v>
      </c>
      <c r="F215" s="6" t="s">
        <v>177</v>
      </c>
      <c r="G215" s="6" t="s">
        <v>2522</v>
      </c>
      <c r="H215" s="6" t="str">
        <f t="shared" si="12"/>
        <v>att_fraction</v>
      </c>
      <c r="I215" s="6" t="s">
        <v>1172</v>
      </c>
      <c r="J215" s="6" t="str">
        <f t="shared" si="13"/>
        <v>att_fraction:05k</v>
      </c>
      <c r="K215" s="11" t="s">
        <v>19</v>
      </c>
      <c r="L215" s="6" t="s">
        <v>2524</v>
      </c>
      <c r="M215" s="6" t="s">
        <v>1122</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1174</v>
      </c>
      <c r="D216" s="6" t="s">
        <v>1174</v>
      </c>
      <c r="E216" s="6" t="s">
        <v>15</v>
      </c>
      <c r="F216" s="6" t="s">
        <v>177</v>
      </c>
      <c r="G216" s="6" t="s">
        <v>2522</v>
      </c>
      <c r="H216" s="6" t="str">
        <f t="shared" si="12"/>
        <v>att_fraction</v>
      </c>
      <c r="I216" s="6" t="s">
        <v>1174</v>
      </c>
      <c r="J216" s="6" t="str">
        <f t="shared" si="13"/>
        <v>att_fraction:12k</v>
      </c>
      <c r="K216" s="11" t="s">
        <v>19</v>
      </c>
      <c r="L216" s="6" t="s">
        <v>2525</v>
      </c>
      <c r="M216" s="6" t="s">
        <v>1122</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1176</v>
      </c>
      <c r="D217" s="6" t="s">
        <v>1176</v>
      </c>
      <c r="E217" s="6" t="s">
        <v>15</v>
      </c>
      <c r="F217" s="6" t="s">
        <v>177</v>
      </c>
      <c r="G217" s="6" t="s">
        <v>2522</v>
      </c>
      <c r="H217" s="6" t="str">
        <f t="shared" si="12"/>
        <v>att_fraction</v>
      </c>
      <c r="I217" s="6" t="s">
        <v>1176</v>
      </c>
      <c r="J217" s="6" t="str">
        <f t="shared" si="13"/>
        <v>att_fraction:24k</v>
      </c>
      <c r="K217" s="11" t="s">
        <v>19</v>
      </c>
      <c r="L217" s="6" t="s">
        <v>2526</v>
      </c>
      <c r="M217" s="6" t="s">
        <v>1122</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1178</v>
      </c>
      <c r="D218" s="6" t="s">
        <v>1178</v>
      </c>
      <c r="E218" s="6" t="s">
        <v>15</v>
      </c>
      <c r="F218" s="6" t="s">
        <v>177</v>
      </c>
      <c r="G218" s="6" t="s">
        <v>2522</v>
      </c>
      <c r="H218" s="6" t="str">
        <f t="shared" si="12"/>
        <v>att_fraction</v>
      </c>
      <c r="I218" s="6" t="s">
        <v>1178</v>
      </c>
      <c r="J218" s="6" t="str">
        <f t="shared" si="13"/>
        <v>att_fraction:79k</v>
      </c>
      <c r="K218" s="11" t="s">
        <v>19</v>
      </c>
      <c r="L218" s="6" t="s">
        <v>2527</v>
      </c>
      <c r="M218" s="6" t="s">
        <v>1122</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1184</v>
      </c>
      <c r="D219" s="6" t="s">
        <v>1185</v>
      </c>
      <c r="E219" s="6" t="s">
        <v>15</v>
      </c>
      <c r="F219" s="6" t="s">
        <v>177</v>
      </c>
      <c r="G219" s="6" t="s">
        <v>2522</v>
      </c>
      <c r="H219" s="6" t="str">
        <f t="shared" si="12"/>
        <v>att_fraction</v>
      </c>
      <c r="I219" s="6" t="s">
        <v>1184</v>
      </c>
      <c r="J219" s="6" t="str">
        <f t="shared" si="13"/>
        <v>att_fraction:cytosolic</v>
      </c>
      <c r="K219" s="11" t="s">
        <v>19</v>
      </c>
      <c r="L219" s="6" t="s">
        <v>1186</v>
      </c>
      <c r="M219" s="6" t="s">
        <v>1122</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1187</v>
      </c>
      <c r="D220" s="6" t="s">
        <v>1188</v>
      </c>
      <c r="E220" s="6" t="s">
        <v>15</v>
      </c>
      <c r="F220" s="6" t="s">
        <v>177</v>
      </c>
      <c r="G220" s="6" t="s">
        <v>2522</v>
      </c>
      <c r="H220" s="6" t="str">
        <f t="shared" si="12"/>
        <v>att_fraction</v>
      </c>
      <c r="I220" s="6" t="s">
        <v>1187</v>
      </c>
      <c r="J220" s="6" t="str">
        <f t="shared" si="13"/>
        <v>att_fraction:total</v>
      </c>
      <c r="K220" s="11" t="s">
        <v>19</v>
      </c>
      <c r="L220" s="6" t="s">
        <v>1189</v>
      </c>
      <c r="M220" s="6" t="s">
        <v>1122</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2528</v>
      </c>
      <c r="D221" s="6" t="s">
        <v>1182</v>
      </c>
      <c r="E221" s="6" t="s">
        <v>15</v>
      </c>
      <c r="F221" s="6" t="s">
        <v>177</v>
      </c>
      <c r="G221" s="6" t="s">
        <v>2522</v>
      </c>
      <c r="H221" s="6" t="str">
        <f t="shared" si="12"/>
        <v>att_fraction</v>
      </c>
      <c r="I221" s="6" t="s">
        <v>1180</v>
      </c>
      <c r="J221" s="6" t="str">
        <f t="shared" si="13"/>
        <v>att_fraction:crude_mito</v>
      </c>
      <c r="K221" s="11" t="s">
        <v>19</v>
      </c>
      <c r="L221" s="6" t="s">
        <v>1183</v>
      </c>
      <c r="M221" s="6" t="s">
        <v>1122</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2529</v>
      </c>
      <c r="D223" s="6" t="s">
        <v>2040</v>
      </c>
      <c r="F223" s="6" t="s">
        <v>154</v>
      </c>
      <c r="G223" s="6" t="s">
        <v>2530</v>
      </c>
      <c r="H223" s="6" t="str">
        <f>"att_"&amp;G223</f>
        <v>att_offline_fractionation</v>
      </c>
      <c r="I223" s="6" t="s">
        <v>2039</v>
      </c>
      <c r="J223" s="6" t="str">
        <f>H223&amp;":"&amp;I223</f>
        <v>att_offline_fractionation:sdspage</v>
      </c>
      <c r="K223" s="11"/>
      <c r="L223" s="6" t="s">
        <v>2041</v>
      </c>
    </row>
    <row r="224" spans="1:15" x14ac:dyDescent="0.15">
      <c r="A224" s="12"/>
      <c r="B224" s="12"/>
      <c r="C224" s="6" t="s">
        <v>2529</v>
      </c>
      <c r="D224" s="6" t="s">
        <v>2028</v>
      </c>
      <c r="F224" s="6" t="s">
        <v>154</v>
      </c>
      <c r="G224" s="6" t="s">
        <v>2530</v>
      </c>
      <c r="H224" s="6" t="str">
        <f>"att_"&amp;G224</f>
        <v>att_offline_fractionation</v>
      </c>
      <c r="I224" s="6" t="s">
        <v>2027</v>
      </c>
      <c r="J224" s="6" t="str">
        <f>H224&amp;":"&amp;I224</f>
        <v>att_offline_fractionation:highph_hplc</v>
      </c>
      <c r="K224" s="11"/>
      <c r="L224" s="6" t="s">
        <v>2029</v>
      </c>
    </row>
    <row r="225" spans="1:15" x14ac:dyDescent="0.15">
      <c r="A225" s="12"/>
      <c r="B225" s="12"/>
      <c r="C225" s="6" t="s">
        <v>2529</v>
      </c>
      <c r="D225" s="6" t="s">
        <v>2031</v>
      </c>
      <c r="F225" s="6" t="s">
        <v>154</v>
      </c>
      <c r="G225" s="6" t="s">
        <v>2530</v>
      </c>
      <c r="H225" s="6" t="str">
        <f>"att_"&amp;G225</f>
        <v>att_offline_fractionation</v>
      </c>
      <c r="I225" s="6" t="s">
        <v>2030</v>
      </c>
      <c r="J225" s="6" t="str">
        <f>H225&amp;":"&amp;I225</f>
        <v>att_offline_fractionation:highph_tip</v>
      </c>
      <c r="K225" s="11"/>
      <c r="L225" s="6" t="s">
        <v>2032</v>
      </c>
    </row>
    <row r="226" spans="1:15" x14ac:dyDescent="0.15">
      <c r="A226" s="12"/>
      <c r="B226" s="12"/>
      <c r="C226" s="6" t="s">
        <v>2529</v>
      </c>
      <c r="D226" s="6" t="s">
        <v>2037</v>
      </c>
      <c r="F226" s="6" t="s">
        <v>154</v>
      </c>
      <c r="G226" s="6" t="s">
        <v>2530</v>
      </c>
      <c r="H226" s="6" t="str">
        <f>"att_"&amp;G226</f>
        <v>att_offline_fractionation</v>
      </c>
      <c r="I226" s="6" t="s">
        <v>2036</v>
      </c>
      <c r="J226" s="6" t="str">
        <f>H226&amp;":"&amp;I226</f>
        <v>att_offline_fractionation:scx</v>
      </c>
      <c r="K226" s="11"/>
      <c r="L226" s="6" t="s">
        <v>2038</v>
      </c>
    </row>
    <row r="227" spans="1:15" x14ac:dyDescent="0.15">
      <c r="A227" s="12"/>
      <c r="B227" s="12"/>
      <c r="C227" s="6" t="s">
        <v>2529</v>
      </c>
      <c r="D227" s="6" t="s">
        <v>2034</v>
      </c>
      <c r="F227" s="6" t="s">
        <v>154</v>
      </c>
      <c r="G227" s="6" t="s">
        <v>2530</v>
      </c>
      <c r="H227" s="6" t="str">
        <f>"att_"&amp;G227</f>
        <v>att_offline_fractionation</v>
      </c>
      <c r="I227" s="6" t="s">
        <v>2033</v>
      </c>
      <c r="J227" s="6" t="str">
        <f>H227&amp;":"&amp;I227</f>
        <v>att_offline_fractionation:sax</v>
      </c>
      <c r="K227" s="11"/>
      <c r="L227" s="6" t="s">
        <v>2035</v>
      </c>
    </row>
    <row r="228" spans="1:15" x14ac:dyDescent="0.15">
      <c r="A228" s="12"/>
      <c r="B228" s="12"/>
      <c r="K228" s="11"/>
    </row>
    <row r="229" spans="1:15" x14ac:dyDescent="0.15">
      <c r="A229" s="12"/>
      <c r="B229" s="12"/>
      <c r="K229" s="11"/>
    </row>
    <row r="230" spans="1:15" x14ac:dyDescent="0.15">
      <c r="A230" s="12" t="b">
        <f>TRUE()</f>
        <v>1</v>
      </c>
      <c r="C230" s="6" t="s">
        <v>1817</v>
      </c>
      <c r="D230" s="6" t="s">
        <v>1818</v>
      </c>
      <c r="E230" s="6" t="s">
        <v>15</v>
      </c>
      <c r="F230" s="6" t="s">
        <v>2531</v>
      </c>
      <c r="G230" s="6" t="s">
        <v>2532</v>
      </c>
      <c r="H230" s="6" t="str">
        <f t="shared" ref="H230:H248" si="16">"att_"&amp;G230</f>
        <v>att_instrument</v>
      </c>
      <c r="I230" s="6" t="s">
        <v>1817</v>
      </c>
      <c r="J230" s="6" t="str">
        <f t="shared" ref="J230:J248" si="17">H230&amp;":"&amp;I230</f>
        <v>att_instrument:e1</v>
      </c>
      <c r="K230" s="11" t="s">
        <v>19</v>
      </c>
      <c r="L230" s="6" t="s">
        <v>1819</v>
      </c>
      <c r="M230" s="6" t="s">
        <v>15</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1820</v>
      </c>
      <c r="D231" s="6" t="s">
        <v>1821</v>
      </c>
      <c r="E231" s="6" t="s">
        <v>15</v>
      </c>
      <c r="F231" s="6" t="s">
        <v>2531</v>
      </c>
      <c r="G231" s="6" t="s">
        <v>2532</v>
      </c>
      <c r="H231" s="6" t="str">
        <f t="shared" si="16"/>
        <v>att_instrument</v>
      </c>
      <c r="I231" s="6" t="s">
        <v>1820</v>
      </c>
      <c r="J231" s="6" t="str">
        <f t="shared" si="17"/>
        <v>att_instrument:e2</v>
      </c>
      <c r="K231" s="11" t="s">
        <v>19</v>
      </c>
      <c r="L231" s="6" t="s">
        <v>1822</v>
      </c>
      <c r="M231" s="6" t="s">
        <v>15</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1825</v>
      </c>
      <c r="D232" s="6" t="s">
        <v>1826</v>
      </c>
      <c r="E232" s="6" t="s">
        <v>15</v>
      </c>
      <c r="F232" s="6" t="s">
        <v>2531</v>
      </c>
      <c r="G232" s="6" t="s">
        <v>2532</v>
      </c>
      <c r="H232" s="6" t="str">
        <f t="shared" si="16"/>
        <v>att_instrument</v>
      </c>
      <c r="I232" s="6" t="s">
        <v>1825</v>
      </c>
      <c r="J232" s="6" t="str">
        <f t="shared" si="17"/>
        <v>att_instrument:ignarius</v>
      </c>
      <c r="K232" s="11" t="s">
        <v>19</v>
      </c>
      <c r="L232" s="6" t="s">
        <v>1827</v>
      </c>
      <c r="M232" s="6" t="s">
        <v>15</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2533</v>
      </c>
      <c r="D233" s="6" t="s">
        <v>1829</v>
      </c>
      <c r="E233" s="6" t="s">
        <v>15</v>
      </c>
      <c r="F233" s="6" t="s">
        <v>2531</v>
      </c>
      <c r="G233" s="6" t="s">
        <v>2532</v>
      </c>
      <c r="H233" s="6" t="str">
        <f t="shared" si="16"/>
        <v>att_instrument</v>
      </c>
      <c r="I233" s="6" t="s">
        <v>2534</v>
      </c>
      <c r="J233" s="6" t="str">
        <f t="shared" si="17"/>
        <v>att_instrument:t</v>
      </c>
      <c r="K233" s="11" t="s">
        <v>19</v>
      </c>
      <c r="L233" s="6" t="s">
        <v>1830</v>
      </c>
      <c r="M233" s="6" t="s">
        <v>15</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2535</v>
      </c>
      <c r="D234" s="14" t="s">
        <v>2536</v>
      </c>
      <c r="E234" s="14" t="s">
        <v>15</v>
      </c>
      <c r="F234" s="14" t="s">
        <v>2537</v>
      </c>
      <c r="G234" s="14" t="s">
        <v>2538</v>
      </c>
      <c r="H234" s="14" t="str">
        <f t="shared" si="16"/>
        <v>att_knockout</v>
      </c>
      <c r="I234" s="14" t="s">
        <v>2535</v>
      </c>
      <c r="J234" s="14" t="str">
        <f t="shared" si="17"/>
        <v>att_knockout:casp1_dko</v>
      </c>
      <c r="K234" s="15" t="s">
        <v>19</v>
      </c>
      <c r="L234" s="14" t="s">
        <v>2539</v>
      </c>
      <c r="M234" s="14" t="s">
        <v>15</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2540</v>
      </c>
      <c r="D235" s="14" t="s">
        <v>2541</v>
      </c>
      <c r="E235" s="14" t="s">
        <v>15</v>
      </c>
      <c r="F235" s="14" t="s">
        <v>2537</v>
      </c>
      <c r="G235" s="14" t="s">
        <v>2538</v>
      </c>
      <c r="H235" s="14" t="str">
        <f t="shared" si="16"/>
        <v>att_knockout</v>
      </c>
      <c r="I235" s="14" t="s">
        <v>2540</v>
      </c>
      <c r="J235" s="14" t="str">
        <f t="shared" si="17"/>
        <v>att_knockout:casp11_dko</v>
      </c>
      <c r="K235" s="15" t="s">
        <v>19</v>
      </c>
      <c r="L235" s="14" t="s">
        <v>2542</v>
      </c>
      <c r="M235" s="14" t="s">
        <v>15</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2543</v>
      </c>
      <c r="D236" s="14" t="s">
        <v>2544</v>
      </c>
      <c r="E236" s="14" t="s">
        <v>15</v>
      </c>
      <c r="F236" s="14" t="s">
        <v>2537</v>
      </c>
      <c r="G236" s="14" t="s">
        <v>2538</v>
      </c>
      <c r="H236" s="14" t="str">
        <f t="shared" si="16"/>
        <v>att_knockout</v>
      </c>
      <c r="I236" s="14" t="s">
        <v>2543</v>
      </c>
      <c r="J236" s="14" t="str">
        <f t="shared" si="17"/>
        <v>att_knockout:gsdmd_dko</v>
      </c>
      <c r="K236" s="15" t="s">
        <v>19</v>
      </c>
      <c r="L236" s="14" t="s">
        <v>2545</v>
      </c>
      <c r="M236" s="14" t="s">
        <v>15</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2546</v>
      </c>
      <c r="D237" s="14" t="s">
        <v>2547</v>
      </c>
      <c r="E237" s="14" t="s">
        <v>15</v>
      </c>
      <c r="F237" s="14" t="s">
        <v>2537</v>
      </c>
      <c r="G237" s="14" t="s">
        <v>2538</v>
      </c>
      <c r="H237" s="14" t="str">
        <f t="shared" si="16"/>
        <v>att_knockout</v>
      </c>
      <c r="I237" s="14" t="s">
        <v>2548</v>
      </c>
      <c r="J237" s="14" t="str">
        <f t="shared" si="17"/>
        <v>att_knockout:il18r_dko</v>
      </c>
      <c r="K237" s="15" t="s">
        <v>19</v>
      </c>
      <c r="L237" s="14" t="s">
        <v>2549</v>
      </c>
      <c r="M237" s="14" t="s">
        <v>15</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2550</v>
      </c>
      <c r="D238" s="14" t="s">
        <v>2551</v>
      </c>
      <c r="E238" s="14" t="s">
        <v>15</v>
      </c>
      <c r="F238" s="14" t="s">
        <v>2537</v>
      </c>
      <c r="G238" s="14" t="s">
        <v>2538</v>
      </c>
      <c r="H238" s="14" t="str">
        <f t="shared" si="16"/>
        <v>att_knockout</v>
      </c>
      <c r="I238" s="14" t="s">
        <v>2552</v>
      </c>
      <c r="J238" s="14" t="str">
        <f t="shared" si="17"/>
        <v>att_knockout:il1r_dko</v>
      </c>
      <c r="K238" s="15" t="s">
        <v>19</v>
      </c>
      <c r="L238" s="14" t="s">
        <v>2553</v>
      </c>
      <c r="M238" s="14" t="s">
        <v>15</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2554</v>
      </c>
      <c r="D239" s="14" t="s">
        <v>2555</v>
      </c>
      <c r="E239" s="14" t="s">
        <v>15</v>
      </c>
      <c r="F239" s="14" t="s">
        <v>2537</v>
      </c>
      <c r="G239" s="14" t="s">
        <v>2538</v>
      </c>
      <c r="H239" s="14" t="str">
        <f t="shared" si="16"/>
        <v>att_knockout</v>
      </c>
      <c r="I239" s="14" t="s">
        <v>2554</v>
      </c>
      <c r="J239" s="14" t="str">
        <f t="shared" si="17"/>
        <v>att_knockout:tlr4_dko</v>
      </c>
      <c r="K239" s="15" t="s">
        <v>19</v>
      </c>
      <c r="L239" s="14" t="s">
        <v>2556</v>
      </c>
      <c r="M239" s="14" t="s">
        <v>15</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19</v>
      </c>
      <c r="B240" s="11"/>
      <c r="C240" s="6" t="s">
        <v>1269</v>
      </c>
      <c r="D240" s="6" t="s">
        <v>1270</v>
      </c>
      <c r="E240" s="6" t="s">
        <v>15</v>
      </c>
      <c r="F240" s="6" t="s">
        <v>118</v>
      </c>
      <c r="G240" s="6" t="s">
        <v>2557</v>
      </c>
      <c r="H240" s="6" t="str">
        <f t="shared" si="16"/>
        <v>att_lc_system</v>
      </c>
      <c r="I240" s="6" t="s">
        <v>1269</v>
      </c>
      <c r="J240" s="6" t="str">
        <f t="shared" si="17"/>
        <v>att_lc_system:easylc1</v>
      </c>
      <c r="K240" s="11" t="s">
        <v>19</v>
      </c>
      <c r="L240" s="6" t="s">
        <v>1270</v>
      </c>
      <c r="M240" s="6" t="s">
        <v>15</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19</v>
      </c>
      <c r="B241" s="11"/>
      <c r="C241" s="6" t="s">
        <v>1271</v>
      </c>
      <c r="D241" s="6" t="s">
        <v>1272</v>
      </c>
      <c r="E241" s="6" t="s">
        <v>15</v>
      </c>
      <c r="F241" s="6" t="s">
        <v>118</v>
      </c>
      <c r="G241" s="6" t="s">
        <v>2557</v>
      </c>
      <c r="H241" s="6" t="str">
        <f t="shared" si="16"/>
        <v>att_lc_system</v>
      </c>
      <c r="I241" s="6" t="s">
        <v>1271</v>
      </c>
      <c r="J241" s="6" t="str">
        <f t="shared" si="17"/>
        <v>att_lc_system:easylc2</v>
      </c>
      <c r="K241" s="11" t="s">
        <v>19</v>
      </c>
      <c r="L241" s="6" t="s">
        <v>1272</v>
      </c>
      <c r="M241" s="6" t="s">
        <v>15</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19</v>
      </c>
      <c r="B242" s="11"/>
      <c r="C242" s="6" t="s">
        <v>1273</v>
      </c>
      <c r="D242" s="6" t="s">
        <v>1274</v>
      </c>
      <c r="E242" s="6" t="s">
        <v>15</v>
      </c>
      <c r="F242" s="6" t="s">
        <v>118</v>
      </c>
      <c r="G242" s="6" t="s">
        <v>2557</v>
      </c>
      <c r="H242" s="6" t="str">
        <f t="shared" si="16"/>
        <v>att_lc_system</v>
      </c>
      <c r="I242" s="6" t="s">
        <v>1273</v>
      </c>
      <c r="J242" s="6" t="str">
        <f t="shared" si="17"/>
        <v>att_lc_system:evosep1</v>
      </c>
      <c r="K242" s="11" t="s">
        <v>19</v>
      </c>
      <c r="L242" s="6" t="s">
        <v>1275</v>
      </c>
      <c r="M242" s="6" t="s">
        <v>15</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19</v>
      </c>
      <c r="B243" s="11"/>
      <c r="C243" s="6" t="s">
        <v>1276</v>
      </c>
      <c r="D243" s="6" t="s">
        <v>1277</v>
      </c>
      <c r="E243" s="6" t="s">
        <v>15</v>
      </c>
      <c r="F243" s="6" t="s">
        <v>118</v>
      </c>
      <c r="G243" s="6" t="s">
        <v>2557</v>
      </c>
      <c r="H243" s="6" t="str">
        <f t="shared" si="16"/>
        <v>att_lc_system</v>
      </c>
      <c r="I243" s="6" t="s">
        <v>1276</v>
      </c>
      <c r="J243" s="6" t="str">
        <f t="shared" si="17"/>
        <v>att_lc_system:vanquishneo1</v>
      </c>
      <c r="K243" s="11" t="s">
        <v>19</v>
      </c>
      <c r="L243" s="6" t="s">
        <v>1277</v>
      </c>
      <c r="M243" s="6" t="s">
        <v>15</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1771</v>
      </c>
      <c r="D244" s="6" t="s">
        <v>1773</v>
      </c>
      <c r="E244" s="6" t="s">
        <v>15</v>
      </c>
      <c r="F244" s="6" t="s">
        <v>2558</v>
      </c>
      <c r="G244" s="6" t="s">
        <v>2559</v>
      </c>
      <c r="H244" s="6" t="str">
        <f t="shared" si="16"/>
        <v>att_mockup</v>
      </c>
      <c r="I244" s="6" t="s">
        <v>1771</v>
      </c>
      <c r="J244" s="6" t="str">
        <f t="shared" si="17"/>
        <v>att_mockup:arbitrary</v>
      </c>
      <c r="K244" s="11" t="s">
        <v>19</v>
      </c>
      <c r="L244" s="6" t="s">
        <v>1774</v>
      </c>
      <c r="M244" s="6" t="s">
        <v>15</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1775</v>
      </c>
      <c r="D245" s="6" t="s">
        <v>1776</v>
      </c>
      <c r="E245" s="6" t="s">
        <v>15</v>
      </c>
      <c r="F245" s="6" t="s">
        <v>2558</v>
      </c>
      <c r="G245" s="6" t="s">
        <v>2559</v>
      </c>
      <c r="H245" s="6" t="str">
        <f t="shared" si="16"/>
        <v>att_mockup</v>
      </c>
      <c r="I245" s="6" t="s">
        <v>1775</v>
      </c>
      <c r="J245" s="6" t="str">
        <f t="shared" si="17"/>
        <v>att_mockup:random</v>
      </c>
      <c r="K245" s="11" t="s">
        <v>19</v>
      </c>
      <c r="L245" s="6" t="s">
        <v>1774</v>
      </c>
      <c r="M245" s="6" t="s">
        <v>15</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2560</v>
      </c>
      <c r="D246" s="6" t="s">
        <v>1778</v>
      </c>
      <c r="E246" s="6" t="s">
        <v>15</v>
      </c>
      <c r="F246" s="6" t="s">
        <v>130</v>
      </c>
      <c r="G246" s="6" t="s">
        <v>2561</v>
      </c>
      <c r="H246" s="6" t="str">
        <f t="shared" si="16"/>
        <v>att_model</v>
      </c>
      <c r="I246" s="6" t="s">
        <v>1777</v>
      </c>
      <c r="J246" s="6" t="str">
        <f t="shared" si="17"/>
        <v>att_model:in_vitro</v>
      </c>
      <c r="K246" s="11" t="s">
        <v>19</v>
      </c>
      <c r="L246" s="6" t="s">
        <v>1779</v>
      </c>
      <c r="M246" s="6" t="s">
        <v>15</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2562</v>
      </c>
      <c r="D247" s="6" t="s">
        <v>1781</v>
      </c>
      <c r="E247" s="6" t="s">
        <v>15</v>
      </c>
      <c r="F247" s="6" t="s">
        <v>130</v>
      </c>
      <c r="G247" s="6" t="s">
        <v>2561</v>
      </c>
      <c r="H247" s="6" t="str">
        <f t="shared" si="16"/>
        <v>att_model</v>
      </c>
      <c r="I247" s="6" t="s">
        <v>1780</v>
      </c>
      <c r="J247" s="6" t="str">
        <f t="shared" si="17"/>
        <v>att_model:in_vivo</v>
      </c>
      <c r="K247" s="11" t="s">
        <v>19</v>
      </c>
      <c r="L247" s="6" t="s">
        <v>1782</v>
      </c>
      <c r="M247" s="6" t="s">
        <v>15</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1783</v>
      </c>
      <c r="D248" s="6" t="s">
        <v>1783</v>
      </c>
      <c r="E248" s="6" t="s">
        <v>15</v>
      </c>
      <c r="F248" s="6" t="s">
        <v>130</v>
      </c>
      <c r="G248" s="6" t="s">
        <v>2561</v>
      </c>
      <c r="H248" s="6" t="str">
        <f t="shared" si="16"/>
        <v>att_model</v>
      </c>
      <c r="I248" s="6" t="s">
        <v>1783</v>
      </c>
      <c r="J248" s="6" t="str">
        <f t="shared" si="17"/>
        <v>att_model:xenografts</v>
      </c>
      <c r="K248" s="11" t="s">
        <v>19</v>
      </c>
      <c r="L248" s="6" t="s">
        <v>1784</v>
      </c>
      <c r="M248" s="6" t="s">
        <v>15</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2563</v>
      </c>
      <c r="D250" s="6" t="s">
        <v>648</v>
      </c>
      <c r="F250" s="6" t="s">
        <v>60</v>
      </c>
      <c r="G250" s="6" t="s">
        <v>2564</v>
      </c>
      <c r="H250" s="6" t="str">
        <f t="shared" ref="H250:H255" si="20">"att_"&amp;G250</f>
        <v>att_column_type</v>
      </c>
      <c r="I250" s="6" t="s">
        <v>647</v>
      </c>
      <c r="J250" s="6" t="str">
        <f t="shared" ref="J250:J255" si="21">H250&amp;":"&amp;I250</f>
        <v>att_column_type:aurora</v>
      </c>
      <c r="K250" s="11"/>
      <c r="L250" s="6" t="s">
        <v>649</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2565</v>
      </c>
      <c r="D251" s="6" t="s">
        <v>654</v>
      </c>
      <c r="F251" s="6" t="s">
        <v>60</v>
      </c>
      <c r="G251" s="6" t="s">
        <v>2564</v>
      </c>
      <c r="H251" s="6" t="str">
        <f t="shared" si="20"/>
        <v>att_column_type</v>
      </c>
      <c r="I251" s="6" t="s">
        <v>653</v>
      </c>
      <c r="J251" s="6" t="str">
        <f t="shared" si="21"/>
        <v>att_column_type:inhouse</v>
      </c>
      <c r="K251" s="11"/>
      <c r="L251" s="6" t="s">
        <v>655</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2566</v>
      </c>
      <c r="D252" s="6" t="s">
        <v>651</v>
      </c>
      <c r="F252" s="6" t="s">
        <v>60</v>
      </c>
      <c r="G252" s="6" t="s">
        <v>2564</v>
      </c>
      <c r="H252" s="6" t="str">
        <f t="shared" si="20"/>
        <v>att_column_type</v>
      </c>
      <c r="I252" s="6" t="s">
        <v>650</v>
      </c>
      <c r="J252" s="6" t="str">
        <f t="shared" si="21"/>
        <v>att_column_type:easyspray</v>
      </c>
      <c r="K252" s="11"/>
      <c r="L252" s="6" t="s">
        <v>652</v>
      </c>
    </row>
    <row r="253" spans="1:15" x14ac:dyDescent="0.15">
      <c r="A253" s="12"/>
      <c r="B253" s="12"/>
      <c r="C253" s="6" t="s">
        <v>2567</v>
      </c>
      <c r="D253" s="6" t="s">
        <v>663</v>
      </c>
      <c r="F253" s="6" t="s">
        <v>60</v>
      </c>
      <c r="G253" s="6" t="s">
        <v>2564</v>
      </c>
      <c r="H253" s="6" t="str">
        <f t="shared" si="20"/>
        <v>att_column_type</v>
      </c>
      <c r="I253" s="6" t="s">
        <v>662</v>
      </c>
      <c r="J253" s="6" t="str">
        <f t="shared" si="21"/>
        <v>att_column_type:upac_neo</v>
      </c>
      <c r="K253" s="11"/>
      <c r="L253" s="6" t="s">
        <v>664</v>
      </c>
    </row>
    <row r="254" spans="1:15" x14ac:dyDescent="0.15">
      <c r="A254" s="12"/>
      <c r="B254" s="12"/>
      <c r="C254" s="6" t="s">
        <v>2568</v>
      </c>
      <c r="D254" s="16" t="s">
        <v>657</v>
      </c>
      <c r="F254" s="6" t="s">
        <v>60</v>
      </c>
      <c r="G254" s="6" t="s">
        <v>2564</v>
      </c>
      <c r="H254" s="6" t="str">
        <f t="shared" si="20"/>
        <v>att_column_type</v>
      </c>
      <c r="I254" s="6" t="s">
        <v>656</v>
      </c>
      <c r="J254" s="6" t="str">
        <f t="shared" si="21"/>
        <v>att_column_type:upac_doubleviper</v>
      </c>
      <c r="K254" s="11"/>
      <c r="L254" s="6" t="s">
        <v>658</v>
      </c>
    </row>
    <row r="255" spans="1:15" x14ac:dyDescent="0.15">
      <c r="A255" s="12"/>
      <c r="B255" s="12"/>
      <c r="C255" s="6" t="s">
        <v>2567</v>
      </c>
      <c r="D255" s="16" t="s">
        <v>660</v>
      </c>
      <c r="F255" s="6" t="s">
        <v>60</v>
      </c>
      <c r="G255" s="6" t="s">
        <v>2564</v>
      </c>
      <c r="H255" s="6" t="str">
        <f t="shared" si="20"/>
        <v>att_column_type</v>
      </c>
      <c r="I255" s="6" t="s">
        <v>659</v>
      </c>
      <c r="J255" s="6" t="str">
        <f t="shared" si="21"/>
        <v>att_column_type:upac_low_loadneo</v>
      </c>
      <c r="K255" s="11"/>
      <c r="L255" s="6" t="s">
        <v>661</v>
      </c>
    </row>
    <row r="256" spans="1:15" x14ac:dyDescent="0.15">
      <c r="A256" s="12"/>
      <c r="B256" s="12"/>
      <c r="D256" s="16"/>
      <c r="K256" s="11"/>
    </row>
    <row r="257" spans="1:15" x14ac:dyDescent="0.15">
      <c r="A257" s="11" t="s">
        <v>19</v>
      </c>
      <c r="B257" s="11"/>
      <c r="C257" s="6" t="s">
        <v>2569</v>
      </c>
      <c r="D257" s="6" t="s">
        <v>2570</v>
      </c>
      <c r="E257" s="6" t="s">
        <v>15</v>
      </c>
      <c r="F257" s="6" t="s">
        <v>2571</v>
      </c>
      <c r="G257" s="6" t="s">
        <v>2572</v>
      </c>
      <c r="H257" s="6" t="str">
        <f t="shared" ref="H257:H262" si="22">"att_"&amp;G257</f>
        <v>att_mslc_column_configuration</v>
      </c>
      <c r="I257" s="6" t="s">
        <v>628</v>
      </c>
      <c r="J257" s="6" t="str">
        <f t="shared" ref="J257:J262" si="23">H257&amp;":"&amp;I257</f>
        <v>att_mslc_column_configuration:15cm</v>
      </c>
      <c r="K257" s="11" t="s">
        <v>19</v>
      </c>
      <c r="L257" s="6" t="s">
        <v>2573</v>
      </c>
      <c r="M257" s="6" t="s">
        <v>15</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19</v>
      </c>
      <c r="B258" s="11"/>
      <c r="C258" s="6" t="s">
        <v>2574</v>
      </c>
      <c r="D258" s="6" t="s">
        <v>2575</v>
      </c>
      <c r="E258" s="6" t="s">
        <v>15</v>
      </c>
      <c r="F258" s="6" t="s">
        <v>2571</v>
      </c>
      <c r="G258" s="6" t="s">
        <v>2572</v>
      </c>
      <c r="H258" s="6" t="str">
        <f t="shared" si="22"/>
        <v>att_mslc_column_configuration</v>
      </c>
      <c r="I258" s="6" t="s">
        <v>2576</v>
      </c>
      <c r="J258" s="6" t="str">
        <f t="shared" si="23"/>
        <v>att_mslc_column_configuration:25cm</v>
      </c>
      <c r="K258" s="11" t="s">
        <v>19</v>
      </c>
      <c r="L258" s="6" t="s">
        <v>2577</v>
      </c>
      <c r="M258" s="6" t="s">
        <v>15</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19</v>
      </c>
      <c r="B259" s="11"/>
      <c r="C259" s="6" t="s">
        <v>2578</v>
      </c>
      <c r="D259" s="6" t="s">
        <v>2579</v>
      </c>
      <c r="E259" s="6" t="s">
        <v>15</v>
      </c>
      <c r="F259" s="6" t="s">
        <v>2571</v>
      </c>
      <c r="G259" s="6" t="s">
        <v>2572</v>
      </c>
      <c r="H259" s="6" t="str">
        <f t="shared" si="22"/>
        <v>att_mslc_column_configuration</v>
      </c>
      <c r="I259" s="6" t="s">
        <v>630</v>
      </c>
      <c r="J259" s="6" t="str">
        <f t="shared" si="23"/>
        <v>att_mslc_column_configuration:30cm</v>
      </c>
      <c r="K259" s="11" t="s">
        <v>19</v>
      </c>
      <c r="L259" s="6" t="s">
        <v>2580</v>
      </c>
      <c r="M259" s="6" t="s">
        <v>15</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19</v>
      </c>
      <c r="B260" s="11"/>
      <c r="C260" s="6" t="s">
        <v>2581</v>
      </c>
      <c r="D260" s="6" t="s">
        <v>2582</v>
      </c>
      <c r="E260" s="6" t="s">
        <v>15</v>
      </c>
      <c r="F260" s="6" t="s">
        <v>2571</v>
      </c>
      <c r="G260" s="6" t="s">
        <v>2572</v>
      </c>
      <c r="H260" s="6" t="str">
        <f t="shared" si="22"/>
        <v>att_mslc_column_configuration</v>
      </c>
      <c r="I260" s="6" t="s">
        <v>632</v>
      </c>
      <c r="J260" s="6" t="str">
        <f t="shared" si="23"/>
        <v>att_mslc_column_configuration:50cm</v>
      </c>
      <c r="K260" s="11" t="s">
        <v>19</v>
      </c>
      <c r="L260" s="6" t="s">
        <v>2583</v>
      </c>
      <c r="M260" s="6" t="s">
        <v>15</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19</v>
      </c>
      <c r="B261" s="12"/>
      <c r="C261" s="6" t="s">
        <v>2584</v>
      </c>
      <c r="D261" s="6" t="s">
        <v>2585</v>
      </c>
      <c r="E261" s="6" t="s">
        <v>15</v>
      </c>
      <c r="F261" s="6" t="s">
        <v>2571</v>
      </c>
      <c r="G261" s="6" t="s">
        <v>2572</v>
      </c>
      <c r="H261" s="6" t="str">
        <f t="shared" si="22"/>
        <v>att_mslc_column_configuration</v>
      </c>
      <c r="I261" s="6" t="s">
        <v>2584</v>
      </c>
      <c r="J261" s="6" t="str">
        <f t="shared" si="23"/>
        <v>att_mslc_column_configuration:column_inhouse</v>
      </c>
      <c r="K261" s="11" t="s">
        <v>19</v>
      </c>
      <c r="L261" s="6" t="s">
        <v>2586</v>
      </c>
      <c r="M261" s="6" t="s">
        <v>15</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19</v>
      </c>
      <c r="B262" s="12"/>
      <c r="C262" s="6" t="s">
        <v>2587</v>
      </c>
      <c r="D262" s="6" t="s">
        <v>2588</v>
      </c>
      <c r="E262" s="6" t="s">
        <v>15</v>
      </c>
      <c r="F262" s="6" t="s">
        <v>2571</v>
      </c>
      <c r="G262" s="6" t="s">
        <v>2572</v>
      </c>
      <c r="H262" s="6" t="str">
        <f t="shared" si="22"/>
        <v>att_mslc_column_configuration</v>
      </c>
      <c r="I262" s="6" t="s">
        <v>2587</v>
      </c>
      <c r="J262" s="6" t="str">
        <f t="shared" si="23"/>
        <v>att_mslc_column_configuration:trap</v>
      </c>
      <c r="K262" s="11" t="s">
        <v>19</v>
      </c>
      <c r="L262" s="6" t="s">
        <v>2589</v>
      </c>
      <c r="M262" s="6" t="s">
        <v>15</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17</v>
      </c>
      <c r="B264" s="13"/>
      <c r="C264" s="14" t="s">
        <v>1803</v>
      </c>
      <c r="D264" s="14" t="s">
        <v>1804</v>
      </c>
      <c r="E264" s="14" t="s">
        <v>15</v>
      </c>
      <c r="G264" s="14" t="s">
        <v>2590</v>
      </c>
      <c r="H264" s="14" t="str">
        <f>"att_"&amp;G264</f>
        <v>att_ms_interface</v>
      </c>
      <c r="I264" s="14" t="s">
        <v>1803</v>
      </c>
      <c r="J264" s="14" t="str">
        <f>H264&amp;":"&amp;I264</f>
        <v>att_ms_interface:faims</v>
      </c>
      <c r="K264" s="15" t="s">
        <v>19</v>
      </c>
      <c r="L264" s="14" t="s">
        <v>1805</v>
      </c>
      <c r="M264" s="14" t="s">
        <v>15</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2591</v>
      </c>
      <c r="D265" s="14" t="s">
        <v>1815</v>
      </c>
      <c r="F265" s="14" t="s">
        <v>134</v>
      </c>
      <c r="G265" s="14" t="s">
        <v>2592</v>
      </c>
      <c r="H265" s="14" t="str">
        <f>"att_"&amp;G265</f>
        <v>att_ms_ionsource</v>
      </c>
      <c r="I265" s="14" t="s">
        <v>1814</v>
      </c>
      <c r="J265" s="14" t="str">
        <f>H265&amp;":"&amp;I265</f>
        <v>att_ms_ionsource:ion_max</v>
      </c>
      <c r="K265" s="15"/>
      <c r="L265" s="14" t="s">
        <v>1816</v>
      </c>
    </row>
    <row r="266" spans="1:15" x14ac:dyDescent="0.15">
      <c r="A266" s="11"/>
      <c r="B266" s="12"/>
      <c r="C266" s="14" t="s">
        <v>2591</v>
      </c>
      <c r="D266" s="6" t="s">
        <v>1809</v>
      </c>
      <c r="F266" s="6" t="s">
        <v>134</v>
      </c>
      <c r="G266" s="14" t="s">
        <v>2592</v>
      </c>
      <c r="H266" s="14" t="str">
        <f>"att_"&amp;G266</f>
        <v>att_ms_ionsource</v>
      </c>
      <c r="I266" s="14" t="s">
        <v>1808</v>
      </c>
      <c r="J266" s="14" t="str">
        <f>H266&amp;":"&amp;I266</f>
        <v>att_ms_ionsource:easy_spray</v>
      </c>
      <c r="K266" s="11"/>
      <c r="L266" s="6" t="s">
        <v>1810</v>
      </c>
    </row>
    <row r="267" spans="1:15" x14ac:dyDescent="0.15">
      <c r="A267" s="11"/>
      <c r="B267" s="12"/>
      <c r="C267" s="14" t="s">
        <v>2591</v>
      </c>
      <c r="D267" s="6" t="s">
        <v>1812</v>
      </c>
      <c r="F267" s="6" t="s">
        <v>134</v>
      </c>
      <c r="G267" s="14" t="s">
        <v>2592</v>
      </c>
      <c r="H267" s="14" t="str">
        <f>"att_"&amp;G267</f>
        <v>att_ms_ionsource</v>
      </c>
      <c r="I267" s="14" t="s">
        <v>1811</v>
      </c>
      <c r="J267" s="14" t="str">
        <f>H267&amp;":"&amp;I267</f>
        <v>att_ms_ionsource:flex</v>
      </c>
      <c r="K267" s="11"/>
      <c r="L267" s="6" t="s">
        <v>1813</v>
      </c>
    </row>
    <row r="268" spans="1:15" x14ac:dyDescent="0.15">
      <c r="A268" s="11"/>
      <c r="B268" s="12"/>
      <c r="I268" s="14"/>
      <c r="J268" s="14"/>
      <c r="K268" s="11"/>
    </row>
    <row r="269" spans="1:15" x14ac:dyDescent="0.15">
      <c r="A269" s="12" t="b">
        <f>FALSE()</f>
        <v>0</v>
      </c>
      <c r="B269" s="12"/>
      <c r="C269" s="6" t="s">
        <v>2045</v>
      </c>
      <c r="D269" s="6" t="s">
        <v>2046</v>
      </c>
      <c r="E269" s="6" t="s">
        <v>15</v>
      </c>
      <c r="F269" s="6" t="s">
        <v>157</v>
      </c>
      <c r="G269" s="6" t="s">
        <v>2593</v>
      </c>
      <c r="H269" s="6" t="str">
        <f t="shared" ref="H269:H300" si="26">"att_"&amp;G269</f>
        <v>att_organ</v>
      </c>
      <c r="I269" s="6" t="s">
        <v>2045</v>
      </c>
      <c r="J269" s="6" t="str">
        <f t="shared" ref="J269:J300" si="27">H269&amp;":"&amp;I269</f>
        <v>att_organ:appendix</v>
      </c>
      <c r="K269" s="11" t="s">
        <v>19</v>
      </c>
      <c r="L269" s="6" t="s">
        <v>2046</v>
      </c>
      <c r="M269" s="6" t="s">
        <v>15</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2047</v>
      </c>
      <c r="D270" s="6" t="s">
        <v>2048</v>
      </c>
      <c r="E270" s="6" t="s">
        <v>15</v>
      </c>
      <c r="F270" s="6" t="s">
        <v>157</v>
      </c>
      <c r="G270" s="6" t="s">
        <v>2593</v>
      </c>
      <c r="H270" s="6" t="str">
        <f t="shared" si="26"/>
        <v>att_organ</v>
      </c>
      <c r="I270" s="6" t="s">
        <v>2047</v>
      </c>
      <c r="J270" s="6" t="str">
        <f t="shared" si="27"/>
        <v>att_organ:arteries</v>
      </c>
      <c r="K270" s="11" t="s">
        <v>19</v>
      </c>
      <c r="L270" s="6" t="s">
        <v>2048</v>
      </c>
      <c r="M270" s="6" t="s">
        <v>15</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2049</v>
      </c>
      <c r="D271" s="6" t="s">
        <v>2050</v>
      </c>
      <c r="E271" s="6" t="s">
        <v>15</v>
      </c>
      <c r="F271" s="6" t="s">
        <v>157</v>
      </c>
      <c r="G271" s="6" t="s">
        <v>2593</v>
      </c>
      <c r="H271" s="6" t="str">
        <f t="shared" si="26"/>
        <v>att_organ</v>
      </c>
      <c r="I271" s="6" t="s">
        <v>2049</v>
      </c>
      <c r="J271" s="6" t="str">
        <f t="shared" si="27"/>
        <v>att_organ:bladder</v>
      </c>
      <c r="K271" s="11" t="s">
        <v>19</v>
      </c>
      <c r="L271" s="6" t="s">
        <v>2050</v>
      </c>
      <c r="M271" s="6" t="s">
        <v>15</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2051</v>
      </c>
      <c r="D272" s="6" t="s">
        <v>2052</v>
      </c>
      <c r="E272" s="6" t="s">
        <v>15</v>
      </c>
      <c r="F272" s="6" t="s">
        <v>157</v>
      </c>
      <c r="G272" s="6" t="s">
        <v>2593</v>
      </c>
      <c r="H272" s="6" t="str">
        <f t="shared" si="26"/>
        <v>att_organ</v>
      </c>
      <c r="I272" s="6" t="s">
        <v>2051</v>
      </c>
      <c r="J272" s="6" t="str">
        <f t="shared" si="27"/>
        <v>att_organ:bone_marrow</v>
      </c>
      <c r="K272" s="11" t="s">
        <v>19</v>
      </c>
      <c r="L272" s="6" t="s">
        <v>2052</v>
      </c>
      <c r="M272" s="6" t="s">
        <v>15</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2053</v>
      </c>
      <c r="D273" s="6" t="s">
        <v>2054</v>
      </c>
      <c r="E273" s="6" t="s">
        <v>15</v>
      </c>
      <c r="F273" s="6" t="s">
        <v>157</v>
      </c>
      <c r="G273" s="6" t="s">
        <v>2593</v>
      </c>
      <c r="H273" s="6" t="str">
        <f t="shared" si="26"/>
        <v>att_organ</v>
      </c>
      <c r="I273" s="6" t="s">
        <v>2053</v>
      </c>
      <c r="J273" s="6" t="str">
        <f t="shared" si="27"/>
        <v>att_organ:brain</v>
      </c>
      <c r="K273" s="11" t="s">
        <v>19</v>
      </c>
      <c r="L273" s="6" t="s">
        <v>2054</v>
      </c>
      <c r="M273" s="6" t="s">
        <v>15</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2055</v>
      </c>
      <c r="D274" s="6" t="s">
        <v>2056</v>
      </c>
      <c r="E274" s="6" t="s">
        <v>15</v>
      </c>
      <c r="F274" s="6" t="s">
        <v>157</v>
      </c>
      <c r="G274" s="6" t="s">
        <v>2593</v>
      </c>
      <c r="H274" s="6" t="str">
        <f t="shared" si="26"/>
        <v>att_organ</v>
      </c>
      <c r="I274" s="6" t="s">
        <v>2055</v>
      </c>
      <c r="J274" s="6" t="str">
        <f t="shared" si="27"/>
        <v>att_organ:bronchi</v>
      </c>
      <c r="K274" s="11" t="s">
        <v>19</v>
      </c>
      <c r="L274" s="6" t="s">
        <v>2056</v>
      </c>
      <c r="M274" s="6" t="s">
        <v>15</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2057</v>
      </c>
      <c r="D275" s="6" t="s">
        <v>2058</v>
      </c>
      <c r="E275" s="6" t="s">
        <v>15</v>
      </c>
      <c r="F275" s="6" t="s">
        <v>157</v>
      </c>
      <c r="G275" s="6" t="s">
        <v>2593</v>
      </c>
      <c r="H275" s="6" t="str">
        <f t="shared" si="26"/>
        <v>att_organ</v>
      </c>
      <c r="I275" s="6" t="s">
        <v>2057</v>
      </c>
      <c r="J275" s="6" t="str">
        <f t="shared" si="27"/>
        <v>att_organ:cecum</v>
      </c>
      <c r="K275" s="11" t="s">
        <v>19</v>
      </c>
      <c r="L275" s="6" t="s">
        <v>2058</v>
      </c>
      <c r="M275" s="6" t="s">
        <v>15</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2059</v>
      </c>
      <c r="D276" s="6" t="s">
        <v>2060</v>
      </c>
      <c r="E276" s="6" t="s">
        <v>15</v>
      </c>
      <c r="F276" s="6" t="s">
        <v>157</v>
      </c>
      <c r="G276" s="6" t="s">
        <v>2593</v>
      </c>
      <c r="H276" s="6" t="str">
        <f t="shared" si="26"/>
        <v>att_organ</v>
      </c>
      <c r="I276" s="6" t="s">
        <v>2059</v>
      </c>
      <c r="J276" s="6" t="str">
        <f t="shared" si="27"/>
        <v>att_organ:cerebellum</v>
      </c>
      <c r="K276" s="11" t="s">
        <v>19</v>
      </c>
      <c r="L276" s="6" t="s">
        <v>2060</v>
      </c>
      <c r="M276" s="6" t="s">
        <v>15</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2061</v>
      </c>
      <c r="D277" s="6" t="s">
        <v>2062</v>
      </c>
      <c r="E277" s="6" t="s">
        <v>15</v>
      </c>
      <c r="F277" s="6" t="s">
        <v>157</v>
      </c>
      <c r="G277" s="6" t="s">
        <v>2593</v>
      </c>
      <c r="H277" s="6" t="str">
        <f t="shared" si="26"/>
        <v>att_organ</v>
      </c>
      <c r="I277" s="6" t="s">
        <v>2061</v>
      </c>
      <c r="J277" s="6" t="str">
        <f t="shared" si="27"/>
        <v>att_organ:cerebrum</v>
      </c>
      <c r="K277" s="11" t="s">
        <v>19</v>
      </c>
      <c r="L277" s="6" t="s">
        <v>2062</v>
      </c>
      <c r="M277" s="6" t="s">
        <v>15</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2063</v>
      </c>
      <c r="D278" s="6" t="s">
        <v>2064</v>
      </c>
      <c r="E278" s="6" t="s">
        <v>15</v>
      </c>
      <c r="F278" s="6" t="s">
        <v>157</v>
      </c>
      <c r="G278" s="6" t="s">
        <v>2593</v>
      </c>
      <c r="H278" s="6" t="str">
        <f t="shared" si="26"/>
        <v>att_organ</v>
      </c>
      <c r="I278" s="6" t="s">
        <v>2063</v>
      </c>
      <c r="J278" s="6" t="str">
        <f t="shared" si="27"/>
        <v>att_organ:ear</v>
      </c>
      <c r="K278" s="11" t="s">
        <v>19</v>
      </c>
      <c r="L278" s="6" t="s">
        <v>2064</v>
      </c>
      <c r="M278" s="6" t="s">
        <v>15</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2065</v>
      </c>
      <c r="D279" s="6" t="s">
        <v>2066</v>
      </c>
      <c r="E279" s="6" t="s">
        <v>15</v>
      </c>
      <c r="F279" s="6" t="s">
        <v>157</v>
      </c>
      <c r="G279" s="6" t="s">
        <v>2593</v>
      </c>
      <c r="H279" s="6" t="str">
        <f t="shared" si="26"/>
        <v>att_organ</v>
      </c>
      <c r="I279" s="6" t="s">
        <v>2065</v>
      </c>
      <c r="J279" s="6" t="str">
        <f t="shared" si="27"/>
        <v>att_organ:esophagus</v>
      </c>
      <c r="K279" s="11" t="s">
        <v>19</v>
      </c>
      <c r="L279" s="6" t="s">
        <v>2066</v>
      </c>
      <c r="M279" s="6" t="s">
        <v>15</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2067</v>
      </c>
      <c r="D280" s="6" t="s">
        <v>2068</v>
      </c>
      <c r="E280" s="6" t="s">
        <v>15</v>
      </c>
      <c r="F280" s="6" t="s">
        <v>157</v>
      </c>
      <c r="G280" s="6" t="s">
        <v>2593</v>
      </c>
      <c r="H280" s="6" t="str">
        <f t="shared" si="26"/>
        <v>att_organ</v>
      </c>
      <c r="I280" s="6" t="s">
        <v>2067</v>
      </c>
      <c r="J280" s="6" t="str">
        <f t="shared" si="27"/>
        <v>att_organ:eye</v>
      </c>
      <c r="K280" s="11" t="s">
        <v>19</v>
      </c>
      <c r="L280" s="6" t="s">
        <v>2068</v>
      </c>
      <c r="M280" s="6" t="s">
        <v>15</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2069</v>
      </c>
      <c r="D281" s="6" t="s">
        <v>2070</v>
      </c>
      <c r="E281" s="6" t="s">
        <v>15</v>
      </c>
      <c r="F281" s="6" t="s">
        <v>157</v>
      </c>
      <c r="G281" s="6" t="s">
        <v>2593</v>
      </c>
      <c r="H281" s="6" t="str">
        <f t="shared" si="26"/>
        <v>att_organ</v>
      </c>
      <c r="I281" s="6" t="s">
        <v>2069</v>
      </c>
      <c r="J281" s="6" t="str">
        <f t="shared" si="27"/>
        <v>att_organ:gallbladder</v>
      </c>
      <c r="K281" s="11" t="s">
        <v>19</v>
      </c>
      <c r="L281" s="6" t="s">
        <v>2070</v>
      </c>
      <c r="M281" s="6" t="s">
        <v>15</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2071</v>
      </c>
      <c r="D282" s="6" t="s">
        <v>2072</v>
      </c>
      <c r="E282" s="6" t="s">
        <v>15</v>
      </c>
      <c r="F282" s="6" t="s">
        <v>157</v>
      </c>
      <c r="G282" s="6" t="s">
        <v>2593</v>
      </c>
      <c r="H282" s="6" t="str">
        <f t="shared" si="26"/>
        <v>att_organ</v>
      </c>
      <c r="I282" s="6" t="s">
        <v>2071</v>
      </c>
      <c r="J282" s="6" t="str">
        <f t="shared" si="27"/>
        <v>att_organ:ganglia</v>
      </c>
      <c r="K282" s="11" t="s">
        <v>19</v>
      </c>
      <c r="L282" s="6" t="s">
        <v>2072</v>
      </c>
      <c r="M282" s="6" t="s">
        <v>15</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2073</v>
      </c>
      <c r="D283" s="6" t="s">
        <v>2074</v>
      </c>
      <c r="E283" s="6" t="s">
        <v>15</v>
      </c>
      <c r="F283" s="6" t="s">
        <v>157</v>
      </c>
      <c r="G283" s="6" t="s">
        <v>2593</v>
      </c>
      <c r="H283" s="6" t="str">
        <f t="shared" si="26"/>
        <v>att_organ</v>
      </c>
      <c r="I283" s="6" t="s">
        <v>2073</v>
      </c>
      <c r="J283" s="6" t="str">
        <f t="shared" si="27"/>
        <v>att_organ:heart</v>
      </c>
      <c r="K283" s="11" t="s">
        <v>19</v>
      </c>
      <c r="L283" s="6" t="s">
        <v>2074</v>
      </c>
      <c r="M283" s="6" t="s">
        <v>15</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2075</v>
      </c>
      <c r="D284" s="6" t="s">
        <v>2076</v>
      </c>
      <c r="E284" s="6" t="s">
        <v>15</v>
      </c>
      <c r="F284" s="6" t="s">
        <v>157</v>
      </c>
      <c r="G284" s="6" t="s">
        <v>2593</v>
      </c>
      <c r="H284" s="6" t="str">
        <f t="shared" si="26"/>
        <v>att_organ</v>
      </c>
      <c r="I284" s="6" t="s">
        <v>2075</v>
      </c>
      <c r="J284" s="6" t="str">
        <f t="shared" si="27"/>
        <v>att_organ:hypothalamus</v>
      </c>
      <c r="K284" s="11" t="s">
        <v>19</v>
      </c>
      <c r="L284" s="6" t="s">
        <v>2076</v>
      </c>
      <c r="M284" s="6" t="s">
        <v>15</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2077</v>
      </c>
      <c r="D285" s="6" t="s">
        <v>2078</v>
      </c>
      <c r="E285" s="6" t="s">
        <v>15</v>
      </c>
      <c r="F285" s="6" t="s">
        <v>157</v>
      </c>
      <c r="G285" s="6" t="s">
        <v>2593</v>
      </c>
      <c r="H285" s="6" t="str">
        <f t="shared" si="26"/>
        <v>att_organ</v>
      </c>
      <c r="I285" s="6" t="s">
        <v>2077</v>
      </c>
      <c r="J285" s="6" t="str">
        <f t="shared" si="27"/>
        <v>att_organ:kidney</v>
      </c>
      <c r="K285" s="11" t="s">
        <v>19</v>
      </c>
      <c r="L285" s="6" t="s">
        <v>2078</v>
      </c>
      <c r="M285" s="6" t="s">
        <v>15</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2079</v>
      </c>
      <c r="D286" s="6" t="s">
        <v>2081</v>
      </c>
      <c r="E286" s="6" t="s">
        <v>15</v>
      </c>
      <c r="F286" s="6" t="s">
        <v>157</v>
      </c>
      <c r="G286" s="6" t="s">
        <v>2593</v>
      </c>
      <c r="H286" s="6" t="str">
        <f t="shared" si="26"/>
        <v>att_organ</v>
      </c>
      <c r="I286" s="6" t="s">
        <v>2079</v>
      </c>
      <c r="J286" s="6" t="str">
        <f t="shared" si="27"/>
        <v>att_organ:large_intestine</v>
      </c>
      <c r="K286" s="11" t="s">
        <v>19</v>
      </c>
      <c r="L286" s="6" t="s">
        <v>2082</v>
      </c>
      <c r="M286" s="6" t="s">
        <v>15</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2083</v>
      </c>
      <c r="D287" s="6" t="s">
        <v>2084</v>
      </c>
      <c r="E287" s="6" t="s">
        <v>15</v>
      </c>
      <c r="F287" s="6" t="s">
        <v>157</v>
      </c>
      <c r="G287" s="6" t="s">
        <v>2593</v>
      </c>
      <c r="H287" s="6" t="str">
        <f t="shared" si="26"/>
        <v>att_organ</v>
      </c>
      <c r="I287" s="6" t="s">
        <v>2083</v>
      </c>
      <c r="J287" s="6" t="str">
        <f t="shared" si="27"/>
        <v>att_organ:liver</v>
      </c>
      <c r="K287" s="11" t="s">
        <v>19</v>
      </c>
      <c r="L287" s="6" t="s">
        <v>2084</v>
      </c>
      <c r="M287" s="6" t="s">
        <v>15</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2085</v>
      </c>
      <c r="D288" s="6" t="s">
        <v>2086</v>
      </c>
      <c r="E288" s="6" t="s">
        <v>15</v>
      </c>
      <c r="F288" s="6" t="s">
        <v>157</v>
      </c>
      <c r="G288" s="6" t="s">
        <v>2593</v>
      </c>
      <c r="H288" s="6" t="str">
        <f t="shared" si="26"/>
        <v>att_organ</v>
      </c>
      <c r="I288" s="6" t="s">
        <v>2085</v>
      </c>
      <c r="J288" s="6" t="str">
        <f t="shared" si="27"/>
        <v>att_organ:lung</v>
      </c>
      <c r="K288" s="11" t="s">
        <v>19</v>
      </c>
      <c r="L288" s="6" t="s">
        <v>2086</v>
      </c>
      <c r="M288" s="6" t="s">
        <v>15</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2087</v>
      </c>
      <c r="D289" s="6" t="s">
        <v>2088</v>
      </c>
      <c r="E289" s="6" t="s">
        <v>15</v>
      </c>
      <c r="F289" s="6" t="s">
        <v>157</v>
      </c>
      <c r="G289" s="6" t="s">
        <v>2593</v>
      </c>
      <c r="H289" s="6" t="str">
        <f t="shared" si="26"/>
        <v>att_organ</v>
      </c>
      <c r="I289" s="6" t="s">
        <v>2087</v>
      </c>
      <c r="J289" s="6" t="str">
        <f t="shared" si="27"/>
        <v>att_organ:lymph_node</v>
      </c>
      <c r="K289" s="11" t="s">
        <v>19</v>
      </c>
      <c r="L289" s="6" t="s">
        <v>2088</v>
      </c>
      <c r="M289" s="6" t="s">
        <v>15</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2089</v>
      </c>
      <c r="D290" s="6" t="s">
        <v>2090</v>
      </c>
      <c r="E290" s="6" t="s">
        <v>15</v>
      </c>
      <c r="F290" s="6" t="s">
        <v>157</v>
      </c>
      <c r="G290" s="6" t="s">
        <v>2593</v>
      </c>
      <c r="H290" s="6" t="str">
        <f t="shared" si="26"/>
        <v>att_organ</v>
      </c>
      <c r="I290" s="6" t="s">
        <v>2089</v>
      </c>
      <c r="J290" s="6" t="str">
        <f t="shared" si="27"/>
        <v>att_organ:medulla</v>
      </c>
      <c r="K290" s="11" t="s">
        <v>19</v>
      </c>
      <c r="L290" s="6" t="s">
        <v>2090</v>
      </c>
      <c r="M290" s="6" t="s">
        <v>15</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2091</v>
      </c>
      <c r="D291" s="6" t="s">
        <v>2092</v>
      </c>
      <c r="E291" s="6" t="s">
        <v>15</v>
      </c>
      <c r="F291" s="6" t="s">
        <v>157</v>
      </c>
      <c r="G291" s="6" t="s">
        <v>2593</v>
      </c>
      <c r="H291" s="6" t="str">
        <f t="shared" si="26"/>
        <v>att_organ</v>
      </c>
      <c r="I291" s="6" t="s">
        <v>2091</v>
      </c>
      <c r="J291" s="6" t="str">
        <f t="shared" si="27"/>
        <v>att_organ:mesentery</v>
      </c>
      <c r="K291" s="11" t="s">
        <v>19</v>
      </c>
      <c r="L291" s="6" t="s">
        <v>2092</v>
      </c>
      <c r="M291" s="6" t="s">
        <v>15</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2093</v>
      </c>
      <c r="D292" s="6" t="s">
        <v>2094</v>
      </c>
      <c r="E292" s="6" t="s">
        <v>15</v>
      </c>
      <c r="F292" s="6" t="s">
        <v>157</v>
      </c>
      <c r="G292" s="6" t="s">
        <v>2593</v>
      </c>
      <c r="H292" s="6" t="str">
        <f t="shared" si="26"/>
        <v>att_organ</v>
      </c>
      <c r="I292" s="6" t="s">
        <v>2093</v>
      </c>
      <c r="J292" s="6" t="str">
        <f t="shared" si="27"/>
        <v>att_organ:midbrain</v>
      </c>
      <c r="K292" s="11" t="s">
        <v>19</v>
      </c>
      <c r="L292" s="6" t="s">
        <v>2094</v>
      </c>
      <c r="M292" s="6" t="s">
        <v>15</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2095</v>
      </c>
      <c r="D293" s="6" t="s">
        <v>2096</v>
      </c>
      <c r="E293" s="6" t="s">
        <v>15</v>
      </c>
      <c r="F293" s="6" t="s">
        <v>157</v>
      </c>
      <c r="G293" s="6" t="s">
        <v>2593</v>
      </c>
      <c r="H293" s="6" t="str">
        <f t="shared" si="26"/>
        <v>att_organ</v>
      </c>
      <c r="I293" s="6" t="s">
        <v>2095</v>
      </c>
      <c r="J293" s="6" t="str">
        <f t="shared" si="27"/>
        <v>att_organ:ovaries</v>
      </c>
      <c r="K293" s="11" t="s">
        <v>19</v>
      </c>
      <c r="L293" s="6" t="s">
        <v>2096</v>
      </c>
      <c r="M293" s="6" t="s">
        <v>15</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2097</v>
      </c>
      <c r="D294" s="6" t="s">
        <v>2098</v>
      </c>
      <c r="E294" s="6" t="s">
        <v>15</v>
      </c>
      <c r="F294" s="6" t="s">
        <v>157</v>
      </c>
      <c r="G294" s="6" t="s">
        <v>2593</v>
      </c>
      <c r="H294" s="6" t="str">
        <f t="shared" si="26"/>
        <v>att_organ</v>
      </c>
      <c r="I294" s="6" t="s">
        <v>2097</v>
      </c>
      <c r="J294" s="6" t="str">
        <f t="shared" si="27"/>
        <v>att_organ:pancreas</v>
      </c>
      <c r="K294" s="11" t="s">
        <v>19</v>
      </c>
      <c r="L294" s="6" t="s">
        <v>2098</v>
      </c>
      <c r="M294" s="6" t="s">
        <v>15</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2099</v>
      </c>
      <c r="D295" s="6" t="s">
        <v>2100</v>
      </c>
      <c r="E295" s="6" t="s">
        <v>15</v>
      </c>
      <c r="F295" s="6" t="s">
        <v>157</v>
      </c>
      <c r="G295" s="6" t="s">
        <v>2593</v>
      </c>
      <c r="H295" s="6" t="str">
        <f t="shared" si="26"/>
        <v>att_organ</v>
      </c>
      <c r="I295" s="6" t="s">
        <v>2099</v>
      </c>
      <c r="J295" s="6" t="str">
        <f t="shared" si="27"/>
        <v>att_organ:pons</v>
      </c>
      <c r="K295" s="11" t="s">
        <v>19</v>
      </c>
      <c r="L295" s="6" t="s">
        <v>2100</v>
      </c>
      <c r="M295" s="6" t="s">
        <v>15</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2101</v>
      </c>
      <c r="D296" s="6" t="s">
        <v>2102</v>
      </c>
      <c r="E296" s="6" t="s">
        <v>15</v>
      </c>
      <c r="F296" s="6" t="s">
        <v>157</v>
      </c>
      <c r="G296" s="6" t="s">
        <v>2593</v>
      </c>
      <c r="H296" s="6" t="str">
        <f t="shared" si="26"/>
        <v>att_organ</v>
      </c>
      <c r="I296" s="6" t="s">
        <v>2101</v>
      </c>
      <c r="J296" s="6" t="str">
        <f t="shared" si="27"/>
        <v>att_organ:prostate</v>
      </c>
      <c r="K296" s="11" t="s">
        <v>19</v>
      </c>
      <c r="L296" s="6" t="s">
        <v>2102</v>
      </c>
      <c r="M296" s="6" t="s">
        <v>15</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2103</v>
      </c>
      <c r="D297" s="6" t="s">
        <v>2104</v>
      </c>
      <c r="E297" s="6" t="s">
        <v>15</v>
      </c>
      <c r="F297" s="6" t="s">
        <v>157</v>
      </c>
      <c r="G297" s="6" t="s">
        <v>2593</v>
      </c>
      <c r="H297" s="6" t="str">
        <f t="shared" si="26"/>
        <v>att_organ</v>
      </c>
      <c r="I297" s="6" t="s">
        <v>2103</v>
      </c>
      <c r="J297" s="6" t="str">
        <f t="shared" si="27"/>
        <v>att_organ:rectum</v>
      </c>
      <c r="K297" s="11" t="s">
        <v>19</v>
      </c>
      <c r="L297" s="6" t="s">
        <v>2104</v>
      </c>
      <c r="M297" s="6" t="s">
        <v>15</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2106</v>
      </c>
      <c r="D298" s="6" t="s">
        <v>2107</v>
      </c>
      <c r="E298" s="6" t="s">
        <v>15</v>
      </c>
      <c r="F298" s="6" t="s">
        <v>157</v>
      </c>
      <c r="G298" s="6" t="s">
        <v>2593</v>
      </c>
      <c r="H298" s="6" t="str">
        <f t="shared" si="26"/>
        <v>att_organ</v>
      </c>
      <c r="I298" s="6" t="s">
        <v>2105</v>
      </c>
      <c r="J298" s="6" t="str">
        <f t="shared" si="27"/>
        <v>att_organ:small_intestine</v>
      </c>
      <c r="K298" s="11" t="s">
        <v>19</v>
      </c>
      <c r="L298" s="6" t="s">
        <v>2108</v>
      </c>
      <c r="M298" s="6" t="s">
        <v>15</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2109</v>
      </c>
      <c r="D299" s="6" t="s">
        <v>2110</v>
      </c>
      <c r="E299" s="6" t="s">
        <v>15</v>
      </c>
      <c r="F299" s="6" t="s">
        <v>157</v>
      </c>
      <c r="G299" s="6" t="s">
        <v>2593</v>
      </c>
      <c r="H299" s="6" t="str">
        <f t="shared" si="26"/>
        <v>att_organ</v>
      </c>
      <c r="I299" s="6" t="s">
        <v>2109</v>
      </c>
      <c r="J299" s="6" t="str">
        <f t="shared" si="27"/>
        <v>att_organ:spinal_cord</v>
      </c>
      <c r="K299" s="11" t="s">
        <v>19</v>
      </c>
      <c r="L299" s="6" t="s">
        <v>2111</v>
      </c>
      <c r="M299" s="6" t="s">
        <v>15</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2112</v>
      </c>
      <c r="D300" s="6" t="s">
        <v>2113</v>
      </c>
      <c r="E300" s="6" t="s">
        <v>15</v>
      </c>
      <c r="F300" s="6" t="s">
        <v>157</v>
      </c>
      <c r="G300" s="6" t="s">
        <v>2593</v>
      </c>
      <c r="H300" s="6" t="str">
        <f t="shared" si="26"/>
        <v>att_organ</v>
      </c>
      <c r="I300" s="6" t="s">
        <v>2112</v>
      </c>
      <c r="J300" s="6" t="str">
        <f t="shared" si="27"/>
        <v>att_organ:spleen</v>
      </c>
      <c r="K300" s="11" t="s">
        <v>19</v>
      </c>
      <c r="L300" s="6" t="s">
        <v>2113</v>
      </c>
      <c r="M300" s="6" t="s">
        <v>15</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2114</v>
      </c>
      <c r="D301" s="6" t="s">
        <v>2115</v>
      </c>
      <c r="E301" s="6" t="s">
        <v>15</v>
      </c>
      <c r="F301" s="6" t="s">
        <v>157</v>
      </c>
      <c r="G301" s="6" t="s">
        <v>2593</v>
      </c>
      <c r="H301" s="6" t="str">
        <f t="shared" ref="H301:H332" si="30">"att_"&amp;G301</f>
        <v>att_organ</v>
      </c>
      <c r="I301" s="6" t="s">
        <v>2114</v>
      </c>
      <c r="J301" s="6" t="str">
        <f t="shared" ref="J301:J332" si="31">H301&amp;":"&amp;I301</f>
        <v>att_organ:stomach</v>
      </c>
      <c r="K301" s="11" t="s">
        <v>19</v>
      </c>
      <c r="L301" s="6" t="s">
        <v>2115</v>
      </c>
      <c r="M301" s="6" t="s">
        <v>15</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2116</v>
      </c>
      <c r="D302" s="6" t="s">
        <v>2117</v>
      </c>
      <c r="E302" s="6" t="s">
        <v>15</v>
      </c>
      <c r="F302" s="6" t="s">
        <v>157</v>
      </c>
      <c r="G302" s="6" t="s">
        <v>2593</v>
      </c>
      <c r="H302" s="6" t="str">
        <f t="shared" si="30"/>
        <v>att_organ</v>
      </c>
      <c r="I302" s="6" t="s">
        <v>2116</v>
      </c>
      <c r="J302" s="6" t="str">
        <f t="shared" si="31"/>
        <v>att_organ:testicles</v>
      </c>
      <c r="K302" s="11" t="s">
        <v>19</v>
      </c>
      <c r="L302" s="6" t="s">
        <v>2117</v>
      </c>
      <c r="M302" s="6" t="s">
        <v>15</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2118</v>
      </c>
      <c r="D303" s="6" t="s">
        <v>2119</v>
      </c>
      <c r="E303" s="6" t="s">
        <v>15</v>
      </c>
      <c r="F303" s="6" t="s">
        <v>157</v>
      </c>
      <c r="G303" s="6" t="s">
        <v>2593</v>
      </c>
      <c r="H303" s="6" t="str">
        <f t="shared" si="30"/>
        <v>att_organ</v>
      </c>
      <c r="I303" s="6" t="s">
        <v>2118</v>
      </c>
      <c r="J303" s="6" t="str">
        <f t="shared" si="31"/>
        <v>att_organ:thalamus</v>
      </c>
      <c r="K303" s="11" t="s">
        <v>19</v>
      </c>
      <c r="L303" s="6" t="s">
        <v>2119</v>
      </c>
      <c r="M303" s="6" t="s">
        <v>15</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2120</v>
      </c>
      <c r="D304" s="6" t="s">
        <v>2121</v>
      </c>
      <c r="E304" s="6" t="s">
        <v>15</v>
      </c>
      <c r="F304" s="6" t="s">
        <v>157</v>
      </c>
      <c r="G304" s="6" t="s">
        <v>2593</v>
      </c>
      <c r="H304" s="6" t="str">
        <f t="shared" si="30"/>
        <v>att_organ</v>
      </c>
      <c r="I304" s="6" t="s">
        <v>2120</v>
      </c>
      <c r="J304" s="6" t="str">
        <f t="shared" si="31"/>
        <v>att_organ:thymus</v>
      </c>
      <c r="K304" s="11" t="s">
        <v>19</v>
      </c>
      <c r="L304" s="6" t="s">
        <v>2121</v>
      </c>
      <c r="M304" s="6" t="s">
        <v>15</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2122</v>
      </c>
      <c r="D305" s="6" t="s">
        <v>2123</v>
      </c>
      <c r="E305" s="6" t="s">
        <v>15</v>
      </c>
      <c r="F305" s="6" t="s">
        <v>157</v>
      </c>
      <c r="G305" s="6" t="s">
        <v>2593</v>
      </c>
      <c r="H305" s="6" t="str">
        <f t="shared" si="30"/>
        <v>att_organ</v>
      </c>
      <c r="I305" s="6" t="s">
        <v>2122</v>
      </c>
      <c r="J305" s="6" t="str">
        <f t="shared" si="31"/>
        <v>att_organ:tongue</v>
      </c>
      <c r="K305" s="11" t="s">
        <v>19</v>
      </c>
      <c r="L305" s="6" t="s">
        <v>2123</v>
      </c>
      <c r="M305" s="6" t="s">
        <v>15</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2124</v>
      </c>
      <c r="D306" s="6" t="s">
        <v>2125</v>
      </c>
      <c r="E306" s="6" t="s">
        <v>15</v>
      </c>
      <c r="F306" s="6" t="s">
        <v>157</v>
      </c>
      <c r="G306" s="6" t="s">
        <v>2593</v>
      </c>
      <c r="H306" s="6" t="str">
        <f t="shared" si="30"/>
        <v>att_organ</v>
      </c>
      <c r="I306" s="6" t="s">
        <v>2124</v>
      </c>
      <c r="J306" s="6" t="str">
        <f t="shared" si="31"/>
        <v>att_organ:tonsils</v>
      </c>
      <c r="K306" s="11" t="s">
        <v>19</v>
      </c>
      <c r="L306" s="6" t="s">
        <v>2125</v>
      </c>
      <c r="M306" s="6" t="s">
        <v>15</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2126</v>
      </c>
      <c r="D307" s="6" t="s">
        <v>2127</v>
      </c>
      <c r="E307" s="6" t="s">
        <v>15</v>
      </c>
      <c r="F307" s="6" t="s">
        <v>157</v>
      </c>
      <c r="G307" s="6" t="s">
        <v>2593</v>
      </c>
      <c r="H307" s="6" t="str">
        <f t="shared" si="30"/>
        <v>att_organ</v>
      </c>
      <c r="I307" s="6" t="s">
        <v>2126</v>
      </c>
      <c r="J307" s="6" t="str">
        <f t="shared" si="31"/>
        <v>att_organ:uterus</v>
      </c>
      <c r="K307" s="11" t="s">
        <v>19</v>
      </c>
      <c r="L307" s="6" t="s">
        <v>2127</v>
      </c>
      <c r="M307" s="6" t="s">
        <v>15</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2128</v>
      </c>
      <c r="D308" s="6" t="s">
        <v>2129</v>
      </c>
      <c r="E308" s="6" t="s">
        <v>15</v>
      </c>
      <c r="F308" s="6" t="s">
        <v>157</v>
      </c>
      <c r="G308" s="6" t="s">
        <v>2593</v>
      </c>
      <c r="H308" s="6" t="str">
        <f t="shared" si="30"/>
        <v>att_organ</v>
      </c>
      <c r="I308" s="6" t="s">
        <v>2128</v>
      </c>
      <c r="J308" s="6" t="str">
        <f t="shared" si="31"/>
        <v>att_organ:veins</v>
      </c>
      <c r="K308" s="11" t="s">
        <v>19</v>
      </c>
      <c r="L308" s="6" t="s">
        <v>2129</v>
      </c>
      <c r="M308" s="6" t="s">
        <v>15</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19</v>
      </c>
      <c r="B309" s="12"/>
      <c r="C309" s="6" t="s">
        <v>2594</v>
      </c>
      <c r="D309" s="6" t="s">
        <v>2595</v>
      </c>
      <c r="E309" s="6" t="s">
        <v>15</v>
      </c>
      <c r="F309" s="6" t="s">
        <v>159</v>
      </c>
      <c r="G309" s="6" t="s">
        <v>2596</v>
      </c>
      <c r="H309" s="6" t="str">
        <f t="shared" si="30"/>
        <v>att_organism</v>
      </c>
      <c r="I309" s="6" t="s">
        <v>2594</v>
      </c>
      <c r="J309" s="6" t="str">
        <f t="shared" si="31"/>
        <v>att_organism:bacteria</v>
      </c>
      <c r="K309" s="11" t="s">
        <v>19</v>
      </c>
      <c r="L309" s="6" t="s">
        <v>2595</v>
      </c>
      <c r="M309" s="6" t="s">
        <v>15</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19</v>
      </c>
      <c r="B310" s="12"/>
      <c r="C310" s="6" t="s">
        <v>2597</v>
      </c>
      <c r="D310" s="6" t="s">
        <v>2136</v>
      </c>
      <c r="E310" s="6" t="s">
        <v>15</v>
      </c>
      <c r="F310" s="6" t="s">
        <v>159</v>
      </c>
      <c r="G310" s="6" t="s">
        <v>2596</v>
      </c>
      <c r="H310" s="6" t="str">
        <f t="shared" si="30"/>
        <v>att_organism</v>
      </c>
      <c r="I310" s="6" t="s">
        <v>2597</v>
      </c>
      <c r="J310" s="6" t="str">
        <f t="shared" si="31"/>
        <v>att_organism:elegans</v>
      </c>
      <c r="K310" s="11" t="s">
        <v>19</v>
      </c>
      <c r="L310" s="6" t="s">
        <v>2136</v>
      </c>
      <c r="M310" s="6" t="s">
        <v>15</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19</v>
      </c>
      <c r="B311" s="12"/>
      <c r="C311" s="6" t="s">
        <v>2598</v>
      </c>
      <c r="D311" s="6" t="s">
        <v>2599</v>
      </c>
      <c r="E311" s="6" t="s">
        <v>15</v>
      </c>
      <c r="F311" s="6" t="s">
        <v>159</v>
      </c>
      <c r="G311" s="6" t="s">
        <v>2596</v>
      </c>
      <c r="H311" s="6" t="str">
        <f t="shared" si="30"/>
        <v>att_organism</v>
      </c>
      <c r="I311" s="6" t="s">
        <v>2598</v>
      </c>
      <c r="J311" s="6" t="str">
        <f t="shared" si="31"/>
        <v>att_organism:gut</v>
      </c>
      <c r="K311" s="11" t="s">
        <v>19</v>
      </c>
      <c r="L311" s="6" t="s">
        <v>2600</v>
      </c>
      <c r="M311" s="6" t="s">
        <v>15</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19</v>
      </c>
      <c r="B312" s="12"/>
      <c r="C312" s="6" t="s">
        <v>2147</v>
      </c>
      <c r="D312" s="6" t="s">
        <v>2148</v>
      </c>
      <c r="E312" s="6" t="s">
        <v>15</v>
      </c>
      <c r="F312" s="6" t="s">
        <v>159</v>
      </c>
      <c r="G312" s="6" t="s">
        <v>2596</v>
      </c>
      <c r="H312" s="6" t="str">
        <f t="shared" si="30"/>
        <v>att_organism</v>
      </c>
      <c r="I312" s="6" t="s">
        <v>2147</v>
      </c>
      <c r="J312" s="6" t="str">
        <f t="shared" si="31"/>
        <v>att_organism:human</v>
      </c>
      <c r="K312" s="11" t="s">
        <v>19</v>
      </c>
      <c r="L312" s="6" t="s">
        <v>2601</v>
      </c>
      <c r="M312" s="6" t="s">
        <v>15</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19</v>
      </c>
      <c r="B313" s="12"/>
      <c r="C313" s="6" t="s">
        <v>2131</v>
      </c>
      <c r="D313" s="6" t="s">
        <v>2132</v>
      </c>
      <c r="E313" s="6" t="s">
        <v>15</v>
      </c>
      <c r="F313" s="6" t="s">
        <v>159</v>
      </c>
      <c r="G313" s="6" t="s">
        <v>2596</v>
      </c>
      <c r="H313" s="6" t="str">
        <f t="shared" si="30"/>
        <v>att_organism</v>
      </c>
      <c r="I313" s="6" t="s">
        <v>2131</v>
      </c>
      <c r="J313" s="6" t="str">
        <f t="shared" si="31"/>
        <v>att_organism:mouse</v>
      </c>
      <c r="K313" s="11" t="s">
        <v>19</v>
      </c>
      <c r="L313" s="6" t="s">
        <v>2602</v>
      </c>
      <c r="M313" s="6" t="s">
        <v>15</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19</v>
      </c>
      <c r="B314" s="12"/>
      <c r="C314" s="6" t="s">
        <v>2143</v>
      </c>
      <c r="D314" s="6" t="s">
        <v>2144</v>
      </c>
      <c r="E314" s="6" t="s">
        <v>15</v>
      </c>
      <c r="F314" s="6" t="s">
        <v>159</v>
      </c>
      <c r="G314" s="6" t="s">
        <v>2596</v>
      </c>
      <c r="H314" s="6" t="str">
        <f t="shared" si="30"/>
        <v>att_organism</v>
      </c>
      <c r="I314" s="6" t="s">
        <v>2143</v>
      </c>
      <c r="J314" s="6" t="str">
        <f t="shared" si="31"/>
        <v>att_organism:rat</v>
      </c>
      <c r="K314" s="11" t="s">
        <v>19</v>
      </c>
      <c r="L314" s="6" t="s">
        <v>2603</v>
      </c>
      <c r="M314" s="6" t="s">
        <v>15</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19</v>
      </c>
      <c r="B315" s="12"/>
      <c r="C315" s="6" t="s">
        <v>2139</v>
      </c>
      <c r="D315" s="6" t="s">
        <v>2140</v>
      </c>
      <c r="E315" s="6" t="s">
        <v>15</v>
      </c>
      <c r="F315" s="6" t="s">
        <v>159</v>
      </c>
      <c r="G315" s="6" t="s">
        <v>2596</v>
      </c>
      <c r="H315" s="6" t="str">
        <f t="shared" si="30"/>
        <v>att_organism</v>
      </c>
      <c r="I315" s="6" t="s">
        <v>2139</v>
      </c>
      <c r="J315" s="6" t="str">
        <f t="shared" si="31"/>
        <v>att_organism:yeast</v>
      </c>
      <c r="K315" s="11" t="s">
        <v>19</v>
      </c>
      <c r="L315" s="6" t="s">
        <v>2604</v>
      </c>
      <c r="M315" s="6" t="s">
        <v>15</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2150</v>
      </c>
      <c r="D316" s="6" t="s">
        <v>2152</v>
      </c>
      <c r="E316" s="6" t="s">
        <v>15</v>
      </c>
      <c r="F316" s="6" t="s">
        <v>2605</v>
      </c>
      <c r="G316" s="6" t="s">
        <v>2606</v>
      </c>
      <c r="H316" s="6" t="str">
        <f t="shared" si="30"/>
        <v>att_organsystem</v>
      </c>
      <c r="I316" s="6" t="s">
        <v>2150</v>
      </c>
      <c r="J316" s="6" t="str">
        <f t="shared" si="31"/>
        <v>att_organsystem:cardiovascular</v>
      </c>
      <c r="K316" s="11" t="s">
        <v>19</v>
      </c>
      <c r="L316" s="6" t="s">
        <v>2153</v>
      </c>
      <c r="M316" s="6" t="s">
        <v>15</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2154</v>
      </c>
      <c r="D317" s="6" t="s">
        <v>2155</v>
      </c>
      <c r="E317" s="6" t="s">
        <v>15</v>
      </c>
      <c r="F317" s="6" t="s">
        <v>2605</v>
      </c>
      <c r="G317" s="6" t="s">
        <v>2606</v>
      </c>
      <c r="H317" s="6" t="str">
        <f t="shared" si="30"/>
        <v>att_organsystem</v>
      </c>
      <c r="I317" s="6" t="s">
        <v>2154</v>
      </c>
      <c r="J317" s="6" t="str">
        <f t="shared" si="31"/>
        <v>att_organsystem:digestive</v>
      </c>
      <c r="K317" s="11" t="s">
        <v>19</v>
      </c>
      <c r="L317" s="6" t="s">
        <v>2156</v>
      </c>
      <c r="M317" s="6" t="s">
        <v>15</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2157</v>
      </c>
      <c r="D318" s="6" t="s">
        <v>2158</v>
      </c>
      <c r="E318" s="6" t="s">
        <v>15</v>
      </c>
      <c r="F318" s="6" t="s">
        <v>2605</v>
      </c>
      <c r="G318" s="6" t="s">
        <v>2606</v>
      </c>
      <c r="H318" s="6" t="str">
        <f t="shared" si="30"/>
        <v>att_organsystem</v>
      </c>
      <c r="I318" s="6" t="s">
        <v>2157</v>
      </c>
      <c r="J318" s="6" t="str">
        <f t="shared" si="31"/>
        <v>att_organsystem:endocrine</v>
      </c>
      <c r="K318" s="11" t="s">
        <v>19</v>
      </c>
      <c r="L318" s="6" t="s">
        <v>2159</v>
      </c>
      <c r="M318" s="6" t="s">
        <v>15</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2160</v>
      </c>
      <c r="D319" s="6" t="s">
        <v>2161</v>
      </c>
      <c r="E319" s="6" t="s">
        <v>15</v>
      </c>
      <c r="F319" s="6" t="s">
        <v>2605</v>
      </c>
      <c r="G319" s="6" t="s">
        <v>2606</v>
      </c>
      <c r="H319" s="6" t="str">
        <f t="shared" si="30"/>
        <v>att_organsystem</v>
      </c>
      <c r="I319" s="6" t="s">
        <v>2160</v>
      </c>
      <c r="J319" s="6" t="str">
        <f t="shared" si="31"/>
        <v>att_organsystem:excretory</v>
      </c>
      <c r="K319" s="11" t="s">
        <v>19</v>
      </c>
      <c r="L319" s="6" t="s">
        <v>2162</v>
      </c>
      <c r="M319" s="6" t="s">
        <v>15</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2163</v>
      </c>
      <c r="D320" s="6" t="s">
        <v>2164</v>
      </c>
      <c r="E320" s="6" t="s">
        <v>15</v>
      </c>
      <c r="F320" s="6" t="s">
        <v>2605</v>
      </c>
      <c r="G320" s="6" t="s">
        <v>2606</v>
      </c>
      <c r="H320" s="6" t="str">
        <f t="shared" si="30"/>
        <v>att_organsystem</v>
      </c>
      <c r="I320" s="6" t="s">
        <v>2163</v>
      </c>
      <c r="J320" s="6" t="str">
        <f t="shared" si="31"/>
        <v>att_organsystem:integumentary</v>
      </c>
      <c r="K320" s="11" t="s">
        <v>19</v>
      </c>
      <c r="L320" s="6" t="s">
        <v>2165</v>
      </c>
      <c r="M320" s="6" t="s">
        <v>15</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2166</v>
      </c>
      <c r="D321" s="6" t="s">
        <v>2167</v>
      </c>
      <c r="E321" s="6" t="s">
        <v>15</v>
      </c>
      <c r="F321" s="6" t="s">
        <v>2605</v>
      </c>
      <c r="G321" s="6" t="s">
        <v>2606</v>
      </c>
      <c r="H321" s="6" t="str">
        <f t="shared" si="30"/>
        <v>att_organsystem</v>
      </c>
      <c r="I321" s="6" t="s">
        <v>2166</v>
      </c>
      <c r="J321" s="6" t="str">
        <f t="shared" si="31"/>
        <v>att_organsystem:lymphatic</v>
      </c>
      <c r="K321" s="11" t="s">
        <v>19</v>
      </c>
      <c r="L321" s="6" t="s">
        <v>2168</v>
      </c>
      <c r="M321" s="6" t="s">
        <v>15</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2169</v>
      </c>
      <c r="D322" s="6" t="s">
        <v>2170</v>
      </c>
      <c r="E322" s="6" t="s">
        <v>15</v>
      </c>
      <c r="F322" s="6" t="s">
        <v>2605</v>
      </c>
      <c r="G322" s="6" t="s">
        <v>2606</v>
      </c>
      <c r="H322" s="6" t="str">
        <f t="shared" si="30"/>
        <v>att_organsystem</v>
      </c>
      <c r="I322" s="6" t="s">
        <v>2169</v>
      </c>
      <c r="J322" s="6" t="str">
        <f t="shared" si="31"/>
        <v>att_organsystem:muscular</v>
      </c>
      <c r="K322" s="11" t="s">
        <v>19</v>
      </c>
      <c r="L322" s="6" t="s">
        <v>2171</v>
      </c>
      <c r="M322" s="6" t="s">
        <v>15</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2607</v>
      </c>
      <c r="D323" s="6" t="s">
        <v>2173</v>
      </c>
      <c r="E323" s="6" t="s">
        <v>15</v>
      </c>
      <c r="F323" s="6" t="s">
        <v>2605</v>
      </c>
      <c r="G323" s="6" t="s">
        <v>2606</v>
      </c>
      <c r="H323" s="6" t="str">
        <f t="shared" si="30"/>
        <v>att_organsystem</v>
      </c>
      <c r="I323" s="6" t="s">
        <v>2172</v>
      </c>
      <c r="J323" s="6" t="str">
        <f t="shared" si="31"/>
        <v>att_organsystem:nervous_system</v>
      </c>
      <c r="K323" s="11" t="s">
        <v>19</v>
      </c>
      <c r="L323" s="6" t="s">
        <v>2174</v>
      </c>
      <c r="M323" s="6" t="s">
        <v>15</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2175</v>
      </c>
      <c r="D324" s="6" t="s">
        <v>2176</v>
      </c>
      <c r="E324" s="6" t="s">
        <v>15</v>
      </c>
      <c r="F324" s="6" t="s">
        <v>2605</v>
      </c>
      <c r="G324" s="6" t="s">
        <v>2606</v>
      </c>
      <c r="H324" s="6" t="str">
        <f t="shared" si="30"/>
        <v>att_organsystem</v>
      </c>
      <c r="I324" s="6" t="s">
        <v>2175</v>
      </c>
      <c r="J324" s="6" t="str">
        <f t="shared" si="31"/>
        <v>att_organsystem:reproductive</v>
      </c>
      <c r="K324" s="11" t="s">
        <v>19</v>
      </c>
      <c r="L324" s="6" t="s">
        <v>2177</v>
      </c>
      <c r="M324" s="6" t="s">
        <v>15</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2178</v>
      </c>
      <c r="D325" s="6" t="s">
        <v>2179</v>
      </c>
      <c r="E325" s="6" t="s">
        <v>15</v>
      </c>
      <c r="F325" s="6" t="s">
        <v>2605</v>
      </c>
      <c r="G325" s="6" t="s">
        <v>2606</v>
      </c>
      <c r="H325" s="6" t="str">
        <f t="shared" si="30"/>
        <v>att_organsystem</v>
      </c>
      <c r="I325" s="6" t="s">
        <v>2178</v>
      </c>
      <c r="J325" s="6" t="str">
        <f t="shared" si="31"/>
        <v>att_organsystem:respiratory</v>
      </c>
      <c r="K325" s="11" t="s">
        <v>19</v>
      </c>
      <c r="L325" s="6" t="s">
        <v>2180</v>
      </c>
      <c r="M325" s="6" t="s">
        <v>15</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2181</v>
      </c>
      <c r="D326" s="6" t="s">
        <v>2182</v>
      </c>
      <c r="E326" s="6" t="s">
        <v>15</v>
      </c>
      <c r="F326" s="6" t="s">
        <v>2605</v>
      </c>
      <c r="G326" s="6" t="s">
        <v>2606</v>
      </c>
      <c r="H326" s="6" t="str">
        <f t="shared" si="30"/>
        <v>att_organsystem</v>
      </c>
      <c r="I326" s="6" t="s">
        <v>2181</v>
      </c>
      <c r="J326" s="6" t="str">
        <f t="shared" si="31"/>
        <v>att_organsystem:skeletal</v>
      </c>
      <c r="K326" s="11" t="s">
        <v>19</v>
      </c>
      <c r="L326" s="6" t="s">
        <v>2183</v>
      </c>
      <c r="M326" s="6" t="s">
        <v>15</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2184</v>
      </c>
      <c r="D327" s="6" t="s">
        <v>2185</v>
      </c>
      <c r="E327" s="6" t="s">
        <v>15</v>
      </c>
      <c r="F327" s="6" t="s">
        <v>2605</v>
      </c>
      <c r="G327" s="6" t="s">
        <v>2606</v>
      </c>
      <c r="H327" s="6" t="str">
        <f t="shared" si="30"/>
        <v>att_organsystem</v>
      </c>
      <c r="I327" s="6" t="s">
        <v>2184</v>
      </c>
      <c r="J327" s="6" t="str">
        <f t="shared" si="31"/>
        <v>att_organsystem:urinary</v>
      </c>
      <c r="K327" s="11" t="s">
        <v>19</v>
      </c>
      <c r="L327" s="6" t="s">
        <v>2186</v>
      </c>
      <c r="M327" s="6" t="s">
        <v>15</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2608</v>
      </c>
      <c r="D328" s="14" t="s">
        <v>2609</v>
      </c>
      <c r="E328" s="14" t="s">
        <v>15</v>
      </c>
      <c r="F328" s="14" t="s">
        <v>2610</v>
      </c>
      <c r="G328" s="14" t="s">
        <v>2611</v>
      </c>
      <c r="H328" s="14" t="str">
        <f t="shared" si="30"/>
        <v>att_phenotype</v>
      </c>
      <c r="I328" s="14" t="s">
        <v>2608</v>
      </c>
      <c r="J328" s="14" t="str">
        <f t="shared" si="31"/>
        <v>att_phenotype:kd</v>
      </c>
      <c r="K328" s="15" t="s">
        <v>19</v>
      </c>
      <c r="L328" s="14" t="s">
        <v>113</v>
      </c>
      <c r="M328" s="14" t="s">
        <v>15</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1217</v>
      </c>
      <c r="D329" s="14" t="s">
        <v>2612</v>
      </c>
      <c r="E329" s="14" t="s">
        <v>15</v>
      </c>
      <c r="F329" s="14" t="s">
        <v>2610</v>
      </c>
      <c r="G329" s="14" t="s">
        <v>2611</v>
      </c>
      <c r="H329" s="14" t="str">
        <f t="shared" si="30"/>
        <v>att_phenotype</v>
      </c>
      <c r="I329" s="14" t="s">
        <v>1217</v>
      </c>
      <c r="J329" s="14" t="str">
        <f t="shared" si="31"/>
        <v>att_phenotype:ko</v>
      </c>
      <c r="K329" s="15" t="s">
        <v>19</v>
      </c>
      <c r="L329" s="14" t="s">
        <v>2538</v>
      </c>
      <c r="M329" s="14" t="s">
        <v>15</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2613</v>
      </c>
      <c r="D330" s="14" t="s">
        <v>2614</v>
      </c>
      <c r="E330" s="14" t="s">
        <v>15</v>
      </c>
      <c r="F330" s="14" t="s">
        <v>2610</v>
      </c>
      <c r="G330" s="14" t="s">
        <v>2611</v>
      </c>
      <c r="H330" s="14" t="str">
        <f t="shared" si="30"/>
        <v>att_phenotype</v>
      </c>
      <c r="I330" s="14" t="s">
        <v>2613</v>
      </c>
      <c r="J330" s="14" t="str">
        <f t="shared" si="31"/>
        <v>att_phenotype:mt</v>
      </c>
      <c r="K330" s="15" t="s">
        <v>19</v>
      </c>
      <c r="L330" s="14" t="s">
        <v>2615</v>
      </c>
      <c r="M330" s="14" t="s">
        <v>15</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2616</v>
      </c>
      <c r="D331" s="14" t="s">
        <v>2617</v>
      </c>
      <c r="E331" s="14" t="s">
        <v>15</v>
      </c>
      <c r="F331" s="14" t="s">
        <v>2610</v>
      </c>
      <c r="G331" s="14" t="s">
        <v>2611</v>
      </c>
      <c r="H331" s="14" t="str">
        <f t="shared" si="30"/>
        <v>att_phenotype</v>
      </c>
      <c r="I331" s="14" t="s">
        <v>2616</v>
      </c>
      <c r="J331" s="14" t="str">
        <f t="shared" si="31"/>
        <v>att_phenotype:wt</v>
      </c>
      <c r="K331" s="15" t="s">
        <v>19</v>
      </c>
      <c r="L331" s="14" t="s">
        <v>2618</v>
      </c>
      <c r="M331" s="14" t="s">
        <v>15</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19</v>
      </c>
      <c r="B332" s="11"/>
      <c r="C332" s="6" t="s">
        <v>2268</v>
      </c>
      <c r="D332" s="6" t="s">
        <v>2268</v>
      </c>
      <c r="E332" s="6" t="s">
        <v>15</v>
      </c>
      <c r="F332" s="6" t="s">
        <v>170</v>
      </c>
      <c r="G332" s="6" t="s">
        <v>2619</v>
      </c>
      <c r="H332" s="6" t="str">
        <f t="shared" si="30"/>
        <v>att_quantification</v>
      </c>
      <c r="I332" s="6" t="s">
        <v>2268</v>
      </c>
      <c r="J332" s="6" t="str">
        <f t="shared" si="31"/>
        <v>att_quantification:isobaric</v>
      </c>
      <c r="K332" s="11" t="s">
        <v>19</v>
      </c>
      <c r="L332" s="6" t="s">
        <v>2269</v>
      </c>
      <c r="M332" s="6" t="s">
        <v>15</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19</v>
      </c>
      <c r="B333" s="11"/>
      <c r="C333" s="6" t="s">
        <v>2270</v>
      </c>
      <c r="D333" s="6" t="s">
        <v>2270</v>
      </c>
      <c r="E333" s="6" t="s">
        <v>15</v>
      </c>
      <c r="F333" s="6" t="s">
        <v>170</v>
      </c>
      <c r="G333" s="6" t="s">
        <v>2619</v>
      </c>
      <c r="H333" s="6" t="str">
        <f t="shared" ref="H333:H364" si="34">"att_"&amp;G333</f>
        <v>att_quantification</v>
      </c>
      <c r="I333" s="6" t="s">
        <v>2270</v>
      </c>
      <c r="J333" s="6" t="str">
        <f t="shared" ref="J333:J364" si="35">H333&amp;":"&amp;I333</f>
        <v>att_quantification:istopic</v>
      </c>
      <c r="K333" s="11" t="s">
        <v>19</v>
      </c>
      <c r="L333" s="6" t="s">
        <v>2271</v>
      </c>
      <c r="M333" s="6" t="s">
        <v>15</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19</v>
      </c>
      <c r="B334" s="11"/>
      <c r="C334" s="6" t="s">
        <v>2620</v>
      </c>
      <c r="D334" s="6" t="s">
        <v>2273</v>
      </c>
      <c r="E334" s="6" t="s">
        <v>15</v>
      </c>
      <c r="F334" s="6" t="s">
        <v>170</v>
      </c>
      <c r="G334" s="6" t="s">
        <v>2619</v>
      </c>
      <c r="H334" s="6" t="str">
        <f t="shared" si="34"/>
        <v>att_quantification</v>
      </c>
      <c r="I334" s="6" t="s">
        <v>2272</v>
      </c>
      <c r="J334" s="6" t="str">
        <f t="shared" si="35"/>
        <v>att_quantification:label_free</v>
      </c>
      <c r="K334" s="11" t="s">
        <v>19</v>
      </c>
      <c r="L334" s="6" t="s">
        <v>2274</v>
      </c>
      <c r="M334" s="6" t="s">
        <v>15</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19</v>
      </c>
      <c r="B335" s="11"/>
      <c r="C335" s="6" t="s">
        <v>2275</v>
      </c>
      <c r="D335" s="6" t="s">
        <v>2275</v>
      </c>
      <c r="E335" s="6" t="s">
        <v>15</v>
      </c>
      <c r="F335" s="6" t="s">
        <v>170</v>
      </c>
      <c r="G335" s="6" t="s">
        <v>2619</v>
      </c>
      <c r="H335" s="6" t="str">
        <f t="shared" si="34"/>
        <v>att_quantification</v>
      </c>
      <c r="I335" s="6" t="s">
        <v>2275</v>
      </c>
      <c r="J335" s="6" t="str">
        <f t="shared" si="35"/>
        <v>att_quantification:silac</v>
      </c>
      <c r="K335" s="11" t="s">
        <v>19</v>
      </c>
      <c r="L335" s="6" t="s">
        <v>2276</v>
      </c>
      <c r="M335" s="6" t="s">
        <v>15</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1350</v>
      </c>
      <c r="D336" s="6" t="s">
        <v>1351</v>
      </c>
      <c r="E336" s="6" t="s">
        <v>15</v>
      </c>
      <c r="F336" s="6" t="s">
        <v>2621</v>
      </c>
      <c r="G336" s="6" t="s">
        <v>2622</v>
      </c>
      <c r="H336" s="6" t="str">
        <f t="shared" si="34"/>
        <v>att_signalling</v>
      </c>
      <c r="I336" s="6" t="s">
        <v>1350</v>
      </c>
      <c r="J336" s="6" t="str">
        <f t="shared" si="35"/>
        <v>att_signalling:apoptosis</v>
      </c>
      <c r="K336" s="11" t="s">
        <v>19</v>
      </c>
      <c r="L336" s="6" t="s">
        <v>2285</v>
      </c>
      <c r="M336" s="6" t="s">
        <v>15</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2286</v>
      </c>
      <c r="D337" s="6" t="s">
        <v>2287</v>
      </c>
      <c r="E337" s="6" t="s">
        <v>15</v>
      </c>
      <c r="F337" s="6" t="s">
        <v>2621</v>
      </c>
      <c r="G337" s="6" t="s">
        <v>2622</v>
      </c>
      <c r="H337" s="6" t="str">
        <f t="shared" si="34"/>
        <v>att_signalling</v>
      </c>
      <c r="I337" s="6" t="s">
        <v>2286</v>
      </c>
      <c r="J337" s="6" t="str">
        <f t="shared" si="35"/>
        <v>att_signalling:autocrine</v>
      </c>
      <c r="K337" s="11" t="s">
        <v>19</v>
      </c>
      <c r="L337" s="6" t="s">
        <v>2288</v>
      </c>
      <c r="M337" s="6" t="s">
        <v>15</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2289</v>
      </c>
      <c r="D338" s="6" t="s">
        <v>2290</v>
      </c>
      <c r="E338" s="6" t="s">
        <v>15</v>
      </c>
      <c r="F338" s="6" t="s">
        <v>2621</v>
      </c>
      <c r="G338" s="6" t="s">
        <v>2622</v>
      </c>
      <c r="H338" s="6" t="str">
        <f t="shared" si="34"/>
        <v>att_signalling</v>
      </c>
      <c r="I338" s="6" t="s">
        <v>2289</v>
      </c>
      <c r="J338" s="6" t="str">
        <f t="shared" si="35"/>
        <v>att_signalling:complement</v>
      </c>
      <c r="K338" s="11" t="s">
        <v>19</v>
      </c>
      <c r="L338" s="6" t="s">
        <v>2291</v>
      </c>
      <c r="M338" s="6" t="s">
        <v>15</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2292</v>
      </c>
      <c r="D339" s="6" t="s">
        <v>2293</v>
      </c>
      <c r="E339" s="6" t="s">
        <v>15</v>
      </c>
      <c r="F339" s="6" t="s">
        <v>2621</v>
      </c>
      <c r="G339" s="6" t="s">
        <v>2622</v>
      </c>
      <c r="H339" s="6" t="str">
        <f t="shared" si="34"/>
        <v>att_signalling</v>
      </c>
      <c r="I339" s="6" t="s">
        <v>2292</v>
      </c>
      <c r="J339" s="6" t="str">
        <f t="shared" si="35"/>
        <v>att_signalling:cytokines</v>
      </c>
      <c r="K339" s="11" t="s">
        <v>19</v>
      </c>
      <c r="L339" s="6" t="s">
        <v>2294</v>
      </c>
      <c r="M339" s="6" t="s">
        <v>15</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2295</v>
      </c>
      <c r="D340" s="6" t="s">
        <v>2296</v>
      </c>
      <c r="E340" s="6" t="s">
        <v>15</v>
      </c>
      <c r="F340" s="6" t="s">
        <v>2621</v>
      </c>
      <c r="G340" s="6" t="s">
        <v>2622</v>
      </c>
      <c r="H340" s="6" t="str">
        <f t="shared" si="34"/>
        <v>att_signalling</v>
      </c>
      <c r="I340" s="6" t="s">
        <v>2295</v>
      </c>
      <c r="J340" s="6" t="str">
        <f t="shared" si="35"/>
        <v>att_signalling:inflammation</v>
      </c>
      <c r="K340" s="11" t="s">
        <v>19</v>
      </c>
      <c r="L340" s="6" t="s">
        <v>2297</v>
      </c>
      <c r="M340" s="6" t="s">
        <v>15</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2298</v>
      </c>
      <c r="D341" s="6" t="s">
        <v>2299</v>
      </c>
      <c r="E341" s="6" t="s">
        <v>15</v>
      </c>
      <c r="F341" s="6" t="s">
        <v>2621</v>
      </c>
      <c r="G341" s="6" t="s">
        <v>2622</v>
      </c>
      <c r="H341" s="6" t="str">
        <f t="shared" si="34"/>
        <v>att_signalling</v>
      </c>
      <c r="I341" s="6" t="s">
        <v>2298</v>
      </c>
      <c r="J341" s="6" t="str">
        <f t="shared" si="35"/>
        <v>att_signalling:insulin</v>
      </c>
      <c r="K341" s="11" t="s">
        <v>19</v>
      </c>
      <c r="L341" s="6" t="s">
        <v>2300</v>
      </c>
      <c r="M341" s="6" t="s">
        <v>15</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2301</v>
      </c>
      <c r="D342" s="6" t="s">
        <v>2302</v>
      </c>
      <c r="E342" s="6" t="s">
        <v>15</v>
      </c>
      <c r="F342" s="6" t="s">
        <v>2621</v>
      </c>
      <c r="G342" s="6" t="s">
        <v>2622</v>
      </c>
      <c r="H342" s="6" t="str">
        <f t="shared" si="34"/>
        <v>att_signalling</v>
      </c>
      <c r="I342" s="6" t="s">
        <v>2301</v>
      </c>
      <c r="J342" s="6" t="str">
        <f t="shared" si="35"/>
        <v>att_signalling:juxtacrine</v>
      </c>
      <c r="K342" s="11" t="s">
        <v>19</v>
      </c>
      <c r="L342" s="6" t="s">
        <v>2303</v>
      </c>
      <c r="M342" s="6" t="s">
        <v>15</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2304</v>
      </c>
      <c r="D343" s="6" t="s">
        <v>2305</v>
      </c>
      <c r="E343" s="6" t="s">
        <v>15</v>
      </c>
      <c r="F343" s="6" t="s">
        <v>2621</v>
      </c>
      <c r="G343" s="6" t="s">
        <v>2622</v>
      </c>
      <c r="H343" s="6" t="str">
        <f t="shared" si="34"/>
        <v>att_signalling</v>
      </c>
      <c r="I343" s="6" t="s">
        <v>2304</v>
      </c>
      <c r="J343" s="6" t="str">
        <f t="shared" si="35"/>
        <v>att_signalling:necrosis</v>
      </c>
      <c r="K343" s="11" t="s">
        <v>19</v>
      </c>
      <c r="L343" s="6" t="s">
        <v>2306</v>
      </c>
      <c r="M343" s="6" t="s">
        <v>15</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2307</v>
      </c>
      <c r="D344" s="6" t="s">
        <v>2308</v>
      </c>
      <c r="E344" s="6" t="s">
        <v>15</v>
      </c>
      <c r="F344" s="6" t="s">
        <v>2621</v>
      </c>
      <c r="G344" s="6" t="s">
        <v>2622</v>
      </c>
      <c r="H344" s="6" t="str">
        <f t="shared" si="34"/>
        <v>att_signalling</v>
      </c>
      <c r="I344" s="6" t="s">
        <v>2307</v>
      </c>
      <c r="J344" s="6" t="str">
        <f t="shared" si="35"/>
        <v>att_signalling:paracrine</v>
      </c>
      <c r="K344" s="11" t="s">
        <v>19</v>
      </c>
      <c r="L344" s="6" t="s">
        <v>2309</v>
      </c>
      <c r="M344" s="6" t="s">
        <v>15</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1698</v>
      </c>
      <c r="D345" s="6" t="s">
        <v>1699</v>
      </c>
      <c r="E345" s="6" t="s">
        <v>15</v>
      </c>
      <c r="F345" s="6" t="s">
        <v>2621</v>
      </c>
      <c r="G345" s="6" t="s">
        <v>2622</v>
      </c>
      <c r="H345" s="6" t="str">
        <f t="shared" si="34"/>
        <v>att_signalling</v>
      </c>
      <c r="I345" s="6" t="s">
        <v>1698</v>
      </c>
      <c r="J345" s="6" t="str">
        <f t="shared" si="35"/>
        <v>att_signalling:signaling</v>
      </c>
      <c r="K345" s="11" t="s">
        <v>19</v>
      </c>
      <c r="L345" s="6" t="s">
        <v>2310</v>
      </c>
      <c r="M345" s="6" t="s">
        <v>15</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19</v>
      </c>
      <c r="B346" s="12"/>
      <c r="C346" s="6" t="s">
        <v>2311</v>
      </c>
      <c r="D346" s="6" t="s">
        <v>2312</v>
      </c>
      <c r="E346" s="6" t="s">
        <v>15</v>
      </c>
      <c r="F346" s="6" t="s">
        <v>175</v>
      </c>
      <c r="G346" s="6" t="s">
        <v>2623</v>
      </c>
      <c r="H346" s="6" t="str">
        <f t="shared" si="34"/>
        <v>att_software</v>
      </c>
      <c r="I346" s="6" t="s">
        <v>2311</v>
      </c>
      <c r="J346" s="6" t="str">
        <f t="shared" si="35"/>
        <v>att_software:diann</v>
      </c>
      <c r="K346" s="11" t="s">
        <v>19</v>
      </c>
      <c r="L346" s="6" t="s">
        <v>2313</v>
      </c>
      <c r="M346" s="6" t="s">
        <v>15</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19</v>
      </c>
      <c r="B347" s="12"/>
      <c r="C347" s="6" t="s">
        <v>2314</v>
      </c>
      <c r="D347" s="6" t="s">
        <v>2315</v>
      </c>
      <c r="E347" s="6" t="s">
        <v>15</v>
      </c>
      <c r="F347" s="6" t="s">
        <v>175</v>
      </c>
      <c r="G347" s="6" t="s">
        <v>2623</v>
      </c>
      <c r="H347" s="6" t="str">
        <f t="shared" si="34"/>
        <v>att_software</v>
      </c>
      <c r="I347" s="6" t="s">
        <v>2314</v>
      </c>
      <c r="J347" s="6" t="str">
        <f t="shared" si="35"/>
        <v>att_software:maxquant</v>
      </c>
      <c r="K347" s="11" t="s">
        <v>19</v>
      </c>
      <c r="L347" s="6" t="s">
        <v>2316</v>
      </c>
      <c r="M347" s="6" t="s">
        <v>15</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19</v>
      </c>
      <c r="B348" s="12"/>
      <c r="C348" s="6" t="s">
        <v>2317</v>
      </c>
      <c r="D348" s="6" t="s">
        <v>2318</v>
      </c>
      <c r="E348" s="6" t="s">
        <v>15</v>
      </c>
      <c r="F348" s="6" t="s">
        <v>175</v>
      </c>
      <c r="G348" s="6" t="s">
        <v>2623</v>
      </c>
      <c r="H348" s="6" t="str">
        <f t="shared" si="34"/>
        <v>att_software</v>
      </c>
      <c r="I348" s="6" t="s">
        <v>2317</v>
      </c>
      <c r="J348" s="6" t="str">
        <f t="shared" si="35"/>
        <v>att_software:metamorpheus</v>
      </c>
      <c r="K348" s="11" t="s">
        <v>19</v>
      </c>
      <c r="L348" s="6" t="s">
        <v>2319</v>
      </c>
      <c r="M348" s="6" t="s">
        <v>15</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19</v>
      </c>
      <c r="B349" s="12"/>
      <c r="C349" s="6" t="s">
        <v>2320</v>
      </c>
      <c r="D349" s="6" t="s">
        <v>2321</v>
      </c>
      <c r="E349" s="6" t="s">
        <v>15</v>
      </c>
      <c r="F349" s="6" t="s">
        <v>175</v>
      </c>
      <c r="G349" s="6" t="s">
        <v>2623</v>
      </c>
      <c r="H349" s="6" t="str">
        <f t="shared" si="34"/>
        <v>att_software</v>
      </c>
      <c r="I349" s="6" t="s">
        <v>2320</v>
      </c>
      <c r="J349" s="6" t="str">
        <f t="shared" si="35"/>
        <v>att_software:minora</v>
      </c>
      <c r="K349" s="11" t="s">
        <v>19</v>
      </c>
      <c r="L349" s="6" t="s">
        <v>2322</v>
      </c>
      <c r="M349" s="6" t="s">
        <v>15</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19</v>
      </c>
      <c r="B350" s="12"/>
      <c r="C350" s="6" t="s">
        <v>2323</v>
      </c>
      <c r="D350" s="6" t="s">
        <v>2324</v>
      </c>
      <c r="E350" s="6" t="s">
        <v>15</v>
      </c>
      <c r="F350" s="6" t="s">
        <v>175</v>
      </c>
      <c r="G350" s="6" t="s">
        <v>2623</v>
      </c>
      <c r="H350" s="6" t="str">
        <f t="shared" si="34"/>
        <v>att_software</v>
      </c>
      <c r="I350" s="6" t="s">
        <v>2323</v>
      </c>
      <c r="J350" s="6" t="str">
        <f t="shared" si="35"/>
        <v>att_software:msfragger</v>
      </c>
      <c r="K350" s="11" t="s">
        <v>19</v>
      </c>
      <c r="L350" s="6" t="s">
        <v>2325</v>
      </c>
      <c r="M350" s="6" t="s">
        <v>15</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19</v>
      </c>
      <c r="B351" s="12"/>
      <c r="C351" s="6" t="s">
        <v>2326</v>
      </c>
      <c r="D351" s="6" t="s">
        <v>2327</v>
      </c>
      <c r="E351" s="6" t="s">
        <v>15</v>
      </c>
      <c r="F351" s="6" t="s">
        <v>175</v>
      </c>
      <c r="G351" s="6" t="s">
        <v>2623</v>
      </c>
      <c r="H351" s="6" t="str">
        <f t="shared" si="34"/>
        <v>att_software</v>
      </c>
      <c r="I351" s="6" t="s">
        <v>2326</v>
      </c>
      <c r="J351" s="6" t="str">
        <f t="shared" si="35"/>
        <v>att_software:msgf</v>
      </c>
      <c r="K351" s="11" t="s">
        <v>19</v>
      </c>
      <c r="L351" s="6" t="s">
        <v>2328</v>
      </c>
      <c r="M351" s="6" t="s">
        <v>15</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19</v>
      </c>
      <c r="B352" s="12"/>
      <c r="C352" s="6" t="s">
        <v>2329</v>
      </c>
      <c r="D352" s="6" t="s">
        <v>2330</v>
      </c>
      <c r="E352" s="6" t="s">
        <v>15</v>
      </c>
      <c r="F352" s="6" t="s">
        <v>175</v>
      </c>
      <c r="G352" s="6" t="s">
        <v>2623</v>
      </c>
      <c r="H352" s="6" t="str">
        <f t="shared" si="34"/>
        <v>att_software</v>
      </c>
      <c r="I352" s="6" t="s">
        <v>2329</v>
      </c>
      <c r="J352" s="6" t="str">
        <f t="shared" si="35"/>
        <v>att_software:spectronaut</v>
      </c>
      <c r="K352" s="11" t="s">
        <v>19</v>
      </c>
      <c r="L352" s="6" t="s">
        <v>2331</v>
      </c>
      <c r="M352" s="6" t="s">
        <v>15</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2332</v>
      </c>
      <c r="D353" s="6" t="s">
        <v>2333</v>
      </c>
      <c r="E353" s="6" t="s">
        <v>15</v>
      </c>
      <c r="F353" s="6" t="s">
        <v>179</v>
      </c>
      <c r="G353" s="6" t="s">
        <v>2624</v>
      </c>
      <c r="H353" s="6" t="str">
        <f t="shared" si="34"/>
        <v>att_tissue</v>
      </c>
      <c r="I353" s="6" t="s">
        <v>2332</v>
      </c>
      <c r="J353" s="6" t="str">
        <f t="shared" si="35"/>
        <v>att_tissue:adipose</v>
      </c>
      <c r="K353" s="11" t="s">
        <v>19</v>
      </c>
      <c r="L353" s="6" t="s">
        <v>2334</v>
      </c>
      <c r="M353" s="6" t="s">
        <v>15</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2335</v>
      </c>
      <c r="D354" s="6" t="s">
        <v>2336</v>
      </c>
      <c r="E354" s="6" t="s">
        <v>15</v>
      </c>
      <c r="F354" s="6" t="s">
        <v>179</v>
      </c>
      <c r="G354" s="6" t="s">
        <v>2624</v>
      </c>
      <c r="H354" s="6" t="str">
        <f t="shared" si="34"/>
        <v>att_tissue</v>
      </c>
      <c r="I354" s="6" t="s">
        <v>2335</v>
      </c>
      <c r="J354" s="6" t="str">
        <f t="shared" si="35"/>
        <v>att_tissue:areolar</v>
      </c>
      <c r="K354" s="11" t="s">
        <v>19</v>
      </c>
      <c r="L354" s="6" t="s">
        <v>2337</v>
      </c>
      <c r="M354" s="6" t="s">
        <v>15</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2338</v>
      </c>
      <c r="D355" s="6" t="s">
        <v>2339</v>
      </c>
      <c r="E355" s="6" t="s">
        <v>15</v>
      </c>
      <c r="F355" s="6" t="s">
        <v>179</v>
      </c>
      <c r="G355" s="6" t="s">
        <v>2624</v>
      </c>
      <c r="H355" s="6" t="str">
        <f t="shared" si="34"/>
        <v>att_tissue</v>
      </c>
      <c r="I355" s="6" t="s">
        <v>2338</v>
      </c>
      <c r="J355" s="6" t="str">
        <f t="shared" si="35"/>
        <v>att_tissue:blood</v>
      </c>
      <c r="K355" s="11" t="s">
        <v>19</v>
      </c>
      <c r="L355" s="6" t="s">
        <v>2339</v>
      </c>
      <c r="M355" s="6" t="s">
        <v>15</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2340</v>
      </c>
      <c r="D356" s="6" t="s">
        <v>2341</v>
      </c>
      <c r="E356" s="6" t="s">
        <v>15</v>
      </c>
      <c r="F356" s="6" t="s">
        <v>179</v>
      </c>
      <c r="G356" s="6" t="s">
        <v>2624</v>
      </c>
      <c r="H356" s="6" t="str">
        <f t="shared" si="34"/>
        <v>att_tissue</v>
      </c>
      <c r="I356" s="6" t="s">
        <v>2340</v>
      </c>
      <c r="J356" s="6" t="str">
        <f t="shared" si="35"/>
        <v>att_tissue:connective</v>
      </c>
      <c r="K356" s="11" t="s">
        <v>19</v>
      </c>
      <c r="L356" s="6" t="s">
        <v>2342</v>
      </c>
      <c r="M356" s="6" t="s">
        <v>15</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2343</v>
      </c>
      <c r="D357" s="6" t="s">
        <v>2344</v>
      </c>
      <c r="E357" s="6" t="s">
        <v>15</v>
      </c>
      <c r="F357" s="6" t="s">
        <v>179</v>
      </c>
      <c r="G357" s="6" t="s">
        <v>2624</v>
      </c>
      <c r="H357" s="6" t="str">
        <f t="shared" si="34"/>
        <v>att_tissue</v>
      </c>
      <c r="I357" s="6" t="s">
        <v>2343</v>
      </c>
      <c r="J357" s="6" t="str">
        <f t="shared" si="35"/>
        <v>att_tissue:dermis</v>
      </c>
      <c r="K357" s="11" t="s">
        <v>19</v>
      </c>
      <c r="L357" s="6" t="s">
        <v>2344</v>
      </c>
      <c r="M357" s="6" t="s">
        <v>15</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2345</v>
      </c>
      <c r="D358" s="6" t="s">
        <v>2346</v>
      </c>
      <c r="E358" s="6" t="s">
        <v>15</v>
      </c>
      <c r="F358" s="6" t="s">
        <v>179</v>
      </c>
      <c r="G358" s="6" t="s">
        <v>2624</v>
      </c>
      <c r="H358" s="6" t="str">
        <f t="shared" si="34"/>
        <v>att_tissue</v>
      </c>
      <c r="I358" s="6" t="s">
        <v>2345</v>
      </c>
      <c r="J358" s="6" t="str">
        <f t="shared" si="35"/>
        <v>att_tissue:epidermis</v>
      </c>
      <c r="K358" s="11" t="s">
        <v>19</v>
      </c>
      <c r="L358" s="6" t="s">
        <v>2346</v>
      </c>
      <c r="M358" s="6" t="s">
        <v>15</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2347</v>
      </c>
      <c r="D359" s="6" t="s">
        <v>2348</v>
      </c>
      <c r="E359" s="6" t="s">
        <v>15</v>
      </c>
      <c r="F359" s="6" t="s">
        <v>179</v>
      </c>
      <c r="G359" s="6" t="s">
        <v>2624</v>
      </c>
      <c r="H359" s="6" t="str">
        <f t="shared" si="34"/>
        <v>att_tissue</v>
      </c>
      <c r="I359" s="6" t="s">
        <v>2347</v>
      </c>
      <c r="J359" s="6" t="str">
        <f t="shared" si="35"/>
        <v>att_tissue:epithelial</v>
      </c>
      <c r="K359" s="11" t="s">
        <v>19</v>
      </c>
      <c r="L359" s="6" t="s">
        <v>2349</v>
      </c>
      <c r="M359" s="6" t="s">
        <v>15</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2350</v>
      </c>
      <c r="D360" s="6" t="s">
        <v>2351</v>
      </c>
      <c r="E360" s="6" t="s">
        <v>15</v>
      </c>
      <c r="F360" s="6" t="s">
        <v>179</v>
      </c>
      <c r="G360" s="6" t="s">
        <v>2624</v>
      </c>
      <c r="H360" s="6" t="str">
        <f t="shared" si="34"/>
        <v>att_tissue</v>
      </c>
      <c r="I360" s="6" t="s">
        <v>2350</v>
      </c>
      <c r="J360" s="6" t="str">
        <f t="shared" si="35"/>
        <v>att_tissue:hypodermis</v>
      </c>
      <c r="K360" s="11" t="s">
        <v>19</v>
      </c>
      <c r="L360" s="6" t="s">
        <v>2351</v>
      </c>
      <c r="M360" s="6" t="s">
        <v>15</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2352</v>
      </c>
      <c r="D361" s="6" t="s">
        <v>146</v>
      </c>
      <c r="E361" s="6" t="s">
        <v>15</v>
      </c>
      <c r="F361" s="6" t="s">
        <v>179</v>
      </c>
      <c r="G361" s="6" t="s">
        <v>2624</v>
      </c>
      <c r="H361" s="6" t="str">
        <f t="shared" si="34"/>
        <v>att_tissue</v>
      </c>
      <c r="I361" s="6" t="s">
        <v>2352</v>
      </c>
      <c r="J361" s="6" t="str">
        <f t="shared" si="35"/>
        <v>att_tissue:muscle</v>
      </c>
      <c r="K361" s="11" t="s">
        <v>19</v>
      </c>
      <c r="L361" s="6" t="s">
        <v>2353</v>
      </c>
      <c r="M361" s="6" t="s">
        <v>15</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2354</v>
      </c>
      <c r="D362" s="6" t="s">
        <v>2173</v>
      </c>
      <c r="E362" s="6" t="s">
        <v>15</v>
      </c>
      <c r="F362" s="6" t="s">
        <v>179</v>
      </c>
      <c r="G362" s="6" t="s">
        <v>2624</v>
      </c>
      <c r="H362" s="6" t="str">
        <f t="shared" si="34"/>
        <v>att_tissue</v>
      </c>
      <c r="I362" s="6" t="s">
        <v>2354</v>
      </c>
      <c r="J362" s="6" t="str">
        <f t="shared" si="35"/>
        <v>att_tissue:nervous</v>
      </c>
      <c r="K362" s="11" t="s">
        <v>19</v>
      </c>
      <c r="L362" s="6" t="s">
        <v>2355</v>
      </c>
      <c r="M362" s="6" t="s">
        <v>15</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2356</v>
      </c>
      <c r="D363" s="6" t="s">
        <v>2357</v>
      </c>
      <c r="E363" s="6" t="s">
        <v>15</v>
      </c>
      <c r="F363" s="6" t="s">
        <v>179</v>
      </c>
      <c r="G363" s="6" t="s">
        <v>2624</v>
      </c>
      <c r="H363" s="6" t="str">
        <f t="shared" si="34"/>
        <v>att_tissue</v>
      </c>
      <c r="I363" s="6" t="s">
        <v>2356</v>
      </c>
      <c r="J363" s="6" t="str">
        <f t="shared" si="35"/>
        <v>att_tissue:reticular</v>
      </c>
      <c r="K363" s="11" t="s">
        <v>19</v>
      </c>
      <c r="L363" s="6" t="s">
        <v>2358</v>
      </c>
      <c r="M363" s="6" t="s">
        <v>15</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2359</v>
      </c>
      <c r="D364" s="6" t="s">
        <v>2360</v>
      </c>
      <c r="E364" s="6" t="s">
        <v>15</v>
      </c>
      <c r="F364" s="6" t="s">
        <v>179</v>
      </c>
      <c r="G364" s="6" t="s">
        <v>2624</v>
      </c>
      <c r="H364" s="6" t="str">
        <f t="shared" si="34"/>
        <v>att_tissue</v>
      </c>
      <c r="I364" s="6" t="s">
        <v>2359</v>
      </c>
      <c r="J364" s="6" t="str">
        <f t="shared" si="35"/>
        <v>att_tissue:stromal</v>
      </c>
      <c r="K364" s="11" t="s">
        <v>19</v>
      </c>
      <c r="L364" s="6" t="s">
        <v>2361</v>
      </c>
      <c r="M364" s="6" t="s">
        <v>15</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19</v>
      </c>
      <c r="B365" s="11"/>
      <c r="C365" s="6" t="s">
        <v>930</v>
      </c>
      <c r="D365" s="6" t="s">
        <v>932</v>
      </c>
      <c r="E365" s="6" t="s">
        <v>15</v>
      </c>
      <c r="F365" s="6" t="s">
        <v>2512</v>
      </c>
      <c r="G365" s="6" t="s">
        <v>2513</v>
      </c>
      <c r="H365" s="6" t="str">
        <f t="shared" ref="H365" si="38">"att_"&amp;G365</f>
        <v>att_dataset</v>
      </c>
      <c r="I365" s="6" t="s">
        <v>2625</v>
      </c>
      <c r="J365" s="6" t="str">
        <f t="shared" ref="J365" si="39">H365&amp;":"&amp;I365</f>
        <v>att_dataset:database orf_search</v>
      </c>
      <c r="K365" s="11" t="s">
        <v>19</v>
      </c>
      <c r="L365" s="6" t="s">
        <v>933</v>
      </c>
      <c r="M365" s="6" t="s">
        <v>15</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2626</v>
      </c>
      <c r="D368" s="6" t="s">
        <v>1304</v>
      </c>
      <c r="F368" s="6" t="s">
        <v>122</v>
      </c>
      <c r="G368" s="6" t="s">
        <v>76</v>
      </c>
      <c r="H368" s="6" t="s">
        <v>121</v>
      </c>
      <c r="I368" s="6" t="s">
        <v>954</v>
      </c>
      <c r="J368" s="6" t="str">
        <f>H368&amp;":"&amp;I368</f>
        <v>att_lysis_buffer:sds</v>
      </c>
      <c r="L368" s="6" t="s">
        <v>1305</v>
      </c>
    </row>
    <row r="369" spans="3:12" x14ac:dyDescent="0.15">
      <c r="C369" s="6" t="s">
        <v>2627</v>
      </c>
      <c r="D369" s="6" t="s">
        <v>1310</v>
      </c>
      <c r="F369" s="6" t="s">
        <v>122</v>
      </c>
      <c r="G369" s="6" t="s">
        <v>76</v>
      </c>
      <c r="H369" s="6" t="s">
        <v>121</v>
      </c>
      <c r="I369" s="6" t="s">
        <v>1309</v>
      </c>
      <c r="J369" s="6" t="str">
        <f>H369&amp;":"&amp;I369</f>
        <v>att_lysis_buffer:urea</v>
      </c>
      <c r="L369" s="6" t="s">
        <v>1311</v>
      </c>
    </row>
    <row r="370" spans="3:12" x14ac:dyDescent="0.15">
      <c r="C370" s="6" t="s">
        <v>2628</v>
      </c>
      <c r="D370" s="6" t="s">
        <v>1307</v>
      </c>
      <c r="F370" s="6" t="s">
        <v>122</v>
      </c>
      <c r="G370" s="6" t="s">
        <v>76</v>
      </c>
      <c r="H370" s="6" t="s">
        <v>121</v>
      </c>
      <c r="I370" s="6" t="s">
        <v>1306</v>
      </c>
      <c r="J370" s="6" t="str">
        <f>H370&amp;":"&amp;I370</f>
        <v>att_lysis_buffer:two_sdc</v>
      </c>
      <c r="L370" s="6" t="s">
        <v>1308</v>
      </c>
    </row>
    <row r="371" spans="3:12" x14ac:dyDescent="0.15">
      <c r="C371" s="6" t="s">
        <v>2628</v>
      </c>
      <c r="D371" s="6" t="s">
        <v>1302</v>
      </c>
      <c r="F371" s="6" t="s">
        <v>122</v>
      </c>
      <c r="G371" s="6" t="s">
        <v>76</v>
      </c>
      <c r="H371" s="6" t="s">
        <v>121</v>
      </c>
      <c r="I371" s="6" t="s">
        <v>1301</v>
      </c>
      <c r="J371" s="6" t="str">
        <f>H371&amp;":"&amp;I371</f>
        <v>att_lysis_buffer:one_sdc</v>
      </c>
      <c r="L371" s="6" t="s">
        <v>1303</v>
      </c>
    </row>
    <row r="373" spans="3:12" x14ac:dyDescent="0.15">
      <c r="C373" s="6" t="s">
        <v>76</v>
      </c>
      <c r="D373" s="6" t="s">
        <v>1313</v>
      </c>
      <c r="F373" s="6" t="s">
        <v>123</v>
      </c>
      <c r="G373" s="6" t="s">
        <v>76</v>
      </c>
      <c r="H373" s="6" t="s">
        <v>74</v>
      </c>
      <c r="I373" s="6" t="s">
        <v>1312</v>
      </c>
      <c r="J373" s="6" t="str">
        <f>H373&amp;":"&amp;I373</f>
        <v>att_lysis_method:dounce</v>
      </c>
      <c r="L373" s="6" t="s">
        <v>1314</v>
      </c>
    </row>
    <row r="374" spans="3:12" x14ac:dyDescent="0.15">
      <c r="C374" s="6" t="s">
        <v>76</v>
      </c>
      <c r="D374" s="6" t="s">
        <v>1319</v>
      </c>
      <c r="F374" s="6" t="s">
        <v>123</v>
      </c>
      <c r="G374" s="6" t="s">
        <v>76</v>
      </c>
      <c r="H374" s="6" t="s">
        <v>74</v>
      </c>
      <c r="I374" s="6" t="s">
        <v>1318</v>
      </c>
      <c r="J374" s="6" t="str">
        <f>H374&amp;":"&amp;I374</f>
        <v>att_lysis_method:paracyllus</v>
      </c>
      <c r="L374" s="6" t="s">
        <v>1320</v>
      </c>
    </row>
    <row r="375" spans="3:12" x14ac:dyDescent="0.15">
      <c r="C375" s="6" t="s">
        <v>76</v>
      </c>
      <c r="D375" s="6" t="s">
        <v>1316</v>
      </c>
      <c r="F375" s="6" t="s">
        <v>123</v>
      </c>
      <c r="G375" s="6" t="s">
        <v>76</v>
      </c>
      <c r="H375" s="6" t="s">
        <v>74</v>
      </c>
      <c r="I375" s="6" t="s">
        <v>1315</v>
      </c>
      <c r="J375" s="6" t="str">
        <f>H375&amp;":"&amp;I375</f>
        <v>att_lysis_method:motar_pestle</v>
      </c>
      <c r="L375" s="6" t="s">
        <v>1317</v>
      </c>
    </row>
    <row r="377" spans="3:12" x14ac:dyDescent="0.15">
      <c r="C377" s="6" t="s">
        <v>2629</v>
      </c>
      <c r="D377" s="6" t="s">
        <v>955</v>
      </c>
      <c r="F377" s="6" t="s">
        <v>75</v>
      </c>
      <c r="G377" s="6" t="s">
        <v>2630</v>
      </c>
      <c r="H377" s="6" t="s">
        <v>73</v>
      </c>
      <c r="I377" s="6" t="s">
        <v>954</v>
      </c>
      <c r="J377" s="6" t="str">
        <f t="shared" ref="J377:J385" si="40">H377&amp;":"&amp;I377</f>
        <v>att_detergent:sds</v>
      </c>
      <c r="L377" s="6" t="s">
        <v>956</v>
      </c>
    </row>
    <row r="378" spans="3:12" x14ac:dyDescent="0.15">
      <c r="C378" s="6" t="s">
        <v>2631</v>
      </c>
      <c r="D378" s="6" t="s">
        <v>961</v>
      </c>
      <c r="F378" s="6" t="s">
        <v>75</v>
      </c>
      <c r="G378" s="6" t="s">
        <v>2630</v>
      </c>
      <c r="H378" s="6" t="s">
        <v>73</v>
      </c>
      <c r="I378" s="6" t="s">
        <v>960</v>
      </c>
      <c r="J378" s="6" t="str">
        <f t="shared" si="40"/>
        <v>att_detergent:tween20</v>
      </c>
      <c r="L378" s="6" t="s">
        <v>962</v>
      </c>
    </row>
    <row r="379" spans="3:12" x14ac:dyDescent="0.15">
      <c r="C379" s="6" t="s">
        <v>2632</v>
      </c>
      <c r="D379" s="6" t="s">
        <v>2633</v>
      </c>
      <c r="F379" s="6" t="s">
        <v>75</v>
      </c>
      <c r="G379" s="6" t="s">
        <v>2630</v>
      </c>
      <c r="H379" s="6" t="s">
        <v>73</v>
      </c>
      <c r="I379" s="6" t="s">
        <v>963</v>
      </c>
      <c r="J379" s="6" t="str">
        <f t="shared" si="40"/>
        <v>att_detergent:tween80</v>
      </c>
      <c r="L379" s="6" t="s">
        <v>965</v>
      </c>
    </row>
    <row r="380" spans="3:12" x14ac:dyDescent="0.15">
      <c r="C380" s="6" t="s">
        <v>2634</v>
      </c>
      <c r="D380" s="6" t="s">
        <v>946</v>
      </c>
      <c r="F380" s="6" t="s">
        <v>75</v>
      </c>
      <c r="G380" s="6" t="s">
        <v>2630</v>
      </c>
      <c r="H380" s="6" t="s">
        <v>73</v>
      </c>
      <c r="I380" s="6" t="s">
        <v>945</v>
      </c>
      <c r="J380" s="6" t="str">
        <f t="shared" si="40"/>
        <v>att_detergent:np40</v>
      </c>
      <c r="L380" s="6" t="s">
        <v>947</v>
      </c>
    </row>
    <row r="381" spans="3:12" x14ac:dyDescent="0.15">
      <c r="C381" s="6" t="s">
        <v>2635</v>
      </c>
      <c r="D381" s="6" t="s">
        <v>958</v>
      </c>
      <c r="F381" s="6" t="s">
        <v>75</v>
      </c>
      <c r="G381" s="6" t="s">
        <v>2630</v>
      </c>
      <c r="H381" s="6" t="s">
        <v>73</v>
      </c>
      <c r="I381" s="6" t="s">
        <v>957</v>
      </c>
      <c r="J381" s="6" t="str">
        <f t="shared" si="40"/>
        <v>att_detergent:tritonx100</v>
      </c>
      <c r="L381" s="6" t="s">
        <v>959</v>
      </c>
    </row>
    <row r="382" spans="3:12" x14ac:dyDescent="0.15">
      <c r="C382" s="6" t="s">
        <v>2636</v>
      </c>
      <c r="D382" s="6" t="s">
        <v>940</v>
      </c>
      <c r="F382" s="6" t="s">
        <v>75</v>
      </c>
      <c r="G382" s="6" t="s">
        <v>2630</v>
      </c>
      <c r="H382" s="6" t="s">
        <v>73</v>
      </c>
      <c r="I382" s="6" t="s">
        <v>939</v>
      </c>
      <c r="J382" s="6" t="str">
        <f t="shared" si="40"/>
        <v>att_detergent:chaps</v>
      </c>
      <c r="L382" s="6" t="s">
        <v>941</v>
      </c>
    </row>
    <row r="383" spans="3:12" x14ac:dyDescent="0.15">
      <c r="C383" s="6" t="s">
        <v>2637</v>
      </c>
      <c r="D383" s="6" t="s">
        <v>943</v>
      </c>
      <c r="F383" s="6" t="s">
        <v>75</v>
      </c>
      <c r="G383" s="6" t="s">
        <v>2630</v>
      </c>
      <c r="H383" s="6" t="s">
        <v>73</v>
      </c>
      <c r="I383" s="6" t="s">
        <v>942</v>
      </c>
      <c r="J383" s="6" t="str">
        <f t="shared" si="40"/>
        <v>att_detergent:dmm</v>
      </c>
      <c r="L383" s="6" t="s">
        <v>944</v>
      </c>
    </row>
    <row r="384" spans="3:12" x14ac:dyDescent="0.15">
      <c r="C384" s="6" t="s">
        <v>2638</v>
      </c>
      <c r="D384" s="6" t="s">
        <v>949</v>
      </c>
      <c r="F384" s="6" t="s">
        <v>75</v>
      </c>
      <c r="G384" s="6" t="s">
        <v>2630</v>
      </c>
      <c r="H384" s="6" t="s">
        <v>73</v>
      </c>
      <c r="I384" s="6" t="s">
        <v>948</v>
      </c>
      <c r="J384" s="6" t="str">
        <f t="shared" si="40"/>
        <v>att_detergent:og</v>
      </c>
      <c r="L384" s="6" t="s">
        <v>950</v>
      </c>
    </row>
    <row r="385" spans="1:12" x14ac:dyDescent="0.15">
      <c r="C385" s="6" t="s">
        <v>2639</v>
      </c>
      <c r="D385" s="6" t="s">
        <v>952</v>
      </c>
      <c r="F385" s="6" t="s">
        <v>75</v>
      </c>
      <c r="G385" s="6" t="s">
        <v>2630</v>
      </c>
      <c r="H385" s="6" t="s">
        <v>73</v>
      </c>
      <c r="I385" s="6" t="s">
        <v>951</v>
      </c>
      <c r="J385" s="6" t="str">
        <f t="shared" si="40"/>
        <v>att_detergent:otg</v>
      </c>
      <c r="L385" s="6" t="s">
        <v>953</v>
      </c>
    </row>
    <row r="387" spans="1:12" x14ac:dyDescent="0.15">
      <c r="C387" s="6" t="s">
        <v>2640</v>
      </c>
      <c r="D387" s="6" t="s">
        <v>2282</v>
      </c>
      <c r="F387" s="6" t="s">
        <v>2641</v>
      </c>
      <c r="G387" s="6" t="s">
        <v>2642</v>
      </c>
      <c r="H387" s="6" t="s">
        <v>171</v>
      </c>
      <c r="I387" s="6" t="s">
        <v>2281</v>
      </c>
      <c r="J387" s="6" t="str">
        <f>H387&amp;":"&amp;I387</f>
        <v>att_reduction:tcep</v>
      </c>
      <c r="L387" s="6" t="s">
        <v>2283</v>
      </c>
    </row>
    <row r="388" spans="1:12" x14ac:dyDescent="0.15">
      <c r="C388" s="6" t="s">
        <v>2643</v>
      </c>
      <c r="D388" s="6" t="s">
        <v>2278</v>
      </c>
      <c r="F388" s="6" t="s">
        <v>2641</v>
      </c>
      <c r="G388" s="6" t="s">
        <v>2642</v>
      </c>
      <c r="H388" s="6" t="s">
        <v>171</v>
      </c>
      <c r="I388" s="6" t="s">
        <v>2277</v>
      </c>
      <c r="J388" s="6" t="str">
        <f>H388&amp;":"&amp;I388</f>
        <v>att_reduction:dtt</v>
      </c>
      <c r="L388" s="6" t="s">
        <v>2279</v>
      </c>
    </row>
    <row r="389" spans="1:12" x14ac:dyDescent="0.15">
      <c r="C389" s="6" t="s">
        <v>2643</v>
      </c>
      <c r="D389" s="6" t="s">
        <v>1806</v>
      </c>
      <c r="F389" s="6" t="s">
        <v>2641</v>
      </c>
      <c r="G389" s="6" t="s">
        <v>2642</v>
      </c>
      <c r="H389" s="6" t="s">
        <v>171</v>
      </c>
      <c r="I389" s="6" t="s">
        <v>281</v>
      </c>
      <c r="J389" s="6" t="str">
        <f>H389&amp;":"&amp;I389</f>
        <v>att_reduction:none</v>
      </c>
      <c r="L389" s="6" t="s">
        <v>2280</v>
      </c>
    </row>
    <row r="391" spans="1:12" x14ac:dyDescent="0.15">
      <c r="C391" s="6" t="s">
        <v>2644</v>
      </c>
      <c r="D391" s="6" t="s">
        <v>276</v>
      </c>
      <c r="F391" s="6" t="s">
        <v>2645</v>
      </c>
      <c r="G391" s="6" t="s">
        <v>2646</v>
      </c>
      <c r="H391" s="6" t="s">
        <v>171</v>
      </c>
      <c r="I391" s="6" t="s">
        <v>275</v>
      </c>
      <c r="J391" s="6" t="str">
        <f>H391&amp;":"&amp;I391</f>
        <v>att_reduction:caa</v>
      </c>
      <c r="L391" s="6" t="s">
        <v>277</v>
      </c>
    </row>
    <row r="392" spans="1:12" x14ac:dyDescent="0.15">
      <c r="C392" s="6" t="s">
        <v>2647</v>
      </c>
      <c r="D392" s="6" t="s">
        <v>279</v>
      </c>
      <c r="F392" s="6" t="s">
        <v>2645</v>
      </c>
      <c r="G392" s="6" t="s">
        <v>2646</v>
      </c>
      <c r="H392" s="6" t="s">
        <v>171</v>
      </c>
      <c r="I392" s="6" t="s">
        <v>278</v>
      </c>
      <c r="J392" s="6" t="str">
        <f>H392&amp;":"&amp;I392</f>
        <v>att_reduction:iaa</v>
      </c>
      <c r="L392" s="6" t="s">
        <v>280</v>
      </c>
    </row>
    <row r="393" spans="1:12" x14ac:dyDescent="0.15">
      <c r="C393" s="6" t="s">
        <v>2646</v>
      </c>
      <c r="D393" s="6" t="s">
        <v>1806</v>
      </c>
      <c r="F393" s="6" t="s">
        <v>2645</v>
      </c>
      <c r="G393" s="6" t="s">
        <v>2642</v>
      </c>
      <c r="H393" s="6" t="s">
        <v>171</v>
      </c>
      <c r="I393" s="6" t="s">
        <v>281</v>
      </c>
      <c r="J393" s="6" t="str">
        <f>H393&amp;":"&amp;I393</f>
        <v>att_reduction:none</v>
      </c>
      <c r="L393" s="6" t="s">
        <v>283</v>
      </c>
    </row>
    <row r="395" spans="1:12" x14ac:dyDescent="0.15">
      <c r="A395" s="6" t="b">
        <f>TRUE()</f>
        <v>1</v>
      </c>
      <c r="C395" s="6" t="s">
        <v>2648</v>
      </c>
      <c r="D395" s="6" t="s">
        <v>2217</v>
      </c>
      <c r="F395" s="6" t="s">
        <v>163</v>
      </c>
      <c r="G395" s="6" t="s">
        <v>2649</v>
      </c>
      <c r="H395" s="6" t="s">
        <v>162</v>
      </c>
      <c r="I395" s="6" t="s">
        <v>2216</v>
      </c>
      <c r="J395" s="6" t="str">
        <f t="shared" ref="J395:J402" si="41">H395&amp;":"&amp;I395</f>
        <v>att_protease:trypsin</v>
      </c>
      <c r="L395" s="6" t="s">
        <v>2218</v>
      </c>
    </row>
    <row r="396" spans="1:12" x14ac:dyDescent="0.15">
      <c r="A396" s="6" t="b">
        <f>TRUE()</f>
        <v>1</v>
      </c>
      <c r="C396" s="6" t="s">
        <v>2648</v>
      </c>
      <c r="D396" s="6" t="s">
        <v>2211</v>
      </c>
      <c r="F396" s="6" t="s">
        <v>163</v>
      </c>
      <c r="G396" s="6" t="s">
        <v>2649</v>
      </c>
      <c r="H396" s="6" t="s">
        <v>162</v>
      </c>
      <c r="I396" s="6" t="s">
        <v>2210</v>
      </c>
      <c r="J396" s="6" t="str">
        <f t="shared" si="41"/>
        <v>att_protease:lysc</v>
      </c>
      <c r="L396" s="6" t="s">
        <v>2212</v>
      </c>
    </row>
    <row r="397" spans="1:12" x14ac:dyDescent="0.15">
      <c r="A397" s="6" t="b">
        <f>TRUE()</f>
        <v>1</v>
      </c>
      <c r="C397" s="6" t="s">
        <v>2648</v>
      </c>
      <c r="D397" s="6" t="s">
        <v>2196</v>
      </c>
      <c r="F397" s="6" t="s">
        <v>163</v>
      </c>
      <c r="G397" s="6" t="s">
        <v>2649</v>
      </c>
      <c r="H397" s="6" t="s">
        <v>162</v>
      </c>
      <c r="I397" s="6" t="s">
        <v>2195</v>
      </c>
      <c r="J397" s="6" t="str">
        <f t="shared" si="41"/>
        <v>att_protease:argc</v>
      </c>
      <c r="L397" s="6" t="s">
        <v>2197</v>
      </c>
    </row>
    <row r="398" spans="1:12" x14ac:dyDescent="0.15">
      <c r="A398" s="6" t="b">
        <f>TRUE()</f>
        <v>1</v>
      </c>
      <c r="C398" s="6" t="s">
        <v>2648</v>
      </c>
      <c r="D398" s="6" t="s">
        <v>2208</v>
      </c>
      <c r="F398" s="6" t="s">
        <v>163</v>
      </c>
      <c r="G398" s="6" t="s">
        <v>2649</v>
      </c>
      <c r="H398" s="6" t="s">
        <v>162</v>
      </c>
      <c r="I398" s="6" t="s">
        <v>2207</v>
      </c>
      <c r="J398" s="6" t="str">
        <f t="shared" si="41"/>
        <v>att_protease:gluc</v>
      </c>
      <c r="L398" s="6" t="s">
        <v>2209</v>
      </c>
    </row>
    <row r="399" spans="1:12" x14ac:dyDescent="0.15">
      <c r="A399" s="6" t="b">
        <f>TRUE()</f>
        <v>1</v>
      </c>
      <c r="C399" s="6" t="s">
        <v>2648</v>
      </c>
      <c r="D399" s="6" t="s">
        <v>2202</v>
      </c>
      <c r="F399" s="6" t="s">
        <v>163</v>
      </c>
      <c r="G399" s="6" t="s">
        <v>2649</v>
      </c>
      <c r="H399" s="6" t="s">
        <v>162</v>
      </c>
      <c r="I399" s="6" t="s">
        <v>2201</v>
      </c>
      <c r="J399" s="6" t="str">
        <f t="shared" si="41"/>
        <v>att_protease:chymotrypsin</v>
      </c>
      <c r="L399" s="6" t="s">
        <v>2203</v>
      </c>
    </row>
    <row r="400" spans="1:12" x14ac:dyDescent="0.15">
      <c r="A400" s="6" t="b">
        <f>TRUE()</f>
        <v>1</v>
      </c>
      <c r="C400" s="6" t="s">
        <v>2648</v>
      </c>
      <c r="D400" s="6" t="s">
        <v>2199</v>
      </c>
      <c r="F400" s="6" t="s">
        <v>163</v>
      </c>
      <c r="G400" s="6" t="s">
        <v>2649</v>
      </c>
      <c r="H400" s="6" t="s">
        <v>162</v>
      </c>
      <c r="I400" s="6" t="s">
        <v>2198</v>
      </c>
      <c r="J400" s="6" t="str">
        <f t="shared" si="41"/>
        <v>att_protease:aspn</v>
      </c>
      <c r="L400" s="6" t="s">
        <v>2200</v>
      </c>
    </row>
    <row r="401" spans="1:12" x14ac:dyDescent="0.15">
      <c r="A401" s="6" t="b">
        <f>TRUE()</f>
        <v>1</v>
      </c>
      <c r="C401" s="6" t="s">
        <v>2648</v>
      </c>
      <c r="D401" s="6" t="s">
        <v>2205</v>
      </c>
      <c r="F401" s="6" t="s">
        <v>163</v>
      </c>
      <c r="G401" s="6" t="s">
        <v>2649</v>
      </c>
      <c r="H401" s="6" t="s">
        <v>162</v>
      </c>
      <c r="I401" s="6" t="s">
        <v>2204</v>
      </c>
      <c r="J401" s="6" t="str">
        <f t="shared" si="41"/>
        <v>att_protease:elastase</v>
      </c>
      <c r="L401" s="6" t="s">
        <v>2206</v>
      </c>
    </row>
    <row r="402" spans="1:12" x14ac:dyDescent="0.15">
      <c r="A402" s="6" t="b">
        <f>TRUE()</f>
        <v>1</v>
      </c>
      <c r="C402" s="6" t="s">
        <v>2648</v>
      </c>
      <c r="D402" s="6" t="s">
        <v>2214</v>
      </c>
      <c r="F402" s="6" t="s">
        <v>163</v>
      </c>
      <c r="G402" s="6" t="s">
        <v>2649</v>
      </c>
      <c r="H402" s="6" t="s">
        <v>162</v>
      </c>
      <c r="I402" s="6" t="s">
        <v>2213</v>
      </c>
      <c r="J402" s="6" t="str">
        <f t="shared" si="41"/>
        <v>att_protease:raspn</v>
      </c>
      <c r="L402" s="6" t="s">
        <v>2215</v>
      </c>
    </row>
    <row r="404" spans="1:12" x14ac:dyDescent="0.15">
      <c r="C404" s="6" t="s">
        <v>2650</v>
      </c>
      <c r="D404" s="6" t="s">
        <v>1294</v>
      </c>
      <c r="F404" s="6" t="s">
        <v>120</v>
      </c>
      <c r="G404" s="6" t="s">
        <v>2651</v>
      </c>
      <c r="H404" s="6" t="s">
        <v>119</v>
      </c>
      <c r="I404" s="6" t="s">
        <v>1293</v>
      </c>
      <c r="J404" s="6" t="str">
        <f t="shared" ref="J404:J410" si="42">H404&amp;":"&amp;I404</f>
        <v>att_liquid_handler:mosquitoLV</v>
      </c>
      <c r="L404" s="6" t="s">
        <v>1295</v>
      </c>
    </row>
    <row r="405" spans="1:12" x14ac:dyDescent="0.15">
      <c r="C405" s="6" t="s">
        <v>2650</v>
      </c>
      <c r="D405" s="6" t="s">
        <v>1282</v>
      </c>
      <c r="F405" s="6" t="s">
        <v>120</v>
      </c>
      <c r="G405" s="6" t="s">
        <v>2651</v>
      </c>
      <c r="H405" s="6" t="s">
        <v>119</v>
      </c>
      <c r="I405" s="6" t="s">
        <v>1281</v>
      </c>
      <c r="J405" s="6" t="str">
        <f t="shared" si="42"/>
        <v>att_liquid_handler:felix</v>
      </c>
      <c r="L405" s="6" t="s">
        <v>1283</v>
      </c>
    </row>
    <row r="406" spans="1:12" x14ac:dyDescent="0.15">
      <c r="C406" s="6" t="s">
        <v>2650</v>
      </c>
      <c r="D406" s="6" t="s">
        <v>1291</v>
      </c>
      <c r="F406" s="6" t="s">
        <v>120</v>
      </c>
      <c r="G406" s="6" t="s">
        <v>2651</v>
      </c>
      <c r="H406" s="6" t="s">
        <v>119</v>
      </c>
      <c r="I406" s="6" t="s">
        <v>1290</v>
      </c>
      <c r="J406" s="6" t="str">
        <f t="shared" si="42"/>
        <v>att_liquid_handler:mosquitoHV</v>
      </c>
      <c r="L406" s="6" t="s">
        <v>1292</v>
      </c>
    </row>
    <row r="407" spans="1:12" x14ac:dyDescent="0.15">
      <c r="C407" s="6" t="s">
        <v>2650</v>
      </c>
      <c r="D407" s="6" t="s">
        <v>1297</v>
      </c>
      <c r="F407" s="6" t="s">
        <v>120</v>
      </c>
      <c r="G407" s="6" t="s">
        <v>2651</v>
      </c>
      <c r="H407" s="6" t="s">
        <v>119</v>
      </c>
      <c r="I407" s="6" t="s">
        <v>1296</v>
      </c>
      <c r="J407" s="6" t="str">
        <f t="shared" si="42"/>
        <v>att_liquid_handler:opentrons</v>
      </c>
      <c r="L407" s="6" t="s">
        <v>1297</v>
      </c>
    </row>
    <row r="408" spans="1:12" x14ac:dyDescent="0.15">
      <c r="C408" s="6" t="s">
        <v>2650</v>
      </c>
      <c r="D408" s="6" t="s">
        <v>1285</v>
      </c>
      <c r="F408" s="6" t="s">
        <v>120</v>
      </c>
      <c r="G408" s="6" t="s">
        <v>2651</v>
      </c>
      <c r="H408" s="6" t="s">
        <v>119</v>
      </c>
      <c r="I408" s="6" t="s">
        <v>1284</v>
      </c>
      <c r="J408" s="6" t="str">
        <f t="shared" si="42"/>
        <v>att_liquid_handler:kingfisher</v>
      </c>
      <c r="L408" s="6" t="s">
        <v>1286</v>
      </c>
    </row>
    <row r="409" spans="1:12" x14ac:dyDescent="0.15">
      <c r="C409" s="6" t="s">
        <v>2650</v>
      </c>
      <c r="D409" s="6" t="s">
        <v>1279</v>
      </c>
      <c r="F409" s="6" t="s">
        <v>120</v>
      </c>
      <c r="G409" s="6" t="s">
        <v>2651</v>
      </c>
      <c r="H409" s="6" t="s">
        <v>119</v>
      </c>
      <c r="I409" s="6" t="s">
        <v>1278</v>
      </c>
      <c r="J409" s="6" t="str">
        <f t="shared" si="42"/>
        <v>att_liquid_handler:bravo</v>
      </c>
      <c r="L409" s="6" t="s">
        <v>1280</v>
      </c>
    </row>
    <row r="410" spans="1:12" x14ac:dyDescent="0.15">
      <c r="C410" s="6" t="s">
        <v>2650</v>
      </c>
      <c r="D410" s="6" t="s">
        <v>1299</v>
      </c>
      <c r="F410" s="6" t="s">
        <v>120</v>
      </c>
      <c r="G410" s="6" t="s">
        <v>2651</v>
      </c>
      <c r="H410" s="6" t="s">
        <v>119</v>
      </c>
      <c r="I410" s="6" t="s">
        <v>1298</v>
      </c>
      <c r="J410" s="6" t="str">
        <f t="shared" si="42"/>
        <v>att_liquid_handler:tecan</v>
      </c>
      <c r="L410" s="6" t="s">
        <v>1300</v>
      </c>
    </row>
    <row r="412" spans="1:12" x14ac:dyDescent="0.15">
      <c r="C412" s="6" t="s">
        <v>2652</v>
      </c>
      <c r="D412" s="6" t="s">
        <v>998</v>
      </c>
      <c r="F412" s="6" t="s">
        <v>84</v>
      </c>
      <c r="G412" s="6" t="s">
        <v>2653</v>
      </c>
      <c r="H412" s="6" t="s">
        <v>83</v>
      </c>
      <c r="I412" s="6" t="s">
        <v>997</v>
      </c>
      <c r="J412" s="6" t="str">
        <f>H412&amp;":"&amp;I412</f>
        <v>att_digestion_vessel:96well_plate</v>
      </c>
      <c r="L412" s="6" t="s">
        <v>999</v>
      </c>
    </row>
    <row r="413" spans="1:12" x14ac:dyDescent="0.15">
      <c r="C413" s="6" t="s">
        <v>2652</v>
      </c>
      <c r="D413" s="6" t="s">
        <v>996</v>
      </c>
      <c r="F413" s="6" t="s">
        <v>84</v>
      </c>
      <c r="G413" s="6" t="s">
        <v>2653</v>
      </c>
      <c r="H413" s="6" t="s">
        <v>83</v>
      </c>
      <c r="I413" s="6" t="s">
        <v>995</v>
      </c>
      <c r="J413" s="6" t="str">
        <f>H413&amp;":"&amp;I413</f>
        <v>att_digestion_vessel:384well_plate</v>
      </c>
      <c r="L413" s="6" t="s">
        <v>996</v>
      </c>
    </row>
    <row r="414" spans="1:12" x14ac:dyDescent="0.15">
      <c r="C414" s="6" t="s">
        <v>2654</v>
      </c>
      <c r="D414" s="6" t="s">
        <v>1006</v>
      </c>
      <c r="F414" s="6" t="s">
        <v>84</v>
      </c>
      <c r="G414" s="6" t="s">
        <v>2653</v>
      </c>
      <c r="H414" s="6" t="s">
        <v>83</v>
      </c>
      <c r="I414" s="6" t="s">
        <v>1005</v>
      </c>
      <c r="J414" s="6" t="str">
        <f>H414&amp;":"&amp;I414</f>
        <v>att_digestion_vessel:two_ml_tube</v>
      </c>
      <c r="L414" s="6" t="s">
        <v>1007</v>
      </c>
    </row>
    <row r="415" spans="1:12" x14ac:dyDescent="0.15">
      <c r="C415" s="6" t="s">
        <v>2654</v>
      </c>
      <c r="D415" s="6" t="s">
        <v>1001</v>
      </c>
      <c r="F415" s="6" t="s">
        <v>84</v>
      </c>
      <c r="G415" s="6" t="s">
        <v>2653</v>
      </c>
      <c r="H415" s="6" t="s">
        <v>83</v>
      </c>
      <c r="I415" s="6" t="s">
        <v>1000</v>
      </c>
      <c r="J415" s="6" t="str">
        <f>H415&amp;":"&amp;I415</f>
        <v>att_digestion_vessel:onefive_ml_tube</v>
      </c>
      <c r="L415" s="6" t="s">
        <v>1002</v>
      </c>
    </row>
    <row r="417" spans="3:12" x14ac:dyDescent="0.15">
      <c r="C417" s="6" t="s">
        <v>2655</v>
      </c>
      <c r="D417" s="6" t="s">
        <v>2656</v>
      </c>
      <c r="F417" s="6" t="s">
        <v>16</v>
      </c>
      <c r="G417" s="6" t="s">
        <v>2657</v>
      </c>
      <c r="H417" s="6" t="s">
        <v>14</v>
      </c>
      <c r="I417" s="6" t="s">
        <v>208</v>
      </c>
      <c r="J417" s="6" t="str">
        <f t="shared" ref="J417:J435" si="43">H417&amp;":"&amp;I417</f>
        <v>att_aa_starvation:arginine</v>
      </c>
      <c r="L417" s="6" t="s">
        <v>211</v>
      </c>
    </row>
    <row r="418" spans="3:12" x14ac:dyDescent="0.15">
      <c r="C418" s="6" t="s">
        <v>2655</v>
      </c>
      <c r="D418" s="6" t="s">
        <v>2658</v>
      </c>
      <c r="F418" s="6" t="s">
        <v>16</v>
      </c>
      <c r="G418" s="6" t="s">
        <v>2657</v>
      </c>
      <c r="H418" s="6" t="s">
        <v>14</v>
      </c>
      <c r="I418" s="6" t="s">
        <v>212</v>
      </c>
      <c r="J418" s="6" t="str">
        <f t="shared" si="43"/>
        <v>att_aa_starvation:asparagine</v>
      </c>
      <c r="L418" s="6" t="s">
        <v>214</v>
      </c>
    </row>
    <row r="419" spans="3:12" x14ac:dyDescent="0.15">
      <c r="C419" s="6" t="s">
        <v>2655</v>
      </c>
      <c r="D419" s="6" t="s">
        <v>2659</v>
      </c>
      <c r="F419" s="6" t="s">
        <v>16</v>
      </c>
      <c r="G419" s="6" t="s">
        <v>2657</v>
      </c>
      <c r="H419" s="6" t="s">
        <v>14</v>
      </c>
      <c r="I419" s="6" t="s">
        <v>215</v>
      </c>
      <c r="J419" s="6" t="str">
        <f t="shared" si="43"/>
        <v>att_aa_starvation:asparticacid</v>
      </c>
      <c r="L419" s="6" t="s">
        <v>217</v>
      </c>
    </row>
    <row r="420" spans="3:12" x14ac:dyDescent="0.15">
      <c r="C420" s="6" t="s">
        <v>2655</v>
      </c>
      <c r="D420" s="6" t="s">
        <v>2660</v>
      </c>
      <c r="F420" s="6" t="s">
        <v>16</v>
      </c>
      <c r="G420" s="6" t="s">
        <v>2657</v>
      </c>
      <c r="H420" s="6" t="s">
        <v>14</v>
      </c>
      <c r="I420" s="6" t="s">
        <v>218</v>
      </c>
      <c r="J420" s="6" t="str">
        <f t="shared" si="43"/>
        <v>att_aa_starvation:cysteine</v>
      </c>
      <c r="L420" s="6" t="s">
        <v>220</v>
      </c>
    </row>
    <row r="421" spans="3:12" x14ac:dyDescent="0.15">
      <c r="C421" s="6" t="s">
        <v>2655</v>
      </c>
      <c r="D421" s="6" t="s">
        <v>2661</v>
      </c>
      <c r="F421" s="6" t="s">
        <v>16</v>
      </c>
      <c r="G421" s="6" t="s">
        <v>2657</v>
      </c>
      <c r="H421" s="6" t="s">
        <v>14</v>
      </c>
      <c r="I421" s="6" t="s">
        <v>221</v>
      </c>
      <c r="J421" s="6" t="str">
        <f t="shared" si="43"/>
        <v>att_aa_starvation:glutamicacid</v>
      </c>
      <c r="L421" s="6" t="s">
        <v>223</v>
      </c>
    </row>
    <row r="422" spans="3:12" x14ac:dyDescent="0.15">
      <c r="C422" s="6" t="s">
        <v>2655</v>
      </c>
      <c r="D422" s="6" t="s">
        <v>2662</v>
      </c>
      <c r="F422" s="6" t="s">
        <v>16</v>
      </c>
      <c r="G422" s="6" t="s">
        <v>2657</v>
      </c>
      <c r="H422" s="6" t="s">
        <v>14</v>
      </c>
      <c r="I422" s="6" t="s">
        <v>224</v>
      </c>
      <c r="J422" s="6" t="str">
        <f t="shared" si="43"/>
        <v>att_aa_starvation:glutamine</v>
      </c>
      <c r="L422" s="6" t="s">
        <v>226</v>
      </c>
    </row>
    <row r="423" spans="3:12" x14ac:dyDescent="0.15">
      <c r="C423" s="6" t="s">
        <v>2655</v>
      </c>
      <c r="D423" s="6" t="s">
        <v>2663</v>
      </c>
      <c r="F423" s="6" t="s">
        <v>16</v>
      </c>
      <c r="G423" s="6" t="s">
        <v>2657</v>
      </c>
      <c r="H423" s="6" t="s">
        <v>14</v>
      </c>
      <c r="I423" s="6" t="s">
        <v>227</v>
      </c>
      <c r="J423" s="6" t="str">
        <f t="shared" si="43"/>
        <v>att_aa_starvation:glycine</v>
      </c>
      <c r="L423" s="6" t="s">
        <v>229</v>
      </c>
    </row>
    <row r="424" spans="3:12" x14ac:dyDescent="0.15">
      <c r="C424" s="6" t="s">
        <v>2655</v>
      </c>
      <c r="D424" s="6" t="s">
        <v>2664</v>
      </c>
      <c r="F424" s="6" t="s">
        <v>16</v>
      </c>
      <c r="G424" s="6" t="s">
        <v>2657</v>
      </c>
      <c r="H424" s="6" t="s">
        <v>14</v>
      </c>
      <c r="I424" s="6" t="s">
        <v>230</v>
      </c>
      <c r="J424" s="6" t="str">
        <f t="shared" si="43"/>
        <v>att_aa_starvation:histidine</v>
      </c>
      <c r="L424" s="6" t="s">
        <v>232</v>
      </c>
    </row>
    <row r="425" spans="3:12" x14ac:dyDescent="0.15">
      <c r="C425" s="6" t="s">
        <v>2655</v>
      </c>
      <c r="D425" s="6" t="s">
        <v>2665</v>
      </c>
      <c r="F425" s="6" t="s">
        <v>16</v>
      </c>
      <c r="G425" s="6" t="s">
        <v>2657</v>
      </c>
      <c r="H425" s="6" t="s">
        <v>14</v>
      </c>
      <c r="I425" s="6" t="s">
        <v>233</v>
      </c>
      <c r="J425" s="6" t="str">
        <f t="shared" si="43"/>
        <v>att_aa_starvation:isoleucine</v>
      </c>
      <c r="L425" s="6" t="s">
        <v>235</v>
      </c>
    </row>
    <row r="426" spans="3:12" x14ac:dyDescent="0.15">
      <c r="C426" s="6" t="s">
        <v>2655</v>
      </c>
      <c r="D426" s="6" t="s">
        <v>2666</v>
      </c>
      <c r="F426" s="6" t="s">
        <v>16</v>
      </c>
      <c r="G426" s="6" t="s">
        <v>2657</v>
      </c>
      <c r="H426" s="6" t="s">
        <v>14</v>
      </c>
      <c r="I426" s="6" t="s">
        <v>236</v>
      </c>
      <c r="J426" s="6" t="str">
        <f t="shared" si="43"/>
        <v>att_aa_starvation:leucine</v>
      </c>
      <c r="L426" s="6" t="s">
        <v>238</v>
      </c>
    </row>
    <row r="427" spans="3:12" x14ac:dyDescent="0.15">
      <c r="C427" s="6" t="s">
        <v>2655</v>
      </c>
      <c r="D427" s="6" t="s">
        <v>2667</v>
      </c>
      <c r="F427" s="6" t="s">
        <v>16</v>
      </c>
      <c r="G427" s="6" t="s">
        <v>2657</v>
      </c>
      <c r="H427" s="6" t="s">
        <v>14</v>
      </c>
      <c r="I427" s="6" t="s">
        <v>239</v>
      </c>
      <c r="J427" s="6" t="str">
        <f t="shared" si="43"/>
        <v>att_aa_starvation:lysine</v>
      </c>
      <c r="L427" s="6" t="s">
        <v>241</v>
      </c>
    </row>
    <row r="428" spans="3:12" x14ac:dyDescent="0.15">
      <c r="C428" s="6" t="s">
        <v>2655</v>
      </c>
      <c r="D428" s="6" t="s">
        <v>2668</v>
      </c>
      <c r="F428" s="6" t="s">
        <v>16</v>
      </c>
      <c r="G428" s="6" t="s">
        <v>2657</v>
      </c>
      <c r="H428" s="6" t="s">
        <v>14</v>
      </c>
      <c r="I428" s="6" t="s">
        <v>242</v>
      </c>
      <c r="J428" s="6" t="str">
        <f t="shared" si="43"/>
        <v>att_aa_starvation:methionine</v>
      </c>
      <c r="L428" s="6" t="s">
        <v>244</v>
      </c>
    </row>
    <row r="429" spans="3:12" x14ac:dyDescent="0.15">
      <c r="C429" s="6" t="s">
        <v>2655</v>
      </c>
      <c r="D429" s="6" t="s">
        <v>2669</v>
      </c>
      <c r="F429" s="6" t="s">
        <v>16</v>
      </c>
      <c r="G429" s="6" t="s">
        <v>2657</v>
      </c>
      <c r="H429" s="6" t="s">
        <v>14</v>
      </c>
      <c r="I429" s="6" t="s">
        <v>245</v>
      </c>
      <c r="J429" s="6" t="str">
        <f t="shared" si="43"/>
        <v>att_aa_starvation:phenylalanine</v>
      </c>
      <c r="L429" s="6" t="s">
        <v>247</v>
      </c>
    </row>
    <row r="430" spans="3:12" x14ac:dyDescent="0.15">
      <c r="C430" s="6" t="s">
        <v>2655</v>
      </c>
      <c r="D430" s="6" t="s">
        <v>2670</v>
      </c>
      <c r="F430" s="6" t="s">
        <v>16</v>
      </c>
      <c r="G430" s="6" t="s">
        <v>2657</v>
      </c>
      <c r="H430" s="6" t="s">
        <v>14</v>
      </c>
      <c r="I430" s="6" t="s">
        <v>248</v>
      </c>
      <c r="J430" s="6" t="str">
        <f t="shared" si="43"/>
        <v>att_aa_starvation:proline</v>
      </c>
      <c r="L430" s="6" t="s">
        <v>250</v>
      </c>
    </row>
    <row r="431" spans="3:12" x14ac:dyDescent="0.15">
      <c r="C431" s="6" t="s">
        <v>2655</v>
      </c>
      <c r="D431" s="6" t="s">
        <v>2671</v>
      </c>
      <c r="F431" s="6" t="s">
        <v>16</v>
      </c>
      <c r="G431" s="6" t="s">
        <v>2657</v>
      </c>
      <c r="H431" s="6" t="s">
        <v>14</v>
      </c>
      <c r="I431" s="6" t="s">
        <v>251</v>
      </c>
      <c r="J431" s="6" t="str">
        <f t="shared" si="43"/>
        <v>att_aa_starvation:serine</v>
      </c>
      <c r="L431" s="6" t="s">
        <v>253</v>
      </c>
    </row>
    <row r="432" spans="3:12" x14ac:dyDescent="0.15">
      <c r="C432" s="6" t="s">
        <v>2655</v>
      </c>
      <c r="D432" s="6" t="s">
        <v>2672</v>
      </c>
      <c r="F432" s="6" t="s">
        <v>16</v>
      </c>
      <c r="G432" s="6" t="s">
        <v>2657</v>
      </c>
      <c r="H432" s="6" t="s">
        <v>14</v>
      </c>
      <c r="I432" s="6" t="s">
        <v>254</v>
      </c>
      <c r="J432" s="6" t="str">
        <f t="shared" si="43"/>
        <v>att_aa_starvation:threonine</v>
      </c>
      <c r="L432" s="6" t="s">
        <v>256</v>
      </c>
    </row>
    <row r="433" spans="1:15" x14ac:dyDescent="0.15">
      <c r="C433" s="6" t="s">
        <v>2655</v>
      </c>
      <c r="D433" s="6" t="s">
        <v>2673</v>
      </c>
      <c r="F433" s="6" t="s">
        <v>16</v>
      </c>
      <c r="G433" s="6" t="s">
        <v>2657</v>
      </c>
      <c r="H433" s="6" t="s">
        <v>14</v>
      </c>
      <c r="I433" s="6" t="s">
        <v>257</v>
      </c>
      <c r="J433" s="6" t="str">
        <f t="shared" si="43"/>
        <v>att_aa_starvation:tryptophan</v>
      </c>
      <c r="L433" s="6" t="s">
        <v>259</v>
      </c>
    </row>
    <row r="434" spans="1:15" x14ac:dyDescent="0.15">
      <c r="C434" s="6" t="s">
        <v>2655</v>
      </c>
      <c r="D434" s="6" t="s">
        <v>2674</v>
      </c>
      <c r="F434" s="6" t="s">
        <v>16</v>
      </c>
      <c r="G434" s="6" t="s">
        <v>2657</v>
      </c>
      <c r="H434" s="6" t="s">
        <v>14</v>
      </c>
      <c r="I434" s="6" t="s">
        <v>260</v>
      </c>
      <c r="J434" s="6" t="str">
        <f t="shared" si="43"/>
        <v>att_aa_starvation:tyrosine</v>
      </c>
      <c r="L434" s="6" t="s">
        <v>262</v>
      </c>
    </row>
    <row r="435" spans="1:15" x14ac:dyDescent="0.15">
      <c r="C435" s="6" t="s">
        <v>2655</v>
      </c>
      <c r="D435" s="6" t="s">
        <v>2675</v>
      </c>
      <c r="F435" s="6" t="s">
        <v>16</v>
      </c>
      <c r="G435" s="6" t="s">
        <v>2657</v>
      </c>
      <c r="H435" s="6" t="s">
        <v>14</v>
      </c>
      <c r="I435" s="6" t="s">
        <v>263</v>
      </c>
      <c r="J435" s="6" t="str">
        <f t="shared" si="43"/>
        <v>att_aa_starvation:valine</v>
      </c>
      <c r="L435" s="6" t="s">
        <v>265</v>
      </c>
    </row>
    <row r="439" spans="1:15" x14ac:dyDescent="0.15">
      <c r="A439" s="12" t="b">
        <f>FALSE()</f>
        <v>0</v>
      </c>
      <c r="B439" s="12"/>
      <c r="C439" s="6" t="s">
        <v>718</v>
      </c>
      <c r="D439" s="6" t="s">
        <v>719</v>
      </c>
      <c r="E439" s="6" t="s">
        <v>15</v>
      </c>
      <c r="F439" s="6" t="s">
        <v>2487</v>
      </c>
      <c r="G439" s="6" t="s">
        <v>2488</v>
      </c>
      <c r="H439" s="6" t="str">
        <f t="shared" ref="H439:H448" si="44">"att_"&amp;G439</f>
        <v>att_compound</v>
      </c>
      <c r="I439" s="6" t="s">
        <v>718</v>
      </c>
      <c r="J439" s="6" t="str">
        <f t="shared" ref="J439:J448" si="45">H439&amp;":"&amp;I439</f>
        <v>att_compound:torin</v>
      </c>
      <c r="K439" s="11" t="s">
        <v>19</v>
      </c>
      <c r="L439" s="6" t="s">
        <v>720</v>
      </c>
      <c r="M439" s="6" t="s">
        <v>15</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710</v>
      </c>
      <c r="D440" s="6" t="s">
        <v>711</v>
      </c>
      <c r="E440" s="6" t="s">
        <v>15</v>
      </c>
      <c r="F440" s="6" t="s">
        <v>2487</v>
      </c>
      <c r="G440" s="6" t="s">
        <v>2488</v>
      </c>
      <c r="H440" s="6" t="str">
        <f t="shared" si="44"/>
        <v>att_compound</v>
      </c>
      <c r="I440" s="6" t="s">
        <v>710</v>
      </c>
      <c r="J440" s="6" t="str">
        <f t="shared" si="45"/>
        <v>att_compound:rapamycin</v>
      </c>
      <c r="K440" s="6" t="b">
        <f>TRUE()</f>
        <v>1</v>
      </c>
      <c r="L440" s="6" t="s">
        <v>712</v>
      </c>
    </row>
    <row r="441" spans="1:15" x14ac:dyDescent="0.15">
      <c r="C441" s="6" t="s">
        <v>671</v>
      </c>
      <c r="D441" s="6" t="s">
        <v>672</v>
      </c>
      <c r="E441" s="6" t="s">
        <v>15</v>
      </c>
      <c r="F441" s="6" t="s">
        <v>2487</v>
      </c>
      <c r="G441" s="6" t="s">
        <v>2488</v>
      </c>
      <c r="H441" s="6" t="str">
        <f t="shared" si="44"/>
        <v>att_compound</v>
      </c>
      <c r="I441" s="6" t="s">
        <v>671</v>
      </c>
      <c r="J441" s="6" t="str">
        <f t="shared" si="45"/>
        <v>att_compound:antimycin</v>
      </c>
      <c r="K441" s="6" t="b">
        <f>TRUE()</f>
        <v>1</v>
      </c>
      <c r="L441" s="6" t="s">
        <v>673</v>
      </c>
    </row>
    <row r="442" spans="1:15" x14ac:dyDescent="0.15">
      <c r="C442" s="6" t="s">
        <v>707</v>
      </c>
      <c r="D442" s="6" t="s">
        <v>708</v>
      </c>
      <c r="E442" s="6" t="s">
        <v>15</v>
      </c>
      <c r="F442" s="6" t="s">
        <v>2487</v>
      </c>
      <c r="G442" s="6" t="s">
        <v>2488</v>
      </c>
      <c r="H442" s="6" t="str">
        <f t="shared" si="44"/>
        <v>att_compound</v>
      </c>
      <c r="I442" s="6" t="s">
        <v>707</v>
      </c>
      <c r="J442" s="6" t="str">
        <f t="shared" si="45"/>
        <v>att_compound:oligomycin</v>
      </c>
      <c r="K442" s="6" t="b">
        <f>TRUE()</f>
        <v>1</v>
      </c>
      <c r="L442" s="6" t="s">
        <v>709</v>
      </c>
    </row>
    <row r="443" spans="1:15" x14ac:dyDescent="0.15">
      <c r="C443" s="6" t="s">
        <v>704</v>
      </c>
      <c r="D443" s="6" t="s">
        <v>705</v>
      </c>
      <c r="E443" s="6" t="s">
        <v>15</v>
      </c>
      <c r="F443" s="6" t="s">
        <v>2487</v>
      </c>
      <c r="G443" s="6" t="s">
        <v>2488</v>
      </c>
      <c r="H443" s="6" t="str">
        <f t="shared" si="44"/>
        <v>att_compound</v>
      </c>
      <c r="I443" s="6" t="s">
        <v>704</v>
      </c>
      <c r="J443" s="6" t="str">
        <f t="shared" si="45"/>
        <v>att_compound:hydroxyurea</v>
      </c>
      <c r="K443" s="6" t="b">
        <f>TRUE()</f>
        <v>1</v>
      </c>
      <c r="L443" s="6" t="s">
        <v>706</v>
      </c>
    </row>
    <row r="444" spans="1:15" x14ac:dyDescent="0.15">
      <c r="C444" s="6" t="s">
        <v>2676</v>
      </c>
      <c r="D444" s="6" t="s">
        <v>667</v>
      </c>
      <c r="E444" s="6" t="s">
        <v>15</v>
      </c>
      <c r="F444" s="6" t="s">
        <v>2487</v>
      </c>
      <c r="G444" s="6" t="s">
        <v>2488</v>
      </c>
      <c r="H444" s="6" t="str">
        <f t="shared" si="44"/>
        <v>att_compound</v>
      </c>
      <c r="I444" s="6" t="s">
        <v>2676</v>
      </c>
      <c r="J444" s="6" t="str">
        <f t="shared" si="45"/>
        <v xml:space="preserve">att_compound:5-fluorouracil </v>
      </c>
      <c r="K444" s="6" t="b">
        <f>TRUE()</f>
        <v>1</v>
      </c>
      <c r="L444" s="6" t="s">
        <v>668</v>
      </c>
    </row>
    <row r="445" spans="1:15" x14ac:dyDescent="0.15">
      <c r="C445" s="6" t="s">
        <v>2677</v>
      </c>
      <c r="D445" s="6" t="s">
        <v>2678</v>
      </c>
      <c r="E445" s="6" t="s">
        <v>15</v>
      </c>
      <c r="F445" s="6" t="s">
        <v>2487</v>
      </c>
      <c r="G445" s="6" t="s">
        <v>2488</v>
      </c>
      <c r="H445" s="6" t="str">
        <f t="shared" si="44"/>
        <v>att_compound</v>
      </c>
      <c r="I445" s="6" t="s">
        <v>2677</v>
      </c>
      <c r="J445" s="6" t="str">
        <f t="shared" si="45"/>
        <v xml:space="preserve">att_compound:etoposide </v>
      </c>
      <c r="K445" s="6" t="b">
        <f>TRUE()</f>
        <v>1</v>
      </c>
      <c r="L445" s="6" t="s">
        <v>2679</v>
      </c>
    </row>
    <row r="446" spans="1:15" x14ac:dyDescent="0.15">
      <c r="C446" s="6" t="s">
        <v>713</v>
      </c>
      <c r="D446" s="6" t="s">
        <v>714</v>
      </c>
      <c r="E446" s="6" t="s">
        <v>15</v>
      </c>
      <c r="F446" s="6" t="s">
        <v>2487</v>
      </c>
      <c r="G446" s="6" t="s">
        <v>2488</v>
      </c>
      <c r="H446" s="6" t="str">
        <f t="shared" si="44"/>
        <v>att_compound</v>
      </c>
      <c r="I446" s="6" t="s">
        <v>713</v>
      </c>
      <c r="J446" s="6" t="str">
        <f t="shared" si="45"/>
        <v>att_compound:rotenone</v>
      </c>
      <c r="K446" s="6" t="b">
        <f>TRUE()</f>
        <v>1</v>
      </c>
      <c r="L446" s="6" t="s">
        <v>715</v>
      </c>
    </row>
    <row r="447" spans="1:15" x14ac:dyDescent="0.15">
      <c r="C447" s="6" t="s">
        <v>681</v>
      </c>
      <c r="D447" s="6" t="s">
        <v>682</v>
      </c>
      <c r="E447" s="6" t="s">
        <v>15</v>
      </c>
      <c r="F447" s="6" t="s">
        <v>2487</v>
      </c>
      <c r="G447" s="6" t="s">
        <v>2488</v>
      </c>
      <c r="H447" s="6" t="str">
        <f t="shared" si="44"/>
        <v>att_compound</v>
      </c>
      <c r="I447" s="6" t="s">
        <v>681</v>
      </c>
      <c r="J447" s="6" t="str">
        <f t="shared" si="45"/>
        <v>att_compound:cccp</v>
      </c>
      <c r="K447" s="6" t="b">
        <f>TRUE()</f>
        <v>1</v>
      </c>
      <c r="L447" s="6" t="s">
        <v>683</v>
      </c>
    </row>
    <row r="448" spans="1:15" x14ac:dyDescent="0.15">
      <c r="C448" s="6" t="s">
        <v>698</v>
      </c>
      <c r="D448" s="6" t="s">
        <v>699</v>
      </c>
      <c r="E448" s="6" t="s">
        <v>15</v>
      </c>
      <c r="F448" s="6" t="s">
        <v>2487</v>
      </c>
      <c r="G448" s="6" t="s">
        <v>2488</v>
      </c>
      <c r="H448" s="6" t="str">
        <f t="shared" si="44"/>
        <v>att_compound</v>
      </c>
      <c r="I448" s="6" t="s">
        <v>698</v>
      </c>
      <c r="J448" s="6" t="str">
        <f t="shared" si="45"/>
        <v>att_compound:fccp</v>
      </c>
      <c r="K448" s="6" t="b">
        <f>TRUE()</f>
        <v>1</v>
      </c>
      <c r="L448" s="6" t="s">
        <v>700</v>
      </c>
    </row>
    <row r="451" spans="3:12" x14ac:dyDescent="0.15">
      <c r="C451" s="6" t="s">
        <v>1243</v>
      </c>
      <c r="D451" s="6" t="s">
        <v>1244</v>
      </c>
      <c r="F451" s="6" t="s">
        <v>114</v>
      </c>
      <c r="G451" s="6" t="s">
        <v>2680</v>
      </c>
      <c r="H451" s="6" t="str">
        <f t="shared" ref="H451:H459" si="46">"att_"&amp;G451</f>
        <v>att_knockdown_technique</v>
      </c>
      <c r="I451" s="6" t="s">
        <v>1243</v>
      </c>
      <c r="J451" s="6" t="str">
        <f t="shared" ref="J451:J459" si="47">H451&amp;":"&amp;I451</f>
        <v>att_knockdown_technique:sirna</v>
      </c>
      <c r="K451" s="6" t="b">
        <f>TRUE()</f>
        <v>1</v>
      </c>
      <c r="L451" s="6" t="s">
        <v>1245</v>
      </c>
    </row>
    <row r="452" spans="3:12" x14ac:dyDescent="0.15">
      <c r="C452" s="6" t="s">
        <v>1234</v>
      </c>
      <c r="D452" s="6" t="s">
        <v>1235</v>
      </c>
      <c r="F452" s="6" t="s">
        <v>114</v>
      </c>
      <c r="G452" s="6" t="s">
        <v>2680</v>
      </c>
      <c r="H452" s="6" t="str">
        <f t="shared" si="46"/>
        <v>att_knockdown_technique</v>
      </c>
      <c r="I452" s="6" t="s">
        <v>1234</v>
      </c>
      <c r="J452" s="6" t="str">
        <f t="shared" si="47"/>
        <v>att_knockdown_technique:grna</v>
      </c>
      <c r="K452" s="6" t="b">
        <f>TRUE()</f>
        <v>1</v>
      </c>
      <c r="L452" s="6" t="s">
        <v>1236</v>
      </c>
    </row>
    <row r="453" spans="3:12" x14ac:dyDescent="0.15">
      <c r="C453" s="6" t="s">
        <v>1240</v>
      </c>
      <c r="D453" s="6" t="s">
        <v>1241</v>
      </c>
      <c r="F453" s="6" t="s">
        <v>114</v>
      </c>
      <c r="G453" s="6" t="s">
        <v>2680</v>
      </c>
      <c r="H453" s="6" t="str">
        <f t="shared" si="46"/>
        <v>att_knockdown_technique</v>
      </c>
      <c r="I453" s="6" t="s">
        <v>1240</v>
      </c>
      <c r="J453" s="6" t="str">
        <f t="shared" si="47"/>
        <v>att_knockdown_technique:shrna</v>
      </c>
      <c r="K453" s="6" t="b">
        <f>TRUE()</f>
        <v>1</v>
      </c>
      <c r="L453" s="6" t="s">
        <v>1242</v>
      </c>
    </row>
    <row r="454" spans="3:12" x14ac:dyDescent="0.15">
      <c r="C454" s="6" t="s">
        <v>1237</v>
      </c>
      <c r="D454" s="6" t="s">
        <v>1238</v>
      </c>
      <c r="F454" s="6" t="s">
        <v>114</v>
      </c>
      <c r="G454" s="6" t="s">
        <v>2680</v>
      </c>
      <c r="H454" s="6" t="str">
        <f t="shared" si="46"/>
        <v>att_knockdown_technique</v>
      </c>
      <c r="I454" s="6" t="s">
        <v>1237</v>
      </c>
      <c r="J454" s="6" t="str">
        <f t="shared" si="47"/>
        <v>att_knockdown_technique:mirna</v>
      </c>
      <c r="L454" s="6" t="s">
        <v>1239</v>
      </c>
    </row>
    <row r="455" spans="3:12" x14ac:dyDescent="0.15">
      <c r="C455" s="6" t="s">
        <v>1217</v>
      </c>
      <c r="D455" s="6" t="s">
        <v>1218</v>
      </c>
      <c r="F455" s="6" t="s">
        <v>2681</v>
      </c>
      <c r="G455" s="6" t="s">
        <v>2682</v>
      </c>
      <c r="H455" s="6" t="str">
        <f t="shared" si="46"/>
        <v>att_gene_engineering</v>
      </c>
      <c r="I455" s="6" t="s">
        <v>1217</v>
      </c>
      <c r="J455" s="6" t="str">
        <f t="shared" si="47"/>
        <v>att_gene_engineering:ko</v>
      </c>
      <c r="L455" s="6" t="s">
        <v>1219</v>
      </c>
    </row>
    <row r="456" spans="3:12" x14ac:dyDescent="0.15">
      <c r="C456" s="6" t="s">
        <v>2683</v>
      </c>
      <c r="D456" s="6" t="s">
        <v>1215</v>
      </c>
      <c r="F456" s="6" t="s">
        <v>2681</v>
      </c>
      <c r="G456" s="6" t="s">
        <v>2682</v>
      </c>
      <c r="H456" s="6" t="str">
        <f t="shared" si="46"/>
        <v>att_gene_engineering</v>
      </c>
      <c r="I456" s="6" t="s">
        <v>1214</v>
      </c>
      <c r="J456" s="6" t="str">
        <f t="shared" si="47"/>
        <v>att_gene_engineering:knockin</v>
      </c>
      <c r="L456" s="6" t="s">
        <v>1216</v>
      </c>
    </row>
    <row r="457" spans="3:12" x14ac:dyDescent="0.15">
      <c r="C457" s="6" t="s">
        <v>1208</v>
      </c>
      <c r="D457" s="6" t="s">
        <v>1209</v>
      </c>
      <c r="F457" s="6" t="s">
        <v>2681</v>
      </c>
      <c r="G457" s="6" t="s">
        <v>2682</v>
      </c>
      <c r="H457" s="6" t="str">
        <f t="shared" si="46"/>
        <v>att_gene_engineering</v>
      </c>
      <c r="I457" s="6" t="s">
        <v>1208</v>
      </c>
      <c r="J457" s="6" t="str">
        <f t="shared" si="47"/>
        <v>att_gene_engineering:deletion</v>
      </c>
      <c r="L457" s="6" t="s">
        <v>1210</v>
      </c>
    </row>
    <row r="458" spans="3:12" x14ac:dyDescent="0.15">
      <c r="C458" s="6" t="s">
        <v>1212</v>
      </c>
      <c r="D458" s="6" t="s">
        <v>1212</v>
      </c>
      <c r="F458" s="6" t="s">
        <v>2681</v>
      </c>
      <c r="G458" s="6" t="s">
        <v>2682</v>
      </c>
      <c r="H458" s="6" t="str">
        <f t="shared" si="46"/>
        <v>att_gene_engineering</v>
      </c>
      <c r="I458" s="6" t="s">
        <v>1211</v>
      </c>
      <c r="J458" s="6" t="str">
        <f t="shared" si="47"/>
        <v>att_gene_engineering:inducible_expression</v>
      </c>
      <c r="L458" s="6" t="s">
        <v>1213</v>
      </c>
    </row>
    <row r="459" spans="3:12" x14ac:dyDescent="0.15">
      <c r="C459" s="6" t="s">
        <v>2684</v>
      </c>
      <c r="D459" s="6" t="s">
        <v>1221</v>
      </c>
      <c r="F459" s="6" t="s">
        <v>2681</v>
      </c>
      <c r="G459" s="6" t="s">
        <v>2682</v>
      </c>
      <c r="H459" s="6" t="str">
        <f t="shared" si="46"/>
        <v>att_gene_engineering</v>
      </c>
      <c r="I459" s="6" t="s">
        <v>1220</v>
      </c>
      <c r="J459" s="6" t="str">
        <f t="shared" si="47"/>
        <v>att_gene_engineering:stable_expression</v>
      </c>
      <c r="L459" s="6" t="s">
        <v>1222</v>
      </c>
    </row>
    <row r="461" spans="3:12" x14ac:dyDescent="0.15">
      <c r="C461" s="6" t="s">
        <v>1193</v>
      </c>
      <c r="D461" s="6" t="s">
        <v>1194</v>
      </c>
      <c r="F461" s="6" t="s">
        <v>2685</v>
      </c>
      <c r="G461" s="6" t="s">
        <v>2686</v>
      </c>
      <c r="H461" s="6" t="str">
        <f t="shared" ref="H461:H476" si="48">"att_"&amp;G461</f>
        <v>att_gene_editing_method</v>
      </c>
      <c r="I461" s="6" t="s">
        <v>1193</v>
      </c>
      <c r="J461" s="6" t="str">
        <f t="shared" ref="J461:J476" si="49">H461&amp;":"&amp;I461</f>
        <v>att_gene_editing_method:crispr</v>
      </c>
      <c r="L461" s="6" t="s">
        <v>1195</v>
      </c>
    </row>
    <row r="462" spans="3:12" x14ac:dyDescent="0.15">
      <c r="C462" s="6" t="s">
        <v>2687</v>
      </c>
      <c r="D462" s="6" t="s">
        <v>1197</v>
      </c>
      <c r="F462" s="6" t="s">
        <v>2685</v>
      </c>
      <c r="G462" s="6" t="s">
        <v>2686</v>
      </c>
      <c r="H462" s="6" t="str">
        <f t="shared" si="48"/>
        <v>att_gene_editing_method</v>
      </c>
      <c r="I462" s="6" t="s">
        <v>2688</v>
      </c>
      <c r="J462" s="6" t="str">
        <f t="shared" si="49"/>
        <v>att_gene_editing_method:crispr-hdr</v>
      </c>
      <c r="L462" s="6" t="s">
        <v>1198</v>
      </c>
    </row>
    <row r="463" spans="3:12" x14ac:dyDescent="0.15">
      <c r="C463" s="6" t="s">
        <v>2689</v>
      </c>
      <c r="D463" s="6" t="s">
        <v>1191</v>
      </c>
      <c r="F463" s="6" t="s">
        <v>2685</v>
      </c>
      <c r="G463" s="6" t="s">
        <v>2686</v>
      </c>
      <c r="H463" s="6" t="str">
        <f t="shared" si="48"/>
        <v>att_gene_editing_method</v>
      </c>
      <c r="I463" s="6" t="s">
        <v>1190</v>
      </c>
      <c r="J463" s="6" t="str">
        <f t="shared" si="49"/>
        <v>att_gene_editing_method:biggybac</v>
      </c>
      <c r="L463" s="6" t="s">
        <v>1192</v>
      </c>
    </row>
    <row r="464" spans="3:12" x14ac:dyDescent="0.15">
      <c r="C464" s="6" t="s">
        <v>2690</v>
      </c>
      <c r="D464" s="6" t="s">
        <v>1200</v>
      </c>
      <c r="F464" s="6" t="s">
        <v>2685</v>
      </c>
      <c r="G464" s="6" t="s">
        <v>2686</v>
      </c>
      <c r="H464" s="6" t="str">
        <f t="shared" si="48"/>
        <v>att_gene_editing_method</v>
      </c>
      <c r="I464" s="6" t="s">
        <v>1199</v>
      </c>
      <c r="J464" s="6" t="str">
        <f t="shared" si="49"/>
        <v>att_gene_editing_method:lentiviral</v>
      </c>
      <c r="L464" s="6" t="s">
        <v>1201</v>
      </c>
    </row>
    <row r="465" spans="3:12" x14ac:dyDescent="0.15">
      <c r="C465" s="6" t="s">
        <v>2691</v>
      </c>
      <c r="D465" s="6" t="s">
        <v>1203</v>
      </c>
      <c r="F465" s="6" t="s">
        <v>2685</v>
      </c>
      <c r="G465" s="6" t="s">
        <v>2686</v>
      </c>
      <c r="H465" s="6" t="str">
        <f t="shared" si="48"/>
        <v>att_gene_editing_method</v>
      </c>
      <c r="I465" s="6" t="s">
        <v>1202</v>
      </c>
      <c r="J465" s="6" t="str">
        <f t="shared" si="49"/>
        <v>att_gene_editing_method:talen</v>
      </c>
      <c r="L465" s="6" t="s">
        <v>1204</v>
      </c>
    </row>
    <row r="466" spans="3:12" x14ac:dyDescent="0.15">
      <c r="C466" s="6" t="s">
        <v>2692</v>
      </c>
      <c r="D466" s="6" t="s">
        <v>1206</v>
      </c>
      <c r="F466" s="6" t="s">
        <v>2685</v>
      </c>
      <c r="G466" s="6" t="s">
        <v>2686</v>
      </c>
      <c r="H466" s="6" t="str">
        <f t="shared" si="48"/>
        <v>att_gene_editing_method</v>
      </c>
      <c r="I466" s="6" t="s">
        <v>1205</v>
      </c>
      <c r="J466" s="6" t="str">
        <f t="shared" si="49"/>
        <v>att_gene_editing_method:zincfinger</v>
      </c>
      <c r="L466" s="6" t="s">
        <v>1207</v>
      </c>
    </row>
    <row r="467" spans="3:12" x14ac:dyDescent="0.15">
      <c r="C467" s="6" t="s">
        <v>2693</v>
      </c>
      <c r="D467" s="6" t="s">
        <v>2225</v>
      </c>
      <c r="F467" s="6" t="s">
        <v>2694</v>
      </c>
      <c r="G467" s="6" t="s">
        <v>2695</v>
      </c>
      <c r="H467" s="6" t="str">
        <f t="shared" si="48"/>
        <v>att_protein_mutation</v>
      </c>
      <c r="I467" s="6" t="s">
        <v>2224</v>
      </c>
      <c r="J467" s="6" t="str">
        <f t="shared" si="49"/>
        <v>att_protein_mutation:frameshift</v>
      </c>
      <c r="L467" s="6" t="s">
        <v>2226</v>
      </c>
    </row>
    <row r="468" spans="3:12" x14ac:dyDescent="0.15">
      <c r="C468" s="6" t="s">
        <v>2696</v>
      </c>
      <c r="D468" s="6" t="s">
        <v>2245</v>
      </c>
      <c r="F468" s="6" t="s">
        <v>2694</v>
      </c>
      <c r="G468" s="6" t="s">
        <v>2695</v>
      </c>
      <c r="H468" s="6" t="str">
        <f t="shared" si="48"/>
        <v>att_protein_mutation</v>
      </c>
      <c r="I468" s="6" t="s">
        <v>2244</v>
      </c>
      <c r="J468" s="6" t="str">
        <f t="shared" si="49"/>
        <v>att_protein_mutation:substitution</v>
      </c>
      <c r="L468" s="6" t="s">
        <v>2246</v>
      </c>
    </row>
    <row r="469" spans="3:12" x14ac:dyDescent="0.15">
      <c r="C469" s="6" t="s">
        <v>2697</v>
      </c>
      <c r="D469" s="6" t="s">
        <v>2219</v>
      </c>
      <c r="F469" s="6" t="s">
        <v>2694</v>
      </c>
      <c r="G469" s="6" t="s">
        <v>2695</v>
      </c>
      <c r="H469" s="6" t="str">
        <f t="shared" si="48"/>
        <v>att_protein_mutation</v>
      </c>
      <c r="I469" s="6" t="s">
        <v>1208</v>
      </c>
      <c r="J469" s="6" t="str">
        <f t="shared" si="49"/>
        <v>att_protein_mutation:deletion</v>
      </c>
      <c r="L469" s="6" t="s">
        <v>2220</v>
      </c>
    </row>
    <row r="470" spans="3:12" x14ac:dyDescent="0.15">
      <c r="C470" s="6" t="s">
        <v>2236</v>
      </c>
      <c r="D470" s="6" t="s">
        <v>2237</v>
      </c>
      <c r="F470" s="6" t="s">
        <v>2694</v>
      </c>
      <c r="G470" s="6" t="s">
        <v>2695</v>
      </c>
      <c r="H470" s="6" t="str">
        <f t="shared" si="48"/>
        <v>att_protein_mutation</v>
      </c>
      <c r="I470" s="6" t="s">
        <v>2236</v>
      </c>
      <c r="J470" s="6" t="str">
        <f t="shared" si="49"/>
        <v>att_protein_mutation:insertion</v>
      </c>
      <c r="L470" s="6" t="s">
        <v>2238</v>
      </c>
    </row>
    <row r="471" spans="3:12" x14ac:dyDescent="0.15">
      <c r="C471" s="6" t="s">
        <v>2698</v>
      </c>
      <c r="D471" s="6" t="s">
        <v>2248</v>
      </c>
      <c r="F471" s="6" t="s">
        <v>2694</v>
      </c>
      <c r="G471" s="6" t="s">
        <v>2695</v>
      </c>
      <c r="H471" s="6" t="str">
        <f t="shared" si="48"/>
        <v>att_protein_mutation</v>
      </c>
      <c r="I471" s="6" t="s">
        <v>2247</v>
      </c>
      <c r="J471" s="6" t="str">
        <f t="shared" si="49"/>
        <v>att_protein_mutation:truncation</v>
      </c>
      <c r="L471" s="6" t="s">
        <v>2249</v>
      </c>
    </row>
    <row r="472" spans="3:12" x14ac:dyDescent="0.15">
      <c r="C472" s="6" t="s">
        <v>2699</v>
      </c>
      <c r="D472" s="6" t="s">
        <v>2222</v>
      </c>
      <c r="F472" s="6" t="s">
        <v>2694</v>
      </c>
      <c r="G472" s="6" t="s">
        <v>2695</v>
      </c>
      <c r="H472" s="6" t="str">
        <f t="shared" si="48"/>
        <v>att_protein_mutation</v>
      </c>
      <c r="I472" s="6" t="s">
        <v>2221</v>
      </c>
      <c r="J472" s="6" t="str">
        <f t="shared" si="49"/>
        <v>att_protein_mutation:flag</v>
      </c>
      <c r="L472" s="6" t="s">
        <v>2223</v>
      </c>
    </row>
    <row r="473" spans="3:12" x14ac:dyDescent="0.15">
      <c r="C473" s="6" t="s">
        <v>2700</v>
      </c>
      <c r="D473" s="6" t="s">
        <v>2231</v>
      </c>
      <c r="F473" s="6" t="s">
        <v>2694</v>
      </c>
      <c r="G473" s="6" t="s">
        <v>2695</v>
      </c>
      <c r="H473" s="6" t="str">
        <f t="shared" si="48"/>
        <v>att_protein_mutation</v>
      </c>
      <c r="I473" s="6" t="s">
        <v>2230</v>
      </c>
      <c r="J473" s="6" t="str">
        <f t="shared" si="49"/>
        <v>att_protein_mutation:ha</v>
      </c>
      <c r="L473" s="6" t="s">
        <v>2232</v>
      </c>
    </row>
    <row r="474" spans="3:12" x14ac:dyDescent="0.15">
      <c r="C474" s="6" t="s">
        <v>2701</v>
      </c>
      <c r="D474" s="6" t="s">
        <v>2240</v>
      </c>
      <c r="F474" s="6" t="s">
        <v>2694</v>
      </c>
      <c r="G474" s="6" t="s">
        <v>2695</v>
      </c>
      <c r="H474" s="6" t="str">
        <f t="shared" si="48"/>
        <v>att_protein_mutation</v>
      </c>
      <c r="I474" s="6" t="s">
        <v>2239</v>
      </c>
      <c r="J474" s="6" t="str">
        <f t="shared" si="49"/>
        <v>att_protein_mutation:myc</v>
      </c>
      <c r="L474" s="6" t="s">
        <v>2241</v>
      </c>
    </row>
    <row r="475" spans="3:12" x14ac:dyDescent="0.15">
      <c r="C475" s="6" t="s">
        <v>2702</v>
      </c>
      <c r="D475" s="6" t="s">
        <v>2228</v>
      </c>
      <c r="F475" s="6" t="s">
        <v>2694</v>
      </c>
      <c r="G475" s="6" t="s">
        <v>2695</v>
      </c>
      <c r="H475" s="6" t="str">
        <f t="shared" si="48"/>
        <v>att_protein_mutation</v>
      </c>
      <c r="I475" s="6" t="s">
        <v>2227</v>
      </c>
      <c r="J475" s="6" t="str">
        <f t="shared" si="49"/>
        <v>att_protein_mutation:gfp</v>
      </c>
      <c r="L475" s="6" t="s">
        <v>2229</v>
      </c>
    </row>
    <row r="476" spans="3:12" x14ac:dyDescent="0.15">
      <c r="C476" s="6" t="s">
        <v>2703</v>
      </c>
      <c r="D476" s="6" t="s">
        <v>2234</v>
      </c>
      <c r="F476" s="6" t="s">
        <v>2694</v>
      </c>
      <c r="G476" s="6" t="s">
        <v>2695</v>
      </c>
      <c r="H476" s="6" t="str">
        <f t="shared" si="48"/>
        <v>att_protein_mutation</v>
      </c>
      <c r="I476" s="6" t="s">
        <v>2233</v>
      </c>
      <c r="J476" s="6" t="str">
        <f t="shared" si="49"/>
        <v>att_protein_mutation:his</v>
      </c>
      <c r="L476" s="6" t="s">
        <v>2235</v>
      </c>
    </row>
    <row r="478" spans="3:12" x14ac:dyDescent="0.15">
      <c r="C478" s="6" t="s">
        <v>2704</v>
      </c>
      <c r="D478" s="6" t="s">
        <v>2257</v>
      </c>
      <c r="F478" s="6" t="s">
        <v>2705</v>
      </c>
      <c r="G478" s="6" t="s">
        <v>2706</v>
      </c>
      <c r="H478" s="6" t="str">
        <f>"att_"&amp;G478</f>
        <v>att_protein_position</v>
      </c>
      <c r="I478" s="6" t="s">
        <v>2256</v>
      </c>
      <c r="J478" s="6" t="str">
        <f>H478&amp;":"&amp;I478</f>
        <v>att_protein_position:nterm</v>
      </c>
      <c r="L478" s="6" t="s">
        <v>2258</v>
      </c>
    </row>
    <row r="479" spans="3:12" x14ac:dyDescent="0.15">
      <c r="C479" s="6" t="s">
        <v>2707</v>
      </c>
      <c r="D479" s="6" t="s">
        <v>2254</v>
      </c>
      <c r="F479" s="6" t="s">
        <v>2705</v>
      </c>
      <c r="G479" s="6" t="s">
        <v>2706</v>
      </c>
      <c r="H479" s="6" t="str">
        <f>"att_"&amp;G479</f>
        <v>att_protein_position</v>
      </c>
      <c r="I479" s="6" t="s">
        <v>2253</v>
      </c>
      <c r="J479" s="6" t="str">
        <f>H479&amp;":"&amp;I479</f>
        <v>att_protein_position:cterm</v>
      </c>
      <c r="L479" s="6" t="s">
        <v>2255</v>
      </c>
    </row>
    <row r="480" spans="3:12" x14ac:dyDescent="0.15">
      <c r="C480" s="6" t="s">
        <v>2250</v>
      </c>
      <c r="D480" s="6" t="s">
        <v>2251</v>
      </c>
      <c r="F480" s="6" t="s">
        <v>2705</v>
      </c>
      <c r="G480" s="6" t="s">
        <v>2706</v>
      </c>
      <c r="H480" s="6" t="str">
        <f>"att_"&amp;G480</f>
        <v>att_protein_position</v>
      </c>
      <c r="I480" s="6" t="s">
        <v>2250</v>
      </c>
      <c r="J480" s="6" t="str">
        <f>H480&amp;":"&amp;I480</f>
        <v>att_protein_position:aa</v>
      </c>
      <c r="L480" s="6" t="s">
        <v>2252</v>
      </c>
    </row>
    <row r="481" spans="3:12" x14ac:dyDescent="0.15">
      <c r="C481" s="6" t="s">
        <v>2259</v>
      </c>
      <c r="D481" s="6" t="s">
        <v>2260</v>
      </c>
      <c r="F481" s="6" t="s">
        <v>2705</v>
      </c>
      <c r="G481" s="6" t="s">
        <v>2706</v>
      </c>
      <c r="H481" s="6" t="str">
        <f>"att_"&amp;G481</f>
        <v>att_protein_position</v>
      </c>
      <c r="I481" s="6" t="s">
        <v>2259</v>
      </c>
      <c r="J481" s="6" t="str">
        <f>H481&amp;":"&amp;I481</f>
        <v>att_protein_position:region</v>
      </c>
      <c r="L481" s="6" t="s">
        <v>2261</v>
      </c>
    </row>
    <row r="485" spans="3:12" x14ac:dyDescent="0.15">
      <c r="C485" s="6" t="s">
        <v>2708</v>
      </c>
      <c r="D485" s="6" t="s">
        <v>210</v>
      </c>
      <c r="F485" s="6" t="s">
        <v>2709</v>
      </c>
      <c r="G485" s="6" t="s">
        <v>2250</v>
      </c>
      <c r="H485" s="6" t="s">
        <v>209</v>
      </c>
      <c r="I485" s="6" t="s">
        <v>208</v>
      </c>
      <c r="J485" s="6" t="str">
        <f t="shared" ref="J485:J503" si="50">H485&amp;":"&amp;I485</f>
        <v>att_aa:arginine</v>
      </c>
      <c r="L485" s="6" t="s">
        <v>211</v>
      </c>
    </row>
    <row r="486" spans="3:12" x14ac:dyDescent="0.15">
      <c r="C486" s="6" t="s">
        <v>2708</v>
      </c>
      <c r="D486" s="6" t="s">
        <v>213</v>
      </c>
      <c r="F486" s="6" t="s">
        <v>2709</v>
      </c>
      <c r="G486" s="6" t="s">
        <v>2250</v>
      </c>
      <c r="H486" s="6" t="s">
        <v>209</v>
      </c>
      <c r="I486" s="6" t="s">
        <v>212</v>
      </c>
      <c r="J486" s="6" t="str">
        <f t="shared" si="50"/>
        <v>att_aa:asparagine</v>
      </c>
      <c r="L486" s="6" t="s">
        <v>214</v>
      </c>
    </row>
    <row r="487" spans="3:12" x14ac:dyDescent="0.15">
      <c r="C487" s="6" t="s">
        <v>2708</v>
      </c>
      <c r="D487" s="6" t="s">
        <v>216</v>
      </c>
      <c r="F487" s="6" t="s">
        <v>2709</v>
      </c>
      <c r="G487" s="6" t="s">
        <v>2250</v>
      </c>
      <c r="H487" s="6" t="s">
        <v>209</v>
      </c>
      <c r="I487" s="6" t="s">
        <v>215</v>
      </c>
      <c r="J487" s="6" t="str">
        <f t="shared" si="50"/>
        <v>att_aa:asparticacid</v>
      </c>
      <c r="L487" s="6" t="s">
        <v>217</v>
      </c>
    </row>
    <row r="488" spans="3:12" x14ac:dyDescent="0.15">
      <c r="C488" s="6" t="s">
        <v>2708</v>
      </c>
      <c r="D488" s="6" t="s">
        <v>219</v>
      </c>
      <c r="F488" s="6" t="s">
        <v>2709</v>
      </c>
      <c r="G488" s="6" t="s">
        <v>2250</v>
      </c>
      <c r="H488" s="6" t="s">
        <v>209</v>
      </c>
      <c r="I488" s="6" t="s">
        <v>218</v>
      </c>
      <c r="J488" s="6" t="str">
        <f t="shared" si="50"/>
        <v>att_aa:cysteine</v>
      </c>
      <c r="L488" s="6" t="s">
        <v>220</v>
      </c>
    </row>
    <row r="489" spans="3:12" x14ac:dyDescent="0.15">
      <c r="C489" s="6" t="s">
        <v>2708</v>
      </c>
      <c r="D489" s="6" t="s">
        <v>222</v>
      </c>
      <c r="F489" s="6" t="s">
        <v>2709</v>
      </c>
      <c r="G489" s="6" t="s">
        <v>2250</v>
      </c>
      <c r="H489" s="6" t="s">
        <v>209</v>
      </c>
      <c r="I489" s="6" t="s">
        <v>221</v>
      </c>
      <c r="J489" s="6" t="str">
        <f t="shared" si="50"/>
        <v>att_aa:glutamicacid</v>
      </c>
      <c r="L489" s="6" t="s">
        <v>223</v>
      </c>
    </row>
    <row r="490" spans="3:12" x14ac:dyDescent="0.15">
      <c r="C490" s="6" t="s">
        <v>2708</v>
      </c>
      <c r="D490" s="6" t="s">
        <v>225</v>
      </c>
      <c r="F490" s="6" t="s">
        <v>2709</v>
      </c>
      <c r="G490" s="6" t="s">
        <v>2250</v>
      </c>
      <c r="H490" s="6" t="s">
        <v>209</v>
      </c>
      <c r="I490" s="6" t="s">
        <v>224</v>
      </c>
      <c r="J490" s="6" t="str">
        <f t="shared" si="50"/>
        <v>att_aa:glutamine</v>
      </c>
      <c r="L490" s="6" t="s">
        <v>226</v>
      </c>
    </row>
    <row r="491" spans="3:12" x14ac:dyDescent="0.15">
      <c r="C491" s="6" t="s">
        <v>2708</v>
      </c>
      <c r="D491" s="6" t="s">
        <v>228</v>
      </c>
      <c r="F491" s="6" t="s">
        <v>2709</v>
      </c>
      <c r="G491" s="6" t="s">
        <v>2250</v>
      </c>
      <c r="H491" s="6" t="s">
        <v>209</v>
      </c>
      <c r="I491" s="6" t="s">
        <v>227</v>
      </c>
      <c r="J491" s="6" t="str">
        <f t="shared" si="50"/>
        <v>att_aa:glycine</v>
      </c>
      <c r="L491" s="6" t="s">
        <v>229</v>
      </c>
    </row>
    <row r="492" spans="3:12" x14ac:dyDescent="0.15">
      <c r="C492" s="6" t="s">
        <v>2708</v>
      </c>
      <c r="D492" s="6" t="s">
        <v>231</v>
      </c>
      <c r="F492" s="6" t="s">
        <v>2709</v>
      </c>
      <c r="G492" s="6" t="s">
        <v>2250</v>
      </c>
      <c r="H492" s="6" t="s">
        <v>209</v>
      </c>
      <c r="I492" s="6" t="s">
        <v>230</v>
      </c>
      <c r="J492" s="6" t="str">
        <f t="shared" si="50"/>
        <v>att_aa:histidine</v>
      </c>
      <c r="L492" s="6" t="s">
        <v>232</v>
      </c>
    </row>
    <row r="493" spans="3:12" x14ac:dyDescent="0.15">
      <c r="C493" s="6" t="s">
        <v>2708</v>
      </c>
      <c r="D493" s="6" t="s">
        <v>234</v>
      </c>
      <c r="F493" s="6" t="s">
        <v>2709</v>
      </c>
      <c r="G493" s="6" t="s">
        <v>2250</v>
      </c>
      <c r="H493" s="6" t="s">
        <v>209</v>
      </c>
      <c r="I493" s="6" t="s">
        <v>233</v>
      </c>
      <c r="J493" s="6" t="str">
        <f t="shared" si="50"/>
        <v>att_aa:isoleucine</v>
      </c>
      <c r="L493" s="6" t="s">
        <v>235</v>
      </c>
    </row>
    <row r="494" spans="3:12" x14ac:dyDescent="0.15">
      <c r="C494" s="6" t="s">
        <v>2708</v>
      </c>
      <c r="D494" s="6" t="s">
        <v>237</v>
      </c>
      <c r="F494" s="6" t="s">
        <v>2709</v>
      </c>
      <c r="G494" s="6" t="s">
        <v>2250</v>
      </c>
      <c r="H494" s="6" t="s">
        <v>209</v>
      </c>
      <c r="I494" s="6" t="s">
        <v>236</v>
      </c>
      <c r="J494" s="6" t="str">
        <f t="shared" si="50"/>
        <v>att_aa:leucine</v>
      </c>
      <c r="L494" s="6" t="s">
        <v>238</v>
      </c>
    </row>
    <row r="495" spans="3:12" x14ac:dyDescent="0.15">
      <c r="C495" s="6" t="s">
        <v>2708</v>
      </c>
      <c r="D495" s="6" t="s">
        <v>240</v>
      </c>
      <c r="F495" s="6" t="s">
        <v>2709</v>
      </c>
      <c r="G495" s="6" t="s">
        <v>2250</v>
      </c>
      <c r="H495" s="6" t="s">
        <v>209</v>
      </c>
      <c r="I495" s="6" t="s">
        <v>239</v>
      </c>
      <c r="J495" s="6" t="str">
        <f t="shared" si="50"/>
        <v>att_aa:lysine</v>
      </c>
      <c r="L495" s="6" t="s">
        <v>241</v>
      </c>
    </row>
    <row r="496" spans="3:12" x14ac:dyDescent="0.15">
      <c r="C496" s="6" t="s">
        <v>2708</v>
      </c>
      <c r="D496" s="6" t="s">
        <v>243</v>
      </c>
      <c r="F496" s="6" t="s">
        <v>2709</v>
      </c>
      <c r="G496" s="6" t="s">
        <v>2250</v>
      </c>
      <c r="H496" s="6" t="s">
        <v>209</v>
      </c>
      <c r="I496" s="6" t="s">
        <v>242</v>
      </c>
      <c r="J496" s="6" t="str">
        <f t="shared" si="50"/>
        <v>att_aa:methionine</v>
      </c>
      <c r="L496" s="6" t="s">
        <v>244</v>
      </c>
    </row>
    <row r="497" spans="3:12" x14ac:dyDescent="0.15">
      <c r="C497" s="6" t="s">
        <v>2708</v>
      </c>
      <c r="D497" s="6" t="s">
        <v>246</v>
      </c>
      <c r="F497" s="6" t="s">
        <v>2709</v>
      </c>
      <c r="G497" s="6" t="s">
        <v>2250</v>
      </c>
      <c r="H497" s="6" t="s">
        <v>209</v>
      </c>
      <c r="I497" s="6" t="s">
        <v>245</v>
      </c>
      <c r="J497" s="6" t="str">
        <f t="shared" si="50"/>
        <v>att_aa:phenylalanine</v>
      </c>
      <c r="L497" s="6" t="s">
        <v>247</v>
      </c>
    </row>
    <row r="498" spans="3:12" x14ac:dyDescent="0.15">
      <c r="C498" s="6" t="s">
        <v>2708</v>
      </c>
      <c r="D498" s="6" t="s">
        <v>249</v>
      </c>
      <c r="F498" s="6" t="s">
        <v>2709</v>
      </c>
      <c r="G498" s="6" t="s">
        <v>2250</v>
      </c>
      <c r="H498" s="6" t="s">
        <v>209</v>
      </c>
      <c r="I498" s="6" t="s">
        <v>248</v>
      </c>
      <c r="J498" s="6" t="str">
        <f t="shared" si="50"/>
        <v>att_aa:proline</v>
      </c>
      <c r="L498" s="6" t="s">
        <v>250</v>
      </c>
    </row>
    <row r="499" spans="3:12" x14ac:dyDescent="0.15">
      <c r="C499" s="6" t="s">
        <v>2708</v>
      </c>
      <c r="D499" s="6" t="s">
        <v>252</v>
      </c>
      <c r="F499" s="6" t="s">
        <v>2709</v>
      </c>
      <c r="G499" s="6" t="s">
        <v>2250</v>
      </c>
      <c r="H499" s="6" t="s">
        <v>209</v>
      </c>
      <c r="I499" s="6" t="s">
        <v>251</v>
      </c>
      <c r="J499" s="6" t="str">
        <f t="shared" si="50"/>
        <v>att_aa:serine</v>
      </c>
      <c r="L499" s="6" t="s">
        <v>253</v>
      </c>
    </row>
    <row r="500" spans="3:12" x14ac:dyDescent="0.15">
      <c r="C500" s="6" t="s">
        <v>2708</v>
      </c>
      <c r="D500" s="6" t="s">
        <v>255</v>
      </c>
      <c r="F500" s="6" t="s">
        <v>2709</v>
      </c>
      <c r="G500" s="6" t="s">
        <v>2250</v>
      </c>
      <c r="H500" s="6" t="s">
        <v>209</v>
      </c>
      <c r="I500" s="6" t="s">
        <v>254</v>
      </c>
      <c r="J500" s="6" t="str">
        <f t="shared" si="50"/>
        <v>att_aa:threonine</v>
      </c>
      <c r="L500" s="6" t="s">
        <v>256</v>
      </c>
    </row>
    <row r="501" spans="3:12" x14ac:dyDescent="0.15">
      <c r="C501" s="6" t="s">
        <v>2708</v>
      </c>
      <c r="D501" s="6" t="s">
        <v>258</v>
      </c>
      <c r="F501" s="6" t="s">
        <v>2709</v>
      </c>
      <c r="G501" s="6" t="s">
        <v>2250</v>
      </c>
      <c r="H501" s="6" t="s">
        <v>209</v>
      </c>
      <c r="I501" s="6" t="s">
        <v>257</v>
      </c>
      <c r="J501" s="6" t="str">
        <f t="shared" si="50"/>
        <v>att_aa:tryptophan</v>
      </c>
      <c r="L501" s="6" t="s">
        <v>259</v>
      </c>
    </row>
    <row r="502" spans="3:12" x14ac:dyDescent="0.15">
      <c r="C502" s="6" t="s">
        <v>2708</v>
      </c>
      <c r="D502" s="6" t="s">
        <v>261</v>
      </c>
      <c r="F502" s="6" t="s">
        <v>2709</v>
      </c>
      <c r="G502" s="6" t="s">
        <v>2250</v>
      </c>
      <c r="H502" s="6" t="s">
        <v>209</v>
      </c>
      <c r="I502" s="6" t="s">
        <v>260</v>
      </c>
      <c r="J502" s="6" t="str">
        <f t="shared" si="50"/>
        <v>att_aa:tyrosine</v>
      </c>
      <c r="L502" s="6" t="s">
        <v>262</v>
      </c>
    </row>
    <row r="503" spans="3:12" x14ac:dyDescent="0.15">
      <c r="C503" s="6" t="s">
        <v>2708</v>
      </c>
      <c r="D503" s="6" t="s">
        <v>264</v>
      </c>
      <c r="F503" s="6" t="s">
        <v>2709</v>
      </c>
      <c r="G503" s="6" t="s">
        <v>2250</v>
      </c>
      <c r="H503" s="6" t="s">
        <v>209</v>
      </c>
      <c r="I503" s="6" t="s">
        <v>263</v>
      </c>
      <c r="J503" s="6" t="str">
        <f t="shared" si="50"/>
        <v>att_aa:valine</v>
      </c>
      <c r="L503" s="6" t="s">
        <v>265</v>
      </c>
    </row>
    <row r="507" spans="3:12" x14ac:dyDescent="0.15">
      <c r="C507" s="6" t="s">
        <v>2710</v>
      </c>
      <c r="D507" s="6">
        <v>126</v>
      </c>
      <c r="F507" s="6" t="s">
        <v>181</v>
      </c>
      <c r="G507" s="6" t="s">
        <v>2711</v>
      </c>
      <c r="H507" s="6" t="s">
        <v>180</v>
      </c>
      <c r="I507" s="6" t="str">
        <f t="shared" ref="I507:I516" si="51">"tmt10_"&amp;D507</f>
        <v>tmt10_126</v>
      </c>
      <c r="J507" s="6" t="str">
        <f t="shared" ref="J507:J516" si="52">H507&amp;":"&amp;I507</f>
        <v>att_tmt_channel:tmt10_126</v>
      </c>
    </row>
    <row r="508" spans="3:12" x14ac:dyDescent="0.15">
      <c r="C508" s="6" t="s">
        <v>2710</v>
      </c>
      <c r="D508" s="6" t="s">
        <v>2366</v>
      </c>
      <c r="F508" s="6" t="s">
        <v>181</v>
      </c>
      <c r="G508" s="6" t="s">
        <v>2711</v>
      </c>
      <c r="H508" s="6" t="s">
        <v>180</v>
      </c>
      <c r="I508" s="6" t="str">
        <f t="shared" si="51"/>
        <v>tmt10_127N</v>
      </c>
      <c r="J508" s="6" t="str">
        <f t="shared" si="52"/>
        <v>att_tmt_channel:tmt10_127N</v>
      </c>
    </row>
    <row r="509" spans="3:12" x14ac:dyDescent="0.15">
      <c r="C509" s="6" t="s">
        <v>2710</v>
      </c>
      <c r="D509" s="6" t="s">
        <v>2364</v>
      </c>
      <c r="F509" s="6" t="s">
        <v>181</v>
      </c>
      <c r="G509" s="6" t="s">
        <v>2711</v>
      </c>
      <c r="H509" s="6" t="s">
        <v>180</v>
      </c>
      <c r="I509" s="6" t="str">
        <f t="shared" si="51"/>
        <v>tmt10_127C</v>
      </c>
      <c r="J509" s="6" t="str">
        <f t="shared" si="52"/>
        <v>att_tmt_channel:tmt10_127C</v>
      </c>
    </row>
    <row r="510" spans="3:12" x14ac:dyDescent="0.15">
      <c r="C510" s="6" t="s">
        <v>2710</v>
      </c>
      <c r="D510" s="6" t="s">
        <v>2370</v>
      </c>
      <c r="F510" s="6" t="s">
        <v>181</v>
      </c>
      <c r="G510" s="6" t="s">
        <v>2711</v>
      </c>
      <c r="H510" s="6" t="s">
        <v>180</v>
      </c>
      <c r="I510" s="6" t="str">
        <f t="shared" si="51"/>
        <v>tmt10_128N</v>
      </c>
      <c r="J510" s="6" t="str">
        <f t="shared" si="52"/>
        <v>att_tmt_channel:tmt10_128N</v>
      </c>
    </row>
    <row r="511" spans="3:12" x14ac:dyDescent="0.15">
      <c r="C511" s="6" t="s">
        <v>2710</v>
      </c>
      <c r="D511" s="6" t="s">
        <v>2368</v>
      </c>
      <c r="F511" s="6" t="s">
        <v>181</v>
      </c>
      <c r="G511" s="6" t="s">
        <v>2711</v>
      </c>
      <c r="H511" s="6" t="s">
        <v>180</v>
      </c>
      <c r="I511" s="6" t="str">
        <f t="shared" si="51"/>
        <v>tmt10_128C</v>
      </c>
      <c r="J511" s="6" t="str">
        <f t="shared" si="52"/>
        <v>att_tmt_channel:tmt10_128C</v>
      </c>
    </row>
    <row r="512" spans="3:12" x14ac:dyDescent="0.15">
      <c r="C512" s="6" t="s">
        <v>2710</v>
      </c>
      <c r="D512" s="6" t="s">
        <v>2374</v>
      </c>
      <c r="F512" s="6" t="s">
        <v>181</v>
      </c>
      <c r="G512" s="6" t="s">
        <v>2711</v>
      </c>
      <c r="H512" s="6" t="s">
        <v>180</v>
      </c>
      <c r="I512" s="6" t="str">
        <f t="shared" si="51"/>
        <v>tmt10_129N</v>
      </c>
      <c r="J512" s="6" t="str">
        <f t="shared" si="52"/>
        <v>att_tmt_channel:tmt10_129N</v>
      </c>
    </row>
    <row r="513" spans="3:10" x14ac:dyDescent="0.15">
      <c r="C513" s="6" t="s">
        <v>2710</v>
      </c>
      <c r="D513" s="6" t="s">
        <v>2372</v>
      </c>
      <c r="F513" s="6" t="s">
        <v>181</v>
      </c>
      <c r="G513" s="6" t="s">
        <v>2711</v>
      </c>
      <c r="H513" s="6" t="s">
        <v>180</v>
      </c>
      <c r="I513" s="6" t="str">
        <f t="shared" si="51"/>
        <v>tmt10_129C</v>
      </c>
      <c r="J513" s="6" t="str">
        <f t="shared" si="52"/>
        <v>att_tmt_channel:tmt10_129C</v>
      </c>
    </row>
    <row r="514" spans="3:10" x14ac:dyDescent="0.15">
      <c r="C514" s="6" t="s">
        <v>2710</v>
      </c>
      <c r="D514" s="6" t="s">
        <v>2378</v>
      </c>
      <c r="F514" s="6" t="s">
        <v>181</v>
      </c>
      <c r="G514" s="6" t="s">
        <v>2711</v>
      </c>
      <c r="H514" s="6" t="s">
        <v>180</v>
      </c>
      <c r="I514" s="6" t="str">
        <f t="shared" si="51"/>
        <v>tmt10_130N</v>
      </c>
      <c r="J514" s="6" t="str">
        <f t="shared" si="52"/>
        <v>att_tmt_channel:tmt10_130N</v>
      </c>
    </row>
    <row r="515" spans="3:10" x14ac:dyDescent="0.15">
      <c r="C515" s="6" t="s">
        <v>2710</v>
      </c>
      <c r="D515" s="6" t="s">
        <v>2376</v>
      </c>
      <c r="F515" s="6" t="s">
        <v>181</v>
      </c>
      <c r="G515" s="6" t="s">
        <v>2711</v>
      </c>
      <c r="H515" s="6" t="s">
        <v>180</v>
      </c>
      <c r="I515" s="6" t="str">
        <f t="shared" si="51"/>
        <v>tmt10_130C</v>
      </c>
      <c r="J515" s="6" t="str">
        <f t="shared" si="52"/>
        <v>att_tmt_channel:tmt10_130C</v>
      </c>
    </row>
    <row r="516" spans="3:10" x14ac:dyDescent="0.15">
      <c r="C516" s="6" t="s">
        <v>2710</v>
      </c>
      <c r="D516" s="6">
        <v>131</v>
      </c>
      <c r="F516" s="6" t="s">
        <v>181</v>
      </c>
      <c r="G516" s="6" t="s">
        <v>2711</v>
      </c>
      <c r="H516" s="6" t="s">
        <v>180</v>
      </c>
      <c r="I516" s="6" t="str">
        <f t="shared" si="51"/>
        <v>tmt10_131</v>
      </c>
      <c r="J516" s="6" t="str">
        <f t="shared" si="52"/>
        <v>att_tmt_channel:tmt10_131</v>
      </c>
    </row>
    <row r="518" spans="3:10" x14ac:dyDescent="0.15">
      <c r="C518" s="6" t="s">
        <v>2710</v>
      </c>
      <c r="D518" s="6">
        <v>126</v>
      </c>
      <c r="F518" s="6" t="s">
        <v>2712</v>
      </c>
      <c r="G518" s="6" t="s">
        <v>2711</v>
      </c>
      <c r="H518" s="6" t="s">
        <v>180</v>
      </c>
      <c r="I518" s="6" t="str">
        <f t="shared" ref="I518:I528" si="53">"tmt11_"&amp;D518</f>
        <v>tmt11_126</v>
      </c>
      <c r="J518" s="6" t="str">
        <f t="shared" ref="J518:J528" si="54">H518&amp;":"&amp;I518</f>
        <v>att_tmt_channel:tmt11_126</v>
      </c>
    </row>
    <row r="519" spans="3:10" x14ac:dyDescent="0.15">
      <c r="C519" s="6" t="s">
        <v>2710</v>
      </c>
      <c r="D519" s="6" t="s">
        <v>2366</v>
      </c>
      <c r="F519" s="6" t="s">
        <v>2712</v>
      </c>
      <c r="G519" s="6" t="s">
        <v>2711</v>
      </c>
      <c r="H519" s="6" t="s">
        <v>180</v>
      </c>
      <c r="I519" s="6" t="str">
        <f t="shared" si="53"/>
        <v>tmt11_127N</v>
      </c>
      <c r="J519" s="6" t="str">
        <f t="shared" si="54"/>
        <v>att_tmt_channel:tmt11_127N</v>
      </c>
    </row>
    <row r="520" spans="3:10" x14ac:dyDescent="0.15">
      <c r="C520" s="6" t="s">
        <v>2710</v>
      </c>
      <c r="D520" s="6" t="s">
        <v>2364</v>
      </c>
      <c r="F520" s="6" t="s">
        <v>2712</v>
      </c>
      <c r="G520" s="6" t="s">
        <v>2711</v>
      </c>
      <c r="H520" s="6" t="s">
        <v>180</v>
      </c>
      <c r="I520" s="6" t="str">
        <f t="shared" si="53"/>
        <v>tmt11_127C</v>
      </c>
      <c r="J520" s="6" t="str">
        <f t="shared" si="54"/>
        <v>att_tmt_channel:tmt11_127C</v>
      </c>
    </row>
    <row r="521" spans="3:10" x14ac:dyDescent="0.15">
      <c r="C521" s="6" t="s">
        <v>2710</v>
      </c>
      <c r="D521" s="6" t="s">
        <v>2370</v>
      </c>
      <c r="F521" s="6" t="s">
        <v>2712</v>
      </c>
      <c r="G521" s="6" t="s">
        <v>2711</v>
      </c>
      <c r="H521" s="6" t="s">
        <v>180</v>
      </c>
      <c r="I521" s="6" t="str">
        <f t="shared" si="53"/>
        <v>tmt11_128N</v>
      </c>
      <c r="J521" s="6" t="str">
        <f t="shared" si="54"/>
        <v>att_tmt_channel:tmt11_128N</v>
      </c>
    </row>
    <row r="522" spans="3:10" x14ac:dyDescent="0.15">
      <c r="C522" s="6" t="s">
        <v>2710</v>
      </c>
      <c r="D522" s="6" t="s">
        <v>2368</v>
      </c>
      <c r="F522" s="6" t="s">
        <v>2712</v>
      </c>
      <c r="G522" s="6" t="s">
        <v>2711</v>
      </c>
      <c r="H522" s="6" t="s">
        <v>180</v>
      </c>
      <c r="I522" s="6" t="str">
        <f t="shared" si="53"/>
        <v>tmt11_128C</v>
      </c>
      <c r="J522" s="6" t="str">
        <f t="shared" si="54"/>
        <v>att_tmt_channel:tmt11_128C</v>
      </c>
    </row>
    <row r="523" spans="3:10" x14ac:dyDescent="0.15">
      <c r="C523" s="6" t="s">
        <v>2710</v>
      </c>
      <c r="D523" s="6" t="s">
        <v>2374</v>
      </c>
      <c r="F523" s="6" t="s">
        <v>2712</v>
      </c>
      <c r="G523" s="6" t="s">
        <v>2711</v>
      </c>
      <c r="H523" s="6" t="s">
        <v>180</v>
      </c>
      <c r="I523" s="6" t="str">
        <f t="shared" si="53"/>
        <v>tmt11_129N</v>
      </c>
      <c r="J523" s="6" t="str">
        <f t="shared" si="54"/>
        <v>att_tmt_channel:tmt11_129N</v>
      </c>
    </row>
    <row r="524" spans="3:10" x14ac:dyDescent="0.15">
      <c r="C524" s="6" t="s">
        <v>2710</v>
      </c>
      <c r="D524" s="6" t="s">
        <v>2372</v>
      </c>
      <c r="F524" s="6" t="s">
        <v>2712</v>
      </c>
      <c r="G524" s="6" t="s">
        <v>2711</v>
      </c>
      <c r="H524" s="6" t="s">
        <v>180</v>
      </c>
      <c r="I524" s="6" t="str">
        <f t="shared" si="53"/>
        <v>tmt11_129C</v>
      </c>
      <c r="J524" s="6" t="str">
        <f t="shared" si="54"/>
        <v>att_tmt_channel:tmt11_129C</v>
      </c>
    </row>
    <row r="525" spans="3:10" x14ac:dyDescent="0.15">
      <c r="C525" s="6" t="s">
        <v>2710</v>
      </c>
      <c r="D525" s="6" t="s">
        <v>2378</v>
      </c>
      <c r="F525" s="6" t="s">
        <v>2712</v>
      </c>
      <c r="G525" s="6" t="s">
        <v>2711</v>
      </c>
      <c r="H525" s="6" t="s">
        <v>180</v>
      </c>
      <c r="I525" s="6" t="str">
        <f t="shared" si="53"/>
        <v>tmt11_130N</v>
      </c>
      <c r="J525" s="6" t="str">
        <f t="shared" si="54"/>
        <v>att_tmt_channel:tmt11_130N</v>
      </c>
    </row>
    <row r="526" spans="3:10" x14ac:dyDescent="0.15">
      <c r="C526" s="6" t="s">
        <v>2710</v>
      </c>
      <c r="D526" s="6" t="s">
        <v>2376</v>
      </c>
      <c r="F526" s="6" t="s">
        <v>2712</v>
      </c>
      <c r="G526" s="6" t="s">
        <v>2711</v>
      </c>
      <c r="H526" s="6" t="s">
        <v>180</v>
      </c>
      <c r="I526" s="6" t="str">
        <f t="shared" si="53"/>
        <v>tmt11_130C</v>
      </c>
      <c r="J526" s="6" t="str">
        <f t="shared" si="54"/>
        <v>att_tmt_channel:tmt11_130C</v>
      </c>
    </row>
    <row r="527" spans="3:10" x14ac:dyDescent="0.15">
      <c r="C527" s="6" t="s">
        <v>2710</v>
      </c>
      <c r="D527" s="6" t="s">
        <v>2392</v>
      </c>
      <c r="F527" s="6" t="s">
        <v>2712</v>
      </c>
      <c r="G527" s="6" t="s">
        <v>2711</v>
      </c>
      <c r="H527" s="6" t="s">
        <v>180</v>
      </c>
      <c r="I527" s="6" t="str">
        <f t="shared" si="53"/>
        <v>tmt11_131N</v>
      </c>
      <c r="J527" s="6" t="str">
        <f t="shared" si="54"/>
        <v>att_tmt_channel:tmt11_131N</v>
      </c>
    </row>
    <row r="528" spans="3:10" x14ac:dyDescent="0.15">
      <c r="C528" s="6" t="s">
        <v>2710</v>
      </c>
      <c r="D528" s="6" t="s">
        <v>2390</v>
      </c>
      <c r="F528" s="6" t="s">
        <v>2712</v>
      </c>
      <c r="G528" s="6" t="s">
        <v>2711</v>
      </c>
      <c r="H528" s="6" t="s">
        <v>180</v>
      </c>
      <c r="I528" s="6" t="str">
        <f t="shared" si="53"/>
        <v>tmt11_131C</v>
      </c>
      <c r="J528" s="6" t="str">
        <f t="shared" si="54"/>
        <v>att_tmt_channel:tmt11_131C</v>
      </c>
    </row>
    <row r="531" spans="3:10" x14ac:dyDescent="0.15">
      <c r="C531" s="6" t="s">
        <v>2710</v>
      </c>
      <c r="D531" s="6">
        <v>126</v>
      </c>
      <c r="F531" s="6" t="s">
        <v>2713</v>
      </c>
      <c r="G531" s="6" t="s">
        <v>2711</v>
      </c>
      <c r="H531" s="6" t="s">
        <v>180</v>
      </c>
      <c r="I531" s="6" t="str">
        <f t="shared" ref="I531:I536" si="55">"tmt6_"&amp;D531</f>
        <v>tmt6_126</v>
      </c>
      <c r="J531" s="6" t="str">
        <f t="shared" ref="J531:J536" si="56">H531&amp;":"&amp;I531</f>
        <v>att_tmt_channel:tmt6_126</v>
      </c>
    </row>
    <row r="532" spans="3:10" x14ac:dyDescent="0.15">
      <c r="C532" s="6" t="s">
        <v>2710</v>
      </c>
      <c r="D532" s="6">
        <v>127</v>
      </c>
      <c r="F532" s="6" t="s">
        <v>2713</v>
      </c>
      <c r="G532" s="6" t="s">
        <v>2711</v>
      </c>
      <c r="H532" s="6" t="s">
        <v>180</v>
      </c>
      <c r="I532" s="6" t="str">
        <f t="shared" si="55"/>
        <v>tmt6_127</v>
      </c>
      <c r="J532" s="6" t="str">
        <f t="shared" si="56"/>
        <v>att_tmt_channel:tmt6_127</v>
      </c>
    </row>
    <row r="533" spans="3:10" x14ac:dyDescent="0.15">
      <c r="C533" s="6" t="s">
        <v>2710</v>
      </c>
      <c r="D533" s="6">
        <v>128</v>
      </c>
      <c r="F533" s="6" t="s">
        <v>2713</v>
      </c>
      <c r="G533" s="6" t="s">
        <v>2711</v>
      </c>
      <c r="H533" s="6" t="s">
        <v>180</v>
      </c>
      <c r="I533" s="6" t="str">
        <f t="shared" si="55"/>
        <v>tmt6_128</v>
      </c>
      <c r="J533" s="6" t="str">
        <f t="shared" si="56"/>
        <v>att_tmt_channel:tmt6_128</v>
      </c>
    </row>
    <row r="534" spans="3:10" x14ac:dyDescent="0.15">
      <c r="C534" s="6" t="s">
        <v>2710</v>
      </c>
      <c r="D534" s="6">
        <v>129</v>
      </c>
      <c r="F534" s="6" t="s">
        <v>2713</v>
      </c>
      <c r="G534" s="6" t="s">
        <v>2711</v>
      </c>
      <c r="H534" s="6" t="s">
        <v>180</v>
      </c>
      <c r="I534" s="6" t="str">
        <f t="shared" si="55"/>
        <v>tmt6_129</v>
      </c>
      <c r="J534" s="6" t="str">
        <f t="shared" si="56"/>
        <v>att_tmt_channel:tmt6_129</v>
      </c>
    </row>
    <row r="535" spans="3:10" x14ac:dyDescent="0.15">
      <c r="C535" s="6" t="s">
        <v>2710</v>
      </c>
      <c r="D535" s="6">
        <v>130</v>
      </c>
      <c r="F535" s="6" t="s">
        <v>2713</v>
      </c>
      <c r="G535" s="6" t="s">
        <v>2711</v>
      </c>
      <c r="H535" s="6" t="s">
        <v>180</v>
      </c>
      <c r="I535" s="6" t="str">
        <f t="shared" si="55"/>
        <v>tmt6_130</v>
      </c>
      <c r="J535" s="6" t="str">
        <f t="shared" si="56"/>
        <v>att_tmt_channel:tmt6_130</v>
      </c>
    </row>
    <row r="536" spans="3:10" x14ac:dyDescent="0.15">
      <c r="C536" s="6" t="s">
        <v>2710</v>
      </c>
      <c r="D536" s="6">
        <v>131</v>
      </c>
      <c r="F536" s="6" t="s">
        <v>2713</v>
      </c>
      <c r="G536" s="6" t="s">
        <v>2711</v>
      </c>
      <c r="H536" s="6" t="s">
        <v>180</v>
      </c>
      <c r="I536" s="6" t="str">
        <f t="shared" si="55"/>
        <v>tmt6_131</v>
      </c>
      <c r="J536" s="6" t="str">
        <f t="shared" si="56"/>
        <v>att_tmt_channel:tmt6_131</v>
      </c>
    </row>
    <row r="539" spans="3:10" x14ac:dyDescent="0.15">
      <c r="C539" s="6" t="s">
        <v>2710</v>
      </c>
      <c r="D539" s="6">
        <v>126</v>
      </c>
      <c r="F539" s="6" t="s">
        <v>2714</v>
      </c>
      <c r="G539" s="6" t="s">
        <v>2711</v>
      </c>
      <c r="H539" s="6" t="s">
        <v>180</v>
      </c>
      <c r="I539" s="6" t="str">
        <f t="shared" ref="I539:I556" si="57">"tmt18_"&amp;D539</f>
        <v>tmt18_126</v>
      </c>
      <c r="J539" s="6" t="str">
        <f t="shared" ref="J539:J556" si="58">H539&amp;":"&amp;I539</f>
        <v>att_tmt_channel:tmt18_126</v>
      </c>
    </row>
    <row r="540" spans="3:10" x14ac:dyDescent="0.15">
      <c r="C540" s="6" t="s">
        <v>2710</v>
      </c>
      <c r="D540" s="6" t="s">
        <v>2366</v>
      </c>
      <c r="F540" s="6" t="s">
        <v>2714</v>
      </c>
      <c r="G540" s="6" t="s">
        <v>2711</v>
      </c>
      <c r="H540" s="6" t="s">
        <v>180</v>
      </c>
      <c r="I540" s="6" t="str">
        <f t="shared" si="57"/>
        <v>tmt18_127N</v>
      </c>
      <c r="J540" s="6" t="str">
        <f t="shared" si="58"/>
        <v>att_tmt_channel:tmt18_127N</v>
      </c>
    </row>
    <row r="541" spans="3:10" x14ac:dyDescent="0.15">
      <c r="C541" s="6" t="s">
        <v>2710</v>
      </c>
      <c r="D541" s="6" t="s">
        <v>2364</v>
      </c>
      <c r="F541" s="6" t="s">
        <v>2714</v>
      </c>
      <c r="G541" s="6" t="s">
        <v>2711</v>
      </c>
      <c r="H541" s="6" t="s">
        <v>180</v>
      </c>
      <c r="I541" s="6" t="str">
        <f t="shared" si="57"/>
        <v>tmt18_127C</v>
      </c>
      <c r="J541" s="6" t="str">
        <f t="shared" si="58"/>
        <v>att_tmt_channel:tmt18_127C</v>
      </c>
    </row>
    <row r="542" spans="3:10" x14ac:dyDescent="0.15">
      <c r="C542" s="6" t="s">
        <v>2710</v>
      </c>
      <c r="D542" s="6" t="s">
        <v>2370</v>
      </c>
      <c r="F542" s="6" t="s">
        <v>2714</v>
      </c>
      <c r="G542" s="6" t="s">
        <v>2711</v>
      </c>
      <c r="H542" s="6" t="s">
        <v>180</v>
      </c>
      <c r="I542" s="6" t="str">
        <f t="shared" si="57"/>
        <v>tmt18_128N</v>
      </c>
      <c r="J542" s="6" t="str">
        <f t="shared" si="58"/>
        <v>att_tmt_channel:tmt18_128N</v>
      </c>
    </row>
    <row r="543" spans="3:10" x14ac:dyDescent="0.15">
      <c r="C543" s="6" t="s">
        <v>2710</v>
      </c>
      <c r="D543" s="6" t="s">
        <v>2368</v>
      </c>
      <c r="F543" s="6" t="s">
        <v>2714</v>
      </c>
      <c r="G543" s="6" t="s">
        <v>2711</v>
      </c>
      <c r="H543" s="6" t="s">
        <v>180</v>
      </c>
      <c r="I543" s="6" t="str">
        <f t="shared" si="57"/>
        <v>tmt18_128C</v>
      </c>
      <c r="J543" s="6" t="str">
        <f t="shared" si="58"/>
        <v>att_tmt_channel:tmt18_128C</v>
      </c>
    </row>
    <row r="544" spans="3:10" x14ac:dyDescent="0.15">
      <c r="C544" s="6" t="s">
        <v>2710</v>
      </c>
      <c r="D544" s="6" t="s">
        <v>2374</v>
      </c>
      <c r="F544" s="6" t="s">
        <v>2714</v>
      </c>
      <c r="G544" s="6" t="s">
        <v>2711</v>
      </c>
      <c r="H544" s="6" t="s">
        <v>180</v>
      </c>
      <c r="I544" s="6" t="str">
        <f t="shared" si="57"/>
        <v>tmt18_129N</v>
      </c>
      <c r="J544" s="6" t="str">
        <f t="shared" si="58"/>
        <v>att_tmt_channel:tmt18_129N</v>
      </c>
    </row>
    <row r="545" spans="3:10" x14ac:dyDescent="0.15">
      <c r="C545" s="6" t="s">
        <v>2710</v>
      </c>
      <c r="D545" s="6" t="s">
        <v>2372</v>
      </c>
      <c r="F545" s="6" t="s">
        <v>2714</v>
      </c>
      <c r="G545" s="6" t="s">
        <v>2711</v>
      </c>
      <c r="H545" s="6" t="s">
        <v>180</v>
      </c>
      <c r="I545" s="6" t="str">
        <f t="shared" si="57"/>
        <v>tmt18_129C</v>
      </c>
      <c r="J545" s="6" t="str">
        <f t="shared" si="58"/>
        <v>att_tmt_channel:tmt18_129C</v>
      </c>
    </row>
    <row r="546" spans="3:10" x14ac:dyDescent="0.15">
      <c r="C546" s="6" t="s">
        <v>2710</v>
      </c>
      <c r="D546" s="6" t="s">
        <v>2378</v>
      </c>
      <c r="F546" s="6" t="s">
        <v>2714</v>
      </c>
      <c r="G546" s="6" t="s">
        <v>2711</v>
      </c>
      <c r="H546" s="6" t="s">
        <v>180</v>
      </c>
      <c r="I546" s="6" t="str">
        <f t="shared" si="57"/>
        <v>tmt18_130N</v>
      </c>
      <c r="J546" s="6" t="str">
        <f t="shared" si="58"/>
        <v>att_tmt_channel:tmt18_130N</v>
      </c>
    </row>
    <row r="547" spans="3:10" x14ac:dyDescent="0.15">
      <c r="C547" s="6" t="s">
        <v>2710</v>
      </c>
      <c r="D547" s="6" t="s">
        <v>2376</v>
      </c>
      <c r="F547" s="6" t="s">
        <v>2714</v>
      </c>
      <c r="G547" s="6" t="s">
        <v>2711</v>
      </c>
      <c r="H547" s="6" t="s">
        <v>180</v>
      </c>
      <c r="I547" s="6" t="str">
        <f t="shared" si="57"/>
        <v>tmt18_130C</v>
      </c>
      <c r="J547" s="6" t="str">
        <f t="shared" si="58"/>
        <v>att_tmt_channel:tmt18_130C</v>
      </c>
    </row>
    <row r="548" spans="3:10" x14ac:dyDescent="0.15">
      <c r="C548" s="6" t="s">
        <v>2710</v>
      </c>
      <c r="D548" s="6" t="s">
        <v>2392</v>
      </c>
      <c r="F548" s="6" t="s">
        <v>2714</v>
      </c>
      <c r="G548" s="6" t="s">
        <v>2711</v>
      </c>
      <c r="H548" s="6" t="s">
        <v>180</v>
      </c>
      <c r="I548" s="6" t="str">
        <f t="shared" si="57"/>
        <v>tmt18_131N</v>
      </c>
      <c r="J548" s="6" t="str">
        <f t="shared" si="58"/>
        <v>att_tmt_channel:tmt18_131N</v>
      </c>
    </row>
    <row r="549" spans="3:10" x14ac:dyDescent="0.15">
      <c r="C549" s="6" t="s">
        <v>2710</v>
      </c>
      <c r="D549" s="6" t="s">
        <v>2390</v>
      </c>
      <c r="F549" s="6" t="s">
        <v>2714</v>
      </c>
      <c r="G549" s="6" t="s">
        <v>2711</v>
      </c>
      <c r="H549" s="6" t="s">
        <v>180</v>
      </c>
      <c r="I549" s="6" t="str">
        <f t="shared" si="57"/>
        <v>tmt18_131C</v>
      </c>
      <c r="J549" s="6" t="str">
        <f t="shared" si="58"/>
        <v>att_tmt_channel:tmt18_131C</v>
      </c>
    </row>
    <row r="550" spans="3:10" x14ac:dyDescent="0.15">
      <c r="C550" s="6" t="s">
        <v>2710</v>
      </c>
      <c r="D550" s="6" t="s">
        <v>2407</v>
      </c>
      <c r="F550" s="6" t="s">
        <v>2714</v>
      </c>
      <c r="G550" s="6" t="s">
        <v>2711</v>
      </c>
      <c r="H550" s="6" t="s">
        <v>180</v>
      </c>
      <c r="I550" s="6" t="str">
        <f t="shared" si="57"/>
        <v>tmt18_132N</v>
      </c>
      <c r="J550" s="6" t="str">
        <f t="shared" si="58"/>
        <v>att_tmt_channel:tmt18_132N</v>
      </c>
    </row>
    <row r="551" spans="3:10" x14ac:dyDescent="0.15">
      <c r="C551" s="6" t="s">
        <v>2710</v>
      </c>
      <c r="D551" s="6" t="s">
        <v>2405</v>
      </c>
      <c r="F551" s="6" t="s">
        <v>2714</v>
      </c>
      <c r="G551" s="6" t="s">
        <v>2711</v>
      </c>
      <c r="H551" s="6" t="s">
        <v>180</v>
      </c>
      <c r="I551" s="6" t="str">
        <f t="shared" si="57"/>
        <v>tmt18_132C</v>
      </c>
      <c r="J551" s="6" t="str">
        <f t="shared" si="58"/>
        <v>att_tmt_channel:tmt18_132C</v>
      </c>
    </row>
    <row r="552" spans="3:10" x14ac:dyDescent="0.15">
      <c r="C552" s="6" t="s">
        <v>2710</v>
      </c>
      <c r="D552" s="6" t="s">
        <v>2411</v>
      </c>
      <c r="F552" s="6" t="s">
        <v>2714</v>
      </c>
      <c r="G552" s="6" t="s">
        <v>2711</v>
      </c>
      <c r="H552" s="6" t="s">
        <v>180</v>
      </c>
      <c r="I552" s="6" t="str">
        <f t="shared" si="57"/>
        <v>tmt18_133N</v>
      </c>
      <c r="J552" s="6" t="str">
        <f t="shared" si="58"/>
        <v>att_tmt_channel:tmt18_133N</v>
      </c>
    </row>
    <row r="553" spans="3:10" x14ac:dyDescent="0.15">
      <c r="C553" s="6" t="s">
        <v>2710</v>
      </c>
      <c r="D553" s="6" t="s">
        <v>2409</v>
      </c>
      <c r="F553" s="6" t="s">
        <v>2714</v>
      </c>
      <c r="G553" s="6" t="s">
        <v>2711</v>
      </c>
      <c r="H553" s="6" t="s">
        <v>180</v>
      </c>
      <c r="I553" s="6" t="str">
        <f t="shared" si="57"/>
        <v>tmt18_133C</v>
      </c>
      <c r="J553" s="6" t="str">
        <f t="shared" si="58"/>
        <v>att_tmt_channel:tmt18_133C</v>
      </c>
    </row>
    <row r="554" spans="3:10" x14ac:dyDescent="0.15">
      <c r="C554" s="6" t="s">
        <v>2710</v>
      </c>
      <c r="D554" s="6" t="s">
        <v>2415</v>
      </c>
      <c r="F554" s="6" t="s">
        <v>2714</v>
      </c>
      <c r="G554" s="6" t="s">
        <v>2711</v>
      </c>
      <c r="H554" s="6" t="s">
        <v>180</v>
      </c>
      <c r="I554" s="6" t="str">
        <f t="shared" si="57"/>
        <v>tmt18_134N</v>
      </c>
      <c r="J554" s="6" t="str">
        <f t="shared" si="58"/>
        <v>att_tmt_channel:tmt18_134N</v>
      </c>
    </row>
    <row r="555" spans="3:10" x14ac:dyDescent="0.15">
      <c r="C555" s="6" t="s">
        <v>2710</v>
      </c>
      <c r="D555" s="6" t="s">
        <v>2413</v>
      </c>
      <c r="F555" s="6" t="s">
        <v>2714</v>
      </c>
      <c r="G555" s="6" t="s">
        <v>2711</v>
      </c>
      <c r="H555" s="6" t="s">
        <v>180</v>
      </c>
      <c r="I555" s="6" t="str">
        <f t="shared" si="57"/>
        <v>tmt18_134C</v>
      </c>
      <c r="J555" s="6" t="str">
        <f t="shared" si="58"/>
        <v>att_tmt_channel:tmt18_134C</v>
      </c>
    </row>
    <row r="556" spans="3:10" x14ac:dyDescent="0.15">
      <c r="C556" s="6" t="s">
        <v>2710</v>
      </c>
      <c r="D556" s="6" t="s">
        <v>2417</v>
      </c>
      <c r="F556" s="6" t="s">
        <v>2714</v>
      </c>
      <c r="G556" s="6" t="s">
        <v>2711</v>
      </c>
      <c r="H556" s="6" t="s">
        <v>180</v>
      </c>
      <c r="I556" s="6" t="str">
        <f t="shared" si="57"/>
        <v>tmt18_135N</v>
      </c>
      <c r="J556" s="6" t="str">
        <f t="shared" si="58"/>
        <v>att_tmt_channel:tmt18_135N</v>
      </c>
    </row>
    <row r="562" spans="3:10" x14ac:dyDescent="0.15">
      <c r="C562" s="6" t="s">
        <v>2715</v>
      </c>
      <c r="D562" s="6" t="s">
        <v>2437</v>
      </c>
      <c r="F562" s="6" t="s">
        <v>2716</v>
      </c>
      <c r="G562" s="6" t="s">
        <v>2717</v>
      </c>
      <c r="H562" s="6" t="s">
        <v>2718</v>
      </c>
      <c r="I562" s="6" t="s">
        <v>2436</v>
      </c>
      <c r="J562" s="6" t="str">
        <f>H562&amp;":"&amp;I562</f>
        <v>att_user_group:mitoprotea</v>
      </c>
    </row>
    <row r="563" spans="3:10" x14ac:dyDescent="0.15">
      <c r="C563" s="6" t="s">
        <v>2715</v>
      </c>
      <c r="D563" s="6" t="s">
        <v>2440</v>
      </c>
      <c r="F563" s="6" t="s">
        <v>2716</v>
      </c>
      <c r="G563" s="6" t="s">
        <v>2717</v>
      </c>
      <c r="H563" s="6" t="s">
        <v>2718</v>
      </c>
      <c r="I563" s="6" t="s">
        <v>2439</v>
      </c>
      <c r="J563" s="6" t="str">
        <f>H563&amp;":"&amp;I563</f>
        <v>att_user_group:molageing</v>
      </c>
    </row>
    <row r="566" spans="3:10" x14ac:dyDescent="0.15">
      <c r="C566" s="6" t="s">
        <v>2719</v>
      </c>
      <c r="D566" s="6" t="s">
        <v>2431</v>
      </c>
      <c r="F566" s="6" t="s">
        <v>188</v>
      </c>
      <c r="G566" s="6" t="s">
        <v>2720</v>
      </c>
      <c r="H566" s="6" t="s">
        <v>187</v>
      </c>
      <c r="I566" s="6" t="s">
        <v>2430</v>
      </c>
      <c r="J566" s="6" t="str">
        <f>H566&amp;":"&amp;I566</f>
        <v>att_user_institute:mpiage</v>
      </c>
    </row>
    <row r="567" spans="3:10" x14ac:dyDescent="0.15">
      <c r="C567" s="6" t="s">
        <v>2719</v>
      </c>
      <c r="D567" s="6" t="s">
        <v>2428</v>
      </c>
      <c r="F567" s="6" t="s">
        <v>188</v>
      </c>
      <c r="G567" s="6" t="s">
        <v>2720</v>
      </c>
      <c r="H567" s="6" t="s">
        <v>187</v>
      </c>
      <c r="I567" s="6" t="s">
        <v>2427</v>
      </c>
      <c r="J567" s="6" t="str">
        <f>H567&amp;":"&amp;I567</f>
        <v>att_user_institute:cecad</v>
      </c>
    </row>
    <row r="568" spans="3:10" x14ac:dyDescent="0.15">
      <c r="C568" s="6" t="s">
        <v>2719</v>
      </c>
      <c r="D568" s="6" t="s">
        <v>2434</v>
      </c>
      <c r="F568" s="6" t="s">
        <v>188</v>
      </c>
      <c r="G568" s="6" t="s">
        <v>2720</v>
      </c>
      <c r="H568" s="6" t="s">
        <v>187</v>
      </c>
      <c r="I568" s="6" t="s">
        <v>2433</v>
      </c>
      <c r="J568" s="6" t="str">
        <f>H568&amp;":"&amp;I568</f>
        <v>att_user_institute:mpimetab</v>
      </c>
    </row>
    <row r="569" spans="3:10" x14ac:dyDescent="0.15">
      <c r="C569" s="6" t="s">
        <v>2719</v>
      </c>
      <c r="D569" s="6" t="s">
        <v>2425</v>
      </c>
      <c r="F569" s="6" t="s">
        <v>188</v>
      </c>
      <c r="G569" s="6" t="s">
        <v>2720</v>
      </c>
      <c r="H569" s="6" t="s">
        <v>187</v>
      </c>
      <c r="I569" s="6" t="s">
        <v>2424</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2721</v>
      </c>
    </row>
    <row r="3" spans="1:2" x14ac:dyDescent="0.15">
      <c r="A3">
        <v>-2</v>
      </c>
      <c r="B3" t="s">
        <v>2722</v>
      </c>
    </row>
    <row r="4" spans="1:2" x14ac:dyDescent="0.15">
      <c r="A4">
        <v>-1</v>
      </c>
      <c r="B4" t="s">
        <v>2723</v>
      </c>
    </row>
    <row r="5" spans="1:2" x14ac:dyDescent="0.15">
      <c r="A5">
        <v>0</v>
      </c>
      <c r="B5" t="s">
        <v>2724</v>
      </c>
    </row>
    <row r="6" spans="1:2" x14ac:dyDescent="0.15">
      <c r="A6">
        <v>1</v>
      </c>
      <c r="B6" t="s">
        <v>2725</v>
      </c>
    </row>
    <row r="7" spans="1:2" x14ac:dyDescent="0.15">
      <c r="A7">
        <v>2</v>
      </c>
      <c r="B7" t="s">
        <v>2726</v>
      </c>
    </row>
    <row r="8" spans="1:2" x14ac:dyDescent="0.15">
      <c r="A8">
        <v>3</v>
      </c>
      <c r="B8" t="s">
        <v>2727</v>
      </c>
    </row>
    <row r="9" spans="1:2" x14ac:dyDescent="0.15">
      <c r="A9">
        <v>4</v>
      </c>
      <c r="B9" t="s">
        <v>2728</v>
      </c>
    </row>
    <row r="10" spans="1:2" x14ac:dyDescent="0.15">
      <c r="A10">
        <v>5</v>
      </c>
      <c r="B10" t="s">
        <v>2729</v>
      </c>
    </row>
    <row r="12" spans="1:2" x14ac:dyDescent="0.15">
      <c r="B12" t="s">
        <v>2730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2025-06-04T14:43:54Z</dcterms:modified>
  <dc:language>en-GB</dc:language>
</cp:coreProperties>
</file>