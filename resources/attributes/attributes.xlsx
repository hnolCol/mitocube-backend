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1D4B6B9C-92BD-644A-A81A-222AFF9310FD}" xr6:coauthVersionLast="47" xr6:coauthVersionMax="47" xr10:uidLastSave="{00000000-0000-0000-0000-000000000000}"/>
  <bookViews>
    <workbookView xWindow="7100" yWindow="136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04" i="2" l="1"/>
  <c r="C803" i="2"/>
  <c r="C802" i="2"/>
  <c r="C403" i="2"/>
  <c r="C420" i="2"/>
  <c r="C419" i="2"/>
  <c r="C835" i="2"/>
  <c r="C468" i="2"/>
  <c r="C467" i="2"/>
  <c r="C466" i="2"/>
  <c r="C834" i="2"/>
  <c r="C839" i="2"/>
  <c r="C838" i="2"/>
  <c r="C837" i="2"/>
  <c r="C836" i="2"/>
  <c r="C833" i="2"/>
  <c r="C832" i="2"/>
  <c r="C758" i="2"/>
  <c r="C923" i="2"/>
  <c r="C922" i="2"/>
  <c r="C921" i="2"/>
  <c r="C920" i="2"/>
  <c r="C919" i="2"/>
  <c r="C918" i="2"/>
  <c r="C917" i="2"/>
  <c r="C916" i="2"/>
  <c r="C915" i="2"/>
  <c r="C914" i="2"/>
  <c r="C913" i="2"/>
  <c r="C912" i="2"/>
  <c r="C911" i="2"/>
  <c r="C910" i="2"/>
  <c r="C909" i="2"/>
  <c r="C908" i="2"/>
  <c r="C907" i="2"/>
  <c r="C906" i="2"/>
  <c r="C905" i="2"/>
  <c r="C904" i="2"/>
  <c r="C903" i="2"/>
  <c r="C902" i="2"/>
  <c r="C901" i="2"/>
  <c r="C215" i="2"/>
  <c r="C219" i="2"/>
  <c r="C448" i="2"/>
  <c r="C455" i="2"/>
  <c r="C454" i="2"/>
  <c r="C785" i="2"/>
  <c r="C784" i="2"/>
  <c r="C783" i="2"/>
  <c r="C774" i="2"/>
  <c r="C928" i="2"/>
  <c r="C927" i="2"/>
  <c r="C926" i="2"/>
  <c r="C925" i="2"/>
  <c r="C924" i="2"/>
  <c r="C704" i="2"/>
  <c r="C418" i="2"/>
  <c r="C796"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1" i="2"/>
  <c r="C800" i="2"/>
  <c r="C799" i="2"/>
  <c r="C798" i="2"/>
  <c r="C797" i="2"/>
  <c r="C795" i="2"/>
  <c r="C794" i="2"/>
  <c r="C793" i="2"/>
  <c r="C792" i="2"/>
  <c r="C791" i="2"/>
  <c r="C790" i="2"/>
  <c r="C789" i="2"/>
  <c r="C788" i="2"/>
  <c r="C787" i="2"/>
  <c r="C786" i="2"/>
  <c r="C782" i="2"/>
  <c r="C781" i="2"/>
  <c r="C780" i="2"/>
  <c r="C779" i="2"/>
  <c r="C778" i="2"/>
  <c r="C777" i="2"/>
  <c r="C776" i="2"/>
  <c r="C775" i="2"/>
  <c r="C773" i="2"/>
  <c r="C772" i="2"/>
  <c r="C771" i="2"/>
  <c r="C770" i="2"/>
  <c r="C769" i="2"/>
  <c r="C768" i="2"/>
  <c r="C767" i="2"/>
  <c r="C766" i="2"/>
  <c r="C765" i="2"/>
  <c r="C764" i="2"/>
  <c r="C763" i="2"/>
  <c r="C762" i="2"/>
  <c r="C761" i="2"/>
  <c r="C760" i="2"/>
  <c r="C759"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5" i="2"/>
  <c r="C464" i="2"/>
  <c r="C463" i="2"/>
  <c r="C462" i="2"/>
  <c r="C461" i="2"/>
  <c r="C460" i="2"/>
  <c r="C459" i="2"/>
  <c r="C458" i="2"/>
  <c r="C457" i="2"/>
  <c r="C456" i="2"/>
  <c r="C453" i="2"/>
  <c r="C452" i="2"/>
  <c r="C451" i="2"/>
  <c r="C450" i="2"/>
  <c r="C449" i="2"/>
  <c r="C447" i="2"/>
  <c r="C446" i="2"/>
  <c r="C445" i="2"/>
  <c r="C444" i="2"/>
  <c r="C443" i="2"/>
  <c r="C442" i="2"/>
  <c r="C441" i="2"/>
  <c r="C440" i="2"/>
  <c r="C439" i="2"/>
  <c r="C438" i="2"/>
  <c r="C437" i="2"/>
  <c r="C436" i="2"/>
  <c r="C435" i="2"/>
  <c r="C434" i="2"/>
  <c r="C433" i="2"/>
  <c r="C432" i="2"/>
  <c r="C431" i="2"/>
  <c r="C430" i="2"/>
  <c r="C429" i="2"/>
  <c r="C428" i="2"/>
  <c r="C427" i="2"/>
  <c r="C426" i="2"/>
  <c r="C425" i="2"/>
  <c r="C424" i="2"/>
  <c r="C423" i="2"/>
  <c r="C422" i="2"/>
  <c r="C421"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<sst xmlns="http://schemas.openxmlformats.org/spreadsheetml/2006/main" count="10407" uniqueCount="2992">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</sst>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4">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1"/>
  <sheetViews>
    <sheetView tabSelected="1" zoomScaleNormal="100" workbookViewId="0">
      <pane ySplit="1" topLeftCell="A2" activePane="bottomLeft" state="frozen"/>
      <selection pane="bottomLeft" activeCell="C17" sqref="C1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2977</v>
      </c>
      <c r="B12" t="s">
        <v>17</v>
      </c>
      <c r="C12" t="s">
        <v>2991</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2856</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2966</v>
      </c>
      <c r="B53" t="s">
        <v>17</v>
      </c>
      <c r="C53" t="s">
        <v>2967</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s="6" t="s">
        <v>137</v>
      </c>
      <c r="B54" s="6" t="s">
        <v>22</v>
      </c>
      <c r="C54" s="6" t="s">
        <v>138</v>
      </c>
      <c r="D54">
        <v>500</v>
      </c>
      <c r="E54" s="1" t="s">
        <v>19</v>
      </c>
      <c r="F54" s="1" t="s">
        <v>21</v>
      </c>
      <c r="G54" t="s">
        <v>25</v>
      </c>
      <c r="H54">
        <v>2</v>
      </c>
      <c r="I54" s="7" t="b">
        <v>0</v>
      </c>
      <c r="J54" s="7" t="b">
        <v>0</v>
      </c>
      <c r="K54" s="1" t="s">
        <v>21</v>
      </c>
      <c r="L54" s="1" t="s">
        <v>19</v>
      </c>
      <c r="M54" s="1" t="s">
        <v>19</v>
      </c>
      <c r="N54" s="1" t="s">
        <v>19</v>
      </c>
      <c r="O54" s="1" t="s">
        <v>21</v>
      </c>
      <c r="P54" s="1" t="s">
        <v>21</v>
      </c>
    </row>
    <row r="55" spans="1:16" x14ac:dyDescent="0.15">
      <c r="A55" t="s">
        <v>139</v>
      </c>
      <c r="B55" s="6" t="s">
        <v>140</v>
      </c>
      <c r="C55" s="6" t="s">
        <v>2849</v>
      </c>
      <c r="D55">
        <v>650</v>
      </c>
      <c r="E55" s="1" t="s">
        <v>21</v>
      </c>
      <c r="F55" s="1" t="s">
        <v>19</v>
      </c>
      <c r="G55" t="s">
        <v>141</v>
      </c>
      <c r="H55">
        <v>0</v>
      </c>
      <c r="I55" s="7" t="b">
        <v>0</v>
      </c>
      <c r="J55" s="7" t="b">
        <v>0</v>
      </c>
      <c r="K55" s="1" t="s">
        <v>21</v>
      </c>
      <c r="L55" s="1" t="s">
        <v>19</v>
      </c>
      <c r="M55" s="1" t="s">
        <v>19</v>
      </c>
      <c r="N55" s="1" t="s">
        <v>19</v>
      </c>
      <c r="O55" s="1" t="s">
        <v>21</v>
      </c>
      <c r="P55" s="1" t="s">
        <v>19</v>
      </c>
    </row>
    <row r="56" spans="1:16" x14ac:dyDescent="0.15">
      <c r="A56" s="6" t="s">
        <v>140</v>
      </c>
      <c r="B56" t="s">
        <v>17</v>
      </c>
      <c r="C56" t="s">
        <v>2850</v>
      </c>
      <c r="D56">
        <v>500</v>
      </c>
      <c r="E56" s="1" t="s">
        <v>19</v>
      </c>
      <c r="F56" s="1" t="s">
        <v>19</v>
      </c>
      <c r="G56" t="s">
        <v>141</v>
      </c>
      <c r="H56">
        <v>0</v>
      </c>
      <c r="I56" s="7" t="b">
        <v>0</v>
      </c>
      <c r="J56" s="7" t="b">
        <v>0</v>
      </c>
      <c r="K56" s="1" t="s">
        <v>21</v>
      </c>
      <c r="L56" s="1" t="s">
        <v>19</v>
      </c>
      <c r="M56" s="1" t="s">
        <v>19</v>
      </c>
      <c r="N56" s="1" t="s">
        <v>19</v>
      </c>
      <c r="O56" s="1" t="s">
        <v>21</v>
      </c>
      <c r="P56" s="1" t="s">
        <v>19</v>
      </c>
    </row>
    <row r="57" spans="1:16" x14ac:dyDescent="0.15">
      <c r="A57" t="s">
        <v>143</v>
      </c>
      <c r="B57" t="s">
        <v>144</v>
      </c>
      <c r="C57" t="s">
        <v>145</v>
      </c>
      <c r="D57">
        <v>500</v>
      </c>
      <c r="E57" s="1" t="s">
        <v>19</v>
      </c>
      <c r="F57" s="1" t="s">
        <v>21</v>
      </c>
      <c r="G57" t="s">
        <v>55</v>
      </c>
      <c r="H57">
        <v>2</v>
      </c>
      <c r="I57" s="7" t="b">
        <v>0</v>
      </c>
      <c r="J57" s="7" t="b">
        <v>0</v>
      </c>
      <c r="K57" s="1" t="s">
        <v>19</v>
      </c>
      <c r="L57" s="1" t="s">
        <v>19</v>
      </c>
      <c r="M57" s="1" t="s">
        <v>19</v>
      </c>
      <c r="N57" s="1" t="s">
        <v>21</v>
      </c>
      <c r="O57" s="1" t="s">
        <v>21</v>
      </c>
      <c r="P57" s="1" t="s">
        <v>21</v>
      </c>
    </row>
    <row r="58" spans="1:16" x14ac:dyDescent="0.15">
      <c r="A58" t="s">
        <v>146</v>
      </c>
      <c r="B58" t="s">
        <v>144</v>
      </c>
      <c r="C58" t="s">
        <v>147</v>
      </c>
      <c r="D58">
        <v>500</v>
      </c>
      <c r="E58" s="1" t="s">
        <v>19</v>
      </c>
      <c r="F58" s="1" t="s">
        <v>19</v>
      </c>
      <c r="G58" t="s">
        <v>55</v>
      </c>
      <c r="H58">
        <v>2</v>
      </c>
      <c r="I58" s="7" t="b">
        <v>0</v>
      </c>
      <c r="J58" s="7" t="b">
        <v>0</v>
      </c>
      <c r="K58" s="1" t="s">
        <v>19</v>
      </c>
      <c r="L58" s="1" t="s">
        <v>19</v>
      </c>
      <c r="M58" s="1" t="s">
        <v>19</v>
      </c>
      <c r="N58" s="1" t="s">
        <v>21</v>
      </c>
      <c r="O58" s="1" t="s">
        <v>21</v>
      </c>
      <c r="P58" s="1" t="s">
        <v>21</v>
      </c>
    </row>
    <row r="59" spans="1:16" x14ac:dyDescent="0.15">
      <c r="A59" t="s">
        <v>148</v>
      </c>
      <c r="B59" t="s">
        <v>17</v>
      </c>
      <c r="C59" t="s">
        <v>2806</v>
      </c>
      <c r="D59">
        <v>500</v>
      </c>
      <c r="E59" s="1" t="s">
        <v>19</v>
      </c>
      <c r="F59" s="1" t="s">
        <v>19</v>
      </c>
      <c r="G59" t="s">
        <v>55</v>
      </c>
      <c r="H59">
        <v>2</v>
      </c>
      <c r="I59" s="7" t="b">
        <v>0</v>
      </c>
      <c r="J59" s="7" t="b">
        <v>1</v>
      </c>
      <c r="K59" s="1" t="s">
        <v>21</v>
      </c>
      <c r="L59" s="1" t="s">
        <v>19</v>
      </c>
      <c r="M59" s="1" t="s">
        <v>19</v>
      </c>
      <c r="N59" s="1" t="s">
        <v>21</v>
      </c>
      <c r="O59" s="1" t="s">
        <v>21</v>
      </c>
      <c r="P59" s="1" t="s">
        <v>21</v>
      </c>
    </row>
    <row r="60" spans="1:16" x14ac:dyDescent="0.15">
      <c r="A60" t="s">
        <v>144</v>
      </c>
      <c r="B60" t="s">
        <v>148</v>
      </c>
      <c r="C60" t="s">
        <v>2807</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s="6" t="s">
        <v>150</v>
      </c>
      <c r="B61" s="6" t="s">
        <v>27</v>
      </c>
      <c r="C61" s="6" t="s">
        <v>151</v>
      </c>
      <c r="D61">
        <v>450</v>
      </c>
      <c r="E61" s="1" t="s">
        <v>19</v>
      </c>
      <c r="F61" s="1" t="s">
        <v>19</v>
      </c>
      <c r="G61" t="s">
        <v>29</v>
      </c>
      <c r="H61">
        <v>1</v>
      </c>
      <c r="I61" s="7" t="b">
        <v>0</v>
      </c>
      <c r="J61" s="7" t="b">
        <v>0</v>
      </c>
      <c r="K61" s="1" t="s">
        <v>21</v>
      </c>
      <c r="L61" s="1" t="s">
        <v>19</v>
      </c>
      <c r="M61" s="1" t="s">
        <v>19</v>
      </c>
      <c r="N61" s="1" t="s">
        <v>19</v>
      </c>
      <c r="O61" s="1" t="s">
        <v>21</v>
      </c>
      <c r="P61" s="1" t="s">
        <v>19</v>
      </c>
    </row>
    <row r="62" spans="1:16" x14ac:dyDescent="0.15">
      <c r="A62" s="6" t="s">
        <v>152</v>
      </c>
      <c r="B62" s="6" t="s">
        <v>91</v>
      </c>
      <c r="C62" t="s">
        <v>153</v>
      </c>
      <c r="D62">
        <v>500</v>
      </c>
      <c r="E62" s="1" t="s">
        <v>19</v>
      </c>
      <c r="F62" s="1" t="s">
        <v>19</v>
      </c>
      <c r="G62" t="s">
        <v>93</v>
      </c>
      <c r="H62">
        <v>1</v>
      </c>
      <c r="I62" s="7" t="b">
        <v>0</v>
      </c>
      <c r="J62" s="7" t="b">
        <v>0</v>
      </c>
      <c r="K62" s="1" t="s">
        <v>21</v>
      </c>
      <c r="L62" s="1" t="s">
        <v>19</v>
      </c>
      <c r="M62" s="1" t="s">
        <v>19</v>
      </c>
      <c r="N62" s="1" t="s">
        <v>19</v>
      </c>
      <c r="O62" s="1" t="s">
        <v>21</v>
      </c>
      <c r="P62" s="1" t="s">
        <v>19</v>
      </c>
    </row>
    <row r="63" spans="1:16" x14ac:dyDescent="0.15">
      <c r="A63" s="6" t="s">
        <v>91</v>
      </c>
      <c r="B63" t="s">
        <v>17</v>
      </c>
      <c r="C63" t="s">
        <v>154</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155</v>
      </c>
      <c r="B64" t="s">
        <v>17</v>
      </c>
      <c r="C64" t="s">
        <v>156</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157</v>
      </c>
      <c r="B65" t="s">
        <v>17</v>
      </c>
      <c r="C65" t="s">
        <v>158</v>
      </c>
      <c r="D65">
        <v>500</v>
      </c>
      <c r="E65" s="1" t="s">
        <v>19</v>
      </c>
      <c r="F65" s="1" t="s">
        <v>19</v>
      </c>
      <c r="G65" t="s">
        <v>159</v>
      </c>
      <c r="H65">
        <v>0</v>
      </c>
      <c r="I65" s="7" t="b">
        <v>0</v>
      </c>
      <c r="J65" s="7" t="b">
        <v>0</v>
      </c>
      <c r="K65" s="1" t="s">
        <v>21</v>
      </c>
      <c r="L65" s="1" t="s">
        <v>19</v>
      </c>
      <c r="M65" s="1" t="s">
        <v>19</v>
      </c>
      <c r="N65" s="1" t="s">
        <v>19</v>
      </c>
      <c r="O65" s="1" t="s">
        <v>21</v>
      </c>
      <c r="P65" s="1" t="s">
        <v>19</v>
      </c>
    </row>
    <row r="66" spans="1:16" x14ac:dyDescent="0.15">
      <c r="A66" t="s">
        <v>160</v>
      </c>
      <c r="B66" t="s">
        <v>17</v>
      </c>
      <c r="C66" t="s">
        <v>161</v>
      </c>
      <c r="D66">
        <v>500</v>
      </c>
      <c r="E66" s="1" t="s">
        <v>19</v>
      </c>
      <c r="F66" s="1" t="s">
        <v>19</v>
      </c>
      <c r="G66" t="s">
        <v>42</v>
      </c>
      <c r="H66">
        <v>0</v>
      </c>
      <c r="I66" s="7" t="b">
        <v>0</v>
      </c>
      <c r="J66" s="7" t="b">
        <v>0</v>
      </c>
      <c r="K66" s="1" t="s">
        <v>21</v>
      </c>
      <c r="L66" s="1" t="s">
        <v>19</v>
      </c>
      <c r="M66" s="1" t="s">
        <v>19</v>
      </c>
      <c r="N66" s="1" t="s">
        <v>19</v>
      </c>
      <c r="O66" s="1" t="s">
        <v>21</v>
      </c>
      <c r="P66" s="1" t="s">
        <v>19</v>
      </c>
    </row>
    <row r="67" spans="1:16" x14ac:dyDescent="0.15">
      <c r="A67" s="6" t="s">
        <v>2972</v>
      </c>
      <c r="B67" t="s">
        <v>17</v>
      </c>
      <c r="C67" t="s">
        <v>2976</v>
      </c>
      <c r="D67">
        <v>500</v>
      </c>
      <c r="E67" s="1" t="s">
        <v>19</v>
      </c>
      <c r="F67" s="1" t="s">
        <v>21</v>
      </c>
      <c r="G67" t="s">
        <v>42</v>
      </c>
      <c r="H67">
        <v>0</v>
      </c>
      <c r="I67" s="7" t="b">
        <v>0</v>
      </c>
      <c r="J67" s="7" t="b">
        <v>0</v>
      </c>
      <c r="K67" s="1" t="s">
        <v>19</v>
      </c>
      <c r="L67" s="1" t="s">
        <v>19</v>
      </c>
      <c r="M67" s="1" t="s">
        <v>19</v>
      </c>
      <c r="N67" s="1" t="s">
        <v>19</v>
      </c>
      <c r="O67" s="1" t="s">
        <v>21</v>
      </c>
      <c r="P67" s="1" t="s">
        <v>21</v>
      </c>
    </row>
    <row r="68" spans="1:16" x14ac:dyDescent="0.15">
      <c r="A68" t="s">
        <v>23</v>
      </c>
      <c r="B68" t="s">
        <v>17</v>
      </c>
      <c r="C68" t="s">
        <v>162</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116</v>
      </c>
      <c r="B69" t="s">
        <v>23</v>
      </c>
      <c r="C69" t="s">
        <v>163</v>
      </c>
      <c r="D69">
        <v>500</v>
      </c>
      <c r="E69" s="1" t="s">
        <v>19</v>
      </c>
      <c r="F69" s="1" t="s">
        <v>19</v>
      </c>
      <c r="G69" t="s">
        <v>25</v>
      </c>
      <c r="H69">
        <v>2</v>
      </c>
      <c r="I69" s="7" t="b">
        <v>0</v>
      </c>
      <c r="J69" s="7" t="b">
        <v>0</v>
      </c>
      <c r="K69" s="1" t="s">
        <v>21</v>
      </c>
      <c r="L69" s="1" t="s">
        <v>19</v>
      </c>
      <c r="M69" s="1" t="s">
        <v>19</v>
      </c>
      <c r="N69" s="1" t="s">
        <v>19</v>
      </c>
      <c r="O69" s="1" t="s">
        <v>21</v>
      </c>
      <c r="P69" s="1" t="s">
        <v>21</v>
      </c>
    </row>
    <row r="70" spans="1:16" x14ac:dyDescent="0.15">
      <c r="A70" t="s">
        <v>38</v>
      </c>
      <c r="B70" t="s">
        <v>164</v>
      </c>
      <c r="C70" t="s">
        <v>165</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t="s">
        <v>164</v>
      </c>
      <c r="B71" t="s">
        <v>23</v>
      </c>
      <c r="C71" t="s">
        <v>166</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s="6" t="s">
        <v>167</v>
      </c>
      <c r="B72" t="s">
        <v>168</v>
      </c>
      <c r="C72" t="s">
        <v>169</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170</v>
      </c>
      <c r="B73" t="s">
        <v>168</v>
      </c>
      <c r="C73" t="s">
        <v>171</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168</v>
      </c>
      <c r="B74" s="6" t="s">
        <v>22</v>
      </c>
      <c r="C74" s="6" t="s">
        <v>172</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173</v>
      </c>
      <c r="B75" t="s">
        <v>174</v>
      </c>
      <c r="C75" t="s">
        <v>175</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176</v>
      </c>
      <c r="B76" t="s">
        <v>174</v>
      </c>
      <c r="C76" t="s">
        <v>177</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t="s">
        <v>174</v>
      </c>
      <c r="B77" s="6" t="s">
        <v>22</v>
      </c>
      <c r="C77" s="6" t="s">
        <v>178</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179</v>
      </c>
      <c r="B78" t="s">
        <v>180</v>
      </c>
      <c r="C78" t="s">
        <v>2805</v>
      </c>
      <c r="D78">
        <v>500</v>
      </c>
      <c r="E78" s="1" t="s">
        <v>19</v>
      </c>
      <c r="F78" s="1" t="s">
        <v>19</v>
      </c>
      <c r="G78" t="s">
        <v>42</v>
      </c>
      <c r="H78">
        <v>0</v>
      </c>
      <c r="I78" s="7" t="b">
        <v>0</v>
      </c>
      <c r="J78" s="7" t="b">
        <v>0</v>
      </c>
      <c r="K78" s="1" t="s">
        <v>21</v>
      </c>
      <c r="L78" s="1" t="s">
        <v>19</v>
      </c>
      <c r="M78" s="1" t="s">
        <v>19</v>
      </c>
      <c r="N78" s="1" t="s">
        <v>19</v>
      </c>
      <c r="O78" s="1" t="s">
        <v>21</v>
      </c>
      <c r="P78" s="1" t="s">
        <v>19</v>
      </c>
    </row>
    <row r="79" spans="1:16" x14ac:dyDescent="0.15">
      <c r="A79" s="6" t="s">
        <v>182</v>
      </c>
      <c r="B79" s="6" t="s">
        <v>183</v>
      </c>
      <c r="C79" s="6" t="s">
        <v>184</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186</v>
      </c>
      <c r="B80" s="6" t="s">
        <v>187</v>
      </c>
      <c r="C80" s="6" t="s">
        <v>188</v>
      </c>
      <c r="D80">
        <v>400</v>
      </c>
      <c r="E80" s="1" t="s">
        <v>19</v>
      </c>
      <c r="F80" s="1" t="s">
        <v>21</v>
      </c>
      <c r="G80" t="s">
        <v>185</v>
      </c>
      <c r="H80">
        <v>1</v>
      </c>
      <c r="I80" s="7" t="b">
        <v>0</v>
      </c>
      <c r="J80" s="7" t="b">
        <v>0</v>
      </c>
      <c r="K80" s="1" t="s">
        <v>19</v>
      </c>
      <c r="L80" s="1" t="s">
        <v>19</v>
      </c>
      <c r="M80" s="1" t="s">
        <v>19</v>
      </c>
      <c r="N80" s="1" t="s">
        <v>19</v>
      </c>
      <c r="O80" s="1" t="s">
        <v>19</v>
      </c>
      <c r="P80" s="1" t="s">
        <v>21</v>
      </c>
    </row>
    <row r="81" spans="1:16" x14ac:dyDescent="0.15">
      <c r="A81" s="6" t="s">
        <v>183</v>
      </c>
      <c r="B81" t="s">
        <v>17</v>
      </c>
      <c r="C81" t="s">
        <v>189</v>
      </c>
      <c r="D81">
        <v>400</v>
      </c>
      <c r="E81" s="1" t="s">
        <v>19</v>
      </c>
      <c r="F81" s="1" t="s">
        <v>19</v>
      </c>
      <c r="G81" t="s">
        <v>185</v>
      </c>
      <c r="H81">
        <v>1</v>
      </c>
      <c r="I81" s="7" t="b">
        <v>0</v>
      </c>
      <c r="J81" s="7" t="b">
        <v>0</v>
      </c>
      <c r="K81" s="1" t="s">
        <v>21</v>
      </c>
      <c r="L81" s="1" t="s">
        <v>19</v>
      </c>
      <c r="M81" s="1" t="s">
        <v>19</v>
      </c>
      <c r="N81" s="1" t="s">
        <v>19</v>
      </c>
      <c r="O81" s="1" t="s">
        <v>21</v>
      </c>
      <c r="P81" s="1" t="s">
        <v>19</v>
      </c>
    </row>
    <row r="82" spans="1:16" x14ac:dyDescent="0.15">
      <c r="A82" s="6" t="s">
        <v>190</v>
      </c>
      <c r="B82" s="6" t="s">
        <v>183</v>
      </c>
      <c r="C82" s="6" t="s">
        <v>191</v>
      </c>
      <c r="D82">
        <v>400</v>
      </c>
      <c r="E82" s="1" t="s">
        <v>19</v>
      </c>
      <c r="F82" s="1" t="s">
        <v>21</v>
      </c>
      <c r="G82" t="s">
        <v>185</v>
      </c>
      <c r="H82">
        <v>1</v>
      </c>
      <c r="I82" s="7" t="b">
        <v>0</v>
      </c>
      <c r="J82" s="7" t="b">
        <v>0</v>
      </c>
      <c r="K82" s="1" t="s">
        <v>21</v>
      </c>
      <c r="L82" s="1" t="s">
        <v>19</v>
      </c>
      <c r="M82" s="1" t="s">
        <v>19</v>
      </c>
      <c r="N82" s="1" t="s">
        <v>19</v>
      </c>
      <c r="O82" s="1" t="s">
        <v>21</v>
      </c>
      <c r="P82" s="1" t="s">
        <v>19</v>
      </c>
    </row>
    <row r="83" spans="1:16" x14ac:dyDescent="0.15">
      <c r="A83" s="6" t="s">
        <v>192</v>
      </c>
      <c r="B83" s="6" t="s">
        <v>183</v>
      </c>
      <c r="C83" s="6" t="s">
        <v>2863</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t="s">
        <v>193</v>
      </c>
      <c r="B84" t="s">
        <v>17</v>
      </c>
      <c r="C84" t="s">
        <v>194</v>
      </c>
      <c r="D84">
        <v>500</v>
      </c>
      <c r="E84" s="1" t="s">
        <v>19</v>
      </c>
      <c r="F84" s="1" t="s">
        <v>19</v>
      </c>
      <c r="G84" t="s">
        <v>114</v>
      </c>
      <c r="H84">
        <v>0</v>
      </c>
      <c r="I84" s="7" t="b">
        <v>1</v>
      </c>
      <c r="J84" s="7" t="b">
        <v>1</v>
      </c>
      <c r="K84" s="1" t="s">
        <v>21</v>
      </c>
      <c r="L84" s="1" t="s">
        <v>19</v>
      </c>
      <c r="M84" s="1" t="s">
        <v>19</v>
      </c>
      <c r="N84" s="1" t="s">
        <v>19</v>
      </c>
      <c r="O84" s="1" t="s">
        <v>21</v>
      </c>
      <c r="P84" s="1" t="s">
        <v>19</v>
      </c>
    </row>
    <row r="85" spans="1:16" x14ac:dyDescent="0.15">
      <c r="A85" t="s">
        <v>180</v>
      </c>
      <c r="B85" t="s">
        <v>17</v>
      </c>
      <c r="C85" t="s">
        <v>195</v>
      </c>
      <c r="D85">
        <v>500</v>
      </c>
      <c r="E85" s="1" t="s">
        <v>19</v>
      </c>
      <c r="F85" s="1" t="s">
        <v>19</v>
      </c>
      <c r="G85" t="s">
        <v>42</v>
      </c>
      <c r="H85">
        <v>0</v>
      </c>
      <c r="I85" s="7" t="b">
        <v>0</v>
      </c>
      <c r="J85" s="7" t="b">
        <v>0</v>
      </c>
      <c r="K85" s="1" t="s">
        <v>21</v>
      </c>
      <c r="L85" s="1" t="s">
        <v>19</v>
      </c>
      <c r="M85" s="1" t="s">
        <v>19</v>
      </c>
      <c r="N85" s="1" t="s">
        <v>19</v>
      </c>
      <c r="O85" s="1" t="s">
        <v>21</v>
      </c>
      <c r="P85" s="1" t="s">
        <v>19</v>
      </c>
    </row>
    <row r="86" spans="1:16" x14ac:dyDescent="0.15">
      <c r="A86" s="6" t="s">
        <v>196</v>
      </c>
      <c r="B86" t="s">
        <v>17</v>
      </c>
      <c r="C86" t="s">
        <v>197</v>
      </c>
      <c r="D86">
        <v>500</v>
      </c>
      <c r="E86" s="1" t="s">
        <v>19</v>
      </c>
      <c r="F86" s="1" t="s">
        <v>19</v>
      </c>
      <c r="G86" t="s">
        <v>42</v>
      </c>
      <c r="H86">
        <v>0</v>
      </c>
      <c r="I86" s="7" t="b">
        <v>1</v>
      </c>
      <c r="J86" s="7" t="b">
        <v>0</v>
      </c>
      <c r="K86" s="1" t="s">
        <v>21</v>
      </c>
      <c r="L86" s="1" t="s">
        <v>19</v>
      </c>
      <c r="M86" s="1" t="s">
        <v>19</v>
      </c>
      <c r="N86" s="1" t="s">
        <v>19</v>
      </c>
      <c r="O86" s="1" t="s">
        <v>21</v>
      </c>
      <c r="P86" s="1" t="s">
        <v>19</v>
      </c>
    </row>
    <row r="87" spans="1:16" x14ac:dyDescent="0.15">
      <c r="A87" t="s">
        <v>198</v>
      </c>
      <c r="B87" t="s">
        <v>17</v>
      </c>
      <c r="C87" t="s">
        <v>199</v>
      </c>
      <c r="D87">
        <v>500</v>
      </c>
      <c r="E87" s="1" t="s">
        <v>19</v>
      </c>
      <c r="F87" s="1" t="s">
        <v>19</v>
      </c>
      <c r="G87" t="s">
        <v>42</v>
      </c>
      <c r="H87">
        <v>0</v>
      </c>
      <c r="I87" s="7" t="b">
        <v>0</v>
      </c>
      <c r="J87" s="7" t="b">
        <v>0</v>
      </c>
      <c r="K87" s="1" t="s">
        <v>21</v>
      </c>
      <c r="L87" s="1" t="s">
        <v>19</v>
      </c>
      <c r="M87" s="1" t="s">
        <v>19</v>
      </c>
      <c r="N87" s="1" t="s">
        <v>19</v>
      </c>
      <c r="O87" s="1" t="s">
        <v>21</v>
      </c>
      <c r="P87" s="1" t="s">
        <v>19</v>
      </c>
    </row>
    <row r="88" spans="1:16" x14ac:dyDescent="0.15">
      <c r="A88" t="s">
        <v>200</v>
      </c>
      <c r="B88" t="s">
        <v>17</v>
      </c>
      <c r="C88" t="s">
        <v>201</v>
      </c>
      <c r="D88">
        <v>500</v>
      </c>
      <c r="E88" s="1" t="s">
        <v>21</v>
      </c>
      <c r="F88" s="1" t="s">
        <v>19</v>
      </c>
      <c r="G88" t="s">
        <v>202</v>
      </c>
      <c r="H88">
        <v>0</v>
      </c>
      <c r="I88" s="7" t="b">
        <v>1</v>
      </c>
      <c r="J88" s="7" t="b">
        <v>1</v>
      </c>
      <c r="K88" s="1" t="s">
        <v>21</v>
      </c>
      <c r="L88" s="1" t="s">
        <v>19</v>
      </c>
      <c r="M88" s="1" t="s">
        <v>19</v>
      </c>
      <c r="N88" s="1" t="s">
        <v>19</v>
      </c>
      <c r="O88" s="1" t="s">
        <v>21</v>
      </c>
      <c r="P88" s="1" t="s">
        <v>19</v>
      </c>
    </row>
    <row r="89" spans="1:16" x14ac:dyDescent="0.15">
      <c r="A89" s="6" t="s">
        <v>203</v>
      </c>
      <c r="B89" s="6" t="s">
        <v>27</v>
      </c>
      <c r="C89" s="6" t="s">
        <v>204</v>
      </c>
      <c r="D89">
        <v>500</v>
      </c>
      <c r="E89" s="1" t="s">
        <v>19</v>
      </c>
      <c r="F89" s="1" t="s">
        <v>19</v>
      </c>
      <c r="G89" t="s">
        <v>29</v>
      </c>
      <c r="H89">
        <v>1</v>
      </c>
      <c r="I89" s="7" t="b">
        <v>0</v>
      </c>
      <c r="J89" s="7" t="b">
        <v>1</v>
      </c>
      <c r="K89" s="1" t="s">
        <v>21</v>
      </c>
      <c r="L89" s="1" t="s">
        <v>19</v>
      </c>
      <c r="M89" s="1" t="s">
        <v>19</v>
      </c>
      <c r="N89" s="1" t="s">
        <v>19</v>
      </c>
      <c r="O89" s="1" t="s">
        <v>21</v>
      </c>
      <c r="P89" s="1" t="s">
        <v>19</v>
      </c>
    </row>
    <row r="90" spans="1:16" x14ac:dyDescent="0.15">
      <c r="A90" t="s">
        <v>134</v>
      </c>
      <c r="B90" t="s">
        <v>17</v>
      </c>
      <c r="C90" s="6" t="s">
        <v>205</v>
      </c>
      <c r="D90">
        <v>500</v>
      </c>
      <c r="E90" s="1" t="s">
        <v>21</v>
      </c>
      <c r="F90" s="1" t="s">
        <v>19</v>
      </c>
      <c r="G90" t="s">
        <v>132</v>
      </c>
      <c r="H90">
        <v>0</v>
      </c>
      <c r="I90" s="7" t="b">
        <v>0</v>
      </c>
      <c r="J90" s="7" t="b">
        <v>0</v>
      </c>
      <c r="K90" s="1" t="s">
        <v>21</v>
      </c>
      <c r="L90" s="1" t="s">
        <v>19</v>
      </c>
      <c r="M90" s="1" t="s">
        <v>21</v>
      </c>
      <c r="N90" s="1" t="s">
        <v>19</v>
      </c>
      <c r="O90" s="1" t="s">
        <v>19</v>
      </c>
      <c r="P90" s="1" t="s">
        <v>19</v>
      </c>
    </row>
    <row r="91" spans="1:16" x14ac:dyDescent="0.15">
      <c r="A91" t="s">
        <v>2989</v>
      </c>
      <c r="B91" s="6" t="s">
        <v>27</v>
      </c>
      <c r="C91" s="6" t="s">
        <v>2990</v>
      </c>
      <c r="D91">
        <v>600</v>
      </c>
      <c r="E91" s="1" t="s">
        <v>19</v>
      </c>
      <c r="F91" s="1" t="s">
        <v>21</v>
      </c>
      <c r="G91" t="s">
        <v>29</v>
      </c>
      <c r="H91">
        <v>0</v>
      </c>
      <c r="I91" s="7" t="b">
        <v>1</v>
      </c>
      <c r="J91" s="7" t="b">
        <v>1</v>
      </c>
      <c r="K91" s="1" t="s">
        <v>19</v>
      </c>
      <c r="L91" s="1" t="s">
        <v>19</v>
      </c>
      <c r="M91" s="1" t="s">
        <v>19</v>
      </c>
      <c r="N91" s="1" t="s">
        <v>19</v>
      </c>
      <c r="O91" s="1" t="s">
        <v>21</v>
      </c>
      <c r="P91" s="1" t="s">
        <v>21</v>
      </c>
    </row>
    <row r="92" spans="1:16" x14ac:dyDescent="0.15">
      <c r="A92" t="s">
        <v>206</v>
      </c>
      <c r="B92" t="s">
        <v>129</v>
      </c>
      <c r="C92" t="s">
        <v>207</v>
      </c>
      <c r="D92">
        <v>500</v>
      </c>
      <c r="E92" s="1" t="s">
        <v>19</v>
      </c>
      <c r="F92" s="1" t="s">
        <v>19</v>
      </c>
      <c r="G92" t="s">
        <v>132</v>
      </c>
      <c r="H92">
        <v>0</v>
      </c>
      <c r="I92" s="7" t="b">
        <v>0</v>
      </c>
      <c r="J92" s="7" t="b">
        <v>0</v>
      </c>
      <c r="K92" s="1" t="s">
        <v>21</v>
      </c>
      <c r="L92" s="1" t="s">
        <v>19</v>
      </c>
      <c r="M92" s="1" t="s">
        <v>21</v>
      </c>
      <c r="N92" s="1" t="s">
        <v>19</v>
      </c>
      <c r="O92" s="1" t="s">
        <v>19</v>
      </c>
      <c r="P92" s="1" t="s">
        <v>19</v>
      </c>
    </row>
    <row r="93" spans="1:16" x14ac:dyDescent="0.15">
      <c r="A93" t="s">
        <v>208</v>
      </c>
      <c r="B93" t="s">
        <v>206</v>
      </c>
      <c r="C93" t="s">
        <v>209</v>
      </c>
      <c r="D93">
        <v>500</v>
      </c>
      <c r="E93" s="1" t="s">
        <v>19</v>
      </c>
      <c r="F93" s="1" t="s">
        <v>19</v>
      </c>
      <c r="G93" t="s">
        <v>132</v>
      </c>
      <c r="H93">
        <v>0</v>
      </c>
      <c r="I93" s="7" t="b">
        <v>0</v>
      </c>
      <c r="J93" s="7" t="b">
        <v>0</v>
      </c>
      <c r="K93" s="1" t="s">
        <v>21</v>
      </c>
      <c r="L93" s="1" t="s">
        <v>19</v>
      </c>
      <c r="M93" s="1" t="s">
        <v>21</v>
      </c>
      <c r="N93" s="1" t="s">
        <v>19</v>
      </c>
      <c r="O93" s="1" t="s">
        <v>19</v>
      </c>
      <c r="P93" s="1" t="s">
        <v>19</v>
      </c>
    </row>
    <row r="94" spans="1:16" x14ac:dyDescent="0.15">
      <c r="A94" t="s">
        <v>2978</v>
      </c>
      <c r="B94" t="s">
        <v>17</v>
      </c>
      <c r="C94" t="s">
        <v>2979</v>
      </c>
      <c r="D94">
        <v>500</v>
      </c>
      <c r="E94" s="1" t="s">
        <v>19</v>
      </c>
      <c r="F94" s="1" t="s">
        <v>19</v>
      </c>
      <c r="G94" t="s">
        <v>47</v>
      </c>
      <c r="H94">
        <v>0</v>
      </c>
      <c r="I94" s="7" t="b">
        <v>0</v>
      </c>
      <c r="J94" s="7" t="b">
        <v>0</v>
      </c>
      <c r="K94" s="1" t="s">
        <v>21</v>
      </c>
      <c r="L94" s="1" t="s">
        <v>19</v>
      </c>
      <c r="M94" s="1" t="s">
        <v>21</v>
      </c>
      <c r="N94" s="1" t="s">
        <v>19</v>
      </c>
      <c r="O94" s="1" t="s">
        <v>19</v>
      </c>
      <c r="P94" s="1" t="s">
        <v>19</v>
      </c>
    </row>
    <row r="95" spans="1:16" x14ac:dyDescent="0.15">
      <c r="A95" s="6" t="s">
        <v>210</v>
      </c>
      <c r="B95" t="s">
        <v>211</v>
      </c>
      <c r="C95" t="s">
        <v>212</v>
      </c>
      <c r="D95">
        <v>500</v>
      </c>
      <c r="E95" s="1" t="s">
        <v>19</v>
      </c>
      <c r="F95" s="1" t="s">
        <v>19</v>
      </c>
      <c r="G95" t="s">
        <v>33</v>
      </c>
      <c r="H95">
        <v>3</v>
      </c>
      <c r="I95" s="7" t="b">
        <v>0</v>
      </c>
      <c r="J95" s="7" t="b">
        <v>1</v>
      </c>
      <c r="K95" s="1" t="s">
        <v>21</v>
      </c>
      <c r="L95" s="1" t="s">
        <v>19</v>
      </c>
      <c r="M95" s="1" t="s">
        <v>19</v>
      </c>
      <c r="N95" s="1" t="s">
        <v>19</v>
      </c>
      <c r="O95" s="1" t="s">
        <v>21</v>
      </c>
      <c r="P95" s="1" t="s">
        <v>19</v>
      </c>
    </row>
    <row r="96" spans="1:16" x14ac:dyDescent="0.15">
      <c r="A96" s="6" t="s">
        <v>211</v>
      </c>
      <c r="B96" t="s">
        <v>17</v>
      </c>
      <c r="C96" t="s">
        <v>213</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214</v>
      </c>
      <c r="B97" s="6" t="s">
        <v>27</v>
      </c>
      <c r="C97" s="6" t="s">
        <v>215</v>
      </c>
      <c r="D97">
        <v>550</v>
      </c>
      <c r="E97" s="1" t="s">
        <v>19</v>
      </c>
      <c r="F97" s="1" t="s">
        <v>19</v>
      </c>
      <c r="G97" t="s">
        <v>29</v>
      </c>
      <c r="H97">
        <v>1</v>
      </c>
      <c r="I97" s="7" t="b">
        <v>0</v>
      </c>
      <c r="J97" s="7" t="b">
        <v>0</v>
      </c>
      <c r="K97" s="1" t="s">
        <v>21</v>
      </c>
      <c r="L97" s="1" t="s">
        <v>19</v>
      </c>
      <c r="M97" s="1" t="s">
        <v>19</v>
      </c>
      <c r="N97" s="1" t="s">
        <v>19</v>
      </c>
      <c r="O97" s="1" t="s">
        <v>21</v>
      </c>
      <c r="P97" s="1" t="s">
        <v>19</v>
      </c>
    </row>
    <row r="98" spans="1:16" x14ac:dyDescent="0.15">
      <c r="A98" t="s">
        <v>216</v>
      </c>
      <c r="B98" t="s">
        <v>23</v>
      </c>
      <c r="C98" t="s">
        <v>217</v>
      </c>
      <c r="D98">
        <v>500</v>
      </c>
      <c r="E98" s="1" t="s">
        <v>19</v>
      </c>
      <c r="F98" s="1" t="s">
        <v>21</v>
      </c>
      <c r="G98" t="s">
        <v>25</v>
      </c>
      <c r="H98">
        <v>2</v>
      </c>
      <c r="I98" s="7" t="b">
        <v>0</v>
      </c>
      <c r="J98" s="7" t="b">
        <v>0</v>
      </c>
      <c r="K98" s="1" t="s">
        <v>21</v>
      </c>
      <c r="L98" s="1" t="s">
        <v>19</v>
      </c>
      <c r="M98" s="1" t="s">
        <v>19</v>
      </c>
      <c r="N98" s="1" t="s">
        <v>21</v>
      </c>
      <c r="O98" s="1" t="s">
        <v>21</v>
      </c>
      <c r="P98" s="1" t="s">
        <v>21</v>
      </c>
    </row>
    <row r="99" spans="1:16" x14ac:dyDescent="0.15">
      <c r="A99" t="s">
        <v>31</v>
      </c>
      <c r="B99" t="s">
        <v>17</v>
      </c>
      <c r="C99" t="s">
        <v>218</v>
      </c>
      <c r="D99">
        <v>500</v>
      </c>
      <c r="E99" s="1" t="s">
        <v>19</v>
      </c>
      <c r="F99" s="1" t="s">
        <v>19</v>
      </c>
      <c r="G99" t="s">
        <v>33</v>
      </c>
      <c r="H99">
        <v>3</v>
      </c>
      <c r="I99" s="7" t="b">
        <v>0</v>
      </c>
      <c r="J99" s="7" t="b">
        <v>1</v>
      </c>
      <c r="K99" s="1" t="s">
        <v>21</v>
      </c>
      <c r="L99" s="1" t="s">
        <v>19</v>
      </c>
      <c r="M99" s="1" t="s">
        <v>19</v>
      </c>
      <c r="N99" s="1" t="s">
        <v>19</v>
      </c>
      <c r="O99" s="1" t="s">
        <v>21</v>
      </c>
      <c r="P99" s="1" t="s">
        <v>19</v>
      </c>
    </row>
    <row r="100" spans="1:16" x14ac:dyDescent="0.15">
      <c r="A100" s="6" t="s">
        <v>219</v>
      </c>
      <c r="B100" t="s">
        <v>17</v>
      </c>
      <c r="C100" t="s">
        <v>220</v>
      </c>
      <c r="D100">
        <v>500</v>
      </c>
      <c r="E100" s="1" t="s">
        <v>19</v>
      </c>
      <c r="F100" s="1" t="s">
        <v>19</v>
      </c>
      <c r="G100" t="s">
        <v>185</v>
      </c>
      <c r="H100">
        <v>1</v>
      </c>
      <c r="I100" s="7" t="b">
        <v>0</v>
      </c>
      <c r="J100" s="7" t="b">
        <v>0</v>
      </c>
      <c r="K100" s="1" t="s">
        <v>21</v>
      </c>
      <c r="L100" s="1" t="s">
        <v>19</v>
      </c>
      <c r="M100" s="1" t="s">
        <v>19</v>
      </c>
      <c r="N100" s="1" t="s">
        <v>19</v>
      </c>
      <c r="O100" s="1" t="s">
        <v>21</v>
      </c>
      <c r="P100" s="1" t="s">
        <v>19</v>
      </c>
    </row>
    <row r="101" spans="1:16" x14ac:dyDescent="0.15">
      <c r="A101" t="s">
        <v>221</v>
      </c>
      <c r="B101" t="s">
        <v>38</v>
      </c>
      <c r="C101" t="s">
        <v>222</v>
      </c>
      <c r="D101">
        <v>500</v>
      </c>
      <c r="E101" s="1" t="s">
        <v>19</v>
      </c>
      <c r="F101" s="1" t="s">
        <v>21</v>
      </c>
      <c r="G101" t="s">
        <v>25</v>
      </c>
      <c r="H101">
        <v>2</v>
      </c>
      <c r="I101" s="7" t="b">
        <v>0</v>
      </c>
      <c r="J101" s="7" t="b">
        <v>0</v>
      </c>
      <c r="K101" s="1" t="s">
        <v>21</v>
      </c>
      <c r="L101" s="1" t="s">
        <v>19</v>
      </c>
      <c r="M101" s="1" t="s">
        <v>19</v>
      </c>
      <c r="N101" s="1" t="s">
        <v>21</v>
      </c>
      <c r="O101" s="1" t="s">
        <v>21</v>
      </c>
      <c r="P101" s="1" t="s">
        <v>21</v>
      </c>
    </row>
    <row r="102" spans="1:16" x14ac:dyDescent="0.15">
      <c r="A102" t="s">
        <v>223</v>
      </c>
      <c r="B102" t="s">
        <v>17</v>
      </c>
      <c r="C102" t="s">
        <v>224</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226</v>
      </c>
      <c r="B103" t="s">
        <v>17</v>
      </c>
      <c r="C103" t="s">
        <v>227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228</v>
      </c>
      <c r="B104" t="s">
        <v>17</v>
      </c>
      <c r="C104" t="s">
        <v>229</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230</v>
      </c>
      <c r="B105" t="s">
        <v>17</v>
      </c>
      <c r="C105" t="s">
        <v>231</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232</v>
      </c>
      <c r="B106" t="s">
        <v>17</v>
      </c>
      <c r="C106" t="s">
        <v>233</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234</v>
      </c>
      <c r="B107" t="s">
        <v>17</v>
      </c>
      <c r="C107" t="s">
        <v>235</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236</v>
      </c>
      <c r="B108" t="s">
        <v>17</v>
      </c>
      <c r="C108" t="s">
        <v>237</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ht="13.5" customHeight="1" x14ac:dyDescent="0.15">
      <c r="A109" s="6" t="s">
        <v>238</v>
      </c>
      <c r="B109" t="s">
        <v>17</v>
      </c>
      <c r="C109" t="s">
        <v>239</v>
      </c>
      <c r="D109">
        <v>500</v>
      </c>
      <c r="E109" s="1" t="s">
        <v>19</v>
      </c>
      <c r="F109" s="1" t="s">
        <v>19</v>
      </c>
      <c r="G109" t="s">
        <v>42</v>
      </c>
      <c r="H109">
        <v>0</v>
      </c>
      <c r="I109" s="7" t="b">
        <v>0</v>
      </c>
      <c r="J109" s="7" t="b">
        <v>0</v>
      </c>
      <c r="K109" s="1" t="s">
        <v>21</v>
      </c>
      <c r="L109" s="1" t="s">
        <v>19</v>
      </c>
      <c r="M109" s="1" t="s">
        <v>19</v>
      </c>
      <c r="N109" s="1" t="s">
        <v>19</v>
      </c>
      <c r="O109" s="1" t="s">
        <v>21</v>
      </c>
      <c r="P109" s="1" t="s">
        <v>19</v>
      </c>
    </row>
    <row r="110" spans="1:16" x14ac:dyDescent="0.15">
      <c r="A110" s="6" t="s">
        <v>240</v>
      </c>
      <c r="B110" t="s">
        <v>17</v>
      </c>
      <c r="C110" t="s">
        <v>2808</v>
      </c>
      <c r="D110">
        <v>500</v>
      </c>
      <c r="E110" s="1" t="s">
        <v>19</v>
      </c>
      <c r="F110" s="1" t="s">
        <v>19</v>
      </c>
      <c r="G110" t="s">
        <v>42</v>
      </c>
      <c r="H110">
        <v>0</v>
      </c>
      <c r="I110" s="7" t="b">
        <v>0</v>
      </c>
      <c r="J110" s="7" t="b">
        <v>0</v>
      </c>
      <c r="K110" s="1" t="s">
        <v>21</v>
      </c>
      <c r="L110" s="1" t="s">
        <v>19</v>
      </c>
      <c r="M110" s="1" t="s">
        <v>19</v>
      </c>
      <c r="N110" s="1" t="s">
        <v>19</v>
      </c>
      <c r="O110" s="1" t="s">
        <v>21</v>
      </c>
      <c r="P110" s="1" t="s">
        <v>19</v>
      </c>
    </row>
    <row r="111" spans="1:16" x14ac:dyDescent="0.15">
      <c r="A111" s="6" t="s">
        <v>242</v>
      </c>
      <c r="B111" s="6" t="s">
        <v>22</v>
      </c>
      <c r="C111" s="6" t="s">
        <v>243</v>
      </c>
      <c r="D111">
        <v>500</v>
      </c>
      <c r="E111" s="1" t="s">
        <v>19</v>
      </c>
      <c r="F111" s="1" t="s">
        <v>21</v>
      </c>
      <c r="G111" t="s">
        <v>25</v>
      </c>
      <c r="H111">
        <v>2</v>
      </c>
      <c r="I111" s="7" t="b">
        <v>0</v>
      </c>
      <c r="J111" s="7" t="b">
        <v>0</v>
      </c>
      <c r="K111" s="1" t="s">
        <v>21</v>
      </c>
      <c r="L111" s="1" t="s">
        <v>19</v>
      </c>
      <c r="M111" s="1" t="s">
        <v>19</v>
      </c>
      <c r="N111" s="1" t="s">
        <v>19</v>
      </c>
      <c r="O111" s="1" t="s">
        <v>21</v>
      </c>
      <c r="P111" s="1" t="s">
        <v>21</v>
      </c>
    </row>
    <row r="112" spans="1:16" x14ac:dyDescent="0.15">
      <c r="A112" t="s">
        <v>244</v>
      </c>
      <c r="B112" t="s">
        <v>17</v>
      </c>
      <c r="C112" t="s">
        <v>2861</v>
      </c>
      <c r="D112">
        <v>800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246</v>
      </c>
      <c r="B113" t="s">
        <v>17</v>
      </c>
      <c r="C113" t="s">
        <v>247</v>
      </c>
      <c r="D113">
        <v>700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248</v>
      </c>
      <c r="B114" t="s">
        <v>17</v>
      </c>
      <c r="C114" t="s">
        <v>249</v>
      </c>
      <c r="D114">
        <v>550</v>
      </c>
      <c r="E114" s="1" t="s">
        <v>19</v>
      </c>
      <c r="F114" s="1" t="s">
        <v>19</v>
      </c>
      <c r="G114" t="s">
        <v>245</v>
      </c>
      <c r="H114">
        <v>0</v>
      </c>
      <c r="I114" s="7" t="b">
        <v>0</v>
      </c>
      <c r="J114" s="7" t="b">
        <v>0</v>
      </c>
      <c r="K114" s="1" t="s">
        <v>21</v>
      </c>
      <c r="L114" s="1" t="s">
        <v>21</v>
      </c>
      <c r="M114" s="1" t="s">
        <v>19</v>
      </c>
      <c r="N114" s="1" t="s">
        <v>19</v>
      </c>
      <c r="O114" s="1" t="s">
        <v>19</v>
      </c>
      <c r="P114" s="1" t="s">
        <v>19</v>
      </c>
    </row>
    <row r="115" spans="1:16" x14ac:dyDescent="0.15">
      <c r="A115" t="s">
        <v>250</v>
      </c>
      <c r="B115" t="s">
        <v>17</v>
      </c>
      <c r="C115" t="s">
        <v>251</v>
      </c>
      <c r="D115">
        <v>600</v>
      </c>
      <c r="E115" s="1" t="s">
        <v>19</v>
      </c>
      <c r="F115" s="1" t="s">
        <v>19</v>
      </c>
      <c r="G115" t="s">
        <v>245</v>
      </c>
      <c r="H115">
        <v>0</v>
      </c>
      <c r="I115" s="7" t="b">
        <v>0</v>
      </c>
      <c r="J115" s="7" t="b">
        <v>0</v>
      </c>
      <c r="K115" s="1" t="s">
        <v>19</v>
      </c>
      <c r="L115" s="1" t="s">
        <v>21</v>
      </c>
      <c r="M115" s="1" t="s">
        <v>19</v>
      </c>
      <c r="N115" s="1" t="s">
        <v>19</v>
      </c>
      <c r="O115" s="1" t="s">
        <v>19</v>
      </c>
      <c r="P115" s="1" t="s">
        <v>19</v>
      </c>
    </row>
    <row r="116" spans="1:16" x14ac:dyDescent="0.15">
      <c r="A116" t="s">
        <v>252</v>
      </c>
      <c r="B116" t="s">
        <v>17</v>
      </c>
      <c r="C116" t="s">
        <v>253</v>
      </c>
      <c r="D116">
        <v>500</v>
      </c>
      <c r="E116" s="1" t="s">
        <v>19</v>
      </c>
      <c r="F116" s="1" t="s">
        <v>19</v>
      </c>
      <c r="G116" t="s">
        <v>245</v>
      </c>
      <c r="H116">
        <v>0</v>
      </c>
      <c r="I116" s="7" t="b">
        <v>0</v>
      </c>
      <c r="J116" s="7" t="b">
        <v>0</v>
      </c>
      <c r="K116" s="1" t="s">
        <v>21</v>
      </c>
      <c r="L116" s="1" t="s">
        <v>21</v>
      </c>
      <c r="M116" s="1" t="s">
        <v>19</v>
      </c>
      <c r="N116" s="1" t="s">
        <v>19</v>
      </c>
      <c r="O116" s="1" t="s">
        <v>19</v>
      </c>
      <c r="P116" s="1" t="s">
        <v>19</v>
      </c>
    </row>
    <row r="117" spans="1:16" x14ac:dyDescent="0.15">
      <c r="A117" t="s">
        <v>254</v>
      </c>
      <c r="B117" t="s">
        <v>17</v>
      </c>
      <c r="C117" t="s">
        <v>255</v>
      </c>
      <c r="D117">
        <v>300</v>
      </c>
      <c r="E117" s="1" t="s">
        <v>19</v>
      </c>
      <c r="F117" s="1" t="s">
        <v>19</v>
      </c>
      <c r="G117" t="s">
        <v>245</v>
      </c>
      <c r="H117">
        <v>0</v>
      </c>
      <c r="I117" s="7" t="b">
        <v>0</v>
      </c>
      <c r="J117" s="7" t="b">
        <v>0</v>
      </c>
      <c r="K117" s="1" t="s">
        <v>19</v>
      </c>
      <c r="L117" s="1" t="s">
        <v>21</v>
      </c>
      <c r="M117" s="1" t="s">
        <v>19</v>
      </c>
      <c r="N117" s="1" t="s">
        <v>19</v>
      </c>
      <c r="O117" s="1" t="s">
        <v>19</v>
      </c>
      <c r="P117" s="1" t="s">
        <v>19</v>
      </c>
    </row>
    <row r="118" spans="1:16" x14ac:dyDescent="0.15">
      <c r="A118" t="s">
        <v>2820</v>
      </c>
      <c r="B118" t="s">
        <v>17</v>
      </c>
      <c r="C118" t="s">
        <v>2821</v>
      </c>
      <c r="D118">
        <v>500</v>
      </c>
      <c r="E118" s="1" t="s">
        <v>19</v>
      </c>
      <c r="F118" s="1" t="s">
        <v>19</v>
      </c>
      <c r="G118" t="s">
        <v>20</v>
      </c>
      <c r="H118">
        <v>0</v>
      </c>
      <c r="I118" s="2" t="b">
        <v>0</v>
      </c>
      <c r="J118" s="7" t="b">
        <v>0</v>
      </c>
      <c r="K118" s="1" t="s">
        <v>21</v>
      </c>
      <c r="L118" s="1" t="s">
        <v>19</v>
      </c>
      <c r="M118" s="1" t="s">
        <v>19</v>
      </c>
      <c r="N118" s="1" t="s">
        <v>19</v>
      </c>
      <c r="O118" s="1" t="s">
        <v>21</v>
      </c>
      <c r="P118" s="1" t="s">
        <v>19</v>
      </c>
    </row>
    <row r="119" spans="1:16" x14ac:dyDescent="0.15">
      <c r="A119" t="s">
        <v>2851</v>
      </c>
      <c r="B119" t="s">
        <v>17</v>
      </c>
      <c r="C119" t="s">
        <v>2924</v>
      </c>
      <c r="D119">
        <v>500</v>
      </c>
      <c r="E119" s="1" t="s">
        <v>21</v>
      </c>
      <c r="F119" s="1" t="s">
        <v>19</v>
      </c>
      <c r="G119" t="s">
        <v>2852</v>
      </c>
      <c r="H119">
        <v>0</v>
      </c>
      <c r="I119" s="2" t="b">
        <v>0</v>
      </c>
      <c r="J119" s="7" t="b">
        <v>0</v>
      </c>
      <c r="K119" s="1" t="s">
        <v>21</v>
      </c>
      <c r="L119" s="1" t="s">
        <v>19</v>
      </c>
      <c r="M119" s="1" t="s">
        <v>19</v>
      </c>
      <c r="N119" s="1" t="s">
        <v>19</v>
      </c>
      <c r="O119" s="1" t="s">
        <v>21</v>
      </c>
      <c r="P119" s="1" t="s">
        <v>19</v>
      </c>
    </row>
    <row r="120" spans="1:16" x14ac:dyDescent="0.15">
      <c r="A120" t="s">
        <v>2922</v>
      </c>
      <c r="B120" t="s">
        <v>17</v>
      </c>
      <c r="C120" t="s">
        <v>2925</v>
      </c>
      <c r="D120">
        <v>500</v>
      </c>
      <c r="E120" s="1" t="s">
        <v>21</v>
      </c>
      <c r="F120" s="1" t="s">
        <v>19</v>
      </c>
      <c r="G120" t="s">
        <v>2923</v>
      </c>
      <c r="H120">
        <v>0</v>
      </c>
      <c r="I120" s="2" t="b">
        <v>0</v>
      </c>
      <c r="J120" s="2" t="b">
        <v>0</v>
      </c>
      <c r="K120" s="1" t="s">
        <v>19</v>
      </c>
      <c r="L120" s="1" t="s">
        <v>19</v>
      </c>
      <c r="M120" s="1" t="s">
        <v>19</v>
      </c>
      <c r="N120" s="1" t="s">
        <v>19</v>
      </c>
      <c r="O120" s="1" t="s">
        <v>21</v>
      </c>
      <c r="P120" s="1" t="s">
        <v>19</v>
      </c>
    </row>
    <row r="121" spans="1:16" x14ac:dyDescent="0.15">
      <c r="A121" t="s">
        <v>2930</v>
      </c>
      <c r="B121" t="s">
        <v>17</v>
      </c>
      <c r="C121" t="s">
        <v>2931</v>
      </c>
      <c r="D121">
        <v>650</v>
      </c>
      <c r="E121" s="1" t="s">
        <v>19</v>
      </c>
      <c r="F121" s="1" t="s">
        <v>19</v>
      </c>
      <c r="G121" t="s">
        <v>47</v>
      </c>
      <c r="H121">
        <v>0</v>
      </c>
      <c r="I121" s="2" t="b">
        <v>0</v>
      </c>
      <c r="J121" s="2" t="b">
        <v>0</v>
      </c>
      <c r="K121" s="1" t="s">
        <v>21</v>
      </c>
      <c r="L121" s="1" t="s">
        <v>19</v>
      </c>
      <c r="M121" s="1" t="s">
        <v>19</v>
      </c>
      <c r="N121" s="1" t="s">
        <v>19</v>
      </c>
      <c r="O121" s="1" t="s">
        <v>21</v>
      </c>
      <c r="P121" s="1" t="s">
        <v>21</v>
      </c>
    </row>
  </sheetData>
  <conditionalFormatting sqref="J118:P119">
    <cfRule type="containsText" dxfId="7" priority="2" operator="containsText" text="TRUE">
      <formula>NOT(ISERROR(SEARCH("TRUE",J118)))</formula>
    </cfRule>
  </conditionalFormatting>
  <conditionalFormatting sqref="E1:F117 I2:J52 K1:P52 I53:P117">
    <cfRule type="containsText" dxfId="6" priority="5" operator="containsText" text="TRUE">
      <formula>NOT(ISERROR(SEARCH("TRUE",E1)))</formula>
    </cfRule>
  </conditionalFormatting>
  <conditionalFormatting sqref="M120:P120">
    <cfRule type="containsText" dxfId="5" priority="1" operator="containsText" text="TRUE">
      <formula>NOT(ISERROR(SEARCH("TRUE",M120)))</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28"/>
  <sheetViews>
    <sheetView topLeftCell="A777" zoomScaleNormal="100" workbookViewId="0">
      <selection activeCell="C799" sqref="C79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6"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2973</v>
      </c>
      <c r="B403" s="8" t="s">
        <v>129</v>
      </c>
      <c r="C403" s="8" t="str">
        <f t="shared" si="7"/>
        <v>att_gene_editing_method:homologrecombination</v>
      </c>
      <c r="D403" s="8" t="s">
        <v>17</v>
      </c>
      <c r="E403" s="8" t="s">
        <v>2974</v>
      </c>
      <c r="F403" s="8" t="s">
        <v>2975</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2809</v>
      </c>
      <c r="B415" s="8" t="s">
        <v>130</v>
      </c>
      <c r="C415" s="8" t="str">
        <f t="shared" si="7"/>
        <v>att_gene_zygosity:(+/-)</v>
      </c>
      <c r="D415" s="9" t="s">
        <v>17</v>
      </c>
      <c r="E415" s="8" t="s">
        <v>1290</v>
      </c>
      <c r="F415" s="8" t="s">
        <v>1291</v>
      </c>
    </row>
    <row r="416" spans="1:6" x14ac:dyDescent="0.15">
      <c r="A416" s="8" t="s">
        <v>2810</v>
      </c>
      <c r="B416" s="8" t="s">
        <v>130</v>
      </c>
      <c r="C416" s="8" t="str">
        <f>B416&amp;":"&amp;A416</f>
        <v>att_gene_zygosity:(-/-)</v>
      </c>
      <c r="D416" s="9" t="s">
        <v>17</v>
      </c>
      <c r="E416" s="8" t="s">
        <v>1292</v>
      </c>
      <c r="F416" s="8" t="s">
        <v>1293</v>
      </c>
    </row>
    <row r="417" spans="1:6" x14ac:dyDescent="0.15">
      <c r="A417" s="8" t="s">
        <v>2811</v>
      </c>
      <c r="B417" s="8" t="s">
        <v>130</v>
      </c>
      <c r="C417" s="8" t="str">
        <f>B417&amp;":"&amp;A417</f>
        <v>att_gene_zygosity:(+/+)</v>
      </c>
      <c r="D417" s="9" t="s">
        <v>17</v>
      </c>
      <c r="E417" s="8" t="s">
        <v>2803</v>
      </c>
      <c r="F417" s="8" t="s">
        <v>2804</v>
      </c>
    </row>
    <row r="418" spans="1:6" x14ac:dyDescent="0.15">
      <c r="A418" s="8" t="s">
        <v>2814</v>
      </c>
      <c r="B418" s="8" t="s">
        <v>130</v>
      </c>
      <c r="C418" s="8" t="str">
        <f>B418&amp;":"&amp;A418</f>
        <v>att_gene_zygosity:unknown</v>
      </c>
      <c r="D418" s="9" t="s">
        <v>17</v>
      </c>
      <c r="E418" s="8" t="s">
        <v>2862</v>
      </c>
      <c r="F418" s="8" t="s">
        <v>2815</v>
      </c>
    </row>
    <row r="419" spans="1:6" x14ac:dyDescent="0.15">
      <c r="A419" s="8" t="s">
        <v>2968</v>
      </c>
      <c r="B419" s="8" t="s">
        <v>2966</v>
      </c>
      <c r="C419" s="8" t="str">
        <f>B419&amp;":"&amp;A419</f>
        <v>att_gender:male</v>
      </c>
      <c r="D419" s="9" t="s">
        <v>17</v>
      </c>
      <c r="E419" s="8" t="s">
        <v>2969</v>
      </c>
      <c r="F419" s="8" t="s">
        <v>2969</v>
      </c>
    </row>
    <row r="420" spans="1:6" x14ac:dyDescent="0.15">
      <c r="A420" s="8" t="s">
        <v>2970</v>
      </c>
      <c r="B420" s="8" t="s">
        <v>2966</v>
      </c>
      <c r="C420" s="8" t="str">
        <f>B420&amp;":"&amp;A420</f>
        <v>att_gender:female</v>
      </c>
      <c r="D420" s="9" t="s">
        <v>17</v>
      </c>
      <c r="E420" s="8" t="s">
        <v>2971</v>
      </c>
      <c r="F420" s="8" t="s">
        <v>2971</v>
      </c>
    </row>
    <row r="421" spans="1:6" x14ac:dyDescent="0.15">
      <c r="A421" s="8" t="s">
        <v>1294</v>
      </c>
      <c r="B421" s="8" t="s">
        <v>137</v>
      </c>
      <c r="C421" s="8" t="str">
        <f t="shared" si="7"/>
        <v>att_isolation_width:14dia</v>
      </c>
      <c r="D421" s="9" t="s">
        <v>17</v>
      </c>
      <c r="E421" s="8">
        <v>14</v>
      </c>
      <c r="F421" s="8" t="s">
        <v>1295</v>
      </c>
    </row>
    <row r="422" spans="1:6" x14ac:dyDescent="0.15">
      <c r="A422" s="8" t="s">
        <v>1296</v>
      </c>
      <c r="B422" s="8" t="s">
        <v>137</v>
      </c>
      <c r="C422" s="8" t="str">
        <f t="shared" si="7"/>
        <v>att_isolation_width:onepointfour</v>
      </c>
      <c r="D422" s="9" t="s">
        <v>17</v>
      </c>
      <c r="E422" s="8">
        <v>1.4</v>
      </c>
      <c r="F422" s="8" t="s">
        <v>1297</v>
      </c>
    </row>
    <row r="423" spans="1:6" x14ac:dyDescent="0.15">
      <c r="A423" s="8" t="s">
        <v>1298</v>
      </c>
      <c r="B423" s="8" t="s">
        <v>140</v>
      </c>
      <c r="C423" s="8" t="str">
        <f t="shared" si="7"/>
        <v>att_knockdown_technique:esirna</v>
      </c>
      <c r="D423" s="8" t="s">
        <v>1298</v>
      </c>
      <c r="E423" s="8" t="s">
        <v>1299</v>
      </c>
      <c r="F423" s="8" t="s">
        <v>1300</v>
      </c>
    </row>
    <row r="424" spans="1:6" x14ac:dyDescent="0.15">
      <c r="A424" s="8" t="s">
        <v>1301</v>
      </c>
      <c r="B424" s="8" t="s">
        <v>140</v>
      </c>
      <c r="C424" s="8" t="str">
        <f t="shared" si="7"/>
        <v>att_knockdown_technique:grna</v>
      </c>
      <c r="D424" s="8" t="s">
        <v>1301</v>
      </c>
      <c r="E424" s="8" t="s">
        <v>1302</v>
      </c>
      <c r="F424" s="8" t="s">
        <v>1303</v>
      </c>
    </row>
    <row r="425" spans="1:6" x14ac:dyDescent="0.15">
      <c r="A425" s="8" t="s">
        <v>1304</v>
      </c>
      <c r="B425" s="8" t="s">
        <v>140</v>
      </c>
      <c r="C425" s="8" t="str">
        <f t="shared" si="7"/>
        <v>att_knockdown_technique:mirna</v>
      </c>
      <c r="D425" s="8" t="s">
        <v>1304</v>
      </c>
      <c r="E425" s="8" t="s">
        <v>1305</v>
      </c>
      <c r="F425" s="8" t="s">
        <v>1306</v>
      </c>
    </row>
    <row r="426" spans="1:6" x14ac:dyDescent="0.15">
      <c r="A426" s="8" t="s">
        <v>1307</v>
      </c>
      <c r="B426" s="8" t="s">
        <v>140</v>
      </c>
      <c r="C426" s="8" t="str">
        <f t="shared" si="7"/>
        <v>att_knockdown_technique:shrna</v>
      </c>
      <c r="D426" s="8" t="s">
        <v>1307</v>
      </c>
      <c r="E426" s="8" t="s">
        <v>1308</v>
      </c>
      <c r="F426" s="8" t="s">
        <v>1309</v>
      </c>
    </row>
    <row r="427" spans="1:6" x14ac:dyDescent="0.15">
      <c r="A427" s="8" t="s">
        <v>1310</v>
      </c>
      <c r="B427" s="8" t="s">
        <v>140</v>
      </c>
      <c r="C427" s="8" t="str">
        <f t="shared" ref="C427:C496" si="8">B427&amp;":"&amp;A427</f>
        <v>att_knockdown_technique:sirna</v>
      </c>
      <c r="D427" s="8" t="s">
        <v>1310</v>
      </c>
      <c r="E427" s="8" t="s">
        <v>1311</v>
      </c>
      <c r="F427" s="8" t="s">
        <v>1312</v>
      </c>
    </row>
    <row r="428" spans="1:6" x14ac:dyDescent="0.15">
      <c r="A428" s="8" t="s">
        <v>1313</v>
      </c>
      <c r="B428" s="8" t="s">
        <v>143</v>
      </c>
      <c r="C428" s="8" t="str">
        <f t="shared" si="8"/>
        <v>att_lc_flow_rate:200nlmin</v>
      </c>
      <c r="D428" s="9" t="s">
        <v>17</v>
      </c>
      <c r="E428" s="8">
        <v>200</v>
      </c>
      <c r="F428" s="8" t="s">
        <v>1314</v>
      </c>
    </row>
    <row r="429" spans="1:6" x14ac:dyDescent="0.15">
      <c r="A429" s="8" t="s">
        <v>1315</v>
      </c>
      <c r="B429" s="8" t="s">
        <v>143</v>
      </c>
      <c r="C429" s="8" t="str">
        <f t="shared" si="8"/>
        <v>att_lc_flow_rate:250nlmin</v>
      </c>
      <c r="D429" s="9" t="s">
        <v>17</v>
      </c>
      <c r="E429" s="8">
        <v>250</v>
      </c>
      <c r="F429" s="8" t="s">
        <v>1316</v>
      </c>
    </row>
    <row r="430" spans="1:6" x14ac:dyDescent="0.15">
      <c r="A430" s="8" t="s">
        <v>1317</v>
      </c>
      <c r="B430" s="8" t="s">
        <v>143</v>
      </c>
      <c r="C430" s="8" t="str">
        <f t="shared" si="8"/>
        <v>att_lc_flow_rate:500nlmin</v>
      </c>
      <c r="D430" s="9" t="s">
        <v>17</v>
      </c>
      <c r="E430" s="8">
        <v>500</v>
      </c>
      <c r="F430" s="8" t="s">
        <v>1318</v>
      </c>
    </row>
    <row r="431" spans="1:6" x14ac:dyDescent="0.15">
      <c r="A431" s="8" t="s">
        <v>1319</v>
      </c>
      <c r="B431" s="8" t="s">
        <v>148</v>
      </c>
      <c r="C431" s="8" t="str">
        <f t="shared" si="8"/>
        <v>att_lc_system:e1000</v>
      </c>
      <c r="D431" s="8" t="s">
        <v>1319</v>
      </c>
      <c r="E431" s="8" t="s">
        <v>1320</v>
      </c>
      <c r="F431" s="8" t="s">
        <v>1321</v>
      </c>
    </row>
    <row r="432" spans="1:6" x14ac:dyDescent="0.15">
      <c r="A432" s="8" t="s">
        <v>1322</v>
      </c>
      <c r="B432" s="8" t="s">
        <v>148</v>
      </c>
      <c r="C432" s="8" t="str">
        <f t="shared" si="8"/>
        <v>att_lc_system:e1200</v>
      </c>
      <c r="D432" s="8" t="s">
        <v>1322</v>
      </c>
      <c r="E432" s="8" t="s">
        <v>1323</v>
      </c>
      <c r="F432" s="8" t="s">
        <v>1324</v>
      </c>
    </row>
    <row r="433" spans="1:6" x14ac:dyDescent="0.15">
      <c r="A433" s="8" t="s">
        <v>1325</v>
      </c>
      <c r="B433" s="8" t="s">
        <v>148</v>
      </c>
      <c r="C433" s="8" t="str">
        <f t="shared" si="8"/>
        <v>att_lc_system:evosep</v>
      </c>
      <c r="D433" s="8" t="s">
        <v>1325</v>
      </c>
      <c r="E433" s="8" t="s">
        <v>1326</v>
      </c>
      <c r="F433" s="8" t="s">
        <v>1326</v>
      </c>
    </row>
    <row r="434" spans="1:6" x14ac:dyDescent="0.15">
      <c r="A434" s="8" t="s">
        <v>1327</v>
      </c>
      <c r="B434" s="8" t="s">
        <v>148</v>
      </c>
      <c r="C434" s="8" t="str">
        <f t="shared" si="8"/>
        <v>att_lc_system:nanoelute</v>
      </c>
      <c r="D434" s="8" t="s">
        <v>1327</v>
      </c>
      <c r="E434" s="8" t="s">
        <v>1328</v>
      </c>
      <c r="F434" s="8" t="s">
        <v>1329</v>
      </c>
    </row>
    <row r="435" spans="1:6" x14ac:dyDescent="0.15">
      <c r="A435" s="8" t="s">
        <v>1330</v>
      </c>
      <c r="B435" s="8" t="s">
        <v>148</v>
      </c>
      <c r="C435" s="8" t="str">
        <f t="shared" si="8"/>
        <v>att_lc_system:ultimate</v>
      </c>
      <c r="D435" s="8" t="s">
        <v>1330</v>
      </c>
      <c r="E435" s="8" t="s">
        <v>1331</v>
      </c>
      <c r="F435" s="8" t="s">
        <v>1332</v>
      </c>
    </row>
    <row r="436" spans="1:6" x14ac:dyDescent="0.15">
      <c r="A436" s="8" t="s">
        <v>1333</v>
      </c>
      <c r="B436" s="8" t="s">
        <v>148</v>
      </c>
      <c r="C436" s="8" t="str">
        <f t="shared" si="8"/>
        <v>att_lc_system:vanquish</v>
      </c>
      <c r="D436" s="8" t="s">
        <v>1333</v>
      </c>
      <c r="E436" s="8" t="s">
        <v>1334</v>
      </c>
      <c r="F436" s="8" t="s">
        <v>1335</v>
      </c>
    </row>
    <row r="437" spans="1:6" x14ac:dyDescent="0.15">
      <c r="A437" s="8" t="s">
        <v>1336</v>
      </c>
      <c r="B437" s="8" t="s">
        <v>144</v>
      </c>
      <c r="C437" s="8" t="str">
        <f t="shared" si="8"/>
        <v>att_lc_system_name:easylc1</v>
      </c>
      <c r="D437" s="9" t="s">
        <v>17</v>
      </c>
      <c r="E437" s="8" t="s">
        <v>1337</v>
      </c>
      <c r="F437" s="8" t="s">
        <v>1337</v>
      </c>
    </row>
    <row r="438" spans="1:6" x14ac:dyDescent="0.15">
      <c r="A438" s="8" t="s">
        <v>1338</v>
      </c>
      <c r="B438" s="8" t="s">
        <v>144</v>
      </c>
      <c r="C438" s="8" t="str">
        <f t="shared" si="8"/>
        <v>att_lc_system_name:easylc2</v>
      </c>
      <c r="D438" s="9" t="s">
        <v>17</v>
      </c>
      <c r="E438" s="8" t="s">
        <v>1339</v>
      </c>
      <c r="F438" s="8" t="s">
        <v>1339</v>
      </c>
    </row>
    <row r="439" spans="1:6" x14ac:dyDescent="0.15">
      <c r="A439" s="8" t="s">
        <v>1340</v>
      </c>
      <c r="B439" s="8" t="s">
        <v>144</v>
      </c>
      <c r="C439" s="8" t="str">
        <f t="shared" si="8"/>
        <v>att_lc_system_name:evosep1</v>
      </c>
      <c r="D439" s="9" t="s">
        <v>17</v>
      </c>
      <c r="E439" s="8" t="s">
        <v>1341</v>
      </c>
      <c r="F439" s="8" t="s">
        <v>1342</v>
      </c>
    </row>
    <row r="440" spans="1:6" x14ac:dyDescent="0.15">
      <c r="A440" s="8" t="s">
        <v>1343</v>
      </c>
      <c r="B440" s="8" t="s">
        <v>144</v>
      </c>
      <c r="C440" s="8" t="str">
        <f t="shared" si="8"/>
        <v>att_lc_system_name:vanquishneo1</v>
      </c>
      <c r="D440" s="9" t="s">
        <v>17</v>
      </c>
      <c r="E440" s="8" t="s">
        <v>1344</v>
      </c>
      <c r="F440" s="8" t="s">
        <v>1344</v>
      </c>
    </row>
    <row r="441" spans="1:6" x14ac:dyDescent="0.15">
      <c r="A441" s="8" t="s">
        <v>1345</v>
      </c>
      <c r="B441" s="8" t="s">
        <v>150</v>
      </c>
      <c r="C441" s="8" t="str">
        <f t="shared" si="8"/>
        <v>att_liquid_handler:bravo</v>
      </c>
      <c r="D441" s="8" t="s">
        <v>1345</v>
      </c>
      <c r="E441" s="8" t="s">
        <v>1346</v>
      </c>
      <c r="F441" s="8" t="s">
        <v>1347</v>
      </c>
    </row>
    <row r="442" spans="1:6" x14ac:dyDescent="0.15">
      <c r="A442" s="8" t="s">
        <v>1348</v>
      </c>
      <c r="B442" s="8" t="s">
        <v>150</v>
      </c>
      <c r="C442" s="8" t="str">
        <f t="shared" si="8"/>
        <v>att_liquid_handler:felix</v>
      </c>
      <c r="D442" s="8" t="s">
        <v>1348</v>
      </c>
      <c r="E442" s="8" t="s">
        <v>1349</v>
      </c>
      <c r="F442" s="8" t="s">
        <v>1350</v>
      </c>
    </row>
    <row r="443" spans="1:6" x14ac:dyDescent="0.15">
      <c r="A443" s="8" t="s">
        <v>1351</v>
      </c>
      <c r="B443" s="8" t="s">
        <v>150</v>
      </c>
      <c r="C443" s="8" t="str">
        <f t="shared" si="8"/>
        <v>att_liquid_handler:kingfisher</v>
      </c>
      <c r="D443" s="8" t="s">
        <v>1351</v>
      </c>
      <c r="E443" s="8" t="s">
        <v>1352</v>
      </c>
      <c r="F443" s="8" t="s">
        <v>1353</v>
      </c>
    </row>
    <row r="444" spans="1:6" x14ac:dyDescent="0.15">
      <c r="A444" s="8" t="s">
        <v>1354</v>
      </c>
      <c r="B444" s="8" t="s">
        <v>150</v>
      </c>
      <c r="C444" s="8" t="str">
        <f t="shared" si="8"/>
        <v>att_liquid_handler:microlabhamilton</v>
      </c>
      <c r="D444" s="8" t="s">
        <v>1354</v>
      </c>
      <c r="E444" s="8" t="s">
        <v>1355</v>
      </c>
      <c r="F444" s="8" t="s">
        <v>1356</v>
      </c>
    </row>
    <row r="445" spans="1:6" x14ac:dyDescent="0.15">
      <c r="A445" s="8" t="s">
        <v>1357</v>
      </c>
      <c r="B445" s="8" t="s">
        <v>150</v>
      </c>
      <c r="C445" s="8" t="str">
        <f t="shared" si="8"/>
        <v>att_liquid_handler:mosquitoHV</v>
      </c>
      <c r="D445" s="8" t="s">
        <v>1357</v>
      </c>
      <c r="E445" s="8" t="s">
        <v>1358</v>
      </c>
      <c r="F445" s="8" t="s">
        <v>1359</v>
      </c>
    </row>
    <row r="446" spans="1:6" x14ac:dyDescent="0.15">
      <c r="A446" s="8" t="s">
        <v>1360</v>
      </c>
      <c r="B446" s="8" t="s">
        <v>150</v>
      </c>
      <c r="C446" s="8" t="str">
        <f t="shared" si="8"/>
        <v>att_liquid_handler:mosquitoLV</v>
      </c>
      <c r="D446" s="8" t="s">
        <v>1360</v>
      </c>
      <c r="E446" s="8" t="s">
        <v>1361</v>
      </c>
      <c r="F446" s="8" t="s">
        <v>1362</v>
      </c>
    </row>
    <row r="447" spans="1:6" x14ac:dyDescent="0.15">
      <c r="A447" s="8" t="s">
        <v>1363</v>
      </c>
      <c r="B447" s="8" t="s">
        <v>150</v>
      </c>
      <c r="C447" s="8" t="str">
        <f t="shared" si="8"/>
        <v>att_liquid_handler:opentrons</v>
      </c>
      <c r="D447" s="8" t="s">
        <v>1363</v>
      </c>
      <c r="E447" s="8" t="s">
        <v>2857</v>
      </c>
      <c r="F447" s="8" t="s">
        <v>2857</v>
      </c>
    </row>
    <row r="448" spans="1:6" x14ac:dyDescent="0.15">
      <c r="A448" s="8" t="s">
        <v>1363</v>
      </c>
      <c r="B448" s="8" t="s">
        <v>150</v>
      </c>
      <c r="C448" s="8" t="str">
        <f t="shared" ref="C448" si="9">B448&amp;":"&amp;A448</f>
        <v>att_liquid_handler:opentrons</v>
      </c>
      <c r="D448" s="8" t="s">
        <v>1363</v>
      </c>
      <c r="E448" s="8" t="s">
        <v>2858</v>
      </c>
      <c r="F448" s="8" t="s">
        <v>2858</v>
      </c>
    </row>
    <row r="449" spans="1:6" x14ac:dyDescent="0.15">
      <c r="A449" s="8" t="s">
        <v>1365</v>
      </c>
      <c r="B449" s="8" t="s">
        <v>150</v>
      </c>
      <c r="C449" s="8" t="str">
        <f t="shared" si="8"/>
        <v>att_liquid_handler:tecan</v>
      </c>
      <c r="D449" s="8" t="s">
        <v>1365</v>
      </c>
      <c r="E449" s="8" t="s">
        <v>1366</v>
      </c>
      <c r="F449" s="8" t="s">
        <v>1367</v>
      </c>
    </row>
    <row r="450" spans="1:6" x14ac:dyDescent="0.15">
      <c r="A450" s="8" t="s">
        <v>1368</v>
      </c>
      <c r="B450" s="8" t="s">
        <v>152</v>
      </c>
      <c r="C450" s="8" t="str">
        <f t="shared" si="8"/>
        <v>att_lysis_buffer:one_sdc</v>
      </c>
      <c r="D450" s="9" t="s">
        <v>17</v>
      </c>
      <c r="E450" s="8" t="s">
        <v>1369</v>
      </c>
      <c r="F450" s="8" t="s">
        <v>1370</v>
      </c>
    </row>
    <row r="451" spans="1:6" x14ac:dyDescent="0.15">
      <c r="A451" s="8" t="s">
        <v>1017</v>
      </c>
      <c r="B451" s="8" t="s">
        <v>152</v>
      </c>
      <c r="C451" s="8" t="str">
        <f t="shared" si="8"/>
        <v>att_lysis_buffer:sds</v>
      </c>
      <c r="D451" s="9" t="s">
        <v>17</v>
      </c>
      <c r="E451" s="8" t="s">
        <v>1371</v>
      </c>
      <c r="F451" s="8" t="s">
        <v>1372</v>
      </c>
    </row>
    <row r="452" spans="1:6" x14ac:dyDescent="0.15">
      <c r="A452" s="8" t="s">
        <v>1373</v>
      </c>
      <c r="B452" s="8" t="s">
        <v>152</v>
      </c>
      <c r="C452" s="8" t="str">
        <f t="shared" si="8"/>
        <v>att_lysis_buffer:two_sdc</v>
      </c>
      <c r="D452" s="9" t="s">
        <v>17</v>
      </c>
      <c r="E452" s="8" t="s">
        <v>1374</v>
      </c>
      <c r="F452" s="8" t="s">
        <v>1375</v>
      </c>
    </row>
    <row r="453" spans="1:6" x14ac:dyDescent="0.15">
      <c r="A453" s="8" t="s">
        <v>1376</v>
      </c>
      <c r="B453" s="8" t="s">
        <v>152</v>
      </c>
      <c r="C453" s="8" t="str">
        <f t="shared" si="8"/>
        <v>att_lysis_buffer:urea</v>
      </c>
      <c r="D453" s="9" t="s">
        <v>17</v>
      </c>
      <c r="E453" s="8" t="s">
        <v>1377</v>
      </c>
      <c r="F453" s="8" t="s">
        <v>1378</v>
      </c>
    </row>
    <row r="454" spans="1:6" x14ac:dyDescent="0.15">
      <c r="A454" s="8" t="s">
        <v>2853</v>
      </c>
      <c r="B454" s="8" t="s">
        <v>91</v>
      </c>
      <c r="C454" s="8" t="str">
        <f t="shared" ref="C454" si="10">B454&amp;":"&amp;A454</f>
        <v>att_lysis_method:chemical</v>
      </c>
      <c r="D454" s="9" t="s">
        <v>17</v>
      </c>
      <c r="E454" s="8" t="s">
        <v>2854</v>
      </c>
      <c r="F454" s="8" t="s">
        <v>2855</v>
      </c>
    </row>
    <row r="455" spans="1:6" x14ac:dyDescent="0.15">
      <c r="A455" s="8" t="s">
        <v>2865</v>
      </c>
      <c r="B455" s="8" t="s">
        <v>91</v>
      </c>
      <c r="C455" s="8" t="str">
        <f t="shared" ref="C455" si="11">B455&amp;":"&amp;A455</f>
        <v>att_lysis_method:sonicaton</v>
      </c>
      <c r="D455" s="9" t="s">
        <v>17</v>
      </c>
      <c r="E455" s="8" t="s">
        <v>2866</v>
      </c>
      <c r="F455" s="8" t="s">
        <v>2864</v>
      </c>
    </row>
    <row r="456" spans="1:6" x14ac:dyDescent="0.15">
      <c r="A456" s="8" t="s">
        <v>1379</v>
      </c>
      <c r="B456" s="8" t="s">
        <v>91</v>
      </c>
      <c r="C456" s="8" t="str">
        <f t="shared" si="8"/>
        <v>att_lysis_method:dounce</v>
      </c>
      <c r="D456" s="9" t="s">
        <v>17</v>
      </c>
      <c r="E456" s="8" t="s">
        <v>1380</v>
      </c>
      <c r="F456" s="8" t="s">
        <v>1381</v>
      </c>
    </row>
    <row r="457" spans="1:6" x14ac:dyDescent="0.15">
      <c r="A457" s="8" t="s">
        <v>1382</v>
      </c>
      <c r="B457" s="8" t="s">
        <v>91</v>
      </c>
      <c r="C457" s="8" t="str">
        <f t="shared" si="8"/>
        <v>att_lysis_method:motar_pestle</v>
      </c>
      <c r="D457" s="9" t="s">
        <v>17</v>
      </c>
      <c r="E457" s="8" t="s">
        <v>1383</v>
      </c>
      <c r="F457" s="8" t="s">
        <v>1384</v>
      </c>
    </row>
    <row r="458" spans="1:6" x14ac:dyDescent="0.15">
      <c r="A458" s="8" t="s">
        <v>1385</v>
      </c>
      <c r="B458" s="8" t="s">
        <v>91</v>
      </c>
      <c r="C458" s="8" t="str">
        <f t="shared" si="8"/>
        <v>att_lysis_method:paracyllus</v>
      </c>
      <c r="D458" s="9" t="s">
        <v>17</v>
      </c>
      <c r="E458" s="8" t="s">
        <v>1386</v>
      </c>
      <c r="F458" s="8" t="s">
        <v>1387</v>
      </c>
    </row>
    <row r="459" spans="1:6" x14ac:dyDescent="0.15">
      <c r="A459" s="8" t="s">
        <v>1388</v>
      </c>
      <c r="B459" s="8" t="s">
        <v>155</v>
      </c>
      <c r="C459" s="8" t="str">
        <f t="shared" si="8"/>
        <v>att_metabolic_label:arg0</v>
      </c>
      <c r="D459" s="9" t="s">
        <v>17</v>
      </c>
      <c r="E459" s="8" t="s">
        <v>1389</v>
      </c>
      <c r="F459" s="8" t="s">
        <v>1390</v>
      </c>
    </row>
    <row r="460" spans="1:6" x14ac:dyDescent="0.15">
      <c r="A460" s="8" t="s">
        <v>1391</v>
      </c>
      <c r="B460" s="8" t="s">
        <v>155</v>
      </c>
      <c r="C460" s="8" t="str">
        <f t="shared" si="8"/>
        <v>att_metabolic_label:arg10</v>
      </c>
      <c r="D460" s="9" t="s">
        <v>17</v>
      </c>
      <c r="E460" s="8" t="s">
        <v>1392</v>
      </c>
      <c r="F460" s="8" t="s">
        <v>1393</v>
      </c>
    </row>
    <row r="461" spans="1:6" x14ac:dyDescent="0.15">
      <c r="A461" s="8" t="s">
        <v>1394</v>
      </c>
      <c r="B461" s="8" t="s">
        <v>155</v>
      </c>
      <c r="C461" s="8" t="str">
        <f t="shared" si="8"/>
        <v>att_metabolic_label:arg6</v>
      </c>
      <c r="D461" s="9" t="s">
        <v>17</v>
      </c>
      <c r="E461" s="8" t="s">
        <v>1395</v>
      </c>
      <c r="F461" s="8" t="s">
        <v>1396</v>
      </c>
    </row>
    <row r="462" spans="1:6" x14ac:dyDescent="0.15">
      <c r="A462" s="8" t="s">
        <v>1397</v>
      </c>
      <c r="B462" s="8" t="s">
        <v>155</v>
      </c>
      <c r="C462" s="8" t="str">
        <f t="shared" si="8"/>
        <v>att_metabolic_label:lys0</v>
      </c>
      <c r="D462" s="9" t="s">
        <v>17</v>
      </c>
      <c r="E462" s="8" t="s">
        <v>1398</v>
      </c>
      <c r="F462" s="9" t="s">
        <v>2953</v>
      </c>
    </row>
    <row r="463" spans="1:6" x14ac:dyDescent="0.15">
      <c r="A463" s="8" t="s">
        <v>1399</v>
      </c>
      <c r="B463" s="8" t="s">
        <v>155</v>
      </c>
      <c r="C463" s="8" t="str">
        <f t="shared" si="8"/>
        <v>att_metabolic_label:lys4</v>
      </c>
      <c r="D463" s="9" t="s">
        <v>17</v>
      </c>
      <c r="E463" s="8" t="s">
        <v>1400</v>
      </c>
      <c r="F463" s="8" t="s">
        <v>1401</v>
      </c>
    </row>
    <row r="464" spans="1:6" x14ac:dyDescent="0.15">
      <c r="A464" s="8" t="s">
        <v>1402</v>
      </c>
      <c r="B464" s="8" t="s">
        <v>155</v>
      </c>
      <c r="C464" s="8" t="str">
        <f t="shared" si="8"/>
        <v>att_metabolic_label:lys6</v>
      </c>
      <c r="D464" s="9" t="s">
        <v>17</v>
      </c>
      <c r="E464" s="8" t="s">
        <v>1403</v>
      </c>
      <c r="F464" s="8" t="s">
        <v>1404</v>
      </c>
    </row>
    <row r="465" spans="1:6" x14ac:dyDescent="0.15">
      <c r="A465" s="8" t="s">
        <v>1405</v>
      </c>
      <c r="B465" s="8" t="s">
        <v>155</v>
      </c>
      <c r="C465" s="8" t="str">
        <f t="shared" si="8"/>
        <v>att_metabolic_label:lys8</v>
      </c>
      <c r="D465" s="9" t="s">
        <v>17</v>
      </c>
      <c r="E465" s="8" t="s">
        <v>1406</v>
      </c>
      <c r="F465" s="8" t="s">
        <v>1407</v>
      </c>
    </row>
    <row r="466" spans="1:6" x14ac:dyDescent="0.15">
      <c r="A466" s="8" t="s">
        <v>2955</v>
      </c>
      <c r="B466" s="8" t="s">
        <v>155</v>
      </c>
      <c r="C466" s="8" t="str">
        <f t="shared" ref="C466" si="12">B466&amp;":"&amp;A466</f>
        <v>att_metabolic_label:lys0arg0</v>
      </c>
      <c r="D466" s="9" t="s">
        <v>17</v>
      </c>
      <c r="E466" s="8" t="s">
        <v>2954</v>
      </c>
      <c r="F466" s="8" t="s">
        <v>2962</v>
      </c>
    </row>
    <row r="467" spans="1:6" x14ac:dyDescent="0.15">
      <c r="A467" s="8" t="s">
        <v>2956</v>
      </c>
      <c r="B467" s="8" t="s">
        <v>155</v>
      </c>
      <c r="C467" s="8" t="str">
        <f t="shared" ref="C467:C468" si="13">B467&amp;":"&amp;A467</f>
        <v>att_metabolic_label:lys4arg6</v>
      </c>
      <c r="D467" s="9"/>
      <c r="E467" s="8" t="s">
        <v>2957</v>
      </c>
      <c r="F467" s="8" t="s">
        <v>2961</v>
      </c>
    </row>
    <row r="468" spans="1:6" x14ac:dyDescent="0.15">
      <c r="A468" s="8" t="s">
        <v>2958</v>
      </c>
      <c r="B468" s="8" t="s">
        <v>155</v>
      </c>
      <c r="C468" s="8" t="str">
        <f t="shared" si="13"/>
        <v>att_metabolic_label:lys8arg10</v>
      </c>
      <c r="D468" s="9"/>
      <c r="E468" s="8" t="s">
        <v>2959</v>
      </c>
      <c r="F468" s="8" t="s">
        <v>2960</v>
      </c>
    </row>
    <row r="469" spans="1:6" x14ac:dyDescent="0.15">
      <c r="A469" s="8" t="s">
        <v>1408</v>
      </c>
      <c r="B469" s="8" t="s">
        <v>157</v>
      </c>
      <c r="C469" s="8" t="str">
        <f t="shared" si="8"/>
        <v>att_mitocarta_pathway:abc_transporters</v>
      </c>
      <c r="D469" s="9" t="s">
        <v>17</v>
      </c>
      <c r="E469" s="8" t="s">
        <v>1409</v>
      </c>
      <c r="F469" s="8" t="s">
        <v>1410</v>
      </c>
    </row>
    <row r="470" spans="1:6" x14ac:dyDescent="0.15">
      <c r="A470" s="8" t="s">
        <v>1411</v>
      </c>
      <c r="B470" s="8" t="s">
        <v>157</v>
      </c>
      <c r="C470" s="8" t="str">
        <f t="shared" si="8"/>
        <v>att_mitocarta_pathway:amidoxime_reducing_complex</v>
      </c>
      <c r="D470" s="9" t="s">
        <v>17</v>
      </c>
      <c r="E470" s="8" t="s">
        <v>1412</v>
      </c>
      <c r="F470" s="8" t="s">
        <v>1413</v>
      </c>
    </row>
    <row r="471" spans="1:6" x14ac:dyDescent="0.15">
      <c r="A471" s="8" t="s">
        <v>1414</v>
      </c>
      <c r="B471" s="8" t="s">
        <v>157</v>
      </c>
      <c r="C471" s="8" t="str">
        <f t="shared" si="8"/>
        <v>att_mitocarta_pathway:amino_acid_metabolism</v>
      </c>
      <c r="D471" s="9" t="s">
        <v>17</v>
      </c>
      <c r="E471" s="8" t="s">
        <v>1415</v>
      </c>
      <c r="F471" s="8" t="s">
        <v>1416</v>
      </c>
    </row>
    <row r="472" spans="1:6" x14ac:dyDescent="0.15">
      <c r="A472" s="8" t="s">
        <v>1417</v>
      </c>
      <c r="B472" s="8" t="s">
        <v>157</v>
      </c>
      <c r="C472" s="8" t="str">
        <f t="shared" si="8"/>
        <v>att_mitocarta_pathway:apoptosis</v>
      </c>
      <c r="D472" s="9" t="s">
        <v>17</v>
      </c>
      <c r="E472" s="8" t="s">
        <v>1418</v>
      </c>
      <c r="F472" s="8" t="s">
        <v>1419</v>
      </c>
    </row>
    <row r="473" spans="1:6" x14ac:dyDescent="0.15">
      <c r="A473" s="8" t="s">
        <v>1420</v>
      </c>
      <c r="B473" s="8" t="s">
        <v>157</v>
      </c>
      <c r="C473" s="8" t="str">
        <f t="shared" si="8"/>
        <v>att_mitocarta_pathway:autophagy</v>
      </c>
      <c r="D473" s="9" t="s">
        <v>17</v>
      </c>
      <c r="E473" s="8" t="s">
        <v>1421</v>
      </c>
      <c r="F473" s="8" t="s">
        <v>1422</v>
      </c>
    </row>
    <row r="474" spans="1:6" x14ac:dyDescent="0.15">
      <c r="A474" s="8" t="s">
        <v>1423</v>
      </c>
      <c r="B474" s="8" t="s">
        <v>157</v>
      </c>
      <c r="C474" s="8" t="str">
        <f t="shared" si="8"/>
        <v>att_mitocarta_pathway:biotin_utilizing_proteins</v>
      </c>
      <c r="D474" s="9" t="s">
        <v>17</v>
      </c>
      <c r="E474" s="8" t="s">
        <v>1424</v>
      </c>
      <c r="F474" s="8" t="s">
        <v>1425</v>
      </c>
    </row>
    <row r="475" spans="1:6" x14ac:dyDescent="0.15">
      <c r="A475" s="8" t="s">
        <v>1426</v>
      </c>
      <c r="B475" s="8" t="s">
        <v>157</v>
      </c>
      <c r="C475" s="8" t="str">
        <f t="shared" si="8"/>
        <v>att_mitocarta_pathway:branched_chain_amino_acid_dehydrogenase_complex</v>
      </c>
      <c r="D475" s="9" t="s">
        <v>17</v>
      </c>
      <c r="E475" s="8" t="s">
        <v>1427</v>
      </c>
      <c r="F475" s="8" t="s">
        <v>1428</v>
      </c>
    </row>
    <row r="476" spans="1:6" x14ac:dyDescent="0.15">
      <c r="A476" s="8" t="s">
        <v>1429</v>
      </c>
      <c r="B476" s="8" t="s">
        <v>157</v>
      </c>
      <c r="C476" s="8" t="str">
        <f t="shared" si="8"/>
        <v>att_mitocarta_pathway:branched_chain_amino_acid_metabolism</v>
      </c>
      <c r="D476" s="9" t="s">
        <v>17</v>
      </c>
      <c r="E476" s="8" t="s">
        <v>1430</v>
      </c>
      <c r="F476" s="8" t="s">
        <v>1431</v>
      </c>
    </row>
    <row r="477" spans="1:6" x14ac:dyDescent="0.15">
      <c r="A477" s="8" t="s">
        <v>1432</v>
      </c>
      <c r="B477" s="8" t="s">
        <v>157</v>
      </c>
      <c r="C477" s="8" t="str">
        <f t="shared" si="8"/>
        <v>att_mitocarta_pathway:calcium_cycle</v>
      </c>
      <c r="D477" s="9" t="s">
        <v>17</v>
      </c>
      <c r="E477" s="8" t="s">
        <v>1433</v>
      </c>
      <c r="F477" s="8" t="s">
        <v>1434</v>
      </c>
    </row>
    <row r="478" spans="1:6" x14ac:dyDescent="0.15">
      <c r="A478" s="8" t="s">
        <v>1435</v>
      </c>
      <c r="B478" s="8" t="s">
        <v>157</v>
      </c>
      <c r="C478" s="8" t="str">
        <f t="shared" si="8"/>
        <v>att_mitocarta_pathway:calcium_homeostasis</v>
      </c>
      <c r="D478" s="9" t="s">
        <v>17</v>
      </c>
      <c r="E478" s="8" t="s">
        <v>1436</v>
      </c>
      <c r="F478" s="8" t="s">
        <v>1437</v>
      </c>
    </row>
    <row r="479" spans="1:6" x14ac:dyDescent="0.15">
      <c r="A479" s="8" t="s">
        <v>1438</v>
      </c>
      <c r="B479" s="8" t="s">
        <v>157</v>
      </c>
      <c r="C479" s="8" t="str">
        <f t="shared" si="8"/>
        <v>att_mitocarta_pathway:calcium_uniporter</v>
      </c>
      <c r="D479" s="9" t="s">
        <v>17</v>
      </c>
      <c r="E479" s="8" t="s">
        <v>1439</v>
      </c>
      <c r="F479" s="8" t="s">
        <v>1440</v>
      </c>
    </row>
    <row r="480" spans="1:6" x14ac:dyDescent="0.15">
      <c r="A480" s="8" t="s">
        <v>1441</v>
      </c>
      <c r="B480" s="8" t="s">
        <v>157</v>
      </c>
      <c r="C480" s="8" t="str">
        <f t="shared" si="8"/>
        <v>att_mitocarta_pathway:camp_pka_signaling</v>
      </c>
      <c r="D480" s="9" t="s">
        <v>17</v>
      </c>
      <c r="E480" s="8" t="s">
        <v>1442</v>
      </c>
      <c r="F480" s="8" t="s">
        <v>1443</v>
      </c>
    </row>
    <row r="481" spans="1:6" x14ac:dyDescent="0.15">
      <c r="A481" s="8" t="s">
        <v>1444</v>
      </c>
      <c r="B481" s="8" t="s">
        <v>157</v>
      </c>
      <c r="C481" s="8" t="str">
        <f t="shared" si="8"/>
        <v>att_mitocarta_pathway:carbohydrate_metabolism</v>
      </c>
      <c r="D481" s="9" t="s">
        <v>17</v>
      </c>
      <c r="E481" s="8" t="s">
        <v>1445</v>
      </c>
      <c r="F481" s="8" t="s">
        <v>1446</v>
      </c>
    </row>
    <row r="482" spans="1:6" x14ac:dyDescent="0.15">
      <c r="A482" s="8" t="s">
        <v>1447</v>
      </c>
      <c r="B482" s="8" t="s">
        <v>157</v>
      </c>
      <c r="C482" s="8" t="str">
        <f t="shared" si="8"/>
        <v>att_mitocarta_pathway:cardiolipin_synthesis</v>
      </c>
      <c r="D482" s="9" t="s">
        <v>17</v>
      </c>
      <c r="E482" s="8" t="s">
        <v>1448</v>
      </c>
      <c r="F482" s="8" t="s">
        <v>1449</v>
      </c>
    </row>
    <row r="483" spans="1:6" x14ac:dyDescent="0.15">
      <c r="A483" s="8" t="s">
        <v>1450</v>
      </c>
      <c r="B483" s="8" t="s">
        <v>157</v>
      </c>
      <c r="C483" s="8" t="str">
        <f t="shared" si="8"/>
        <v>att_mitocarta_pathway:carnitine_shuttle</v>
      </c>
      <c r="D483" s="9" t="s">
        <v>17</v>
      </c>
      <c r="E483" s="8" t="s">
        <v>1451</v>
      </c>
      <c r="F483" s="8" t="s">
        <v>1452</v>
      </c>
    </row>
    <row r="484" spans="1:6" x14ac:dyDescent="0.15">
      <c r="A484" s="8" t="s">
        <v>1453</v>
      </c>
      <c r="B484" s="8" t="s">
        <v>157</v>
      </c>
      <c r="C484" s="8" t="str">
        <f t="shared" si="8"/>
        <v>att_mitocarta_pathway:carnitine_synthesis_and_transport</v>
      </c>
      <c r="D484" s="9" t="s">
        <v>17</v>
      </c>
      <c r="E484" s="8" t="s">
        <v>1454</v>
      </c>
      <c r="F484" s="8" t="s">
        <v>1455</v>
      </c>
    </row>
    <row r="485" spans="1:6" x14ac:dyDescent="0.15">
      <c r="A485" s="8" t="s">
        <v>1456</v>
      </c>
      <c r="B485" s="8" t="s">
        <v>157</v>
      </c>
      <c r="C485" s="8" t="str">
        <f t="shared" si="8"/>
        <v>att_mitocarta_pathway:catechol_metabolism</v>
      </c>
      <c r="D485" s="9" t="s">
        <v>17</v>
      </c>
      <c r="E485" s="8" t="s">
        <v>1457</v>
      </c>
      <c r="F485" s="8" t="s">
        <v>1458</v>
      </c>
    </row>
    <row r="486" spans="1:6" x14ac:dyDescent="0.15">
      <c r="A486" s="8" t="s">
        <v>1459</v>
      </c>
      <c r="B486" s="8" t="s">
        <v>157</v>
      </c>
      <c r="C486" s="8" t="str">
        <f t="shared" si="8"/>
        <v>att_mitocarta_pathway:chaperones</v>
      </c>
      <c r="D486" s="9" t="s">
        <v>17</v>
      </c>
      <c r="E486" s="8" t="s">
        <v>1460</v>
      </c>
      <c r="F486" s="8" t="s">
        <v>1461</v>
      </c>
    </row>
    <row r="487" spans="1:6" x14ac:dyDescent="0.15">
      <c r="A487" s="8" t="s">
        <v>1462</v>
      </c>
      <c r="B487" s="8" t="s">
        <v>157</v>
      </c>
      <c r="C487" s="8" t="str">
        <f t="shared" si="8"/>
        <v>att_mitocarta_pathway:cholesterol_associated</v>
      </c>
      <c r="D487" s="9" t="s">
        <v>17</v>
      </c>
      <c r="E487" s="8" t="s">
        <v>1463</v>
      </c>
      <c r="F487" s="8" t="s">
        <v>1464</v>
      </c>
    </row>
    <row r="488" spans="1:6" x14ac:dyDescent="0.15">
      <c r="A488" s="8" t="s">
        <v>1465</v>
      </c>
      <c r="B488" s="8" t="s">
        <v>157</v>
      </c>
      <c r="C488" s="8" t="str">
        <f t="shared" si="8"/>
        <v>att_mitocarta_pathway:choline_and_betaine_metabolism</v>
      </c>
      <c r="D488" s="9" t="s">
        <v>17</v>
      </c>
      <c r="E488" s="8" t="s">
        <v>1466</v>
      </c>
      <c r="F488" s="8" t="s">
        <v>1467</v>
      </c>
    </row>
    <row r="489" spans="1:6" x14ac:dyDescent="0.15">
      <c r="A489" s="8" t="s">
        <v>1468</v>
      </c>
      <c r="B489" s="8" t="s">
        <v>157</v>
      </c>
      <c r="C489" s="8" t="str">
        <f t="shared" si="8"/>
        <v>att_mitocarta_pathway:ci_assembly_factors</v>
      </c>
      <c r="D489" s="9" t="s">
        <v>17</v>
      </c>
      <c r="E489" s="8" t="s">
        <v>1469</v>
      </c>
      <c r="F489" s="8" t="s">
        <v>1470</v>
      </c>
    </row>
    <row r="490" spans="1:6" x14ac:dyDescent="0.15">
      <c r="A490" s="8" t="s">
        <v>1471</v>
      </c>
      <c r="B490" s="8" t="s">
        <v>157</v>
      </c>
      <c r="C490" s="8" t="str">
        <f t="shared" si="8"/>
        <v>att_mitocarta_pathway:ci_subunits</v>
      </c>
      <c r="D490" s="9" t="s">
        <v>17</v>
      </c>
      <c r="E490" s="8" t="s">
        <v>1472</v>
      </c>
      <c r="F490" s="8" t="s">
        <v>1473</v>
      </c>
    </row>
    <row r="491" spans="1:6" x14ac:dyDescent="0.15">
      <c r="A491" s="8" t="s">
        <v>1474</v>
      </c>
      <c r="B491" s="8" t="s">
        <v>157</v>
      </c>
      <c r="C491" s="8" t="str">
        <f t="shared" si="8"/>
        <v>att_mitocarta_pathway:cii_assembly_factors</v>
      </c>
      <c r="D491" s="9" t="s">
        <v>17</v>
      </c>
      <c r="E491" s="8" t="s">
        <v>1475</v>
      </c>
      <c r="F491" s="8" t="s">
        <v>1476</v>
      </c>
    </row>
    <row r="492" spans="1:6" x14ac:dyDescent="0.15">
      <c r="A492" s="8" t="s">
        <v>1477</v>
      </c>
      <c r="B492" s="8" t="s">
        <v>157</v>
      </c>
      <c r="C492" s="8" t="str">
        <f t="shared" si="8"/>
        <v>att_mitocarta_pathway:cii_subunits</v>
      </c>
      <c r="D492" s="9" t="s">
        <v>17</v>
      </c>
      <c r="E492" s="8" t="s">
        <v>1478</v>
      </c>
      <c r="F492" s="8" t="s">
        <v>1479</v>
      </c>
    </row>
    <row r="493" spans="1:6" x14ac:dyDescent="0.15">
      <c r="A493" s="8" t="s">
        <v>1480</v>
      </c>
      <c r="B493" s="8" t="s">
        <v>157</v>
      </c>
      <c r="C493" s="8" t="str">
        <f t="shared" si="8"/>
        <v>att_mitocarta_pathway:ciii_assembly_factors</v>
      </c>
      <c r="D493" s="9" t="s">
        <v>17</v>
      </c>
      <c r="E493" s="8" t="s">
        <v>1481</v>
      </c>
      <c r="F493" s="8" t="s">
        <v>1482</v>
      </c>
    </row>
    <row r="494" spans="1:6" x14ac:dyDescent="0.15">
      <c r="A494" s="8" t="s">
        <v>1483</v>
      </c>
      <c r="B494" s="8" t="s">
        <v>157</v>
      </c>
      <c r="C494" s="8" t="str">
        <f t="shared" si="8"/>
        <v>att_mitocarta_pathway:ciii_subunits</v>
      </c>
      <c r="D494" s="9" t="s">
        <v>17</v>
      </c>
      <c r="E494" s="8" t="s">
        <v>1484</v>
      </c>
      <c r="F494" s="8" t="s">
        <v>1485</v>
      </c>
    </row>
    <row r="495" spans="1:6" x14ac:dyDescent="0.15">
      <c r="A495" s="8" t="s">
        <v>1486</v>
      </c>
      <c r="B495" s="8" t="s">
        <v>157</v>
      </c>
      <c r="C495" s="8" t="str">
        <f t="shared" si="8"/>
        <v>att_mitocarta_pathway:civ_assembly_factors</v>
      </c>
      <c r="D495" s="9" t="s">
        <v>17</v>
      </c>
      <c r="E495" s="8" t="s">
        <v>1487</v>
      </c>
      <c r="F495" s="8" t="s">
        <v>1488</v>
      </c>
    </row>
    <row r="496" spans="1:6" x14ac:dyDescent="0.15">
      <c r="A496" s="8" t="s">
        <v>1489</v>
      </c>
      <c r="B496" s="8" t="s">
        <v>157</v>
      </c>
      <c r="C496" s="8" t="str">
        <f t="shared" si="8"/>
        <v>att_mitocarta_pathway:civ_subunits</v>
      </c>
      <c r="D496" s="9" t="s">
        <v>17</v>
      </c>
      <c r="E496" s="8" t="s">
        <v>1490</v>
      </c>
      <c r="F496" s="8" t="s">
        <v>1491</v>
      </c>
    </row>
    <row r="497" spans="1:6" x14ac:dyDescent="0.15">
      <c r="A497" s="8" t="s">
        <v>1492</v>
      </c>
      <c r="B497" s="8" t="s">
        <v>157</v>
      </c>
      <c r="C497" s="8" t="str">
        <f t="shared" ref="C497:C560" si="14">B497&amp;":"&amp;A497</f>
        <v>att_mitocarta_pathway:coenzyme_a_metabolism</v>
      </c>
      <c r="D497" s="9" t="s">
        <v>17</v>
      </c>
      <c r="E497" s="8" t="s">
        <v>1493</v>
      </c>
      <c r="F497" s="8" t="s">
        <v>1494</v>
      </c>
    </row>
    <row r="498" spans="1:6" x14ac:dyDescent="0.15">
      <c r="A498" s="8" t="s">
        <v>1495</v>
      </c>
      <c r="B498" s="8" t="s">
        <v>157</v>
      </c>
      <c r="C498" s="8" t="str">
        <f t="shared" si="14"/>
        <v>att_mitocarta_pathway:coenzyme_q_metabolism</v>
      </c>
      <c r="D498" s="9" t="s">
        <v>17</v>
      </c>
      <c r="E498" s="8" t="s">
        <v>1496</v>
      </c>
      <c r="F498" s="8" t="s">
        <v>1497</v>
      </c>
    </row>
    <row r="499" spans="1:6" x14ac:dyDescent="0.15">
      <c r="A499" s="8" t="s">
        <v>1498</v>
      </c>
      <c r="B499" s="8" t="s">
        <v>157</v>
      </c>
      <c r="C499" s="8" t="str">
        <f t="shared" si="14"/>
        <v>att_mitocarta_pathway:complex_i</v>
      </c>
      <c r="D499" s="9" t="s">
        <v>17</v>
      </c>
      <c r="E499" s="8" t="s">
        <v>1499</v>
      </c>
      <c r="F499" s="8" t="s">
        <v>1500</v>
      </c>
    </row>
    <row r="500" spans="1:6" x14ac:dyDescent="0.15">
      <c r="A500" s="8" t="s">
        <v>1501</v>
      </c>
      <c r="B500" s="8" t="s">
        <v>157</v>
      </c>
      <c r="C500" s="8" t="str">
        <f t="shared" si="14"/>
        <v>att_mitocarta_pathway:complex_ii</v>
      </c>
      <c r="D500" s="9" t="s">
        <v>17</v>
      </c>
      <c r="E500" s="8" t="s">
        <v>1502</v>
      </c>
      <c r="F500" s="8" t="s">
        <v>1503</v>
      </c>
    </row>
    <row r="501" spans="1:6" x14ac:dyDescent="0.15">
      <c r="A501" s="8" t="s">
        <v>1504</v>
      </c>
      <c r="B501" s="8" t="s">
        <v>157</v>
      </c>
      <c r="C501" s="8" t="str">
        <f t="shared" si="14"/>
        <v>att_mitocarta_pathway:complex_iii</v>
      </c>
      <c r="D501" s="9" t="s">
        <v>17</v>
      </c>
      <c r="E501" s="8" t="s">
        <v>1505</v>
      </c>
      <c r="F501" s="8" t="s">
        <v>1506</v>
      </c>
    </row>
    <row r="502" spans="1:6" x14ac:dyDescent="0.15">
      <c r="A502" s="8" t="s">
        <v>1507</v>
      </c>
      <c r="B502" s="8" t="s">
        <v>157</v>
      </c>
      <c r="C502" s="8" t="str">
        <f t="shared" si="14"/>
        <v>att_mitocarta_pathway:complex_iv</v>
      </c>
      <c r="D502" s="9" t="s">
        <v>17</v>
      </c>
      <c r="E502" s="8" t="s">
        <v>1508</v>
      </c>
      <c r="F502" s="8" t="s">
        <v>1509</v>
      </c>
    </row>
    <row r="503" spans="1:6" x14ac:dyDescent="0.15">
      <c r="A503" s="8" t="s">
        <v>1510</v>
      </c>
      <c r="B503" s="8" t="s">
        <v>157</v>
      </c>
      <c r="C503" s="8" t="str">
        <f t="shared" si="14"/>
        <v>att_mitocarta_pathway:complex_v</v>
      </c>
      <c r="D503" s="9" t="s">
        <v>17</v>
      </c>
      <c r="E503" s="8" t="s">
        <v>1511</v>
      </c>
      <c r="F503" s="8" t="s">
        <v>1512</v>
      </c>
    </row>
    <row r="504" spans="1:6" x14ac:dyDescent="0.15">
      <c r="A504" s="8" t="s">
        <v>1513</v>
      </c>
      <c r="B504" s="8" t="s">
        <v>157</v>
      </c>
      <c r="C504" s="8" t="str">
        <f t="shared" si="14"/>
        <v>att_mitocarta_pathway:copper_metabolism</v>
      </c>
      <c r="D504" s="9" t="s">
        <v>17</v>
      </c>
      <c r="E504" s="8" t="s">
        <v>1514</v>
      </c>
      <c r="F504" s="8" t="s">
        <v>1515</v>
      </c>
    </row>
    <row r="505" spans="1:6" x14ac:dyDescent="0.15">
      <c r="A505" s="8" t="s">
        <v>1516</v>
      </c>
      <c r="B505" s="8" t="s">
        <v>157</v>
      </c>
      <c r="C505" s="8" t="str">
        <f t="shared" si="14"/>
        <v>att_mitocarta_pathway:creatine_metabolism</v>
      </c>
      <c r="D505" s="9" t="s">
        <v>17</v>
      </c>
      <c r="E505" s="8" t="s">
        <v>1517</v>
      </c>
      <c r="F505" s="8" t="s">
        <v>1518</v>
      </c>
    </row>
    <row r="506" spans="1:6" x14ac:dyDescent="0.15">
      <c r="A506" s="8" t="s">
        <v>1519</v>
      </c>
      <c r="B506" s="8" t="s">
        <v>157</v>
      </c>
      <c r="C506" s="8" t="str">
        <f t="shared" si="14"/>
        <v>att_mitocarta_pathway:cristae_formation</v>
      </c>
      <c r="D506" s="9" t="s">
        <v>17</v>
      </c>
      <c r="E506" s="8" t="s">
        <v>1520</v>
      </c>
      <c r="F506" s="8" t="s">
        <v>1521</v>
      </c>
    </row>
    <row r="507" spans="1:6" x14ac:dyDescent="0.15">
      <c r="A507" s="8" t="s">
        <v>1522</v>
      </c>
      <c r="B507" s="8" t="s">
        <v>157</v>
      </c>
      <c r="C507" s="8" t="str">
        <f t="shared" si="14"/>
        <v>att_mitocarta_pathway:cv_assembly_factors</v>
      </c>
      <c r="D507" s="9" t="s">
        <v>17</v>
      </c>
      <c r="E507" s="8" t="s">
        <v>1523</v>
      </c>
      <c r="F507" s="8" t="s">
        <v>1524</v>
      </c>
    </row>
    <row r="508" spans="1:6" x14ac:dyDescent="0.15">
      <c r="A508" s="8" t="s">
        <v>1525</v>
      </c>
      <c r="B508" s="8" t="s">
        <v>157</v>
      </c>
      <c r="C508" s="8" t="str">
        <f t="shared" si="14"/>
        <v>att_mitocarta_pathway:cv_subunits</v>
      </c>
      <c r="D508" s="9" t="s">
        <v>17</v>
      </c>
      <c r="E508" s="8" t="s">
        <v>1526</v>
      </c>
      <c r="F508" s="8" t="s">
        <v>1527</v>
      </c>
    </row>
    <row r="509" spans="1:6" x14ac:dyDescent="0.15">
      <c r="A509" s="8" t="s">
        <v>1528</v>
      </c>
      <c r="B509" s="8" t="s">
        <v>157</v>
      </c>
      <c r="C509" s="8" t="str">
        <f t="shared" si="14"/>
        <v>att_mitocarta_pathway:cytochrome_c</v>
      </c>
      <c r="D509" s="9" t="s">
        <v>17</v>
      </c>
      <c r="E509" s="8" t="s">
        <v>1529</v>
      </c>
      <c r="F509" s="8" t="s">
        <v>1530</v>
      </c>
    </row>
    <row r="510" spans="1:6" x14ac:dyDescent="0.15">
      <c r="A510" s="8" t="s">
        <v>1531</v>
      </c>
      <c r="B510" s="8" t="s">
        <v>157</v>
      </c>
      <c r="C510" s="8" t="str">
        <f t="shared" si="14"/>
        <v>att_mitocarta_pathway:cytochromes</v>
      </c>
      <c r="D510" s="9" t="s">
        <v>17</v>
      </c>
      <c r="E510" s="8" t="s">
        <v>1532</v>
      </c>
      <c r="F510" s="8" t="s">
        <v>1533</v>
      </c>
    </row>
    <row r="511" spans="1:6" x14ac:dyDescent="0.15">
      <c r="A511" s="8" t="s">
        <v>1534</v>
      </c>
      <c r="B511" s="8" t="s">
        <v>157</v>
      </c>
      <c r="C511" s="8" t="str">
        <f t="shared" si="14"/>
        <v>att_mitocarta_pathway:detoxification</v>
      </c>
      <c r="D511" s="9" t="s">
        <v>17</v>
      </c>
      <c r="E511" s="8" t="s">
        <v>1535</v>
      </c>
      <c r="F511" s="8" t="s">
        <v>1536</v>
      </c>
    </row>
    <row r="512" spans="1:6" x14ac:dyDescent="0.15">
      <c r="A512" s="8" t="s">
        <v>1537</v>
      </c>
      <c r="B512" s="8" t="s">
        <v>157</v>
      </c>
      <c r="C512" s="8" t="str">
        <f t="shared" si="14"/>
        <v>att_mitocarta_pathway:ef_hand_proteins</v>
      </c>
      <c r="D512" s="9" t="s">
        <v>17</v>
      </c>
      <c r="E512" s="8" t="s">
        <v>1538</v>
      </c>
      <c r="F512" s="8" t="s">
        <v>1539</v>
      </c>
    </row>
    <row r="513" spans="1:6" x14ac:dyDescent="0.15">
      <c r="A513" s="8" t="s">
        <v>1540</v>
      </c>
      <c r="B513" s="8" t="s">
        <v>157</v>
      </c>
      <c r="C513" s="8" t="str">
        <f t="shared" si="14"/>
        <v>att_mitocarta_pathway:eicosanoid_metabolism</v>
      </c>
      <c r="D513" s="9" t="s">
        <v>17</v>
      </c>
      <c r="E513" s="8" t="s">
        <v>1541</v>
      </c>
      <c r="F513" s="8" t="s">
        <v>1542</v>
      </c>
    </row>
    <row r="514" spans="1:6" x14ac:dyDescent="0.15">
      <c r="A514" s="8" t="s">
        <v>1543</v>
      </c>
      <c r="B514" s="8" t="s">
        <v>157</v>
      </c>
      <c r="C514" s="8" t="str">
        <f t="shared" si="14"/>
        <v>att_mitocarta_pathway:electron_carriers</v>
      </c>
      <c r="D514" s="9" t="s">
        <v>17</v>
      </c>
      <c r="E514" s="8" t="s">
        <v>1544</v>
      </c>
      <c r="F514" s="8" t="s">
        <v>1545</v>
      </c>
    </row>
    <row r="515" spans="1:6" x14ac:dyDescent="0.15">
      <c r="A515" s="8" t="s">
        <v>1546</v>
      </c>
      <c r="B515" s="8" t="s">
        <v>157</v>
      </c>
      <c r="C515" s="8" t="str">
        <f t="shared" si="14"/>
        <v>att_mitocarta_pathway:fatty_acid_oxidation</v>
      </c>
      <c r="D515" s="9" t="s">
        <v>17</v>
      </c>
      <c r="E515" s="8" t="s">
        <v>1547</v>
      </c>
      <c r="F515" s="8" t="s">
        <v>1548</v>
      </c>
    </row>
    <row r="516" spans="1:6" x14ac:dyDescent="0.15">
      <c r="A516" s="8" t="s">
        <v>1549</v>
      </c>
      <c r="B516" s="8" t="s">
        <v>157</v>
      </c>
      <c r="C516" s="8" t="str">
        <f t="shared" si="14"/>
        <v>att_mitocarta_pathway:fe_s_cluster_biosynthesis</v>
      </c>
      <c r="D516" s="9" t="s">
        <v>17</v>
      </c>
      <c r="E516" s="8" t="s">
        <v>1550</v>
      </c>
      <c r="F516" s="8" t="s">
        <v>1551</v>
      </c>
    </row>
    <row r="517" spans="1:6" x14ac:dyDescent="0.15">
      <c r="A517" s="8" t="s">
        <v>1552</v>
      </c>
      <c r="B517" s="8" t="s">
        <v>157</v>
      </c>
      <c r="C517" s="8" t="str">
        <f t="shared" si="14"/>
        <v>att_mitocarta_pathway:fe_s_containing_proteins</v>
      </c>
      <c r="D517" s="9" t="s">
        <v>17</v>
      </c>
      <c r="E517" s="8" t="s">
        <v>1553</v>
      </c>
      <c r="F517" s="8" t="s">
        <v>1554</v>
      </c>
    </row>
    <row r="518" spans="1:6" x14ac:dyDescent="0.15">
      <c r="A518" s="8" t="s">
        <v>1555</v>
      </c>
      <c r="B518" s="8" t="s">
        <v>157</v>
      </c>
      <c r="C518" s="8" t="str">
        <f t="shared" si="14"/>
        <v>att_mitocarta_pathway:fission</v>
      </c>
      <c r="D518" s="9" t="s">
        <v>17</v>
      </c>
      <c r="E518" s="8" t="s">
        <v>1556</v>
      </c>
      <c r="F518" s="8" t="s">
        <v>1557</v>
      </c>
    </row>
    <row r="519" spans="1:6" x14ac:dyDescent="0.15">
      <c r="A519" s="8" t="s">
        <v>1558</v>
      </c>
      <c r="B519" s="8" t="s">
        <v>157</v>
      </c>
      <c r="C519" s="8" t="str">
        <f t="shared" si="14"/>
        <v>att_mitocarta_pathway:fmet_processing</v>
      </c>
      <c r="D519" s="9" t="s">
        <v>17</v>
      </c>
      <c r="E519" s="8" t="s">
        <v>1559</v>
      </c>
      <c r="F519" s="8" t="s">
        <v>1560</v>
      </c>
    </row>
    <row r="520" spans="1:6" x14ac:dyDescent="0.15">
      <c r="A520" s="8" t="s">
        <v>1561</v>
      </c>
      <c r="B520" s="8" t="s">
        <v>157</v>
      </c>
      <c r="C520" s="8" t="str">
        <f t="shared" si="14"/>
        <v>att_mitocarta_pathway:folate_and_1_c_metabolism</v>
      </c>
      <c r="D520" s="9" t="s">
        <v>17</v>
      </c>
      <c r="E520" s="8" t="s">
        <v>1562</v>
      </c>
      <c r="F520" s="8" t="s">
        <v>1563</v>
      </c>
    </row>
    <row r="521" spans="1:6" x14ac:dyDescent="0.15">
      <c r="A521" s="8" t="s">
        <v>1564</v>
      </c>
      <c r="B521" s="8" t="s">
        <v>157</v>
      </c>
      <c r="C521" s="8" t="str">
        <f t="shared" si="14"/>
        <v>att_mitocarta_pathway:fusion</v>
      </c>
      <c r="D521" s="9" t="s">
        <v>17</v>
      </c>
      <c r="E521" s="8" t="s">
        <v>1565</v>
      </c>
      <c r="F521" s="8" t="s">
        <v>1566</v>
      </c>
    </row>
    <row r="522" spans="1:6" x14ac:dyDescent="0.15">
      <c r="A522" s="8" t="s">
        <v>1567</v>
      </c>
      <c r="B522" s="8" t="s">
        <v>157</v>
      </c>
      <c r="C522" s="8" t="str">
        <f t="shared" si="14"/>
        <v>att_mitocarta_pathway:gaba_metabolism</v>
      </c>
      <c r="D522" s="9" t="s">
        <v>17</v>
      </c>
      <c r="E522" s="8" t="s">
        <v>1568</v>
      </c>
      <c r="F522" s="8" t="s">
        <v>1569</v>
      </c>
    </row>
    <row r="523" spans="1:6" x14ac:dyDescent="0.15">
      <c r="A523" s="8" t="s">
        <v>1570</v>
      </c>
      <c r="B523" s="8" t="s">
        <v>157</v>
      </c>
      <c r="C523" s="8" t="str">
        <f t="shared" si="14"/>
        <v>att_mitocarta_pathway:gluconeogenesis</v>
      </c>
      <c r="D523" s="9" t="s">
        <v>17</v>
      </c>
      <c r="E523" s="8" t="s">
        <v>1571</v>
      </c>
      <c r="F523" s="8" t="s">
        <v>1572</v>
      </c>
    </row>
    <row r="524" spans="1:6" x14ac:dyDescent="0.15">
      <c r="A524" s="8" t="s">
        <v>1573</v>
      </c>
      <c r="B524" s="8" t="s">
        <v>157</v>
      </c>
      <c r="C524" s="8" t="str">
        <f t="shared" si="14"/>
        <v>att_mitocarta_pathway:glutamate_metabolism</v>
      </c>
      <c r="D524" s="9" t="s">
        <v>17</v>
      </c>
      <c r="E524" s="8" t="s">
        <v>1574</v>
      </c>
      <c r="F524" s="8" t="s">
        <v>1575</v>
      </c>
    </row>
    <row r="525" spans="1:6" x14ac:dyDescent="0.15">
      <c r="A525" s="8" t="s">
        <v>1576</v>
      </c>
      <c r="B525" s="8" t="s">
        <v>157</v>
      </c>
      <c r="C525" s="8" t="str">
        <f t="shared" si="14"/>
        <v>att_mitocarta_pathway:glycerol_phosphate_shuttle</v>
      </c>
      <c r="D525" s="9" t="s">
        <v>17</v>
      </c>
      <c r="E525" s="8" t="s">
        <v>1577</v>
      </c>
      <c r="F525" s="8" t="s">
        <v>1578</v>
      </c>
    </row>
    <row r="526" spans="1:6" x14ac:dyDescent="0.15">
      <c r="A526" s="8" t="s">
        <v>1579</v>
      </c>
      <c r="B526" s="8" t="s">
        <v>157</v>
      </c>
      <c r="C526" s="8" t="str">
        <f t="shared" si="14"/>
        <v>att_mitocarta_pathway:glycine_cleavage_system</v>
      </c>
      <c r="D526" s="9" t="s">
        <v>17</v>
      </c>
      <c r="E526" s="8" t="s">
        <v>1580</v>
      </c>
      <c r="F526" s="8" t="s">
        <v>1581</v>
      </c>
    </row>
    <row r="527" spans="1:6" x14ac:dyDescent="0.15">
      <c r="A527" s="8" t="s">
        <v>1582</v>
      </c>
      <c r="B527" s="8" t="s">
        <v>157</v>
      </c>
      <c r="C527" s="8" t="str">
        <f t="shared" si="14"/>
        <v>att_mitocarta_pathway:glycine_metabolism</v>
      </c>
      <c r="D527" s="9" t="s">
        <v>17</v>
      </c>
      <c r="E527" s="8" t="s">
        <v>1583</v>
      </c>
      <c r="F527" s="8" t="s">
        <v>1584</v>
      </c>
    </row>
    <row r="528" spans="1:6" x14ac:dyDescent="0.15">
      <c r="A528" s="8" t="s">
        <v>1585</v>
      </c>
      <c r="B528" s="8" t="s">
        <v>157</v>
      </c>
      <c r="C528" s="8" t="str">
        <f t="shared" si="14"/>
        <v>att_mitocarta_pathway:glyoxylate_metabolism</v>
      </c>
      <c r="D528" s="9" t="s">
        <v>17</v>
      </c>
      <c r="E528" s="8" t="s">
        <v>1586</v>
      </c>
      <c r="F528" s="8" t="s">
        <v>1587</v>
      </c>
    </row>
    <row r="529" spans="1:6" x14ac:dyDescent="0.15">
      <c r="A529" s="8" t="s">
        <v>1588</v>
      </c>
      <c r="B529" s="8" t="s">
        <v>157</v>
      </c>
      <c r="C529" s="8" t="str">
        <f t="shared" si="14"/>
        <v>att_mitocarta_pathway:heme_containing_proteins</v>
      </c>
      <c r="D529" s="9" t="s">
        <v>17</v>
      </c>
      <c r="E529" s="8" t="s">
        <v>1589</v>
      </c>
      <c r="F529" s="8" t="s">
        <v>1590</v>
      </c>
    </row>
    <row r="530" spans="1:6" x14ac:dyDescent="0.15">
      <c r="A530" s="8" t="s">
        <v>1591</v>
      </c>
      <c r="B530" s="8" t="s">
        <v>157</v>
      </c>
      <c r="C530" s="8" t="str">
        <f t="shared" si="14"/>
        <v>att_mitocarta_pathway:heme_synthesis_and_processing</v>
      </c>
      <c r="D530" s="9" t="s">
        <v>17</v>
      </c>
      <c r="E530" s="8" t="s">
        <v>1592</v>
      </c>
      <c r="F530" s="8" t="s">
        <v>1593</v>
      </c>
    </row>
    <row r="531" spans="1:6" x14ac:dyDescent="0.15">
      <c r="A531" s="8" t="s">
        <v>1594</v>
      </c>
      <c r="B531" s="8" t="s">
        <v>157</v>
      </c>
      <c r="C531" s="8" t="str">
        <f t="shared" si="14"/>
        <v>att_mitocarta_pathway:immune_response</v>
      </c>
      <c r="D531" s="9" t="s">
        <v>17</v>
      </c>
      <c r="E531" s="8" t="s">
        <v>1595</v>
      </c>
      <c r="F531" s="8" t="s">
        <v>1596</v>
      </c>
    </row>
    <row r="532" spans="1:6" x14ac:dyDescent="0.15">
      <c r="A532" s="8" t="s">
        <v>1597</v>
      </c>
      <c r="B532" s="8" t="s">
        <v>157</v>
      </c>
      <c r="C532" s="8" t="str">
        <f t="shared" si="14"/>
        <v>att_mitocarta_pathway:import_motor</v>
      </c>
      <c r="D532" s="9" t="s">
        <v>17</v>
      </c>
      <c r="E532" s="8" t="s">
        <v>1598</v>
      </c>
      <c r="F532" s="8" t="s">
        <v>1599</v>
      </c>
    </row>
    <row r="533" spans="1:6" x14ac:dyDescent="0.15">
      <c r="A533" s="8" t="s">
        <v>1600</v>
      </c>
      <c r="B533" s="8" t="s">
        <v>157</v>
      </c>
      <c r="C533" s="8" t="str">
        <f t="shared" si="14"/>
        <v>att_mitocarta_pathway:intramitochondrial_membrane_interactions</v>
      </c>
      <c r="D533" s="9" t="s">
        <v>17</v>
      </c>
      <c r="E533" s="8" t="s">
        <v>1601</v>
      </c>
      <c r="F533" s="8" t="s">
        <v>1602</v>
      </c>
    </row>
    <row r="534" spans="1:6" x14ac:dyDescent="0.15">
      <c r="A534" s="8" t="s">
        <v>1603</v>
      </c>
      <c r="B534" s="8" t="s">
        <v>157</v>
      </c>
      <c r="C534" s="8" t="str">
        <f t="shared" si="14"/>
        <v>att_mitocarta_pathway:iron_homeostasis</v>
      </c>
      <c r="D534" s="9" t="s">
        <v>17</v>
      </c>
      <c r="E534" s="8" t="s">
        <v>1604</v>
      </c>
      <c r="F534" s="8" t="s">
        <v>1605</v>
      </c>
    </row>
    <row r="535" spans="1:6" x14ac:dyDescent="0.15">
      <c r="A535" s="8" t="s">
        <v>1606</v>
      </c>
      <c r="B535" s="8" t="s">
        <v>157</v>
      </c>
      <c r="C535" s="8" t="str">
        <f t="shared" si="14"/>
        <v>att_mitocarta_pathway:itaconate_metabolism</v>
      </c>
      <c r="D535" s="9" t="s">
        <v>17</v>
      </c>
      <c r="E535" s="8" t="s">
        <v>1607</v>
      </c>
      <c r="F535" s="8" t="s">
        <v>1608</v>
      </c>
    </row>
    <row r="536" spans="1:6" x14ac:dyDescent="0.15">
      <c r="A536" s="8" t="s">
        <v>1609</v>
      </c>
      <c r="B536" s="8" t="s">
        <v>157</v>
      </c>
      <c r="C536" s="8" t="str">
        <f t="shared" si="14"/>
        <v>att_mitocarta_pathway:ketone_metabolism</v>
      </c>
      <c r="D536" s="9" t="s">
        <v>17</v>
      </c>
      <c r="E536" s="8" t="s">
        <v>1610</v>
      </c>
      <c r="F536" s="8" t="s">
        <v>1611</v>
      </c>
    </row>
    <row r="537" spans="1:6" x14ac:dyDescent="0.15">
      <c r="A537" s="8" t="s">
        <v>1612</v>
      </c>
      <c r="B537" s="8" t="s">
        <v>157</v>
      </c>
      <c r="C537" s="8" t="str">
        <f t="shared" si="14"/>
        <v>att_mitocarta_pathway:kynurenine_metabolism</v>
      </c>
      <c r="D537" s="9" t="s">
        <v>17</v>
      </c>
      <c r="E537" s="8" t="s">
        <v>1613</v>
      </c>
      <c r="F537" s="8" t="s">
        <v>1614</v>
      </c>
    </row>
    <row r="538" spans="1:6" x14ac:dyDescent="0.15">
      <c r="A538" s="8" t="s">
        <v>1615</v>
      </c>
      <c r="B538" s="8" t="s">
        <v>157</v>
      </c>
      <c r="C538" s="8" t="str">
        <f t="shared" si="14"/>
        <v>att_mitocarta_pathway:lipid_metabolism</v>
      </c>
      <c r="D538" s="9" t="s">
        <v>17</v>
      </c>
      <c r="E538" s="8" t="s">
        <v>1616</v>
      </c>
      <c r="F538" s="8" t="s">
        <v>1617</v>
      </c>
    </row>
    <row r="539" spans="1:6" x14ac:dyDescent="0.15">
      <c r="A539" s="8" t="s">
        <v>1618</v>
      </c>
      <c r="B539" s="8" t="s">
        <v>157</v>
      </c>
      <c r="C539" s="8" t="str">
        <f t="shared" si="14"/>
        <v>att_mitocarta_pathway:lipoate_insertion</v>
      </c>
      <c r="D539" s="9" t="s">
        <v>17</v>
      </c>
      <c r="E539" s="8" t="s">
        <v>1619</v>
      </c>
      <c r="F539" s="8" t="s">
        <v>1620</v>
      </c>
    </row>
    <row r="540" spans="1:6" x14ac:dyDescent="0.15">
      <c r="A540" s="8" t="s">
        <v>1621</v>
      </c>
      <c r="B540" s="8" t="s">
        <v>157</v>
      </c>
      <c r="C540" s="8" t="str">
        <f t="shared" si="14"/>
        <v>att_mitocarta_pathway:lysine_metabolism</v>
      </c>
      <c r="D540" s="9" t="s">
        <v>17</v>
      </c>
      <c r="E540" s="8" t="s">
        <v>1622</v>
      </c>
      <c r="F540" s="8" t="s">
        <v>1623</v>
      </c>
    </row>
    <row r="541" spans="1:6" x14ac:dyDescent="0.15">
      <c r="A541" s="8" t="s">
        <v>1624</v>
      </c>
      <c r="B541" s="8" t="s">
        <v>157</v>
      </c>
      <c r="C541" s="8" t="str">
        <f t="shared" si="14"/>
        <v>att_mitocarta_pathway:malate_aspartate_shuttle</v>
      </c>
      <c r="D541" s="9" t="s">
        <v>17</v>
      </c>
      <c r="E541" s="8" t="s">
        <v>1625</v>
      </c>
      <c r="F541" s="8" t="s">
        <v>1626</v>
      </c>
    </row>
    <row r="542" spans="1:6" x14ac:dyDescent="0.15">
      <c r="A542" s="8" t="s">
        <v>1627</v>
      </c>
      <c r="B542" s="8" t="s">
        <v>157</v>
      </c>
      <c r="C542" s="8" t="str">
        <f t="shared" si="14"/>
        <v>att_mitocarta_pathway:metabolism</v>
      </c>
      <c r="D542" s="9" t="s">
        <v>17</v>
      </c>
      <c r="E542" s="8" t="s">
        <v>1628</v>
      </c>
      <c r="F542" s="8" t="s">
        <v>1628</v>
      </c>
    </row>
    <row r="543" spans="1:6" x14ac:dyDescent="0.15">
      <c r="A543" s="8" t="s">
        <v>1629</v>
      </c>
      <c r="B543" s="8" t="s">
        <v>157</v>
      </c>
      <c r="C543" s="8" t="str">
        <f t="shared" si="14"/>
        <v>att_mitocarta_pathway:metals_and_cofactors</v>
      </c>
      <c r="D543" s="9" t="s">
        <v>17</v>
      </c>
      <c r="E543" s="8" t="s">
        <v>1630</v>
      </c>
      <c r="F543" s="8" t="s">
        <v>1631</v>
      </c>
    </row>
    <row r="544" spans="1:6" x14ac:dyDescent="0.15">
      <c r="A544" s="8" t="s">
        <v>1632</v>
      </c>
      <c r="B544" s="8" t="s">
        <v>157</v>
      </c>
      <c r="C544" s="8" t="str">
        <f t="shared" si="14"/>
        <v>att_mitocarta_pathway:mia40</v>
      </c>
      <c r="D544" s="9" t="s">
        <v>17</v>
      </c>
      <c r="E544" s="8" t="s">
        <v>1633</v>
      </c>
      <c r="F544" s="8" t="s">
        <v>1634</v>
      </c>
    </row>
    <row r="545" spans="1:6" x14ac:dyDescent="0.15">
      <c r="A545" s="8" t="s">
        <v>1635</v>
      </c>
      <c r="B545" s="8" t="s">
        <v>157</v>
      </c>
      <c r="C545" s="8" t="str">
        <f t="shared" si="14"/>
        <v>att_mitocarta_pathway:micos_complex</v>
      </c>
      <c r="D545" s="9" t="s">
        <v>17</v>
      </c>
      <c r="E545" s="8" t="s">
        <v>1636</v>
      </c>
      <c r="F545" s="8" t="s">
        <v>1637</v>
      </c>
    </row>
    <row r="546" spans="1:6" x14ac:dyDescent="0.15">
      <c r="A546" s="8" t="s">
        <v>1638</v>
      </c>
      <c r="B546" s="8" t="s">
        <v>157</v>
      </c>
      <c r="C546" s="8" t="str">
        <f t="shared" si="14"/>
        <v>att_mitocarta_pathway:mitochondrial_dynamics_and_surveillance</v>
      </c>
      <c r="D546" s="9" t="s">
        <v>17</v>
      </c>
      <c r="E546" s="8" t="s">
        <v>1639</v>
      </c>
      <c r="F546" s="8" t="s">
        <v>1639</v>
      </c>
    </row>
    <row r="547" spans="1:6" x14ac:dyDescent="0.15">
      <c r="A547" s="8" t="s">
        <v>1640</v>
      </c>
      <c r="B547" s="8" t="s">
        <v>157</v>
      </c>
      <c r="C547" s="8" t="str">
        <f t="shared" si="14"/>
        <v>att_mitocarta_pathway:mitochondrial_permeability_transition_pore</v>
      </c>
      <c r="D547" s="9" t="s">
        <v>17</v>
      </c>
      <c r="E547" s="8" t="s">
        <v>1641</v>
      </c>
      <c r="F547" s="8" t="s">
        <v>1642</v>
      </c>
    </row>
    <row r="548" spans="1:6" x14ac:dyDescent="0.15">
      <c r="A548" s="8" t="s">
        <v>1643</v>
      </c>
      <c r="B548" s="8" t="s">
        <v>157</v>
      </c>
      <c r="C548" s="8" t="str">
        <f t="shared" si="14"/>
        <v>att_mitocarta_pathway:mitochondrial_ribosome</v>
      </c>
      <c r="D548" s="9" t="s">
        <v>17</v>
      </c>
      <c r="E548" s="8" t="s">
        <v>1644</v>
      </c>
      <c r="F548" s="8" t="s">
        <v>1645</v>
      </c>
    </row>
    <row r="549" spans="1:6" x14ac:dyDescent="0.15">
      <c r="A549" s="8" t="s">
        <v>1646</v>
      </c>
      <c r="B549" s="8" t="s">
        <v>157</v>
      </c>
      <c r="C549" s="8" t="str">
        <f t="shared" si="14"/>
        <v>att_mitocarta_pathway:mitochondrial_ribosome_assembly</v>
      </c>
      <c r="D549" s="9" t="s">
        <v>17</v>
      </c>
      <c r="E549" s="8" t="s">
        <v>1647</v>
      </c>
      <c r="F549" s="8" t="s">
        <v>1648</v>
      </c>
    </row>
    <row r="550" spans="1:6" x14ac:dyDescent="0.15">
      <c r="A550" s="8" t="s">
        <v>1649</v>
      </c>
      <c r="B550" s="8" t="s">
        <v>157</v>
      </c>
      <c r="C550" s="8" t="str">
        <f t="shared" si="14"/>
        <v>att_mitocarta_pathway:mitophagy</v>
      </c>
      <c r="D550" s="9" t="s">
        <v>17</v>
      </c>
      <c r="E550" s="8" t="s">
        <v>1650</v>
      </c>
      <c r="F550" s="8" t="s">
        <v>1651</v>
      </c>
    </row>
    <row r="551" spans="1:6" x14ac:dyDescent="0.15">
      <c r="A551" s="8" t="s">
        <v>1652</v>
      </c>
      <c r="B551" s="8" t="s">
        <v>157</v>
      </c>
      <c r="C551" s="8" t="str">
        <f t="shared" si="14"/>
        <v>att_mitocarta_pathway:molybdenum_cofactor_synthesis_and_proteins</v>
      </c>
      <c r="D551" s="9" t="s">
        <v>17</v>
      </c>
      <c r="E551" s="8" t="s">
        <v>1653</v>
      </c>
      <c r="F551" s="8" t="s">
        <v>1654</v>
      </c>
    </row>
    <row r="552" spans="1:6" x14ac:dyDescent="0.15">
      <c r="A552" s="8" t="s">
        <v>1655</v>
      </c>
      <c r="B552" s="8" t="s">
        <v>157</v>
      </c>
      <c r="C552" s="8" t="str">
        <f t="shared" si="14"/>
        <v>att_mitocarta_pathway:mt_mrna_modifications</v>
      </c>
      <c r="D552" s="9" t="s">
        <v>17</v>
      </c>
      <c r="E552" s="8" t="s">
        <v>1656</v>
      </c>
      <c r="F552" s="8" t="s">
        <v>1657</v>
      </c>
    </row>
    <row r="553" spans="1:6" x14ac:dyDescent="0.15">
      <c r="A553" s="8" t="s">
        <v>1658</v>
      </c>
      <c r="B553" s="8" t="s">
        <v>157</v>
      </c>
      <c r="C553" s="8" t="str">
        <f t="shared" si="14"/>
        <v>att_mitocarta_pathway:mt_rrna_modifications</v>
      </c>
      <c r="D553" s="9" t="s">
        <v>17</v>
      </c>
      <c r="E553" s="8" t="s">
        <v>1659</v>
      </c>
      <c r="F553" s="8" t="s">
        <v>1660</v>
      </c>
    </row>
    <row r="554" spans="1:6" x14ac:dyDescent="0.15">
      <c r="A554" s="8" t="s">
        <v>1661</v>
      </c>
      <c r="B554" s="8" t="s">
        <v>157</v>
      </c>
      <c r="C554" s="8" t="str">
        <f t="shared" si="14"/>
        <v>att_mitocarta_pathway:mt_trna_modifications</v>
      </c>
      <c r="D554" s="9" t="s">
        <v>17</v>
      </c>
      <c r="E554" s="8" t="s">
        <v>1662</v>
      </c>
      <c r="F554" s="8" t="s">
        <v>1663</v>
      </c>
    </row>
    <row r="555" spans="1:6" x14ac:dyDescent="0.15">
      <c r="A555" s="8" t="s">
        <v>1664</v>
      </c>
      <c r="B555" s="8" t="s">
        <v>157</v>
      </c>
      <c r="C555" s="8" t="str">
        <f t="shared" si="14"/>
        <v>att_mitocarta_pathway:mt_trna_synthetases</v>
      </c>
      <c r="D555" s="9" t="s">
        <v>17</v>
      </c>
      <c r="E555" s="8" t="s">
        <v>1665</v>
      </c>
      <c r="F555" s="8" t="s">
        <v>1666</v>
      </c>
    </row>
    <row r="556" spans="1:6" x14ac:dyDescent="0.15">
      <c r="A556" s="8" t="s">
        <v>1667</v>
      </c>
      <c r="B556" s="8" t="s">
        <v>157</v>
      </c>
      <c r="C556" s="8" t="str">
        <f t="shared" si="14"/>
        <v>att_mitocarta_pathway:mtdna_maintenance</v>
      </c>
      <c r="D556" s="9" t="s">
        <v>17</v>
      </c>
      <c r="E556" s="8" t="s">
        <v>1668</v>
      </c>
      <c r="F556" s="8" t="s">
        <v>1669</v>
      </c>
    </row>
    <row r="557" spans="1:6" x14ac:dyDescent="0.15">
      <c r="A557" s="8" t="s">
        <v>1670</v>
      </c>
      <c r="B557" s="8" t="s">
        <v>157</v>
      </c>
      <c r="C557" s="8" t="str">
        <f t="shared" si="14"/>
        <v>att_mitocarta_pathway:mtdna_modifications</v>
      </c>
      <c r="D557" s="9" t="s">
        <v>17</v>
      </c>
      <c r="E557" s="8" t="s">
        <v>1671</v>
      </c>
      <c r="F557" s="8" t="s">
        <v>1672</v>
      </c>
    </row>
    <row r="558" spans="1:6" x14ac:dyDescent="0.15">
      <c r="A558" s="8" t="s">
        <v>1673</v>
      </c>
      <c r="B558" s="8" t="s">
        <v>157</v>
      </c>
      <c r="C558" s="8" t="str">
        <f t="shared" si="14"/>
        <v>att_mitocarta_pathway:mtdna_nucleoid</v>
      </c>
      <c r="D558" s="9" t="s">
        <v>17</v>
      </c>
      <c r="E558" s="8" t="s">
        <v>1674</v>
      </c>
      <c r="F558" s="8" t="s">
        <v>1675</v>
      </c>
    </row>
    <row r="559" spans="1:6" x14ac:dyDescent="0.15">
      <c r="A559" s="8" t="s">
        <v>1676</v>
      </c>
      <c r="B559" s="8" t="s">
        <v>157</v>
      </c>
      <c r="C559" s="8" t="str">
        <f t="shared" si="14"/>
        <v>att_mitocarta_pathway:mtdna_repair</v>
      </c>
      <c r="D559" s="9" t="s">
        <v>17</v>
      </c>
      <c r="E559" s="8" t="s">
        <v>1677</v>
      </c>
      <c r="F559" s="8" t="s">
        <v>1678</v>
      </c>
    </row>
    <row r="560" spans="1:6" x14ac:dyDescent="0.15">
      <c r="A560" s="8" t="s">
        <v>1679</v>
      </c>
      <c r="B560" s="8" t="s">
        <v>157</v>
      </c>
      <c r="C560" s="8" t="str">
        <f t="shared" si="14"/>
        <v>att_mitocarta_pathway:mtdna_replication</v>
      </c>
      <c r="D560" s="9" t="s">
        <v>17</v>
      </c>
      <c r="E560" s="8" t="s">
        <v>1680</v>
      </c>
      <c r="F560" s="8" t="s">
        <v>1681</v>
      </c>
    </row>
    <row r="561" spans="1:6" x14ac:dyDescent="0.15">
      <c r="A561" s="8" t="s">
        <v>1682</v>
      </c>
      <c r="B561" s="8" t="s">
        <v>157</v>
      </c>
      <c r="C561" s="8" t="str">
        <f t="shared" ref="C561:C624" si="15">B561&amp;":"&amp;A561</f>
        <v>att_mitocarta_pathway:mtdna_stability_and_decay</v>
      </c>
      <c r="D561" s="9" t="s">
        <v>17</v>
      </c>
      <c r="E561" s="8" t="s">
        <v>1683</v>
      </c>
      <c r="F561" s="8" t="s">
        <v>1684</v>
      </c>
    </row>
    <row r="562" spans="1:6" x14ac:dyDescent="0.15">
      <c r="A562" s="8" t="s">
        <v>1685</v>
      </c>
      <c r="B562" s="8" t="s">
        <v>157</v>
      </c>
      <c r="C562" s="8" t="str">
        <f t="shared" si="15"/>
        <v>att_mitocarta_pathway:mtrna_granules</v>
      </c>
      <c r="D562" s="9" t="s">
        <v>17</v>
      </c>
      <c r="E562" s="8" t="s">
        <v>1686</v>
      </c>
      <c r="F562" s="8" t="s">
        <v>1687</v>
      </c>
    </row>
    <row r="563" spans="1:6" x14ac:dyDescent="0.15">
      <c r="A563" s="8" t="s">
        <v>1688</v>
      </c>
      <c r="B563" s="8" t="s">
        <v>157</v>
      </c>
      <c r="C563" s="8" t="str">
        <f t="shared" si="15"/>
        <v>att_mitocarta_pathway:mtrna_metabolism</v>
      </c>
      <c r="D563" s="9" t="s">
        <v>17</v>
      </c>
      <c r="E563" s="8" t="s">
        <v>1689</v>
      </c>
      <c r="F563" s="8" t="s">
        <v>1690</v>
      </c>
    </row>
    <row r="564" spans="1:6" x14ac:dyDescent="0.15">
      <c r="A564" s="8" t="s">
        <v>1691</v>
      </c>
      <c r="B564" s="8" t="s">
        <v>157</v>
      </c>
      <c r="C564" s="8" t="str">
        <f t="shared" si="15"/>
        <v>att_mitocarta_pathway:mtrna_stability_and_decay</v>
      </c>
      <c r="D564" s="9" t="s">
        <v>17</v>
      </c>
      <c r="E564" s="8" t="s">
        <v>1692</v>
      </c>
      <c r="F564" s="8" t="s">
        <v>1693</v>
      </c>
    </row>
    <row r="565" spans="1:6" x14ac:dyDescent="0.15">
      <c r="A565" s="8" t="s">
        <v>1694</v>
      </c>
      <c r="B565" s="8" t="s">
        <v>157</v>
      </c>
      <c r="C565" s="8" t="str">
        <f t="shared" si="15"/>
        <v>att_mitocarta_pathway:nad_biosynthesis_and_metabolism</v>
      </c>
      <c r="D565" s="9" t="s">
        <v>17</v>
      </c>
      <c r="E565" s="8" t="s">
        <v>1695</v>
      </c>
      <c r="F565" s="8" t="s">
        <v>1696</v>
      </c>
    </row>
    <row r="566" spans="1:6" x14ac:dyDescent="0.15">
      <c r="A566" s="8" t="s">
        <v>1697</v>
      </c>
      <c r="B566" s="8" t="s">
        <v>157</v>
      </c>
      <c r="C566" s="8" t="str">
        <f t="shared" si="15"/>
        <v>att_mitocarta_pathway:nucleotide_import</v>
      </c>
      <c r="D566" s="9" t="s">
        <v>17</v>
      </c>
      <c r="E566" s="8" t="s">
        <v>1698</v>
      </c>
      <c r="F566" s="8" t="s">
        <v>1699</v>
      </c>
    </row>
    <row r="567" spans="1:6" x14ac:dyDescent="0.15">
      <c r="A567" s="8" t="s">
        <v>1700</v>
      </c>
      <c r="B567" s="8" t="s">
        <v>157</v>
      </c>
      <c r="C567" s="8" t="str">
        <f t="shared" si="15"/>
        <v>att_mitocarta_pathway:nucleotide_metabolism</v>
      </c>
      <c r="D567" s="9" t="s">
        <v>17</v>
      </c>
      <c r="E567" s="8" t="s">
        <v>1701</v>
      </c>
      <c r="F567" s="8" t="s">
        <v>1702</v>
      </c>
    </row>
    <row r="568" spans="1:6" x14ac:dyDescent="0.15">
      <c r="A568" s="8" t="s">
        <v>1703</v>
      </c>
      <c r="B568" s="8" t="s">
        <v>157</v>
      </c>
      <c r="C568" s="8" t="str">
        <f t="shared" si="15"/>
        <v>att_mitocarta_pathway:nucleotide_synthesis_and_processing</v>
      </c>
      <c r="D568" s="9" t="s">
        <v>17</v>
      </c>
      <c r="E568" s="8" t="s">
        <v>1704</v>
      </c>
      <c r="F568" s="8" t="s">
        <v>1705</v>
      </c>
    </row>
    <row r="569" spans="1:6" x14ac:dyDescent="0.15">
      <c r="A569" s="8" t="s">
        <v>1706</v>
      </c>
      <c r="B569" s="8" t="s">
        <v>157</v>
      </c>
      <c r="C569" s="8" t="str">
        <f t="shared" si="15"/>
        <v>att_mitocarta_pathway:organelle_contact_sites</v>
      </c>
      <c r="D569" s="9" t="s">
        <v>17</v>
      </c>
      <c r="E569" s="8" t="s">
        <v>1707</v>
      </c>
      <c r="F569" s="8" t="s">
        <v>1708</v>
      </c>
    </row>
    <row r="570" spans="1:6" x14ac:dyDescent="0.15">
      <c r="A570" s="8" t="s">
        <v>1709</v>
      </c>
      <c r="B570" s="8" t="s">
        <v>157</v>
      </c>
      <c r="C570" s="8" t="str">
        <f t="shared" si="15"/>
        <v>att_mitocarta_pathway:oxa</v>
      </c>
      <c r="D570" s="9" t="s">
        <v>17</v>
      </c>
      <c r="E570" s="8" t="s">
        <v>1710</v>
      </c>
      <c r="F570" s="8" t="s">
        <v>1711</v>
      </c>
    </row>
    <row r="571" spans="1:6" x14ac:dyDescent="0.15">
      <c r="A571" s="8" t="s">
        <v>1712</v>
      </c>
      <c r="B571" s="8" t="s">
        <v>157</v>
      </c>
      <c r="C571" s="8" t="str">
        <f t="shared" si="15"/>
        <v>att_mitocarta_pathway:oxphos</v>
      </c>
      <c r="D571" s="9" t="s">
        <v>17</v>
      </c>
      <c r="E571" s="8" t="s">
        <v>1713</v>
      </c>
      <c r="F571" s="8" t="s">
        <v>1713</v>
      </c>
    </row>
    <row r="572" spans="1:6" x14ac:dyDescent="0.15">
      <c r="A572" s="8" t="s">
        <v>1714</v>
      </c>
      <c r="B572" s="8" t="s">
        <v>157</v>
      </c>
      <c r="C572" s="8" t="str">
        <f t="shared" si="15"/>
        <v>att_mitocarta_pathway:oxphos_assembly_factors</v>
      </c>
      <c r="D572" s="9" t="s">
        <v>17</v>
      </c>
      <c r="E572" s="8" t="s">
        <v>1715</v>
      </c>
      <c r="F572" s="8" t="s">
        <v>1716</v>
      </c>
    </row>
    <row r="573" spans="1:6" x14ac:dyDescent="0.15">
      <c r="A573" s="8" t="s">
        <v>1717</v>
      </c>
      <c r="B573" s="8" t="s">
        <v>157</v>
      </c>
      <c r="C573" s="8" t="str">
        <f t="shared" si="15"/>
        <v>att_mitocarta_pathway:oxphos_subunits</v>
      </c>
      <c r="D573" s="9" t="s">
        <v>17</v>
      </c>
      <c r="E573" s="8" t="s">
        <v>1718</v>
      </c>
      <c r="F573" s="8" t="s">
        <v>1719</v>
      </c>
    </row>
    <row r="574" spans="1:6" x14ac:dyDescent="0.15">
      <c r="A574" s="8" t="s">
        <v>1720</v>
      </c>
      <c r="B574" s="8" t="s">
        <v>157</v>
      </c>
      <c r="C574" s="8" t="str">
        <f t="shared" si="15"/>
        <v>att_mitocarta_pathway:phospholipid_metabolism</v>
      </c>
      <c r="D574" s="9" t="s">
        <v>17</v>
      </c>
      <c r="E574" s="8" t="s">
        <v>1721</v>
      </c>
      <c r="F574" s="8" t="s">
        <v>1722</v>
      </c>
    </row>
    <row r="575" spans="1:6" x14ac:dyDescent="0.15">
      <c r="A575" s="8" t="s">
        <v>1723</v>
      </c>
      <c r="B575" s="8" t="s">
        <v>157</v>
      </c>
      <c r="C575" s="8" t="str">
        <f t="shared" si="15"/>
        <v>att_mitocarta_pathway:polycistronic_mtrna_processing</v>
      </c>
      <c r="D575" s="9" t="s">
        <v>17</v>
      </c>
      <c r="E575" s="8" t="s">
        <v>1724</v>
      </c>
      <c r="F575" s="8" t="s">
        <v>1725</v>
      </c>
    </row>
    <row r="576" spans="1:6" x14ac:dyDescent="0.15">
      <c r="A576" s="8" t="s">
        <v>1726</v>
      </c>
      <c r="B576" s="8" t="s">
        <v>157</v>
      </c>
      <c r="C576" s="8" t="str">
        <f t="shared" si="15"/>
        <v>att_mitocarta_pathway:preprotein_cleavage</v>
      </c>
      <c r="D576" s="9" t="s">
        <v>17</v>
      </c>
      <c r="E576" s="8" t="s">
        <v>1727</v>
      </c>
      <c r="F576" s="8" t="s">
        <v>1728</v>
      </c>
    </row>
    <row r="577" spans="1:6" x14ac:dyDescent="0.15">
      <c r="A577" s="8" t="s">
        <v>1729</v>
      </c>
      <c r="B577" s="8" t="s">
        <v>157</v>
      </c>
      <c r="C577" s="8" t="str">
        <f t="shared" si="15"/>
        <v>att_mitocarta_pathway:proline_metabolism</v>
      </c>
      <c r="D577" s="9" t="s">
        <v>17</v>
      </c>
      <c r="E577" s="8" t="s">
        <v>1730</v>
      </c>
      <c r="F577" s="8" t="s">
        <v>1731</v>
      </c>
    </row>
    <row r="578" spans="1:6" x14ac:dyDescent="0.15">
      <c r="A578" s="8" t="s">
        <v>1732</v>
      </c>
      <c r="B578" s="8" t="s">
        <v>157</v>
      </c>
      <c r="C578" s="8" t="str">
        <f t="shared" si="15"/>
        <v>att_mitocarta_pathway:propanoate_metabolism</v>
      </c>
      <c r="D578" s="9" t="s">
        <v>17</v>
      </c>
      <c r="E578" s="8" t="s">
        <v>1733</v>
      </c>
      <c r="F578" s="8" t="s">
        <v>1734</v>
      </c>
    </row>
    <row r="579" spans="1:6" x14ac:dyDescent="0.15">
      <c r="A579" s="8" t="s">
        <v>1735</v>
      </c>
      <c r="B579" s="8" t="s">
        <v>157</v>
      </c>
      <c r="C579" s="8" t="str">
        <f t="shared" si="15"/>
        <v>att_mitocarta_pathway:proteases</v>
      </c>
      <c r="D579" s="9" t="s">
        <v>17</v>
      </c>
      <c r="E579" s="8" t="s">
        <v>1736</v>
      </c>
      <c r="F579" s="8" t="s">
        <v>1737</v>
      </c>
    </row>
    <row r="580" spans="1:6" x14ac:dyDescent="0.15">
      <c r="A580" s="8" t="s">
        <v>1738</v>
      </c>
      <c r="B580" s="8" t="s">
        <v>157</v>
      </c>
      <c r="C580" s="8" t="str">
        <f t="shared" si="15"/>
        <v>att_mitocarta_pathway:protein_homeostasis</v>
      </c>
      <c r="D580" s="9" t="s">
        <v>17</v>
      </c>
      <c r="E580" s="8" t="s">
        <v>1739</v>
      </c>
      <c r="F580" s="8" t="s">
        <v>1740</v>
      </c>
    </row>
    <row r="581" spans="1:6" x14ac:dyDescent="0.15">
      <c r="A581" s="8" t="s">
        <v>1741</v>
      </c>
      <c r="B581" s="8" t="s">
        <v>157</v>
      </c>
      <c r="C581" s="8" t="str">
        <f t="shared" si="15"/>
        <v>att_mitocarta_pathway:protein_import_and_sorting</v>
      </c>
      <c r="D581" s="9" t="s">
        <v>17</v>
      </c>
      <c r="E581" s="8" t="s">
        <v>1742</v>
      </c>
      <c r="F581" s="8" t="s">
        <v>1743</v>
      </c>
    </row>
    <row r="582" spans="1:6" x14ac:dyDescent="0.15">
      <c r="A582" s="8" t="s">
        <v>1744</v>
      </c>
      <c r="B582" s="8" t="s">
        <v>157</v>
      </c>
      <c r="C582" s="8" t="str">
        <f t="shared" si="15"/>
        <v>att_mitocarta_pathway:pyruvate_metabolism</v>
      </c>
      <c r="D582" s="9" t="s">
        <v>17</v>
      </c>
      <c r="E582" s="8" t="s">
        <v>1745</v>
      </c>
      <c r="F582" s="8" t="s">
        <v>1746</v>
      </c>
    </row>
    <row r="583" spans="1:6" x14ac:dyDescent="0.15">
      <c r="A583" s="8" t="s">
        <v>1747</v>
      </c>
      <c r="B583" s="8" t="s">
        <v>157</v>
      </c>
      <c r="C583" s="8" t="str">
        <f t="shared" si="15"/>
        <v>att_mitocarta_pathway:respirasome_assembly</v>
      </c>
      <c r="D583" s="9" t="s">
        <v>17</v>
      </c>
      <c r="E583" s="8" t="s">
        <v>1748</v>
      </c>
      <c r="F583" s="8" t="s">
        <v>1749</v>
      </c>
    </row>
    <row r="584" spans="1:6" x14ac:dyDescent="0.15">
      <c r="A584" s="8" t="s">
        <v>1750</v>
      </c>
      <c r="B584" s="8" t="s">
        <v>157</v>
      </c>
      <c r="C584" s="8" t="str">
        <f t="shared" si="15"/>
        <v>att_mitocarta_pathway:ros_and_glutathione_metabolism</v>
      </c>
      <c r="D584" s="9" t="s">
        <v>17</v>
      </c>
      <c r="E584" s="8" t="s">
        <v>1751</v>
      </c>
      <c r="F584" s="8" t="s">
        <v>1752</v>
      </c>
    </row>
    <row r="585" spans="1:6" x14ac:dyDescent="0.15">
      <c r="A585" s="8" t="s">
        <v>1753</v>
      </c>
      <c r="B585" s="8" t="s">
        <v>157</v>
      </c>
      <c r="C585" s="8" t="str">
        <f t="shared" si="15"/>
        <v>att_mitocarta_pathway:sam</v>
      </c>
      <c r="D585" s="9" t="s">
        <v>17</v>
      </c>
      <c r="E585" s="8" t="s">
        <v>1754</v>
      </c>
      <c r="F585" s="8" t="s">
        <v>1755</v>
      </c>
    </row>
    <row r="586" spans="1:6" x14ac:dyDescent="0.15">
      <c r="A586" s="8" t="s">
        <v>1756</v>
      </c>
      <c r="B586" s="8" t="s">
        <v>157</v>
      </c>
      <c r="C586" s="8" t="str">
        <f t="shared" si="15"/>
        <v>att_mitocarta_pathway:selenoproteins</v>
      </c>
      <c r="D586" s="9" t="s">
        <v>17</v>
      </c>
      <c r="E586" s="8" t="s">
        <v>1757</v>
      </c>
      <c r="F586" s="8" t="s">
        <v>1758</v>
      </c>
    </row>
    <row r="587" spans="1:6" x14ac:dyDescent="0.15">
      <c r="A587" s="8" t="s">
        <v>1759</v>
      </c>
      <c r="B587" s="8" t="s">
        <v>157</v>
      </c>
      <c r="C587" s="8" t="str">
        <f t="shared" si="15"/>
        <v>att_mitocarta_pathway:serine_metabolism</v>
      </c>
      <c r="D587" s="9" t="s">
        <v>17</v>
      </c>
      <c r="E587" s="8" t="s">
        <v>1760</v>
      </c>
      <c r="F587" s="8" t="s">
        <v>1761</v>
      </c>
    </row>
    <row r="588" spans="1:6" x14ac:dyDescent="0.15">
      <c r="A588" s="8" t="s">
        <v>1762</v>
      </c>
      <c r="B588" s="8" t="s">
        <v>157</v>
      </c>
      <c r="C588" s="8" t="str">
        <f t="shared" si="15"/>
        <v>att_mitocarta_pathway:sideroflexins</v>
      </c>
      <c r="D588" s="9" t="s">
        <v>17</v>
      </c>
      <c r="E588" s="8" t="s">
        <v>1763</v>
      </c>
      <c r="F588" s="8" t="s">
        <v>1764</v>
      </c>
    </row>
    <row r="589" spans="1:6" x14ac:dyDescent="0.15">
      <c r="A589" s="8" t="s">
        <v>1765</v>
      </c>
      <c r="B589" s="8" t="s">
        <v>157</v>
      </c>
      <c r="C589" s="8" t="str">
        <f t="shared" si="15"/>
        <v>att_mitocarta_pathway:signaling</v>
      </c>
      <c r="D589" s="9" t="s">
        <v>17</v>
      </c>
      <c r="E589" s="8" t="s">
        <v>1766</v>
      </c>
      <c r="F589" s="8" t="s">
        <v>1766</v>
      </c>
    </row>
    <row r="590" spans="1:6" x14ac:dyDescent="0.15">
      <c r="A590" s="8" t="s">
        <v>1767</v>
      </c>
      <c r="B590" s="8" t="s">
        <v>157</v>
      </c>
      <c r="C590" s="8" t="str">
        <f t="shared" si="15"/>
        <v>att_mitocarta_pathway:slc25a_family</v>
      </c>
      <c r="D590" s="9" t="s">
        <v>17</v>
      </c>
      <c r="E590" s="8" t="s">
        <v>1768</v>
      </c>
      <c r="F590" s="8" t="s">
        <v>1769</v>
      </c>
    </row>
    <row r="591" spans="1:6" x14ac:dyDescent="0.15">
      <c r="A591" s="8" t="s">
        <v>1770</v>
      </c>
      <c r="B591" s="8" t="s">
        <v>157</v>
      </c>
      <c r="C591" s="8" t="str">
        <f t="shared" si="15"/>
        <v>att_mitocarta_pathway:small_molecule_transport</v>
      </c>
      <c r="D591" s="9" t="s">
        <v>17</v>
      </c>
      <c r="E591" s="8" t="s">
        <v>1771</v>
      </c>
      <c r="F591" s="8" t="s">
        <v>1771</v>
      </c>
    </row>
    <row r="592" spans="1:6" x14ac:dyDescent="0.15">
      <c r="A592" s="8" t="s">
        <v>1772</v>
      </c>
      <c r="B592" s="8" t="s">
        <v>157</v>
      </c>
      <c r="C592" s="8" t="str">
        <f t="shared" si="15"/>
        <v>att_mitocarta_pathway:sulfur_metabolism</v>
      </c>
      <c r="D592" s="9" t="s">
        <v>17</v>
      </c>
      <c r="E592" s="8" t="s">
        <v>1773</v>
      </c>
      <c r="F592" s="8" t="s">
        <v>1774</v>
      </c>
    </row>
    <row r="593" spans="1:6" x14ac:dyDescent="0.15">
      <c r="A593" s="8" t="s">
        <v>1775</v>
      </c>
      <c r="B593" s="8" t="s">
        <v>157</v>
      </c>
      <c r="C593" s="8" t="str">
        <f t="shared" si="15"/>
        <v>att_mitocarta_pathway:tca_associated</v>
      </c>
      <c r="D593" s="9" t="s">
        <v>17</v>
      </c>
      <c r="E593" s="8" t="s">
        <v>1776</v>
      </c>
      <c r="F593" s="8" t="s">
        <v>1777</v>
      </c>
    </row>
    <row r="594" spans="1:6" x14ac:dyDescent="0.15">
      <c r="A594" s="8" t="s">
        <v>1778</v>
      </c>
      <c r="B594" s="8" t="s">
        <v>157</v>
      </c>
      <c r="C594" s="8" t="str">
        <f t="shared" si="15"/>
        <v>att_mitocarta_pathway:tca_cycle</v>
      </c>
      <c r="D594" s="9" t="s">
        <v>17</v>
      </c>
      <c r="E594" s="8" t="s">
        <v>1779</v>
      </c>
      <c r="F594" s="8" t="s">
        <v>1780</v>
      </c>
    </row>
    <row r="595" spans="1:6" x14ac:dyDescent="0.15">
      <c r="A595" s="8" t="s">
        <v>1781</v>
      </c>
      <c r="B595" s="8" t="s">
        <v>157</v>
      </c>
      <c r="C595" s="8" t="str">
        <f t="shared" si="15"/>
        <v>att_mitocarta_pathway:tetrahydrobiopterin_synthesis</v>
      </c>
      <c r="D595" s="9" t="s">
        <v>17</v>
      </c>
      <c r="E595" s="8" t="s">
        <v>1782</v>
      </c>
      <c r="F595" s="8" t="s">
        <v>1783</v>
      </c>
    </row>
    <row r="596" spans="1:6" x14ac:dyDescent="0.15">
      <c r="A596" s="8" t="s">
        <v>1784</v>
      </c>
      <c r="B596" s="8" t="s">
        <v>157</v>
      </c>
      <c r="C596" s="8" t="str">
        <f t="shared" si="15"/>
        <v>att_mitocarta_pathway:tim22_carrier_pathway</v>
      </c>
      <c r="D596" s="9" t="s">
        <v>17</v>
      </c>
      <c r="E596" s="8" t="s">
        <v>1785</v>
      </c>
      <c r="F596" s="8" t="s">
        <v>1786</v>
      </c>
    </row>
    <row r="597" spans="1:6" x14ac:dyDescent="0.15">
      <c r="A597" s="8" t="s">
        <v>1787</v>
      </c>
      <c r="B597" s="8" t="s">
        <v>157</v>
      </c>
      <c r="C597" s="8" t="str">
        <f t="shared" si="15"/>
        <v>att_mitocarta_pathway:tim23_presequence_pathway</v>
      </c>
      <c r="D597" s="9" t="s">
        <v>17</v>
      </c>
      <c r="E597" s="8" t="s">
        <v>1788</v>
      </c>
      <c r="F597" s="8" t="s">
        <v>1789</v>
      </c>
    </row>
    <row r="598" spans="1:6" x14ac:dyDescent="0.15">
      <c r="A598" s="8" t="s">
        <v>1790</v>
      </c>
      <c r="B598" s="8" t="s">
        <v>157</v>
      </c>
      <c r="C598" s="8" t="str">
        <f t="shared" si="15"/>
        <v>att_mitocarta_pathway:tom</v>
      </c>
      <c r="D598" s="9" t="s">
        <v>17</v>
      </c>
      <c r="E598" s="8" t="s">
        <v>1791</v>
      </c>
      <c r="F598" s="8" t="s">
        <v>1792</v>
      </c>
    </row>
    <row r="599" spans="1:6" x14ac:dyDescent="0.15">
      <c r="A599" s="8" t="s">
        <v>1793</v>
      </c>
      <c r="B599" s="8" t="s">
        <v>157</v>
      </c>
      <c r="C599" s="8" t="str">
        <f t="shared" si="15"/>
        <v>att_mitocarta_pathway:trafficking</v>
      </c>
      <c r="D599" s="9" t="s">
        <v>17</v>
      </c>
      <c r="E599" s="8" t="s">
        <v>1794</v>
      </c>
      <c r="F599" s="8" t="s">
        <v>1795</v>
      </c>
    </row>
    <row r="600" spans="1:6" x14ac:dyDescent="0.15">
      <c r="A600" s="8" t="s">
        <v>1796</v>
      </c>
      <c r="B600" s="8" t="s">
        <v>157</v>
      </c>
      <c r="C600" s="8" t="str">
        <f t="shared" si="15"/>
        <v>att_mitocarta_pathway:transcription</v>
      </c>
      <c r="D600" s="9" t="s">
        <v>17</v>
      </c>
      <c r="E600" s="8" t="s">
        <v>1797</v>
      </c>
      <c r="F600" s="8" t="s">
        <v>1798</v>
      </c>
    </row>
    <row r="601" spans="1:6" x14ac:dyDescent="0.15">
      <c r="A601" s="8" t="s">
        <v>1799</v>
      </c>
      <c r="B601" s="8" t="s">
        <v>157</v>
      </c>
      <c r="C601" s="8" t="str">
        <f t="shared" si="15"/>
        <v>att_mitocarta_pathway:translation</v>
      </c>
      <c r="D601" s="9" t="s">
        <v>17</v>
      </c>
      <c r="E601" s="8" t="s">
        <v>1800</v>
      </c>
      <c r="F601" s="8" t="s">
        <v>1801</v>
      </c>
    </row>
    <row r="602" spans="1:6" x14ac:dyDescent="0.15">
      <c r="A602" s="8" t="s">
        <v>1802</v>
      </c>
      <c r="B602" s="8" t="s">
        <v>157</v>
      </c>
      <c r="C602" s="8" t="str">
        <f t="shared" si="15"/>
        <v>att_mitocarta_pathway:translation_factors</v>
      </c>
      <c r="D602" s="9" t="s">
        <v>17</v>
      </c>
      <c r="E602" s="8" t="s">
        <v>1803</v>
      </c>
      <c r="F602" s="8" t="s">
        <v>1804</v>
      </c>
    </row>
    <row r="603" spans="1:6" x14ac:dyDescent="0.15">
      <c r="A603" s="8" t="s">
        <v>1805</v>
      </c>
      <c r="B603" s="8" t="s">
        <v>157</v>
      </c>
      <c r="C603" s="8" t="str">
        <f t="shared" si="15"/>
        <v>att_mitocarta_pathway:type_ii_fatty_acid_synthesis</v>
      </c>
      <c r="D603" s="9" t="s">
        <v>17</v>
      </c>
      <c r="E603" s="8" t="s">
        <v>1806</v>
      </c>
      <c r="F603" s="8" t="s">
        <v>1807</v>
      </c>
    </row>
    <row r="604" spans="1:6" x14ac:dyDescent="0.15">
      <c r="A604" s="8" t="s">
        <v>1808</v>
      </c>
      <c r="B604" s="8" t="s">
        <v>157</v>
      </c>
      <c r="C604" s="8" t="str">
        <f t="shared" si="15"/>
        <v>att_mitocarta_pathway:urea_cycle</v>
      </c>
      <c r="D604" s="9" t="s">
        <v>17</v>
      </c>
      <c r="E604" s="8" t="s">
        <v>1809</v>
      </c>
      <c r="F604" s="8" t="s">
        <v>1810</v>
      </c>
    </row>
    <row r="605" spans="1:6" x14ac:dyDescent="0.15">
      <c r="A605" s="8" t="s">
        <v>1811</v>
      </c>
      <c r="B605" s="8" t="s">
        <v>157</v>
      </c>
      <c r="C605" s="8" t="str">
        <f t="shared" si="15"/>
        <v>att_mitocarta_pathway:vitamin_a_metabolism</v>
      </c>
      <c r="D605" s="9" t="s">
        <v>17</v>
      </c>
      <c r="E605" s="8" t="s">
        <v>1812</v>
      </c>
      <c r="F605" s="8" t="s">
        <v>1813</v>
      </c>
    </row>
    <row r="606" spans="1:6" x14ac:dyDescent="0.15">
      <c r="A606" s="8" t="s">
        <v>1814</v>
      </c>
      <c r="B606" s="8" t="s">
        <v>157</v>
      </c>
      <c r="C606" s="8" t="str">
        <f t="shared" si="15"/>
        <v>att_mitocarta_pathway:vitamin_b1_metabolism</v>
      </c>
      <c r="D606" s="9" t="s">
        <v>17</v>
      </c>
      <c r="E606" s="8" t="s">
        <v>1815</v>
      </c>
      <c r="F606" s="8" t="s">
        <v>1816</v>
      </c>
    </row>
    <row r="607" spans="1:6" x14ac:dyDescent="0.15">
      <c r="A607" s="8" t="s">
        <v>1817</v>
      </c>
      <c r="B607" s="8" t="s">
        <v>157</v>
      </c>
      <c r="C607" s="8" t="str">
        <f t="shared" si="15"/>
        <v>att_mitocarta_pathway:vitamin_b12_metabolism</v>
      </c>
      <c r="D607" s="9" t="s">
        <v>17</v>
      </c>
      <c r="E607" s="8" t="s">
        <v>1818</v>
      </c>
      <c r="F607" s="8" t="s">
        <v>1819</v>
      </c>
    </row>
    <row r="608" spans="1:6" x14ac:dyDescent="0.15">
      <c r="A608" s="8" t="s">
        <v>1820</v>
      </c>
      <c r="B608" s="8" t="s">
        <v>157</v>
      </c>
      <c r="C608" s="8" t="str">
        <f t="shared" si="15"/>
        <v>att_mitocarta_pathway:vitamin_b2_metabolism</v>
      </c>
      <c r="D608" s="9" t="s">
        <v>17</v>
      </c>
      <c r="E608" s="8" t="s">
        <v>1821</v>
      </c>
      <c r="F608" s="8" t="s">
        <v>1822</v>
      </c>
    </row>
    <row r="609" spans="1:6" x14ac:dyDescent="0.15">
      <c r="A609" s="8" t="s">
        <v>1823</v>
      </c>
      <c r="B609" s="8" t="s">
        <v>157</v>
      </c>
      <c r="C609" s="8" t="str">
        <f t="shared" si="15"/>
        <v>att_mitocarta_pathway:vitamin_b6_metabolism</v>
      </c>
      <c r="D609" s="9" t="s">
        <v>17</v>
      </c>
      <c r="E609" s="8" t="s">
        <v>1824</v>
      </c>
      <c r="F609" s="8" t="s">
        <v>1825</v>
      </c>
    </row>
    <row r="610" spans="1:6" x14ac:dyDescent="0.15">
      <c r="A610" s="8" t="s">
        <v>1826</v>
      </c>
      <c r="B610" s="8" t="s">
        <v>157</v>
      </c>
      <c r="C610" s="8" t="str">
        <f t="shared" si="15"/>
        <v>att_mitocarta_pathway:vitamin_c_metabolism</v>
      </c>
      <c r="D610" s="9" t="s">
        <v>17</v>
      </c>
      <c r="E610" s="8" t="s">
        <v>1827</v>
      </c>
      <c r="F610" s="8" t="s">
        <v>1828</v>
      </c>
    </row>
    <row r="611" spans="1:6" x14ac:dyDescent="0.15">
      <c r="A611" s="8" t="s">
        <v>1829</v>
      </c>
      <c r="B611" s="8" t="s">
        <v>157</v>
      </c>
      <c r="C611" s="8" t="str">
        <f t="shared" si="15"/>
        <v>att_mitocarta_pathway:vitamin_d_metabolism</v>
      </c>
      <c r="D611" s="9" t="s">
        <v>17</v>
      </c>
      <c r="E611" s="8" t="s">
        <v>1830</v>
      </c>
      <c r="F611" s="8" t="s">
        <v>1831</v>
      </c>
    </row>
    <row r="612" spans="1:6" x14ac:dyDescent="0.15">
      <c r="A612" s="8" t="s">
        <v>1832</v>
      </c>
      <c r="B612" s="8" t="s">
        <v>157</v>
      </c>
      <c r="C612" s="8" t="str">
        <f t="shared" si="15"/>
        <v>att_mitocarta_pathway:vitamin_metabolism</v>
      </c>
      <c r="D612" s="9" t="s">
        <v>17</v>
      </c>
      <c r="E612" s="8" t="s">
        <v>1833</v>
      </c>
      <c r="F612" s="8" t="s">
        <v>1834</v>
      </c>
    </row>
    <row r="613" spans="1:6" x14ac:dyDescent="0.15">
      <c r="A613" s="8" t="s">
        <v>1835</v>
      </c>
      <c r="B613" s="8" t="s">
        <v>157</v>
      </c>
      <c r="C613" s="8" t="str">
        <f t="shared" si="15"/>
        <v>att_mitocarta_pathway:xenobiotic_metabolism</v>
      </c>
      <c r="D613" s="9" t="s">
        <v>17</v>
      </c>
      <c r="E613" s="8" t="s">
        <v>1836</v>
      </c>
      <c r="F613" s="8" t="s">
        <v>1837</v>
      </c>
    </row>
    <row r="614" spans="1:6" x14ac:dyDescent="0.15">
      <c r="A614" s="8" t="s">
        <v>1838</v>
      </c>
      <c r="B614" s="8" t="s">
        <v>1839</v>
      </c>
      <c r="C614" s="8" t="str">
        <f t="shared" si="15"/>
        <v>att_mockup:arbitrary</v>
      </c>
      <c r="D614" s="9" t="s">
        <v>17</v>
      </c>
      <c r="E614" s="8" t="s">
        <v>1840</v>
      </c>
      <c r="F614" s="8" t="s">
        <v>1841</v>
      </c>
    </row>
    <row r="615" spans="1:6" x14ac:dyDescent="0.15">
      <c r="A615" s="8" t="s">
        <v>1842</v>
      </c>
      <c r="B615" s="8" t="s">
        <v>1839</v>
      </c>
      <c r="C615" s="8" t="str">
        <f t="shared" si="15"/>
        <v>att_mockup:random</v>
      </c>
      <c r="D615" s="9" t="s">
        <v>17</v>
      </c>
      <c r="E615" s="8" t="s">
        <v>1843</v>
      </c>
      <c r="F615" s="8" t="s">
        <v>1841</v>
      </c>
    </row>
    <row r="616" spans="1:6" x14ac:dyDescent="0.15">
      <c r="A616" s="8" t="s">
        <v>1844</v>
      </c>
      <c r="B616" s="8" t="s">
        <v>160</v>
      </c>
      <c r="C616" s="8" t="str">
        <f t="shared" si="15"/>
        <v>att_model:in_vitro</v>
      </c>
      <c r="D616" s="9" t="s">
        <v>17</v>
      </c>
      <c r="E616" s="8" t="s">
        <v>1845</v>
      </c>
      <c r="F616" s="8" t="s">
        <v>1846</v>
      </c>
    </row>
    <row r="617" spans="1:6" x14ac:dyDescent="0.15">
      <c r="A617" s="8" t="s">
        <v>1847</v>
      </c>
      <c r="B617" s="8" t="s">
        <v>160</v>
      </c>
      <c r="C617" s="8" t="str">
        <f t="shared" si="15"/>
        <v>att_model:in_vivo</v>
      </c>
      <c r="D617" s="9" t="s">
        <v>17</v>
      </c>
      <c r="E617" s="8" t="s">
        <v>1848</v>
      </c>
      <c r="F617" s="8" t="s">
        <v>1849</v>
      </c>
    </row>
    <row r="618" spans="1:6" x14ac:dyDescent="0.15">
      <c r="A618" s="8" t="s">
        <v>1850</v>
      </c>
      <c r="B618" s="8" t="s">
        <v>160</v>
      </c>
      <c r="C618" s="8" t="str">
        <f t="shared" si="15"/>
        <v>att_model:xenografts</v>
      </c>
      <c r="D618" s="9" t="s">
        <v>17</v>
      </c>
      <c r="E618" s="8" t="s">
        <v>1850</v>
      </c>
      <c r="F618" s="8" t="s">
        <v>1851</v>
      </c>
    </row>
    <row r="619" spans="1:6" x14ac:dyDescent="0.15">
      <c r="A619" s="8" t="s">
        <v>1852</v>
      </c>
      <c r="B619" s="8" t="s">
        <v>23</v>
      </c>
      <c r="C619" s="8" t="str">
        <f t="shared" si="15"/>
        <v>att_ms:eclips</v>
      </c>
      <c r="D619" s="9" t="s">
        <v>17</v>
      </c>
      <c r="E619" s="8" t="s">
        <v>1853</v>
      </c>
      <c r="F619" s="8" t="s">
        <v>1853</v>
      </c>
    </row>
    <row r="620" spans="1:6" x14ac:dyDescent="0.15">
      <c r="A620" s="8" t="s">
        <v>1854</v>
      </c>
      <c r="B620" s="8" t="s">
        <v>23</v>
      </c>
      <c r="C620" s="8" t="str">
        <f t="shared" si="15"/>
        <v>att_ms:exploris240</v>
      </c>
      <c r="D620" s="9" t="s">
        <v>17</v>
      </c>
      <c r="E620" s="8" t="s">
        <v>1855</v>
      </c>
      <c r="F620" s="8" t="s">
        <v>1856</v>
      </c>
    </row>
    <row r="621" spans="1:6" x14ac:dyDescent="0.15">
      <c r="A621" s="8" t="s">
        <v>1857</v>
      </c>
      <c r="B621" s="8" t="s">
        <v>23</v>
      </c>
      <c r="C621" s="8" t="str">
        <f t="shared" si="15"/>
        <v>att_ms:exploris480</v>
      </c>
      <c r="D621" s="9" t="s">
        <v>17</v>
      </c>
      <c r="E621" s="8" t="s">
        <v>1858</v>
      </c>
      <c r="F621" s="8" t="s">
        <v>1859</v>
      </c>
    </row>
    <row r="622" spans="1:6" x14ac:dyDescent="0.15">
      <c r="A622" s="8" t="s">
        <v>1860</v>
      </c>
      <c r="B622" s="8" t="s">
        <v>23</v>
      </c>
      <c r="C622" s="8" t="str">
        <f t="shared" si="15"/>
        <v>att_ms:qex</v>
      </c>
      <c r="D622" s="9" t="s">
        <v>17</v>
      </c>
      <c r="E622" s="8" t="s">
        <v>1861</v>
      </c>
      <c r="F622" s="8" t="s">
        <v>1862</v>
      </c>
    </row>
    <row r="623" spans="1:6" x14ac:dyDescent="0.15">
      <c r="A623" s="8" t="s">
        <v>1863</v>
      </c>
      <c r="B623" s="8" t="s">
        <v>23</v>
      </c>
      <c r="C623" s="8" t="str">
        <f t="shared" si="15"/>
        <v>att_ms:qexplus</v>
      </c>
      <c r="D623" s="9" t="s">
        <v>17</v>
      </c>
      <c r="E623" s="8" t="s">
        <v>1864</v>
      </c>
      <c r="F623" s="8" t="s">
        <v>1865</v>
      </c>
    </row>
    <row r="624" spans="1:6" x14ac:dyDescent="0.15">
      <c r="A624" s="8" t="s">
        <v>1866</v>
      </c>
      <c r="B624" s="8" t="s">
        <v>23</v>
      </c>
      <c r="C624" s="8" t="str">
        <f t="shared" si="15"/>
        <v>att_ms:ttofhct</v>
      </c>
      <c r="D624" s="9" t="s">
        <v>17</v>
      </c>
      <c r="E624" s="8" t="s">
        <v>1867</v>
      </c>
      <c r="F624" s="8" t="s">
        <v>1867</v>
      </c>
    </row>
    <row r="625" spans="1:6" x14ac:dyDescent="0.15">
      <c r="A625" s="8" t="s">
        <v>1868</v>
      </c>
      <c r="B625" s="8" t="s">
        <v>23</v>
      </c>
      <c r="C625" s="8" t="str">
        <f t="shared" ref="C625:C688" si="16">B625&amp;":"&amp;A625</f>
        <v>att_ms:ttofscp</v>
      </c>
      <c r="D625" s="9" t="s">
        <v>17</v>
      </c>
      <c r="E625" s="8" t="s">
        <v>1869</v>
      </c>
      <c r="F625" s="8" t="s">
        <v>1870</v>
      </c>
    </row>
    <row r="626" spans="1:6" x14ac:dyDescent="0.15">
      <c r="A626" s="8" t="s">
        <v>1871</v>
      </c>
      <c r="B626" s="8" t="s">
        <v>116</v>
      </c>
      <c r="C626" s="8" t="str">
        <f t="shared" si="16"/>
        <v>att_ms_interface:faims</v>
      </c>
      <c r="D626" s="9" t="s">
        <v>17</v>
      </c>
      <c r="E626" s="8" t="s">
        <v>1872</v>
      </c>
      <c r="F626" s="8" t="s">
        <v>1873</v>
      </c>
    </row>
    <row r="627" spans="1:6" x14ac:dyDescent="0.15">
      <c r="A627" s="8" t="s">
        <v>342</v>
      </c>
      <c r="B627" s="8" t="s">
        <v>116</v>
      </c>
      <c r="C627" s="8" t="str">
        <f t="shared" si="16"/>
        <v>att_ms_interface:none</v>
      </c>
      <c r="D627" s="9" t="s">
        <v>17</v>
      </c>
      <c r="E627" s="8" t="s">
        <v>1874</v>
      </c>
      <c r="F627" s="8" t="s">
        <v>1875</v>
      </c>
    </row>
    <row r="628" spans="1:6" x14ac:dyDescent="0.15">
      <c r="A628" s="8" t="s">
        <v>1876</v>
      </c>
      <c r="B628" s="8" t="s">
        <v>38</v>
      </c>
      <c r="C628" s="8" t="str">
        <f t="shared" si="16"/>
        <v>att_ms_ionsource:easy_spray</v>
      </c>
      <c r="D628" s="9" t="s">
        <v>17</v>
      </c>
      <c r="E628" s="8" t="s">
        <v>1877</v>
      </c>
      <c r="F628" s="8" t="s">
        <v>1878</v>
      </c>
    </row>
    <row r="629" spans="1:6" x14ac:dyDescent="0.15">
      <c r="A629" s="8" t="s">
        <v>1879</v>
      </c>
      <c r="B629" s="8" t="s">
        <v>38</v>
      </c>
      <c r="C629" s="8" t="str">
        <f t="shared" si="16"/>
        <v>att_ms_ionsource:flex</v>
      </c>
      <c r="D629" s="9" t="s">
        <v>17</v>
      </c>
      <c r="E629" s="8" t="s">
        <v>1880</v>
      </c>
      <c r="F629" s="8" t="s">
        <v>1881</v>
      </c>
    </row>
    <row r="630" spans="1:6" x14ac:dyDescent="0.15">
      <c r="A630" s="8" t="s">
        <v>1882</v>
      </c>
      <c r="B630" s="8" t="s">
        <v>38</v>
      </c>
      <c r="C630" s="8" t="str">
        <f t="shared" si="16"/>
        <v>att_ms_ionsource:ion_max</v>
      </c>
      <c r="D630" s="9" t="s">
        <v>17</v>
      </c>
      <c r="E630" s="8" t="s">
        <v>1883</v>
      </c>
      <c r="F630" s="8" t="s">
        <v>1884</v>
      </c>
    </row>
    <row r="631" spans="1:6" x14ac:dyDescent="0.15">
      <c r="A631" s="8" t="s">
        <v>1885</v>
      </c>
      <c r="B631" s="8" t="s">
        <v>164</v>
      </c>
      <c r="C631" s="8" t="str">
        <f t="shared" si="16"/>
        <v>att_ms_name:e1</v>
      </c>
      <c r="D631" s="8" t="s">
        <v>1885</v>
      </c>
      <c r="E631" s="8" t="s">
        <v>1886</v>
      </c>
      <c r="F631" s="8" t="s">
        <v>1887</v>
      </c>
    </row>
    <row r="632" spans="1:6" x14ac:dyDescent="0.15">
      <c r="A632" s="8" t="s">
        <v>1888</v>
      </c>
      <c r="B632" s="8" t="s">
        <v>164</v>
      </c>
      <c r="C632" s="8" t="str">
        <f t="shared" si="16"/>
        <v>att_ms_name:e2</v>
      </c>
      <c r="D632" s="8" t="s">
        <v>1888</v>
      </c>
      <c r="E632" s="8" t="s">
        <v>1889</v>
      </c>
      <c r="F632" s="8" t="s">
        <v>1890</v>
      </c>
    </row>
    <row r="633" spans="1:6" x14ac:dyDescent="0.15">
      <c r="A633" s="8" t="s">
        <v>1891</v>
      </c>
      <c r="B633" s="8" t="s">
        <v>164</v>
      </c>
      <c r="C633" s="8" t="str">
        <f t="shared" si="16"/>
        <v>att_ms_name:expl480</v>
      </c>
      <c r="D633" s="8" t="s">
        <v>1891</v>
      </c>
      <c r="E633" s="8" t="s">
        <v>1892</v>
      </c>
      <c r="F633" s="8" t="s">
        <v>1893</v>
      </c>
    </row>
    <row r="634" spans="1:6" x14ac:dyDescent="0.15">
      <c r="A634" s="8" t="s">
        <v>1894</v>
      </c>
      <c r="B634" s="8" t="s">
        <v>164</v>
      </c>
      <c r="C634" s="8" t="str">
        <f t="shared" si="16"/>
        <v>att_ms_name:ignarius</v>
      </c>
      <c r="D634" s="8" t="s">
        <v>1894</v>
      </c>
      <c r="E634" s="8" t="s">
        <v>1895</v>
      </c>
      <c r="F634" s="8" t="s">
        <v>1896</v>
      </c>
    </row>
    <row r="635" spans="1:6" x14ac:dyDescent="0.15">
      <c r="A635" s="8" t="s">
        <v>1897</v>
      </c>
      <c r="B635" s="8" t="s">
        <v>164</v>
      </c>
      <c r="C635" s="8" t="str">
        <f t="shared" si="16"/>
        <v>att_ms_name:timstof</v>
      </c>
      <c r="D635" s="8" t="s">
        <v>1897</v>
      </c>
      <c r="E635" s="8" t="s">
        <v>1898</v>
      </c>
      <c r="F635" s="8" t="s">
        <v>1899</v>
      </c>
    </row>
    <row r="636" spans="1:6" x14ac:dyDescent="0.15">
      <c r="A636" s="8" t="s">
        <v>1900</v>
      </c>
      <c r="B636" s="8" t="s">
        <v>174</v>
      </c>
      <c r="C636" s="8" t="str">
        <f t="shared" si="16"/>
        <v>att_ms2_resolution:120000res</v>
      </c>
      <c r="D636" s="9" t="s">
        <v>17</v>
      </c>
      <c r="E636" s="8">
        <v>120000</v>
      </c>
      <c r="F636" s="8" t="s">
        <v>1901</v>
      </c>
    </row>
    <row r="637" spans="1:6" x14ac:dyDescent="0.15">
      <c r="A637" s="8" t="s">
        <v>1902</v>
      </c>
      <c r="B637" s="8" t="s">
        <v>174</v>
      </c>
      <c r="C637" s="8" t="str">
        <f t="shared" si="16"/>
        <v>att_ms2_resolution:15000res</v>
      </c>
      <c r="D637" s="9" t="s">
        <v>17</v>
      </c>
      <c r="E637" s="8">
        <v>15000</v>
      </c>
      <c r="F637" s="8" t="s">
        <v>1901</v>
      </c>
    </row>
    <row r="638" spans="1:6" x14ac:dyDescent="0.15">
      <c r="A638" s="8" t="s">
        <v>1903</v>
      </c>
      <c r="B638" s="8" t="s">
        <v>174</v>
      </c>
      <c r="C638" s="8" t="str">
        <f t="shared" si="16"/>
        <v>att_ms2_resolution:17500res</v>
      </c>
      <c r="D638" s="9" t="s">
        <v>17</v>
      </c>
      <c r="E638" s="8">
        <v>17500</v>
      </c>
      <c r="F638" s="8" t="s">
        <v>1904</v>
      </c>
    </row>
    <row r="639" spans="1:6" x14ac:dyDescent="0.15">
      <c r="A639" s="8" t="s">
        <v>1905</v>
      </c>
      <c r="B639" s="8" t="s">
        <v>174</v>
      </c>
      <c r="C639" s="8" t="str">
        <f t="shared" si="16"/>
        <v>att_ms2_resolution:30000res</v>
      </c>
      <c r="D639" s="9" t="s">
        <v>17</v>
      </c>
      <c r="E639" s="8">
        <v>30000</v>
      </c>
      <c r="F639" s="8" t="s">
        <v>1901</v>
      </c>
    </row>
    <row r="640" spans="1:6" x14ac:dyDescent="0.15">
      <c r="A640" s="8" t="s">
        <v>1906</v>
      </c>
      <c r="B640" s="8" t="s">
        <v>174</v>
      </c>
      <c r="C640" s="8" t="str">
        <f t="shared" si="16"/>
        <v>att_ms2_resolution:35000res</v>
      </c>
      <c r="D640" s="9" t="s">
        <v>17</v>
      </c>
      <c r="E640" s="8">
        <v>35000</v>
      </c>
      <c r="F640" s="8" t="s">
        <v>1904</v>
      </c>
    </row>
    <row r="641" spans="1:6" x14ac:dyDescent="0.15">
      <c r="A641" s="8" t="s">
        <v>1907</v>
      </c>
      <c r="B641" s="8" t="s">
        <v>174</v>
      </c>
      <c r="C641" s="8" t="str">
        <f t="shared" si="16"/>
        <v>att_ms2_resolution:45000res</v>
      </c>
      <c r="D641" s="9" t="s">
        <v>17</v>
      </c>
      <c r="E641" s="8">
        <v>45000</v>
      </c>
      <c r="F641" s="8" t="s">
        <v>1901</v>
      </c>
    </row>
    <row r="642" spans="1:6" x14ac:dyDescent="0.15">
      <c r="A642" s="8" t="s">
        <v>1908</v>
      </c>
      <c r="B642" s="8" t="s">
        <v>174</v>
      </c>
      <c r="C642" s="8" t="str">
        <f t="shared" si="16"/>
        <v>att_ms2_resolution:60000res</v>
      </c>
      <c r="D642" s="9" t="s">
        <v>17</v>
      </c>
      <c r="E642" s="8">
        <v>60000</v>
      </c>
      <c r="F642" s="8" t="s">
        <v>1901</v>
      </c>
    </row>
    <row r="643" spans="1:6" x14ac:dyDescent="0.15">
      <c r="A643" s="8" t="s">
        <v>1909</v>
      </c>
      <c r="B643" s="8" t="s">
        <v>174</v>
      </c>
      <c r="C643" s="8" t="str">
        <f t="shared" si="16"/>
        <v>att_ms2_resolution:7500res</v>
      </c>
      <c r="D643" s="9" t="s">
        <v>17</v>
      </c>
      <c r="E643" s="8">
        <v>7500</v>
      </c>
      <c r="F643" s="8" t="s">
        <v>1901</v>
      </c>
    </row>
    <row r="644" spans="1:6" x14ac:dyDescent="0.15">
      <c r="A644" s="8" t="s">
        <v>1910</v>
      </c>
      <c r="B644" s="8" t="s">
        <v>179</v>
      </c>
      <c r="C644" s="8" t="str">
        <f t="shared" si="16"/>
        <v>att_muscle:ab</v>
      </c>
      <c r="D644" s="9" t="s">
        <v>17</v>
      </c>
      <c r="E644" s="8" t="s">
        <v>1911</v>
      </c>
      <c r="F644" s="8" t="s">
        <v>1912</v>
      </c>
    </row>
    <row r="645" spans="1:6" x14ac:dyDescent="0.15">
      <c r="A645" s="8" t="s">
        <v>1913</v>
      </c>
      <c r="B645" s="8" t="s">
        <v>179</v>
      </c>
      <c r="C645" s="8" t="str">
        <f t="shared" si="16"/>
        <v>att_muscle:al</v>
      </c>
      <c r="D645" s="9" t="s">
        <v>17</v>
      </c>
      <c r="E645" s="8" t="s">
        <v>1914</v>
      </c>
      <c r="F645" s="8" t="s">
        <v>1915</v>
      </c>
    </row>
    <row r="646" spans="1:6" x14ac:dyDescent="0.15">
      <c r="A646" s="8" t="s">
        <v>1916</v>
      </c>
      <c r="B646" s="8" t="s">
        <v>179</v>
      </c>
      <c r="C646" s="8" t="str">
        <f t="shared" si="16"/>
        <v>att_muscle:am</v>
      </c>
      <c r="D646" s="9" t="s">
        <v>17</v>
      </c>
      <c r="E646" s="8" t="s">
        <v>1917</v>
      </c>
      <c r="F646" s="8" t="s">
        <v>1918</v>
      </c>
    </row>
    <row r="647" spans="1:6" x14ac:dyDescent="0.15">
      <c r="A647" s="8" t="s">
        <v>1919</v>
      </c>
      <c r="B647" s="8" t="s">
        <v>179</v>
      </c>
      <c r="C647" s="8" t="str">
        <f t="shared" si="16"/>
        <v>att_muscle:an</v>
      </c>
      <c r="D647" s="9" t="s">
        <v>17</v>
      </c>
      <c r="E647" s="8" t="s">
        <v>1920</v>
      </c>
      <c r="F647" s="8" t="s">
        <v>1921</v>
      </c>
    </row>
    <row r="648" spans="1:6" x14ac:dyDescent="0.15">
      <c r="A648" s="8" t="s">
        <v>1922</v>
      </c>
      <c r="B648" s="8" t="s">
        <v>179</v>
      </c>
      <c r="C648" s="8" t="str">
        <f t="shared" si="16"/>
        <v>att_muscle:bbl</v>
      </c>
      <c r="D648" s="9" t="s">
        <v>17</v>
      </c>
      <c r="E648" s="8" t="s">
        <v>1923</v>
      </c>
      <c r="F648" s="8" t="s">
        <v>1924</v>
      </c>
    </row>
    <row r="649" spans="1:6" x14ac:dyDescent="0.15">
      <c r="A649" s="8" t="s">
        <v>1925</v>
      </c>
      <c r="B649" s="8" t="s">
        <v>179</v>
      </c>
      <c r="C649" s="8" t="str">
        <f t="shared" si="16"/>
        <v>att_muscle:bbs</v>
      </c>
      <c r="D649" s="9" t="s">
        <v>17</v>
      </c>
      <c r="E649" s="8" t="s">
        <v>1926</v>
      </c>
      <c r="F649" s="8" t="s">
        <v>1927</v>
      </c>
    </row>
    <row r="650" spans="1:6" x14ac:dyDescent="0.15">
      <c r="A650" s="8" t="s">
        <v>1928</v>
      </c>
      <c r="B650" s="8" t="s">
        <v>179</v>
      </c>
      <c r="C650" s="8" t="str">
        <f t="shared" si="16"/>
        <v>att_muscle:bfa</v>
      </c>
      <c r="D650" s="9" t="s">
        <v>17</v>
      </c>
      <c r="E650" s="8" t="s">
        <v>1929</v>
      </c>
      <c r="F650" s="8" t="s">
        <v>1930</v>
      </c>
    </row>
    <row r="651" spans="1:6" x14ac:dyDescent="0.15">
      <c r="A651" s="8" t="s">
        <v>1931</v>
      </c>
      <c r="B651" s="8" t="s">
        <v>179</v>
      </c>
      <c r="C651" s="8" t="str">
        <f t="shared" si="16"/>
        <v>att_muscle:bfp_ca</v>
      </c>
      <c r="D651" s="9" t="s">
        <v>17</v>
      </c>
      <c r="E651" s="8" t="s">
        <v>1932</v>
      </c>
      <c r="F651" s="8" t="s">
        <v>1933</v>
      </c>
    </row>
    <row r="652" spans="1:6" x14ac:dyDescent="0.15">
      <c r="A652" s="8" t="s">
        <v>1934</v>
      </c>
      <c r="B652" s="8" t="s">
        <v>179</v>
      </c>
      <c r="C652" s="8" t="str">
        <f t="shared" si="16"/>
        <v>att_muscle:bfp_cr</v>
      </c>
      <c r="D652" s="9" t="s">
        <v>17</v>
      </c>
      <c r="E652" s="8" t="s">
        <v>1935</v>
      </c>
      <c r="F652" s="8" t="s">
        <v>1936</v>
      </c>
    </row>
    <row r="653" spans="1:6" x14ac:dyDescent="0.15">
      <c r="A653" s="8" t="s">
        <v>1937</v>
      </c>
      <c r="B653" s="8" t="s">
        <v>179</v>
      </c>
      <c r="C653" s="8" t="str">
        <f t="shared" si="16"/>
        <v>att_muscle:bfp_mi</v>
      </c>
      <c r="D653" s="9" t="s">
        <v>17</v>
      </c>
      <c r="E653" s="8" t="s">
        <v>1938</v>
      </c>
      <c r="F653" s="8" t="s">
        <v>1939</v>
      </c>
    </row>
    <row r="654" spans="1:6" x14ac:dyDescent="0.15">
      <c r="A654" s="8" t="s">
        <v>1940</v>
      </c>
      <c r="B654" s="8" t="s">
        <v>179</v>
      </c>
      <c r="C654" s="8" t="str">
        <f t="shared" si="16"/>
        <v>att_muscle:bra</v>
      </c>
      <c r="D654" s="9" t="s">
        <v>17</v>
      </c>
      <c r="E654" s="8" t="s">
        <v>1941</v>
      </c>
      <c r="F654" s="8" t="s">
        <v>1942</v>
      </c>
    </row>
    <row r="655" spans="1:6" x14ac:dyDescent="0.15">
      <c r="A655" s="8" t="s">
        <v>1943</v>
      </c>
      <c r="B655" s="8" t="s">
        <v>179</v>
      </c>
      <c r="C655" s="8" t="str">
        <f t="shared" si="16"/>
        <v>att_muscle:cf</v>
      </c>
      <c r="D655" s="9" t="s">
        <v>17</v>
      </c>
      <c r="E655" s="8" t="s">
        <v>1944</v>
      </c>
      <c r="F655" s="8" t="s">
        <v>1945</v>
      </c>
    </row>
    <row r="656" spans="1:6" x14ac:dyDescent="0.15">
      <c r="A656" s="8" t="s">
        <v>1946</v>
      </c>
      <c r="B656" s="8" t="s">
        <v>179</v>
      </c>
      <c r="C656" s="8" t="str">
        <f t="shared" si="16"/>
        <v>att_muscle:cor</v>
      </c>
      <c r="D656" s="9" t="s">
        <v>17</v>
      </c>
      <c r="E656" s="8" t="s">
        <v>1947</v>
      </c>
      <c r="F656" s="8" t="s">
        <v>1948</v>
      </c>
    </row>
    <row r="657" spans="1:6" x14ac:dyDescent="0.15">
      <c r="A657" s="8" t="s">
        <v>1949</v>
      </c>
      <c r="B657" s="8" t="s">
        <v>179</v>
      </c>
      <c r="C657" s="8" t="str">
        <f t="shared" si="16"/>
        <v>att_muscle:ecrb</v>
      </c>
      <c r="D657" s="9" t="s">
        <v>17</v>
      </c>
      <c r="E657" s="8" t="s">
        <v>1950</v>
      </c>
      <c r="F657" s="8" t="s">
        <v>1951</v>
      </c>
    </row>
    <row r="658" spans="1:6" x14ac:dyDescent="0.15">
      <c r="A658" s="8" t="s">
        <v>1952</v>
      </c>
      <c r="B658" s="8" t="s">
        <v>179</v>
      </c>
      <c r="C658" s="8" t="str">
        <f t="shared" si="16"/>
        <v>att_muscle:ecrl</v>
      </c>
      <c r="D658" s="9" t="s">
        <v>17</v>
      </c>
      <c r="E658" s="8" t="s">
        <v>1953</v>
      </c>
      <c r="F658" s="8" t="s">
        <v>1954</v>
      </c>
    </row>
    <row r="659" spans="1:6" x14ac:dyDescent="0.15">
      <c r="A659" s="8" t="s">
        <v>1955</v>
      </c>
      <c r="B659" s="8" t="s">
        <v>179</v>
      </c>
      <c r="C659" s="8" t="str">
        <f t="shared" si="16"/>
        <v>att_muscle:ecu</v>
      </c>
      <c r="D659" s="9" t="s">
        <v>17</v>
      </c>
      <c r="E659" s="8" t="s">
        <v>1956</v>
      </c>
      <c r="F659" s="8" t="s">
        <v>1957</v>
      </c>
    </row>
    <row r="660" spans="1:6" x14ac:dyDescent="0.15">
      <c r="A660" s="8" t="s">
        <v>1958</v>
      </c>
      <c r="B660" s="8" t="s">
        <v>179</v>
      </c>
      <c r="C660" s="8" t="str">
        <f t="shared" si="16"/>
        <v>att_muscle:edl</v>
      </c>
      <c r="D660" s="9" t="s">
        <v>17</v>
      </c>
      <c r="E660" s="8" t="s">
        <v>1959</v>
      </c>
      <c r="F660" s="8" t="s">
        <v>1960</v>
      </c>
    </row>
    <row r="661" spans="1:6" x14ac:dyDescent="0.15">
      <c r="A661" s="8" t="s">
        <v>1961</v>
      </c>
      <c r="B661" s="8" t="s">
        <v>179</v>
      </c>
      <c r="C661" s="8" t="str">
        <f t="shared" si="16"/>
        <v>att_muscle:ehl</v>
      </c>
      <c r="D661" s="9" t="s">
        <v>17</v>
      </c>
      <c r="E661" s="8" t="s">
        <v>1962</v>
      </c>
      <c r="F661" s="8" t="s">
        <v>1963</v>
      </c>
    </row>
    <row r="662" spans="1:6" x14ac:dyDescent="0.15">
      <c r="A662" s="8" t="s">
        <v>1964</v>
      </c>
      <c r="B662" s="8" t="s">
        <v>179</v>
      </c>
      <c r="C662" s="8" t="str">
        <f t="shared" si="16"/>
        <v>att_muscle:eip1</v>
      </c>
      <c r="D662" s="9" t="s">
        <v>17</v>
      </c>
      <c r="E662" s="8" t="s">
        <v>1965</v>
      </c>
      <c r="F662" s="8" t="s">
        <v>1966</v>
      </c>
    </row>
    <row r="663" spans="1:6" x14ac:dyDescent="0.15">
      <c r="A663" s="8" t="s">
        <v>1967</v>
      </c>
      <c r="B663" s="8" t="s">
        <v>179</v>
      </c>
      <c r="C663" s="8" t="str">
        <f t="shared" si="16"/>
        <v>att_muscle:eip2</v>
      </c>
      <c r="D663" s="9" t="s">
        <v>17</v>
      </c>
      <c r="E663" s="8" t="s">
        <v>1968</v>
      </c>
      <c r="F663" s="8" t="s">
        <v>1969</v>
      </c>
    </row>
    <row r="664" spans="1:6" x14ac:dyDescent="0.15">
      <c r="A664" s="8" t="s">
        <v>1970</v>
      </c>
      <c r="B664" s="8" t="s">
        <v>179</v>
      </c>
      <c r="C664" s="8" t="str">
        <f t="shared" si="16"/>
        <v>att_muscle:fcr</v>
      </c>
      <c r="D664" s="9" t="s">
        <v>17</v>
      </c>
      <c r="E664" s="8" t="s">
        <v>1971</v>
      </c>
      <c r="F664" s="8" t="s">
        <v>1972</v>
      </c>
    </row>
    <row r="665" spans="1:6" x14ac:dyDescent="0.15">
      <c r="A665" s="8" t="s">
        <v>1973</v>
      </c>
      <c r="B665" s="8" t="s">
        <v>179</v>
      </c>
      <c r="C665" s="8" t="str">
        <f t="shared" si="16"/>
        <v>att_muscle:fcu</v>
      </c>
      <c r="D665" s="9" t="s">
        <v>17</v>
      </c>
      <c r="E665" s="8" t="s">
        <v>1974</v>
      </c>
      <c r="F665" s="8" t="s">
        <v>1975</v>
      </c>
    </row>
    <row r="666" spans="1:6" x14ac:dyDescent="0.15">
      <c r="A666" s="8" t="s">
        <v>1976</v>
      </c>
      <c r="B666" s="8" t="s">
        <v>179</v>
      </c>
      <c r="C666" s="8" t="str">
        <f t="shared" si="16"/>
        <v>att_muscle:fdl</v>
      </c>
      <c r="D666" s="9" t="s">
        <v>17</v>
      </c>
      <c r="E666" s="8" t="s">
        <v>1977</v>
      </c>
      <c r="F666" s="8" t="s">
        <v>1978</v>
      </c>
    </row>
    <row r="667" spans="1:6" x14ac:dyDescent="0.15">
      <c r="A667" s="8" t="s">
        <v>1979</v>
      </c>
      <c r="B667" s="8" t="s">
        <v>179</v>
      </c>
      <c r="C667" s="8" t="str">
        <f t="shared" si="16"/>
        <v>att_muscle:ga</v>
      </c>
      <c r="D667" s="9" t="s">
        <v>17</v>
      </c>
      <c r="E667" s="8" t="s">
        <v>1980</v>
      </c>
      <c r="F667" s="8" t="s">
        <v>1981</v>
      </c>
    </row>
    <row r="668" spans="1:6" x14ac:dyDescent="0.15">
      <c r="A668" s="8" t="s">
        <v>1982</v>
      </c>
      <c r="B668" s="8" t="s">
        <v>179</v>
      </c>
      <c r="C668" s="8" t="str">
        <f t="shared" si="16"/>
        <v>att_muscle:gem</v>
      </c>
      <c r="D668" s="9" t="s">
        <v>17</v>
      </c>
      <c r="E668" s="8" t="s">
        <v>1983</v>
      </c>
      <c r="F668" s="8" t="s">
        <v>1984</v>
      </c>
    </row>
    <row r="669" spans="1:6" x14ac:dyDescent="0.15">
      <c r="A669" s="8" t="s">
        <v>1985</v>
      </c>
      <c r="B669" s="8" t="s">
        <v>179</v>
      </c>
      <c r="C669" s="8" t="str">
        <f t="shared" si="16"/>
        <v>att_muscle:gm</v>
      </c>
      <c r="D669" s="9" t="s">
        <v>17</v>
      </c>
      <c r="E669" s="8" t="s">
        <v>1986</v>
      </c>
      <c r="F669" s="8" t="s">
        <v>1987</v>
      </c>
    </row>
    <row r="670" spans="1:6" x14ac:dyDescent="0.15">
      <c r="A670" s="8" t="s">
        <v>1988</v>
      </c>
      <c r="B670" s="8" t="s">
        <v>179</v>
      </c>
      <c r="C670" s="8" t="str">
        <f t="shared" si="16"/>
        <v>att_muscle:gm_dr</v>
      </c>
      <c r="D670" s="9" t="s">
        <v>17</v>
      </c>
      <c r="E670" s="8" t="s">
        <v>1989</v>
      </c>
      <c r="F670" s="8" t="s">
        <v>1990</v>
      </c>
    </row>
    <row r="671" spans="1:6" x14ac:dyDescent="0.15">
      <c r="A671" s="8" t="s">
        <v>1991</v>
      </c>
      <c r="B671" s="8" t="s">
        <v>179</v>
      </c>
      <c r="C671" s="8" t="str">
        <f t="shared" si="16"/>
        <v>att_muscle:gm_mi</v>
      </c>
      <c r="D671" s="9" t="s">
        <v>17</v>
      </c>
      <c r="E671" s="8" t="s">
        <v>1992</v>
      </c>
      <c r="F671" s="8" t="s">
        <v>1993</v>
      </c>
    </row>
    <row r="672" spans="1:6" x14ac:dyDescent="0.15">
      <c r="A672" s="8" t="s">
        <v>1994</v>
      </c>
      <c r="B672" s="8" t="s">
        <v>179</v>
      </c>
      <c r="C672" s="8" t="str">
        <f t="shared" si="16"/>
        <v>att_muscle:gm_ve</v>
      </c>
      <c r="D672" s="9" t="s">
        <v>17</v>
      </c>
      <c r="E672" s="8" t="s">
        <v>1995</v>
      </c>
      <c r="F672" s="8" t="s">
        <v>1996</v>
      </c>
    </row>
    <row r="673" spans="1:6" x14ac:dyDescent="0.15">
      <c r="A673" s="8" t="s">
        <v>1997</v>
      </c>
      <c r="B673" s="8" t="s">
        <v>179</v>
      </c>
      <c r="C673" s="8" t="str">
        <f t="shared" si="16"/>
        <v>att_muscle:gp</v>
      </c>
      <c r="D673" s="9" t="s">
        <v>17</v>
      </c>
      <c r="E673" s="8" t="s">
        <v>1998</v>
      </c>
      <c r="F673" s="8" t="s">
        <v>1999</v>
      </c>
    </row>
    <row r="674" spans="1:6" x14ac:dyDescent="0.15">
      <c r="A674" s="8" t="s">
        <v>2000</v>
      </c>
      <c r="B674" s="8" t="s">
        <v>179</v>
      </c>
      <c r="C674" s="8" t="str">
        <f t="shared" si="16"/>
        <v>att_muscle:ili</v>
      </c>
      <c r="D674" s="9" t="s">
        <v>17</v>
      </c>
      <c r="E674" s="8" t="s">
        <v>2001</v>
      </c>
      <c r="F674" s="8" t="s">
        <v>2002</v>
      </c>
    </row>
    <row r="675" spans="1:6" x14ac:dyDescent="0.15">
      <c r="A675" s="8" t="s">
        <v>2003</v>
      </c>
      <c r="B675" s="8" t="s">
        <v>179</v>
      </c>
      <c r="C675" s="8" t="str">
        <f t="shared" si="16"/>
        <v>att_muscle:lg</v>
      </c>
      <c r="D675" s="9" t="s">
        <v>17</v>
      </c>
      <c r="E675" s="8" t="s">
        <v>2004</v>
      </c>
      <c r="F675" s="8" t="s">
        <v>2005</v>
      </c>
    </row>
    <row r="676" spans="1:6" x14ac:dyDescent="0.15">
      <c r="A676" s="8" t="s">
        <v>2006</v>
      </c>
      <c r="B676" s="8" t="s">
        <v>179</v>
      </c>
      <c r="C676" s="8" t="str">
        <f t="shared" si="16"/>
        <v>att_muscle:mg</v>
      </c>
      <c r="D676" s="9" t="s">
        <v>17</v>
      </c>
      <c r="E676" s="8" t="s">
        <v>2007</v>
      </c>
      <c r="F676" s="8" t="s">
        <v>2008</v>
      </c>
    </row>
    <row r="677" spans="1:6" x14ac:dyDescent="0.15">
      <c r="A677" s="8" t="s">
        <v>2009</v>
      </c>
      <c r="B677" s="8" t="s">
        <v>179</v>
      </c>
      <c r="C677" s="8" t="str">
        <f t="shared" si="16"/>
        <v>att_muscle:oe</v>
      </c>
      <c r="D677" s="9" t="s">
        <v>17</v>
      </c>
      <c r="E677" s="8" t="s">
        <v>2010</v>
      </c>
      <c r="F677" s="8" t="s">
        <v>2011</v>
      </c>
    </row>
    <row r="678" spans="1:6" x14ac:dyDescent="0.15">
      <c r="A678" s="8" t="s">
        <v>2012</v>
      </c>
      <c r="B678" s="8" t="s">
        <v>179</v>
      </c>
      <c r="C678" s="8" t="str">
        <f t="shared" si="16"/>
        <v>att_muscle:oi</v>
      </c>
      <c r="D678" s="9" t="s">
        <v>17</v>
      </c>
      <c r="E678" s="8" t="s">
        <v>2013</v>
      </c>
      <c r="F678" s="8" t="s">
        <v>2014</v>
      </c>
    </row>
    <row r="679" spans="1:6" x14ac:dyDescent="0.15">
      <c r="A679" s="8" t="s">
        <v>2015</v>
      </c>
      <c r="B679" s="8" t="s">
        <v>179</v>
      </c>
      <c r="C679" s="8" t="str">
        <f t="shared" si="16"/>
        <v>att_muscle:pb</v>
      </c>
      <c r="D679" s="9" t="s">
        <v>17</v>
      </c>
      <c r="E679" s="8" t="s">
        <v>2016</v>
      </c>
      <c r="F679" s="8" t="s">
        <v>2017</v>
      </c>
    </row>
    <row r="680" spans="1:6" x14ac:dyDescent="0.15">
      <c r="A680" s="8" t="s">
        <v>2018</v>
      </c>
      <c r="B680" s="8" t="s">
        <v>179</v>
      </c>
      <c r="C680" s="8" t="str">
        <f t="shared" si="16"/>
        <v>att_muscle:pdqa</v>
      </c>
      <c r="D680" s="9" t="s">
        <v>17</v>
      </c>
      <c r="E680" s="8" t="s">
        <v>2019</v>
      </c>
      <c r="F680" s="8" t="s">
        <v>2020</v>
      </c>
    </row>
    <row r="681" spans="1:6" x14ac:dyDescent="0.15">
      <c r="A681" s="8" t="s">
        <v>2021</v>
      </c>
      <c r="B681" s="8" t="s">
        <v>179</v>
      </c>
      <c r="C681" s="8" t="str">
        <f t="shared" si="16"/>
        <v>att_muscle:pdqi</v>
      </c>
      <c r="D681" s="9" t="s">
        <v>17</v>
      </c>
      <c r="E681" s="8" t="s">
        <v>2022</v>
      </c>
      <c r="F681" s="8" t="s">
        <v>2023</v>
      </c>
    </row>
    <row r="682" spans="1:6" x14ac:dyDescent="0.15">
      <c r="A682" s="8" t="s">
        <v>2024</v>
      </c>
      <c r="B682" s="8" t="s">
        <v>179</v>
      </c>
      <c r="C682" s="8" t="str">
        <f t="shared" si="16"/>
        <v>att_muscle:pect</v>
      </c>
      <c r="D682" s="9" t="s">
        <v>17</v>
      </c>
      <c r="E682" s="8" t="s">
        <v>2025</v>
      </c>
      <c r="F682" s="8" t="s">
        <v>2026</v>
      </c>
    </row>
    <row r="683" spans="1:6" x14ac:dyDescent="0.15">
      <c r="A683" s="8" t="s">
        <v>2027</v>
      </c>
      <c r="B683" s="8" t="s">
        <v>179</v>
      </c>
      <c r="C683" s="8" t="str">
        <f t="shared" si="16"/>
        <v>att_muscle:pl</v>
      </c>
      <c r="D683" s="9" t="s">
        <v>17</v>
      </c>
      <c r="E683" s="8" t="s">
        <v>2028</v>
      </c>
      <c r="F683" s="8" t="s">
        <v>2029</v>
      </c>
    </row>
    <row r="684" spans="1:6" x14ac:dyDescent="0.15">
      <c r="A684" s="8" t="s">
        <v>2030</v>
      </c>
      <c r="B684" s="8" t="s">
        <v>179</v>
      </c>
      <c r="C684" s="8" t="str">
        <f t="shared" si="16"/>
        <v>att_muscle:plant</v>
      </c>
      <c r="D684" s="9" t="s">
        <v>17</v>
      </c>
      <c r="E684" s="8" t="s">
        <v>2031</v>
      </c>
      <c r="F684" s="8" t="s">
        <v>2032</v>
      </c>
    </row>
    <row r="685" spans="1:6" x14ac:dyDescent="0.15">
      <c r="A685" s="8" t="s">
        <v>2033</v>
      </c>
      <c r="B685" s="8" t="s">
        <v>179</v>
      </c>
      <c r="C685" s="8" t="str">
        <f t="shared" si="16"/>
        <v>att_muscle:plo</v>
      </c>
      <c r="D685" s="9" t="s">
        <v>17</v>
      </c>
      <c r="E685" s="8" t="s">
        <v>2034</v>
      </c>
      <c r="F685" s="8" t="s">
        <v>2035</v>
      </c>
    </row>
    <row r="686" spans="1:6" x14ac:dyDescent="0.15">
      <c r="A686" s="8" t="s">
        <v>2036</v>
      </c>
      <c r="B686" s="8" t="s">
        <v>179</v>
      </c>
      <c r="C686" s="8" t="str">
        <f t="shared" si="16"/>
        <v>att_muscle:pma</v>
      </c>
      <c r="D686" s="9" t="s">
        <v>17</v>
      </c>
      <c r="E686" s="8" t="s">
        <v>2037</v>
      </c>
      <c r="F686" s="8" t="s">
        <v>2038</v>
      </c>
    </row>
    <row r="687" spans="1:6" x14ac:dyDescent="0.15">
      <c r="A687" s="8" t="s">
        <v>2039</v>
      </c>
      <c r="B687" s="8" t="s">
        <v>179</v>
      </c>
      <c r="C687" s="8" t="str">
        <f t="shared" si="16"/>
        <v>att_muscle:pmi</v>
      </c>
      <c r="D687" s="9" t="s">
        <v>17</v>
      </c>
      <c r="E687" s="8" t="s">
        <v>2040</v>
      </c>
      <c r="F687" s="8" t="s">
        <v>2041</v>
      </c>
    </row>
    <row r="688" spans="1:6" x14ac:dyDescent="0.15">
      <c r="A688" s="8" t="s">
        <v>2042</v>
      </c>
      <c r="B688" s="8" t="s">
        <v>179</v>
      </c>
      <c r="C688" s="8" t="str">
        <f t="shared" si="16"/>
        <v>att_muscle:pop</v>
      </c>
      <c r="D688" s="9" t="s">
        <v>17</v>
      </c>
      <c r="E688" s="8" t="s">
        <v>2043</v>
      </c>
      <c r="F688" s="8" t="s">
        <v>2044</v>
      </c>
    </row>
    <row r="689" spans="1:6" x14ac:dyDescent="0.15">
      <c r="A689" s="8" t="s">
        <v>2045</v>
      </c>
      <c r="B689" s="8" t="s">
        <v>179</v>
      </c>
      <c r="C689" s="8" t="str">
        <f t="shared" ref="C689:C753" si="17">B689&amp;":"&amp;A689</f>
        <v>att_muscle:pt</v>
      </c>
      <c r="D689" s="9" t="s">
        <v>17</v>
      </c>
      <c r="E689" s="8" t="s">
        <v>2046</v>
      </c>
      <c r="F689" s="8" t="s">
        <v>2047</v>
      </c>
    </row>
    <row r="690" spans="1:6" x14ac:dyDescent="0.15">
      <c r="A690" s="8" t="s">
        <v>2048</v>
      </c>
      <c r="B690" s="8" t="s">
        <v>179</v>
      </c>
      <c r="C690" s="8" t="str">
        <f t="shared" si="17"/>
        <v>att_muscle:pte</v>
      </c>
      <c r="D690" s="9" t="s">
        <v>17</v>
      </c>
      <c r="E690" s="8" t="s">
        <v>2049</v>
      </c>
      <c r="F690" s="8" t="s">
        <v>2050</v>
      </c>
    </row>
    <row r="691" spans="1:6" x14ac:dyDescent="0.15">
      <c r="A691" s="8" t="s">
        <v>2051</v>
      </c>
      <c r="B691" s="8" t="s">
        <v>179</v>
      </c>
      <c r="C691" s="8" t="str">
        <f t="shared" si="17"/>
        <v>att_muscle:qf</v>
      </c>
      <c r="D691" s="9" t="s">
        <v>17</v>
      </c>
      <c r="E691" s="8" t="s">
        <v>2052</v>
      </c>
      <c r="F691" s="8" t="s">
        <v>2053</v>
      </c>
    </row>
    <row r="692" spans="1:6" x14ac:dyDescent="0.15">
      <c r="A692" s="8" t="s">
        <v>2054</v>
      </c>
      <c r="B692" s="8" t="s">
        <v>179</v>
      </c>
      <c r="C692" s="8" t="str">
        <f t="shared" si="17"/>
        <v>att_muscle:rf</v>
      </c>
      <c r="D692" s="9" t="s">
        <v>17</v>
      </c>
      <c r="E692" s="8" t="s">
        <v>2055</v>
      </c>
      <c r="F692" s="8" t="s">
        <v>2056</v>
      </c>
    </row>
    <row r="693" spans="1:6" x14ac:dyDescent="0.15">
      <c r="A693" s="8" t="s">
        <v>2057</v>
      </c>
      <c r="B693" s="8" t="s">
        <v>179</v>
      </c>
      <c r="C693" s="8" t="str">
        <f t="shared" si="17"/>
        <v>att_muscle:sm</v>
      </c>
      <c r="D693" s="9" t="s">
        <v>17</v>
      </c>
      <c r="E693" s="8" t="s">
        <v>2058</v>
      </c>
      <c r="F693" s="8" t="s">
        <v>2059</v>
      </c>
    </row>
    <row r="694" spans="1:6" x14ac:dyDescent="0.15">
      <c r="A694" s="8" t="s">
        <v>2060</v>
      </c>
      <c r="B694" s="8" t="s">
        <v>179</v>
      </c>
      <c r="C694" s="8" t="str">
        <f t="shared" si="17"/>
        <v>att_muscle:sol</v>
      </c>
      <c r="D694" s="9" t="s">
        <v>17</v>
      </c>
      <c r="E694" s="8" t="s">
        <v>2061</v>
      </c>
      <c r="F694" s="8" t="s">
        <v>2062</v>
      </c>
    </row>
    <row r="695" spans="1:6" x14ac:dyDescent="0.15">
      <c r="A695" s="8" t="s">
        <v>2063</v>
      </c>
      <c r="B695" s="8" t="s">
        <v>179</v>
      </c>
      <c r="C695" s="8" t="str">
        <f t="shared" si="17"/>
        <v>att_muscle:st</v>
      </c>
      <c r="D695" s="9" t="s">
        <v>17</v>
      </c>
      <c r="E695" s="8" t="s">
        <v>2064</v>
      </c>
      <c r="F695" s="8" t="s">
        <v>2065</v>
      </c>
    </row>
    <row r="696" spans="1:6" x14ac:dyDescent="0.15">
      <c r="A696" s="8" t="s">
        <v>2066</v>
      </c>
      <c r="B696" s="8" t="s">
        <v>179</v>
      </c>
      <c r="C696" s="8" t="str">
        <f t="shared" si="17"/>
        <v>att_muscle:ta</v>
      </c>
      <c r="D696" s="9" t="s">
        <v>17</v>
      </c>
      <c r="E696" s="8" t="s">
        <v>2067</v>
      </c>
      <c r="F696" s="8" t="s">
        <v>2068</v>
      </c>
    </row>
    <row r="697" spans="1:6" x14ac:dyDescent="0.15">
      <c r="A697" s="8" t="s">
        <v>2069</v>
      </c>
      <c r="B697" s="8" t="s">
        <v>179</v>
      </c>
      <c r="C697" s="8" t="str">
        <f t="shared" si="17"/>
        <v>att_muscle:tbl</v>
      </c>
      <c r="D697" s="9" t="s">
        <v>17</v>
      </c>
      <c r="E697" s="8" t="s">
        <v>2070</v>
      </c>
      <c r="F697" s="8" t="s">
        <v>2071</v>
      </c>
    </row>
    <row r="698" spans="1:6" x14ac:dyDescent="0.15">
      <c r="A698" s="8" t="s">
        <v>2072</v>
      </c>
      <c r="B698" s="8" t="s">
        <v>179</v>
      </c>
      <c r="C698" s="8" t="str">
        <f t="shared" si="17"/>
        <v>att_muscle:tbm</v>
      </c>
      <c r="D698" s="9" t="s">
        <v>17</v>
      </c>
      <c r="E698" s="8" t="s">
        <v>2073</v>
      </c>
      <c r="F698" s="8" t="s">
        <v>2074</v>
      </c>
    </row>
    <row r="699" spans="1:6" x14ac:dyDescent="0.15">
      <c r="A699" s="8" t="s">
        <v>2075</v>
      </c>
      <c r="B699" s="8" t="s">
        <v>179</v>
      </c>
      <c r="C699" s="8" t="str">
        <f t="shared" si="17"/>
        <v>att_muscle:tbo</v>
      </c>
      <c r="D699" s="9" t="s">
        <v>17</v>
      </c>
      <c r="E699" s="8" t="s">
        <v>2076</v>
      </c>
      <c r="F699" s="8" t="s">
        <v>2077</v>
      </c>
    </row>
    <row r="700" spans="1:6" x14ac:dyDescent="0.15">
      <c r="A700" s="8" t="s">
        <v>2078</v>
      </c>
      <c r="B700" s="8" t="s">
        <v>179</v>
      </c>
      <c r="C700" s="8" t="str">
        <f t="shared" si="17"/>
        <v>att_muscle:tp</v>
      </c>
      <c r="D700" s="9" t="s">
        <v>17</v>
      </c>
      <c r="E700" s="8" t="s">
        <v>2079</v>
      </c>
      <c r="F700" s="8" t="s">
        <v>2080</v>
      </c>
    </row>
    <row r="701" spans="1:6" x14ac:dyDescent="0.15">
      <c r="A701" s="8" t="s">
        <v>2081</v>
      </c>
      <c r="B701" s="8" t="s">
        <v>179</v>
      </c>
      <c r="C701" s="8" t="str">
        <f t="shared" si="17"/>
        <v>att_muscle:vi</v>
      </c>
      <c r="D701" s="9" t="s">
        <v>17</v>
      </c>
      <c r="E701" s="8" t="s">
        <v>2082</v>
      </c>
      <c r="F701" s="8" t="s">
        <v>2083</v>
      </c>
    </row>
    <row r="702" spans="1:6" x14ac:dyDescent="0.15">
      <c r="A702" s="8" t="s">
        <v>2084</v>
      </c>
      <c r="B702" s="8" t="s">
        <v>179</v>
      </c>
      <c r="C702" s="8" t="str">
        <f t="shared" si="17"/>
        <v>att_muscle:vl</v>
      </c>
      <c r="D702" s="9" t="s">
        <v>17</v>
      </c>
      <c r="E702" s="8" t="s">
        <v>2085</v>
      </c>
      <c r="F702" s="8" t="s">
        <v>2086</v>
      </c>
    </row>
    <row r="703" spans="1:6" x14ac:dyDescent="0.15">
      <c r="A703" s="8" t="s">
        <v>2087</v>
      </c>
      <c r="B703" s="8" t="s">
        <v>179</v>
      </c>
      <c r="C703" s="8" t="str">
        <f t="shared" si="17"/>
        <v>att_muscle:vm</v>
      </c>
      <c r="D703" s="9" t="s">
        <v>17</v>
      </c>
      <c r="E703" s="8" t="s">
        <v>2088</v>
      </c>
      <c r="F703" s="8" t="s">
        <v>2089</v>
      </c>
    </row>
    <row r="704" spans="1:6" x14ac:dyDescent="0.15">
      <c r="A704" s="8" t="s">
        <v>2816</v>
      </c>
      <c r="B704" s="8" t="s">
        <v>179</v>
      </c>
      <c r="C704" s="8" t="str">
        <f t="shared" si="17"/>
        <v>att_muscle:quad</v>
      </c>
      <c r="D704" s="9" t="s">
        <v>17</v>
      </c>
      <c r="E704" s="8" t="s">
        <v>2817</v>
      </c>
      <c r="F704" s="8" t="s">
        <v>2818</v>
      </c>
    </row>
    <row r="705" spans="1:6" x14ac:dyDescent="0.15">
      <c r="A705" s="8" t="s">
        <v>2090</v>
      </c>
      <c r="B705" s="8" t="s">
        <v>182</v>
      </c>
      <c r="C705" s="8" t="str">
        <f t="shared" si="17"/>
        <v>att_offline_frac_instrument:zirconium</v>
      </c>
      <c r="D705" s="9" t="s">
        <v>17</v>
      </c>
      <c r="E705" s="8" t="s">
        <v>2091</v>
      </c>
      <c r="F705" s="8" t="s">
        <v>2092</v>
      </c>
    </row>
    <row r="706" spans="1:6" x14ac:dyDescent="0.15">
      <c r="A706" s="8" t="s">
        <v>2093</v>
      </c>
      <c r="B706" s="8" t="s">
        <v>183</v>
      </c>
      <c r="C706" s="8" t="str">
        <f t="shared" si="17"/>
        <v>att_offline_fractionation:bgpage</v>
      </c>
      <c r="D706" s="9" t="s">
        <v>17</v>
      </c>
      <c r="E706" s="8" t="s">
        <v>2094</v>
      </c>
      <c r="F706" s="8" t="s">
        <v>2095</v>
      </c>
    </row>
    <row r="707" spans="1:6" x14ac:dyDescent="0.15">
      <c r="A707" s="8" t="s">
        <v>2096</v>
      </c>
      <c r="B707" s="8" t="s">
        <v>183</v>
      </c>
      <c r="C707" s="8" t="str">
        <f t="shared" si="17"/>
        <v>att_offline_fractionation:highph_hplc</v>
      </c>
      <c r="D707" s="9" t="s">
        <v>17</v>
      </c>
      <c r="E707" s="8" t="s">
        <v>2097</v>
      </c>
      <c r="F707" s="8" t="s">
        <v>2098</v>
      </c>
    </row>
    <row r="708" spans="1:6" x14ac:dyDescent="0.15">
      <c r="A708" s="8" t="s">
        <v>2099</v>
      </c>
      <c r="B708" s="8" t="s">
        <v>183</v>
      </c>
      <c r="C708" s="8" t="str">
        <f t="shared" si="17"/>
        <v>att_offline_fractionation:highph_tip</v>
      </c>
      <c r="D708" s="9" t="s">
        <v>17</v>
      </c>
      <c r="E708" s="8" t="s">
        <v>2100</v>
      </c>
      <c r="F708" s="8" t="s">
        <v>2101</v>
      </c>
    </row>
    <row r="709" spans="1:6" x14ac:dyDescent="0.15">
      <c r="A709" s="8" t="s">
        <v>2102</v>
      </c>
      <c r="B709" s="8" t="s">
        <v>183</v>
      </c>
      <c r="C709" s="8" t="str">
        <f t="shared" si="17"/>
        <v>att_offline_fractionation:sax</v>
      </c>
      <c r="D709" s="9" t="s">
        <v>17</v>
      </c>
      <c r="E709" s="8" t="s">
        <v>2103</v>
      </c>
      <c r="F709" s="8" t="s">
        <v>2104</v>
      </c>
    </row>
    <row r="710" spans="1:6" x14ac:dyDescent="0.15">
      <c r="A710" s="8" t="s">
        <v>2105</v>
      </c>
      <c r="B710" s="8" t="s">
        <v>183</v>
      </c>
      <c r="C710" s="8" t="str">
        <f t="shared" si="17"/>
        <v>att_offline_fractionation:scx</v>
      </c>
      <c r="D710" s="9" t="s">
        <v>17</v>
      </c>
      <c r="E710" s="8" t="s">
        <v>2106</v>
      </c>
      <c r="F710" s="8" t="s">
        <v>2107</v>
      </c>
    </row>
    <row r="711" spans="1:6" x14ac:dyDescent="0.15">
      <c r="A711" s="8" t="s">
        <v>2108</v>
      </c>
      <c r="B711" s="8" t="s">
        <v>183</v>
      </c>
      <c r="C711" s="8" t="str">
        <f t="shared" si="17"/>
        <v>att_offline_fractionation:sdspage</v>
      </c>
      <c r="D711" s="9" t="s">
        <v>17</v>
      </c>
      <c r="E711" s="8" t="s">
        <v>2109</v>
      </c>
      <c r="F711" s="8" t="s">
        <v>2110</v>
      </c>
    </row>
    <row r="712" spans="1:6" x14ac:dyDescent="0.15">
      <c r="A712" s="8" t="s">
        <v>2111</v>
      </c>
      <c r="B712" s="8" t="s">
        <v>193</v>
      </c>
      <c r="C712" s="8" t="str">
        <f t="shared" si="17"/>
        <v>att_omics_type:proteomics</v>
      </c>
      <c r="D712" s="9" t="s">
        <v>17</v>
      </c>
      <c r="E712" s="8" t="s">
        <v>2112</v>
      </c>
      <c r="F712" s="8" t="s">
        <v>2113</v>
      </c>
    </row>
    <row r="713" spans="1:6" x14ac:dyDescent="0.15">
      <c r="A713" s="8" t="s">
        <v>2114</v>
      </c>
      <c r="B713" s="8" t="s">
        <v>180</v>
      </c>
      <c r="C713" s="8" t="str">
        <f t="shared" si="17"/>
        <v>att_organ:appendix</v>
      </c>
      <c r="D713" s="8" t="s">
        <v>2114</v>
      </c>
      <c r="E713" s="8" t="s">
        <v>2115</v>
      </c>
      <c r="F713" s="8" t="s">
        <v>2115</v>
      </c>
    </row>
    <row r="714" spans="1:6" x14ac:dyDescent="0.15">
      <c r="A714" s="8" t="s">
        <v>2116</v>
      </c>
      <c r="B714" s="8" t="s">
        <v>180</v>
      </c>
      <c r="C714" s="8" t="str">
        <f t="shared" si="17"/>
        <v>att_organ:arteries</v>
      </c>
      <c r="D714" s="8" t="s">
        <v>2116</v>
      </c>
      <c r="E714" s="8" t="s">
        <v>2117</v>
      </c>
      <c r="F714" s="8" t="s">
        <v>2117</v>
      </c>
    </row>
    <row r="715" spans="1:6" x14ac:dyDescent="0.15">
      <c r="A715" s="8" t="s">
        <v>2118</v>
      </c>
      <c r="B715" s="8" t="s">
        <v>180</v>
      </c>
      <c r="C715" s="8" t="str">
        <f t="shared" si="17"/>
        <v>att_organ:bladder</v>
      </c>
      <c r="D715" s="8" t="s">
        <v>2118</v>
      </c>
      <c r="E715" s="8" t="s">
        <v>2119</v>
      </c>
      <c r="F715" s="8" t="s">
        <v>2119</v>
      </c>
    </row>
    <row r="716" spans="1:6" x14ac:dyDescent="0.15">
      <c r="A716" s="8" t="s">
        <v>2120</v>
      </c>
      <c r="B716" s="8" t="s">
        <v>180</v>
      </c>
      <c r="C716" s="8" t="str">
        <f t="shared" si="17"/>
        <v>att_organ:bone_marrow</v>
      </c>
      <c r="D716" s="8" t="s">
        <v>2120</v>
      </c>
      <c r="E716" s="8" t="s">
        <v>2121</v>
      </c>
      <c r="F716" s="8" t="s">
        <v>2121</v>
      </c>
    </row>
    <row r="717" spans="1:6" x14ac:dyDescent="0.15">
      <c r="A717" s="8" t="s">
        <v>2122</v>
      </c>
      <c r="B717" s="8" t="s">
        <v>180</v>
      </c>
      <c r="C717" s="8" t="str">
        <f t="shared" si="17"/>
        <v>att_organ:brain</v>
      </c>
      <c r="D717" s="8" t="s">
        <v>2122</v>
      </c>
      <c r="E717" s="8" t="s">
        <v>2123</v>
      </c>
      <c r="F717" s="8" t="s">
        <v>2123</v>
      </c>
    </row>
    <row r="718" spans="1:6" x14ac:dyDescent="0.15">
      <c r="A718" s="8" t="s">
        <v>2124</v>
      </c>
      <c r="B718" s="8" t="s">
        <v>180</v>
      </c>
      <c r="C718" s="8" t="str">
        <f t="shared" si="17"/>
        <v>att_organ:bronchi</v>
      </c>
      <c r="D718" s="8" t="s">
        <v>2124</v>
      </c>
      <c r="E718" s="8" t="s">
        <v>2125</v>
      </c>
      <c r="F718" s="8" t="s">
        <v>2125</v>
      </c>
    </row>
    <row r="719" spans="1:6" x14ac:dyDescent="0.15">
      <c r="A719" s="8" t="s">
        <v>2126</v>
      </c>
      <c r="B719" s="8" t="s">
        <v>180</v>
      </c>
      <c r="C719" s="8" t="str">
        <f t="shared" si="17"/>
        <v>att_organ:cecum</v>
      </c>
      <c r="D719" s="8" t="s">
        <v>2126</v>
      </c>
      <c r="E719" s="8" t="s">
        <v>2127</v>
      </c>
      <c r="F719" s="8" t="s">
        <v>2127</v>
      </c>
    </row>
    <row r="720" spans="1:6" x14ac:dyDescent="0.15">
      <c r="A720" s="8" t="s">
        <v>2128</v>
      </c>
      <c r="B720" s="8" t="s">
        <v>180</v>
      </c>
      <c r="C720" s="8" t="str">
        <f t="shared" si="17"/>
        <v>att_organ:cerebellum</v>
      </c>
      <c r="D720" s="8" t="s">
        <v>2128</v>
      </c>
      <c r="E720" s="8" t="s">
        <v>2129</v>
      </c>
      <c r="F720" s="8" t="s">
        <v>2129</v>
      </c>
    </row>
    <row r="721" spans="1:6" x14ac:dyDescent="0.15">
      <c r="A721" s="8" t="s">
        <v>2130</v>
      </c>
      <c r="B721" s="8" t="s">
        <v>180</v>
      </c>
      <c r="C721" s="8" t="str">
        <f t="shared" si="17"/>
        <v>att_organ:cerebrum</v>
      </c>
      <c r="D721" s="8" t="s">
        <v>2130</v>
      </c>
      <c r="E721" s="8" t="s">
        <v>2131</v>
      </c>
      <c r="F721" s="8" t="s">
        <v>2131</v>
      </c>
    </row>
    <row r="722" spans="1:6" x14ac:dyDescent="0.15">
      <c r="A722" s="8" t="s">
        <v>2132</v>
      </c>
      <c r="B722" s="8" t="s">
        <v>180</v>
      </c>
      <c r="C722" s="8" t="str">
        <f t="shared" si="17"/>
        <v>att_organ:ear</v>
      </c>
      <c r="D722" s="8" t="s">
        <v>2132</v>
      </c>
      <c r="E722" s="8" t="s">
        <v>2133</v>
      </c>
      <c r="F722" s="8" t="s">
        <v>2133</v>
      </c>
    </row>
    <row r="723" spans="1:6" x14ac:dyDescent="0.15">
      <c r="A723" s="8" t="s">
        <v>2134</v>
      </c>
      <c r="B723" s="8" t="s">
        <v>180</v>
      </c>
      <c r="C723" s="8" t="str">
        <f t="shared" si="17"/>
        <v>att_organ:esophagus</v>
      </c>
      <c r="D723" s="8" t="s">
        <v>2134</v>
      </c>
      <c r="E723" s="8" t="s">
        <v>2135</v>
      </c>
      <c r="F723" s="8" t="s">
        <v>2135</v>
      </c>
    </row>
    <row r="724" spans="1:6" x14ac:dyDescent="0.15">
      <c r="A724" s="8" t="s">
        <v>2136</v>
      </c>
      <c r="B724" s="8" t="s">
        <v>180</v>
      </c>
      <c r="C724" s="8" t="str">
        <f t="shared" si="17"/>
        <v>att_organ:eye</v>
      </c>
      <c r="D724" s="8" t="s">
        <v>2136</v>
      </c>
      <c r="E724" s="8" t="s">
        <v>2137</v>
      </c>
      <c r="F724" s="8" t="s">
        <v>2137</v>
      </c>
    </row>
    <row r="725" spans="1:6" x14ac:dyDescent="0.15">
      <c r="A725" s="8" t="s">
        <v>2138</v>
      </c>
      <c r="B725" s="8" t="s">
        <v>180</v>
      </c>
      <c r="C725" s="8" t="str">
        <f t="shared" si="17"/>
        <v>att_organ:gallbladder</v>
      </c>
      <c r="D725" s="8" t="s">
        <v>2138</v>
      </c>
      <c r="E725" s="8" t="s">
        <v>2139</v>
      </c>
      <c r="F725" s="8" t="s">
        <v>2139</v>
      </c>
    </row>
    <row r="726" spans="1:6" x14ac:dyDescent="0.15">
      <c r="A726" s="8" t="s">
        <v>2140</v>
      </c>
      <c r="B726" s="8" t="s">
        <v>180</v>
      </c>
      <c r="C726" s="8" t="str">
        <f t="shared" si="17"/>
        <v>att_organ:ganglia</v>
      </c>
      <c r="D726" s="8" t="s">
        <v>2140</v>
      </c>
      <c r="E726" s="8" t="s">
        <v>2141</v>
      </c>
      <c r="F726" s="8" t="s">
        <v>2141</v>
      </c>
    </row>
    <row r="727" spans="1:6" x14ac:dyDescent="0.15">
      <c r="A727" s="8" t="s">
        <v>2142</v>
      </c>
      <c r="B727" s="8" t="s">
        <v>180</v>
      </c>
      <c r="C727" s="8" t="str">
        <f t="shared" si="17"/>
        <v>att_organ:heart</v>
      </c>
      <c r="D727" s="8" t="s">
        <v>2142</v>
      </c>
      <c r="E727" s="8" t="s">
        <v>2143</v>
      </c>
      <c r="F727" s="8" t="s">
        <v>2143</v>
      </c>
    </row>
    <row r="728" spans="1:6" x14ac:dyDescent="0.15">
      <c r="A728" s="8" t="s">
        <v>2144</v>
      </c>
      <c r="B728" s="8" t="s">
        <v>180</v>
      </c>
      <c r="C728" s="8" t="str">
        <f t="shared" si="17"/>
        <v>att_organ:hypothalamus</v>
      </c>
      <c r="D728" s="8" t="s">
        <v>2144</v>
      </c>
      <c r="E728" s="8" t="s">
        <v>2145</v>
      </c>
      <c r="F728" s="8" t="s">
        <v>2145</v>
      </c>
    </row>
    <row r="729" spans="1:6" x14ac:dyDescent="0.15">
      <c r="A729" s="8" t="s">
        <v>2146</v>
      </c>
      <c r="B729" s="8" t="s">
        <v>180</v>
      </c>
      <c r="C729" s="8" t="str">
        <f t="shared" si="17"/>
        <v>att_organ:kidney</v>
      </c>
      <c r="D729" s="8" t="s">
        <v>2146</v>
      </c>
      <c r="E729" s="8" t="s">
        <v>2147</v>
      </c>
      <c r="F729" s="8" t="s">
        <v>2147</v>
      </c>
    </row>
    <row r="730" spans="1:6" x14ac:dyDescent="0.15">
      <c r="A730" s="8" t="s">
        <v>2148</v>
      </c>
      <c r="B730" s="8" t="s">
        <v>180</v>
      </c>
      <c r="C730" s="8" t="str">
        <f t="shared" si="17"/>
        <v>att_organ:large_intestine</v>
      </c>
      <c r="D730" s="8" t="s">
        <v>2149</v>
      </c>
      <c r="E730" s="8" t="s">
        <v>2150</v>
      </c>
      <c r="F730" s="8" t="s">
        <v>2151</v>
      </c>
    </row>
    <row r="731" spans="1:6" x14ac:dyDescent="0.15">
      <c r="A731" s="8" t="s">
        <v>2152</v>
      </c>
      <c r="B731" s="8" t="s">
        <v>180</v>
      </c>
      <c r="C731" s="8" t="str">
        <f t="shared" si="17"/>
        <v>att_organ:liver</v>
      </c>
      <c r="D731" s="8" t="s">
        <v>2152</v>
      </c>
      <c r="E731" s="8" t="s">
        <v>2153</v>
      </c>
      <c r="F731" s="8" t="s">
        <v>2153</v>
      </c>
    </row>
    <row r="732" spans="1:6" x14ac:dyDescent="0.15">
      <c r="A732" s="8" t="s">
        <v>2154</v>
      </c>
      <c r="B732" s="8" t="s">
        <v>180</v>
      </c>
      <c r="C732" s="8" t="str">
        <f t="shared" si="17"/>
        <v>att_organ:lung</v>
      </c>
      <c r="D732" s="8" t="s">
        <v>2154</v>
      </c>
      <c r="E732" s="8" t="s">
        <v>2155</v>
      </c>
      <c r="F732" s="8" t="s">
        <v>2155</v>
      </c>
    </row>
    <row r="733" spans="1:6" x14ac:dyDescent="0.15">
      <c r="A733" s="8" t="s">
        <v>2156</v>
      </c>
      <c r="B733" s="8" t="s">
        <v>180</v>
      </c>
      <c r="C733" s="8" t="str">
        <f t="shared" si="17"/>
        <v>att_organ:lymph_node</v>
      </c>
      <c r="D733" s="8" t="s">
        <v>1212</v>
      </c>
      <c r="E733" s="8" t="s">
        <v>2157</v>
      </c>
      <c r="F733" s="8" t="s">
        <v>2157</v>
      </c>
    </row>
    <row r="734" spans="1:6" x14ac:dyDescent="0.15">
      <c r="A734" s="8" t="s">
        <v>2158</v>
      </c>
      <c r="B734" s="8" t="s">
        <v>180</v>
      </c>
      <c r="C734" s="8" t="str">
        <f t="shared" si="17"/>
        <v>att_organ:medulla</v>
      </c>
      <c r="D734" s="8" t="s">
        <v>2158</v>
      </c>
      <c r="E734" s="8" t="s">
        <v>2159</v>
      </c>
      <c r="F734" s="8" t="s">
        <v>2159</v>
      </c>
    </row>
    <row r="735" spans="1:6" x14ac:dyDescent="0.15">
      <c r="A735" s="8" t="s">
        <v>2160</v>
      </c>
      <c r="B735" s="8" t="s">
        <v>180</v>
      </c>
      <c r="C735" s="8" t="str">
        <f t="shared" si="17"/>
        <v>att_organ:mesentery</v>
      </c>
      <c r="D735" s="8" t="s">
        <v>2160</v>
      </c>
      <c r="E735" s="8" t="s">
        <v>2161</v>
      </c>
      <c r="F735" s="8" t="s">
        <v>2161</v>
      </c>
    </row>
    <row r="736" spans="1:6" x14ac:dyDescent="0.15">
      <c r="A736" s="8" t="s">
        <v>2162</v>
      </c>
      <c r="B736" s="8" t="s">
        <v>180</v>
      </c>
      <c r="C736" s="8" t="str">
        <f t="shared" si="17"/>
        <v>att_organ:midbrain</v>
      </c>
      <c r="D736" s="8" t="s">
        <v>2162</v>
      </c>
      <c r="E736" s="8" t="s">
        <v>2163</v>
      </c>
      <c r="F736" s="8" t="s">
        <v>2163</v>
      </c>
    </row>
    <row r="737" spans="1:6" x14ac:dyDescent="0.15">
      <c r="A737" s="8" t="s">
        <v>2164</v>
      </c>
      <c r="B737" s="8" t="s">
        <v>180</v>
      </c>
      <c r="C737" s="8" t="str">
        <f t="shared" si="17"/>
        <v>att_organ:ovaries</v>
      </c>
      <c r="D737" s="8" t="s">
        <v>2164</v>
      </c>
      <c r="E737" s="8" t="s">
        <v>2165</v>
      </c>
      <c r="F737" s="8" t="s">
        <v>2165</v>
      </c>
    </row>
    <row r="738" spans="1:6" x14ac:dyDescent="0.15">
      <c r="A738" s="8" t="s">
        <v>2166</v>
      </c>
      <c r="B738" s="8" t="s">
        <v>180</v>
      </c>
      <c r="C738" s="8" t="str">
        <f t="shared" si="17"/>
        <v>att_organ:pancreas</v>
      </c>
      <c r="D738" s="8" t="s">
        <v>2166</v>
      </c>
      <c r="E738" s="8" t="s">
        <v>2167</v>
      </c>
      <c r="F738" s="8" t="s">
        <v>2167</v>
      </c>
    </row>
    <row r="739" spans="1:6" x14ac:dyDescent="0.15">
      <c r="A739" s="8" t="s">
        <v>2168</v>
      </c>
      <c r="B739" s="8" t="s">
        <v>180</v>
      </c>
      <c r="C739" s="8" t="str">
        <f t="shared" si="17"/>
        <v>att_organ:pons</v>
      </c>
      <c r="D739" s="8" t="s">
        <v>2168</v>
      </c>
      <c r="E739" s="8" t="s">
        <v>2169</v>
      </c>
      <c r="F739" s="8" t="s">
        <v>2169</v>
      </c>
    </row>
    <row r="740" spans="1:6" x14ac:dyDescent="0.15">
      <c r="A740" s="8" t="s">
        <v>2170</v>
      </c>
      <c r="B740" s="8" t="s">
        <v>180</v>
      </c>
      <c r="C740" s="8" t="str">
        <f t="shared" si="17"/>
        <v>att_organ:prostate</v>
      </c>
      <c r="D740" s="8" t="s">
        <v>2170</v>
      </c>
      <c r="E740" s="8" t="s">
        <v>2171</v>
      </c>
      <c r="F740" s="8" t="s">
        <v>2171</v>
      </c>
    </row>
    <row r="741" spans="1:6" x14ac:dyDescent="0.15">
      <c r="A741" s="8" t="s">
        <v>2172</v>
      </c>
      <c r="B741" s="8" t="s">
        <v>180</v>
      </c>
      <c r="C741" s="8" t="str">
        <f t="shared" si="17"/>
        <v>att_organ:rectum</v>
      </c>
      <c r="D741" s="8" t="s">
        <v>2172</v>
      </c>
      <c r="E741" s="8" t="s">
        <v>2173</v>
      </c>
      <c r="F741" s="8" t="s">
        <v>2173</v>
      </c>
    </row>
    <row r="742" spans="1:6" x14ac:dyDescent="0.15">
      <c r="A742" s="8" t="s">
        <v>2174</v>
      </c>
      <c r="B742" s="8" t="s">
        <v>180</v>
      </c>
      <c r="C742" s="8" t="str">
        <f t="shared" si="17"/>
        <v>att_organ:small_intestine</v>
      </c>
      <c r="D742" s="8" t="s">
        <v>2175</v>
      </c>
      <c r="E742" s="8" t="s">
        <v>2176</v>
      </c>
      <c r="F742" s="8" t="s">
        <v>2177</v>
      </c>
    </row>
    <row r="743" spans="1:6" x14ac:dyDescent="0.15">
      <c r="A743" s="8" t="s">
        <v>2178</v>
      </c>
      <c r="B743" s="8" t="s">
        <v>180</v>
      </c>
      <c r="C743" s="8" t="str">
        <f t="shared" si="17"/>
        <v>att_organ:spinal_cord</v>
      </c>
      <c r="D743" s="8" t="s">
        <v>2178</v>
      </c>
      <c r="E743" s="8" t="s">
        <v>2179</v>
      </c>
      <c r="F743" s="8" t="s">
        <v>2180</v>
      </c>
    </row>
    <row r="744" spans="1:6" x14ac:dyDescent="0.15">
      <c r="A744" s="8" t="s">
        <v>2181</v>
      </c>
      <c r="B744" s="8" t="s">
        <v>180</v>
      </c>
      <c r="C744" s="8" t="str">
        <f t="shared" si="17"/>
        <v>att_organ:spleen</v>
      </c>
      <c r="D744" s="8" t="s">
        <v>2181</v>
      </c>
      <c r="E744" s="8" t="s">
        <v>2182</v>
      </c>
      <c r="F744" s="8" t="s">
        <v>2182</v>
      </c>
    </row>
    <row r="745" spans="1:6" x14ac:dyDescent="0.15">
      <c r="A745" s="8" t="s">
        <v>2183</v>
      </c>
      <c r="B745" s="8" t="s">
        <v>180</v>
      </c>
      <c r="C745" s="8" t="str">
        <f t="shared" si="17"/>
        <v>att_organ:stomach</v>
      </c>
      <c r="D745" s="8" t="s">
        <v>2183</v>
      </c>
      <c r="E745" s="8" t="s">
        <v>2184</v>
      </c>
      <c r="F745" s="8" t="s">
        <v>2184</v>
      </c>
    </row>
    <row r="746" spans="1:6" x14ac:dyDescent="0.15">
      <c r="A746" s="8" t="s">
        <v>2185</v>
      </c>
      <c r="B746" s="8" t="s">
        <v>180</v>
      </c>
      <c r="C746" s="8" t="str">
        <f t="shared" si="17"/>
        <v>att_organ:testicles</v>
      </c>
      <c r="D746" s="8" t="s">
        <v>2185</v>
      </c>
      <c r="E746" s="8" t="s">
        <v>2186</v>
      </c>
      <c r="F746" s="8" t="s">
        <v>2186</v>
      </c>
    </row>
    <row r="747" spans="1:6" x14ac:dyDescent="0.15">
      <c r="A747" s="8" t="s">
        <v>2187</v>
      </c>
      <c r="B747" s="8" t="s">
        <v>180</v>
      </c>
      <c r="C747" s="8" t="str">
        <f t="shared" si="17"/>
        <v>att_organ:thalamus</v>
      </c>
      <c r="D747" s="8" t="s">
        <v>2187</v>
      </c>
      <c r="E747" s="8" t="s">
        <v>2188</v>
      </c>
      <c r="F747" s="8" t="s">
        <v>2188</v>
      </c>
    </row>
    <row r="748" spans="1:6" x14ac:dyDescent="0.15">
      <c r="A748" s="8" t="s">
        <v>2189</v>
      </c>
      <c r="B748" s="8" t="s">
        <v>180</v>
      </c>
      <c r="C748" s="8" t="str">
        <f t="shared" si="17"/>
        <v>att_organ:thymus</v>
      </c>
      <c r="D748" s="8" t="s">
        <v>2189</v>
      </c>
      <c r="E748" s="8" t="s">
        <v>2190</v>
      </c>
      <c r="F748" s="8" t="s">
        <v>2190</v>
      </c>
    </row>
    <row r="749" spans="1:6" x14ac:dyDescent="0.15">
      <c r="A749" s="8" t="s">
        <v>2191</v>
      </c>
      <c r="B749" s="8" t="s">
        <v>180</v>
      </c>
      <c r="C749" s="8" t="str">
        <f t="shared" si="17"/>
        <v>att_organ:tongue</v>
      </c>
      <c r="D749" s="8" t="s">
        <v>2191</v>
      </c>
      <c r="E749" s="8" t="s">
        <v>2192</v>
      </c>
      <c r="F749" s="8" t="s">
        <v>2192</v>
      </c>
    </row>
    <row r="750" spans="1:6" x14ac:dyDescent="0.15">
      <c r="A750" s="8" t="s">
        <v>2193</v>
      </c>
      <c r="B750" s="8" t="s">
        <v>180</v>
      </c>
      <c r="C750" s="8" t="str">
        <f t="shared" si="17"/>
        <v>att_organ:tonsils</v>
      </c>
      <c r="D750" s="8" t="s">
        <v>2193</v>
      </c>
      <c r="E750" s="8" t="s">
        <v>2194</v>
      </c>
      <c r="F750" s="8" t="s">
        <v>2194</v>
      </c>
    </row>
    <row r="751" spans="1:6" x14ac:dyDescent="0.15">
      <c r="A751" s="8" t="s">
        <v>2195</v>
      </c>
      <c r="B751" s="8" t="s">
        <v>180</v>
      </c>
      <c r="C751" s="8" t="str">
        <f t="shared" si="17"/>
        <v>att_organ:uterus</v>
      </c>
      <c r="D751" s="8" t="s">
        <v>2195</v>
      </c>
      <c r="E751" s="8" t="s">
        <v>2196</v>
      </c>
      <c r="F751" s="8" t="s">
        <v>2196</v>
      </c>
    </row>
    <row r="752" spans="1:6" x14ac:dyDescent="0.15">
      <c r="A752" s="8" t="s">
        <v>2197</v>
      </c>
      <c r="B752" s="8" t="s">
        <v>180</v>
      </c>
      <c r="C752" s="8" t="str">
        <f t="shared" si="17"/>
        <v>att_organ:veins</v>
      </c>
      <c r="D752" s="8" t="s">
        <v>2197</v>
      </c>
      <c r="E752" s="8" t="s">
        <v>2198</v>
      </c>
      <c r="F752" s="8" t="s">
        <v>2198</v>
      </c>
    </row>
    <row r="753" spans="1:6" x14ac:dyDescent="0.15">
      <c r="A753" s="8" t="s">
        <v>2199</v>
      </c>
      <c r="B753" s="8" t="s">
        <v>196</v>
      </c>
      <c r="C753" s="8" t="str">
        <f t="shared" si="17"/>
        <v>att_organism:UP000000589</v>
      </c>
      <c r="D753" s="8" t="s">
        <v>2200</v>
      </c>
      <c r="E753" s="8" t="s">
        <v>2201</v>
      </c>
      <c r="F753" s="8" t="s">
        <v>2202</v>
      </c>
    </row>
    <row r="754" spans="1:6" x14ac:dyDescent="0.15">
      <c r="A754" s="8" t="s">
        <v>2203</v>
      </c>
      <c r="B754" s="8" t="s">
        <v>196</v>
      </c>
      <c r="C754" s="8" t="str">
        <f t="shared" ref="C754:C826" si="18">B754&amp;":"&amp;A754</f>
        <v>att_organism:UP000001940</v>
      </c>
      <c r="D754" s="8" t="s">
        <v>2204</v>
      </c>
      <c r="E754" s="8" t="s">
        <v>2205</v>
      </c>
      <c r="F754" s="8" t="s">
        <v>2206</v>
      </c>
    </row>
    <row r="755" spans="1:6" x14ac:dyDescent="0.15">
      <c r="A755" s="8" t="s">
        <v>2207</v>
      </c>
      <c r="B755" s="8" t="s">
        <v>196</v>
      </c>
      <c r="C755" s="8" t="str">
        <f t="shared" si="18"/>
        <v>att_organism:UP000002311</v>
      </c>
      <c r="D755" s="8" t="s">
        <v>2208</v>
      </c>
      <c r="E755" s="8" t="s">
        <v>2209</v>
      </c>
      <c r="F755" s="8" t="s">
        <v>2210</v>
      </c>
    </row>
    <row r="756" spans="1:6" x14ac:dyDescent="0.15">
      <c r="A756" s="8" t="s">
        <v>2211</v>
      </c>
      <c r="B756" s="8" t="s">
        <v>196</v>
      </c>
      <c r="C756" s="8" t="str">
        <f t="shared" si="18"/>
        <v>att_organism:UP000002494</v>
      </c>
      <c r="D756" s="8" t="s">
        <v>2212</v>
      </c>
      <c r="E756" s="8" t="s">
        <v>2213</v>
      </c>
      <c r="F756" s="8" t="s">
        <v>2214</v>
      </c>
    </row>
    <row r="757" spans="1:6" x14ac:dyDescent="0.15">
      <c r="A757" s="8" t="s">
        <v>2215</v>
      </c>
      <c r="B757" s="8" t="s">
        <v>196</v>
      </c>
      <c r="C757" s="8" t="str">
        <f t="shared" si="18"/>
        <v>att_organism:UP000005640</v>
      </c>
      <c r="D757" s="8" t="s">
        <v>2216</v>
      </c>
      <c r="E757" s="8" t="s">
        <v>2217</v>
      </c>
      <c r="F757" s="8" t="s">
        <v>2218</v>
      </c>
    </row>
    <row r="758" spans="1:6" x14ac:dyDescent="0.15">
      <c r="A758" s="8" t="s">
        <v>2929</v>
      </c>
      <c r="B758" s="8" t="s">
        <v>196</v>
      </c>
      <c r="C758" s="8" t="str">
        <f t="shared" si="18"/>
        <v>att_organism:controls</v>
      </c>
      <c r="D758" s="8" t="s">
        <v>2926</v>
      </c>
      <c r="E758" s="8" t="s">
        <v>2927</v>
      </c>
      <c r="F758" s="8" t="s">
        <v>2928</v>
      </c>
    </row>
    <row r="759" spans="1:6" x14ac:dyDescent="0.15">
      <c r="A759" s="8" t="s">
        <v>2219</v>
      </c>
      <c r="B759" s="8" t="s">
        <v>2220</v>
      </c>
      <c r="C759" s="8" t="str">
        <f t="shared" si="18"/>
        <v>att_organsystem:cardiovascular</v>
      </c>
      <c r="D759" s="9" t="s">
        <v>17</v>
      </c>
      <c r="E759" s="8" t="s">
        <v>2221</v>
      </c>
      <c r="F759" s="8" t="s">
        <v>2222</v>
      </c>
    </row>
    <row r="760" spans="1:6" x14ac:dyDescent="0.15">
      <c r="A760" s="8" t="s">
        <v>2223</v>
      </c>
      <c r="B760" s="8" t="s">
        <v>2220</v>
      </c>
      <c r="C760" s="8" t="str">
        <f t="shared" si="18"/>
        <v>att_organsystem:digestive</v>
      </c>
      <c r="D760" s="9" t="s">
        <v>17</v>
      </c>
      <c r="E760" s="8" t="s">
        <v>2224</v>
      </c>
      <c r="F760" s="8" t="s">
        <v>2225</v>
      </c>
    </row>
    <row r="761" spans="1:6" x14ac:dyDescent="0.15">
      <c r="A761" s="8" t="s">
        <v>2226</v>
      </c>
      <c r="B761" s="8" t="s">
        <v>2220</v>
      </c>
      <c r="C761" s="8" t="str">
        <f t="shared" si="18"/>
        <v>att_organsystem:endocrine</v>
      </c>
      <c r="D761" s="9" t="s">
        <v>17</v>
      </c>
      <c r="E761" s="8" t="s">
        <v>2227</v>
      </c>
      <c r="F761" s="8" t="s">
        <v>2228</v>
      </c>
    </row>
    <row r="762" spans="1:6" x14ac:dyDescent="0.15">
      <c r="A762" s="8" t="s">
        <v>2229</v>
      </c>
      <c r="B762" s="8" t="s">
        <v>2220</v>
      </c>
      <c r="C762" s="8" t="str">
        <f t="shared" si="18"/>
        <v>att_organsystem:excretory</v>
      </c>
      <c r="D762" s="9" t="s">
        <v>17</v>
      </c>
      <c r="E762" s="8" t="s">
        <v>2230</v>
      </c>
      <c r="F762" s="8" t="s">
        <v>2231</v>
      </c>
    </row>
    <row r="763" spans="1:6" x14ac:dyDescent="0.15">
      <c r="A763" s="8" t="s">
        <v>2232</v>
      </c>
      <c r="B763" s="8" t="s">
        <v>2220</v>
      </c>
      <c r="C763" s="8" t="str">
        <f t="shared" si="18"/>
        <v>att_organsystem:integumentary</v>
      </c>
      <c r="D763" s="9" t="s">
        <v>17</v>
      </c>
      <c r="E763" s="8" t="s">
        <v>2233</v>
      </c>
      <c r="F763" s="8" t="s">
        <v>2234</v>
      </c>
    </row>
    <row r="764" spans="1:6" x14ac:dyDescent="0.15">
      <c r="A764" s="8" t="s">
        <v>2235</v>
      </c>
      <c r="B764" s="8" t="s">
        <v>2220</v>
      </c>
      <c r="C764" s="8" t="str">
        <f t="shared" si="18"/>
        <v>att_organsystem:lymphatic</v>
      </c>
      <c r="D764" s="9" t="s">
        <v>17</v>
      </c>
      <c r="E764" s="8" t="s">
        <v>2236</v>
      </c>
      <c r="F764" s="8" t="s">
        <v>2237</v>
      </c>
    </row>
    <row r="765" spans="1:6" x14ac:dyDescent="0.15">
      <c r="A765" s="8" t="s">
        <v>2238</v>
      </c>
      <c r="B765" s="8" t="s">
        <v>2220</v>
      </c>
      <c r="C765" s="8" t="str">
        <f t="shared" si="18"/>
        <v>att_organsystem:muscular</v>
      </c>
      <c r="D765" s="9" t="s">
        <v>17</v>
      </c>
      <c r="E765" s="8" t="s">
        <v>2239</v>
      </c>
      <c r="F765" s="8" t="s">
        <v>2240</v>
      </c>
    </row>
    <row r="766" spans="1:6" x14ac:dyDescent="0.15">
      <c r="A766" s="8" t="s">
        <v>2241</v>
      </c>
      <c r="B766" s="8" t="s">
        <v>2220</v>
      </c>
      <c r="C766" s="8" t="str">
        <f t="shared" si="18"/>
        <v>att_organsystem:nervous_system</v>
      </c>
      <c r="D766" s="9" t="s">
        <v>17</v>
      </c>
      <c r="E766" s="8" t="s">
        <v>2242</v>
      </c>
      <c r="F766" s="8" t="s">
        <v>2243</v>
      </c>
    </row>
    <row r="767" spans="1:6" x14ac:dyDescent="0.15">
      <c r="A767" s="8" t="s">
        <v>2244</v>
      </c>
      <c r="B767" s="8" t="s">
        <v>2220</v>
      </c>
      <c r="C767" s="8" t="str">
        <f t="shared" si="18"/>
        <v>att_organsystem:reproductive</v>
      </c>
      <c r="D767" s="9" t="s">
        <v>17</v>
      </c>
      <c r="E767" s="8" t="s">
        <v>2245</v>
      </c>
      <c r="F767" s="8" t="s">
        <v>2246</v>
      </c>
    </row>
    <row r="768" spans="1:6" x14ac:dyDescent="0.15">
      <c r="A768" s="8" t="s">
        <v>2247</v>
      </c>
      <c r="B768" s="8" t="s">
        <v>2220</v>
      </c>
      <c r="C768" s="8" t="str">
        <f t="shared" si="18"/>
        <v>att_organsystem:respiratory</v>
      </c>
      <c r="D768" s="9" t="s">
        <v>17</v>
      </c>
      <c r="E768" s="8" t="s">
        <v>2248</v>
      </c>
      <c r="F768" s="8" t="s">
        <v>2249</v>
      </c>
    </row>
    <row r="769" spans="1:6" x14ac:dyDescent="0.15">
      <c r="A769" s="8" t="s">
        <v>2250</v>
      </c>
      <c r="B769" s="8" t="s">
        <v>2220</v>
      </c>
      <c r="C769" s="8" t="str">
        <f t="shared" si="18"/>
        <v>att_organsystem:skeletal</v>
      </c>
      <c r="D769" s="9" t="s">
        <v>17</v>
      </c>
      <c r="E769" s="8" t="s">
        <v>2251</v>
      </c>
      <c r="F769" s="8" t="s">
        <v>2252</v>
      </c>
    </row>
    <row r="770" spans="1:6" x14ac:dyDescent="0.15">
      <c r="A770" s="8" t="s">
        <v>2253</v>
      </c>
      <c r="B770" s="8" t="s">
        <v>2220</v>
      </c>
      <c r="C770" s="8" t="str">
        <f t="shared" si="18"/>
        <v>att_organsystem:urinary</v>
      </c>
      <c r="D770" s="9" t="s">
        <v>17</v>
      </c>
      <c r="E770" s="8" t="s">
        <v>2254</v>
      </c>
      <c r="F770" s="8" t="s">
        <v>2255</v>
      </c>
    </row>
    <row r="771" spans="1:6" x14ac:dyDescent="0.15">
      <c r="A771" s="8" t="s">
        <v>2256</v>
      </c>
      <c r="B771" s="8" t="s">
        <v>198</v>
      </c>
      <c r="C771" s="8" t="str">
        <f t="shared" si="18"/>
        <v>att_phystraining:intervalcardio</v>
      </c>
      <c r="D771" s="9" t="s">
        <v>17</v>
      </c>
      <c r="E771" s="8" t="s">
        <v>2257</v>
      </c>
      <c r="F771" s="8" t="s">
        <v>2258</v>
      </c>
    </row>
    <row r="772" spans="1:6" x14ac:dyDescent="0.15">
      <c r="A772" s="8" t="s">
        <v>2259</v>
      </c>
      <c r="B772" s="8" t="s">
        <v>198</v>
      </c>
      <c r="C772" s="8" t="str">
        <f t="shared" si="18"/>
        <v>att_phystraining:steadycardio</v>
      </c>
      <c r="D772" s="9" t="s">
        <v>17</v>
      </c>
      <c r="E772" s="8" t="s">
        <v>2836</v>
      </c>
      <c r="F772" s="8" t="s">
        <v>2260</v>
      </c>
    </row>
    <row r="773" spans="1:6" x14ac:dyDescent="0.15">
      <c r="A773" s="8" t="s">
        <v>2261</v>
      </c>
      <c r="B773" s="8" t="s">
        <v>198</v>
      </c>
      <c r="C773" s="8" t="str">
        <f t="shared" si="18"/>
        <v>att_phystraining:strength</v>
      </c>
      <c r="D773" s="9" t="s">
        <v>17</v>
      </c>
      <c r="E773" s="8" t="s">
        <v>2262</v>
      </c>
      <c r="F773" s="8" t="s">
        <v>2263</v>
      </c>
    </row>
    <row r="774" spans="1:6" x14ac:dyDescent="0.15">
      <c r="A774" s="8" t="s">
        <v>2837</v>
      </c>
      <c r="B774" s="8" t="s">
        <v>198</v>
      </c>
      <c r="C774" s="8" t="str">
        <f t="shared" si="18"/>
        <v>att_phystraining:hiit</v>
      </c>
      <c r="D774" s="9" t="s">
        <v>17</v>
      </c>
      <c r="E774" s="8" t="s">
        <v>2838</v>
      </c>
      <c r="F774" s="8" t="s">
        <v>2839</v>
      </c>
    </row>
    <row r="775" spans="1:6" x14ac:dyDescent="0.15">
      <c r="A775" s="8" t="s">
        <v>2264</v>
      </c>
      <c r="B775" s="8" t="s">
        <v>203</v>
      </c>
      <c r="C775" s="8" t="str">
        <f t="shared" si="18"/>
        <v>att_protease:argc</v>
      </c>
      <c r="D775" s="9" t="s">
        <v>17</v>
      </c>
      <c r="E775" s="8" t="s">
        <v>2265</v>
      </c>
      <c r="F775" s="8" t="s">
        <v>2266</v>
      </c>
    </row>
    <row r="776" spans="1:6" x14ac:dyDescent="0.15">
      <c r="A776" s="8" t="s">
        <v>2267</v>
      </c>
      <c r="B776" s="8" t="s">
        <v>203</v>
      </c>
      <c r="C776" s="8" t="str">
        <f t="shared" si="18"/>
        <v>att_protease:aspn</v>
      </c>
      <c r="D776" s="9" t="s">
        <v>17</v>
      </c>
      <c r="E776" s="8" t="s">
        <v>2268</v>
      </c>
      <c r="F776" s="8" t="s">
        <v>2269</v>
      </c>
    </row>
    <row r="777" spans="1:6" x14ac:dyDescent="0.15">
      <c r="A777" s="8" t="s">
        <v>2270</v>
      </c>
      <c r="B777" s="8" t="s">
        <v>203</v>
      </c>
      <c r="C777" s="8" t="str">
        <f t="shared" si="18"/>
        <v>att_protease:chymotrypsin</v>
      </c>
      <c r="D777" s="9" t="s">
        <v>17</v>
      </c>
      <c r="E777" s="8" t="s">
        <v>2271</v>
      </c>
      <c r="F777" s="8" t="s">
        <v>2272</v>
      </c>
    </row>
    <row r="778" spans="1:6" x14ac:dyDescent="0.15">
      <c r="A778" s="8" t="s">
        <v>2273</v>
      </c>
      <c r="B778" s="8" t="s">
        <v>203</v>
      </c>
      <c r="C778" s="8" t="str">
        <f t="shared" si="18"/>
        <v>att_protease:elastase</v>
      </c>
      <c r="D778" s="9" t="s">
        <v>17</v>
      </c>
      <c r="E778" s="8" t="s">
        <v>2274</v>
      </c>
      <c r="F778" s="8" t="s">
        <v>2275</v>
      </c>
    </row>
    <row r="779" spans="1:6" x14ac:dyDescent="0.15">
      <c r="A779" s="8" t="s">
        <v>2276</v>
      </c>
      <c r="B779" s="8" t="s">
        <v>203</v>
      </c>
      <c r="C779" s="8" t="str">
        <f t="shared" si="18"/>
        <v>att_protease:gluc</v>
      </c>
      <c r="D779" s="9" t="s">
        <v>17</v>
      </c>
      <c r="E779" s="8" t="s">
        <v>2277</v>
      </c>
      <c r="F779" s="8" t="s">
        <v>2278</v>
      </c>
    </row>
    <row r="780" spans="1:6" x14ac:dyDescent="0.15">
      <c r="A780" s="8" t="s">
        <v>2279</v>
      </c>
      <c r="B780" s="8" t="s">
        <v>203</v>
      </c>
      <c r="C780" s="8" t="str">
        <f t="shared" si="18"/>
        <v>att_protease:lysc</v>
      </c>
      <c r="D780" s="9" t="s">
        <v>17</v>
      </c>
      <c r="E780" s="8" t="s">
        <v>2280</v>
      </c>
      <c r="F780" s="8" t="s">
        <v>2281</v>
      </c>
    </row>
    <row r="781" spans="1:6" x14ac:dyDescent="0.15">
      <c r="A781" s="8" t="s">
        <v>2282</v>
      </c>
      <c r="B781" s="8" t="s">
        <v>203</v>
      </c>
      <c r="C781" s="8" t="str">
        <f t="shared" si="18"/>
        <v>att_protease:raspn</v>
      </c>
      <c r="D781" s="9" t="s">
        <v>17</v>
      </c>
      <c r="E781" s="8" t="s">
        <v>2283</v>
      </c>
      <c r="F781" s="8" t="s">
        <v>2284</v>
      </c>
    </row>
    <row r="782" spans="1:6" x14ac:dyDescent="0.15">
      <c r="A782" s="8" t="s">
        <v>2285</v>
      </c>
      <c r="B782" s="8" t="s">
        <v>203</v>
      </c>
      <c r="C782" s="8" t="str">
        <f t="shared" si="18"/>
        <v>att_protease:trypsin</v>
      </c>
      <c r="D782" s="9" t="s">
        <v>17</v>
      </c>
      <c r="E782" s="8" t="s">
        <v>2286</v>
      </c>
      <c r="F782" s="8" t="s">
        <v>2287</v>
      </c>
    </row>
    <row r="783" spans="1:6" x14ac:dyDescent="0.15">
      <c r="A783" s="8" t="s">
        <v>2840</v>
      </c>
      <c r="B783" s="8" t="s">
        <v>206</v>
      </c>
      <c r="C783" s="8" t="str">
        <f t="shared" si="18"/>
        <v>att_protein_mutation:apex</v>
      </c>
      <c r="D783" s="9" t="s">
        <v>17</v>
      </c>
      <c r="E783" s="8" t="s">
        <v>2841</v>
      </c>
      <c r="F783" s="8" t="s">
        <v>2842</v>
      </c>
    </row>
    <row r="784" spans="1:6" x14ac:dyDescent="0.15">
      <c r="A784" s="8" t="s">
        <v>2843</v>
      </c>
      <c r="B784" s="8" t="s">
        <v>206</v>
      </c>
      <c r="C784" s="8" t="str">
        <f t="shared" si="18"/>
        <v>att_protein_mutation:bioid</v>
      </c>
      <c r="D784" s="9" t="s">
        <v>17</v>
      </c>
      <c r="E784" s="8" t="s">
        <v>2844</v>
      </c>
      <c r="F784" s="8" t="s">
        <v>2845</v>
      </c>
    </row>
    <row r="785" spans="1:6" x14ac:dyDescent="0.15">
      <c r="A785" s="8" t="s">
        <v>2846</v>
      </c>
      <c r="B785" s="8" t="s">
        <v>206</v>
      </c>
      <c r="C785" s="8" t="str">
        <f t="shared" si="18"/>
        <v>att_protein_mutation:turboid</v>
      </c>
      <c r="D785" s="9" t="s">
        <v>17</v>
      </c>
      <c r="E785" s="8" t="s">
        <v>2847</v>
      </c>
      <c r="F785" s="8" t="s">
        <v>2848</v>
      </c>
    </row>
    <row r="786" spans="1:6" x14ac:dyDescent="0.15">
      <c r="A786" s="8" t="s">
        <v>1275</v>
      </c>
      <c r="B786" s="8" t="s">
        <v>206</v>
      </c>
      <c r="C786" s="8" t="str">
        <f t="shared" si="18"/>
        <v>att_protein_mutation:deletion</v>
      </c>
      <c r="D786" s="9" t="s">
        <v>17</v>
      </c>
      <c r="E786" s="8" t="s">
        <v>2288</v>
      </c>
      <c r="F786" s="8" t="s">
        <v>2289</v>
      </c>
    </row>
    <row r="787" spans="1:6" x14ac:dyDescent="0.15">
      <c r="A787" s="8" t="s">
        <v>2290</v>
      </c>
      <c r="B787" s="8" t="s">
        <v>206</v>
      </c>
      <c r="C787" s="8" t="str">
        <f t="shared" si="18"/>
        <v>att_protein_mutation:flag</v>
      </c>
      <c r="D787" s="9" t="s">
        <v>17</v>
      </c>
      <c r="E787" s="8" t="s">
        <v>2291</v>
      </c>
      <c r="F787" s="8" t="s">
        <v>2292</v>
      </c>
    </row>
    <row r="788" spans="1:6" x14ac:dyDescent="0.15">
      <c r="A788" s="8" t="s">
        <v>2293</v>
      </c>
      <c r="B788" s="8" t="s">
        <v>206</v>
      </c>
      <c r="C788" s="8" t="str">
        <f t="shared" si="18"/>
        <v>att_protein_mutation:frameshift</v>
      </c>
      <c r="D788" s="9" t="s">
        <v>17</v>
      </c>
      <c r="E788" s="8" t="s">
        <v>2294</v>
      </c>
      <c r="F788" s="8" t="s">
        <v>2295</v>
      </c>
    </row>
    <row r="789" spans="1:6" x14ac:dyDescent="0.15">
      <c r="A789" s="8" t="s">
        <v>2296</v>
      </c>
      <c r="B789" s="8" t="s">
        <v>206</v>
      </c>
      <c r="C789" s="8" t="str">
        <f t="shared" si="18"/>
        <v>att_protein_mutation:gfp</v>
      </c>
      <c r="D789" s="9" t="s">
        <v>17</v>
      </c>
      <c r="E789" s="8" t="s">
        <v>2297</v>
      </c>
      <c r="F789" s="8" t="s">
        <v>2298</v>
      </c>
    </row>
    <row r="790" spans="1:6" x14ac:dyDescent="0.15">
      <c r="A790" s="8" t="s">
        <v>2299</v>
      </c>
      <c r="B790" s="8" t="s">
        <v>206</v>
      </c>
      <c r="C790" s="8" t="str">
        <f t="shared" si="18"/>
        <v>att_protein_mutation:ha</v>
      </c>
      <c r="D790" s="9" t="s">
        <v>17</v>
      </c>
      <c r="E790" s="8" t="s">
        <v>2300</v>
      </c>
      <c r="F790" s="8" t="s">
        <v>2301</v>
      </c>
    </row>
    <row r="791" spans="1:6" x14ac:dyDescent="0.15">
      <c r="A791" s="8" t="s">
        <v>2302</v>
      </c>
      <c r="B791" s="8" t="s">
        <v>206</v>
      </c>
      <c r="C791" s="8" t="str">
        <f t="shared" si="18"/>
        <v>att_protein_mutation:his</v>
      </c>
      <c r="D791" s="9" t="s">
        <v>17</v>
      </c>
      <c r="E791" s="8" t="s">
        <v>2303</v>
      </c>
      <c r="F791" s="8" t="s">
        <v>2304</v>
      </c>
    </row>
    <row r="792" spans="1:6" x14ac:dyDescent="0.15">
      <c r="A792" s="8" t="s">
        <v>2305</v>
      </c>
      <c r="B792" s="8" t="s">
        <v>206</v>
      </c>
      <c r="C792" s="8" t="str">
        <f t="shared" si="18"/>
        <v>att_protein_mutation:insertion</v>
      </c>
      <c r="D792" s="9" t="s">
        <v>17</v>
      </c>
      <c r="E792" s="8" t="s">
        <v>2306</v>
      </c>
      <c r="F792" s="8" t="s">
        <v>2307</v>
      </c>
    </row>
    <row r="793" spans="1:6" x14ac:dyDescent="0.15">
      <c r="A793" s="8" t="s">
        <v>2308</v>
      </c>
      <c r="B793" s="8" t="s">
        <v>206</v>
      </c>
      <c r="C793" s="8" t="str">
        <f t="shared" si="18"/>
        <v>att_protein_mutation:myc</v>
      </c>
      <c r="D793" s="9" t="s">
        <v>17</v>
      </c>
      <c r="E793" s="8" t="s">
        <v>2309</v>
      </c>
      <c r="F793" s="8" t="s">
        <v>2310</v>
      </c>
    </row>
    <row r="794" spans="1:6" x14ac:dyDescent="0.15">
      <c r="A794" s="8" t="s">
        <v>2311</v>
      </c>
      <c r="B794" s="8" t="s">
        <v>206</v>
      </c>
      <c r="C794" s="8" t="str">
        <f t="shared" si="18"/>
        <v>att_protein_mutation:pep86</v>
      </c>
      <c r="D794" s="9" t="s">
        <v>17</v>
      </c>
      <c r="E794" s="8" t="s">
        <v>2812</v>
      </c>
      <c r="F794" s="8" t="s">
        <v>2312</v>
      </c>
    </row>
    <row r="795" spans="1:6" x14ac:dyDescent="0.15">
      <c r="A795" s="8" t="s">
        <v>2313</v>
      </c>
      <c r="B795" s="8" t="s">
        <v>206</v>
      </c>
      <c r="C795" s="8" t="str">
        <f t="shared" si="18"/>
        <v>att_protein_mutation:substitution</v>
      </c>
      <c r="D795" s="9" t="s">
        <v>17</v>
      </c>
      <c r="E795" s="8" t="s">
        <v>2314</v>
      </c>
      <c r="F795" s="8" t="s">
        <v>2315</v>
      </c>
    </row>
    <row r="796" spans="1:6" x14ac:dyDescent="0.15">
      <c r="A796" s="8" t="s">
        <v>2316</v>
      </c>
      <c r="B796" s="8" t="s">
        <v>206</v>
      </c>
      <c r="C796" s="8" t="str">
        <f t="shared" ref="C796" si="19">B796&amp;":"&amp;A796</f>
        <v>att_protein_mutation:truncation</v>
      </c>
      <c r="D796" s="9" t="s">
        <v>17</v>
      </c>
      <c r="E796" s="8" t="s">
        <v>2317</v>
      </c>
      <c r="F796" s="8" t="s">
        <v>2318</v>
      </c>
    </row>
    <row r="797" spans="1:6" x14ac:dyDescent="0.15">
      <c r="A797" s="8" t="s">
        <v>342</v>
      </c>
      <c r="B797" s="8" t="s">
        <v>206</v>
      </c>
      <c r="C797" s="8" t="str">
        <f t="shared" si="18"/>
        <v>att_protein_mutation:none</v>
      </c>
      <c r="D797" s="9" t="s">
        <v>17</v>
      </c>
      <c r="E797" s="8" t="s">
        <v>1874</v>
      </c>
      <c r="F797" s="8" t="s">
        <v>2813</v>
      </c>
    </row>
    <row r="798" spans="1:6" x14ac:dyDescent="0.15">
      <c r="A798" s="8" t="s">
        <v>2319</v>
      </c>
      <c r="B798" s="8" t="s">
        <v>208</v>
      </c>
      <c r="C798" s="8" t="str">
        <f t="shared" si="18"/>
        <v>att_protein_position:aa</v>
      </c>
      <c r="D798" s="9" t="s">
        <v>17</v>
      </c>
      <c r="E798" s="8" t="s">
        <v>2320</v>
      </c>
      <c r="F798" s="8" t="s">
        <v>2321</v>
      </c>
    </row>
    <row r="799" spans="1:6" x14ac:dyDescent="0.15">
      <c r="A799" s="8" t="s">
        <v>2322</v>
      </c>
      <c r="B799" s="8" t="s">
        <v>208</v>
      </c>
      <c r="C799" s="8" t="str">
        <f t="shared" si="18"/>
        <v>att_protein_position:cterm</v>
      </c>
      <c r="D799" s="9" t="s">
        <v>17</v>
      </c>
      <c r="E799" s="8" t="s">
        <v>2323</v>
      </c>
      <c r="F799" s="8" t="s">
        <v>2324</v>
      </c>
    </row>
    <row r="800" spans="1:6" x14ac:dyDescent="0.15">
      <c r="A800" s="8" t="s">
        <v>2325</v>
      </c>
      <c r="B800" s="8" t="s">
        <v>208</v>
      </c>
      <c r="C800" s="8" t="str">
        <f t="shared" si="18"/>
        <v>att_protein_position:nterm</v>
      </c>
      <c r="D800" s="9" t="s">
        <v>17</v>
      </c>
      <c r="E800" s="8" t="s">
        <v>2326</v>
      </c>
      <c r="F800" s="8" t="s">
        <v>2327</v>
      </c>
    </row>
    <row r="801" spans="1:1022" x14ac:dyDescent="0.15">
      <c r="A801" s="8" t="s">
        <v>2328</v>
      </c>
      <c r="B801" s="8" t="s">
        <v>208</v>
      </c>
      <c r="C801" s="8" t="str">
        <f t="shared" si="18"/>
        <v>att_protein_position:region</v>
      </c>
      <c r="D801" s="9" t="s">
        <v>17</v>
      </c>
      <c r="E801" s="8" t="s">
        <v>2329</v>
      </c>
      <c r="F801" s="8" t="s">
        <v>2330</v>
      </c>
    </row>
    <row r="802" spans="1:1022" x14ac:dyDescent="0.15">
      <c r="A802" s="8" t="s">
        <v>2980</v>
      </c>
      <c r="B802" s="8" t="s">
        <v>2978</v>
      </c>
      <c r="C802" s="8" t="str">
        <f t="shared" si="18"/>
        <v>att_ptm_enrichment:antibody</v>
      </c>
      <c r="D802" s="9" t="s">
        <v>17</v>
      </c>
      <c r="E802" s="8" t="s">
        <v>2981</v>
      </c>
      <c r="F802" s="8" t="s">
        <v>2982</v>
      </c>
      <c r="G802"/>
      <c r="H802"/>
      <c r="I802"/>
      <c r="J802"/>
      <c r="K802"/>
      <c r="L802"/>
      <c r="M802"/>
      <c r="N802"/>
      <c r="O802"/>
      <c r="P802"/>
      <c r="Q802"/>
      <c r="R802"/>
      <c r="S802"/>
      <c r="T802"/>
      <c r="U802"/>
      <c r="V802"/>
      <c r="W802"/>
      <c r="X802"/>
      <c r="Y802"/>
      <c r="Z802"/>
      <c r="AA802"/>
      <c r="AB802"/>
      <c r="AC802"/>
      <c r="AD802"/>
      <c r="AE802"/>
      <c r="AF802"/>
      <c r="AG802"/>
      <c r="AH802"/>
      <c r="AI802"/>
      <c r="AJ802"/>
      <c r="AK802"/>
      <c r="AL802"/>
      <c r="AM802"/>
      <c r="AN802"/>
      <c r="AO802"/>
      <c r="AP802"/>
      <c r="AQ802"/>
      <c r="AR802"/>
      <c r="AS802"/>
      <c r="AT802"/>
      <c r="AU802"/>
      <c r="AV802"/>
      <c r="AW802"/>
      <c r="AX802"/>
      <c r="AY802"/>
      <c r="AZ802"/>
      <c r="BA802"/>
      <c r="BB802"/>
      <c r="BC802"/>
      <c r="BD802"/>
      <c r="BE802"/>
      <c r="BF802"/>
      <c r="BG802"/>
      <c r="BH802"/>
      <c r="BI802"/>
      <c r="BJ802"/>
      <c r="BK802"/>
      <c r="BL802"/>
      <c r="BM802"/>
      <c r="BN802"/>
      <c r="BO802"/>
      <c r="BP802"/>
      <c r="BQ802"/>
      <c r="BR802"/>
      <c r="BS802"/>
      <c r="BT802"/>
      <c r="BU802"/>
      <c r="BV802"/>
      <c r="BW802"/>
      <c r="BX802"/>
      <c r="BY802"/>
      <c r="BZ802"/>
      <c r="CA802"/>
      <c r="CB802"/>
      <c r="CC802"/>
      <c r="CD802"/>
      <c r="CE802"/>
      <c r="CF802"/>
      <c r="CG802"/>
      <c r="CH802"/>
      <c r="CI802"/>
      <c r="CJ802"/>
      <c r="CK802"/>
      <c r="CL802"/>
      <c r="CM802"/>
      <c r="CN802"/>
      <c r="CO802"/>
      <c r="CP802"/>
      <c r="CQ802"/>
      <c r="CR802"/>
      <c r="CS802"/>
      <c r="CT802"/>
      <c r="CU802"/>
      <c r="CV802"/>
      <c r="CW802"/>
      <c r="CX802"/>
      <c r="CY802"/>
      <c r="CZ802"/>
      <c r="DA802"/>
      <c r="DB802"/>
      <c r="DC802"/>
      <c r="DD802"/>
      <c r="DE802"/>
      <c r="DF802"/>
      <c r="DG802"/>
      <c r="DH802"/>
      <c r="DI802"/>
      <c r="DJ802"/>
      <c r="DK802"/>
      <c r="DL802"/>
      <c r="DM802"/>
      <c r="DN802"/>
      <c r="DO802"/>
      <c r="DP802"/>
      <c r="DQ802"/>
      <c r="DR802"/>
      <c r="DS802"/>
      <c r="DT802"/>
      <c r="DU802"/>
      <c r="DV802"/>
      <c r="DW802"/>
      <c r="DX802"/>
      <c r="DY802"/>
      <c r="DZ802"/>
      <c r="EA802"/>
      <c r="EB802"/>
      <c r="EC802"/>
      <c r="ED802"/>
      <c r="EE802"/>
      <c r="EF802"/>
      <c r="EG802"/>
      <c r="EH802"/>
      <c r="EI802"/>
      <c r="EJ802"/>
      <c r="EK802"/>
      <c r="EL802"/>
      <c r="EM802"/>
      <c r="EN802"/>
      <c r="EO802"/>
      <c r="EP802"/>
      <c r="EQ802"/>
      <c r="ER802"/>
      <c r="ES802"/>
      <c r="ET802"/>
      <c r="EU802"/>
      <c r="EV802"/>
      <c r="EW802"/>
      <c r="EX802"/>
      <c r="EY802"/>
      <c r="EZ802"/>
      <c r="FA802"/>
      <c r="FB802"/>
      <c r="FC802"/>
      <c r="FD802"/>
      <c r="FE802"/>
      <c r="FF802"/>
      <c r="FG802"/>
      <c r="FH802"/>
      <c r="FI802"/>
      <c r="FJ802"/>
      <c r="FK802"/>
      <c r="FL802"/>
      <c r="FM802"/>
      <c r="FN802"/>
      <c r="FO802"/>
      <c r="FP802"/>
      <c r="FQ802"/>
      <c r="FR802"/>
      <c r="FS802"/>
      <c r="FT802"/>
      <c r="FU802"/>
      <c r="FV802"/>
      <c r="FW802"/>
      <c r="FX802"/>
      <c r="FY802"/>
      <c r="FZ802"/>
      <c r="GA802"/>
      <c r="GB802"/>
      <c r="GC802"/>
      <c r="GD802"/>
      <c r="GE802"/>
      <c r="GF802"/>
      <c r="GG802"/>
      <c r="GH802"/>
      <c r="GI802"/>
      <c r="GJ802"/>
      <c r="GK802"/>
      <c r="GL802"/>
      <c r="GM802"/>
      <c r="GN802"/>
      <c r="GO802"/>
      <c r="GP802"/>
      <c r="GQ802"/>
      <c r="GR802"/>
      <c r="GS802"/>
      <c r="GT802"/>
      <c r="GU802"/>
      <c r="GV802"/>
      <c r="GW802"/>
      <c r="GX802"/>
      <c r="GY802"/>
      <c r="GZ802"/>
      <c r="HA802"/>
      <c r="HB802"/>
      <c r="HC802"/>
      <c r="HD802"/>
      <c r="HE802"/>
      <c r="HF802"/>
      <c r="HG802"/>
      <c r="HH802"/>
      <c r="HI802"/>
      <c r="HJ802"/>
      <c r="HK802"/>
      <c r="HL802"/>
      <c r="HM802"/>
      <c r="HN802"/>
      <c r="HO802"/>
      <c r="HP802"/>
      <c r="HQ802"/>
      <c r="HR802"/>
      <c r="HS802"/>
      <c r="HT802"/>
      <c r="HU802"/>
      <c r="HV802"/>
      <c r="HW802"/>
      <c r="HX802"/>
      <c r="HY802"/>
      <c r="HZ802"/>
      <c r="IA802"/>
      <c r="IB802"/>
      <c r="IC802"/>
      <c r="ID802"/>
      <c r="IE802"/>
      <c r="IF802"/>
      <c r="IG802"/>
      <c r="IH802"/>
      <c r="II802"/>
      <c r="IJ802"/>
      <c r="IK802"/>
      <c r="IL802"/>
      <c r="IM802"/>
      <c r="IN802"/>
      <c r="IO802"/>
      <c r="IP802"/>
      <c r="IQ802"/>
      <c r="IR802"/>
      <c r="IS802"/>
      <c r="IT802"/>
      <c r="IU802"/>
      <c r="IV802"/>
      <c r="IW802"/>
      <c r="IX802"/>
      <c r="IY802"/>
      <c r="IZ802"/>
      <c r="JA802"/>
      <c r="JB802"/>
      <c r="JC802"/>
      <c r="JD802"/>
      <c r="JE802"/>
      <c r="JF802"/>
      <c r="JG802"/>
      <c r="JH802"/>
      <c r="JI802"/>
      <c r="JJ802"/>
      <c r="JK802"/>
      <c r="JL802"/>
      <c r="JM802"/>
      <c r="JN802"/>
      <c r="JO802"/>
      <c r="JP802"/>
      <c r="JQ802"/>
      <c r="JR802"/>
      <c r="JS802"/>
      <c r="JT802"/>
      <c r="JU802"/>
      <c r="JV802"/>
      <c r="JW802"/>
      <c r="JX802"/>
      <c r="JY802"/>
      <c r="JZ802"/>
      <c r="KA802"/>
      <c r="KB802"/>
      <c r="KC802"/>
      <c r="KD802"/>
      <c r="KE802"/>
      <c r="KF802"/>
      <c r="KG802"/>
      <c r="KH802"/>
      <c r="KI802"/>
      <c r="KJ802"/>
      <c r="KK802"/>
      <c r="KL802"/>
      <c r="KM802"/>
      <c r="KN802"/>
      <c r="KO802"/>
      <c r="KP802"/>
      <c r="KQ802"/>
      <c r="KR802"/>
      <c r="KS802"/>
      <c r="KT802"/>
      <c r="KU802"/>
      <c r="KV802"/>
      <c r="KW802"/>
      <c r="KX802"/>
      <c r="KY802"/>
      <c r="KZ802"/>
      <c r="LA802"/>
      <c r="LB802"/>
      <c r="LC802"/>
      <c r="LD802"/>
      <c r="LE802"/>
      <c r="LF802"/>
      <c r="LG802"/>
      <c r="LH802"/>
      <c r="LI802"/>
      <c r="LJ802"/>
      <c r="LK802"/>
      <c r="LL802"/>
      <c r="LM802"/>
      <c r="LN802"/>
      <c r="LO802"/>
      <c r="LP802"/>
      <c r="LQ802"/>
      <c r="LR802"/>
      <c r="LS802"/>
      <c r="LT802"/>
      <c r="LU802"/>
      <c r="LV802"/>
      <c r="LW802"/>
      <c r="LX802"/>
      <c r="LY802"/>
      <c r="LZ802"/>
      <c r="MA802"/>
      <c r="MB802"/>
      <c r="MC802"/>
      <c r="MD802"/>
      <c r="ME802"/>
      <c r="MF802"/>
      <c r="MG802"/>
      <c r="MH802"/>
      <c r="MI802"/>
      <c r="MJ802"/>
      <c r="MK802"/>
      <c r="ML802"/>
      <c r="MM802"/>
      <c r="MN802"/>
      <c r="MO802"/>
      <c r="MP802"/>
      <c r="MQ802"/>
      <c r="MR802"/>
      <c r="MS802"/>
      <c r="MT802"/>
      <c r="MU802"/>
      <c r="MV802"/>
      <c r="MW802"/>
      <c r="MX802"/>
      <c r="MY802"/>
      <c r="MZ802"/>
      <c r="NA802"/>
      <c r="NB802"/>
      <c r="NC802"/>
      <c r="ND802"/>
      <c r="NE802"/>
      <c r="NF802"/>
      <c r="NG802"/>
      <c r="NH802"/>
      <c r="NI802"/>
      <c r="NJ802"/>
      <c r="NK802"/>
      <c r="NL802"/>
      <c r="NM802"/>
      <c r="NN802"/>
      <c r="NO802"/>
      <c r="NP802"/>
      <c r="NQ802"/>
      <c r="NR802"/>
      <c r="NS802"/>
      <c r="NT802"/>
      <c r="NU802"/>
      <c r="NV802"/>
      <c r="NW802"/>
      <c r="NX802"/>
      <c r="NY802"/>
      <c r="NZ802"/>
      <c r="OA802"/>
      <c r="OB802"/>
      <c r="OC802"/>
      <c r="OD802"/>
      <c r="OE802"/>
      <c r="OF802"/>
      <c r="OG802"/>
      <c r="OH802"/>
      <c r="OI802"/>
      <c r="OJ802"/>
      <c r="OK802"/>
      <c r="OL802"/>
      <c r="OM802"/>
      <c r="ON802"/>
      <c r="OO802"/>
      <c r="OP802"/>
      <c r="OQ802"/>
      <c r="OR802"/>
      <c r="OS802"/>
      <c r="OT802"/>
      <c r="OU802"/>
      <c r="OV802"/>
      <c r="OW802"/>
      <c r="OX802"/>
      <c r="OY802"/>
      <c r="OZ802"/>
      <c r="PA802"/>
      <c r="PB802"/>
      <c r="PC802"/>
      <c r="PD802"/>
      <c r="PE802"/>
      <c r="PF802"/>
      <c r="PG802"/>
      <c r="PH802"/>
      <c r="PI802"/>
      <c r="PJ802"/>
      <c r="PK802"/>
      <c r="PL802"/>
      <c r="PM802"/>
      <c r="PN802"/>
      <c r="PO802"/>
      <c r="PP802"/>
      <c r="PQ802"/>
      <c r="PR802"/>
      <c r="PS802"/>
      <c r="PT802"/>
      <c r="PU802"/>
      <c r="PV802"/>
      <c r="PW802"/>
      <c r="PX802"/>
      <c r="PY802"/>
      <c r="PZ802"/>
      <c r="QA802"/>
      <c r="QB802"/>
      <c r="QC802"/>
      <c r="QD802"/>
      <c r="QE802"/>
      <c r="QF802"/>
      <c r="QG802"/>
      <c r="QH802"/>
      <c r="QI802"/>
      <c r="QJ802"/>
      <c r="QK802"/>
      <c r="QL802"/>
      <c r="QM802"/>
      <c r="QN802"/>
      <c r="QO802"/>
      <c r="QP802"/>
      <c r="QQ802"/>
      <c r="QR802"/>
      <c r="QS802"/>
      <c r="QT802"/>
      <c r="QU802"/>
      <c r="QV802"/>
      <c r="QW802"/>
      <c r="QX802"/>
      <c r="QY802"/>
      <c r="QZ802"/>
      <c r="RA802"/>
      <c r="RB802"/>
      <c r="RC802"/>
      <c r="RD802"/>
      <c r="RE802"/>
      <c r="RF802"/>
      <c r="RG802"/>
      <c r="RH802"/>
      <c r="RI802"/>
      <c r="RJ802"/>
      <c r="RK802"/>
      <c r="RL802"/>
      <c r="RM802"/>
      <c r="RN802"/>
      <c r="RO802"/>
      <c r="RP802"/>
      <c r="RQ802"/>
      <c r="RR802"/>
      <c r="RS802"/>
      <c r="RT802"/>
      <c r="RU802"/>
      <c r="RV802"/>
      <c r="RW802"/>
      <c r="RX802"/>
      <c r="RY802"/>
      <c r="RZ802"/>
      <c r="SA802"/>
      <c r="SB802"/>
      <c r="SC802"/>
      <c r="SD802"/>
      <c r="SE802"/>
      <c r="SF802"/>
      <c r="SG802"/>
      <c r="SH802"/>
      <c r="SI802"/>
      <c r="SJ802"/>
      <c r="SK802"/>
      <c r="SL802"/>
      <c r="SM802"/>
      <c r="SN802"/>
      <c r="SO802"/>
      <c r="SP802"/>
      <c r="SQ802"/>
      <c r="SR802"/>
      <c r="SS802"/>
      <c r="ST802"/>
      <c r="SU802"/>
      <c r="SV802"/>
      <c r="SW802"/>
      <c r="SX802"/>
      <c r="SY802"/>
      <c r="SZ802"/>
      <c r="TA802"/>
      <c r="TB802"/>
      <c r="TC802"/>
      <c r="TD802"/>
      <c r="TE802"/>
      <c r="TF802"/>
      <c r="TG802"/>
      <c r="TH802"/>
      <c r="TI802"/>
      <c r="TJ802"/>
      <c r="TK802"/>
      <c r="TL802"/>
      <c r="TM802"/>
      <c r="TN802"/>
      <c r="TO802"/>
      <c r="TP802"/>
      <c r="TQ802"/>
      <c r="TR802"/>
      <c r="TS802"/>
      <c r="TT802"/>
      <c r="TU802"/>
      <c r="TV802"/>
      <c r="TW802"/>
      <c r="TX802"/>
      <c r="TY802"/>
      <c r="TZ802"/>
      <c r="UA802"/>
      <c r="UB802"/>
      <c r="UC802"/>
      <c r="UD802"/>
      <c r="UE802"/>
      <c r="UF802"/>
      <c r="UG802"/>
      <c r="UH802"/>
      <c r="UI802"/>
      <c r="UJ802"/>
      <c r="UK802"/>
      <c r="UL802"/>
      <c r="UM802"/>
      <c r="UN802"/>
      <c r="UO802"/>
      <c r="UP802"/>
      <c r="UQ802"/>
      <c r="UR802"/>
      <c r="US802"/>
      <c r="UT802"/>
      <c r="UU802"/>
      <c r="UV802"/>
      <c r="UW802"/>
      <c r="UX802"/>
      <c r="UY802"/>
      <c r="UZ802"/>
      <c r="VA802"/>
      <c r="VB802"/>
      <c r="VC802"/>
      <c r="VD802"/>
      <c r="VE802"/>
      <c r="VF802"/>
      <c r="VG802"/>
      <c r="VH802"/>
      <c r="VI802"/>
      <c r="VJ802"/>
      <c r="VK802"/>
      <c r="VL802"/>
      <c r="VM802"/>
      <c r="VN802"/>
      <c r="VO802"/>
      <c r="VP802"/>
      <c r="VQ802"/>
      <c r="VR802"/>
      <c r="VS802"/>
      <c r="VT802"/>
      <c r="VU802"/>
      <c r="VV802"/>
      <c r="VW802"/>
      <c r="VX802"/>
      <c r="VY802"/>
      <c r="VZ802"/>
      <c r="WA802"/>
      <c r="WB802"/>
      <c r="WC802"/>
      <c r="WD802"/>
      <c r="WE802"/>
      <c r="WF802"/>
      <c r="WG802"/>
      <c r="WH802"/>
      <c r="WI802"/>
      <c r="WJ802"/>
      <c r="WK802"/>
      <c r="WL802"/>
      <c r="WM802"/>
      <c r="WN802"/>
      <c r="WO802"/>
      <c r="WP802"/>
      <c r="WQ802"/>
      <c r="WR802"/>
      <c r="WS802"/>
      <c r="WT802"/>
      <c r="WU802"/>
      <c r="WV802"/>
      <c r="WW802"/>
      <c r="WX802"/>
      <c r="WY802"/>
      <c r="WZ802"/>
      <c r="XA802"/>
      <c r="XB802"/>
      <c r="XC802"/>
      <c r="XD802"/>
      <c r="XE802"/>
      <c r="XF802"/>
      <c r="XG802"/>
      <c r="XH802"/>
      <c r="XI802"/>
      <c r="XJ802"/>
      <c r="XK802"/>
      <c r="XL802"/>
      <c r="XM802"/>
      <c r="XN802"/>
      <c r="XO802"/>
      <c r="XP802"/>
      <c r="XQ802"/>
      <c r="XR802"/>
      <c r="XS802"/>
      <c r="XT802"/>
      <c r="XU802"/>
      <c r="XV802"/>
      <c r="XW802"/>
      <c r="XX802"/>
      <c r="XY802"/>
      <c r="XZ802"/>
      <c r="YA802"/>
      <c r="YB802"/>
      <c r="YC802"/>
      <c r="YD802"/>
      <c r="YE802"/>
      <c r="YF802"/>
      <c r="YG802"/>
      <c r="YH802"/>
      <c r="YI802"/>
      <c r="YJ802"/>
      <c r="YK802"/>
      <c r="YL802"/>
      <c r="YM802"/>
      <c r="YN802"/>
      <c r="YO802"/>
      <c r="YP802"/>
      <c r="YQ802"/>
      <c r="YR802"/>
      <c r="YS802"/>
      <c r="YT802"/>
      <c r="YU802"/>
      <c r="YV802"/>
      <c r="YW802"/>
      <c r="YX802"/>
      <c r="YY802"/>
      <c r="YZ802"/>
      <c r="ZA802"/>
      <c r="ZB802"/>
      <c r="ZC802"/>
      <c r="ZD802"/>
      <c r="ZE802"/>
      <c r="ZF802"/>
      <c r="ZG802"/>
      <c r="ZH802"/>
      <c r="ZI802"/>
      <c r="ZJ802"/>
      <c r="ZK802"/>
      <c r="ZL802"/>
      <c r="ZM802"/>
      <c r="ZN802"/>
      <c r="ZO802"/>
      <c r="ZP802"/>
      <c r="ZQ802"/>
      <c r="ZR802"/>
      <c r="ZS802"/>
      <c r="ZT802"/>
      <c r="ZU802"/>
      <c r="ZV802"/>
      <c r="ZW802"/>
      <c r="ZX802"/>
      <c r="ZY802"/>
      <c r="ZZ802"/>
      <c r="AAA802"/>
      <c r="AAB802"/>
      <c r="AAC802"/>
      <c r="AAD802"/>
      <c r="AAE802"/>
      <c r="AAF802"/>
      <c r="AAG802"/>
      <c r="AAH802"/>
      <c r="AAI802"/>
      <c r="AAJ802"/>
      <c r="AAK802"/>
      <c r="AAL802"/>
      <c r="AAM802"/>
      <c r="AAN802"/>
      <c r="AAO802"/>
      <c r="AAP802"/>
      <c r="AAQ802"/>
      <c r="AAR802"/>
      <c r="AAS802"/>
      <c r="AAT802"/>
      <c r="AAU802"/>
      <c r="AAV802"/>
      <c r="AAW802"/>
      <c r="AAX802"/>
      <c r="AAY802"/>
      <c r="AAZ802"/>
      <c r="ABA802"/>
      <c r="ABB802"/>
      <c r="ABC802"/>
      <c r="ABD802"/>
      <c r="ABE802"/>
      <c r="ABF802"/>
      <c r="ABG802"/>
      <c r="ABH802"/>
      <c r="ABI802"/>
      <c r="ABJ802"/>
      <c r="ABK802"/>
      <c r="ABL802"/>
      <c r="ABM802"/>
      <c r="ABN802"/>
      <c r="ABO802"/>
      <c r="ABP802"/>
      <c r="ABQ802"/>
      <c r="ABR802"/>
      <c r="ABS802"/>
      <c r="ABT802"/>
      <c r="ABU802"/>
      <c r="ABV802"/>
      <c r="ABW802"/>
      <c r="ABX802"/>
      <c r="ABY802"/>
      <c r="ABZ802"/>
      <c r="ACA802"/>
      <c r="ACB802"/>
      <c r="ACC802"/>
      <c r="ACD802"/>
      <c r="ACE802"/>
      <c r="ACF802"/>
      <c r="ACG802"/>
      <c r="ACH802"/>
      <c r="ACI802"/>
      <c r="ACJ802"/>
      <c r="ACK802"/>
      <c r="ACL802"/>
      <c r="ACM802"/>
      <c r="ACN802"/>
      <c r="ACO802"/>
      <c r="ACP802"/>
      <c r="ACQ802"/>
      <c r="ACR802"/>
      <c r="ACS802"/>
      <c r="ACT802"/>
      <c r="ACU802"/>
      <c r="ACV802"/>
      <c r="ACW802"/>
      <c r="ACX802"/>
      <c r="ACY802"/>
      <c r="ACZ802"/>
      <c r="ADA802"/>
      <c r="ADB802"/>
      <c r="ADC802"/>
      <c r="ADD802"/>
      <c r="ADE802"/>
      <c r="ADF802"/>
      <c r="ADG802"/>
      <c r="ADH802"/>
      <c r="ADI802"/>
      <c r="ADJ802"/>
      <c r="ADK802"/>
      <c r="ADL802"/>
      <c r="ADM802"/>
      <c r="ADN802"/>
      <c r="ADO802"/>
      <c r="ADP802"/>
      <c r="ADQ802"/>
      <c r="ADR802"/>
      <c r="ADS802"/>
      <c r="ADT802"/>
      <c r="ADU802"/>
      <c r="ADV802"/>
      <c r="ADW802"/>
      <c r="ADX802"/>
      <c r="ADY802"/>
      <c r="ADZ802"/>
      <c r="AEA802"/>
      <c r="AEB802"/>
      <c r="AEC802"/>
      <c r="AED802"/>
      <c r="AEE802"/>
      <c r="AEF802"/>
      <c r="AEG802"/>
      <c r="AEH802"/>
      <c r="AEI802"/>
      <c r="AEJ802"/>
      <c r="AEK802"/>
      <c r="AEL802"/>
      <c r="AEM802"/>
      <c r="AEN802"/>
      <c r="AEO802"/>
      <c r="AEP802"/>
      <c r="AEQ802"/>
      <c r="AER802"/>
      <c r="AES802"/>
      <c r="AET802"/>
      <c r="AEU802"/>
      <c r="AEV802"/>
      <c r="AEW802"/>
      <c r="AEX802"/>
      <c r="AEY802"/>
      <c r="AEZ802"/>
      <c r="AFA802"/>
      <c r="AFB802"/>
      <c r="AFC802"/>
      <c r="AFD802"/>
      <c r="AFE802"/>
      <c r="AFF802"/>
      <c r="AFG802"/>
      <c r="AFH802"/>
      <c r="AFI802"/>
      <c r="AFJ802"/>
      <c r="AFK802"/>
      <c r="AFL802"/>
      <c r="AFM802"/>
      <c r="AFN802"/>
      <c r="AFO802"/>
      <c r="AFP802"/>
      <c r="AFQ802"/>
      <c r="AFR802"/>
      <c r="AFS802"/>
      <c r="AFT802"/>
      <c r="AFU802"/>
      <c r="AFV802"/>
      <c r="AFW802"/>
      <c r="AFX802"/>
      <c r="AFY802"/>
      <c r="AFZ802"/>
      <c r="AGA802"/>
      <c r="AGB802"/>
      <c r="AGC802"/>
      <c r="AGD802"/>
      <c r="AGE802"/>
      <c r="AGF802"/>
      <c r="AGG802"/>
      <c r="AGH802"/>
      <c r="AGI802"/>
      <c r="AGJ802"/>
      <c r="AGK802"/>
      <c r="AGL802"/>
      <c r="AGM802"/>
      <c r="AGN802"/>
      <c r="AGO802"/>
      <c r="AGP802"/>
      <c r="AGQ802"/>
      <c r="AGR802"/>
      <c r="AGS802"/>
      <c r="AGT802"/>
      <c r="AGU802"/>
      <c r="AGV802"/>
      <c r="AGW802"/>
      <c r="AGX802"/>
      <c r="AGY802"/>
      <c r="AGZ802"/>
      <c r="AHA802"/>
      <c r="AHB802"/>
      <c r="AHC802"/>
      <c r="AHD802"/>
      <c r="AHE802"/>
      <c r="AHF802"/>
      <c r="AHG802"/>
      <c r="AHH802"/>
      <c r="AHI802"/>
      <c r="AHJ802"/>
      <c r="AHK802"/>
      <c r="AHL802"/>
      <c r="AHM802"/>
      <c r="AHN802"/>
      <c r="AHO802"/>
      <c r="AHP802"/>
      <c r="AHQ802"/>
      <c r="AHR802"/>
      <c r="AHS802"/>
      <c r="AHT802"/>
      <c r="AHU802"/>
      <c r="AHV802"/>
      <c r="AHW802"/>
      <c r="AHX802"/>
      <c r="AHY802"/>
      <c r="AHZ802"/>
      <c r="AIA802"/>
      <c r="AIB802"/>
      <c r="AIC802"/>
      <c r="AID802"/>
      <c r="AIE802"/>
      <c r="AIF802"/>
      <c r="AIG802"/>
      <c r="AIH802"/>
      <c r="AII802"/>
      <c r="AIJ802"/>
      <c r="AIK802"/>
      <c r="AIL802"/>
      <c r="AIM802"/>
      <c r="AIN802"/>
      <c r="AIO802"/>
      <c r="AIP802"/>
      <c r="AIQ802"/>
      <c r="AIR802"/>
      <c r="AIS802"/>
      <c r="AIT802"/>
      <c r="AIU802"/>
      <c r="AIV802"/>
      <c r="AIW802"/>
      <c r="AIX802"/>
      <c r="AIY802"/>
      <c r="AIZ802"/>
      <c r="AJA802"/>
      <c r="AJB802"/>
      <c r="AJC802"/>
      <c r="AJD802"/>
      <c r="AJE802"/>
      <c r="AJF802"/>
      <c r="AJG802"/>
      <c r="AJH802"/>
      <c r="AJI802"/>
      <c r="AJJ802"/>
      <c r="AJK802"/>
      <c r="AJL802"/>
      <c r="AJM802"/>
      <c r="AJN802"/>
      <c r="AJO802"/>
      <c r="AJP802"/>
      <c r="AJQ802"/>
      <c r="AJR802"/>
      <c r="AJS802"/>
      <c r="AJT802"/>
      <c r="AJU802"/>
      <c r="AJV802"/>
      <c r="AJW802"/>
      <c r="AJX802"/>
      <c r="AJY802"/>
      <c r="AJZ802"/>
      <c r="AKA802"/>
      <c r="AKB802"/>
      <c r="AKC802"/>
      <c r="AKD802"/>
      <c r="AKE802"/>
      <c r="AKF802"/>
      <c r="AKG802"/>
      <c r="AKH802"/>
      <c r="AKI802"/>
      <c r="AKJ802"/>
      <c r="AKK802"/>
      <c r="AKL802"/>
      <c r="AKM802"/>
      <c r="AKN802"/>
      <c r="AKO802"/>
      <c r="AKP802"/>
      <c r="AKQ802"/>
      <c r="AKR802"/>
      <c r="AKS802"/>
      <c r="AKT802"/>
      <c r="AKU802"/>
      <c r="AKV802"/>
      <c r="AKW802"/>
      <c r="AKX802"/>
      <c r="AKY802"/>
      <c r="AKZ802"/>
      <c r="ALA802"/>
      <c r="ALB802"/>
      <c r="ALC802"/>
      <c r="ALD802"/>
      <c r="ALE802"/>
      <c r="ALF802"/>
      <c r="ALG802"/>
      <c r="ALH802"/>
      <c r="ALI802"/>
      <c r="ALJ802"/>
      <c r="ALK802"/>
      <c r="ALL802"/>
      <c r="ALM802"/>
      <c r="ALN802"/>
      <c r="ALO802"/>
      <c r="ALP802"/>
      <c r="ALQ802"/>
      <c r="ALR802"/>
      <c r="ALS802"/>
      <c r="ALT802"/>
      <c r="ALU802"/>
      <c r="ALV802"/>
      <c r="ALW802"/>
      <c r="ALX802"/>
      <c r="ALY802"/>
      <c r="ALZ802"/>
      <c r="AMA802"/>
      <c r="AMB802"/>
      <c r="AMC802"/>
      <c r="AMD802"/>
      <c r="AME802"/>
      <c r="AMF802"/>
      <c r="AMG802"/>
      <c r="AMH802"/>
    </row>
    <row r="803" spans="1:1022" x14ac:dyDescent="0.15">
      <c r="A803" s="8" t="s">
        <v>2983</v>
      </c>
      <c r="B803" s="8" t="s">
        <v>2978</v>
      </c>
      <c r="C803" s="8" t="str">
        <f t="shared" si="18"/>
        <v>att_ptm_enrichment:metal</v>
      </c>
      <c r="D803" s="9" t="s">
        <v>17</v>
      </c>
      <c r="E803" s="8" t="s">
        <v>2984</v>
      </c>
      <c r="F803" s="8" t="s">
        <v>2985</v>
      </c>
      <c r="G803"/>
      <c r="H803"/>
      <c r="I803"/>
      <c r="J803"/>
      <c r="K803"/>
      <c r="L803"/>
      <c r="M803"/>
      <c r="N803"/>
      <c r="O803"/>
      <c r="P803"/>
      <c r="Q803"/>
      <c r="R803"/>
      <c r="S803"/>
      <c r="T803"/>
      <c r="U803"/>
      <c r="V803"/>
      <c r="W803"/>
      <c r="X803"/>
      <c r="Y803"/>
      <c r="Z803"/>
      <c r="AA803"/>
      <c r="AB803"/>
      <c r="AC803"/>
      <c r="AD803"/>
      <c r="AE803"/>
      <c r="AF803"/>
      <c r="AG803"/>
      <c r="AH803"/>
      <c r="AI803"/>
      <c r="AJ803"/>
      <c r="AK803"/>
      <c r="AL803"/>
      <c r="AM803"/>
      <c r="AN803"/>
      <c r="AO803"/>
      <c r="AP803"/>
      <c r="AQ803"/>
      <c r="AR803"/>
      <c r="AS803"/>
      <c r="AT803"/>
      <c r="AU803"/>
      <c r="AV803"/>
      <c r="AW803"/>
      <c r="AX803"/>
      <c r="AY803"/>
      <c r="AZ803"/>
      <c r="BA803"/>
      <c r="BB803"/>
      <c r="BC803"/>
      <c r="BD803"/>
      <c r="BE803"/>
      <c r="BF803"/>
      <c r="BG803"/>
      <c r="BH803"/>
      <c r="BI803"/>
      <c r="BJ803"/>
      <c r="BK803"/>
      <c r="BL803"/>
      <c r="BM803"/>
      <c r="BN803"/>
      <c r="BO803"/>
      <c r="BP803"/>
      <c r="BQ803"/>
      <c r="BR803"/>
      <c r="BS803"/>
      <c r="BT803"/>
      <c r="BU803"/>
      <c r="BV803"/>
      <c r="BW803"/>
      <c r="BX803"/>
      <c r="BY803"/>
      <c r="BZ803"/>
      <c r="CA803"/>
      <c r="CB803"/>
      <c r="CC803"/>
      <c r="CD803"/>
      <c r="CE803"/>
      <c r="CF803"/>
      <c r="CG803"/>
      <c r="CH803"/>
      <c r="CI803"/>
      <c r="CJ803"/>
      <c r="CK803"/>
      <c r="CL803"/>
      <c r="CM803"/>
      <c r="CN803"/>
      <c r="CO803"/>
      <c r="CP803"/>
      <c r="CQ803"/>
      <c r="CR803"/>
      <c r="CS803"/>
      <c r="CT803"/>
      <c r="CU803"/>
      <c r="CV803"/>
      <c r="CW803"/>
      <c r="CX803"/>
      <c r="CY803"/>
      <c r="CZ803"/>
      <c r="DA803"/>
      <c r="DB803"/>
      <c r="DC803"/>
      <c r="DD803"/>
      <c r="DE803"/>
      <c r="DF803"/>
      <c r="DG803"/>
      <c r="DH803"/>
      <c r="DI803"/>
      <c r="DJ803"/>
      <c r="DK803"/>
      <c r="DL803"/>
      <c r="DM803"/>
      <c r="DN803"/>
      <c r="DO803"/>
      <c r="DP803"/>
      <c r="DQ803"/>
      <c r="DR803"/>
      <c r="DS803"/>
      <c r="DT803"/>
      <c r="DU803"/>
      <c r="DV803"/>
      <c r="DW803"/>
      <c r="DX803"/>
      <c r="DY803"/>
      <c r="DZ803"/>
      <c r="EA803"/>
      <c r="EB803"/>
      <c r="EC803"/>
      <c r="ED803"/>
      <c r="EE803"/>
      <c r="EF803"/>
      <c r="EG803"/>
      <c r="EH803"/>
      <c r="EI803"/>
      <c r="EJ803"/>
      <c r="EK803"/>
      <c r="EL803"/>
      <c r="EM803"/>
      <c r="EN803"/>
      <c r="EO803"/>
      <c r="EP803"/>
      <c r="EQ803"/>
      <c r="ER803"/>
      <c r="ES803"/>
      <c r="ET803"/>
      <c r="EU803"/>
      <c r="EV803"/>
      <c r="EW803"/>
      <c r="EX803"/>
      <c r="EY803"/>
      <c r="EZ803"/>
      <c r="FA803"/>
      <c r="FB803"/>
      <c r="FC803"/>
      <c r="FD803"/>
      <c r="FE803"/>
      <c r="FF803"/>
      <c r="FG803"/>
      <c r="FH803"/>
      <c r="FI803"/>
      <c r="FJ803"/>
      <c r="FK803"/>
      <c r="FL803"/>
      <c r="FM803"/>
      <c r="FN803"/>
      <c r="FO803"/>
      <c r="FP803"/>
      <c r="FQ803"/>
      <c r="FR803"/>
      <c r="FS803"/>
      <c r="FT803"/>
      <c r="FU803"/>
      <c r="FV803"/>
      <c r="FW803"/>
      <c r="FX803"/>
      <c r="FY803"/>
      <c r="FZ803"/>
      <c r="GA803"/>
      <c r="GB803"/>
      <c r="GC803"/>
      <c r="GD803"/>
      <c r="GE803"/>
      <c r="GF803"/>
      <c r="GG803"/>
      <c r="GH803"/>
      <c r="GI803"/>
      <c r="GJ803"/>
      <c r="GK803"/>
      <c r="GL803"/>
      <c r="GM803"/>
      <c r="GN803"/>
      <c r="GO803"/>
      <c r="GP803"/>
      <c r="GQ803"/>
      <c r="GR803"/>
      <c r="GS803"/>
      <c r="GT803"/>
      <c r="GU803"/>
      <c r="GV803"/>
      <c r="GW803"/>
      <c r="GX803"/>
      <c r="GY803"/>
      <c r="GZ803"/>
      <c r="HA803"/>
      <c r="HB803"/>
      <c r="HC803"/>
      <c r="HD803"/>
      <c r="HE803"/>
      <c r="HF803"/>
      <c r="HG803"/>
      <c r="HH803"/>
      <c r="HI803"/>
      <c r="HJ803"/>
      <c r="HK803"/>
      <c r="HL803"/>
      <c r="HM803"/>
      <c r="HN803"/>
      <c r="HO803"/>
      <c r="HP803"/>
      <c r="HQ803"/>
      <c r="HR803"/>
      <c r="HS803"/>
      <c r="HT803"/>
      <c r="HU803"/>
      <c r="HV803"/>
      <c r="HW803"/>
      <c r="HX803"/>
      <c r="HY803"/>
      <c r="HZ803"/>
      <c r="IA803"/>
      <c r="IB803"/>
      <c r="IC803"/>
      <c r="ID803"/>
      <c r="IE803"/>
      <c r="IF803"/>
      <c r="IG803"/>
      <c r="IH803"/>
      <c r="II803"/>
      <c r="IJ803"/>
      <c r="IK803"/>
      <c r="IL803"/>
      <c r="IM803"/>
      <c r="IN803"/>
      <c r="IO803"/>
      <c r="IP803"/>
      <c r="IQ803"/>
      <c r="IR803"/>
      <c r="IS803"/>
      <c r="IT803"/>
      <c r="IU803"/>
      <c r="IV803"/>
      <c r="IW803"/>
      <c r="IX803"/>
      <c r="IY803"/>
      <c r="IZ803"/>
      <c r="JA803"/>
      <c r="JB803"/>
      <c r="JC803"/>
      <c r="JD803"/>
      <c r="JE803"/>
      <c r="JF803"/>
      <c r="JG803"/>
      <c r="JH803"/>
      <c r="JI803"/>
      <c r="JJ803"/>
      <c r="JK803"/>
      <c r="JL803"/>
      <c r="JM803"/>
      <c r="JN803"/>
      <c r="JO803"/>
      <c r="JP803"/>
      <c r="JQ803"/>
      <c r="JR803"/>
      <c r="JS803"/>
      <c r="JT803"/>
      <c r="JU803"/>
      <c r="JV803"/>
      <c r="JW803"/>
      <c r="JX803"/>
      <c r="JY803"/>
      <c r="JZ803"/>
      <c r="KA803"/>
      <c r="KB803"/>
      <c r="KC803"/>
      <c r="KD803"/>
      <c r="KE803"/>
      <c r="KF803"/>
      <c r="KG803"/>
      <c r="KH803"/>
      <c r="KI803"/>
      <c r="KJ803"/>
      <c r="KK803"/>
      <c r="KL803"/>
      <c r="KM803"/>
      <c r="KN803"/>
      <c r="KO803"/>
      <c r="KP803"/>
      <c r="KQ803"/>
      <c r="KR803"/>
      <c r="KS803"/>
      <c r="KT803"/>
      <c r="KU803"/>
      <c r="KV803"/>
      <c r="KW803"/>
      <c r="KX803"/>
      <c r="KY803"/>
      <c r="KZ803"/>
      <c r="LA803"/>
      <c r="LB803"/>
      <c r="LC803"/>
      <c r="LD803"/>
      <c r="LE803"/>
      <c r="LF803"/>
      <c r="LG803"/>
      <c r="LH803"/>
      <c r="LI803"/>
      <c r="LJ803"/>
      <c r="LK803"/>
      <c r="LL803"/>
      <c r="LM803"/>
      <c r="LN803"/>
      <c r="LO803"/>
      <c r="LP803"/>
      <c r="LQ803"/>
      <c r="LR803"/>
      <c r="LS803"/>
      <c r="LT803"/>
      <c r="LU803"/>
      <c r="LV803"/>
      <c r="LW803"/>
      <c r="LX803"/>
      <c r="LY803"/>
      <c r="LZ803"/>
      <c r="MA803"/>
      <c r="MB803"/>
      <c r="MC803"/>
      <c r="MD803"/>
      <c r="ME803"/>
      <c r="MF803"/>
      <c r="MG803"/>
      <c r="MH803"/>
      <c r="MI803"/>
      <c r="MJ803"/>
      <c r="MK803"/>
      <c r="ML803"/>
      <c r="MM803"/>
      <c r="MN803"/>
      <c r="MO803"/>
      <c r="MP803"/>
      <c r="MQ803"/>
      <c r="MR803"/>
      <c r="MS803"/>
      <c r="MT803"/>
      <c r="MU803"/>
      <c r="MV803"/>
      <c r="MW803"/>
      <c r="MX803"/>
      <c r="MY803"/>
      <c r="MZ803"/>
      <c r="NA803"/>
      <c r="NB803"/>
      <c r="NC803"/>
      <c r="ND803"/>
      <c r="NE803"/>
      <c r="NF803"/>
      <c r="NG803"/>
      <c r="NH803"/>
      <c r="NI803"/>
      <c r="NJ803"/>
      <c r="NK803"/>
      <c r="NL803"/>
      <c r="NM803"/>
      <c r="NN803"/>
      <c r="NO803"/>
      <c r="NP803"/>
      <c r="NQ803"/>
      <c r="NR803"/>
      <c r="NS803"/>
      <c r="NT803"/>
      <c r="NU803"/>
      <c r="NV803"/>
      <c r="NW803"/>
      <c r="NX803"/>
      <c r="NY803"/>
      <c r="NZ803"/>
      <c r="OA803"/>
      <c r="OB803"/>
      <c r="OC803"/>
      <c r="OD803"/>
      <c r="OE803"/>
      <c r="OF803"/>
      <c r="OG803"/>
      <c r="OH803"/>
      <c r="OI803"/>
      <c r="OJ803"/>
      <c r="OK803"/>
      <c r="OL803"/>
      <c r="OM803"/>
      <c r="ON803"/>
      <c r="OO803"/>
      <c r="OP803"/>
      <c r="OQ803"/>
      <c r="OR803"/>
      <c r="OS803"/>
      <c r="OT803"/>
      <c r="OU803"/>
      <c r="OV803"/>
      <c r="OW803"/>
      <c r="OX803"/>
      <c r="OY803"/>
      <c r="OZ803"/>
      <c r="PA803"/>
      <c r="PB803"/>
      <c r="PC803"/>
      <c r="PD803"/>
      <c r="PE803"/>
      <c r="PF803"/>
      <c r="PG803"/>
      <c r="PH803"/>
      <c r="PI803"/>
      <c r="PJ803"/>
      <c r="PK803"/>
      <c r="PL803"/>
      <c r="PM803"/>
      <c r="PN803"/>
      <c r="PO803"/>
      <c r="PP803"/>
      <c r="PQ803"/>
      <c r="PR803"/>
      <c r="PS803"/>
      <c r="PT803"/>
      <c r="PU803"/>
      <c r="PV803"/>
      <c r="PW803"/>
      <c r="PX803"/>
      <c r="PY803"/>
      <c r="PZ803"/>
      <c r="QA803"/>
      <c r="QB803"/>
      <c r="QC803"/>
      <c r="QD803"/>
      <c r="QE803"/>
      <c r="QF803"/>
      <c r="QG803"/>
      <c r="QH803"/>
      <c r="QI803"/>
      <c r="QJ803"/>
      <c r="QK803"/>
      <c r="QL803"/>
      <c r="QM803"/>
      <c r="QN803"/>
      <c r="QO803"/>
      <c r="QP803"/>
      <c r="QQ803"/>
      <c r="QR803"/>
      <c r="QS803"/>
      <c r="QT803"/>
      <c r="QU803"/>
      <c r="QV803"/>
      <c r="QW803"/>
      <c r="QX803"/>
      <c r="QY803"/>
      <c r="QZ803"/>
      <c r="RA803"/>
      <c r="RB803"/>
      <c r="RC803"/>
      <c r="RD803"/>
      <c r="RE803"/>
      <c r="RF803"/>
      <c r="RG803"/>
      <c r="RH803"/>
      <c r="RI803"/>
      <c r="RJ803"/>
      <c r="RK803"/>
      <c r="RL803"/>
      <c r="RM803"/>
      <c r="RN803"/>
      <c r="RO803"/>
      <c r="RP803"/>
      <c r="RQ803"/>
      <c r="RR803"/>
      <c r="RS803"/>
      <c r="RT803"/>
      <c r="RU803"/>
      <c r="RV803"/>
      <c r="RW803"/>
      <c r="RX803"/>
      <c r="RY803"/>
      <c r="RZ803"/>
      <c r="SA803"/>
      <c r="SB803"/>
      <c r="SC803"/>
      <c r="SD803"/>
      <c r="SE803"/>
      <c r="SF803"/>
      <c r="SG803"/>
      <c r="SH803"/>
      <c r="SI803"/>
      <c r="SJ803"/>
      <c r="SK803"/>
      <c r="SL803"/>
      <c r="SM803"/>
      <c r="SN803"/>
      <c r="SO803"/>
      <c r="SP803"/>
      <c r="SQ803"/>
      <c r="SR803"/>
      <c r="SS803"/>
      <c r="ST803"/>
      <c r="SU803"/>
      <c r="SV803"/>
      <c r="SW803"/>
      <c r="SX803"/>
      <c r="SY803"/>
      <c r="SZ803"/>
      <c r="TA803"/>
      <c r="TB803"/>
      <c r="TC803"/>
      <c r="TD803"/>
      <c r="TE803"/>
      <c r="TF803"/>
      <c r="TG803"/>
      <c r="TH803"/>
      <c r="TI803"/>
      <c r="TJ803"/>
      <c r="TK803"/>
      <c r="TL803"/>
      <c r="TM803"/>
      <c r="TN803"/>
      <c r="TO803"/>
      <c r="TP803"/>
      <c r="TQ803"/>
      <c r="TR803"/>
      <c r="TS803"/>
      <c r="TT803"/>
      <c r="TU803"/>
      <c r="TV803"/>
      <c r="TW803"/>
      <c r="TX803"/>
      <c r="TY803"/>
      <c r="TZ803"/>
      <c r="UA803"/>
      <c r="UB803"/>
      <c r="UC803"/>
      <c r="UD803"/>
      <c r="UE803"/>
      <c r="UF803"/>
      <c r="UG803"/>
      <c r="UH803"/>
      <c r="UI803"/>
      <c r="UJ803"/>
      <c r="UK803"/>
      <c r="UL803"/>
      <c r="UM803"/>
      <c r="UN803"/>
      <c r="UO803"/>
      <c r="UP803"/>
      <c r="UQ803"/>
      <c r="UR803"/>
      <c r="US803"/>
      <c r="UT803"/>
      <c r="UU803"/>
      <c r="UV803"/>
      <c r="UW803"/>
      <c r="UX803"/>
      <c r="UY803"/>
      <c r="UZ803"/>
      <c r="VA803"/>
      <c r="VB803"/>
      <c r="VC803"/>
      <c r="VD803"/>
      <c r="VE803"/>
      <c r="VF803"/>
      <c r="VG803"/>
      <c r="VH803"/>
      <c r="VI803"/>
      <c r="VJ803"/>
      <c r="VK803"/>
      <c r="VL803"/>
      <c r="VM803"/>
      <c r="VN803"/>
      <c r="VO803"/>
      <c r="VP803"/>
      <c r="VQ803"/>
      <c r="VR803"/>
      <c r="VS803"/>
      <c r="VT803"/>
      <c r="VU803"/>
      <c r="VV803"/>
      <c r="VW803"/>
      <c r="VX803"/>
      <c r="VY803"/>
      <c r="VZ803"/>
      <c r="WA803"/>
      <c r="WB803"/>
      <c r="WC803"/>
      <c r="WD803"/>
      <c r="WE803"/>
      <c r="WF803"/>
      <c r="WG803"/>
      <c r="WH803"/>
      <c r="WI803"/>
      <c r="WJ803"/>
      <c r="WK803"/>
      <c r="WL803"/>
      <c r="WM803"/>
      <c r="WN803"/>
      <c r="WO803"/>
      <c r="WP803"/>
      <c r="WQ803"/>
      <c r="WR803"/>
      <c r="WS803"/>
      <c r="WT803"/>
      <c r="WU803"/>
      <c r="WV803"/>
      <c r="WW803"/>
      <c r="WX803"/>
      <c r="WY803"/>
      <c r="WZ803"/>
      <c r="XA803"/>
      <c r="XB803"/>
      <c r="XC803"/>
      <c r="XD803"/>
      <c r="XE803"/>
      <c r="XF803"/>
      <c r="XG803"/>
      <c r="XH803"/>
      <c r="XI803"/>
      <c r="XJ803"/>
      <c r="XK803"/>
      <c r="XL803"/>
      <c r="XM803"/>
      <c r="XN803"/>
      <c r="XO803"/>
      <c r="XP803"/>
      <c r="XQ803"/>
      <c r="XR803"/>
      <c r="XS803"/>
      <c r="XT803"/>
      <c r="XU803"/>
      <c r="XV803"/>
      <c r="XW803"/>
      <c r="XX803"/>
      <c r="XY803"/>
      <c r="XZ803"/>
      <c r="YA803"/>
      <c r="YB803"/>
      <c r="YC803"/>
      <c r="YD803"/>
      <c r="YE803"/>
      <c r="YF803"/>
      <c r="YG803"/>
      <c r="YH803"/>
      <c r="YI803"/>
      <c r="YJ803"/>
      <c r="YK803"/>
      <c r="YL803"/>
      <c r="YM803"/>
      <c r="YN803"/>
      <c r="YO803"/>
      <c r="YP803"/>
      <c r="YQ803"/>
      <c r="YR803"/>
      <c r="YS803"/>
      <c r="YT803"/>
      <c r="YU803"/>
      <c r="YV803"/>
      <c r="YW803"/>
      <c r="YX803"/>
      <c r="YY803"/>
      <c r="YZ803"/>
      <c r="ZA803"/>
      <c r="ZB803"/>
      <c r="ZC803"/>
      <c r="ZD803"/>
      <c r="ZE803"/>
      <c r="ZF803"/>
      <c r="ZG803"/>
      <c r="ZH803"/>
      <c r="ZI803"/>
      <c r="ZJ803"/>
      <c r="ZK803"/>
      <c r="ZL803"/>
      <c r="ZM803"/>
      <c r="ZN803"/>
      <c r="ZO803"/>
      <c r="ZP803"/>
      <c r="ZQ803"/>
      <c r="ZR803"/>
      <c r="ZS803"/>
      <c r="ZT803"/>
      <c r="ZU803"/>
      <c r="ZV803"/>
      <c r="ZW803"/>
      <c r="ZX803"/>
      <c r="ZY803"/>
      <c r="ZZ803"/>
      <c r="AAA803"/>
      <c r="AAB803"/>
      <c r="AAC803"/>
      <c r="AAD803"/>
      <c r="AAE803"/>
      <c r="AAF803"/>
      <c r="AAG803"/>
      <c r="AAH803"/>
      <c r="AAI803"/>
      <c r="AAJ803"/>
      <c r="AAK803"/>
      <c r="AAL803"/>
      <c r="AAM803"/>
      <c r="AAN803"/>
      <c r="AAO803"/>
      <c r="AAP803"/>
      <c r="AAQ803"/>
      <c r="AAR803"/>
      <c r="AAS803"/>
      <c r="AAT803"/>
      <c r="AAU803"/>
      <c r="AAV803"/>
      <c r="AAW803"/>
      <c r="AAX803"/>
      <c r="AAY803"/>
      <c r="AAZ803"/>
      <c r="ABA803"/>
      <c r="ABB803"/>
      <c r="ABC803"/>
      <c r="ABD803"/>
      <c r="ABE803"/>
      <c r="ABF803"/>
      <c r="ABG803"/>
      <c r="ABH803"/>
      <c r="ABI803"/>
      <c r="ABJ803"/>
      <c r="ABK803"/>
      <c r="ABL803"/>
      <c r="ABM803"/>
      <c r="ABN803"/>
      <c r="ABO803"/>
      <c r="ABP803"/>
      <c r="ABQ803"/>
      <c r="ABR803"/>
      <c r="ABS803"/>
      <c r="ABT803"/>
      <c r="ABU803"/>
      <c r="ABV803"/>
      <c r="ABW803"/>
      <c r="ABX803"/>
      <c r="ABY803"/>
      <c r="ABZ803"/>
      <c r="ACA803"/>
      <c r="ACB803"/>
      <c r="ACC803"/>
      <c r="ACD803"/>
      <c r="ACE803"/>
      <c r="ACF803"/>
      <c r="ACG803"/>
      <c r="ACH803"/>
      <c r="ACI803"/>
      <c r="ACJ803"/>
      <c r="ACK803"/>
      <c r="ACL803"/>
      <c r="ACM803"/>
      <c r="ACN803"/>
      <c r="ACO803"/>
      <c r="ACP803"/>
      <c r="ACQ803"/>
      <c r="ACR803"/>
      <c r="ACS803"/>
      <c r="ACT803"/>
      <c r="ACU803"/>
      <c r="ACV803"/>
      <c r="ACW803"/>
      <c r="ACX803"/>
      <c r="ACY803"/>
      <c r="ACZ803"/>
      <c r="ADA803"/>
      <c r="ADB803"/>
      <c r="ADC803"/>
      <c r="ADD803"/>
      <c r="ADE803"/>
      <c r="ADF803"/>
      <c r="ADG803"/>
      <c r="ADH803"/>
      <c r="ADI803"/>
      <c r="ADJ803"/>
      <c r="ADK803"/>
      <c r="ADL803"/>
      <c r="ADM803"/>
      <c r="ADN803"/>
      <c r="ADO803"/>
      <c r="ADP803"/>
      <c r="ADQ803"/>
      <c r="ADR803"/>
      <c r="ADS803"/>
      <c r="ADT803"/>
      <c r="ADU803"/>
      <c r="ADV803"/>
      <c r="ADW803"/>
      <c r="ADX803"/>
      <c r="ADY803"/>
      <c r="ADZ803"/>
      <c r="AEA803"/>
      <c r="AEB803"/>
      <c r="AEC803"/>
      <c r="AED803"/>
      <c r="AEE803"/>
      <c r="AEF803"/>
      <c r="AEG803"/>
      <c r="AEH803"/>
      <c r="AEI803"/>
      <c r="AEJ803"/>
      <c r="AEK803"/>
      <c r="AEL803"/>
      <c r="AEM803"/>
      <c r="AEN803"/>
      <c r="AEO803"/>
      <c r="AEP803"/>
      <c r="AEQ803"/>
      <c r="AER803"/>
      <c r="AES803"/>
      <c r="AET803"/>
      <c r="AEU803"/>
      <c r="AEV803"/>
      <c r="AEW803"/>
      <c r="AEX803"/>
      <c r="AEY803"/>
      <c r="AEZ803"/>
      <c r="AFA803"/>
      <c r="AFB803"/>
      <c r="AFC803"/>
      <c r="AFD803"/>
      <c r="AFE803"/>
      <c r="AFF803"/>
      <c r="AFG803"/>
      <c r="AFH803"/>
      <c r="AFI803"/>
      <c r="AFJ803"/>
      <c r="AFK803"/>
      <c r="AFL803"/>
      <c r="AFM803"/>
      <c r="AFN803"/>
      <c r="AFO803"/>
      <c r="AFP803"/>
      <c r="AFQ803"/>
      <c r="AFR803"/>
      <c r="AFS803"/>
      <c r="AFT803"/>
      <c r="AFU803"/>
      <c r="AFV803"/>
      <c r="AFW803"/>
      <c r="AFX803"/>
      <c r="AFY803"/>
      <c r="AFZ803"/>
      <c r="AGA803"/>
      <c r="AGB803"/>
      <c r="AGC803"/>
      <c r="AGD803"/>
      <c r="AGE803"/>
      <c r="AGF803"/>
      <c r="AGG803"/>
      <c r="AGH803"/>
      <c r="AGI803"/>
      <c r="AGJ803"/>
      <c r="AGK803"/>
      <c r="AGL803"/>
      <c r="AGM803"/>
      <c r="AGN803"/>
      <c r="AGO803"/>
      <c r="AGP803"/>
      <c r="AGQ803"/>
      <c r="AGR803"/>
      <c r="AGS803"/>
      <c r="AGT803"/>
      <c r="AGU803"/>
      <c r="AGV803"/>
      <c r="AGW803"/>
      <c r="AGX803"/>
      <c r="AGY803"/>
      <c r="AGZ803"/>
      <c r="AHA803"/>
      <c r="AHB803"/>
      <c r="AHC803"/>
      <c r="AHD803"/>
      <c r="AHE803"/>
      <c r="AHF803"/>
      <c r="AHG803"/>
      <c r="AHH803"/>
      <c r="AHI803"/>
      <c r="AHJ803"/>
      <c r="AHK803"/>
      <c r="AHL803"/>
      <c r="AHM803"/>
      <c r="AHN803"/>
      <c r="AHO803"/>
      <c r="AHP803"/>
      <c r="AHQ803"/>
      <c r="AHR803"/>
      <c r="AHS803"/>
      <c r="AHT803"/>
      <c r="AHU803"/>
      <c r="AHV803"/>
      <c r="AHW803"/>
      <c r="AHX803"/>
      <c r="AHY803"/>
      <c r="AHZ803"/>
      <c r="AIA803"/>
      <c r="AIB803"/>
      <c r="AIC803"/>
      <c r="AID803"/>
      <c r="AIE803"/>
      <c r="AIF803"/>
      <c r="AIG803"/>
      <c r="AIH803"/>
      <c r="AII803"/>
      <c r="AIJ803"/>
      <c r="AIK803"/>
      <c r="AIL803"/>
      <c r="AIM803"/>
      <c r="AIN803"/>
      <c r="AIO803"/>
      <c r="AIP803"/>
      <c r="AIQ803"/>
      <c r="AIR803"/>
      <c r="AIS803"/>
      <c r="AIT803"/>
      <c r="AIU803"/>
      <c r="AIV803"/>
      <c r="AIW803"/>
      <c r="AIX803"/>
      <c r="AIY803"/>
      <c r="AIZ803"/>
      <c r="AJA803"/>
      <c r="AJB803"/>
      <c r="AJC803"/>
      <c r="AJD803"/>
      <c r="AJE803"/>
      <c r="AJF803"/>
      <c r="AJG803"/>
      <c r="AJH803"/>
      <c r="AJI803"/>
      <c r="AJJ803"/>
      <c r="AJK803"/>
      <c r="AJL803"/>
      <c r="AJM803"/>
      <c r="AJN803"/>
      <c r="AJO803"/>
      <c r="AJP803"/>
      <c r="AJQ803"/>
      <c r="AJR803"/>
      <c r="AJS803"/>
      <c r="AJT803"/>
      <c r="AJU803"/>
      <c r="AJV803"/>
      <c r="AJW803"/>
      <c r="AJX803"/>
      <c r="AJY803"/>
      <c r="AJZ803"/>
      <c r="AKA803"/>
      <c r="AKB803"/>
      <c r="AKC803"/>
      <c r="AKD803"/>
      <c r="AKE803"/>
      <c r="AKF803"/>
      <c r="AKG803"/>
      <c r="AKH803"/>
      <c r="AKI803"/>
      <c r="AKJ803"/>
      <c r="AKK803"/>
      <c r="AKL803"/>
      <c r="AKM803"/>
      <c r="AKN803"/>
      <c r="AKO803"/>
      <c r="AKP803"/>
      <c r="AKQ803"/>
      <c r="AKR803"/>
      <c r="AKS803"/>
      <c r="AKT803"/>
      <c r="AKU803"/>
      <c r="AKV803"/>
      <c r="AKW803"/>
      <c r="AKX803"/>
      <c r="AKY803"/>
      <c r="AKZ803"/>
      <c r="ALA803"/>
      <c r="ALB803"/>
      <c r="ALC803"/>
      <c r="ALD803"/>
      <c r="ALE803"/>
      <c r="ALF803"/>
      <c r="ALG803"/>
      <c r="ALH803"/>
      <c r="ALI803"/>
      <c r="ALJ803"/>
      <c r="ALK803"/>
      <c r="ALL803"/>
      <c r="ALM803"/>
      <c r="ALN803"/>
      <c r="ALO803"/>
      <c r="ALP803"/>
      <c r="ALQ803"/>
      <c r="ALR803"/>
      <c r="ALS803"/>
      <c r="ALT803"/>
      <c r="ALU803"/>
      <c r="ALV803"/>
      <c r="ALW803"/>
      <c r="ALX803"/>
      <c r="ALY803"/>
      <c r="ALZ803"/>
      <c r="AMA803"/>
      <c r="AMB803"/>
      <c r="AMC803"/>
      <c r="AMD803"/>
      <c r="AME803"/>
      <c r="AMF803"/>
      <c r="AMG803"/>
      <c r="AMH803"/>
    </row>
    <row r="804" spans="1:1022" x14ac:dyDescent="0.15">
      <c r="A804" s="8" t="s">
        <v>2988</v>
      </c>
      <c r="B804" s="8" t="s">
        <v>2978</v>
      </c>
      <c r="C804" s="8" t="str">
        <f t="shared" si="18"/>
        <v>att_ptm_enrichment:ionchromatography</v>
      </c>
      <c r="D804" s="9" t="s">
        <v>17</v>
      </c>
      <c r="E804" s="8" t="s">
        <v>2986</v>
      </c>
      <c r="F804" s="8" t="s">
        <v>2987</v>
      </c>
      <c r="G804"/>
      <c r="H804"/>
      <c r="I804"/>
      <c r="J804"/>
      <c r="K804"/>
      <c r="L804"/>
      <c r="M804"/>
      <c r="N804"/>
      <c r="O804"/>
      <c r="P804"/>
      <c r="Q804"/>
      <c r="R804"/>
      <c r="S804"/>
      <c r="T804"/>
      <c r="U804"/>
      <c r="V804"/>
      <c r="W804"/>
      <c r="X804"/>
      <c r="Y804"/>
      <c r="Z804"/>
      <c r="AA804"/>
      <c r="AB804"/>
      <c r="AC804"/>
      <c r="AD804"/>
      <c r="AE804"/>
      <c r="AF804"/>
      <c r="AG804"/>
      <c r="AH804"/>
      <c r="AI804"/>
      <c r="AJ804"/>
      <c r="AK804"/>
      <c r="AL804"/>
      <c r="AM804"/>
      <c r="AN804"/>
      <c r="AO804"/>
      <c r="AP804"/>
      <c r="AQ804"/>
      <c r="AR804"/>
      <c r="AS804"/>
      <c r="AT804"/>
      <c r="AU804"/>
      <c r="AV804"/>
      <c r="AW804"/>
      <c r="AX804"/>
      <c r="AY804"/>
      <c r="AZ804"/>
      <c r="BA804"/>
      <c r="BB804"/>
      <c r="BC804"/>
      <c r="BD804"/>
      <c r="BE804"/>
      <c r="BF804"/>
      <c r="BG804"/>
      <c r="BH804"/>
      <c r="BI804"/>
      <c r="BJ804"/>
      <c r="BK804"/>
      <c r="BL804"/>
      <c r="BM804"/>
      <c r="BN804"/>
      <c r="BO804"/>
      <c r="BP804"/>
      <c r="BQ804"/>
      <c r="BR804"/>
      <c r="BS804"/>
      <c r="BT804"/>
      <c r="BU804"/>
      <c r="BV804"/>
      <c r="BW804"/>
      <c r="BX804"/>
      <c r="BY804"/>
      <c r="BZ804"/>
      <c r="CA804"/>
      <c r="CB804"/>
      <c r="CC804"/>
      <c r="CD804"/>
      <c r="CE804"/>
      <c r="CF804"/>
      <c r="CG804"/>
      <c r="CH804"/>
      <c r="CI804"/>
      <c r="CJ804"/>
      <c r="CK804"/>
      <c r="CL804"/>
      <c r="CM804"/>
      <c r="CN804"/>
      <c r="CO804"/>
      <c r="CP804"/>
      <c r="CQ804"/>
      <c r="CR804"/>
      <c r="CS804"/>
      <c r="CT804"/>
      <c r="CU804"/>
      <c r="CV804"/>
      <c r="CW804"/>
      <c r="CX804"/>
      <c r="CY804"/>
      <c r="CZ804"/>
      <c r="DA804"/>
      <c r="DB804"/>
      <c r="DC804"/>
      <c r="DD804"/>
      <c r="DE804"/>
      <c r="DF804"/>
      <c r="DG804"/>
      <c r="DH804"/>
      <c r="DI804"/>
      <c r="DJ804"/>
      <c r="DK804"/>
      <c r="DL804"/>
      <c r="DM804"/>
      <c r="DN804"/>
      <c r="DO804"/>
      <c r="DP804"/>
      <c r="DQ804"/>
      <c r="DR804"/>
      <c r="DS804"/>
      <c r="DT804"/>
      <c r="DU804"/>
      <c r="DV804"/>
      <c r="DW804"/>
      <c r="DX804"/>
      <c r="DY804"/>
      <c r="DZ804"/>
      <c r="EA804"/>
      <c r="EB804"/>
      <c r="EC804"/>
      <c r="ED804"/>
      <c r="EE804"/>
      <c r="EF804"/>
      <c r="EG804"/>
      <c r="EH804"/>
      <c r="EI804"/>
      <c r="EJ804"/>
      <c r="EK804"/>
      <c r="EL804"/>
      <c r="EM804"/>
      <c r="EN804"/>
      <c r="EO804"/>
      <c r="EP804"/>
      <c r="EQ804"/>
      <c r="ER804"/>
      <c r="ES804"/>
      <c r="ET804"/>
      <c r="EU804"/>
      <c r="EV804"/>
      <c r="EW804"/>
      <c r="EX804"/>
      <c r="EY804"/>
      <c r="EZ804"/>
      <c r="FA804"/>
      <c r="FB804"/>
      <c r="FC804"/>
      <c r="FD804"/>
      <c r="FE804"/>
      <c r="FF804"/>
      <c r="FG804"/>
      <c r="FH804"/>
      <c r="FI804"/>
      <c r="FJ804"/>
      <c r="FK804"/>
      <c r="FL804"/>
      <c r="FM804"/>
      <c r="FN804"/>
      <c r="FO804"/>
      <c r="FP804"/>
      <c r="FQ804"/>
      <c r="FR804"/>
      <c r="FS804"/>
      <c r="FT804"/>
      <c r="FU804"/>
      <c r="FV804"/>
      <c r="FW804"/>
      <c r="FX804"/>
      <c r="FY804"/>
      <c r="FZ804"/>
      <c r="GA804"/>
      <c r="GB804"/>
      <c r="GC804"/>
      <c r="GD804"/>
      <c r="GE804"/>
      <c r="GF804"/>
      <c r="GG804"/>
      <c r="GH804"/>
      <c r="GI804"/>
      <c r="GJ804"/>
      <c r="GK804"/>
      <c r="GL804"/>
      <c r="GM804"/>
      <c r="GN804"/>
      <c r="GO804"/>
      <c r="GP804"/>
      <c r="GQ804"/>
      <c r="GR804"/>
      <c r="GS804"/>
      <c r="GT804"/>
      <c r="GU804"/>
      <c r="GV804"/>
      <c r="GW804"/>
      <c r="GX804"/>
      <c r="GY804"/>
      <c r="GZ804"/>
      <c r="HA804"/>
      <c r="HB804"/>
      <c r="HC804"/>
      <c r="HD804"/>
      <c r="HE804"/>
      <c r="HF804"/>
      <c r="HG804"/>
      <c r="HH804"/>
      <c r="HI804"/>
      <c r="HJ804"/>
      <c r="HK804"/>
      <c r="HL804"/>
      <c r="HM804"/>
      <c r="HN804"/>
      <c r="HO804"/>
      <c r="HP804"/>
      <c r="HQ804"/>
      <c r="HR804"/>
      <c r="HS804"/>
      <c r="HT804"/>
      <c r="HU804"/>
      <c r="HV804"/>
      <c r="HW804"/>
      <c r="HX804"/>
      <c r="HY804"/>
      <c r="HZ804"/>
      <c r="IA804"/>
      <c r="IB804"/>
      <c r="IC804"/>
      <c r="ID804"/>
      <c r="IE804"/>
      <c r="IF804"/>
      <c r="IG804"/>
      <c r="IH804"/>
      <c r="II804"/>
      <c r="IJ804"/>
      <c r="IK804"/>
      <c r="IL804"/>
      <c r="IM804"/>
      <c r="IN804"/>
      <c r="IO804"/>
      <c r="IP804"/>
      <c r="IQ804"/>
      <c r="IR804"/>
      <c r="IS804"/>
      <c r="IT804"/>
      <c r="IU804"/>
      <c r="IV804"/>
      <c r="IW804"/>
      <c r="IX804"/>
      <c r="IY804"/>
      <c r="IZ804"/>
      <c r="JA804"/>
      <c r="JB804"/>
      <c r="JC804"/>
      <c r="JD804"/>
      <c r="JE804"/>
      <c r="JF804"/>
      <c r="JG804"/>
      <c r="JH804"/>
      <c r="JI804"/>
      <c r="JJ804"/>
      <c r="JK804"/>
      <c r="JL804"/>
      <c r="JM804"/>
      <c r="JN804"/>
      <c r="JO804"/>
      <c r="JP804"/>
      <c r="JQ804"/>
      <c r="JR804"/>
      <c r="JS804"/>
      <c r="JT804"/>
      <c r="JU804"/>
      <c r="JV804"/>
      <c r="JW804"/>
      <c r="JX804"/>
      <c r="JY804"/>
      <c r="JZ804"/>
      <c r="KA804"/>
      <c r="KB804"/>
      <c r="KC804"/>
      <c r="KD804"/>
      <c r="KE804"/>
      <c r="KF804"/>
      <c r="KG804"/>
      <c r="KH804"/>
      <c r="KI804"/>
      <c r="KJ804"/>
      <c r="KK804"/>
      <c r="KL804"/>
      <c r="KM804"/>
      <c r="KN804"/>
      <c r="KO804"/>
      <c r="KP804"/>
      <c r="KQ804"/>
      <c r="KR804"/>
      <c r="KS804"/>
      <c r="KT804"/>
      <c r="KU804"/>
      <c r="KV804"/>
      <c r="KW804"/>
      <c r="KX804"/>
      <c r="KY804"/>
      <c r="KZ804"/>
      <c r="LA804"/>
      <c r="LB804"/>
      <c r="LC804"/>
      <c r="LD804"/>
      <c r="LE804"/>
      <c r="LF804"/>
      <c r="LG804"/>
      <c r="LH804"/>
      <c r="LI804"/>
      <c r="LJ804"/>
      <c r="LK804"/>
      <c r="LL804"/>
      <c r="LM804"/>
      <c r="LN804"/>
      <c r="LO804"/>
      <c r="LP804"/>
      <c r="LQ804"/>
      <c r="LR804"/>
      <c r="LS804"/>
      <c r="LT804"/>
      <c r="LU804"/>
      <c r="LV804"/>
      <c r="LW804"/>
      <c r="LX804"/>
      <c r="LY804"/>
      <c r="LZ804"/>
      <c r="MA804"/>
      <c r="MB804"/>
      <c r="MC804"/>
      <c r="MD804"/>
      <c r="ME804"/>
      <c r="MF804"/>
      <c r="MG804"/>
      <c r="MH804"/>
      <c r="MI804"/>
      <c r="MJ804"/>
      <c r="MK804"/>
      <c r="ML804"/>
      <c r="MM804"/>
      <c r="MN804"/>
      <c r="MO804"/>
      <c r="MP804"/>
      <c r="MQ804"/>
      <c r="MR804"/>
      <c r="MS804"/>
      <c r="MT804"/>
      <c r="MU804"/>
      <c r="MV804"/>
      <c r="MW804"/>
      <c r="MX804"/>
      <c r="MY804"/>
      <c r="MZ804"/>
      <c r="NA804"/>
      <c r="NB804"/>
      <c r="NC804"/>
      <c r="ND804"/>
      <c r="NE804"/>
      <c r="NF804"/>
      <c r="NG804"/>
      <c r="NH804"/>
      <c r="NI804"/>
      <c r="NJ804"/>
      <c r="NK804"/>
      <c r="NL804"/>
      <c r="NM804"/>
      <c r="NN804"/>
      <c r="NO804"/>
      <c r="NP804"/>
      <c r="NQ804"/>
      <c r="NR804"/>
      <c r="NS804"/>
      <c r="NT804"/>
      <c r="NU804"/>
      <c r="NV804"/>
      <c r="NW804"/>
      <c r="NX804"/>
      <c r="NY804"/>
      <c r="NZ804"/>
      <c r="OA804"/>
      <c r="OB804"/>
      <c r="OC804"/>
      <c r="OD804"/>
      <c r="OE804"/>
      <c r="OF804"/>
      <c r="OG804"/>
      <c r="OH804"/>
      <c r="OI804"/>
      <c r="OJ804"/>
      <c r="OK804"/>
      <c r="OL804"/>
      <c r="OM804"/>
      <c r="ON804"/>
      <c r="OO804"/>
      <c r="OP804"/>
      <c r="OQ804"/>
      <c r="OR804"/>
      <c r="OS804"/>
      <c r="OT804"/>
      <c r="OU804"/>
      <c r="OV804"/>
      <c r="OW804"/>
      <c r="OX804"/>
      <c r="OY804"/>
      <c r="OZ804"/>
      <c r="PA804"/>
      <c r="PB804"/>
      <c r="PC804"/>
      <c r="PD804"/>
      <c r="PE804"/>
      <c r="PF804"/>
      <c r="PG804"/>
      <c r="PH804"/>
      <c r="PI804"/>
      <c r="PJ804"/>
      <c r="PK804"/>
      <c r="PL804"/>
      <c r="PM804"/>
      <c r="PN804"/>
      <c r="PO804"/>
      <c r="PP804"/>
      <c r="PQ804"/>
      <c r="PR804"/>
      <c r="PS804"/>
      <c r="PT804"/>
      <c r="PU804"/>
      <c r="PV804"/>
      <c r="PW804"/>
      <c r="PX804"/>
      <c r="PY804"/>
      <c r="PZ804"/>
      <c r="QA804"/>
      <c r="QB804"/>
      <c r="QC804"/>
      <c r="QD804"/>
      <c r="QE804"/>
      <c r="QF804"/>
      <c r="QG804"/>
      <c r="QH804"/>
      <c r="QI804"/>
      <c r="QJ804"/>
      <c r="QK804"/>
      <c r="QL804"/>
      <c r="QM804"/>
      <c r="QN804"/>
      <c r="QO804"/>
      <c r="QP804"/>
      <c r="QQ804"/>
      <c r="QR804"/>
      <c r="QS804"/>
      <c r="QT804"/>
      <c r="QU804"/>
      <c r="QV804"/>
      <c r="QW804"/>
      <c r="QX804"/>
      <c r="QY804"/>
      <c r="QZ804"/>
      <c r="RA804"/>
      <c r="RB804"/>
      <c r="RC804"/>
      <c r="RD804"/>
      <c r="RE804"/>
      <c r="RF804"/>
      <c r="RG804"/>
      <c r="RH804"/>
      <c r="RI804"/>
      <c r="RJ804"/>
      <c r="RK804"/>
      <c r="RL804"/>
      <c r="RM804"/>
      <c r="RN804"/>
      <c r="RO804"/>
      <c r="RP804"/>
      <c r="RQ804"/>
      <c r="RR804"/>
      <c r="RS804"/>
      <c r="RT804"/>
      <c r="RU804"/>
      <c r="RV804"/>
      <c r="RW804"/>
      <c r="RX804"/>
      <c r="RY804"/>
      <c r="RZ804"/>
      <c r="SA804"/>
      <c r="SB804"/>
      <c r="SC804"/>
      <c r="SD804"/>
      <c r="SE804"/>
      <c r="SF804"/>
      <c r="SG804"/>
      <c r="SH804"/>
      <c r="SI804"/>
      <c r="SJ804"/>
      <c r="SK804"/>
      <c r="SL804"/>
      <c r="SM804"/>
      <c r="SN804"/>
      <c r="SO804"/>
      <c r="SP804"/>
      <c r="SQ804"/>
      <c r="SR804"/>
      <c r="SS804"/>
      <c r="ST804"/>
      <c r="SU804"/>
      <c r="SV804"/>
      <c r="SW804"/>
      <c r="SX804"/>
      <c r="SY804"/>
      <c r="SZ804"/>
      <c r="TA804"/>
      <c r="TB804"/>
      <c r="TC804"/>
      <c r="TD804"/>
      <c r="TE804"/>
      <c r="TF804"/>
      <c r="TG804"/>
      <c r="TH804"/>
      <c r="TI804"/>
      <c r="TJ804"/>
      <c r="TK804"/>
      <c r="TL804"/>
      <c r="TM804"/>
      <c r="TN804"/>
      <c r="TO804"/>
      <c r="TP804"/>
      <c r="TQ804"/>
      <c r="TR804"/>
      <c r="TS804"/>
      <c r="TT804"/>
      <c r="TU804"/>
      <c r="TV804"/>
      <c r="TW804"/>
      <c r="TX804"/>
      <c r="TY804"/>
      <c r="TZ804"/>
      <c r="UA804"/>
      <c r="UB804"/>
      <c r="UC804"/>
      <c r="UD804"/>
      <c r="UE804"/>
      <c r="UF804"/>
      <c r="UG804"/>
      <c r="UH804"/>
      <c r="UI804"/>
      <c r="UJ804"/>
      <c r="UK804"/>
      <c r="UL804"/>
      <c r="UM804"/>
      <c r="UN804"/>
      <c r="UO804"/>
      <c r="UP804"/>
      <c r="UQ804"/>
      <c r="UR804"/>
      <c r="US804"/>
      <c r="UT804"/>
      <c r="UU804"/>
      <c r="UV804"/>
      <c r="UW804"/>
      <c r="UX804"/>
      <c r="UY804"/>
      <c r="UZ804"/>
      <c r="VA804"/>
      <c r="VB804"/>
      <c r="VC804"/>
      <c r="VD804"/>
      <c r="VE804"/>
      <c r="VF804"/>
      <c r="VG804"/>
      <c r="VH804"/>
      <c r="VI804"/>
      <c r="VJ804"/>
      <c r="VK804"/>
      <c r="VL804"/>
      <c r="VM804"/>
      <c r="VN804"/>
      <c r="VO804"/>
      <c r="VP804"/>
      <c r="VQ804"/>
      <c r="VR804"/>
      <c r="VS804"/>
      <c r="VT804"/>
      <c r="VU804"/>
      <c r="VV804"/>
      <c r="VW804"/>
      <c r="VX804"/>
      <c r="VY804"/>
      <c r="VZ804"/>
      <c r="WA804"/>
      <c r="WB804"/>
      <c r="WC804"/>
      <c r="WD804"/>
      <c r="WE804"/>
      <c r="WF804"/>
      <c r="WG804"/>
      <c r="WH804"/>
      <c r="WI804"/>
      <c r="WJ804"/>
      <c r="WK804"/>
      <c r="WL804"/>
      <c r="WM804"/>
      <c r="WN804"/>
      <c r="WO804"/>
      <c r="WP804"/>
      <c r="WQ804"/>
      <c r="WR804"/>
      <c r="WS804"/>
      <c r="WT804"/>
      <c r="WU804"/>
      <c r="WV804"/>
      <c r="WW804"/>
      <c r="WX804"/>
      <c r="WY804"/>
      <c r="WZ804"/>
      <c r="XA804"/>
      <c r="XB804"/>
      <c r="XC804"/>
      <c r="XD804"/>
      <c r="XE804"/>
      <c r="XF804"/>
      <c r="XG804"/>
      <c r="XH804"/>
      <c r="XI804"/>
      <c r="XJ804"/>
      <c r="XK804"/>
      <c r="XL804"/>
      <c r="XM804"/>
      <c r="XN804"/>
      <c r="XO804"/>
      <c r="XP804"/>
      <c r="XQ804"/>
      <c r="XR804"/>
      <c r="XS804"/>
      <c r="XT804"/>
      <c r="XU804"/>
      <c r="XV804"/>
      <c r="XW804"/>
      <c r="XX804"/>
      <c r="XY804"/>
      <c r="XZ804"/>
      <c r="YA804"/>
      <c r="YB804"/>
      <c r="YC804"/>
      <c r="YD804"/>
      <c r="YE804"/>
      <c r="YF804"/>
      <c r="YG804"/>
      <c r="YH804"/>
      <c r="YI804"/>
      <c r="YJ804"/>
      <c r="YK804"/>
      <c r="YL804"/>
      <c r="YM804"/>
      <c r="YN804"/>
      <c r="YO804"/>
      <c r="YP804"/>
      <c r="YQ804"/>
      <c r="YR804"/>
      <c r="YS804"/>
      <c r="YT804"/>
      <c r="YU804"/>
      <c r="YV804"/>
      <c r="YW804"/>
      <c r="YX804"/>
      <c r="YY804"/>
      <c r="YZ804"/>
      <c r="ZA804"/>
      <c r="ZB804"/>
      <c r="ZC804"/>
      <c r="ZD804"/>
      <c r="ZE804"/>
      <c r="ZF804"/>
      <c r="ZG804"/>
      <c r="ZH804"/>
      <c r="ZI804"/>
      <c r="ZJ804"/>
      <c r="ZK804"/>
      <c r="ZL804"/>
      <c r="ZM804"/>
      <c r="ZN804"/>
      <c r="ZO804"/>
      <c r="ZP804"/>
      <c r="ZQ804"/>
      <c r="ZR804"/>
      <c r="ZS804"/>
      <c r="ZT804"/>
      <c r="ZU804"/>
      <c r="ZV804"/>
      <c r="ZW804"/>
      <c r="ZX804"/>
      <c r="ZY804"/>
      <c r="ZZ804"/>
      <c r="AAA804"/>
      <c r="AAB804"/>
      <c r="AAC804"/>
      <c r="AAD804"/>
      <c r="AAE804"/>
      <c r="AAF804"/>
      <c r="AAG804"/>
      <c r="AAH804"/>
      <c r="AAI804"/>
      <c r="AAJ804"/>
      <c r="AAK804"/>
      <c r="AAL804"/>
      <c r="AAM804"/>
      <c r="AAN804"/>
      <c r="AAO804"/>
      <c r="AAP804"/>
      <c r="AAQ804"/>
      <c r="AAR804"/>
      <c r="AAS804"/>
      <c r="AAT804"/>
      <c r="AAU804"/>
      <c r="AAV804"/>
      <c r="AAW804"/>
      <c r="AAX804"/>
      <c r="AAY804"/>
      <c r="AAZ804"/>
      <c r="ABA804"/>
      <c r="ABB804"/>
      <c r="ABC804"/>
      <c r="ABD804"/>
      <c r="ABE804"/>
      <c r="ABF804"/>
      <c r="ABG804"/>
      <c r="ABH804"/>
      <c r="ABI804"/>
      <c r="ABJ804"/>
      <c r="ABK804"/>
      <c r="ABL804"/>
      <c r="ABM804"/>
      <c r="ABN804"/>
      <c r="ABO804"/>
      <c r="ABP804"/>
      <c r="ABQ804"/>
      <c r="ABR804"/>
      <c r="ABS804"/>
      <c r="ABT804"/>
      <c r="ABU804"/>
      <c r="ABV804"/>
      <c r="ABW804"/>
      <c r="ABX804"/>
      <c r="ABY804"/>
      <c r="ABZ804"/>
      <c r="ACA804"/>
      <c r="ACB804"/>
      <c r="ACC804"/>
      <c r="ACD804"/>
      <c r="ACE804"/>
      <c r="ACF804"/>
      <c r="ACG804"/>
      <c r="ACH804"/>
      <c r="ACI804"/>
      <c r="ACJ804"/>
      <c r="ACK804"/>
      <c r="ACL804"/>
      <c r="ACM804"/>
      <c r="ACN804"/>
      <c r="ACO804"/>
      <c r="ACP804"/>
      <c r="ACQ804"/>
      <c r="ACR804"/>
      <c r="ACS804"/>
      <c r="ACT804"/>
      <c r="ACU804"/>
      <c r="ACV804"/>
      <c r="ACW804"/>
      <c r="ACX804"/>
      <c r="ACY804"/>
      <c r="ACZ804"/>
      <c r="ADA804"/>
      <c r="ADB804"/>
      <c r="ADC804"/>
      <c r="ADD804"/>
      <c r="ADE804"/>
      <c r="ADF804"/>
      <c r="ADG804"/>
      <c r="ADH804"/>
      <c r="ADI804"/>
      <c r="ADJ804"/>
      <c r="ADK804"/>
      <c r="ADL804"/>
      <c r="ADM804"/>
      <c r="ADN804"/>
      <c r="ADO804"/>
      <c r="ADP804"/>
      <c r="ADQ804"/>
      <c r="ADR804"/>
      <c r="ADS804"/>
      <c r="ADT804"/>
      <c r="ADU804"/>
      <c r="ADV804"/>
      <c r="ADW804"/>
      <c r="ADX804"/>
      <c r="ADY804"/>
      <c r="ADZ804"/>
      <c r="AEA804"/>
      <c r="AEB804"/>
      <c r="AEC804"/>
      <c r="AED804"/>
      <c r="AEE804"/>
      <c r="AEF804"/>
      <c r="AEG804"/>
      <c r="AEH804"/>
      <c r="AEI804"/>
      <c r="AEJ804"/>
      <c r="AEK804"/>
      <c r="AEL804"/>
      <c r="AEM804"/>
      <c r="AEN804"/>
      <c r="AEO804"/>
      <c r="AEP804"/>
      <c r="AEQ804"/>
      <c r="AER804"/>
      <c r="AES804"/>
      <c r="AET804"/>
      <c r="AEU804"/>
      <c r="AEV804"/>
      <c r="AEW804"/>
      <c r="AEX804"/>
      <c r="AEY804"/>
      <c r="AEZ804"/>
      <c r="AFA804"/>
      <c r="AFB804"/>
      <c r="AFC804"/>
      <c r="AFD804"/>
      <c r="AFE804"/>
      <c r="AFF804"/>
      <c r="AFG804"/>
      <c r="AFH804"/>
      <c r="AFI804"/>
      <c r="AFJ804"/>
      <c r="AFK804"/>
      <c r="AFL804"/>
      <c r="AFM804"/>
      <c r="AFN804"/>
      <c r="AFO804"/>
      <c r="AFP804"/>
      <c r="AFQ804"/>
      <c r="AFR804"/>
      <c r="AFS804"/>
      <c r="AFT804"/>
      <c r="AFU804"/>
      <c r="AFV804"/>
      <c r="AFW804"/>
      <c r="AFX804"/>
      <c r="AFY804"/>
      <c r="AFZ804"/>
      <c r="AGA804"/>
      <c r="AGB804"/>
      <c r="AGC804"/>
      <c r="AGD804"/>
      <c r="AGE804"/>
      <c r="AGF804"/>
      <c r="AGG804"/>
      <c r="AGH804"/>
      <c r="AGI804"/>
      <c r="AGJ804"/>
      <c r="AGK804"/>
      <c r="AGL804"/>
      <c r="AGM804"/>
      <c r="AGN804"/>
      <c r="AGO804"/>
      <c r="AGP804"/>
      <c r="AGQ804"/>
      <c r="AGR804"/>
      <c r="AGS804"/>
      <c r="AGT804"/>
      <c r="AGU804"/>
      <c r="AGV804"/>
      <c r="AGW804"/>
      <c r="AGX804"/>
      <c r="AGY804"/>
      <c r="AGZ804"/>
      <c r="AHA804"/>
      <c r="AHB804"/>
      <c r="AHC804"/>
      <c r="AHD804"/>
      <c r="AHE804"/>
      <c r="AHF804"/>
      <c r="AHG804"/>
      <c r="AHH804"/>
      <c r="AHI804"/>
      <c r="AHJ804"/>
      <c r="AHK804"/>
      <c r="AHL804"/>
      <c r="AHM804"/>
      <c r="AHN804"/>
      <c r="AHO804"/>
      <c r="AHP804"/>
      <c r="AHQ804"/>
      <c r="AHR804"/>
      <c r="AHS804"/>
      <c r="AHT804"/>
      <c r="AHU804"/>
      <c r="AHV804"/>
      <c r="AHW804"/>
      <c r="AHX804"/>
      <c r="AHY804"/>
      <c r="AHZ804"/>
      <c r="AIA804"/>
      <c r="AIB804"/>
      <c r="AIC804"/>
      <c r="AID804"/>
      <c r="AIE804"/>
      <c r="AIF804"/>
      <c r="AIG804"/>
      <c r="AIH804"/>
      <c r="AII804"/>
      <c r="AIJ804"/>
      <c r="AIK804"/>
      <c r="AIL804"/>
      <c r="AIM804"/>
      <c r="AIN804"/>
      <c r="AIO804"/>
      <c r="AIP804"/>
      <c r="AIQ804"/>
      <c r="AIR804"/>
      <c r="AIS804"/>
      <c r="AIT804"/>
      <c r="AIU804"/>
      <c r="AIV804"/>
      <c r="AIW804"/>
      <c r="AIX804"/>
      <c r="AIY804"/>
      <c r="AIZ804"/>
      <c r="AJA804"/>
      <c r="AJB804"/>
      <c r="AJC804"/>
      <c r="AJD804"/>
      <c r="AJE804"/>
      <c r="AJF804"/>
      <c r="AJG804"/>
      <c r="AJH804"/>
      <c r="AJI804"/>
      <c r="AJJ804"/>
      <c r="AJK804"/>
      <c r="AJL804"/>
      <c r="AJM804"/>
      <c r="AJN804"/>
      <c r="AJO804"/>
      <c r="AJP804"/>
      <c r="AJQ804"/>
      <c r="AJR804"/>
      <c r="AJS804"/>
      <c r="AJT804"/>
      <c r="AJU804"/>
      <c r="AJV804"/>
      <c r="AJW804"/>
      <c r="AJX804"/>
      <c r="AJY804"/>
      <c r="AJZ804"/>
      <c r="AKA804"/>
      <c r="AKB804"/>
      <c r="AKC804"/>
      <c r="AKD804"/>
      <c r="AKE804"/>
      <c r="AKF804"/>
      <c r="AKG804"/>
      <c r="AKH804"/>
      <c r="AKI804"/>
      <c r="AKJ804"/>
      <c r="AKK804"/>
      <c r="AKL804"/>
      <c r="AKM804"/>
      <c r="AKN804"/>
      <c r="AKO804"/>
      <c r="AKP804"/>
      <c r="AKQ804"/>
      <c r="AKR804"/>
      <c r="AKS804"/>
      <c r="AKT804"/>
      <c r="AKU804"/>
      <c r="AKV804"/>
      <c r="AKW804"/>
      <c r="AKX804"/>
      <c r="AKY804"/>
      <c r="AKZ804"/>
      <c r="ALA804"/>
      <c r="ALB804"/>
      <c r="ALC804"/>
      <c r="ALD804"/>
      <c r="ALE804"/>
      <c r="ALF804"/>
      <c r="ALG804"/>
      <c r="ALH804"/>
      <c r="ALI804"/>
      <c r="ALJ804"/>
      <c r="ALK804"/>
      <c r="ALL804"/>
      <c r="ALM804"/>
      <c r="ALN804"/>
      <c r="ALO804"/>
      <c r="ALP804"/>
      <c r="ALQ804"/>
      <c r="ALR804"/>
      <c r="ALS804"/>
      <c r="ALT804"/>
      <c r="ALU804"/>
      <c r="ALV804"/>
      <c r="ALW804"/>
      <c r="ALX804"/>
      <c r="ALY804"/>
      <c r="ALZ804"/>
      <c r="AMA804"/>
      <c r="AMB804"/>
      <c r="AMC804"/>
      <c r="AMD804"/>
      <c r="AME804"/>
      <c r="AMF804"/>
      <c r="AMG804"/>
      <c r="AMH804"/>
    </row>
    <row r="805" spans="1:1022" x14ac:dyDescent="0.15">
      <c r="A805" s="8" t="s">
        <v>2331</v>
      </c>
      <c r="B805" s="8" t="s">
        <v>210</v>
      </c>
      <c r="C805" s="8" t="str">
        <f t="shared" si="18"/>
        <v>att_quant_algorithm:directlfq</v>
      </c>
      <c r="D805" s="9" t="s">
        <v>17</v>
      </c>
      <c r="E805" s="8" t="s">
        <v>2332</v>
      </c>
      <c r="F805" s="9" t="s">
        <v>17</v>
      </c>
    </row>
    <row r="806" spans="1:1022" x14ac:dyDescent="0.15">
      <c r="A806" s="8" t="s">
        <v>2333</v>
      </c>
      <c r="B806" s="8" t="s">
        <v>210</v>
      </c>
      <c r="C806" s="8" t="str">
        <f t="shared" si="18"/>
        <v>att_quant_algorithm:maxlfq</v>
      </c>
      <c r="D806" s="9" t="s">
        <v>17</v>
      </c>
      <c r="E806" s="8" t="s">
        <v>2334</v>
      </c>
      <c r="F806" s="9" t="s">
        <v>17</v>
      </c>
    </row>
    <row r="807" spans="1:1022" x14ac:dyDescent="0.15">
      <c r="A807" s="8" t="s">
        <v>2335</v>
      </c>
      <c r="B807" s="8" t="s">
        <v>210</v>
      </c>
      <c r="C807" s="8" t="str">
        <f t="shared" si="18"/>
        <v>att_quant_algorithm:speccount</v>
      </c>
      <c r="D807" s="9" t="s">
        <v>17</v>
      </c>
      <c r="E807" s="8" t="s">
        <v>2336</v>
      </c>
      <c r="F807" s="9" t="s">
        <v>17</v>
      </c>
    </row>
    <row r="808" spans="1:1022" x14ac:dyDescent="0.15">
      <c r="A808" s="8" t="s">
        <v>2337</v>
      </c>
      <c r="B808" s="8" t="s">
        <v>211</v>
      </c>
      <c r="C808" s="8" t="str">
        <f t="shared" si="18"/>
        <v>att_quantification:isobaric</v>
      </c>
      <c r="D808" s="9" t="s">
        <v>17</v>
      </c>
      <c r="E808" s="8" t="s">
        <v>2337</v>
      </c>
      <c r="F808" s="8" t="s">
        <v>2338</v>
      </c>
    </row>
    <row r="809" spans="1:1022" x14ac:dyDescent="0.15">
      <c r="A809" s="8" t="s">
        <v>2339</v>
      </c>
      <c r="B809" s="8" t="s">
        <v>211</v>
      </c>
      <c r="C809" s="8" t="str">
        <f t="shared" si="18"/>
        <v>att_quantification:istopic</v>
      </c>
      <c r="D809" s="9" t="s">
        <v>17</v>
      </c>
      <c r="E809" s="8" t="s">
        <v>2339</v>
      </c>
      <c r="F809" s="8" t="s">
        <v>2340</v>
      </c>
    </row>
    <row r="810" spans="1:1022" x14ac:dyDescent="0.15">
      <c r="A810" s="8" t="s">
        <v>2341</v>
      </c>
      <c r="B810" s="8" t="s">
        <v>211</v>
      </c>
      <c r="C810" s="8" t="str">
        <f t="shared" si="18"/>
        <v>att_quantification:label_free</v>
      </c>
      <c r="D810" s="9" t="s">
        <v>17</v>
      </c>
      <c r="E810" s="8" t="s">
        <v>2342</v>
      </c>
      <c r="F810" s="8" t="s">
        <v>2343</v>
      </c>
    </row>
    <row r="811" spans="1:1022" x14ac:dyDescent="0.15">
      <c r="A811" s="8" t="s">
        <v>2344</v>
      </c>
      <c r="B811" s="8" t="s">
        <v>211</v>
      </c>
      <c r="C811" s="8" t="str">
        <f t="shared" si="18"/>
        <v>att_quantification:silac</v>
      </c>
      <c r="D811" s="9" t="s">
        <v>17</v>
      </c>
      <c r="E811" s="8" t="s">
        <v>2344</v>
      </c>
      <c r="F811" s="8" t="s">
        <v>2345</v>
      </c>
    </row>
    <row r="812" spans="1:1022" x14ac:dyDescent="0.15">
      <c r="A812" s="8" t="s">
        <v>2346</v>
      </c>
      <c r="B812" s="8" t="s">
        <v>214</v>
      </c>
      <c r="C812" s="8" t="str">
        <f t="shared" si="18"/>
        <v>att_reduction:dtt</v>
      </c>
      <c r="D812" s="9" t="s">
        <v>17</v>
      </c>
      <c r="E812" s="8" t="s">
        <v>2347</v>
      </c>
      <c r="F812" s="8" t="s">
        <v>2348</v>
      </c>
    </row>
    <row r="813" spans="1:1022" x14ac:dyDescent="0.15">
      <c r="A813" s="8" t="s">
        <v>342</v>
      </c>
      <c r="B813" s="8" t="s">
        <v>214</v>
      </c>
      <c r="C813" s="8" t="str">
        <f t="shared" si="18"/>
        <v>att_reduction:none</v>
      </c>
      <c r="D813" s="9" t="s">
        <v>17</v>
      </c>
      <c r="E813" s="8" t="s">
        <v>343</v>
      </c>
      <c r="F813" s="8" t="s">
        <v>2349</v>
      </c>
    </row>
    <row r="814" spans="1:1022" x14ac:dyDescent="0.15">
      <c r="A814" s="8" t="s">
        <v>2350</v>
      </c>
      <c r="B814" s="8" t="s">
        <v>214</v>
      </c>
      <c r="C814" s="8" t="str">
        <f t="shared" si="18"/>
        <v>att_reduction:tcep</v>
      </c>
      <c r="D814" s="9" t="s">
        <v>17</v>
      </c>
      <c r="E814" s="8" t="s">
        <v>2351</v>
      </c>
      <c r="F814" s="8" t="s">
        <v>2352</v>
      </c>
    </row>
    <row r="815" spans="1:1022" x14ac:dyDescent="0.15">
      <c r="A815" s="8" t="s">
        <v>1417</v>
      </c>
      <c r="B815" s="8" t="s">
        <v>2353</v>
      </c>
      <c r="C815" s="8" t="str">
        <f t="shared" si="18"/>
        <v>att_signalling:apoptosis</v>
      </c>
      <c r="D815" s="9" t="s">
        <v>17</v>
      </c>
      <c r="E815" s="8" t="s">
        <v>1418</v>
      </c>
      <c r="F815" s="8" t="s">
        <v>2354</v>
      </c>
    </row>
    <row r="816" spans="1:1022" x14ac:dyDescent="0.15">
      <c r="A816" s="8" t="s">
        <v>2355</v>
      </c>
      <c r="B816" s="8" t="s">
        <v>2353</v>
      </c>
      <c r="C816" s="8" t="str">
        <f t="shared" si="18"/>
        <v>att_signalling:autocrine</v>
      </c>
      <c r="D816" s="9" t="s">
        <v>17</v>
      </c>
      <c r="E816" s="8" t="s">
        <v>2356</v>
      </c>
      <c r="F816" s="8" t="s">
        <v>2357</v>
      </c>
    </row>
    <row r="817" spans="1:6" x14ac:dyDescent="0.15">
      <c r="A817" s="8" t="s">
        <v>2358</v>
      </c>
      <c r="B817" s="8" t="s">
        <v>2353</v>
      </c>
      <c r="C817" s="8" t="str">
        <f t="shared" si="18"/>
        <v>att_signalling:complement</v>
      </c>
      <c r="D817" s="9" t="s">
        <v>17</v>
      </c>
      <c r="E817" s="8" t="s">
        <v>2359</v>
      </c>
      <c r="F817" s="8" t="s">
        <v>2360</v>
      </c>
    </row>
    <row r="818" spans="1:6" x14ac:dyDescent="0.15">
      <c r="A818" s="8" t="s">
        <v>2361</v>
      </c>
      <c r="B818" s="8" t="s">
        <v>2353</v>
      </c>
      <c r="C818" s="8" t="str">
        <f t="shared" si="18"/>
        <v>att_signalling:cytokines</v>
      </c>
      <c r="D818" s="9" t="s">
        <v>17</v>
      </c>
      <c r="E818" s="8" t="s">
        <v>2362</v>
      </c>
      <c r="F818" s="8" t="s">
        <v>2363</v>
      </c>
    </row>
    <row r="819" spans="1:6" x14ac:dyDescent="0.15">
      <c r="A819" s="8" t="s">
        <v>2364</v>
      </c>
      <c r="B819" s="8" t="s">
        <v>2353</v>
      </c>
      <c r="C819" s="8" t="str">
        <f t="shared" si="18"/>
        <v>att_signalling:inflammation</v>
      </c>
      <c r="D819" s="9" t="s">
        <v>17</v>
      </c>
      <c r="E819" s="8" t="s">
        <v>2365</v>
      </c>
      <c r="F819" s="8" t="s">
        <v>2366</v>
      </c>
    </row>
    <row r="820" spans="1:6" x14ac:dyDescent="0.15">
      <c r="A820" s="8" t="s">
        <v>2367</v>
      </c>
      <c r="B820" s="8" t="s">
        <v>2353</v>
      </c>
      <c r="C820" s="8" t="str">
        <f t="shared" si="18"/>
        <v>att_signalling:insulin</v>
      </c>
      <c r="D820" s="9" t="s">
        <v>17</v>
      </c>
      <c r="E820" s="8" t="s">
        <v>2368</v>
      </c>
      <c r="F820" s="8" t="s">
        <v>2369</v>
      </c>
    </row>
    <row r="821" spans="1:6" x14ac:dyDescent="0.15">
      <c r="A821" s="8" t="s">
        <v>2370</v>
      </c>
      <c r="B821" s="8" t="s">
        <v>2353</v>
      </c>
      <c r="C821" s="8" t="str">
        <f t="shared" si="18"/>
        <v>att_signalling:juxtacrine</v>
      </c>
      <c r="D821" s="9" t="s">
        <v>17</v>
      </c>
      <c r="E821" s="8" t="s">
        <v>2371</v>
      </c>
      <c r="F821" s="8" t="s">
        <v>2372</v>
      </c>
    </row>
    <row r="822" spans="1:6" x14ac:dyDescent="0.15">
      <c r="A822" s="8" t="s">
        <v>2373</v>
      </c>
      <c r="B822" s="8" t="s">
        <v>2353</v>
      </c>
      <c r="C822" s="8" t="str">
        <f t="shared" si="18"/>
        <v>att_signalling:necrosis</v>
      </c>
      <c r="D822" s="9" t="s">
        <v>17</v>
      </c>
      <c r="E822" s="8" t="s">
        <v>2374</v>
      </c>
      <c r="F822" s="8" t="s">
        <v>2375</v>
      </c>
    </row>
    <row r="823" spans="1:6" x14ac:dyDescent="0.15">
      <c r="A823" s="8" t="s">
        <v>2376</v>
      </c>
      <c r="B823" s="8" t="s">
        <v>2353</v>
      </c>
      <c r="C823" s="8" t="str">
        <f t="shared" si="18"/>
        <v>att_signalling:paracrine</v>
      </c>
      <c r="D823" s="9" t="s">
        <v>17</v>
      </c>
      <c r="E823" s="8" t="s">
        <v>2377</v>
      </c>
      <c r="F823" s="8" t="s">
        <v>2378</v>
      </c>
    </row>
    <row r="824" spans="1:6" x14ac:dyDescent="0.15">
      <c r="A824" s="8" t="s">
        <v>1765</v>
      </c>
      <c r="B824" s="8" t="s">
        <v>2353</v>
      </c>
      <c r="C824" s="8" t="str">
        <f t="shared" si="18"/>
        <v>att_signalling:signaling</v>
      </c>
      <c r="D824" s="9" t="s">
        <v>17</v>
      </c>
      <c r="E824" s="8" t="s">
        <v>1766</v>
      </c>
      <c r="F824" s="8" t="s">
        <v>2379</v>
      </c>
    </row>
    <row r="825" spans="1:6" x14ac:dyDescent="0.15">
      <c r="A825" s="8" t="s">
        <v>2380</v>
      </c>
      <c r="B825" s="8" t="s">
        <v>31</v>
      </c>
      <c r="C825" s="8" t="str">
        <f t="shared" si="18"/>
        <v>att_software:diann</v>
      </c>
      <c r="D825" s="9" t="s">
        <v>17</v>
      </c>
      <c r="E825" s="8" t="s">
        <v>2381</v>
      </c>
      <c r="F825" s="8" t="s">
        <v>2382</v>
      </c>
    </row>
    <row r="826" spans="1:6" x14ac:dyDescent="0.15">
      <c r="A826" s="8" t="s">
        <v>2383</v>
      </c>
      <c r="B826" s="8" t="s">
        <v>31</v>
      </c>
      <c r="C826" s="8" t="str">
        <f t="shared" si="18"/>
        <v>att_software:maxquant</v>
      </c>
      <c r="D826" s="9" t="s">
        <v>17</v>
      </c>
      <c r="E826" s="8" t="s">
        <v>2384</v>
      </c>
      <c r="F826" s="8" t="s">
        <v>2385</v>
      </c>
    </row>
    <row r="827" spans="1:6" x14ac:dyDescent="0.15">
      <c r="A827" s="8" t="s">
        <v>2386</v>
      </c>
      <c r="B827" s="8" t="s">
        <v>31</v>
      </c>
      <c r="C827" s="8" t="str">
        <f t="shared" ref="C827:C898" si="20">B827&amp;":"&amp;A827</f>
        <v>att_software:metamorpheus</v>
      </c>
      <c r="D827" s="9" t="s">
        <v>17</v>
      </c>
      <c r="E827" s="8" t="s">
        <v>2387</v>
      </c>
      <c r="F827" s="8" t="s">
        <v>2388</v>
      </c>
    </row>
    <row r="828" spans="1:6" x14ac:dyDescent="0.15">
      <c r="A828" s="8" t="s">
        <v>2389</v>
      </c>
      <c r="B828" s="8" t="s">
        <v>31</v>
      </c>
      <c r="C828" s="8" t="str">
        <f t="shared" si="20"/>
        <v>att_software:minora</v>
      </c>
      <c r="D828" s="9" t="s">
        <v>17</v>
      </c>
      <c r="E828" s="8" t="s">
        <v>2390</v>
      </c>
      <c r="F828" s="8" t="s">
        <v>2391</v>
      </c>
    </row>
    <row r="829" spans="1:6" x14ac:dyDescent="0.15">
      <c r="A829" s="8" t="s">
        <v>2392</v>
      </c>
      <c r="B829" s="8" t="s">
        <v>31</v>
      </c>
      <c r="C829" s="8" t="str">
        <f t="shared" si="20"/>
        <v>att_software:msfragger</v>
      </c>
      <c r="D829" s="9" t="s">
        <v>17</v>
      </c>
      <c r="E829" s="8" t="s">
        <v>2393</v>
      </c>
      <c r="F829" s="8" t="s">
        <v>2394</v>
      </c>
    </row>
    <row r="830" spans="1:6" x14ac:dyDescent="0.15">
      <c r="A830" s="8" t="s">
        <v>2395</v>
      </c>
      <c r="B830" s="8" t="s">
        <v>31</v>
      </c>
      <c r="C830" s="8" t="str">
        <f t="shared" si="20"/>
        <v>att_software:msgf</v>
      </c>
      <c r="D830" s="9" t="s">
        <v>17</v>
      </c>
      <c r="E830" s="8" t="s">
        <v>2396</v>
      </c>
      <c r="F830" s="8" t="s">
        <v>2397</v>
      </c>
    </row>
    <row r="831" spans="1:6" x14ac:dyDescent="0.15">
      <c r="A831" s="8" t="s">
        <v>2398</v>
      </c>
      <c r="B831" s="8" t="s">
        <v>31</v>
      </c>
      <c r="C831" s="8" t="str">
        <f t="shared" si="20"/>
        <v>att_software:spectronaut</v>
      </c>
      <c r="D831" s="9" t="s">
        <v>17</v>
      </c>
      <c r="E831" s="8" t="s">
        <v>2399</v>
      </c>
      <c r="F831" s="8" t="s">
        <v>2400</v>
      </c>
    </row>
    <row r="832" spans="1:6" x14ac:dyDescent="0.15">
      <c r="A832" s="8" t="s">
        <v>2932</v>
      </c>
      <c r="B832" s="8" t="s">
        <v>2930</v>
      </c>
      <c r="C832" s="8" t="str">
        <f t="shared" si="20"/>
        <v>att_subcellular_compartment:wc</v>
      </c>
      <c r="D832" s="9" t="s">
        <v>17</v>
      </c>
      <c r="E832" s="8" t="s">
        <v>2933</v>
      </c>
      <c r="F832" s="8" t="s">
        <v>2934</v>
      </c>
    </row>
    <row r="833" spans="1:6" x14ac:dyDescent="0.15">
      <c r="A833" s="8" t="s">
        <v>2936</v>
      </c>
      <c r="B833" s="8" t="s">
        <v>2930</v>
      </c>
      <c r="C833" s="8" t="str">
        <f t="shared" si="20"/>
        <v>att_subcellular_compartment:membrane</v>
      </c>
      <c r="D833" s="9" t="s">
        <v>17</v>
      </c>
      <c r="E833" s="8" t="s">
        <v>2937</v>
      </c>
      <c r="F833" s="8" t="s">
        <v>2938</v>
      </c>
    </row>
    <row r="834" spans="1:6" x14ac:dyDescent="0.15">
      <c r="A834" s="8" t="s">
        <v>2935</v>
      </c>
      <c r="B834" s="8" t="s">
        <v>2930</v>
      </c>
      <c r="C834" s="8" t="str">
        <f t="shared" ref="C834" si="21">B834&amp;":"&amp;A834</f>
        <v>att_subcellular_compartment:mitochondria</v>
      </c>
      <c r="D834" s="9" t="s">
        <v>17</v>
      </c>
      <c r="E834" s="8" t="s">
        <v>2952</v>
      </c>
      <c r="F834" s="8" t="s">
        <v>2951</v>
      </c>
    </row>
    <row r="835" spans="1:6" x14ac:dyDescent="0.15">
      <c r="A835" s="8" t="s">
        <v>2965</v>
      </c>
      <c r="B835" s="8" t="s">
        <v>2930</v>
      </c>
      <c r="C835" s="8" t="str">
        <f t="shared" ref="C835" si="22">B835&amp;":"&amp;A835</f>
        <v>att_subcellular_compartment:mitochondriapk</v>
      </c>
      <c r="D835" s="9" t="s">
        <v>17</v>
      </c>
      <c r="E835" s="8" t="s">
        <v>2963</v>
      </c>
      <c r="F835" s="8" t="s">
        <v>2964</v>
      </c>
    </row>
    <row r="836" spans="1:6" x14ac:dyDescent="0.15">
      <c r="A836" s="8" t="s">
        <v>2939</v>
      </c>
      <c r="B836" s="8" t="s">
        <v>2930</v>
      </c>
      <c r="C836" s="8" t="str">
        <f t="shared" si="20"/>
        <v>att_subcellular_compartment:golgi</v>
      </c>
      <c r="D836" s="9" t="s">
        <v>17</v>
      </c>
      <c r="E836" s="8" t="s">
        <v>2940</v>
      </c>
      <c r="F836" s="8" t="s">
        <v>2941</v>
      </c>
    </row>
    <row r="837" spans="1:6" x14ac:dyDescent="0.15">
      <c r="A837" s="8" t="s">
        <v>2942</v>
      </c>
      <c r="B837" s="8" t="s">
        <v>2930</v>
      </c>
      <c r="C837" s="8" t="str">
        <f t="shared" ref="C837:C839" si="23">B837&amp;":"&amp;A837</f>
        <v>att_subcellular_compartment:plasmamembrane</v>
      </c>
      <c r="D837" s="9" t="s">
        <v>17</v>
      </c>
      <c r="E837" s="8" t="s">
        <v>2950</v>
      </c>
      <c r="F837" s="8" t="s">
        <v>2943</v>
      </c>
    </row>
    <row r="838" spans="1:6" x14ac:dyDescent="0.15">
      <c r="A838" s="8" t="s">
        <v>2944</v>
      </c>
      <c r="B838" s="8" t="s">
        <v>2930</v>
      </c>
      <c r="C838" s="8" t="str">
        <f t="shared" si="23"/>
        <v>att_subcellular_compartment:nucleus</v>
      </c>
      <c r="D838" s="9" t="s">
        <v>17</v>
      </c>
      <c r="E838" s="8" t="s">
        <v>2945</v>
      </c>
      <c r="F838" s="8" t="s">
        <v>2946</v>
      </c>
    </row>
    <row r="839" spans="1:6" x14ac:dyDescent="0.15">
      <c r="A839" s="8" t="s">
        <v>2947</v>
      </c>
      <c r="B839" s="8" t="s">
        <v>2930</v>
      </c>
      <c r="C839" s="8" t="str">
        <f t="shared" si="23"/>
        <v>att_subcellular_compartment:cytosol</v>
      </c>
      <c r="D839" s="9" t="s">
        <v>17</v>
      </c>
      <c r="E839" s="8" t="s">
        <v>2948</v>
      </c>
      <c r="F839" s="8" t="s">
        <v>2949</v>
      </c>
    </row>
    <row r="840" spans="1:6" x14ac:dyDescent="0.15">
      <c r="A840" s="8" t="s">
        <v>2401</v>
      </c>
      <c r="B840" s="8" t="s">
        <v>238</v>
      </c>
      <c r="C840" s="8" t="str">
        <f t="shared" si="20"/>
        <v>att_tissue:adipose</v>
      </c>
      <c r="D840" s="8" t="s">
        <v>2401</v>
      </c>
      <c r="E840" s="8" t="s">
        <v>2402</v>
      </c>
      <c r="F840" s="8" t="s">
        <v>2403</v>
      </c>
    </row>
    <row r="841" spans="1:6" x14ac:dyDescent="0.15">
      <c r="A841" s="8" t="s">
        <v>2404</v>
      </c>
      <c r="B841" s="8" t="s">
        <v>238</v>
      </c>
      <c r="C841" s="8" t="str">
        <f t="shared" si="20"/>
        <v>att_tissue:areolar</v>
      </c>
      <c r="D841" s="8" t="s">
        <v>2404</v>
      </c>
      <c r="E841" s="8" t="s">
        <v>2405</v>
      </c>
      <c r="F841" s="8" t="s">
        <v>2406</v>
      </c>
    </row>
    <row r="842" spans="1:6" x14ac:dyDescent="0.15">
      <c r="A842" s="8" t="s">
        <v>2407</v>
      </c>
      <c r="B842" s="8" t="s">
        <v>238</v>
      </c>
      <c r="C842" s="8" t="str">
        <f t="shared" si="20"/>
        <v>att_tissue:blood</v>
      </c>
      <c r="D842" s="8" t="s">
        <v>2407</v>
      </c>
      <c r="E842" s="8" t="s">
        <v>2408</v>
      </c>
      <c r="F842" s="8" t="s">
        <v>2408</v>
      </c>
    </row>
    <row r="843" spans="1:6" x14ac:dyDescent="0.15">
      <c r="A843" s="8" t="s">
        <v>2409</v>
      </c>
      <c r="B843" s="8" t="s">
        <v>238</v>
      </c>
      <c r="C843" s="8" t="str">
        <f t="shared" si="20"/>
        <v>att_tissue:connective</v>
      </c>
      <c r="D843" s="8" t="s">
        <v>2409</v>
      </c>
      <c r="E843" s="8" t="s">
        <v>2410</v>
      </c>
      <c r="F843" s="8" t="s">
        <v>2411</v>
      </c>
    </row>
    <row r="844" spans="1:6" x14ac:dyDescent="0.15">
      <c r="A844" s="8" t="s">
        <v>2412</v>
      </c>
      <c r="B844" s="8" t="s">
        <v>238</v>
      </c>
      <c r="C844" s="8" t="str">
        <f t="shared" si="20"/>
        <v>att_tissue:dermis</v>
      </c>
      <c r="D844" s="8" t="s">
        <v>2412</v>
      </c>
      <c r="E844" s="8" t="s">
        <v>2413</v>
      </c>
      <c r="F844" s="8" t="s">
        <v>2413</v>
      </c>
    </row>
    <row r="845" spans="1:6" x14ac:dyDescent="0.15">
      <c r="A845" s="8" t="s">
        <v>2414</v>
      </c>
      <c r="B845" s="8" t="s">
        <v>238</v>
      </c>
      <c r="C845" s="8" t="str">
        <f t="shared" si="20"/>
        <v>att_tissue:epidermis</v>
      </c>
      <c r="D845" s="8" t="s">
        <v>2414</v>
      </c>
      <c r="E845" s="8" t="s">
        <v>2415</v>
      </c>
      <c r="F845" s="8" t="s">
        <v>2415</v>
      </c>
    </row>
    <row r="846" spans="1:6" x14ac:dyDescent="0.15">
      <c r="A846" s="8" t="s">
        <v>2416</v>
      </c>
      <c r="B846" s="8" t="s">
        <v>238</v>
      </c>
      <c r="C846" s="8" t="str">
        <f t="shared" si="20"/>
        <v>att_tissue:epithelial</v>
      </c>
      <c r="D846" s="8" t="s">
        <v>2416</v>
      </c>
      <c r="E846" s="8" t="s">
        <v>2417</v>
      </c>
      <c r="F846" s="8" t="s">
        <v>2418</v>
      </c>
    </row>
    <row r="847" spans="1:6" x14ac:dyDescent="0.15">
      <c r="A847" s="8" t="s">
        <v>2419</v>
      </c>
      <c r="B847" s="8" t="s">
        <v>238</v>
      </c>
      <c r="C847" s="8" t="str">
        <f t="shared" si="20"/>
        <v>att_tissue:hypodermis</v>
      </c>
      <c r="D847" s="8" t="s">
        <v>2419</v>
      </c>
      <c r="E847" s="8" t="s">
        <v>2420</v>
      </c>
      <c r="F847" s="8" t="s">
        <v>2420</v>
      </c>
    </row>
    <row r="848" spans="1:6" x14ac:dyDescent="0.15">
      <c r="A848" s="8" t="s">
        <v>2421</v>
      </c>
      <c r="B848" s="8" t="s">
        <v>238</v>
      </c>
      <c r="C848" s="8" t="str">
        <f t="shared" si="20"/>
        <v>att_tissue:muscle</v>
      </c>
      <c r="D848" s="8" t="s">
        <v>2421</v>
      </c>
      <c r="E848" s="8" t="s">
        <v>2819</v>
      </c>
      <c r="F848" s="8" t="s">
        <v>2422</v>
      </c>
    </row>
    <row r="849" spans="1:6" x14ac:dyDescent="0.15">
      <c r="A849" s="8" t="s">
        <v>2423</v>
      </c>
      <c r="B849" s="8" t="s">
        <v>238</v>
      </c>
      <c r="C849" s="8" t="str">
        <f t="shared" si="20"/>
        <v>att_tissue:nervous</v>
      </c>
      <c r="D849" s="8" t="s">
        <v>2423</v>
      </c>
      <c r="E849" s="8" t="s">
        <v>2242</v>
      </c>
      <c r="F849" s="8" t="s">
        <v>2424</v>
      </c>
    </row>
    <row r="850" spans="1:6" x14ac:dyDescent="0.15">
      <c r="A850" s="8" t="s">
        <v>2425</v>
      </c>
      <c r="B850" s="8" t="s">
        <v>238</v>
      </c>
      <c r="C850" s="8" t="str">
        <f t="shared" si="20"/>
        <v>att_tissue:reticular</v>
      </c>
      <c r="D850" s="8" t="s">
        <v>2425</v>
      </c>
      <c r="E850" s="8" t="s">
        <v>2426</v>
      </c>
      <c r="F850" s="8" t="s">
        <v>2427</v>
      </c>
    </row>
    <row r="851" spans="1:6" x14ac:dyDescent="0.15">
      <c r="A851" s="8" t="s">
        <v>2428</v>
      </c>
      <c r="B851" s="8" t="s">
        <v>238</v>
      </c>
      <c r="C851" s="8" t="str">
        <f t="shared" si="20"/>
        <v>att_tissue:stromal</v>
      </c>
      <c r="D851" s="8" t="s">
        <v>2428</v>
      </c>
      <c r="E851" s="8" t="s">
        <v>2429</v>
      </c>
      <c r="F851" s="8" t="s">
        <v>2430</v>
      </c>
    </row>
    <row r="852" spans="1:6" x14ac:dyDescent="0.15">
      <c r="A852" s="8" t="s">
        <v>2431</v>
      </c>
      <c r="B852" s="8" t="s">
        <v>240</v>
      </c>
      <c r="C852" s="8" t="str">
        <f t="shared" si="20"/>
        <v>att_tmt_channel:tmt10_126</v>
      </c>
      <c r="D852" s="9" t="s">
        <v>17</v>
      </c>
      <c r="E852" s="8">
        <v>126</v>
      </c>
      <c r="F852" s="9" t="s">
        <v>17</v>
      </c>
    </row>
    <row r="853" spans="1:6" x14ac:dyDescent="0.15">
      <c r="A853" s="8" t="s">
        <v>2432</v>
      </c>
      <c r="B853" s="8" t="s">
        <v>240</v>
      </c>
      <c r="C853" s="8" t="str">
        <f t="shared" si="20"/>
        <v>att_tmt_channel:tmt10_127C</v>
      </c>
      <c r="D853" s="9" t="s">
        <v>17</v>
      </c>
      <c r="E853" s="8" t="s">
        <v>2433</v>
      </c>
      <c r="F853" s="9" t="s">
        <v>17</v>
      </c>
    </row>
    <row r="854" spans="1:6" x14ac:dyDescent="0.15">
      <c r="A854" s="8" t="s">
        <v>2434</v>
      </c>
      <c r="B854" s="8" t="s">
        <v>240</v>
      </c>
      <c r="C854" s="8" t="str">
        <f t="shared" si="20"/>
        <v>att_tmt_channel:tmt10_127N</v>
      </c>
      <c r="D854" s="9" t="s">
        <v>17</v>
      </c>
      <c r="E854" s="8" t="s">
        <v>2435</v>
      </c>
      <c r="F854" s="9" t="s">
        <v>17</v>
      </c>
    </row>
    <row r="855" spans="1:6" x14ac:dyDescent="0.15">
      <c r="A855" s="8" t="s">
        <v>2436</v>
      </c>
      <c r="B855" s="8" t="s">
        <v>240</v>
      </c>
      <c r="C855" s="8" t="str">
        <f t="shared" si="20"/>
        <v>att_tmt_channel:tmt10_128C</v>
      </c>
      <c r="D855" s="9" t="s">
        <v>17</v>
      </c>
      <c r="E855" s="8" t="s">
        <v>2437</v>
      </c>
      <c r="F855" s="9" t="s">
        <v>17</v>
      </c>
    </row>
    <row r="856" spans="1:6" x14ac:dyDescent="0.15">
      <c r="A856" s="8" t="s">
        <v>2438</v>
      </c>
      <c r="B856" s="8" t="s">
        <v>240</v>
      </c>
      <c r="C856" s="8" t="str">
        <f t="shared" si="20"/>
        <v>att_tmt_channel:tmt10_128N</v>
      </c>
      <c r="D856" s="9" t="s">
        <v>17</v>
      </c>
      <c r="E856" s="8" t="s">
        <v>2439</v>
      </c>
      <c r="F856" s="9" t="s">
        <v>17</v>
      </c>
    </row>
    <row r="857" spans="1:6" x14ac:dyDescent="0.15">
      <c r="A857" s="8" t="s">
        <v>2440</v>
      </c>
      <c r="B857" s="8" t="s">
        <v>240</v>
      </c>
      <c r="C857" s="8" t="str">
        <f t="shared" si="20"/>
        <v>att_tmt_channel:tmt10_129C</v>
      </c>
      <c r="D857" s="9" t="s">
        <v>17</v>
      </c>
      <c r="E857" s="8" t="s">
        <v>2441</v>
      </c>
      <c r="F857" s="9" t="s">
        <v>17</v>
      </c>
    </row>
    <row r="858" spans="1:6" x14ac:dyDescent="0.15">
      <c r="A858" s="8" t="s">
        <v>2442</v>
      </c>
      <c r="B858" s="8" t="s">
        <v>240</v>
      </c>
      <c r="C858" s="8" t="str">
        <f t="shared" si="20"/>
        <v>att_tmt_channel:tmt10_129N</v>
      </c>
      <c r="D858" s="9" t="s">
        <v>17</v>
      </c>
      <c r="E858" s="8" t="s">
        <v>2443</v>
      </c>
      <c r="F858" s="9" t="s">
        <v>17</v>
      </c>
    </row>
    <row r="859" spans="1:6" x14ac:dyDescent="0.15">
      <c r="A859" s="8" t="s">
        <v>2444</v>
      </c>
      <c r="B859" s="8" t="s">
        <v>240</v>
      </c>
      <c r="C859" s="8" t="str">
        <f t="shared" si="20"/>
        <v>att_tmt_channel:tmt10_130C</v>
      </c>
      <c r="D859" s="9" t="s">
        <v>17</v>
      </c>
      <c r="E859" s="8" t="s">
        <v>2445</v>
      </c>
      <c r="F859" s="9" t="s">
        <v>17</v>
      </c>
    </row>
    <row r="860" spans="1:6" x14ac:dyDescent="0.15">
      <c r="A860" s="8" t="s">
        <v>2446</v>
      </c>
      <c r="B860" s="8" t="s">
        <v>240</v>
      </c>
      <c r="C860" s="8" t="str">
        <f t="shared" si="20"/>
        <v>att_tmt_channel:tmt10_130N</v>
      </c>
      <c r="D860" s="9" t="s">
        <v>17</v>
      </c>
      <c r="E860" s="8" t="s">
        <v>2447</v>
      </c>
      <c r="F860" s="9" t="s">
        <v>17</v>
      </c>
    </row>
    <row r="861" spans="1:6" x14ac:dyDescent="0.15">
      <c r="A861" s="8" t="s">
        <v>2448</v>
      </c>
      <c r="B861" s="8" t="s">
        <v>240</v>
      </c>
      <c r="C861" s="8" t="str">
        <f t="shared" si="20"/>
        <v>att_tmt_channel:tmt10_131</v>
      </c>
      <c r="D861" s="9" t="s">
        <v>17</v>
      </c>
      <c r="E861" s="8">
        <v>131</v>
      </c>
      <c r="F861" s="9" t="s">
        <v>17</v>
      </c>
    </row>
    <row r="862" spans="1:6" x14ac:dyDescent="0.15">
      <c r="A862" s="8" t="s">
        <v>2449</v>
      </c>
      <c r="B862" s="8" t="s">
        <v>240</v>
      </c>
      <c r="C862" s="8" t="str">
        <f t="shared" si="20"/>
        <v>att_tmt_channel:tmt11_126</v>
      </c>
      <c r="D862" s="9" t="s">
        <v>17</v>
      </c>
      <c r="E862" s="8">
        <v>126</v>
      </c>
      <c r="F862" s="9" t="s">
        <v>17</v>
      </c>
    </row>
    <row r="863" spans="1:6" x14ac:dyDescent="0.15">
      <c r="A863" s="8" t="s">
        <v>2450</v>
      </c>
      <c r="B863" s="8" t="s">
        <v>240</v>
      </c>
      <c r="C863" s="8" t="str">
        <f t="shared" si="20"/>
        <v>att_tmt_channel:tmt11_127C</v>
      </c>
      <c r="D863" s="9" t="s">
        <v>17</v>
      </c>
      <c r="E863" s="8" t="s">
        <v>2433</v>
      </c>
      <c r="F863" s="9" t="s">
        <v>17</v>
      </c>
    </row>
    <row r="864" spans="1:6" x14ac:dyDescent="0.15">
      <c r="A864" s="8" t="s">
        <v>2451</v>
      </c>
      <c r="B864" s="8" t="s">
        <v>240</v>
      </c>
      <c r="C864" s="8" t="str">
        <f t="shared" si="20"/>
        <v>att_tmt_channel:tmt11_127N</v>
      </c>
      <c r="D864" s="9" t="s">
        <v>17</v>
      </c>
      <c r="E864" s="8" t="s">
        <v>2435</v>
      </c>
      <c r="F864" s="9" t="s">
        <v>17</v>
      </c>
    </row>
    <row r="865" spans="1:6" x14ac:dyDescent="0.15">
      <c r="A865" s="8" t="s">
        <v>2452</v>
      </c>
      <c r="B865" s="8" t="s">
        <v>240</v>
      </c>
      <c r="C865" s="8" t="str">
        <f t="shared" si="20"/>
        <v>att_tmt_channel:tmt11_128C</v>
      </c>
      <c r="D865" s="9" t="s">
        <v>17</v>
      </c>
      <c r="E865" s="8" t="s">
        <v>2437</v>
      </c>
      <c r="F865" s="9" t="s">
        <v>17</v>
      </c>
    </row>
    <row r="866" spans="1:6" x14ac:dyDescent="0.15">
      <c r="A866" s="8" t="s">
        <v>2453</v>
      </c>
      <c r="B866" s="8" t="s">
        <v>240</v>
      </c>
      <c r="C866" s="8" t="str">
        <f t="shared" si="20"/>
        <v>att_tmt_channel:tmt11_128N</v>
      </c>
      <c r="D866" s="9" t="s">
        <v>17</v>
      </c>
      <c r="E866" s="8" t="s">
        <v>2439</v>
      </c>
      <c r="F866" s="9" t="s">
        <v>17</v>
      </c>
    </row>
    <row r="867" spans="1:6" x14ac:dyDescent="0.15">
      <c r="A867" s="8" t="s">
        <v>2454</v>
      </c>
      <c r="B867" s="8" t="s">
        <v>240</v>
      </c>
      <c r="C867" s="8" t="str">
        <f t="shared" si="20"/>
        <v>att_tmt_channel:tmt11_129C</v>
      </c>
      <c r="D867" s="9" t="s">
        <v>17</v>
      </c>
      <c r="E867" s="8" t="s">
        <v>2441</v>
      </c>
      <c r="F867" s="9" t="s">
        <v>17</v>
      </c>
    </row>
    <row r="868" spans="1:6" x14ac:dyDescent="0.15">
      <c r="A868" s="8" t="s">
        <v>2455</v>
      </c>
      <c r="B868" s="8" t="s">
        <v>240</v>
      </c>
      <c r="C868" s="8" t="str">
        <f t="shared" si="20"/>
        <v>att_tmt_channel:tmt11_129N</v>
      </c>
      <c r="D868" s="9" t="s">
        <v>17</v>
      </c>
      <c r="E868" s="8" t="s">
        <v>2443</v>
      </c>
      <c r="F868" s="9" t="s">
        <v>17</v>
      </c>
    </row>
    <row r="869" spans="1:6" x14ac:dyDescent="0.15">
      <c r="A869" s="8" t="s">
        <v>2456</v>
      </c>
      <c r="B869" s="8" t="s">
        <v>240</v>
      </c>
      <c r="C869" s="8" t="str">
        <f t="shared" si="20"/>
        <v>att_tmt_channel:tmt11_130C</v>
      </c>
      <c r="D869" s="9" t="s">
        <v>17</v>
      </c>
      <c r="E869" s="8" t="s">
        <v>2445</v>
      </c>
      <c r="F869" s="9" t="s">
        <v>17</v>
      </c>
    </row>
    <row r="870" spans="1:6" x14ac:dyDescent="0.15">
      <c r="A870" s="8" t="s">
        <v>2457</v>
      </c>
      <c r="B870" s="8" t="s">
        <v>240</v>
      </c>
      <c r="C870" s="8" t="str">
        <f t="shared" si="20"/>
        <v>att_tmt_channel:tmt11_130N</v>
      </c>
      <c r="D870" s="9" t="s">
        <v>17</v>
      </c>
      <c r="E870" s="8" t="s">
        <v>2447</v>
      </c>
      <c r="F870" s="9" t="s">
        <v>17</v>
      </c>
    </row>
    <row r="871" spans="1:6" x14ac:dyDescent="0.15">
      <c r="A871" s="8" t="s">
        <v>2458</v>
      </c>
      <c r="B871" s="8" t="s">
        <v>240</v>
      </c>
      <c r="C871" s="8" t="str">
        <f t="shared" si="20"/>
        <v>att_tmt_channel:tmt11_131C</v>
      </c>
      <c r="D871" s="9" t="s">
        <v>17</v>
      </c>
      <c r="E871" s="8" t="s">
        <v>2459</v>
      </c>
      <c r="F871" s="9" t="s">
        <v>17</v>
      </c>
    </row>
    <row r="872" spans="1:6" x14ac:dyDescent="0.15">
      <c r="A872" s="8" t="s">
        <v>2460</v>
      </c>
      <c r="B872" s="8" t="s">
        <v>240</v>
      </c>
      <c r="C872" s="8" t="str">
        <f t="shared" si="20"/>
        <v>att_tmt_channel:tmt11_131N</v>
      </c>
      <c r="D872" s="9" t="s">
        <v>17</v>
      </c>
      <c r="E872" s="8" t="s">
        <v>2461</v>
      </c>
      <c r="F872" s="9" t="s">
        <v>17</v>
      </c>
    </row>
    <row r="873" spans="1:6" x14ac:dyDescent="0.15">
      <c r="A873" s="8" t="s">
        <v>2462</v>
      </c>
      <c r="B873" s="8" t="s">
        <v>240</v>
      </c>
      <c r="C873" s="8" t="str">
        <f t="shared" si="20"/>
        <v>att_tmt_channel:tmt18_126</v>
      </c>
      <c r="D873" s="9" t="s">
        <v>17</v>
      </c>
      <c r="E873" s="8">
        <v>126</v>
      </c>
      <c r="F873" s="9" t="s">
        <v>17</v>
      </c>
    </row>
    <row r="874" spans="1:6" x14ac:dyDescent="0.15">
      <c r="A874" s="8" t="s">
        <v>2463</v>
      </c>
      <c r="B874" s="8" t="s">
        <v>240</v>
      </c>
      <c r="C874" s="8" t="str">
        <f t="shared" si="20"/>
        <v>att_tmt_channel:tmt18_127C</v>
      </c>
      <c r="D874" s="9" t="s">
        <v>17</v>
      </c>
      <c r="E874" s="8" t="s">
        <v>2433</v>
      </c>
      <c r="F874" s="9" t="s">
        <v>17</v>
      </c>
    </row>
    <row r="875" spans="1:6" x14ac:dyDescent="0.15">
      <c r="A875" s="8" t="s">
        <v>2464</v>
      </c>
      <c r="B875" s="8" t="s">
        <v>240</v>
      </c>
      <c r="C875" s="8" t="str">
        <f t="shared" si="20"/>
        <v>att_tmt_channel:tmt18_127N</v>
      </c>
      <c r="D875" s="9" t="s">
        <v>17</v>
      </c>
      <c r="E875" s="8" t="s">
        <v>2435</v>
      </c>
      <c r="F875" s="9" t="s">
        <v>17</v>
      </c>
    </row>
    <row r="876" spans="1:6" x14ac:dyDescent="0.15">
      <c r="A876" s="8" t="s">
        <v>2465</v>
      </c>
      <c r="B876" s="8" t="s">
        <v>240</v>
      </c>
      <c r="C876" s="8" t="str">
        <f t="shared" si="20"/>
        <v>att_tmt_channel:tmt18_128C</v>
      </c>
      <c r="D876" s="9" t="s">
        <v>17</v>
      </c>
      <c r="E876" s="8" t="s">
        <v>2437</v>
      </c>
      <c r="F876" s="9" t="s">
        <v>17</v>
      </c>
    </row>
    <row r="877" spans="1:6" x14ac:dyDescent="0.15">
      <c r="A877" s="8" t="s">
        <v>2466</v>
      </c>
      <c r="B877" s="8" t="s">
        <v>240</v>
      </c>
      <c r="C877" s="8" t="str">
        <f t="shared" si="20"/>
        <v>att_tmt_channel:tmt18_128N</v>
      </c>
      <c r="D877" s="9" t="s">
        <v>17</v>
      </c>
      <c r="E877" s="8" t="s">
        <v>2439</v>
      </c>
      <c r="F877" s="9" t="s">
        <v>17</v>
      </c>
    </row>
    <row r="878" spans="1:6" x14ac:dyDescent="0.15">
      <c r="A878" s="8" t="s">
        <v>2467</v>
      </c>
      <c r="B878" s="8" t="s">
        <v>240</v>
      </c>
      <c r="C878" s="8" t="str">
        <f t="shared" si="20"/>
        <v>att_tmt_channel:tmt18_129C</v>
      </c>
      <c r="D878" s="9" t="s">
        <v>17</v>
      </c>
      <c r="E878" s="8" t="s">
        <v>2441</v>
      </c>
      <c r="F878" s="9" t="s">
        <v>17</v>
      </c>
    </row>
    <row r="879" spans="1:6" x14ac:dyDescent="0.15">
      <c r="A879" s="8" t="s">
        <v>2468</v>
      </c>
      <c r="B879" s="8" t="s">
        <v>240</v>
      </c>
      <c r="C879" s="8" t="str">
        <f t="shared" si="20"/>
        <v>att_tmt_channel:tmt18_129N</v>
      </c>
      <c r="D879" s="9" t="s">
        <v>17</v>
      </c>
      <c r="E879" s="8" t="s">
        <v>2443</v>
      </c>
      <c r="F879" s="9" t="s">
        <v>17</v>
      </c>
    </row>
    <row r="880" spans="1:6" x14ac:dyDescent="0.15">
      <c r="A880" s="8" t="s">
        <v>2469</v>
      </c>
      <c r="B880" s="8" t="s">
        <v>240</v>
      </c>
      <c r="C880" s="8" t="str">
        <f t="shared" si="20"/>
        <v>att_tmt_channel:tmt18_130C</v>
      </c>
      <c r="D880" s="9" t="s">
        <v>17</v>
      </c>
      <c r="E880" s="8" t="s">
        <v>2445</v>
      </c>
      <c r="F880" s="9" t="s">
        <v>17</v>
      </c>
    </row>
    <row r="881" spans="1:6" x14ac:dyDescent="0.15">
      <c r="A881" s="8" t="s">
        <v>2470</v>
      </c>
      <c r="B881" s="8" t="s">
        <v>240</v>
      </c>
      <c r="C881" s="8" t="str">
        <f t="shared" si="20"/>
        <v>att_tmt_channel:tmt18_130N</v>
      </c>
      <c r="D881" s="9" t="s">
        <v>17</v>
      </c>
      <c r="E881" s="8" t="s">
        <v>2447</v>
      </c>
      <c r="F881" s="9" t="s">
        <v>17</v>
      </c>
    </row>
    <row r="882" spans="1:6" x14ac:dyDescent="0.15">
      <c r="A882" s="8" t="s">
        <v>2471</v>
      </c>
      <c r="B882" s="8" t="s">
        <v>240</v>
      </c>
      <c r="C882" s="8" t="str">
        <f t="shared" si="20"/>
        <v>att_tmt_channel:tmt18_131C</v>
      </c>
      <c r="D882" s="9" t="s">
        <v>17</v>
      </c>
      <c r="E882" s="8" t="s">
        <v>2459</v>
      </c>
      <c r="F882" s="9" t="s">
        <v>17</v>
      </c>
    </row>
    <row r="883" spans="1:6" x14ac:dyDescent="0.15">
      <c r="A883" s="8" t="s">
        <v>2472</v>
      </c>
      <c r="B883" s="8" t="s">
        <v>240</v>
      </c>
      <c r="C883" s="8" t="str">
        <f t="shared" si="20"/>
        <v>att_tmt_channel:tmt18_131N</v>
      </c>
      <c r="D883" s="9" t="s">
        <v>17</v>
      </c>
      <c r="E883" s="8" t="s">
        <v>2461</v>
      </c>
      <c r="F883" s="9" t="s">
        <v>17</v>
      </c>
    </row>
    <row r="884" spans="1:6" x14ac:dyDescent="0.15">
      <c r="A884" s="8" t="s">
        <v>2473</v>
      </c>
      <c r="B884" s="8" t="s">
        <v>240</v>
      </c>
      <c r="C884" s="8" t="str">
        <f t="shared" si="20"/>
        <v>att_tmt_channel:tmt18_132C</v>
      </c>
      <c r="D884" s="9" t="s">
        <v>17</v>
      </c>
      <c r="E884" s="8" t="s">
        <v>2474</v>
      </c>
      <c r="F884" s="9" t="s">
        <v>17</v>
      </c>
    </row>
    <row r="885" spans="1:6" x14ac:dyDescent="0.15">
      <c r="A885" s="8" t="s">
        <v>2475</v>
      </c>
      <c r="B885" s="8" t="s">
        <v>240</v>
      </c>
      <c r="C885" s="8" t="str">
        <f t="shared" si="20"/>
        <v>att_tmt_channel:tmt18_132N</v>
      </c>
      <c r="D885" s="9" t="s">
        <v>17</v>
      </c>
      <c r="E885" s="8" t="s">
        <v>2476</v>
      </c>
      <c r="F885" s="9" t="s">
        <v>17</v>
      </c>
    </row>
    <row r="886" spans="1:6" x14ac:dyDescent="0.15">
      <c r="A886" s="8" t="s">
        <v>2477</v>
      </c>
      <c r="B886" s="8" t="s">
        <v>240</v>
      </c>
      <c r="C886" s="8" t="str">
        <f t="shared" si="20"/>
        <v>att_tmt_channel:tmt18_133C</v>
      </c>
      <c r="D886" s="9" t="s">
        <v>17</v>
      </c>
      <c r="E886" s="8" t="s">
        <v>2478</v>
      </c>
      <c r="F886" s="9" t="s">
        <v>17</v>
      </c>
    </row>
    <row r="887" spans="1:6" x14ac:dyDescent="0.15">
      <c r="A887" s="8" t="s">
        <v>2479</v>
      </c>
      <c r="B887" s="8" t="s">
        <v>240</v>
      </c>
      <c r="C887" s="8" t="str">
        <f t="shared" si="20"/>
        <v>att_tmt_channel:tmt18_133N</v>
      </c>
      <c r="D887" s="9" t="s">
        <v>17</v>
      </c>
      <c r="E887" s="8" t="s">
        <v>2480</v>
      </c>
      <c r="F887" s="9" t="s">
        <v>17</v>
      </c>
    </row>
    <row r="888" spans="1:6" x14ac:dyDescent="0.15">
      <c r="A888" s="8" t="s">
        <v>2481</v>
      </c>
      <c r="B888" s="8" t="s">
        <v>240</v>
      </c>
      <c r="C888" s="8" t="str">
        <f t="shared" si="20"/>
        <v>att_tmt_channel:tmt18_134C</v>
      </c>
      <c r="D888" s="9" t="s">
        <v>17</v>
      </c>
      <c r="E888" s="8" t="s">
        <v>2482</v>
      </c>
      <c r="F888" s="9" t="s">
        <v>17</v>
      </c>
    </row>
    <row r="889" spans="1:6" x14ac:dyDescent="0.15">
      <c r="A889" s="8" t="s">
        <v>2483</v>
      </c>
      <c r="B889" s="8" t="s">
        <v>240</v>
      </c>
      <c r="C889" s="8" t="str">
        <f t="shared" si="20"/>
        <v>att_tmt_channel:tmt18_134N</v>
      </c>
      <c r="D889" s="9" t="s">
        <v>17</v>
      </c>
      <c r="E889" s="8" t="s">
        <v>2484</v>
      </c>
      <c r="F889" s="9" t="s">
        <v>17</v>
      </c>
    </row>
    <row r="890" spans="1:6" x14ac:dyDescent="0.15">
      <c r="A890" s="8" t="s">
        <v>2485</v>
      </c>
      <c r="B890" s="8" t="s">
        <v>240</v>
      </c>
      <c r="C890" s="8" t="str">
        <f t="shared" si="20"/>
        <v>att_tmt_channel:tmt18_135N</v>
      </c>
      <c r="D890" s="9" t="s">
        <v>17</v>
      </c>
      <c r="E890" s="8" t="s">
        <v>2486</v>
      </c>
      <c r="F890" s="9" t="s">
        <v>17</v>
      </c>
    </row>
    <row r="891" spans="1:6" x14ac:dyDescent="0.15">
      <c r="A891" s="8" t="s">
        <v>2487</v>
      </c>
      <c r="B891" s="8" t="s">
        <v>240</v>
      </c>
      <c r="C891" s="8" t="str">
        <f t="shared" si="20"/>
        <v>att_tmt_channel:tmt6_126</v>
      </c>
      <c r="D891" s="9" t="s">
        <v>17</v>
      </c>
      <c r="E891" s="8">
        <v>126</v>
      </c>
      <c r="F891" s="9" t="s">
        <v>17</v>
      </c>
    </row>
    <row r="892" spans="1:6" x14ac:dyDescent="0.15">
      <c r="A892" s="8" t="s">
        <v>2488</v>
      </c>
      <c r="B892" s="8" t="s">
        <v>240</v>
      </c>
      <c r="C892" s="8" t="str">
        <f t="shared" si="20"/>
        <v>att_tmt_channel:tmt6_127</v>
      </c>
      <c r="D892" s="9" t="s">
        <v>17</v>
      </c>
      <c r="E892" s="8">
        <v>127</v>
      </c>
      <c r="F892" s="9" t="s">
        <v>17</v>
      </c>
    </row>
    <row r="893" spans="1:6" x14ac:dyDescent="0.15">
      <c r="A893" s="8" t="s">
        <v>2489</v>
      </c>
      <c r="B893" s="8" t="s">
        <v>240</v>
      </c>
      <c r="C893" s="8" t="str">
        <f t="shared" si="20"/>
        <v>att_tmt_channel:tmt6_128</v>
      </c>
      <c r="D893" s="9" t="s">
        <v>17</v>
      </c>
      <c r="E893" s="8">
        <v>128</v>
      </c>
      <c r="F893" s="9" t="s">
        <v>17</v>
      </c>
    </row>
    <row r="894" spans="1:6" x14ac:dyDescent="0.15">
      <c r="A894" s="8" t="s">
        <v>2490</v>
      </c>
      <c r="B894" s="8" t="s">
        <v>240</v>
      </c>
      <c r="C894" s="8" t="str">
        <f t="shared" si="20"/>
        <v>att_tmt_channel:tmt6_129</v>
      </c>
      <c r="D894" s="9" t="s">
        <v>17</v>
      </c>
      <c r="E894" s="8">
        <v>129</v>
      </c>
      <c r="F894" s="9" t="s">
        <v>17</v>
      </c>
    </row>
    <row r="895" spans="1:6" x14ac:dyDescent="0.15">
      <c r="A895" s="8" t="s">
        <v>2491</v>
      </c>
      <c r="B895" s="8" t="s">
        <v>240</v>
      </c>
      <c r="C895" s="8" t="str">
        <f t="shared" si="20"/>
        <v>att_tmt_channel:tmt6_130</v>
      </c>
      <c r="D895" s="9" t="s">
        <v>17</v>
      </c>
      <c r="E895" s="8">
        <v>130</v>
      </c>
      <c r="F895" s="9" t="s">
        <v>17</v>
      </c>
    </row>
    <row r="896" spans="1:6" x14ac:dyDescent="0.15">
      <c r="A896" s="8" t="s">
        <v>2492</v>
      </c>
      <c r="B896" s="8" t="s">
        <v>240</v>
      </c>
      <c r="C896" s="8" t="str">
        <f t="shared" si="20"/>
        <v>att_tmt_channel:tmt6_131</v>
      </c>
      <c r="D896" s="9" t="s">
        <v>17</v>
      </c>
      <c r="E896" s="8">
        <v>131</v>
      </c>
      <c r="F896" s="9" t="s">
        <v>17</v>
      </c>
    </row>
    <row r="897" spans="1:6" x14ac:dyDescent="0.15">
      <c r="A897" s="8" t="s">
        <v>2493</v>
      </c>
      <c r="B897" s="8" t="s">
        <v>248</v>
      </c>
      <c r="C897" s="8" t="str">
        <f t="shared" si="20"/>
        <v>att_user_institute:biochem</v>
      </c>
      <c r="D897" s="9" t="s">
        <v>17</v>
      </c>
      <c r="E897" s="8" t="s">
        <v>2494</v>
      </c>
      <c r="F897" s="8" t="s">
        <v>2495</v>
      </c>
    </row>
    <row r="898" spans="1:6" x14ac:dyDescent="0.15">
      <c r="A898" s="8" t="s">
        <v>2496</v>
      </c>
      <c r="B898" s="8" t="s">
        <v>248</v>
      </c>
      <c r="C898" s="8" t="str">
        <f t="shared" si="20"/>
        <v>att_user_institute:cecad</v>
      </c>
      <c r="D898" s="9" t="s">
        <v>17</v>
      </c>
      <c r="E898" s="8" t="s">
        <v>2497</v>
      </c>
      <c r="F898" s="8" t="s">
        <v>2498</v>
      </c>
    </row>
    <row r="899" spans="1:6" x14ac:dyDescent="0.15">
      <c r="A899" s="8" t="s">
        <v>2499</v>
      </c>
      <c r="B899" s="8" t="s">
        <v>248</v>
      </c>
      <c r="C899" s="8" t="str">
        <f t="shared" ref="C899:C928" si="24">B899&amp;":"&amp;A899</f>
        <v>att_user_institute:mpiage</v>
      </c>
      <c r="D899" s="9" t="s">
        <v>17</v>
      </c>
      <c r="E899" s="8" t="s">
        <v>2500</v>
      </c>
      <c r="F899" s="8" t="s">
        <v>2501</v>
      </c>
    </row>
    <row r="900" spans="1:6" x14ac:dyDescent="0.15">
      <c r="A900" s="8" t="s">
        <v>2502</v>
      </c>
      <c r="B900" s="8" t="s">
        <v>248</v>
      </c>
      <c r="C900" s="8" t="str">
        <f t="shared" si="24"/>
        <v>att_user_institute:mpimetab</v>
      </c>
      <c r="D900" s="9" t="s">
        <v>17</v>
      </c>
      <c r="E900" s="8" t="s">
        <v>2503</v>
      </c>
      <c r="F900" s="8" t="s">
        <v>2504</v>
      </c>
    </row>
    <row r="901" spans="1:6" x14ac:dyDescent="0.15">
      <c r="A901" s="8" t="s">
        <v>2493</v>
      </c>
      <c r="B901" s="8" t="s">
        <v>248</v>
      </c>
      <c r="C901" s="8" t="str">
        <f t="shared" si="24"/>
        <v>att_user_institute:biochem</v>
      </c>
      <c r="D901" s="8" t="s">
        <v>17</v>
      </c>
      <c r="E901" s="8" t="s">
        <v>2494</v>
      </c>
      <c r="F901" s="8" t="s">
        <v>2495</v>
      </c>
    </row>
    <row r="902" spans="1:6" x14ac:dyDescent="0.15">
      <c r="A902" s="8" t="s">
        <v>2496</v>
      </c>
      <c r="B902" s="8" t="s">
        <v>248</v>
      </c>
      <c r="C902" s="8" t="str">
        <f t="shared" si="24"/>
        <v>att_user_institute:cecad</v>
      </c>
      <c r="D902" s="8" t="s">
        <v>17</v>
      </c>
      <c r="E902" s="8" t="s">
        <v>2497</v>
      </c>
      <c r="F902" s="8" t="s">
        <v>2498</v>
      </c>
    </row>
    <row r="903" spans="1:6" x14ac:dyDescent="0.15">
      <c r="A903" s="8" t="s">
        <v>2499</v>
      </c>
      <c r="B903" s="8" t="s">
        <v>248</v>
      </c>
      <c r="C903" s="8" t="str">
        <f t="shared" si="24"/>
        <v>att_user_institute:mpiage</v>
      </c>
      <c r="D903" s="8" t="s">
        <v>17</v>
      </c>
      <c r="E903" s="8" t="s">
        <v>2500</v>
      </c>
      <c r="F903" s="8" t="s">
        <v>2501</v>
      </c>
    </row>
    <row r="904" spans="1:6" x14ac:dyDescent="0.15">
      <c r="A904" s="8" t="s">
        <v>2502</v>
      </c>
      <c r="B904" s="8" t="s">
        <v>248</v>
      </c>
      <c r="C904" s="8" t="str">
        <f t="shared" si="24"/>
        <v>att_user_institute:mpimetab</v>
      </c>
      <c r="D904" s="8" t="s">
        <v>17</v>
      </c>
      <c r="E904" s="8" t="s">
        <v>2503</v>
      </c>
      <c r="F904" s="8" t="s">
        <v>2504</v>
      </c>
    </row>
    <row r="905" spans="1:6" x14ac:dyDescent="0.15">
      <c r="A905" s="8" t="s">
        <v>2505</v>
      </c>
      <c r="B905" s="8" t="s">
        <v>252</v>
      </c>
      <c r="C905" s="8" t="str">
        <f t="shared" si="24"/>
        <v>att_user_research_group:mitoprotea</v>
      </c>
      <c r="D905" s="8" t="s">
        <v>17</v>
      </c>
      <c r="E905" s="8" t="s">
        <v>2506</v>
      </c>
      <c r="F905" s="8" t="s">
        <v>2507</v>
      </c>
    </row>
    <row r="906" spans="1:6" x14ac:dyDescent="0.15">
      <c r="A906" s="8" t="s">
        <v>2508</v>
      </c>
      <c r="B906" s="8" t="s">
        <v>252</v>
      </c>
      <c r="C906" s="8" t="str">
        <f t="shared" si="24"/>
        <v>att_user_research_group:molageing</v>
      </c>
      <c r="D906" s="8" t="s">
        <v>17</v>
      </c>
      <c r="E906" s="8" t="s">
        <v>2509</v>
      </c>
      <c r="F906" s="8" t="s">
        <v>2510</v>
      </c>
    </row>
    <row r="907" spans="1:6" x14ac:dyDescent="0.15">
      <c r="A907" s="8" t="s">
        <v>2874</v>
      </c>
      <c r="B907" s="8" t="s">
        <v>252</v>
      </c>
      <c r="C907" s="8" t="str">
        <f t="shared" si="24"/>
        <v>att_user_research_group:ProtFa</v>
      </c>
      <c r="D907" s="8" t="s">
        <v>17</v>
      </c>
      <c r="E907" s="8" t="s">
        <v>2875</v>
      </c>
      <c r="F907" s="8" t="s">
        <v>2876</v>
      </c>
    </row>
    <row r="908" spans="1:6" x14ac:dyDescent="0.15">
      <c r="A908" s="8" t="s">
        <v>2877</v>
      </c>
      <c r="B908" s="8" t="s">
        <v>252</v>
      </c>
      <c r="C908" s="8" t="str">
        <f t="shared" si="24"/>
        <v>att_user_research_group:frezza</v>
      </c>
      <c r="D908" s="8" t="s">
        <v>17</v>
      </c>
      <c r="E908" s="8" t="s">
        <v>2878</v>
      </c>
      <c r="F908" s="8" t="s">
        <v>2879</v>
      </c>
    </row>
    <row r="909" spans="1:6" x14ac:dyDescent="0.15">
      <c r="A909" s="8" t="s">
        <v>2880</v>
      </c>
      <c r="B909" s="8" t="s">
        <v>252</v>
      </c>
      <c r="C909" s="8" t="str">
        <f t="shared" si="24"/>
        <v>att_user_research_group:krueger</v>
      </c>
      <c r="D909" s="8" t="s">
        <v>17</v>
      </c>
      <c r="E909" s="8" t="s">
        <v>2881</v>
      </c>
      <c r="F909" s="8" t="s">
        <v>2882</v>
      </c>
    </row>
    <row r="910" spans="1:6" x14ac:dyDescent="0.15">
      <c r="A910" s="8" t="s">
        <v>2883</v>
      </c>
      <c r="B910" s="8" t="s">
        <v>252</v>
      </c>
      <c r="C910" s="8" t="str">
        <f t="shared" si="24"/>
        <v>att_user_research_group:rugarli</v>
      </c>
      <c r="D910" s="8" t="s">
        <v>17</v>
      </c>
      <c r="E910" s="8" t="s">
        <v>2884</v>
      </c>
      <c r="F910" s="8" t="s">
        <v>2882</v>
      </c>
    </row>
    <row r="911" spans="1:6" x14ac:dyDescent="0.15">
      <c r="A911" s="8" t="s">
        <v>2885</v>
      </c>
      <c r="B911" s="8" t="s">
        <v>252</v>
      </c>
      <c r="C911" s="8" t="str">
        <f t="shared" si="24"/>
        <v>att_user_research_group:trifunovic</v>
      </c>
      <c r="D911" s="8" t="s">
        <v>17</v>
      </c>
      <c r="E911" s="8" t="s">
        <v>2886</v>
      </c>
      <c r="F911" s="8" t="s">
        <v>2887</v>
      </c>
    </row>
    <row r="912" spans="1:6" x14ac:dyDescent="0.15">
      <c r="A912" s="8" t="s">
        <v>2888</v>
      </c>
      <c r="B912" s="8" t="s">
        <v>252</v>
      </c>
      <c r="C912" s="8" t="str">
        <f t="shared" si="24"/>
        <v>att_user_research_group:niessen</v>
      </c>
      <c r="D912" s="8" t="s">
        <v>17</v>
      </c>
      <c r="E912" s="8" t="s">
        <v>2889</v>
      </c>
      <c r="F912" s="8" t="s">
        <v>2497</v>
      </c>
    </row>
    <row r="913" spans="1:6" x14ac:dyDescent="0.15">
      <c r="A913" s="8" t="s">
        <v>2890</v>
      </c>
      <c r="B913" s="8" t="s">
        <v>252</v>
      </c>
      <c r="C913" s="8" t="str">
        <f t="shared" si="24"/>
        <v>att_user_research_group:gloeckner</v>
      </c>
      <c r="D913" s="8" t="s">
        <v>17</v>
      </c>
      <c r="E913" s="8" t="s">
        <v>2891</v>
      </c>
      <c r="F913" s="8" t="s">
        <v>2892</v>
      </c>
    </row>
    <row r="914" spans="1:6" x14ac:dyDescent="0.15">
      <c r="A914" s="8" t="s">
        <v>2893</v>
      </c>
      <c r="B914" s="8" t="s">
        <v>252</v>
      </c>
      <c r="C914" s="8" t="str">
        <f t="shared" si="24"/>
        <v>att_user_research_group:bazzi</v>
      </c>
      <c r="D914" s="8" t="s">
        <v>17</v>
      </c>
      <c r="E914" s="8" t="s">
        <v>2894</v>
      </c>
      <c r="F914" s="8" t="s">
        <v>2895</v>
      </c>
    </row>
    <row r="915" spans="1:6" x14ac:dyDescent="0.15">
      <c r="A915" s="8" t="s">
        <v>2896</v>
      </c>
      <c r="B915" s="8" t="s">
        <v>252</v>
      </c>
      <c r="C915" s="8" t="str">
        <f t="shared" si="24"/>
        <v>att_user_research_group:hallek</v>
      </c>
      <c r="D915" s="8" t="s">
        <v>17</v>
      </c>
      <c r="E915" s="8" t="s">
        <v>2897</v>
      </c>
      <c r="F915" s="8" t="s">
        <v>2898</v>
      </c>
    </row>
    <row r="916" spans="1:6" x14ac:dyDescent="0.15">
      <c r="A916" s="8" t="s">
        <v>2899</v>
      </c>
      <c r="B916" s="8" t="s">
        <v>252</v>
      </c>
      <c r="C916" s="8" t="str">
        <f t="shared" si="24"/>
        <v>att_user_research_group:benzing</v>
      </c>
      <c r="D916" s="8" t="s">
        <v>17</v>
      </c>
      <c r="E916" s="8" t="s">
        <v>2900</v>
      </c>
      <c r="F916" s="8" t="s">
        <v>2901</v>
      </c>
    </row>
    <row r="917" spans="1:6" x14ac:dyDescent="0.15">
      <c r="A917" s="8" t="s">
        <v>2902</v>
      </c>
      <c r="B917" s="8" t="s">
        <v>252</v>
      </c>
      <c r="C917" s="8" t="str">
        <f t="shared" si="24"/>
        <v>att_user_research_group:hennies</v>
      </c>
      <c r="D917" s="8" t="s">
        <v>17</v>
      </c>
      <c r="E917" s="8" t="s">
        <v>2903</v>
      </c>
      <c r="F917" s="8" t="s">
        <v>2904</v>
      </c>
    </row>
    <row r="918" spans="1:6" x14ac:dyDescent="0.15">
      <c r="A918" s="8" t="s">
        <v>2905</v>
      </c>
      <c r="B918" s="8" t="s">
        <v>252</v>
      </c>
      <c r="C918" s="8" t="str">
        <f t="shared" si="24"/>
        <v>att_user_research_group:vonkarstedt</v>
      </c>
      <c r="D918" s="8" t="s">
        <v>17</v>
      </c>
      <c r="E918" s="8" t="s">
        <v>2906</v>
      </c>
      <c r="F918" s="8" t="s">
        <v>2907</v>
      </c>
    </row>
    <row r="919" spans="1:6" x14ac:dyDescent="0.15">
      <c r="A919" s="8" t="s">
        <v>2908</v>
      </c>
      <c r="B919" s="8" t="s">
        <v>252</v>
      </c>
      <c r="C919" s="8" t="str">
        <f t="shared" si="24"/>
        <v>att_user_research_group:laessig</v>
      </c>
      <c r="D919" s="8" t="s">
        <v>17</v>
      </c>
      <c r="E919" s="8" t="s">
        <v>2909</v>
      </c>
      <c r="F919" s="8" t="s">
        <v>2910</v>
      </c>
    </row>
    <row r="920" spans="1:6" x14ac:dyDescent="0.15">
      <c r="A920" s="8" t="s">
        <v>2911</v>
      </c>
      <c r="B920" s="8" t="s">
        <v>252</v>
      </c>
      <c r="C920" s="8" t="str">
        <f t="shared" si="24"/>
        <v>att_user_research_group:hoppe</v>
      </c>
      <c r="D920" s="8" t="s">
        <v>17</v>
      </c>
      <c r="E920" s="8" t="s">
        <v>2912</v>
      </c>
      <c r="F920" s="8" t="s">
        <v>2913</v>
      </c>
    </row>
    <row r="921" spans="1:6" x14ac:dyDescent="0.15">
      <c r="A921" s="8" t="s">
        <v>2914</v>
      </c>
      <c r="B921" s="8" t="s">
        <v>252</v>
      </c>
      <c r="C921" s="8" t="str">
        <f t="shared" si="24"/>
        <v>att_user_research_group:garcia</v>
      </c>
      <c r="D921" s="8" t="s">
        <v>17</v>
      </c>
      <c r="E921" s="8" t="s">
        <v>2915</v>
      </c>
      <c r="F921" s="8" t="s">
        <v>2913</v>
      </c>
    </row>
    <row r="922" spans="1:6" x14ac:dyDescent="0.15">
      <c r="A922" s="8" t="s">
        <v>2916</v>
      </c>
      <c r="B922" s="8" t="s">
        <v>252</v>
      </c>
      <c r="C922" s="8" t="str">
        <f t="shared" si="24"/>
        <v>att_user_research_group:khaskar</v>
      </c>
      <c r="D922" s="8" t="s">
        <v>17</v>
      </c>
      <c r="E922" s="8" t="s">
        <v>2917</v>
      </c>
      <c r="F922" s="8" t="s">
        <v>2918</v>
      </c>
    </row>
    <row r="923" spans="1:6" x14ac:dyDescent="0.15">
      <c r="A923" s="8" t="s">
        <v>2919</v>
      </c>
      <c r="B923" s="8" t="s">
        <v>252</v>
      </c>
      <c r="C923" s="8" t="str">
        <f t="shared" si="24"/>
        <v>att_user_research_group:krieg</v>
      </c>
      <c r="D923" s="8" t="s">
        <v>17</v>
      </c>
      <c r="E923" s="8" t="s">
        <v>2920</v>
      </c>
      <c r="F923" s="8" t="s">
        <v>2921</v>
      </c>
    </row>
    <row r="924" spans="1:6" x14ac:dyDescent="0.15">
      <c r="A924" s="8" t="s">
        <v>2824</v>
      </c>
      <c r="B924" s="22" t="s">
        <v>2820</v>
      </c>
      <c r="C924" s="8" t="str">
        <f t="shared" si="24"/>
        <v>att_diet:wd</v>
      </c>
      <c r="D924" s="8" t="s">
        <v>17</v>
      </c>
      <c r="E924" s="8" t="s">
        <v>2823</v>
      </c>
      <c r="F924" s="8" t="s">
        <v>2822</v>
      </c>
    </row>
    <row r="925" spans="1:6" x14ac:dyDescent="0.15">
      <c r="A925" s="8" t="s">
        <v>2825</v>
      </c>
      <c r="B925" s="22" t="s">
        <v>2820</v>
      </c>
      <c r="C925" s="8" t="str">
        <f t="shared" si="24"/>
        <v>att_diet:sd</v>
      </c>
      <c r="D925" s="8" t="s">
        <v>17</v>
      </c>
      <c r="E925" s="8" t="s">
        <v>2826</v>
      </c>
    </row>
    <row r="926" spans="1:6" x14ac:dyDescent="0.15">
      <c r="A926" s="8" t="s">
        <v>2827</v>
      </c>
      <c r="B926" s="22" t="s">
        <v>2820</v>
      </c>
      <c r="C926" s="8" t="str">
        <f t="shared" si="24"/>
        <v>att_diet:veg</v>
      </c>
      <c r="D926" s="8" t="s">
        <v>17</v>
      </c>
      <c r="E926" s="8" t="s">
        <v>2828</v>
      </c>
      <c r="F926" s="8" t="s">
        <v>2829</v>
      </c>
    </row>
    <row r="927" spans="1:6" x14ac:dyDescent="0.15">
      <c r="A927" s="8" t="s">
        <v>2832</v>
      </c>
      <c r="B927" s="22" t="s">
        <v>2820</v>
      </c>
      <c r="C927" s="8" t="str">
        <f t="shared" si="24"/>
        <v>att_diet:hg</v>
      </c>
      <c r="D927" s="8" t="s">
        <v>17</v>
      </c>
      <c r="E927" s="8" t="s">
        <v>2830</v>
      </c>
      <c r="F927" s="8" t="s">
        <v>2831</v>
      </c>
    </row>
    <row r="928" spans="1:6" x14ac:dyDescent="0.15">
      <c r="A928" s="8" t="s">
        <v>2835</v>
      </c>
      <c r="B928" s="8" t="s">
        <v>2820</v>
      </c>
      <c r="C928" s="8" t="str">
        <f t="shared" si="24"/>
        <v>att_diet:hfd</v>
      </c>
      <c r="D928" s="8" t="s">
        <v>17</v>
      </c>
      <c r="E928" s="8" t="s">
        <v>2833</v>
      </c>
      <c r="F928"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2024-02-19T14:03:30Z</dcterms:modified>
  <dc:language>en-GB</dc:language>
</cp:coreProperties>
</file>