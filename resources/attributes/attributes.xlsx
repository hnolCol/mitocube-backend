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50DD3072-8B6B-9149-8BC0-8DDB089452B5}" xr6:coauthVersionLast="47" xr6:coauthVersionMax="47" xr10:uidLastSave="{00000000-0000-0000-0000-000000000000}"/>
  <bookViews>
    <workbookView xWindow="10820" yWindow="104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25" i="2" l="1"/>
  <c r="C829" i="2"/>
  <c r="C828" i="2"/>
  <c r="C827" i="2"/>
  <c r="C826" i="2"/>
  <c r="C824" i="2"/>
  <c r="C823" i="2"/>
  <c r="C752" i="2"/>
  <c r="C913" i="2"/>
  <c r="C912" i="2"/>
  <c r="C911" i="2"/>
  <c r="C910" i="2"/>
  <c r="C909" i="2"/>
  <c r="C908" i="2"/>
  <c r="C907" i="2"/>
  <c r="C906" i="2"/>
  <c r="C905" i="2"/>
  <c r="C904" i="2"/>
  <c r="C903" i="2"/>
  <c r="C902" i="2"/>
  <c r="C901" i="2"/>
  <c r="C900" i="2"/>
  <c r="C899" i="2"/>
  <c r="C898" i="2"/>
  <c r="C897" i="2"/>
  <c r="C896" i="2"/>
  <c r="C895" i="2"/>
  <c r="C894" i="2"/>
  <c r="C893" i="2"/>
  <c r="C892" i="2"/>
  <c r="C891" i="2"/>
  <c r="C215" i="2"/>
  <c r="C219" i="2"/>
  <c r="C445" i="2"/>
  <c r="C452" i="2"/>
  <c r="C451" i="2"/>
  <c r="C779" i="2"/>
  <c r="C778" i="2"/>
  <c r="C777" i="2"/>
  <c r="C768" i="2"/>
  <c r="C918" i="2"/>
  <c r="C917" i="2"/>
  <c r="C916" i="2"/>
  <c r="C915" i="2"/>
  <c r="C914" i="2"/>
  <c r="C698" i="2"/>
  <c r="C417" i="2"/>
  <c r="C790" i="2"/>
  <c r="C416"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89" i="2"/>
  <c r="C788" i="2"/>
  <c r="C787" i="2"/>
  <c r="C786" i="2"/>
  <c r="C785" i="2"/>
  <c r="C784" i="2"/>
  <c r="C783" i="2"/>
  <c r="C782" i="2"/>
  <c r="C781" i="2"/>
  <c r="C780" i="2"/>
  <c r="C776" i="2"/>
  <c r="C775" i="2"/>
  <c r="C774" i="2"/>
  <c r="C773" i="2"/>
  <c r="C772" i="2"/>
  <c r="C771" i="2"/>
  <c r="C770" i="2"/>
  <c r="C769" i="2"/>
  <c r="C767" i="2"/>
  <c r="C766" i="2"/>
  <c r="C765" i="2"/>
  <c r="C764" i="2"/>
  <c r="C763" i="2"/>
  <c r="C762" i="2"/>
  <c r="C761" i="2"/>
  <c r="C760" i="2"/>
  <c r="C759" i="2"/>
  <c r="C758" i="2"/>
  <c r="C757" i="2"/>
  <c r="C756" i="2"/>
  <c r="C755" i="2"/>
  <c r="C754" i="2"/>
  <c r="C753"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<sst xmlns="http://schemas.openxmlformats.org/spreadsheetml/2006/main" count="10304" uniqueCount="2953">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</sst>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6"/>
  <sheetViews>
    <sheetView tabSelected="1" zoomScaleNormal="100" workbookViewId="0">
      <pane ySplit="1" topLeftCell="A27" activePane="bottomLeft" state="frozen"/>
      <selection pane="bottomLeft" activeCell="D54" sqref="D54"/>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450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450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2856</v>
      </c>
      <c r="D39">
        <v>400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650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450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400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400</v>
      </c>
      <c r="E77" s="1" t="s">
        <v>19</v>
      </c>
      <c r="F77" s="1" t="s">
        <v>21</v>
      </c>
      <c r="G77" t="s">
        <v>185</v>
      </c>
      <c r="H77">
        <v>1</v>
      </c>
      <c r="I77" s="7" t="b">
        <v>0</v>
      </c>
      <c r="J77" s="7" t="b">
        <v>0</v>
      </c>
      <c r="K77" s="1" t="s">
        <v>19</v>
      </c>
      <c r="L77" s="1" t="s">
        <v>19</v>
      </c>
      <c r="M77" s="1" t="s">
        <v>19</v>
      </c>
      <c r="N77" s="1" t="s">
        <v>19</v>
      </c>
      <c r="O77" s="1" t="s">
        <v>19</v>
      </c>
      <c r="P77" s="1" t="s">
        <v>21</v>
      </c>
    </row>
    <row r="78" spans="1:16" x14ac:dyDescent="0.15">
      <c r="A78" s="6" t="s">
        <v>183</v>
      </c>
      <c r="B78" t="s">
        <v>17</v>
      </c>
      <c r="C78" t="s">
        <v>189</v>
      </c>
      <c r="D78">
        <v>400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2863</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21</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2861</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2924</v>
      </c>
      <c r="D114">
        <v>500</v>
      </c>
      <c r="E114" s="1" t="s">
        <v>21</v>
      </c>
      <c r="F114" s="1" t="s">
        <v>19</v>
      </c>
      <c r="G114" t="s">
        <v>2852</v>
      </c>
      <c r="H114">
        <v>0</v>
      </c>
      <c r="I114" s="2" t="b">
        <v>0</v>
      </c>
      <c r="J114" s="7" t="b">
        <v>0</v>
      </c>
      <c r="K114" s="1" t="s">
        <v>21</v>
      </c>
      <c r="L114" s="1" t="s">
        <v>19</v>
      </c>
      <c r="M114" s="1" t="s">
        <v>19</v>
      </c>
      <c r="N114" s="1" t="s">
        <v>19</v>
      </c>
      <c r="O114" s="1" t="s">
        <v>21</v>
      </c>
      <c r="P114" s="1" t="s">
        <v>19</v>
      </c>
    </row>
    <row r="115" spans="1:16" x14ac:dyDescent="0.15">
      <c r="A115" t="s">
        <v>2922</v>
      </c>
      <c r="B115" t="s">
        <v>17</v>
      </c>
      <c r="C115" t="s">
        <v>2925</v>
      </c>
      <c r="D115">
        <v>500</v>
      </c>
      <c r="E115" s="1" t="s">
        <v>21</v>
      </c>
      <c r="F115" s="1" t="s">
        <v>19</v>
      </c>
      <c r="G115" t="s">
        <v>2923</v>
      </c>
      <c r="H115">
        <v>0</v>
      </c>
      <c r="I115" s="2" t="b">
        <v>0</v>
      </c>
      <c r="J115" s="2" t="b">
        <v>0</v>
      </c>
      <c r="K115" s="1" t="s">
        <v>19</v>
      </c>
      <c r="L115" s="1" t="s">
        <v>19</v>
      </c>
      <c r="M115" s="1" t="s">
        <v>19</v>
      </c>
      <c r="N115" s="1" t="s">
        <v>19</v>
      </c>
      <c r="O115" s="1" t="s">
        <v>21</v>
      </c>
      <c r="P115" s="1" t="s">
        <v>19</v>
      </c>
    </row>
    <row r="116" spans="1:16" x14ac:dyDescent="0.15">
      <c r="A116" t="s">
        <v>2930</v>
      </c>
      <c r="B116" t="s">
        <v>17</v>
      </c>
      <c r="C116" t="s">
        <v>2931</v>
      </c>
      <c r="D116">
        <v>650</v>
      </c>
      <c r="E116" s="1" t="s">
        <v>19</v>
      </c>
      <c r="F116" s="1" t="s">
        <v>19</v>
      </c>
      <c r="G116" t="s">
        <v>47</v>
      </c>
      <c r="H116">
        <v>0</v>
      </c>
      <c r="I116" s="2" t="b">
        <v>0</v>
      </c>
      <c r="J116" s="2" t="b">
        <v>0</v>
      </c>
      <c r="K116" s="1" t="s">
        <v>21</v>
      </c>
      <c r="L116" s="1" t="s">
        <v>19</v>
      </c>
      <c r="M116" s="1" t="s">
        <v>19</v>
      </c>
      <c r="N116" s="1" t="s">
        <v>19</v>
      </c>
      <c r="O116" s="1" t="s">
        <v>21</v>
      </c>
      <c r="P116" s="1" t="s">
        <v>21</v>
      </c>
    </row>
  </sheetData>
  <conditionalFormatting sqref="E1:F112 K1:P112 I2:J112">
    <cfRule type="containsText" dxfId="7" priority="5" operator="containsText" text="TRUE">
      <formula>NOT(ISERROR(SEARCH("TRUE",E1)))</formula>
    </cfRule>
  </conditionalFormatting>
  <conditionalFormatting sqref="J113:P114">
    <cfRule type="containsText" dxfId="6" priority="2" operator="containsText" text="TRUE">
      <formula>NOT(ISERROR(SEARCH("TRUE",J113)))</formula>
    </cfRule>
  </conditionalFormatting>
  <conditionalFormatting sqref="M115:P115">
    <cfRule type="containsText" dxfId="5" priority="1" operator="containsText" text="TRUE">
      <formula>NOT(ISERROR(SEARCH("TRUE",M115)))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18"/>
  <sheetViews>
    <sheetView topLeftCell="A872" zoomScaleNormal="100" workbookViewId="0">
      <selection activeCell="B916" sqref="B91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2862</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0"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2857</v>
      </c>
      <c r="F444" s="8" t="s">
        <v>2857</v>
      </c>
    </row>
    <row r="445" spans="1:6" x14ac:dyDescent="0.15">
      <c r="A445" s="8" t="s">
        <v>1363</v>
      </c>
      <c r="B445" s="8" t="s">
        <v>150</v>
      </c>
      <c r="C445" s="8" t="str">
        <f t="shared" ref="C445" si="9">B445&amp;":"&amp;A445</f>
        <v>att_liquid_handler:opentrons</v>
      </c>
      <c r="D445" s="8" t="s">
        <v>1363</v>
      </c>
      <c r="E445" s="8" t="s">
        <v>2858</v>
      </c>
      <c r="F445" s="8" t="s">
        <v>2858</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2853</v>
      </c>
      <c r="B451" s="8" t="s">
        <v>91</v>
      </c>
      <c r="C451" s="8" t="str">
        <f t="shared" ref="C451" si="10">B451&amp;":"&amp;A451</f>
        <v>att_lysis_method:chemical</v>
      </c>
      <c r="D451" s="9" t="s">
        <v>17</v>
      </c>
      <c r="E451" s="8" t="s">
        <v>2854</v>
      </c>
      <c r="F451" s="8" t="s">
        <v>2855</v>
      </c>
    </row>
    <row r="452" spans="1:6" x14ac:dyDescent="0.15">
      <c r="A452" s="8" t="s">
        <v>2865</v>
      </c>
      <c r="B452" s="8" t="s">
        <v>91</v>
      </c>
      <c r="C452" s="8" t="str">
        <f t="shared" ref="C452" si="11">B452&amp;":"&amp;A452</f>
        <v>att_lysis_method:sonicaton</v>
      </c>
      <c r="D452" s="9" t="s">
        <v>17</v>
      </c>
      <c r="E452" s="8" t="s">
        <v>2866</v>
      </c>
      <c r="F452" s="8" t="s">
        <v>2864</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17</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1408</v>
      </c>
      <c r="B463" s="8" t="s">
        <v>157</v>
      </c>
      <c r="C463" s="8" t="str">
        <f t="shared" si="8"/>
        <v>att_mitocarta_pathway:abc_transporters</v>
      </c>
      <c r="D463" s="9" t="s">
        <v>17</v>
      </c>
      <c r="E463" s="8" t="s">
        <v>1409</v>
      </c>
      <c r="F463" s="8" t="s">
        <v>1410</v>
      </c>
    </row>
    <row r="464" spans="1:6" x14ac:dyDescent="0.15">
      <c r="A464" s="8" t="s">
        <v>1411</v>
      </c>
      <c r="B464" s="8" t="s">
        <v>157</v>
      </c>
      <c r="C464" s="8" t="str">
        <f t="shared" si="8"/>
        <v>att_mitocarta_pathway:amidoxime_reducing_complex</v>
      </c>
      <c r="D464" s="9" t="s">
        <v>17</v>
      </c>
      <c r="E464" s="8" t="s">
        <v>1412</v>
      </c>
      <c r="F464" s="8" t="s">
        <v>1413</v>
      </c>
    </row>
    <row r="465" spans="1:6" x14ac:dyDescent="0.15">
      <c r="A465" s="8" t="s">
        <v>1414</v>
      </c>
      <c r="B465" s="8" t="s">
        <v>157</v>
      </c>
      <c r="C465" s="8" t="str">
        <f t="shared" si="8"/>
        <v>att_mitocarta_pathway:amino_acid_metabolism</v>
      </c>
      <c r="D465" s="9" t="s">
        <v>17</v>
      </c>
      <c r="E465" s="8" t="s">
        <v>1415</v>
      </c>
      <c r="F465" s="8" t="s">
        <v>1416</v>
      </c>
    </row>
    <row r="466" spans="1:6" x14ac:dyDescent="0.15">
      <c r="A466" s="8" t="s">
        <v>1417</v>
      </c>
      <c r="B466" s="8" t="s">
        <v>157</v>
      </c>
      <c r="C466" s="8" t="str">
        <f t="shared" si="8"/>
        <v>att_mitocarta_pathway:apoptosis</v>
      </c>
      <c r="D466" s="9" t="s">
        <v>17</v>
      </c>
      <c r="E466" s="8" t="s">
        <v>1418</v>
      </c>
      <c r="F466" s="8" t="s">
        <v>1419</v>
      </c>
    </row>
    <row r="467" spans="1:6" x14ac:dyDescent="0.15">
      <c r="A467" s="8" t="s">
        <v>1420</v>
      </c>
      <c r="B467" s="8" t="s">
        <v>157</v>
      </c>
      <c r="C467" s="8" t="str">
        <f t="shared" si="8"/>
        <v>att_mitocarta_pathway:autophagy</v>
      </c>
      <c r="D467" s="9" t="s">
        <v>17</v>
      </c>
      <c r="E467" s="8" t="s">
        <v>1421</v>
      </c>
      <c r="F467" s="8" t="s">
        <v>1422</v>
      </c>
    </row>
    <row r="468" spans="1:6" x14ac:dyDescent="0.15">
      <c r="A468" s="8" t="s">
        <v>1423</v>
      </c>
      <c r="B468" s="8" t="s">
        <v>157</v>
      </c>
      <c r="C468" s="8" t="str">
        <f t="shared" si="8"/>
        <v>att_mitocarta_pathway:biotin_utilizing_proteins</v>
      </c>
      <c r="D468" s="9" t="s">
        <v>17</v>
      </c>
      <c r="E468" s="8" t="s">
        <v>1424</v>
      </c>
      <c r="F468" s="8" t="s">
        <v>1425</v>
      </c>
    </row>
    <row r="469" spans="1:6" x14ac:dyDescent="0.15">
      <c r="A469" s="8" t="s">
        <v>1426</v>
      </c>
      <c r="B469" s="8" t="s">
        <v>157</v>
      </c>
      <c r="C469" s="8" t="str">
        <f t="shared" si="8"/>
        <v>att_mitocarta_pathway:branched_chain_amino_acid_dehydrogenase_complex</v>
      </c>
      <c r="D469" s="9" t="s">
        <v>17</v>
      </c>
      <c r="E469" s="8" t="s">
        <v>1427</v>
      </c>
      <c r="F469" s="8" t="s">
        <v>1428</v>
      </c>
    </row>
    <row r="470" spans="1:6" x14ac:dyDescent="0.15">
      <c r="A470" s="8" t="s">
        <v>1429</v>
      </c>
      <c r="B470" s="8" t="s">
        <v>157</v>
      </c>
      <c r="C470" s="8" t="str">
        <f t="shared" si="8"/>
        <v>att_mitocarta_pathway:branched_chain_amino_acid_metabolism</v>
      </c>
      <c r="D470" s="9" t="s">
        <v>17</v>
      </c>
      <c r="E470" s="8" t="s">
        <v>1430</v>
      </c>
      <c r="F470" s="8" t="s">
        <v>1431</v>
      </c>
    </row>
    <row r="471" spans="1:6" x14ac:dyDescent="0.15">
      <c r="A471" s="8" t="s">
        <v>1432</v>
      </c>
      <c r="B471" s="8" t="s">
        <v>157</v>
      </c>
      <c r="C471" s="8" t="str">
        <f t="shared" si="8"/>
        <v>att_mitocarta_pathway:calcium_cycle</v>
      </c>
      <c r="D471" s="9" t="s">
        <v>17</v>
      </c>
      <c r="E471" s="8" t="s">
        <v>1433</v>
      </c>
      <c r="F471" s="8" t="s">
        <v>1434</v>
      </c>
    </row>
    <row r="472" spans="1:6" x14ac:dyDescent="0.15">
      <c r="A472" s="8" t="s">
        <v>1435</v>
      </c>
      <c r="B472" s="8" t="s">
        <v>157</v>
      </c>
      <c r="C472" s="8" t="str">
        <f t="shared" si="8"/>
        <v>att_mitocarta_pathway:calcium_homeostasis</v>
      </c>
      <c r="D472" s="9" t="s">
        <v>17</v>
      </c>
      <c r="E472" s="8" t="s">
        <v>1436</v>
      </c>
      <c r="F472" s="8" t="s">
        <v>1437</v>
      </c>
    </row>
    <row r="473" spans="1:6" x14ac:dyDescent="0.15">
      <c r="A473" s="8" t="s">
        <v>1438</v>
      </c>
      <c r="B473" s="8" t="s">
        <v>157</v>
      </c>
      <c r="C473" s="8" t="str">
        <f t="shared" si="8"/>
        <v>att_mitocarta_pathway:calcium_uniporter</v>
      </c>
      <c r="D473" s="9" t="s">
        <v>17</v>
      </c>
      <c r="E473" s="8" t="s">
        <v>1439</v>
      </c>
      <c r="F473" s="8" t="s">
        <v>1440</v>
      </c>
    </row>
    <row r="474" spans="1:6" x14ac:dyDescent="0.15">
      <c r="A474" s="8" t="s">
        <v>1441</v>
      </c>
      <c r="B474" s="8" t="s">
        <v>157</v>
      </c>
      <c r="C474" s="8" t="str">
        <f t="shared" si="8"/>
        <v>att_mitocarta_pathway:camp_pka_signaling</v>
      </c>
      <c r="D474" s="9" t="s">
        <v>17</v>
      </c>
      <c r="E474" s="8" t="s">
        <v>1442</v>
      </c>
      <c r="F474" s="8" t="s">
        <v>1443</v>
      </c>
    </row>
    <row r="475" spans="1:6" x14ac:dyDescent="0.15">
      <c r="A475" s="8" t="s">
        <v>1444</v>
      </c>
      <c r="B475" s="8" t="s">
        <v>157</v>
      </c>
      <c r="C475" s="8" t="str">
        <f t="shared" si="8"/>
        <v>att_mitocarta_pathway:carbohydrate_metabolism</v>
      </c>
      <c r="D475" s="9" t="s">
        <v>17</v>
      </c>
      <c r="E475" s="8" t="s">
        <v>1445</v>
      </c>
      <c r="F475" s="8" t="s">
        <v>1446</v>
      </c>
    </row>
    <row r="476" spans="1:6" x14ac:dyDescent="0.15">
      <c r="A476" s="8" t="s">
        <v>1447</v>
      </c>
      <c r="B476" s="8" t="s">
        <v>157</v>
      </c>
      <c r="C476" s="8" t="str">
        <f t="shared" si="8"/>
        <v>att_mitocarta_pathway:cardiolipin_synthesis</v>
      </c>
      <c r="D476" s="9" t="s">
        <v>17</v>
      </c>
      <c r="E476" s="8" t="s">
        <v>1448</v>
      </c>
      <c r="F476" s="8" t="s">
        <v>1449</v>
      </c>
    </row>
    <row r="477" spans="1:6" x14ac:dyDescent="0.15">
      <c r="A477" s="8" t="s">
        <v>1450</v>
      </c>
      <c r="B477" s="8" t="s">
        <v>157</v>
      </c>
      <c r="C477" s="8" t="str">
        <f t="shared" si="8"/>
        <v>att_mitocarta_pathway:carnitine_shuttle</v>
      </c>
      <c r="D477" s="9" t="s">
        <v>17</v>
      </c>
      <c r="E477" s="8" t="s">
        <v>1451</v>
      </c>
      <c r="F477" s="8" t="s">
        <v>1452</v>
      </c>
    </row>
    <row r="478" spans="1:6" x14ac:dyDescent="0.15">
      <c r="A478" s="8" t="s">
        <v>1453</v>
      </c>
      <c r="B478" s="8" t="s">
        <v>157</v>
      </c>
      <c r="C478" s="8" t="str">
        <f t="shared" si="8"/>
        <v>att_mitocarta_pathway:carnitine_synthesis_and_transport</v>
      </c>
      <c r="D478" s="9" t="s">
        <v>17</v>
      </c>
      <c r="E478" s="8" t="s">
        <v>1454</v>
      </c>
      <c r="F478" s="8" t="s">
        <v>1455</v>
      </c>
    </row>
    <row r="479" spans="1:6" x14ac:dyDescent="0.15">
      <c r="A479" s="8" t="s">
        <v>1456</v>
      </c>
      <c r="B479" s="8" t="s">
        <v>157</v>
      </c>
      <c r="C479" s="8" t="str">
        <f t="shared" si="8"/>
        <v>att_mitocarta_pathway:catechol_metabolism</v>
      </c>
      <c r="D479" s="9" t="s">
        <v>17</v>
      </c>
      <c r="E479" s="8" t="s">
        <v>1457</v>
      </c>
      <c r="F479" s="8" t="s">
        <v>1458</v>
      </c>
    </row>
    <row r="480" spans="1:6" x14ac:dyDescent="0.15">
      <c r="A480" s="8" t="s">
        <v>1459</v>
      </c>
      <c r="B480" s="8" t="s">
        <v>157</v>
      </c>
      <c r="C480" s="8" t="str">
        <f t="shared" si="8"/>
        <v>att_mitocarta_pathway:chaperones</v>
      </c>
      <c r="D480" s="9" t="s">
        <v>17</v>
      </c>
      <c r="E480" s="8" t="s">
        <v>1460</v>
      </c>
      <c r="F480" s="8" t="s">
        <v>1461</v>
      </c>
    </row>
    <row r="481" spans="1:6" x14ac:dyDescent="0.15">
      <c r="A481" s="8" t="s">
        <v>1462</v>
      </c>
      <c r="B481" s="8" t="s">
        <v>157</v>
      </c>
      <c r="C481" s="8" t="str">
        <f t="shared" si="8"/>
        <v>att_mitocarta_pathway:cholesterol_associated</v>
      </c>
      <c r="D481" s="9" t="s">
        <v>17</v>
      </c>
      <c r="E481" s="8" t="s">
        <v>1463</v>
      </c>
      <c r="F481" s="8" t="s">
        <v>1464</v>
      </c>
    </row>
    <row r="482" spans="1:6" x14ac:dyDescent="0.15">
      <c r="A482" s="8" t="s">
        <v>1465</v>
      </c>
      <c r="B482" s="8" t="s">
        <v>157</v>
      </c>
      <c r="C482" s="8" t="str">
        <f t="shared" si="8"/>
        <v>att_mitocarta_pathway:choline_and_betaine_metabolism</v>
      </c>
      <c r="D482" s="9" t="s">
        <v>17</v>
      </c>
      <c r="E482" s="8" t="s">
        <v>1466</v>
      </c>
      <c r="F482" s="8" t="s">
        <v>1467</v>
      </c>
    </row>
    <row r="483" spans="1:6" x14ac:dyDescent="0.15">
      <c r="A483" s="8" t="s">
        <v>1468</v>
      </c>
      <c r="B483" s="8" t="s">
        <v>157</v>
      </c>
      <c r="C483" s="8" t="str">
        <f t="shared" si="8"/>
        <v>att_mitocarta_pathway:ci_assembly_factors</v>
      </c>
      <c r="D483" s="9" t="s">
        <v>17</v>
      </c>
      <c r="E483" s="8" t="s">
        <v>1469</v>
      </c>
      <c r="F483" s="8" t="s">
        <v>1470</v>
      </c>
    </row>
    <row r="484" spans="1:6" x14ac:dyDescent="0.15">
      <c r="A484" s="8" t="s">
        <v>1471</v>
      </c>
      <c r="B484" s="8" t="s">
        <v>157</v>
      </c>
      <c r="C484" s="8" t="str">
        <f t="shared" si="8"/>
        <v>att_mitocarta_pathway:ci_subunits</v>
      </c>
      <c r="D484" s="9" t="s">
        <v>17</v>
      </c>
      <c r="E484" s="8" t="s">
        <v>1472</v>
      </c>
      <c r="F484" s="8" t="s">
        <v>1473</v>
      </c>
    </row>
    <row r="485" spans="1:6" x14ac:dyDescent="0.15">
      <c r="A485" s="8" t="s">
        <v>1474</v>
      </c>
      <c r="B485" s="8" t="s">
        <v>157</v>
      </c>
      <c r="C485" s="8" t="str">
        <f t="shared" si="8"/>
        <v>att_mitocarta_pathway:cii_assembly_factors</v>
      </c>
      <c r="D485" s="9" t="s">
        <v>17</v>
      </c>
      <c r="E485" s="8" t="s">
        <v>1475</v>
      </c>
      <c r="F485" s="8" t="s">
        <v>1476</v>
      </c>
    </row>
    <row r="486" spans="1:6" x14ac:dyDescent="0.15">
      <c r="A486" s="8" t="s">
        <v>1477</v>
      </c>
      <c r="B486" s="8" t="s">
        <v>157</v>
      </c>
      <c r="C486" s="8" t="str">
        <f t="shared" si="8"/>
        <v>att_mitocarta_pathway:cii_subunits</v>
      </c>
      <c r="D486" s="9" t="s">
        <v>17</v>
      </c>
      <c r="E486" s="8" t="s">
        <v>1478</v>
      </c>
      <c r="F486" s="8" t="s">
        <v>1479</v>
      </c>
    </row>
    <row r="487" spans="1:6" x14ac:dyDescent="0.15">
      <c r="A487" s="8" t="s">
        <v>1480</v>
      </c>
      <c r="B487" s="8" t="s">
        <v>157</v>
      </c>
      <c r="C487" s="8" t="str">
        <f t="shared" si="8"/>
        <v>att_mitocarta_pathway:ciii_assembly_factors</v>
      </c>
      <c r="D487" s="9" t="s">
        <v>17</v>
      </c>
      <c r="E487" s="8" t="s">
        <v>1481</v>
      </c>
      <c r="F487" s="8" t="s">
        <v>1482</v>
      </c>
    </row>
    <row r="488" spans="1:6" x14ac:dyDescent="0.15">
      <c r="A488" s="8" t="s">
        <v>1483</v>
      </c>
      <c r="B488" s="8" t="s">
        <v>157</v>
      </c>
      <c r="C488" s="8" t="str">
        <f t="shared" si="8"/>
        <v>att_mitocarta_pathway:ciii_subunits</v>
      </c>
      <c r="D488" s="9" t="s">
        <v>17</v>
      </c>
      <c r="E488" s="8" t="s">
        <v>1484</v>
      </c>
      <c r="F488" s="8" t="s">
        <v>1485</v>
      </c>
    </row>
    <row r="489" spans="1:6" x14ac:dyDescent="0.15">
      <c r="A489" s="8" t="s">
        <v>1486</v>
      </c>
      <c r="B489" s="8" t="s">
        <v>157</v>
      </c>
      <c r="C489" s="8" t="str">
        <f t="shared" si="8"/>
        <v>att_mitocarta_pathway:civ_assembly_factors</v>
      </c>
      <c r="D489" s="9" t="s">
        <v>17</v>
      </c>
      <c r="E489" s="8" t="s">
        <v>1487</v>
      </c>
      <c r="F489" s="8" t="s">
        <v>1488</v>
      </c>
    </row>
    <row r="490" spans="1:6" x14ac:dyDescent="0.15">
      <c r="A490" s="8" t="s">
        <v>1489</v>
      </c>
      <c r="B490" s="8" t="s">
        <v>157</v>
      </c>
      <c r="C490" s="8" t="str">
        <f t="shared" si="8"/>
        <v>att_mitocarta_pathway:civ_subunits</v>
      </c>
      <c r="D490" s="9" t="s">
        <v>17</v>
      </c>
      <c r="E490" s="8" t="s">
        <v>1490</v>
      </c>
      <c r="F490" s="8" t="s">
        <v>1491</v>
      </c>
    </row>
    <row r="491" spans="1:6" x14ac:dyDescent="0.15">
      <c r="A491" s="8" t="s">
        <v>1492</v>
      </c>
      <c r="B491" s="8" t="s">
        <v>157</v>
      </c>
      <c r="C491" s="8" t="str">
        <f t="shared" ref="C491:C554" si="12">B491&amp;":"&amp;A491</f>
        <v>att_mitocarta_pathway:coenzyme_a_metabolism</v>
      </c>
      <c r="D491" s="9" t="s">
        <v>17</v>
      </c>
      <c r="E491" s="8" t="s">
        <v>1493</v>
      </c>
      <c r="F491" s="8" t="s">
        <v>1494</v>
      </c>
    </row>
    <row r="492" spans="1:6" x14ac:dyDescent="0.15">
      <c r="A492" s="8" t="s">
        <v>1495</v>
      </c>
      <c r="B492" s="8" t="s">
        <v>157</v>
      </c>
      <c r="C492" s="8" t="str">
        <f t="shared" si="12"/>
        <v>att_mitocarta_pathway:coenzyme_q_metabolism</v>
      </c>
      <c r="D492" s="9" t="s">
        <v>17</v>
      </c>
      <c r="E492" s="8" t="s">
        <v>1496</v>
      </c>
      <c r="F492" s="8" t="s">
        <v>1497</v>
      </c>
    </row>
    <row r="493" spans="1:6" x14ac:dyDescent="0.15">
      <c r="A493" s="8" t="s">
        <v>1498</v>
      </c>
      <c r="B493" s="8" t="s">
        <v>157</v>
      </c>
      <c r="C493" s="8" t="str">
        <f t="shared" si="12"/>
        <v>att_mitocarta_pathway:complex_i</v>
      </c>
      <c r="D493" s="9" t="s">
        <v>17</v>
      </c>
      <c r="E493" s="8" t="s">
        <v>1499</v>
      </c>
      <c r="F493" s="8" t="s">
        <v>1500</v>
      </c>
    </row>
    <row r="494" spans="1:6" x14ac:dyDescent="0.15">
      <c r="A494" s="8" t="s">
        <v>1501</v>
      </c>
      <c r="B494" s="8" t="s">
        <v>157</v>
      </c>
      <c r="C494" s="8" t="str">
        <f t="shared" si="12"/>
        <v>att_mitocarta_pathway:complex_ii</v>
      </c>
      <c r="D494" s="9" t="s">
        <v>17</v>
      </c>
      <c r="E494" s="8" t="s">
        <v>1502</v>
      </c>
      <c r="F494" s="8" t="s">
        <v>1503</v>
      </c>
    </row>
    <row r="495" spans="1:6" x14ac:dyDescent="0.15">
      <c r="A495" s="8" t="s">
        <v>1504</v>
      </c>
      <c r="B495" s="8" t="s">
        <v>157</v>
      </c>
      <c r="C495" s="8" t="str">
        <f t="shared" si="12"/>
        <v>att_mitocarta_pathway:complex_iii</v>
      </c>
      <c r="D495" s="9" t="s">
        <v>17</v>
      </c>
      <c r="E495" s="8" t="s">
        <v>1505</v>
      </c>
      <c r="F495" s="8" t="s">
        <v>1506</v>
      </c>
    </row>
    <row r="496" spans="1:6" x14ac:dyDescent="0.15">
      <c r="A496" s="8" t="s">
        <v>1507</v>
      </c>
      <c r="B496" s="8" t="s">
        <v>157</v>
      </c>
      <c r="C496" s="8" t="str">
        <f t="shared" si="12"/>
        <v>att_mitocarta_pathway:complex_iv</v>
      </c>
      <c r="D496" s="9" t="s">
        <v>17</v>
      </c>
      <c r="E496" s="8" t="s">
        <v>1508</v>
      </c>
      <c r="F496" s="8" t="s">
        <v>1509</v>
      </c>
    </row>
    <row r="497" spans="1:6" x14ac:dyDescent="0.15">
      <c r="A497" s="8" t="s">
        <v>1510</v>
      </c>
      <c r="B497" s="8" t="s">
        <v>157</v>
      </c>
      <c r="C497" s="8" t="str">
        <f t="shared" si="12"/>
        <v>att_mitocarta_pathway:complex_v</v>
      </c>
      <c r="D497" s="9" t="s">
        <v>17</v>
      </c>
      <c r="E497" s="8" t="s">
        <v>1511</v>
      </c>
      <c r="F497" s="8" t="s">
        <v>1512</v>
      </c>
    </row>
    <row r="498" spans="1:6" x14ac:dyDescent="0.15">
      <c r="A498" s="8" t="s">
        <v>1513</v>
      </c>
      <c r="B498" s="8" t="s">
        <v>157</v>
      </c>
      <c r="C498" s="8" t="str">
        <f t="shared" si="12"/>
        <v>att_mitocarta_pathway:copper_metabolism</v>
      </c>
      <c r="D498" s="9" t="s">
        <v>17</v>
      </c>
      <c r="E498" s="8" t="s">
        <v>1514</v>
      </c>
      <c r="F498" s="8" t="s">
        <v>1515</v>
      </c>
    </row>
    <row r="499" spans="1:6" x14ac:dyDescent="0.15">
      <c r="A499" s="8" t="s">
        <v>1516</v>
      </c>
      <c r="B499" s="8" t="s">
        <v>157</v>
      </c>
      <c r="C499" s="8" t="str">
        <f t="shared" si="12"/>
        <v>att_mitocarta_pathway:creatine_metabolism</v>
      </c>
      <c r="D499" s="9" t="s">
        <v>17</v>
      </c>
      <c r="E499" s="8" t="s">
        <v>1517</v>
      </c>
      <c r="F499" s="8" t="s">
        <v>1518</v>
      </c>
    </row>
    <row r="500" spans="1:6" x14ac:dyDescent="0.15">
      <c r="A500" s="8" t="s">
        <v>1519</v>
      </c>
      <c r="B500" s="8" t="s">
        <v>157</v>
      </c>
      <c r="C500" s="8" t="str">
        <f t="shared" si="12"/>
        <v>att_mitocarta_pathway:cristae_formation</v>
      </c>
      <c r="D500" s="9" t="s">
        <v>17</v>
      </c>
      <c r="E500" s="8" t="s">
        <v>1520</v>
      </c>
      <c r="F500" s="8" t="s">
        <v>1521</v>
      </c>
    </row>
    <row r="501" spans="1:6" x14ac:dyDescent="0.15">
      <c r="A501" s="8" t="s">
        <v>1522</v>
      </c>
      <c r="B501" s="8" t="s">
        <v>157</v>
      </c>
      <c r="C501" s="8" t="str">
        <f t="shared" si="12"/>
        <v>att_mitocarta_pathway:cv_assembly_factors</v>
      </c>
      <c r="D501" s="9" t="s">
        <v>17</v>
      </c>
      <c r="E501" s="8" t="s">
        <v>1523</v>
      </c>
      <c r="F501" s="8" t="s">
        <v>1524</v>
      </c>
    </row>
    <row r="502" spans="1:6" x14ac:dyDescent="0.15">
      <c r="A502" s="8" t="s">
        <v>1525</v>
      </c>
      <c r="B502" s="8" t="s">
        <v>157</v>
      </c>
      <c r="C502" s="8" t="str">
        <f t="shared" si="12"/>
        <v>att_mitocarta_pathway:cv_subunits</v>
      </c>
      <c r="D502" s="9" t="s">
        <v>17</v>
      </c>
      <c r="E502" s="8" t="s">
        <v>1526</v>
      </c>
      <c r="F502" s="8" t="s">
        <v>1527</v>
      </c>
    </row>
    <row r="503" spans="1:6" x14ac:dyDescent="0.15">
      <c r="A503" s="8" t="s">
        <v>1528</v>
      </c>
      <c r="B503" s="8" t="s">
        <v>157</v>
      </c>
      <c r="C503" s="8" t="str">
        <f t="shared" si="12"/>
        <v>att_mitocarta_pathway:cytochrome_c</v>
      </c>
      <c r="D503" s="9" t="s">
        <v>17</v>
      </c>
      <c r="E503" s="8" t="s">
        <v>1529</v>
      </c>
      <c r="F503" s="8" t="s">
        <v>1530</v>
      </c>
    </row>
    <row r="504" spans="1:6" x14ac:dyDescent="0.15">
      <c r="A504" s="8" t="s">
        <v>1531</v>
      </c>
      <c r="B504" s="8" t="s">
        <v>157</v>
      </c>
      <c r="C504" s="8" t="str">
        <f t="shared" si="12"/>
        <v>att_mitocarta_pathway:cytochromes</v>
      </c>
      <c r="D504" s="9" t="s">
        <v>17</v>
      </c>
      <c r="E504" s="8" t="s">
        <v>1532</v>
      </c>
      <c r="F504" s="8" t="s">
        <v>1533</v>
      </c>
    </row>
    <row r="505" spans="1:6" x14ac:dyDescent="0.15">
      <c r="A505" s="8" t="s">
        <v>1534</v>
      </c>
      <c r="B505" s="8" t="s">
        <v>157</v>
      </c>
      <c r="C505" s="8" t="str">
        <f t="shared" si="12"/>
        <v>att_mitocarta_pathway:detoxification</v>
      </c>
      <c r="D505" s="9" t="s">
        <v>17</v>
      </c>
      <c r="E505" s="8" t="s">
        <v>1535</v>
      </c>
      <c r="F505" s="8" t="s">
        <v>1536</v>
      </c>
    </row>
    <row r="506" spans="1:6" x14ac:dyDescent="0.15">
      <c r="A506" s="8" t="s">
        <v>1537</v>
      </c>
      <c r="B506" s="8" t="s">
        <v>157</v>
      </c>
      <c r="C506" s="8" t="str">
        <f t="shared" si="12"/>
        <v>att_mitocarta_pathway:ef_hand_proteins</v>
      </c>
      <c r="D506" s="9" t="s">
        <v>17</v>
      </c>
      <c r="E506" s="8" t="s">
        <v>1538</v>
      </c>
      <c r="F506" s="8" t="s">
        <v>1539</v>
      </c>
    </row>
    <row r="507" spans="1:6" x14ac:dyDescent="0.15">
      <c r="A507" s="8" t="s">
        <v>1540</v>
      </c>
      <c r="B507" s="8" t="s">
        <v>157</v>
      </c>
      <c r="C507" s="8" t="str">
        <f t="shared" si="12"/>
        <v>att_mitocarta_pathway:eicosanoid_metabolism</v>
      </c>
      <c r="D507" s="9" t="s">
        <v>17</v>
      </c>
      <c r="E507" s="8" t="s">
        <v>1541</v>
      </c>
      <c r="F507" s="8" t="s">
        <v>1542</v>
      </c>
    </row>
    <row r="508" spans="1:6" x14ac:dyDescent="0.15">
      <c r="A508" s="8" t="s">
        <v>1543</v>
      </c>
      <c r="B508" s="8" t="s">
        <v>157</v>
      </c>
      <c r="C508" s="8" t="str">
        <f t="shared" si="12"/>
        <v>att_mitocarta_pathway:electron_carriers</v>
      </c>
      <c r="D508" s="9" t="s">
        <v>17</v>
      </c>
      <c r="E508" s="8" t="s">
        <v>1544</v>
      </c>
      <c r="F508" s="8" t="s">
        <v>1545</v>
      </c>
    </row>
    <row r="509" spans="1:6" x14ac:dyDescent="0.15">
      <c r="A509" s="8" t="s">
        <v>1546</v>
      </c>
      <c r="B509" s="8" t="s">
        <v>157</v>
      </c>
      <c r="C509" s="8" t="str">
        <f t="shared" si="12"/>
        <v>att_mitocarta_pathway:fatty_acid_oxidation</v>
      </c>
      <c r="D509" s="9" t="s">
        <v>17</v>
      </c>
      <c r="E509" s="8" t="s">
        <v>1547</v>
      </c>
      <c r="F509" s="8" t="s">
        <v>1548</v>
      </c>
    </row>
    <row r="510" spans="1:6" x14ac:dyDescent="0.15">
      <c r="A510" s="8" t="s">
        <v>1549</v>
      </c>
      <c r="B510" s="8" t="s">
        <v>157</v>
      </c>
      <c r="C510" s="8" t="str">
        <f t="shared" si="12"/>
        <v>att_mitocarta_pathway:fe_s_cluster_biosynthesis</v>
      </c>
      <c r="D510" s="9" t="s">
        <v>17</v>
      </c>
      <c r="E510" s="8" t="s">
        <v>1550</v>
      </c>
      <c r="F510" s="8" t="s">
        <v>1551</v>
      </c>
    </row>
    <row r="511" spans="1:6" x14ac:dyDescent="0.15">
      <c r="A511" s="8" t="s">
        <v>1552</v>
      </c>
      <c r="B511" s="8" t="s">
        <v>157</v>
      </c>
      <c r="C511" s="8" t="str">
        <f t="shared" si="12"/>
        <v>att_mitocarta_pathway:fe_s_containing_proteins</v>
      </c>
      <c r="D511" s="9" t="s">
        <v>17</v>
      </c>
      <c r="E511" s="8" t="s">
        <v>1553</v>
      </c>
      <c r="F511" s="8" t="s">
        <v>1554</v>
      </c>
    </row>
    <row r="512" spans="1:6" x14ac:dyDescent="0.15">
      <c r="A512" s="8" t="s">
        <v>1555</v>
      </c>
      <c r="B512" s="8" t="s">
        <v>157</v>
      </c>
      <c r="C512" s="8" t="str">
        <f t="shared" si="12"/>
        <v>att_mitocarta_pathway:fission</v>
      </c>
      <c r="D512" s="9" t="s">
        <v>17</v>
      </c>
      <c r="E512" s="8" t="s">
        <v>1556</v>
      </c>
      <c r="F512" s="8" t="s">
        <v>1557</v>
      </c>
    </row>
    <row r="513" spans="1:6" x14ac:dyDescent="0.15">
      <c r="A513" s="8" t="s">
        <v>1558</v>
      </c>
      <c r="B513" s="8" t="s">
        <v>157</v>
      </c>
      <c r="C513" s="8" t="str">
        <f t="shared" si="12"/>
        <v>att_mitocarta_pathway:fmet_processing</v>
      </c>
      <c r="D513" s="9" t="s">
        <v>17</v>
      </c>
      <c r="E513" s="8" t="s">
        <v>1559</v>
      </c>
      <c r="F513" s="8" t="s">
        <v>1560</v>
      </c>
    </row>
    <row r="514" spans="1:6" x14ac:dyDescent="0.15">
      <c r="A514" s="8" t="s">
        <v>1561</v>
      </c>
      <c r="B514" s="8" t="s">
        <v>157</v>
      </c>
      <c r="C514" s="8" t="str">
        <f t="shared" si="12"/>
        <v>att_mitocarta_pathway:folate_and_1_c_metabolism</v>
      </c>
      <c r="D514" s="9" t="s">
        <v>17</v>
      </c>
      <c r="E514" s="8" t="s">
        <v>1562</v>
      </c>
      <c r="F514" s="8" t="s">
        <v>1563</v>
      </c>
    </row>
    <row r="515" spans="1:6" x14ac:dyDescent="0.15">
      <c r="A515" s="8" t="s">
        <v>1564</v>
      </c>
      <c r="B515" s="8" t="s">
        <v>157</v>
      </c>
      <c r="C515" s="8" t="str">
        <f t="shared" si="12"/>
        <v>att_mitocarta_pathway:fusion</v>
      </c>
      <c r="D515" s="9" t="s">
        <v>17</v>
      </c>
      <c r="E515" s="8" t="s">
        <v>1565</v>
      </c>
      <c r="F515" s="8" t="s">
        <v>1566</v>
      </c>
    </row>
    <row r="516" spans="1:6" x14ac:dyDescent="0.15">
      <c r="A516" s="8" t="s">
        <v>1567</v>
      </c>
      <c r="B516" s="8" t="s">
        <v>157</v>
      </c>
      <c r="C516" s="8" t="str">
        <f t="shared" si="12"/>
        <v>att_mitocarta_pathway:gaba_metabolism</v>
      </c>
      <c r="D516" s="9" t="s">
        <v>17</v>
      </c>
      <c r="E516" s="8" t="s">
        <v>1568</v>
      </c>
      <c r="F516" s="8" t="s">
        <v>1569</v>
      </c>
    </row>
    <row r="517" spans="1:6" x14ac:dyDescent="0.15">
      <c r="A517" s="8" t="s">
        <v>1570</v>
      </c>
      <c r="B517" s="8" t="s">
        <v>157</v>
      </c>
      <c r="C517" s="8" t="str">
        <f t="shared" si="12"/>
        <v>att_mitocarta_pathway:gluconeogenesis</v>
      </c>
      <c r="D517" s="9" t="s">
        <v>17</v>
      </c>
      <c r="E517" s="8" t="s">
        <v>1571</v>
      </c>
      <c r="F517" s="8" t="s">
        <v>1572</v>
      </c>
    </row>
    <row r="518" spans="1:6" x14ac:dyDescent="0.15">
      <c r="A518" s="8" t="s">
        <v>1573</v>
      </c>
      <c r="B518" s="8" t="s">
        <v>157</v>
      </c>
      <c r="C518" s="8" t="str">
        <f t="shared" si="12"/>
        <v>att_mitocarta_pathway:glutamate_metabolism</v>
      </c>
      <c r="D518" s="9" t="s">
        <v>17</v>
      </c>
      <c r="E518" s="8" t="s">
        <v>1574</v>
      </c>
      <c r="F518" s="8" t="s">
        <v>1575</v>
      </c>
    </row>
    <row r="519" spans="1:6" x14ac:dyDescent="0.15">
      <c r="A519" s="8" t="s">
        <v>1576</v>
      </c>
      <c r="B519" s="8" t="s">
        <v>157</v>
      </c>
      <c r="C519" s="8" t="str">
        <f t="shared" si="12"/>
        <v>att_mitocarta_pathway:glycerol_phosphate_shuttle</v>
      </c>
      <c r="D519" s="9" t="s">
        <v>17</v>
      </c>
      <c r="E519" s="8" t="s">
        <v>1577</v>
      </c>
      <c r="F519" s="8" t="s">
        <v>1578</v>
      </c>
    </row>
    <row r="520" spans="1:6" x14ac:dyDescent="0.15">
      <c r="A520" s="8" t="s">
        <v>1579</v>
      </c>
      <c r="B520" s="8" t="s">
        <v>157</v>
      </c>
      <c r="C520" s="8" t="str">
        <f t="shared" si="12"/>
        <v>att_mitocarta_pathway:glycine_cleavage_system</v>
      </c>
      <c r="D520" s="9" t="s">
        <v>17</v>
      </c>
      <c r="E520" s="8" t="s">
        <v>1580</v>
      </c>
      <c r="F520" s="8" t="s">
        <v>1581</v>
      </c>
    </row>
    <row r="521" spans="1:6" x14ac:dyDescent="0.15">
      <c r="A521" s="8" t="s">
        <v>1582</v>
      </c>
      <c r="B521" s="8" t="s">
        <v>157</v>
      </c>
      <c r="C521" s="8" t="str">
        <f t="shared" si="12"/>
        <v>att_mitocarta_pathway:glycine_metabolism</v>
      </c>
      <c r="D521" s="9" t="s">
        <v>17</v>
      </c>
      <c r="E521" s="8" t="s">
        <v>1583</v>
      </c>
      <c r="F521" s="8" t="s">
        <v>1584</v>
      </c>
    </row>
    <row r="522" spans="1:6" x14ac:dyDescent="0.15">
      <c r="A522" s="8" t="s">
        <v>1585</v>
      </c>
      <c r="B522" s="8" t="s">
        <v>157</v>
      </c>
      <c r="C522" s="8" t="str">
        <f t="shared" si="12"/>
        <v>att_mitocarta_pathway:glyoxylate_metabolism</v>
      </c>
      <c r="D522" s="9" t="s">
        <v>17</v>
      </c>
      <c r="E522" s="8" t="s">
        <v>1586</v>
      </c>
      <c r="F522" s="8" t="s">
        <v>1587</v>
      </c>
    </row>
    <row r="523" spans="1:6" x14ac:dyDescent="0.15">
      <c r="A523" s="8" t="s">
        <v>1588</v>
      </c>
      <c r="B523" s="8" t="s">
        <v>157</v>
      </c>
      <c r="C523" s="8" t="str">
        <f t="shared" si="12"/>
        <v>att_mitocarta_pathway:heme_containing_proteins</v>
      </c>
      <c r="D523" s="9" t="s">
        <v>17</v>
      </c>
      <c r="E523" s="8" t="s">
        <v>1589</v>
      </c>
      <c r="F523" s="8" t="s">
        <v>1590</v>
      </c>
    </row>
    <row r="524" spans="1:6" x14ac:dyDescent="0.15">
      <c r="A524" s="8" t="s">
        <v>1591</v>
      </c>
      <c r="B524" s="8" t="s">
        <v>157</v>
      </c>
      <c r="C524" s="8" t="str">
        <f t="shared" si="12"/>
        <v>att_mitocarta_pathway:heme_synthesis_and_processing</v>
      </c>
      <c r="D524" s="9" t="s">
        <v>17</v>
      </c>
      <c r="E524" s="8" t="s">
        <v>1592</v>
      </c>
      <c r="F524" s="8" t="s">
        <v>1593</v>
      </c>
    </row>
    <row r="525" spans="1:6" x14ac:dyDescent="0.15">
      <c r="A525" s="8" t="s">
        <v>1594</v>
      </c>
      <c r="B525" s="8" t="s">
        <v>157</v>
      </c>
      <c r="C525" s="8" t="str">
        <f t="shared" si="12"/>
        <v>att_mitocarta_pathway:immune_response</v>
      </c>
      <c r="D525" s="9" t="s">
        <v>17</v>
      </c>
      <c r="E525" s="8" t="s">
        <v>1595</v>
      </c>
      <c r="F525" s="8" t="s">
        <v>1596</v>
      </c>
    </row>
    <row r="526" spans="1:6" x14ac:dyDescent="0.15">
      <c r="A526" s="8" t="s">
        <v>1597</v>
      </c>
      <c r="B526" s="8" t="s">
        <v>157</v>
      </c>
      <c r="C526" s="8" t="str">
        <f t="shared" si="12"/>
        <v>att_mitocarta_pathway:import_motor</v>
      </c>
      <c r="D526" s="9" t="s">
        <v>17</v>
      </c>
      <c r="E526" s="8" t="s">
        <v>1598</v>
      </c>
      <c r="F526" s="8" t="s">
        <v>1599</v>
      </c>
    </row>
    <row r="527" spans="1:6" x14ac:dyDescent="0.15">
      <c r="A527" s="8" t="s">
        <v>1600</v>
      </c>
      <c r="B527" s="8" t="s">
        <v>157</v>
      </c>
      <c r="C527" s="8" t="str">
        <f t="shared" si="12"/>
        <v>att_mitocarta_pathway:intramitochondrial_membrane_interactions</v>
      </c>
      <c r="D527" s="9" t="s">
        <v>17</v>
      </c>
      <c r="E527" s="8" t="s">
        <v>1601</v>
      </c>
      <c r="F527" s="8" t="s">
        <v>1602</v>
      </c>
    </row>
    <row r="528" spans="1:6" x14ac:dyDescent="0.15">
      <c r="A528" s="8" t="s">
        <v>1603</v>
      </c>
      <c r="B528" s="8" t="s">
        <v>157</v>
      </c>
      <c r="C528" s="8" t="str">
        <f t="shared" si="12"/>
        <v>att_mitocarta_pathway:iron_homeostasis</v>
      </c>
      <c r="D528" s="9" t="s">
        <v>17</v>
      </c>
      <c r="E528" s="8" t="s">
        <v>1604</v>
      </c>
      <c r="F528" s="8" t="s">
        <v>1605</v>
      </c>
    </row>
    <row r="529" spans="1:6" x14ac:dyDescent="0.15">
      <c r="A529" s="8" t="s">
        <v>1606</v>
      </c>
      <c r="B529" s="8" t="s">
        <v>157</v>
      </c>
      <c r="C529" s="8" t="str">
        <f t="shared" si="12"/>
        <v>att_mitocarta_pathway:itaconate_metabolism</v>
      </c>
      <c r="D529" s="9" t="s">
        <v>17</v>
      </c>
      <c r="E529" s="8" t="s">
        <v>1607</v>
      </c>
      <c r="F529" s="8" t="s">
        <v>1608</v>
      </c>
    </row>
    <row r="530" spans="1:6" x14ac:dyDescent="0.15">
      <c r="A530" s="8" t="s">
        <v>1609</v>
      </c>
      <c r="B530" s="8" t="s">
        <v>157</v>
      </c>
      <c r="C530" s="8" t="str">
        <f t="shared" si="12"/>
        <v>att_mitocarta_pathway:ketone_metabolism</v>
      </c>
      <c r="D530" s="9" t="s">
        <v>17</v>
      </c>
      <c r="E530" s="8" t="s">
        <v>1610</v>
      </c>
      <c r="F530" s="8" t="s">
        <v>1611</v>
      </c>
    </row>
    <row r="531" spans="1:6" x14ac:dyDescent="0.15">
      <c r="A531" s="8" t="s">
        <v>1612</v>
      </c>
      <c r="B531" s="8" t="s">
        <v>157</v>
      </c>
      <c r="C531" s="8" t="str">
        <f t="shared" si="12"/>
        <v>att_mitocarta_pathway:kynurenine_metabolism</v>
      </c>
      <c r="D531" s="9" t="s">
        <v>17</v>
      </c>
      <c r="E531" s="8" t="s">
        <v>1613</v>
      </c>
      <c r="F531" s="8" t="s">
        <v>1614</v>
      </c>
    </row>
    <row r="532" spans="1:6" x14ac:dyDescent="0.15">
      <c r="A532" s="8" t="s">
        <v>1615</v>
      </c>
      <c r="B532" s="8" t="s">
        <v>157</v>
      </c>
      <c r="C532" s="8" t="str">
        <f t="shared" si="12"/>
        <v>att_mitocarta_pathway:lipid_metabolism</v>
      </c>
      <c r="D532" s="9" t="s">
        <v>17</v>
      </c>
      <c r="E532" s="8" t="s">
        <v>1616</v>
      </c>
      <c r="F532" s="8" t="s">
        <v>1617</v>
      </c>
    </row>
    <row r="533" spans="1:6" x14ac:dyDescent="0.15">
      <c r="A533" s="8" t="s">
        <v>1618</v>
      </c>
      <c r="B533" s="8" t="s">
        <v>157</v>
      </c>
      <c r="C533" s="8" t="str">
        <f t="shared" si="12"/>
        <v>att_mitocarta_pathway:lipoate_insertion</v>
      </c>
      <c r="D533" s="9" t="s">
        <v>17</v>
      </c>
      <c r="E533" s="8" t="s">
        <v>1619</v>
      </c>
      <c r="F533" s="8" t="s">
        <v>1620</v>
      </c>
    </row>
    <row r="534" spans="1:6" x14ac:dyDescent="0.15">
      <c r="A534" s="8" t="s">
        <v>1621</v>
      </c>
      <c r="B534" s="8" t="s">
        <v>157</v>
      </c>
      <c r="C534" s="8" t="str">
        <f t="shared" si="12"/>
        <v>att_mitocarta_pathway:lysine_metabolism</v>
      </c>
      <c r="D534" s="9" t="s">
        <v>17</v>
      </c>
      <c r="E534" s="8" t="s">
        <v>1622</v>
      </c>
      <c r="F534" s="8" t="s">
        <v>1623</v>
      </c>
    </row>
    <row r="535" spans="1:6" x14ac:dyDescent="0.15">
      <c r="A535" s="8" t="s">
        <v>1624</v>
      </c>
      <c r="B535" s="8" t="s">
        <v>157</v>
      </c>
      <c r="C535" s="8" t="str">
        <f t="shared" si="12"/>
        <v>att_mitocarta_pathway:malate_aspartate_shuttle</v>
      </c>
      <c r="D535" s="9" t="s">
        <v>17</v>
      </c>
      <c r="E535" s="8" t="s">
        <v>1625</v>
      </c>
      <c r="F535" s="8" t="s">
        <v>1626</v>
      </c>
    </row>
    <row r="536" spans="1:6" x14ac:dyDescent="0.15">
      <c r="A536" s="8" t="s">
        <v>1627</v>
      </c>
      <c r="B536" s="8" t="s">
        <v>157</v>
      </c>
      <c r="C536" s="8" t="str">
        <f t="shared" si="12"/>
        <v>att_mitocarta_pathway:metabolism</v>
      </c>
      <c r="D536" s="9" t="s">
        <v>17</v>
      </c>
      <c r="E536" s="8" t="s">
        <v>1628</v>
      </c>
      <c r="F536" s="8" t="s">
        <v>1628</v>
      </c>
    </row>
    <row r="537" spans="1:6" x14ac:dyDescent="0.15">
      <c r="A537" s="8" t="s">
        <v>1629</v>
      </c>
      <c r="B537" s="8" t="s">
        <v>157</v>
      </c>
      <c r="C537" s="8" t="str">
        <f t="shared" si="12"/>
        <v>att_mitocarta_pathway:metals_and_cofactors</v>
      </c>
      <c r="D537" s="9" t="s">
        <v>17</v>
      </c>
      <c r="E537" s="8" t="s">
        <v>1630</v>
      </c>
      <c r="F537" s="8" t="s">
        <v>1631</v>
      </c>
    </row>
    <row r="538" spans="1:6" x14ac:dyDescent="0.15">
      <c r="A538" s="8" t="s">
        <v>1632</v>
      </c>
      <c r="B538" s="8" t="s">
        <v>157</v>
      </c>
      <c r="C538" s="8" t="str">
        <f t="shared" si="12"/>
        <v>att_mitocarta_pathway:mia40</v>
      </c>
      <c r="D538" s="9" t="s">
        <v>17</v>
      </c>
      <c r="E538" s="8" t="s">
        <v>1633</v>
      </c>
      <c r="F538" s="8" t="s">
        <v>1634</v>
      </c>
    </row>
    <row r="539" spans="1:6" x14ac:dyDescent="0.15">
      <c r="A539" s="8" t="s">
        <v>1635</v>
      </c>
      <c r="B539" s="8" t="s">
        <v>157</v>
      </c>
      <c r="C539" s="8" t="str">
        <f t="shared" si="12"/>
        <v>att_mitocarta_pathway:micos_complex</v>
      </c>
      <c r="D539" s="9" t="s">
        <v>17</v>
      </c>
      <c r="E539" s="8" t="s">
        <v>1636</v>
      </c>
      <c r="F539" s="8" t="s">
        <v>1637</v>
      </c>
    </row>
    <row r="540" spans="1:6" x14ac:dyDescent="0.15">
      <c r="A540" s="8" t="s">
        <v>1638</v>
      </c>
      <c r="B540" s="8" t="s">
        <v>157</v>
      </c>
      <c r="C540" s="8" t="str">
        <f t="shared" si="12"/>
        <v>att_mitocarta_pathway:mitochondrial_dynamics_and_surveillance</v>
      </c>
      <c r="D540" s="9" t="s">
        <v>17</v>
      </c>
      <c r="E540" s="8" t="s">
        <v>1639</v>
      </c>
      <c r="F540" s="8" t="s">
        <v>1639</v>
      </c>
    </row>
    <row r="541" spans="1:6" x14ac:dyDescent="0.15">
      <c r="A541" s="8" t="s">
        <v>1640</v>
      </c>
      <c r="B541" s="8" t="s">
        <v>157</v>
      </c>
      <c r="C541" s="8" t="str">
        <f t="shared" si="12"/>
        <v>att_mitocarta_pathway:mitochondrial_permeability_transition_pore</v>
      </c>
      <c r="D541" s="9" t="s">
        <v>17</v>
      </c>
      <c r="E541" s="8" t="s">
        <v>1641</v>
      </c>
      <c r="F541" s="8" t="s">
        <v>1642</v>
      </c>
    </row>
    <row r="542" spans="1:6" x14ac:dyDescent="0.15">
      <c r="A542" s="8" t="s">
        <v>1643</v>
      </c>
      <c r="B542" s="8" t="s">
        <v>157</v>
      </c>
      <c r="C542" s="8" t="str">
        <f t="shared" si="12"/>
        <v>att_mitocarta_pathway:mitochondrial_ribosome</v>
      </c>
      <c r="D542" s="9" t="s">
        <v>17</v>
      </c>
      <c r="E542" s="8" t="s">
        <v>1644</v>
      </c>
      <c r="F542" s="8" t="s">
        <v>1645</v>
      </c>
    </row>
    <row r="543" spans="1:6" x14ac:dyDescent="0.15">
      <c r="A543" s="8" t="s">
        <v>1646</v>
      </c>
      <c r="B543" s="8" t="s">
        <v>157</v>
      </c>
      <c r="C543" s="8" t="str">
        <f t="shared" si="12"/>
        <v>att_mitocarta_pathway:mitochondrial_ribosome_assembly</v>
      </c>
      <c r="D543" s="9" t="s">
        <v>17</v>
      </c>
      <c r="E543" s="8" t="s">
        <v>1647</v>
      </c>
      <c r="F543" s="8" t="s">
        <v>1648</v>
      </c>
    </row>
    <row r="544" spans="1:6" x14ac:dyDescent="0.15">
      <c r="A544" s="8" t="s">
        <v>1649</v>
      </c>
      <c r="B544" s="8" t="s">
        <v>157</v>
      </c>
      <c r="C544" s="8" t="str">
        <f t="shared" si="12"/>
        <v>att_mitocarta_pathway:mitophagy</v>
      </c>
      <c r="D544" s="9" t="s">
        <v>17</v>
      </c>
      <c r="E544" s="8" t="s">
        <v>1650</v>
      </c>
      <c r="F544" s="8" t="s">
        <v>1651</v>
      </c>
    </row>
    <row r="545" spans="1:6" x14ac:dyDescent="0.15">
      <c r="A545" s="8" t="s">
        <v>1652</v>
      </c>
      <c r="B545" s="8" t="s">
        <v>157</v>
      </c>
      <c r="C545" s="8" t="str">
        <f t="shared" si="12"/>
        <v>att_mitocarta_pathway:molybdenum_cofactor_synthesis_and_proteins</v>
      </c>
      <c r="D545" s="9" t="s">
        <v>17</v>
      </c>
      <c r="E545" s="8" t="s">
        <v>1653</v>
      </c>
      <c r="F545" s="8" t="s">
        <v>1654</v>
      </c>
    </row>
    <row r="546" spans="1:6" x14ac:dyDescent="0.15">
      <c r="A546" s="8" t="s">
        <v>1655</v>
      </c>
      <c r="B546" s="8" t="s">
        <v>157</v>
      </c>
      <c r="C546" s="8" t="str">
        <f t="shared" si="12"/>
        <v>att_mitocarta_pathway:mt_mrna_modifications</v>
      </c>
      <c r="D546" s="9" t="s">
        <v>17</v>
      </c>
      <c r="E546" s="8" t="s">
        <v>1656</v>
      </c>
      <c r="F546" s="8" t="s">
        <v>1657</v>
      </c>
    </row>
    <row r="547" spans="1:6" x14ac:dyDescent="0.15">
      <c r="A547" s="8" t="s">
        <v>1658</v>
      </c>
      <c r="B547" s="8" t="s">
        <v>157</v>
      </c>
      <c r="C547" s="8" t="str">
        <f t="shared" si="12"/>
        <v>att_mitocarta_pathway:mt_rrna_modifications</v>
      </c>
      <c r="D547" s="9" t="s">
        <v>17</v>
      </c>
      <c r="E547" s="8" t="s">
        <v>1659</v>
      </c>
      <c r="F547" s="8" t="s">
        <v>1660</v>
      </c>
    </row>
    <row r="548" spans="1:6" x14ac:dyDescent="0.15">
      <c r="A548" s="8" t="s">
        <v>1661</v>
      </c>
      <c r="B548" s="8" t="s">
        <v>157</v>
      </c>
      <c r="C548" s="8" t="str">
        <f t="shared" si="12"/>
        <v>att_mitocarta_pathway:mt_trna_modifications</v>
      </c>
      <c r="D548" s="9" t="s">
        <v>17</v>
      </c>
      <c r="E548" s="8" t="s">
        <v>1662</v>
      </c>
      <c r="F548" s="8" t="s">
        <v>1663</v>
      </c>
    </row>
    <row r="549" spans="1:6" x14ac:dyDescent="0.15">
      <c r="A549" s="8" t="s">
        <v>1664</v>
      </c>
      <c r="B549" s="8" t="s">
        <v>157</v>
      </c>
      <c r="C549" s="8" t="str">
        <f t="shared" si="12"/>
        <v>att_mitocarta_pathway:mt_trna_synthetases</v>
      </c>
      <c r="D549" s="9" t="s">
        <v>17</v>
      </c>
      <c r="E549" s="8" t="s">
        <v>1665</v>
      </c>
      <c r="F549" s="8" t="s">
        <v>1666</v>
      </c>
    </row>
    <row r="550" spans="1:6" x14ac:dyDescent="0.15">
      <c r="A550" s="8" t="s">
        <v>1667</v>
      </c>
      <c r="B550" s="8" t="s">
        <v>157</v>
      </c>
      <c r="C550" s="8" t="str">
        <f t="shared" si="12"/>
        <v>att_mitocarta_pathway:mtdna_maintenance</v>
      </c>
      <c r="D550" s="9" t="s">
        <v>17</v>
      </c>
      <c r="E550" s="8" t="s">
        <v>1668</v>
      </c>
      <c r="F550" s="8" t="s">
        <v>1669</v>
      </c>
    </row>
    <row r="551" spans="1:6" x14ac:dyDescent="0.15">
      <c r="A551" s="8" t="s">
        <v>1670</v>
      </c>
      <c r="B551" s="8" t="s">
        <v>157</v>
      </c>
      <c r="C551" s="8" t="str">
        <f t="shared" si="12"/>
        <v>att_mitocarta_pathway:mtdna_modifications</v>
      </c>
      <c r="D551" s="9" t="s">
        <v>17</v>
      </c>
      <c r="E551" s="8" t="s">
        <v>1671</v>
      </c>
      <c r="F551" s="8" t="s">
        <v>1672</v>
      </c>
    </row>
    <row r="552" spans="1:6" x14ac:dyDescent="0.15">
      <c r="A552" s="8" t="s">
        <v>1673</v>
      </c>
      <c r="B552" s="8" t="s">
        <v>157</v>
      </c>
      <c r="C552" s="8" t="str">
        <f t="shared" si="12"/>
        <v>att_mitocarta_pathway:mtdna_nucleoid</v>
      </c>
      <c r="D552" s="9" t="s">
        <v>17</v>
      </c>
      <c r="E552" s="8" t="s">
        <v>1674</v>
      </c>
      <c r="F552" s="8" t="s">
        <v>1675</v>
      </c>
    </row>
    <row r="553" spans="1:6" x14ac:dyDescent="0.15">
      <c r="A553" s="8" t="s">
        <v>1676</v>
      </c>
      <c r="B553" s="8" t="s">
        <v>157</v>
      </c>
      <c r="C553" s="8" t="str">
        <f t="shared" si="12"/>
        <v>att_mitocarta_pathway:mtdna_repair</v>
      </c>
      <c r="D553" s="9" t="s">
        <v>17</v>
      </c>
      <c r="E553" s="8" t="s">
        <v>1677</v>
      </c>
      <c r="F553" s="8" t="s">
        <v>1678</v>
      </c>
    </row>
    <row r="554" spans="1:6" x14ac:dyDescent="0.15">
      <c r="A554" s="8" t="s">
        <v>1679</v>
      </c>
      <c r="B554" s="8" t="s">
        <v>157</v>
      </c>
      <c r="C554" s="8" t="str">
        <f t="shared" si="12"/>
        <v>att_mitocarta_pathway:mtdna_replication</v>
      </c>
      <c r="D554" s="9" t="s">
        <v>17</v>
      </c>
      <c r="E554" s="8" t="s">
        <v>1680</v>
      </c>
      <c r="F554" s="8" t="s">
        <v>1681</v>
      </c>
    </row>
    <row r="555" spans="1:6" x14ac:dyDescent="0.15">
      <c r="A555" s="8" t="s">
        <v>1682</v>
      </c>
      <c r="B555" s="8" t="s">
        <v>157</v>
      </c>
      <c r="C555" s="8" t="str">
        <f t="shared" ref="C555:C618" si="13">B555&amp;":"&amp;A555</f>
        <v>att_mitocarta_pathway:mtdna_stability_and_decay</v>
      </c>
      <c r="D555" s="9" t="s">
        <v>17</v>
      </c>
      <c r="E555" s="8" t="s">
        <v>1683</v>
      </c>
      <c r="F555" s="8" t="s">
        <v>1684</v>
      </c>
    </row>
    <row r="556" spans="1:6" x14ac:dyDescent="0.15">
      <c r="A556" s="8" t="s">
        <v>1685</v>
      </c>
      <c r="B556" s="8" t="s">
        <v>157</v>
      </c>
      <c r="C556" s="8" t="str">
        <f t="shared" si="13"/>
        <v>att_mitocarta_pathway:mtrna_granules</v>
      </c>
      <c r="D556" s="9" t="s">
        <v>17</v>
      </c>
      <c r="E556" s="8" t="s">
        <v>1686</v>
      </c>
      <c r="F556" s="8" t="s">
        <v>1687</v>
      </c>
    </row>
    <row r="557" spans="1:6" x14ac:dyDescent="0.15">
      <c r="A557" s="8" t="s">
        <v>1688</v>
      </c>
      <c r="B557" s="8" t="s">
        <v>157</v>
      </c>
      <c r="C557" s="8" t="str">
        <f t="shared" si="13"/>
        <v>att_mitocarta_pathway:mtrna_metabolism</v>
      </c>
      <c r="D557" s="9" t="s">
        <v>17</v>
      </c>
      <c r="E557" s="8" t="s">
        <v>1689</v>
      </c>
      <c r="F557" s="8" t="s">
        <v>1690</v>
      </c>
    </row>
    <row r="558" spans="1:6" x14ac:dyDescent="0.15">
      <c r="A558" s="8" t="s">
        <v>1691</v>
      </c>
      <c r="B558" s="8" t="s">
        <v>157</v>
      </c>
      <c r="C558" s="8" t="str">
        <f t="shared" si="13"/>
        <v>att_mitocarta_pathway:mtrna_stability_and_decay</v>
      </c>
      <c r="D558" s="9" t="s">
        <v>17</v>
      </c>
      <c r="E558" s="8" t="s">
        <v>1692</v>
      </c>
      <c r="F558" s="8" t="s">
        <v>1693</v>
      </c>
    </row>
    <row r="559" spans="1:6" x14ac:dyDescent="0.15">
      <c r="A559" s="8" t="s">
        <v>1694</v>
      </c>
      <c r="B559" s="8" t="s">
        <v>157</v>
      </c>
      <c r="C559" s="8" t="str">
        <f t="shared" si="13"/>
        <v>att_mitocarta_pathway:nad_biosynthesis_and_metabolism</v>
      </c>
      <c r="D559" s="9" t="s">
        <v>17</v>
      </c>
      <c r="E559" s="8" t="s">
        <v>1695</v>
      </c>
      <c r="F559" s="8" t="s">
        <v>1696</v>
      </c>
    </row>
    <row r="560" spans="1:6" x14ac:dyDescent="0.15">
      <c r="A560" s="8" t="s">
        <v>1697</v>
      </c>
      <c r="B560" s="8" t="s">
        <v>157</v>
      </c>
      <c r="C560" s="8" t="str">
        <f t="shared" si="13"/>
        <v>att_mitocarta_pathway:nucleotide_import</v>
      </c>
      <c r="D560" s="9" t="s">
        <v>17</v>
      </c>
      <c r="E560" s="8" t="s">
        <v>1698</v>
      </c>
      <c r="F560" s="8" t="s">
        <v>1699</v>
      </c>
    </row>
    <row r="561" spans="1:6" x14ac:dyDescent="0.15">
      <c r="A561" s="8" t="s">
        <v>1700</v>
      </c>
      <c r="B561" s="8" t="s">
        <v>157</v>
      </c>
      <c r="C561" s="8" t="str">
        <f t="shared" si="13"/>
        <v>att_mitocarta_pathway:nucleotide_metabolism</v>
      </c>
      <c r="D561" s="9" t="s">
        <v>17</v>
      </c>
      <c r="E561" s="8" t="s">
        <v>1701</v>
      </c>
      <c r="F561" s="8" t="s">
        <v>1702</v>
      </c>
    </row>
    <row r="562" spans="1:6" x14ac:dyDescent="0.15">
      <c r="A562" s="8" t="s">
        <v>1703</v>
      </c>
      <c r="B562" s="8" t="s">
        <v>157</v>
      </c>
      <c r="C562" s="8" t="str">
        <f t="shared" si="13"/>
        <v>att_mitocarta_pathway:nucleotide_synthesis_and_processing</v>
      </c>
      <c r="D562" s="9" t="s">
        <v>17</v>
      </c>
      <c r="E562" s="8" t="s">
        <v>1704</v>
      </c>
      <c r="F562" s="8" t="s">
        <v>1705</v>
      </c>
    </row>
    <row r="563" spans="1:6" x14ac:dyDescent="0.15">
      <c r="A563" s="8" t="s">
        <v>1706</v>
      </c>
      <c r="B563" s="8" t="s">
        <v>157</v>
      </c>
      <c r="C563" s="8" t="str">
        <f t="shared" si="13"/>
        <v>att_mitocarta_pathway:organelle_contact_sites</v>
      </c>
      <c r="D563" s="9" t="s">
        <v>17</v>
      </c>
      <c r="E563" s="8" t="s">
        <v>1707</v>
      </c>
      <c r="F563" s="8" t="s">
        <v>1708</v>
      </c>
    </row>
    <row r="564" spans="1:6" x14ac:dyDescent="0.15">
      <c r="A564" s="8" t="s">
        <v>1709</v>
      </c>
      <c r="B564" s="8" t="s">
        <v>157</v>
      </c>
      <c r="C564" s="8" t="str">
        <f t="shared" si="13"/>
        <v>att_mitocarta_pathway:oxa</v>
      </c>
      <c r="D564" s="9" t="s">
        <v>17</v>
      </c>
      <c r="E564" s="8" t="s">
        <v>1710</v>
      </c>
      <c r="F564" s="8" t="s">
        <v>1711</v>
      </c>
    </row>
    <row r="565" spans="1:6" x14ac:dyDescent="0.15">
      <c r="A565" s="8" t="s">
        <v>1712</v>
      </c>
      <c r="B565" s="8" t="s">
        <v>157</v>
      </c>
      <c r="C565" s="8" t="str">
        <f t="shared" si="13"/>
        <v>att_mitocarta_pathway:oxphos</v>
      </c>
      <c r="D565" s="9" t="s">
        <v>17</v>
      </c>
      <c r="E565" s="8" t="s">
        <v>1713</v>
      </c>
      <c r="F565" s="8" t="s">
        <v>1713</v>
      </c>
    </row>
    <row r="566" spans="1:6" x14ac:dyDescent="0.15">
      <c r="A566" s="8" t="s">
        <v>1714</v>
      </c>
      <c r="B566" s="8" t="s">
        <v>157</v>
      </c>
      <c r="C566" s="8" t="str">
        <f t="shared" si="13"/>
        <v>att_mitocarta_pathway:oxphos_assembly_factors</v>
      </c>
      <c r="D566" s="9" t="s">
        <v>17</v>
      </c>
      <c r="E566" s="8" t="s">
        <v>1715</v>
      </c>
      <c r="F566" s="8" t="s">
        <v>1716</v>
      </c>
    </row>
    <row r="567" spans="1:6" x14ac:dyDescent="0.15">
      <c r="A567" s="8" t="s">
        <v>1717</v>
      </c>
      <c r="B567" s="8" t="s">
        <v>157</v>
      </c>
      <c r="C567" s="8" t="str">
        <f t="shared" si="13"/>
        <v>att_mitocarta_pathway:oxphos_subunits</v>
      </c>
      <c r="D567" s="9" t="s">
        <v>17</v>
      </c>
      <c r="E567" s="8" t="s">
        <v>1718</v>
      </c>
      <c r="F567" s="8" t="s">
        <v>1719</v>
      </c>
    </row>
    <row r="568" spans="1:6" x14ac:dyDescent="0.15">
      <c r="A568" s="8" t="s">
        <v>1720</v>
      </c>
      <c r="B568" s="8" t="s">
        <v>157</v>
      </c>
      <c r="C568" s="8" t="str">
        <f t="shared" si="13"/>
        <v>att_mitocarta_pathway:phospholipid_metabolism</v>
      </c>
      <c r="D568" s="9" t="s">
        <v>17</v>
      </c>
      <c r="E568" s="8" t="s">
        <v>1721</v>
      </c>
      <c r="F568" s="8" t="s">
        <v>1722</v>
      </c>
    </row>
    <row r="569" spans="1:6" x14ac:dyDescent="0.15">
      <c r="A569" s="8" t="s">
        <v>1723</v>
      </c>
      <c r="B569" s="8" t="s">
        <v>157</v>
      </c>
      <c r="C569" s="8" t="str">
        <f t="shared" si="13"/>
        <v>att_mitocarta_pathway:polycistronic_mtrna_processing</v>
      </c>
      <c r="D569" s="9" t="s">
        <v>17</v>
      </c>
      <c r="E569" s="8" t="s">
        <v>1724</v>
      </c>
      <c r="F569" s="8" t="s">
        <v>1725</v>
      </c>
    </row>
    <row r="570" spans="1:6" x14ac:dyDescent="0.15">
      <c r="A570" s="8" t="s">
        <v>1726</v>
      </c>
      <c r="B570" s="8" t="s">
        <v>157</v>
      </c>
      <c r="C570" s="8" t="str">
        <f t="shared" si="13"/>
        <v>att_mitocarta_pathway:preprotein_cleavage</v>
      </c>
      <c r="D570" s="9" t="s">
        <v>17</v>
      </c>
      <c r="E570" s="8" t="s">
        <v>1727</v>
      </c>
      <c r="F570" s="8" t="s">
        <v>1728</v>
      </c>
    </row>
    <row r="571" spans="1:6" x14ac:dyDescent="0.15">
      <c r="A571" s="8" t="s">
        <v>1729</v>
      </c>
      <c r="B571" s="8" t="s">
        <v>157</v>
      </c>
      <c r="C571" s="8" t="str">
        <f t="shared" si="13"/>
        <v>att_mitocarta_pathway:proline_metabolism</v>
      </c>
      <c r="D571" s="9" t="s">
        <v>17</v>
      </c>
      <c r="E571" s="8" t="s">
        <v>1730</v>
      </c>
      <c r="F571" s="8" t="s">
        <v>1731</v>
      </c>
    </row>
    <row r="572" spans="1:6" x14ac:dyDescent="0.15">
      <c r="A572" s="8" t="s">
        <v>1732</v>
      </c>
      <c r="B572" s="8" t="s">
        <v>157</v>
      </c>
      <c r="C572" s="8" t="str">
        <f t="shared" si="13"/>
        <v>att_mitocarta_pathway:propanoate_metabolism</v>
      </c>
      <c r="D572" s="9" t="s">
        <v>17</v>
      </c>
      <c r="E572" s="8" t="s">
        <v>1733</v>
      </c>
      <c r="F572" s="8" t="s">
        <v>1734</v>
      </c>
    </row>
    <row r="573" spans="1:6" x14ac:dyDescent="0.15">
      <c r="A573" s="8" t="s">
        <v>1735</v>
      </c>
      <c r="B573" s="8" t="s">
        <v>157</v>
      </c>
      <c r="C573" s="8" t="str">
        <f t="shared" si="13"/>
        <v>att_mitocarta_pathway:proteases</v>
      </c>
      <c r="D573" s="9" t="s">
        <v>17</v>
      </c>
      <c r="E573" s="8" t="s">
        <v>1736</v>
      </c>
      <c r="F573" s="8" t="s">
        <v>1737</v>
      </c>
    </row>
    <row r="574" spans="1:6" x14ac:dyDescent="0.15">
      <c r="A574" s="8" t="s">
        <v>1738</v>
      </c>
      <c r="B574" s="8" t="s">
        <v>157</v>
      </c>
      <c r="C574" s="8" t="str">
        <f t="shared" si="13"/>
        <v>att_mitocarta_pathway:protein_homeostasis</v>
      </c>
      <c r="D574" s="9" t="s">
        <v>17</v>
      </c>
      <c r="E574" s="8" t="s">
        <v>1739</v>
      </c>
      <c r="F574" s="8" t="s">
        <v>1740</v>
      </c>
    </row>
    <row r="575" spans="1:6" x14ac:dyDescent="0.15">
      <c r="A575" s="8" t="s">
        <v>1741</v>
      </c>
      <c r="B575" s="8" t="s">
        <v>157</v>
      </c>
      <c r="C575" s="8" t="str">
        <f t="shared" si="13"/>
        <v>att_mitocarta_pathway:protein_import_and_sorting</v>
      </c>
      <c r="D575" s="9" t="s">
        <v>17</v>
      </c>
      <c r="E575" s="8" t="s">
        <v>1742</v>
      </c>
      <c r="F575" s="8" t="s">
        <v>1743</v>
      </c>
    </row>
    <row r="576" spans="1:6" x14ac:dyDescent="0.15">
      <c r="A576" s="8" t="s">
        <v>1744</v>
      </c>
      <c r="B576" s="8" t="s">
        <v>157</v>
      </c>
      <c r="C576" s="8" t="str">
        <f t="shared" si="13"/>
        <v>att_mitocarta_pathway:pyruvate_metabolism</v>
      </c>
      <c r="D576" s="9" t="s">
        <v>17</v>
      </c>
      <c r="E576" s="8" t="s">
        <v>1745</v>
      </c>
      <c r="F576" s="8" t="s">
        <v>1746</v>
      </c>
    </row>
    <row r="577" spans="1:6" x14ac:dyDescent="0.15">
      <c r="A577" s="8" t="s">
        <v>1747</v>
      </c>
      <c r="B577" s="8" t="s">
        <v>157</v>
      </c>
      <c r="C577" s="8" t="str">
        <f t="shared" si="13"/>
        <v>att_mitocarta_pathway:respirasome_assembly</v>
      </c>
      <c r="D577" s="9" t="s">
        <v>17</v>
      </c>
      <c r="E577" s="8" t="s">
        <v>1748</v>
      </c>
      <c r="F577" s="8" t="s">
        <v>1749</v>
      </c>
    </row>
    <row r="578" spans="1:6" x14ac:dyDescent="0.15">
      <c r="A578" s="8" t="s">
        <v>1750</v>
      </c>
      <c r="B578" s="8" t="s">
        <v>157</v>
      </c>
      <c r="C578" s="8" t="str">
        <f t="shared" si="13"/>
        <v>att_mitocarta_pathway:ros_and_glutathione_metabolism</v>
      </c>
      <c r="D578" s="9" t="s">
        <v>17</v>
      </c>
      <c r="E578" s="8" t="s">
        <v>1751</v>
      </c>
      <c r="F578" s="8" t="s">
        <v>1752</v>
      </c>
    </row>
    <row r="579" spans="1:6" x14ac:dyDescent="0.15">
      <c r="A579" s="8" t="s">
        <v>1753</v>
      </c>
      <c r="B579" s="8" t="s">
        <v>157</v>
      </c>
      <c r="C579" s="8" t="str">
        <f t="shared" si="13"/>
        <v>att_mitocarta_pathway:sam</v>
      </c>
      <c r="D579" s="9" t="s">
        <v>17</v>
      </c>
      <c r="E579" s="8" t="s">
        <v>1754</v>
      </c>
      <c r="F579" s="8" t="s">
        <v>1755</v>
      </c>
    </row>
    <row r="580" spans="1:6" x14ac:dyDescent="0.15">
      <c r="A580" s="8" t="s">
        <v>1756</v>
      </c>
      <c r="B580" s="8" t="s">
        <v>157</v>
      </c>
      <c r="C580" s="8" t="str">
        <f t="shared" si="13"/>
        <v>att_mitocarta_pathway:selenoproteins</v>
      </c>
      <c r="D580" s="9" t="s">
        <v>17</v>
      </c>
      <c r="E580" s="8" t="s">
        <v>1757</v>
      </c>
      <c r="F580" s="8" t="s">
        <v>1758</v>
      </c>
    </row>
    <row r="581" spans="1:6" x14ac:dyDescent="0.15">
      <c r="A581" s="8" t="s">
        <v>1759</v>
      </c>
      <c r="B581" s="8" t="s">
        <v>157</v>
      </c>
      <c r="C581" s="8" t="str">
        <f t="shared" si="13"/>
        <v>att_mitocarta_pathway:serine_metabolism</v>
      </c>
      <c r="D581" s="9" t="s">
        <v>17</v>
      </c>
      <c r="E581" s="8" t="s">
        <v>1760</v>
      </c>
      <c r="F581" s="8" t="s">
        <v>1761</v>
      </c>
    </row>
    <row r="582" spans="1:6" x14ac:dyDescent="0.15">
      <c r="A582" s="8" t="s">
        <v>1762</v>
      </c>
      <c r="B582" s="8" t="s">
        <v>157</v>
      </c>
      <c r="C582" s="8" t="str">
        <f t="shared" si="13"/>
        <v>att_mitocarta_pathway:sideroflexins</v>
      </c>
      <c r="D582" s="9" t="s">
        <v>17</v>
      </c>
      <c r="E582" s="8" t="s">
        <v>1763</v>
      </c>
      <c r="F582" s="8" t="s">
        <v>1764</v>
      </c>
    </row>
    <row r="583" spans="1:6" x14ac:dyDescent="0.15">
      <c r="A583" s="8" t="s">
        <v>1765</v>
      </c>
      <c r="B583" s="8" t="s">
        <v>157</v>
      </c>
      <c r="C583" s="8" t="str">
        <f t="shared" si="13"/>
        <v>att_mitocarta_pathway:signaling</v>
      </c>
      <c r="D583" s="9" t="s">
        <v>17</v>
      </c>
      <c r="E583" s="8" t="s">
        <v>1766</v>
      </c>
      <c r="F583" s="8" t="s">
        <v>1766</v>
      </c>
    </row>
    <row r="584" spans="1:6" x14ac:dyDescent="0.15">
      <c r="A584" s="8" t="s">
        <v>1767</v>
      </c>
      <c r="B584" s="8" t="s">
        <v>157</v>
      </c>
      <c r="C584" s="8" t="str">
        <f t="shared" si="13"/>
        <v>att_mitocarta_pathway:slc25a_family</v>
      </c>
      <c r="D584" s="9" t="s">
        <v>17</v>
      </c>
      <c r="E584" s="8" t="s">
        <v>1768</v>
      </c>
      <c r="F584" s="8" t="s">
        <v>1769</v>
      </c>
    </row>
    <row r="585" spans="1:6" x14ac:dyDescent="0.15">
      <c r="A585" s="8" t="s">
        <v>1770</v>
      </c>
      <c r="B585" s="8" t="s">
        <v>157</v>
      </c>
      <c r="C585" s="8" t="str">
        <f t="shared" si="13"/>
        <v>att_mitocarta_pathway:small_molecule_transport</v>
      </c>
      <c r="D585" s="9" t="s">
        <v>17</v>
      </c>
      <c r="E585" s="8" t="s">
        <v>1771</v>
      </c>
      <c r="F585" s="8" t="s">
        <v>1771</v>
      </c>
    </row>
    <row r="586" spans="1:6" x14ac:dyDescent="0.15">
      <c r="A586" s="8" t="s">
        <v>1772</v>
      </c>
      <c r="B586" s="8" t="s">
        <v>157</v>
      </c>
      <c r="C586" s="8" t="str">
        <f t="shared" si="13"/>
        <v>att_mitocarta_pathway:sulfur_metabolism</v>
      </c>
      <c r="D586" s="9" t="s">
        <v>17</v>
      </c>
      <c r="E586" s="8" t="s">
        <v>1773</v>
      </c>
      <c r="F586" s="8" t="s">
        <v>1774</v>
      </c>
    </row>
    <row r="587" spans="1:6" x14ac:dyDescent="0.15">
      <c r="A587" s="8" t="s">
        <v>1775</v>
      </c>
      <c r="B587" s="8" t="s">
        <v>157</v>
      </c>
      <c r="C587" s="8" t="str">
        <f t="shared" si="13"/>
        <v>att_mitocarta_pathway:tca_associated</v>
      </c>
      <c r="D587" s="9" t="s">
        <v>17</v>
      </c>
      <c r="E587" s="8" t="s">
        <v>1776</v>
      </c>
      <c r="F587" s="8" t="s">
        <v>1777</v>
      </c>
    </row>
    <row r="588" spans="1:6" x14ac:dyDescent="0.15">
      <c r="A588" s="8" t="s">
        <v>1778</v>
      </c>
      <c r="B588" s="8" t="s">
        <v>157</v>
      </c>
      <c r="C588" s="8" t="str">
        <f t="shared" si="13"/>
        <v>att_mitocarta_pathway:tca_cycle</v>
      </c>
      <c r="D588" s="9" t="s">
        <v>17</v>
      </c>
      <c r="E588" s="8" t="s">
        <v>1779</v>
      </c>
      <c r="F588" s="8" t="s">
        <v>1780</v>
      </c>
    </row>
    <row r="589" spans="1:6" x14ac:dyDescent="0.15">
      <c r="A589" s="8" t="s">
        <v>1781</v>
      </c>
      <c r="B589" s="8" t="s">
        <v>157</v>
      </c>
      <c r="C589" s="8" t="str">
        <f t="shared" si="13"/>
        <v>att_mitocarta_pathway:tetrahydrobiopterin_synthesis</v>
      </c>
      <c r="D589" s="9" t="s">
        <v>17</v>
      </c>
      <c r="E589" s="8" t="s">
        <v>1782</v>
      </c>
      <c r="F589" s="8" t="s">
        <v>1783</v>
      </c>
    </row>
    <row r="590" spans="1:6" x14ac:dyDescent="0.15">
      <c r="A590" s="8" t="s">
        <v>1784</v>
      </c>
      <c r="B590" s="8" t="s">
        <v>157</v>
      </c>
      <c r="C590" s="8" t="str">
        <f t="shared" si="13"/>
        <v>att_mitocarta_pathway:tim22_carrier_pathway</v>
      </c>
      <c r="D590" s="9" t="s">
        <v>17</v>
      </c>
      <c r="E590" s="8" t="s">
        <v>1785</v>
      </c>
      <c r="F590" s="8" t="s">
        <v>1786</v>
      </c>
    </row>
    <row r="591" spans="1:6" x14ac:dyDescent="0.15">
      <c r="A591" s="8" t="s">
        <v>1787</v>
      </c>
      <c r="B591" s="8" t="s">
        <v>157</v>
      </c>
      <c r="C591" s="8" t="str">
        <f t="shared" si="13"/>
        <v>att_mitocarta_pathway:tim23_presequence_pathway</v>
      </c>
      <c r="D591" s="9" t="s">
        <v>17</v>
      </c>
      <c r="E591" s="8" t="s">
        <v>1788</v>
      </c>
      <c r="F591" s="8" t="s">
        <v>1789</v>
      </c>
    </row>
    <row r="592" spans="1:6" x14ac:dyDescent="0.15">
      <c r="A592" s="8" t="s">
        <v>1790</v>
      </c>
      <c r="B592" s="8" t="s">
        <v>157</v>
      </c>
      <c r="C592" s="8" t="str">
        <f t="shared" si="13"/>
        <v>att_mitocarta_pathway:tom</v>
      </c>
      <c r="D592" s="9" t="s">
        <v>17</v>
      </c>
      <c r="E592" s="8" t="s">
        <v>1791</v>
      </c>
      <c r="F592" s="8" t="s">
        <v>1792</v>
      </c>
    </row>
    <row r="593" spans="1:6" x14ac:dyDescent="0.15">
      <c r="A593" s="8" t="s">
        <v>1793</v>
      </c>
      <c r="B593" s="8" t="s">
        <v>157</v>
      </c>
      <c r="C593" s="8" t="str">
        <f t="shared" si="13"/>
        <v>att_mitocarta_pathway:trafficking</v>
      </c>
      <c r="D593" s="9" t="s">
        <v>17</v>
      </c>
      <c r="E593" s="8" t="s">
        <v>1794</v>
      </c>
      <c r="F593" s="8" t="s">
        <v>1795</v>
      </c>
    </row>
    <row r="594" spans="1:6" x14ac:dyDescent="0.15">
      <c r="A594" s="8" t="s">
        <v>1796</v>
      </c>
      <c r="B594" s="8" t="s">
        <v>157</v>
      </c>
      <c r="C594" s="8" t="str">
        <f t="shared" si="13"/>
        <v>att_mitocarta_pathway:transcription</v>
      </c>
      <c r="D594" s="9" t="s">
        <v>17</v>
      </c>
      <c r="E594" s="8" t="s">
        <v>1797</v>
      </c>
      <c r="F594" s="8" t="s">
        <v>1798</v>
      </c>
    </row>
    <row r="595" spans="1:6" x14ac:dyDescent="0.15">
      <c r="A595" s="8" t="s">
        <v>1799</v>
      </c>
      <c r="B595" s="8" t="s">
        <v>157</v>
      </c>
      <c r="C595" s="8" t="str">
        <f t="shared" si="13"/>
        <v>att_mitocarta_pathway:translation</v>
      </c>
      <c r="D595" s="9" t="s">
        <v>17</v>
      </c>
      <c r="E595" s="8" t="s">
        <v>1800</v>
      </c>
      <c r="F595" s="8" t="s">
        <v>1801</v>
      </c>
    </row>
    <row r="596" spans="1:6" x14ac:dyDescent="0.15">
      <c r="A596" s="8" t="s">
        <v>1802</v>
      </c>
      <c r="B596" s="8" t="s">
        <v>157</v>
      </c>
      <c r="C596" s="8" t="str">
        <f t="shared" si="13"/>
        <v>att_mitocarta_pathway:translation_factors</v>
      </c>
      <c r="D596" s="9" t="s">
        <v>17</v>
      </c>
      <c r="E596" s="8" t="s">
        <v>1803</v>
      </c>
      <c r="F596" s="8" t="s">
        <v>1804</v>
      </c>
    </row>
    <row r="597" spans="1:6" x14ac:dyDescent="0.15">
      <c r="A597" s="8" t="s">
        <v>1805</v>
      </c>
      <c r="B597" s="8" t="s">
        <v>157</v>
      </c>
      <c r="C597" s="8" t="str">
        <f t="shared" si="13"/>
        <v>att_mitocarta_pathway:type_ii_fatty_acid_synthesis</v>
      </c>
      <c r="D597" s="9" t="s">
        <v>17</v>
      </c>
      <c r="E597" s="8" t="s">
        <v>1806</v>
      </c>
      <c r="F597" s="8" t="s">
        <v>1807</v>
      </c>
    </row>
    <row r="598" spans="1:6" x14ac:dyDescent="0.15">
      <c r="A598" s="8" t="s">
        <v>1808</v>
      </c>
      <c r="B598" s="8" t="s">
        <v>157</v>
      </c>
      <c r="C598" s="8" t="str">
        <f t="shared" si="13"/>
        <v>att_mitocarta_pathway:urea_cycle</v>
      </c>
      <c r="D598" s="9" t="s">
        <v>17</v>
      </c>
      <c r="E598" s="8" t="s">
        <v>1809</v>
      </c>
      <c r="F598" s="8" t="s">
        <v>1810</v>
      </c>
    </row>
    <row r="599" spans="1:6" x14ac:dyDescent="0.15">
      <c r="A599" s="8" t="s">
        <v>1811</v>
      </c>
      <c r="B599" s="8" t="s">
        <v>157</v>
      </c>
      <c r="C599" s="8" t="str">
        <f t="shared" si="13"/>
        <v>att_mitocarta_pathway:vitamin_a_metabolism</v>
      </c>
      <c r="D599" s="9" t="s">
        <v>17</v>
      </c>
      <c r="E599" s="8" t="s">
        <v>1812</v>
      </c>
      <c r="F599" s="8" t="s">
        <v>1813</v>
      </c>
    </row>
    <row r="600" spans="1:6" x14ac:dyDescent="0.15">
      <c r="A600" s="8" t="s">
        <v>1814</v>
      </c>
      <c r="B600" s="8" t="s">
        <v>157</v>
      </c>
      <c r="C600" s="8" t="str">
        <f t="shared" si="13"/>
        <v>att_mitocarta_pathway:vitamin_b1_metabolism</v>
      </c>
      <c r="D600" s="9" t="s">
        <v>17</v>
      </c>
      <c r="E600" s="8" t="s">
        <v>1815</v>
      </c>
      <c r="F600" s="8" t="s">
        <v>1816</v>
      </c>
    </row>
    <row r="601" spans="1:6" x14ac:dyDescent="0.15">
      <c r="A601" s="8" t="s">
        <v>1817</v>
      </c>
      <c r="B601" s="8" t="s">
        <v>157</v>
      </c>
      <c r="C601" s="8" t="str">
        <f t="shared" si="13"/>
        <v>att_mitocarta_pathway:vitamin_b12_metabolism</v>
      </c>
      <c r="D601" s="9" t="s">
        <v>17</v>
      </c>
      <c r="E601" s="8" t="s">
        <v>1818</v>
      </c>
      <c r="F601" s="8" t="s">
        <v>1819</v>
      </c>
    </row>
    <row r="602" spans="1:6" x14ac:dyDescent="0.15">
      <c r="A602" s="8" t="s">
        <v>1820</v>
      </c>
      <c r="B602" s="8" t="s">
        <v>157</v>
      </c>
      <c r="C602" s="8" t="str">
        <f t="shared" si="13"/>
        <v>att_mitocarta_pathway:vitamin_b2_metabolism</v>
      </c>
      <c r="D602" s="9" t="s">
        <v>17</v>
      </c>
      <c r="E602" s="8" t="s">
        <v>1821</v>
      </c>
      <c r="F602" s="8" t="s">
        <v>1822</v>
      </c>
    </row>
    <row r="603" spans="1:6" x14ac:dyDescent="0.15">
      <c r="A603" s="8" t="s">
        <v>1823</v>
      </c>
      <c r="B603" s="8" t="s">
        <v>157</v>
      </c>
      <c r="C603" s="8" t="str">
        <f t="shared" si="13"/>
        <v>att_mitocarta_pathway:vitamin_b6_metabolism</v>
      </c>
      <c r="D603" s="9" t="s">
        <v>17</v>
      </c>
      <c r="E603" s="8" t="s">
        <v>1824</v>
      </c>
      <c r="F603" s="8" t="s">
        <v>1825</v>
      </c>
    </row>
    <row r="604" spans="1:6" x14ac:dyDescent="0.15">
      <c r="A604" s="8" t="s">
        <v>1826</v>
      </c>
      <c r="B604" s="8" t="s">
        <v>157</v>
      </c>
      <c r="C604" s="8" t="str">
        <f t="shared" si="13"/>
        <v>att_mitocarta_pathway:vitamin_c_metabolism</v>
      </c>
      <c r="D604" s="9" t="s">
        <v>17</v>
      </c>
      <c r="E604" s="8" t="s">
        <v>1827</v>
      </c>
      <c r="F604" s="8" t="s">
        <v>1828</v>
      </c>
    </row>
    <row r="605" spans="1:6" x14ac:dyDescent="0.15">
      <c r="A605" s="8" t="s">
        <v>1829</v>
      </c>
      <c r="B605" s="8" t="s">
        <v>157</v>
      </c>
      <c r="C605" s="8" t="str">
        <f t="shared" si="13"/>
        <v>att_mitocarta_pathway:vitamin_d_metabolism</v>
      </c>
      <c r="D605" s="9" t="s">
        <v>17</v>
      </c>
      <c r="E605" s="8" t="s">
        <v>1830</v>
      </c>
      <c r="F605" s="8" t="s">
        <v>1831</v>
      </c>
    </row>
    <row r="606" spans="1:6" x14ac:dyDescent="0.15">
      <c r="A606" s="8" t="s">
        <v>1832</v>
      </c>
      <c r="B606" s="8" t="s">
        <v>157</v>
      </c>
      <c r="C606" s="8" t="str">
        <f t="shared" si="13"/>
        <v>att_mitocarta_pathway:vitamin_metabolism</v>
      </c>
      <c r="D606" s="9" t="s">
        <v>17</v>
      </c>
      <c r="E606" s="8" t="s">
        <v>1833</v>
      </c>
      <c r="F606" s="8" t="s">
        <v>1834</v>
      </c>
    </row>
    <row r="607" spans="1:6" x14ac:dyDescent="0.15">
      <c r="A607" s="8" t="s">
        <v>1835</v>
      </c>
      <c r="B607" s="8" t="s">
        <v>157</v>
      </c>
      <c r="C607" s="8" t="str">
        <f t="shared" si="13"/>
        <v>att_mitocarta_pathway:xenobiotic_metabolism</v>
      </c>
      <c r="D607" s="9" t="s">
        <v>17</v>
      </c>
      <c r="E607" s="8" t="s">
        <v>1836</v>
      </c>
      <c r="F607" s="8" t="s">
        <v>1837</v>
      </c>
    </row>
    <row r="608" spans="1:6" x14ac:dyDescent="0.15">
      <c r="A608" s="8" t="s">
        <v>1838</v>
      </c>
      <c r="B608" s="8" t="s">
        <v>1839</v>
      </c>
      <c r="C608" s="8" t="str">
        <f t="shared" si="13"/>
        <v>att_mockup:arbitrary</v>
      </c>
      <c r="D608" s="9" t="s">
        <v>17</v>
      </c>
      <c r="E608" s="8" t="s">
        <v>1840</v>
      </c>
      <c r="F608" s="8" t="s">
        <v>1841</v>
      </c>
    </row>
    <row r="609" spans="1:6" x14ac:dyDescent="0.15">
      <c r="A609" s="8" t="s">
        <v>1842</v>
      </c>
      <c r="B609" s="8" t="s">
        <v>1839</v>
      </c>
      <c r="C609" s="8" t="str">
        <f t="shared" si="13"/>
        <v>att_mockup:random</v>
      </c>
      <c r="D609" s="9" t="s">
        <v>17</v>
      </c>
      <c r="E609" s="8" t="s">
        <v>1843</v>
      </c>
      <c r="F609" s="8" t="s">
        <v>1841</v>
      </c>
    </row>
    <row r="610" spans="1:6" x14ac:dyDescent="0.15">
      <c r="A610" s="8" t="s">
        <v>1844</v>
      </c>
      <c r="B610" s="8" t="s">
        <v>160</v>
      </c>
      <c r="C610" s="8" t="str">
        <f t="shared" si="13"/>
        <v>att_model:in_vitro</v>
      </c>
      <c r="D610" s="9" t="s">
        <v>17</v>
      </c>
      <c r="E610" s="8" t="s">
        <v>1845</v>
      </c>
      <c r="F610" s="8" t="s">
        <v>1846</v>
      </c>
    </row>
    <row r="611" spans="1:6" x14ac:dyDescent="0.15">
      <c r="A611" s="8" t="s">
        <v>1847</v>
      </c>
      <c r="B611" s="8" t="s">
        <v>160</v>
      </c>
      <c r="C611" s="8" t="str">
        <f t="shared" si="13"/>
        <v>att_model:in_vivo</v>
      </c>
      <c r="D611" s="9" t="s">
        <v>17</v>
      </c>
      <c r="E611" s="8" t="s">
        <v>1848</v>
      </c>
      <c r="F611" s="8" t="s">
        <v>1849</v>
      </c>
    </row>
    <row r="612" spans="1:6" x14ac:dyDescent="0.15">
      <c r="A612" s="8" t="s">
        <v>1850</v>
      </c>
      <c r="B612" s="8" t="s">
        <v>160</v>
      </c>
      <c r="C612" s="8" t="str">
        <f t="shared" si="13"/>
        <v>att_model:xenografts</v>
      </c>
      <c r="D612" s="9" t="s">
        <v>17</v>
      </c>
      <c r="E612" s="8" t="s">
        <v>1850</v>
      </c>
      <c r="F612" s="8" t="s">
        <v>1851</v>
      </c>
    </row>
    <row r="613" spans="1:6" x14ac:dyDescent="0.15">
      <c r="A613" s="8" t="s">
        <v>1852</v>
      </c>
      <c r="B613" s="8" t="s">
        <v>23</v>
      </c>
      <c r="C613" s="8" t="str">
        <f t="shared" si="13"/>
        <v>att_ms:eclips</v>
      </c>
      <c r="D613" s="9" t="s">
        <v>17</v>
      </c>
      <c r="E613" s="8" t="s">
        <v>1853</v>
      </c>
      <c r="F613" s="8" t="s">
        <v>1853</v>
      </c>
    </row>
    <row r="614" spans="1:6" x14ac:dyDescent="0.15">
      <c r="A614" s="8" t="s">
        <v>1854</v>
      </c>
      <c r="B614" s="8" t="s">
        <v>23</v>
      </c>
      <c r="C614" s="8" t="str">
        <f t="shared" si="13"/>
        <v>att_ms:exploris240</v>
      </c>
      <c r="D614" s="9" t="s">
        <v>17</v>
      </c>
      <c r="E614" s="8" t="s">
        <v>1855</v>
      </c>
      <c r="F614" s="8" t="s">
        <v>1856</v>
      </c>
    </row>
    <row r="615" spans="1:6" x14ac:dyDescent="0.15">
      <c r="A615" s="8" t="s">
        <v>1857</v>
      </c>
      <c r="B615" s="8" t="s">
        <v>23</v>
      </c>
      <c r="C615" s="8" t="str">
        <f t="shared" si="13"/>
        <v>att_ms:exploris480</v>
      </c>
      <c r="D615" s="9" t="s">
        <v>17</v>
      </c>
      <c r="E615" s="8" t="s">
        <v>1858</v>
      </c>
      <c r="F615" s="8" t="s">
        <v>1859</v>
      </c>
    </row>
    <row r="616" spans="1:6" x14ac:dyDescent="0.15">
      <c r="A616" s="8" t="s">
        <v>1860</v>
      </c>
      <c r="B616" s="8" t="s">
        <v>23</v>
      </c>
      <c r="C616" s="8" t="str">
        <f t="shared" si="13"/>
        <v>att_ms:qex</v>
      </c>
      <c r="D616" s="9" t="s">
        <v>17</v>
      </c>
      <c r="E616" s="8" t="s">
        <v>1861</v>
      </c>
      <c r="F616" s="8" t="s">
        <v>1862</v>
      </c>
    </row>
    <row r="617" spans="1:6" x14ac:dyDescent="0.15">
      <c r="A617" s="8" t="s">
        <v>1863</v>
      </c>
      <c r="B617" s="8" t="s">
        <v>23</v>
      </c>
      <c r="C617" s="8" t="str">
        <f t="shared" si="13"/>
        <v>att_ms:qexplus</v>
      </c>
      <c r="D617" s="9" t="s">
        <v>17</v>
      </c>
      <c r="E617" s="8" t="s">
        <v>1864</v>
      </c>
      <c r="F617" s="8" t="s">
        <v>1865</v>
      </c>
    </row>
    <row r="618" spans="1:6" x14ac:dyDescent="0.15">
      <c r="A618" s="8" t="s">
        <v>1866</v>
      </c>
      <c r="B618" s="8" t="s">
        <v>23</v>
      </c>
      <c r="C618" s="8" t="str">
        <f t="shared" si="13"/>
        <v>att_ms:ttofhct</v>
      </c>
      <c r="D618" s="9" t="s">
        <v>17</v>
      </c>
      <c r="E618" s="8" t="s">
        <v>1867</v>
      </c>
      <c r="F618" s="8" t="s">
        <v>1867</v>
      </c>
    </row>
    <row r="619" spans="1:6" x14ac:dyDescent="0.15">
      <c r="A619" s="8" t="s">
        <v>1868</v>
      </c>
      <c r="B619" s="8" t="s">
        <v>23</v>
      </c>
      <c r="C619" s="8" t="str">
        <f t="shared" ref="C619:C682" si="14">B619&amp;":"&amp;A619</f>
        <v>att_ms:ttofscp</v>
      </c>
      <c r="D619" s="9" t="s">
        <v>17</v>
      </c>
      <c r="E619" s="8" t="s">
        <v>1869</v>
      </c>
      <c r="F619" s="8" t="s">
        <v>1870</v>
      </c>
    </row>
    <row r="620" spans="1:6" x14ac:dyDescent="0.15">
      <c r="A620" s="8" t="s">
        <v>1871</v>
      </c>
      <c r="B620" s="8" t="s">
        <v>116</v>
      </c>
      <c r="C620" s="8" t="str">
        <f t="shared" si="14"/>
        <v>att_ms_interface:faims</v>
      </c>
      <c r="D620" s="9" t="s">
        <v>17</v>
      </c>
      <c r="E620" s="8" t="s">
        <v>1872</v>
      </c>
      <c r="F620" s="8" t="s">
        <v>1873</v>
      </c>
    </row>
    <row r="621" spans="1:6" x14ac:dyDescent="0.15">
      <c r="A621" s="8" t="s">
        <v>342</v>
      </c>
      <c r="B621" s="8" t="s">
        <v>116</v>
      </c>
      <c r="C621" s="8" t="str">
        <f t="shared" si="14"/>
        <v>att_ms_interface:none</v>
      </c>
      <c r="D621" s="9" t="s">
        <v>17</v>
      </c>
      <c r="E621" s="8" t="s">
        <v>1874</v>
      </c>
      <c r="F621" s="8" t="s">
        <v>1875</v>
      </c>
    </row>
    <row r="622" spans="1:6" x14ac:dyDescent="0.15">
      <c r="A622" s="8" t="s">
        <v>1876</v>
      </c>
      <c r="B622" s="8" t="s">
        <v>38</v>
      </c>
      <c r="C622" s="8" t="str">
        <f t="shared" si="14"/>
        <v>att_ms_ionsource:easy_spray</v>
      </c>
      <c r="D622" s="9" t="s">
        <v>17</v>
      </c>
      <c r="E622" s="8" t="s">
        <v>1877</v>
      </c>
      <c r="F622" s="8" t="s">
        <v>1878</v>
      </c>
    </row>
    <row r="623" spans="1:6" x14ac:dyDescent="0.15">
      <c r="A623" s="8" t="s">
        <v>1879</v>
      </c>
      <c r="B623" s="8" t="s">
        <v>38</v>
      </c>
      <c r="C623" s="8" t="str">
        <f t="shared" si="14"/>
        <v>att_ms_ionsource:flex</v>
      </c>
      <c r="D623" s="9" t="s">
        <v>17</v>
      </c>
      <c r="E623" s="8" t="s">
        <v>1880</v>
      </c>
      <c r="F623" s="8" t="s">
        <v>1881</v>
      </c>
    </row>
    <row r="624" spans="1:6" x14ac:dyDescent="0.15">
      <c r="A624" s="8" t="s">
        <v>1882</v>
      </c>
      <c r="B624" s="8" t="s">
        <v>38</v>
      </c>
      <c r="C624" s="8" t="str">
        <f t="shared" si="14"/>
        <v>att_ms_ionsource:ion_max</v>
      </c>
      <c r="D624" s="9" t="s">
        <v>17</v>
      </c>
      <c r="E624" s="8" t="s">
        <v>1883</v>
      </c>
      <c r="F624" s="8" t="s">
        <v>1884</v>
      </c>
    </row>
    <row r="625" spans="1:6" x14ac:dyDescent="0.15">
      <c r="A625" s="8" t="s">
        <v>1885</v>
      </c>
      <c r="B625" s="8" t="s">
        <v>164</v>
      </c>
      <c r="C625" s="8" t="str">
        <f t="shared" si="14"/>
        <v>att_ms_name:e1</v>
      </c>
      <c r="D625" s="8" t="s">
        <v>1885</v>
      </c>
      <c r="E625" s="8" t="s">
        <v>1886</v>
      </c>
      <c r="F625" s="8" t="s">
        <v>1887</v>
      </c>
    </row>
    <row r="626" spans="1:6" x14ac:dyDescent="0.15">
      <c r="A626" s="8" t="s">
        <v>1888</v>
      </c>
      <c r="B626" s="8" t="s">
        <v>164</v>
      </c>
      <c r="C626" s="8" t="str">
        <f t="shared" si="14"/>
        <v>att_ms_name:e2</v>
      </c>
      <c r="D626" s="8" t="s">
        <v>1888</v>
      </c>
      <c r="E626" s="8" t="s">
        <v>1889</v>
      </c>
      <c r="F626" s="8" t="s">
        <v>1890</v>
      </c>
    </row>
    <row r="627" spans="1:6" x14ac:dyDescent="0.15">
      <c r="A627" s="8" t="s">
        <v>1891</v>
      </c>
      <c r="B627" s="8" t="s">
        <v>164</v>
      </c>
      <c r="C627" s="8" t="str">
        <f t="shared" si="14"/>
        <v>att_ms_name:expl480</v>
      </c>
      <c r="D627" s="8" t="s">
        <v>1891</v>
      </c>
      <c r="E627" s="8" t="s">
        <v>1892</v>
      </c>
      <c r="F627" s="8" t="s">
        <v>1893</v>
      </c>
    </row>
    <row r="628" spans="1:6" x14ac:dyDescent="0.15">
      <c r="A628" s="8" t="s">
        <v>1894</v>
      </c>
      <c r="B628" s="8" t="s">
        <v>164</v>
      </c>
      <c r="C628" s="8" t="str">
        <f t="shared" si="14"/>
        <v>att_ms_name:ignarius</v>
      </c>
      <c r="D628" s="8" t="s">
        <v>1894</v>
      </c>
      <c r="E628" s="8" t="s">
        <v>1895</v>
      </c>
      <c r="F628" s="8" t="s">
        <v>1896</v>
      </c>
    </row>
    <row r="629" spans="1:6" x14ac:dyDescent="0.15">
      <c r="A629" s="8" t="s">
        <v>1897</v>
      </c>
      <c r="B629" s="8" t="s">
        <v>164</v>
      </c>
      <c r="C629" s="8" t="str">
        <f t="shared" si="14"/>
        <v>att_ms_name:timstof</v>
      </c>
      <c r="D629" s="8" t="s">
        <v>1897</v>
      </c>
      <c r="E629" s="8" t="s">
        <v>1898</v>
      </c>
      <c r="F629" s="8" t="s">
        <v>1899</v>
      </c>
    </row>
    <row r="630" spans="1:6" x14ac:dyDescent="0.15">
      <c r="A630" s="8" t="s">
        <v>1900</v>
      </c>
      <c r="B630" s="8" t="s">
        <v>174</v>
      </c>
      <c r="C630" s="8" t="str">
        <f t="shared" si="14"/>
        <v>att_ms2_resolution:120000res</v>
      </c>
      <c r="D630" s="9" t="s">
        <v>17</v>
      </c>
      <c r="E630" s="8">
        <v>120000</v>
      </c>
      <c r="F630" s="8" t="s">
        <v>1901</v>
      </c>
    </row>
    <row r="631" spans="1:6" x14ac:dyDescent="0.15">
      <c r="A631" s="8" t="s">
        <v>1902</v>
      </c>
      <c r="B631" s="8" t="s">
        <v>174</v>
      </c>
      <c r="C631" s="8" t="str">
        <f t="shared" si="14"/>
        <v>att_ms2_resolution:15000res</v>
      </c>
      <c r="D631" s="9" t="s">
        <v>17</v>
      </c>
      <c r="E631" s="8">
        <v>15000</v>
      </c>
      <c r="F631" s="8" t="s">
        <v>1901</v>
      </c>
    </row>
    <row r="632" spans="1:6" x14ac:dyDescent="0.15">
      <c r="A632" s="8" t="s">
        <v>1903</v>
      </c>
      <c r="B632" s="8" t="s">
        <v>174</v>
      </c>
      <c r="C632" s="8" t="str">
        <f t="shared" si="14"/>
        <v>att_ms2_resolution:17500res</v>
      </c>
      <c r="D632" s="9" t="s">
        <v>17</v>
      </c>
      <c r="E632" s="8">
        <v>17500</v>
      </c>
      <c r="F632" s="8" t="s">
        <v>1904</v>
      </c>
    </row>
    <row r="633" spans="1:6" x14ac:dyDescent="0.15">
      <c r="A633" s="8" t="s">
        <v>1905</v>
      </c>
      <c r="B633" s="8" t="s">
        <v>174</v>
      </c>
      <c r="C633" s="8" t="str">
        <f t="shared" si="14"/>
        <v>att_ms2_resolution:30000res</v>
      </c>
      <c r="D633" s="9" t="s">
        <v>17</v>
      </c>
      <c r="E633" s="8">
        <v>30000</v>
      </c>
      <c r="F633" s="8" t="s">
        <v>1901</v>
      </c>
    </row>
    <row r="634" spans="1:6" x14ac:dyDescent="0.15">
      <c r="A634" s="8" t="s">
        <v>1906</v>
      </c>
      <c r="B634" s="8" t="s">
        <v>174</v>
      </c>
      <c r="C634" s="8" t="str">
        <f t="shared" si="14"/>
        <v>att_ms2_resolution:35000res</v>
      </c>
      <c r="D634" s="9" t="s">
        <v>17</v>
      </c>
      <c r="E634" s="8">
        <v>35000</v>
      </c>
      <c r="F634" s="8" t="s">
        <v>1904</v>
      </c>
    </row>
    <row r="635" spans="1:6" x14ac:dyDescent="0.15">
      <c r="A635" s="8" t="s">
        <v>1907</v>
      </c>
      <c r="B635" s="8" t="s">
        <v>174</v>
      </c>
      <c r="C635" s="8" t="str">
        <f t="shared" si="14"/>
        <v>att_ms2_resolution:45000res</v>
      </c>
      <c r="D635" s="9" t="s">
        <v>17</v>
      </c>
      <c r="E635" s="8">
        <v>45000</v>
      </c>
      <c r="F635" s="8" t="s">
        <v>1901</v>
      </c>
    </row>
    <row r="636" spans="1:6" x14ac:dyDescent="0.15">
      <c r="A636" s="8" t="s">
        <v>1908</v>
      </c>
      <c r="B636" s="8" t="s">
        <v>174</v>
      </c>
      <c r="C636" s="8" t="str">
        <f t="shared" si="14"/>
        <v>att_ms2_resolution:60000res</v>
      </c>
      <c r="D636" s="9" t="s">
        <v>17</v>
      </c>
      <c r="E636" s="8">
        <v>60000</v>
      </c>
      <c r="F636" s="8" t="s">
        <v>1901</v>
      </c>
    </row>
    <row r="637" spans="1:6" x14ac:dyDescent="0.15">
      <c r="A637" s="8" t="s">
        <v>1909</v>
      </c>
      <c r="B637" s="8" t="s">
        <v>174</v>
      </c>
      <c r="C637" s="8" t="str">
        <f t="shared" si="14"/>
        <v>att_ms2_resolution:7500res</v>
      </c>
      <c r="D637" s="9" t="s">
        <v>17</v>
      </c>
      <c r="E637" s="8">
        <v>7500</v>
      </c>
      <c r="F637" s="8" t="s">
        <v>1901</v>
      </c>
    </row>
    <row r="638" spans="1:6" x14ac:dyDescent="0.15">
      <c r="A638" s="8" t="s">
        <v>1910</v>
      </c>
      <c r="B638" s="8" t="s">
        <v>179</v>
      </c>
      <c r="C638" s="8" t="str">
        <f t="shared" si="14"/>
        <v>att_muscle:ab</v>
      </c>
      <c r="D638" s="9" t="s">
        <v>17</v>
      </c>
      <c r="E638" s="8" t="s">
        <v>1911</v>
      </c>
      <c r="F638" s="8" t="s">
        <v>1912</v>
      </c>
    </row>
    <row r="639" spans="1:6" x14ac:dyDescent="0.15">
      <c r="A639" s="8" t="s">
        <v>1913</v>
      </c>
      <c r="B639" s="8" t="s">
        <v>179</v>
      </c>
      <c r="C639" s="8" t="str">
        <f t="shared" si="14"/>
        <v>att_muscle:al</v>
      </c>
      <c r="D639" s="9" t="s">
        <v>17</v>
      </c>
      <c r="E639" s="8" t="s">
        <v>1914</v>
      </c>
      <c r="F639" s="8" t="s">
        <v>1915</v>
      </c>
    </row>
    <row r="640" spans="1:6" x14ac:dyDescent="0.15">
      <c r="A640" s="8" t="s">
        <v>1916</v>
      </c>
      <c r="B640" s="8" t="s">
        <v>179</v>
      </c>
      <c r="C640" s="8" t="str">
        <f t="shared" si="14"/>
        <v>att_muscle:am</v>
      </c>
      <c r="D640" s="9" t="s">
        <v>17</v>
      </c>
      <c r="E640" s="8" t="s">
        <v>1917</v>
      </c>
      <c r="F640" s="8" t="s">
        <v>1918</v>
      </c>
    </row>
    <row r="641" spans="1:6" x14ac:dyDescent="0.15">
      <c r="A641" s="8" t="s">
        <v>1919</v>
      </c>
      <c r="B641" s="8" t="s">
        <v>179</v>
      </c>
      <c r="C641" s="8" t="str">
        <f t="shared" si="14"/>
        <v>att_muscle:an</v>
      </c>
      <c r="D641" s="9" t="s">
        <v>17</v>
      </c>
      <c r="E641" s="8" t="s">
        <v>1920</v>
      </c>
      <c r="F641" s="8" t="s">
        <v>1921</v>
      </c>
    </row>
    <row r="642" spans="1:6" x14ac:dyDescent="0.15">
      <c r="A642" s="8" t="s">
        <v>1922</v>
      </c>
      <c r="B642" s="8" t="s">
        <v>179</v>
      </c>
      <c r="C642" s="8" t="str">
        <f t="shared" si="14"/>
        <v>att_muscle:bbl</v>
      </c>
      <c r="D642" s="9" t="s">
        <v>17</v>
      </c>
      <c r="E642" s="8" t="s">
        <v>1923</v>
      </c>
      <c r="F642" s="8" t="s">
        <v>1924</v>
      </c>
    </row>
    <row r="643" spans="1:6" x14ac:dyDescent="0.15">
      <c r="A643" s="8" t="s">
        <v>1925</v>
      </c>
      <c r="B643" s="8" t="s">
        <v>179</v>
      </c>
      <c r="C643" s="8" t="str">
        <f t="shared" si="14"/>
        <v>att_muscle:bbs</v>
      </c>
      <c r="D643" s="9" t="s">
        <v>17</v>
      </c>
      <c r="E643" s="8" t="s">
        <v>1926</v>
      </c>
      <c r="F643" s="8" t="s">
        <v>1927</v>
      </c>
    </row>
    <row r="644" spans="1:6" x14ac:dyDescent="0.15">
      <c r="A644" s="8" t="s">
        <v>1928</v>
      </c>
      <c r="B644" s="8" t="s">
        <v>179</v>
      </c>
      <c r="C644" s="8" t="str">
        <f t="shared" si="14"/>
        <v>att_muscle:bfa</v>
      </c>
      <c r="D644" s="9" t="s">
        <v>17</v>
      </c>
      <c r="E644" s="8" t="s">
        <v>1929</v>
      </c>
      <c r="F644" s="8" t="s">
        <v>1930</v>
      </c>
    </row>
    <row r="645" spans="1:6" x14ac:dyDescent="0.15">
      <c r="A645" s="8" t="s">
        <v>1931</v>
      </c>
      <c r="B645" s="8" t="s">
        <v>179</v>
      </c>
      <c r="C645" s="8" t="str">
        <f t="shared" si="14"/>
        <v>att_muscle:bfp_ca</v>
      </c>
      <c r="D645" s="9" t="s">
        <v>17</v>
      </c>
      <c r="E645" s="8" t="s">
        <v>1932</v>
      </c>
      <c r="F645" s="8" t="s">
        <v>1933</v>
      </c>
    </row>
    <row r="646" spans="1:6" x14ac:dyDescent="0.15">
      <c r="A646" s="8" t="s">
        <v>1934</v>
      </c>
      <c r="B646" s="8" t="s">
        <v>179</v>
      </c>
      <c r="C646" s="8" t="str">
        <f t="shared" si="14"/>
        <v>att_muscle:bfp_cr</v>
      </c>
      <c r="D646" s="9" t="s">
        <v>17</v>
      </c>
      <c r="E646" s="8" t="s">
        <v>1935</v>
      </c>
      <c r="F646" s="8" t="s">
        <v>1936</v>
      </c>
    </row>
    <row r="647" spans="1:6" x14ac:dyDescent="0.15">
      <c r="A647" s="8" t="s">
        <v>1937</v>
      </c>
      <c r="B647" s="8" t="s">
        <v>179</v>
      </c>
      <c r="C647" s="8" t="str">
        <f t="shared" si="14"/>
        <v>att_muscle:bfp_mi</v>
      </c>
      <c r="D647" s="9" t="s">
        <v>17</v>
      </c>
      <c r="E647" s="8" t="s">
        <v>1938</v>
      </c>
      <c r="F647" s="8" t="s">
        <v>1939</v>
      </c>
    </row>
    <row r="648" spans="1:6" x14ac:dyDescent="0.15">
      <c r="A648" s="8" t="s">
        <v>1940</v>
      </c>
      <c r="B648" s="8" t="s">
        <v>179</v>
      </c>
      <c r="C648" s="8" t="str">
        <f t="shared" si="14"/>
        <v>att_muscle:bra</v>
      </c>
      <c r="D648" s="9" t="s">
        <v>17</v>
      </c>
      <c r="E648" s="8" t="s">
        <v>1941</v>
      </c>
      <c r="F648" s="8" t="s">
        <v>1942</v>
      </c>
    </row>
    <row r="649" spans="1:6" x14ac:dyDescent="0.15">
      <c r="A649" s="8" t="s">
        <v>1943</v>
      </c>
      <c r="B649" s="8" t="s">
        <v>179</v>
      </c>
      <c r="C649" s="8" t="str">
        <f t="shared" si="14"/>
        <v>att_muscle:cf</v>
      </c>
      <c r="D649" s="9" t="s">
        <v>17</v>
      </c>
      <c r="E649" s="8" t="s">
        <v>1944</v>
      </c>
      <c r="F649" s="8" t="s">
        <v>1945</v>
      </c>
    </row>
    <row r="650" spans="1:6" x14ac:dyDescent="0.15">
      <c r="A650" s="8" t="s">
        <v>1946</v>
      </c>
      <c r="B650" s="8" t="s">
        <v>179</v>
      </c>
      <c r="C650" s="8" t="str">
        <f t="shared" si="14"/>
        <v>att_muscle:cor</v>
      </c>
      <c r="D650" s="9" t="s">
        <v>17</v>
      </c>
      <c r="E650" s="8" t="s">
        <v>1947</v>
      </c>
      <c r="F650" s="8" t="s">
        <v>1948</v>
      </c>
    </row>
    <row r="651" spans="1:6" x14ac:dyDescent="0.15">
      <c r="A651" s="8" t="s">
        <v>1949</v>
      </c>
      <c r="B651" s="8" t="s">
        <v>179</v>
      </c>
      <c r="C651" s="8" t="str">
        <f t="shared" si="14"/>
        <v>att_muscle:ecrb</v>
      </c>
      <c r="D651" s="9" t="s">
        <v>17</v>
      </c>
      <c r="E651" s="8" t="s">
        <v>1950</v>
      </c>
      <c r="F651" s="8" t="s">
        <v>1951</v>
      </c>
    </row>
    <row r="652" spans="1:6" x14ac:dyDescent="0.15">
      <c r="A652" s="8" t="s">
        <v>1952</v>
      </c>
      <c r="B652" s="8" t="s">
        <v>179</v>
      </c>
      <c r="C652" s="8" t="str">
        <f t="shared" si="14"/>
        <v>att_muscle:ecrl</v>
      </c>
      <c r="D652" s="9" t="s">
        <v>17</v>
      </c>
      <c r="E652" s="8" t="s">
        <v>1953</v>
      </c>
      <c r="F652" s="8" t="s">
        <v>1954</v>
      </c>
    </row>
    <row r="653" spans="1:6" x14ac:dyDescent="0.15">
      <c r="A653" s="8" t="s">
        <v>1955</v>
      </c>
      <c r="B653" s="8" t="s">
        <v>179</v>
      </c>
      <c r="C653" s="8" t="str">
        <f t="shared" si="14"/>
        <v>att_muscle:ecu</v>
      </c>
      <c r="D653" s="9" t="s">
        <v>17</v>
      </c>
      <c r="E653" s="8" t="s">
        <v>1956</v>
      </c>
      <c r="F653" s="8" t="s">
        <v>1957</v>
      </c>
    </row>
    <row r="654" spans="1:6" x14ac:dyDescent="0.15">
      <c r="A654" s="8" t="s">
        <v>1958</v>
      </c>
      <c r="B654" s="8" t="s">
        <v>179</v>
      </c>
      <c r="C654" s="8" t="str">
        <f t="shared" si="14"/>
        <v>att_muscle:edl</v>
      </c>
      <c r="D654" s="9" t="s">
        <v>17</v>
      </c>
      <c r="E654" s="8" t="s">
        <v>1959</v>
      </c>
      <c r="F654" s="8" t="s">
        <v>1960</v>
      </c>
    </row>
    <row r="655" spans="1:6" x14ac:dyDescent="0.15">
      <c r="A655" s="8" t="s">
        <v>1961</v>
      </c>
      <c r="B655" s="8" t="s">
        <v>179</v>
      </c>
      <c r="C655" s="8" t="str">
        <f t="shared" si="14"/>
        <v>att_muscle:ehl</v>
      </c>
      <c r="D655" s="9" t="s">
        <v>17</v>
      </c>
      <c r="E655" s="8" t="s">
        <v>1962</v>
      </c>
      <c r="F655" s="8" t="s">
        <v>1963</v>
      </c>
    </row>
    <row r="656" spans="1:6" x14ac:dyDescent="0.15">
      <c r="A656" s="8" t="s">
        <v>1964</v>
      </c>
      <c r="B656" s="8" t="s">
        <v>179</v>
      </c>
      <c r="C656" s="8" t="str">
        <f t="shared" si="14"/>
        <v>att_muscle:eip1</v>
      </c>
      <c r="D656" s="9" t="s">
        <v>17</v>
      </c>
      <c r="E656" s="8" t="s">
        <v>1965</v>
      </c>
      <c r="F656" s="8" t="s">
        <v>1966</v>
      </c>
    </row>
    <row r="657" spans="1:6" x14ac:dyDescent="0.15">
      <c r="A657" s="8" t="s">
        <v>1967</v>
      </c>
      <c r="B657" s="8" t="s">
        <v>179</v>
      </c>
      <c r="C657" s="8" t="str">
        <f t="shared" si="14"/>
        <v>att_muscle:eip2</v>
      </c>
      <c r="D657" s="9" t="s">
        <v>17</v>
      </c>
      <c r="E657" s="8" t="s">
        <v>1968</v>
      </c>
      <c r="F657" s="8" t="s">
        <v>1969</v>
      </c>
    </row>
    <row r="658" spans="1:6" x14ac:dyDescent="0.15">
      <c r="A658" s="8" t="s">
        <v>1970</v>
      </c>
      <c r="B658" s="8" t="s">
        <v>179</v>
      </c>
      <c r="C658" s="8" t="str">
        <f t="shared" si="14"/>
        <v>att_muscle:fcr</v>
      </c>
      <c r="D658" s="9" t="s">
        <v>17</v>
      </c>
      <c r="E658" s="8" t="s">
        <v>1971</v>
      </c>
      <c r="F658" s="8" t="s">
        <v>1972</v>
      </c>
    </row>
    <row r="659" spans="1:6" x14ac:dyDescent="0.15">
      <c r="A659" s="8" t="s">
        <v>1973</v>
      </c>
      <c r="B659" s="8" t="s">
        <v>179</v>
      </c>
      <c r="C659" s="8" t="str">
        <f t="shared" si="14"/>
        <v>att_muscle:fcu</v>
      </c>
      <c r="D659" s="9" t="s">
        <v>17</v>
      </c>
      <c r="E659" s="8" t="s">
        <v>1974</v>
      </c>
      <c r="F659" s="8" t="s">
        <v>1975</v>
      </c>
    </row>
    <row r="660" spans="1:6" x14ac:dyDescent="0.15">
      <c r="A660" s="8" t="s">
        <v>1976</v>
      </c>
      <c r="B660" s="8" t="s">
        <v>179</v>
      </c>
      <c r="C660" s="8" t="str">
        <f t="shared" si="14"/>
        <v>att_muscle:fdl</v>
      </c>
      <c r="D660" s="9" t="s">
        <v>17</v>
      </c>
      <c r="E660" s="8" t="s">
        <v>1977</v>
      </c>
      <c r="F660" s="8" t="s">
        <v>1978</v>
      </c>
    </row>
    <row r="661" spans="1:6" x14ac:dyDescent="0.15">
      <c r="A661" s="8" t="s">
        <v>1979</v>
      </c>
      <c r="B661" s="8" t="s">
        <v>179</v>
      </c>
      <c r="C661" s="8" t="str">
        <f t="shared" si="14"/>
        <v>att_muscle:ga</v>
      </c>
      <c r="D661" s="9" t="s">
        <v>17</v>
      </c>
      <c r="E661" s="8" t="s">
        <v>1980</v>
      </c>
      <c r="F661" s="8" t="s">
        <v>1981</v>
      </c>
    </row>
    <row r="662" spans="1:6" x14ac:dyDescent="0.15">
      <c r="A662" s="8" t="s">
        <v>1982</v>
      </c>
      <c r="B662" s="8" t="s">
        <v>179</v>
      </c>
      <c r="C662" s="8" t="str">
        <f t="shared" si="14"/>
        <v>att_muscle:gem</v>
      </c>
      <c r="D662" s="9" t="s">
        <v>17</v>
      </c>
      <c r="E662" s="8" t="s">
        <v>1983</v>
      </c>
      <c r="F662" s="8" t="s">
        <v>1984</v>
      </c>
    </row>
    <row r="663" spans="1:6" x14ac:dyDescent="0.15">
      <c r="A663" s="8" t="s">
        <v>1985</v>
      </c>
      <c r="B663" s="8" t="s">
        <v>179</v>
      </c>
      <c r="C663" s="8" t="str">
        <f t="shared" si="14"/>
        <v>att_muscle:gm</v>
      </c>
      <c r="D663" s="9" t="s">
        <v>17</v>
      </c>
      <c r="E663" s="8" t="s">
        <v>1986</v>
      </c>
      <c r="F663" s="8" t="s">
        <v>1987</v>
      </c>
    </row>
    <row r="664" spans="1:6" x14ac:dyDescent="0.15">
      <c r="A664" s="8" t="s">
        <v>1988</v>
      </c>
      <c r="B664" s="8" t="s">
        <v>179</v>
      </c>
      <c r="C664" s="8" t="str">
        <f t="shared" si="14"/>
        <v>att_muscle:gm_dr</v>
      </c>
      <c r="D664" s="9" t="s">
        <v>17</v>
      </c>
      <c r="E664" s="8" t="s">
        <v>1989</v>
      </c>
      <c r="F664" s="8" t="s">
        <v>1990</v>
      </c>
    </row>
    <row r="665" spans="1:6" x14ac:dyDescent="0.15">
      <c r="A665" s="8" t="s">
        <v>1991</v>
      </c>
      <c r="B665" s="8" t="s">
        <v>179</v>
      </c>
      <c r="C665" s="8" t="str">
        <f t="shared" si="14"/>
        <v>att_muscle:gm_mi</v>
      </c>
      <c r="D665" s="9" t="s">
        <v>17</v>
      </c>
      <c r="E665" s="8" t="s">
        <v>1992</v>
      </c>
      <c r="F665" s="8" t="s">
        <v>1993</v>
      </c>
    </row>
    <row r="666" spans="1:6" x14ac:dyDescent="0.15">
      <c r="A666" s="8" t="s">
        <v>1994</v>
      </c>
      <c r="B666" s="8" t="s">
        <v>179</v>
      </c>
      <c r="C666" s="8" t="str">
        <f t="shared" si="14"/>
        <v>att_muscle:gm_ve</v>
      </c>
      <c r="D666" s="9" t="s">
        <v>17</v>
      </c>
      <c r="E666" s="8" t="s">
        <v>1995</v>
      </c>
      <c r="F666" s="8" t="s">
        <v>1996</v>
      </c>
    </row>
    <row r="667" spans="1:6" x14ac:dyDescent="0.15">
      <c r="A667" s="8" t="s">
        <v>1997</v>
      </c>
      <c r="B667" s="8" t="s">
        <v>179</v>
      </c>
      <c r="C667" s="8" t="str">
        <f t="shared" si="14"/>
        <v>att_muscle:gp</v>
      </c>
      <c r="D667" s="9" t="s">
        <v>17</v>
      </c>
      <c r="E667" s="8" t="s">
        <v>1998</v>
      </c>
      <c r="F667" s="8" t="s">
        <v>1999</v>
      </c>
    </row>
    <row r="668" spans="1:6" x14ac:dyDescent="0.15">
      <c r="A668" s="8" t="s">
        <v>2000</v>
      </c>
      <c r="B668" s="8" t="s">
        <v>179</v>
      </c>
      <c r="C668" s="8" t="str">
        <f t="shared" si="14"/>
        <v>att_muscle:ili</v>
      </c>
      <c r="D668" s="9" t="s">
        <v>17</v>
      </c>
      <c r="E668" s="8" t="s">
        <v>2001</v>
      </c>
      <c r="F668" s="8" t="s">
        <v>2002</v>
      </c>
    </row>
    <row r="669" spans="1:6" x14ac:dyDescent="0.15">
      <c r="A669" s="8" t="s">
        <v>2003</v>
      </c>
      <c r="B669" s="8" t="s">
        <v>179</v>
      </c>
      <c r="C669" s="8" t="str">
        <f t="shared" si="14"/>
        <v>att_muscle:lg</v>
      </c>
      <c r="D669" s="9" t="s">
        <v>17</v>
      </c>
      <c r="E669" s="8" t="s">
        <v>2004</v>
      </c>
      <c r="F669" s="8" t="s">
        <v>2005</v>
      </c>
    </row>
    <row r="670" spans="1:6" x14ac:dyDescent="0.15">
      <c r="A670" s="8" t="s">
        <v>2006</v>
      </c>
      <c r="B670" s="8" t="s">
        <v>179</v>
      </c>
      <c r="C670" s="8" t="str">
        <f t="shared" si="14"/>
        <v>att_muscle:mg</v>
      </c>
      <c r="D670" s="9" t="s">
        <v>17</v>
      </c>
      <c r="E670" s="8" t="s">
        <v>2007</v>
      </c>
      <c r="F670" s="8" t="s">
        <v>2008</v>
      </c>
    </row>
    <row r="671" spans="1:6" x14ac:dyDescent="0.15">
      <c r="A671" s="8" t="s">
        <v>2009</v>
      </c>
      <c r="B671" s="8" t="s">
        <v>179</v>
      </c>
      <c r="C671" s="8" t="str">
        <f t="shared" si="14"/>
        <v>att_muscle:oe</v>
      </c>
      <c r="D671" s="9" t="s">
        <v>17</v>
      </c>
      <c r="E671" s="8" t="s">
        <v>2010</v>
      </c>
      <c r="F671" s="8" t="s">
        <v>2011</v>
      </c>
    </row>
    <row r="672" spans="1:6" x14ac:dyDescent="0.15">
      <c r="A672" s="8" t="s">
        <v>2012</v>
      </c>
      <c r="B672" s="8" t="s">
        <v>179</v>
      </c>
      <c r="C672" s="8" t="str">
        <f t="shared" si="14"/>
        <v>att_muscle:oi</v>
      </c>
      <c r="D672" s="9" t="s">
        <v>17</v>
      </c>
      <c r="E672" s="8" t="s">
        <v>2013</v>
      </c>
      <c r="F672" s="8" t="s">
        <v>2014</v>
      </c>
    </row>
    <row r="673" spans="1:6" x14ac:dyDescent="0.15">
      <c r="A673" s="8" t="s">
        <v>2015</v>
      </c>
      <c r="B673" s="8" t="s">
        <v>179</v>
      </c>
      <c r="C673" s="8" t="str">
        <f t="shared" si="14"/>
        <v>att_muscle:pb</v>
      </c>
      <c r="D673" s="9" t="s">
        <v>17</v>
      </c>
      <c r="E673" s="8" t="s">
        <v>2016</v>
      </c>
      <c r="F673" s="8" t="s">
        <v>2017</v>
      </c>
    </row>
    <row r="674" spans="1:6" x14ac:dyDescent="0.15">
      <c r="A674" s="8" t="s">
        <v>2018</v>
      </c>
      <c r="B674" s="8" t="s">
        <v>179</v>
      </c>
      <c r="C674" s="8" t="str">
        <f t="shared" si="14"/>
        <v>att_muscle:pdqa</v>
      </c>
      <c r="D674" s="9" t="s">
        <v>17</v>
      </c>
      <c r="E674" s="8" t="s">
        <v>2019</v>
      </c>
      <c r="F674" s="8" t="s">
        <v>2020</v>
      </c>
    </row>
    <row r="675" spans="1:6" x14ac:dyDescent="0.15">
      <c r="A675" s="8" t="s">
        <v>2021</v>
      </c>
      <c r="B675" s="8" t="s">
        <v>179</v>
      </c>
      <c r="C675" s="8" t="str">
        <f t="shared" si="14"/>
        <v>att_muscle:pdqi</v>
      </c>
      <c r="D675" s="9" t="s">
        <v>17</v>
      </c>
      <c r="E675" s="8" t="s">
        <v>2022</v>
      </c>
      <c r="F675" s="8" t="s">
        <v>2023</v>
      </c>
    </row>
    <row r="676" spans="1:6" x14ac:dyDescent="0.15">
      <c r="A676" s="8" t="s">
        <v>2024</v>
      </c>
      <c r="B676" s="8" t="s">
        <v>179</v>
      </c>
      <c r="C676" s="8" t="str">
        <f t="shared" si="14"/>
        <v>att_muscle:pect</v>
      </c>
      <c r="D676" s="9" t="s">
        <v>17</v>
      </c>
      <c r="E676" s="8" t="s">
        <v>2025</v>
      </c>
      <c r="F676" s="8" t="s">
        <v>2026</v>
      </c>
    </row>
    <row r="677" spans="1:6" x14ac:dyDescent="0.15">
      <c r="A677" s="8" t="s">
        <v>2027</v>
      </c>
      <c r="B677" s="8" t="s">
        <v>179</v>
      </c>
      <c r="C677" s="8" t="str">
        <f t="shared" si="14"/>
        <v>att_muscle:pl</v>
      </c>
      <c r="D677" s="9" t="s">
        <v>17</v>
      </c>
      <c r="E677" s="8" t="s">
        <v>2028</v>
      </c>
      <c r="F677" s="8" t="s">
        <v>2029</v>
      </c>
    </row>
    <row r="678" spans="1:6" x14ac:dyDescent="0.15">
      <c r="A678" s="8" t="s">
        <v>2030</v>
      </c>
      <c r="B678" s="8" t="s">
        <v>179</v>
      </c>
      <c r="C678" s="8" t="str">
        <f t="shared" si="14"/>
        <v>att_muscle:plant</v>
      </c>
      <c r="D678" s="9" t="s">
        <v>17</v>
      </c>
      <c r="E678" s="8" t="s">
        <v>2031</v>
      </c>
      <c r="F678" s="8" t="s">
        <v>2032</v>
      </c>
    </row>
    <row r="679" spans="1:6" x14ac:dyDescent="0.15">
      <c r="A679" s="8" t="s">
        <v>2033</v>
      </c>
      <c r="B679" s="8" t="s">
        <v>179</v>
      </c>
      <c r="C679" s="8" t="str">
        <f t="shared" si="14"/>
        <v>att_muscle:plo</v>
      </c>
      <c r="D679" s="9" t="s">
        <v>17</v>
      </c>
      <c r="E679" s="8" t="s">
        <v>2034</v>
      </c>
      <c r="F679" s="8" t="s">
        <v>2035</v>
      </c>
    </row>
    <row r="680" spans="1:6" x14ac:dyDescent="0.15">
      <c r="A680" s="8" t="s">
        <v>2036</v>
      </c>
      <c r="B680" s="8" t="s">
        <v>179</v>
      </c>
      <c r="C680" s="8" t="str">
        <f t="shared" si="14"/>
        <v>att_muscle:pma</v>
      </c>
      <c r="D680" s="9" t="s">
        <v>17</v>
      </c>
      <c r="E680" s="8" t="s">
        <v>2037</v>
      </c>
      <c r="F680" s="8" t="s">
        <v>2038</v>
      </c>
    </row>
    <row r="681" spans="1:6" x14ac:dyDescent="0.15">
      <c r="A681" s="8" t="s">
        <v>2039</v>
      </c>
      <c r="B681" s="8" t="s">
        <v>179</v>
      </c>
      <c r="C681" s="8" t="str">
        <f t="shared" si="14"/>
        <v>att_muscle:pmi</v>
      </c>
      <c r="D681" s="9" t="s">
        <v>17</v>
      </c>
      <c r="E681" s="8" t="s">
        <v>2040</v>
      </c>
      <c r="F681" s="8" t="s">
        <v>2041</v>
      </c>
    </row>
    <row r="682" spans="1:6" x14ac:dyDescent="0.15">
      <c r="A682" s="8" t="s">
        <v>2042</v>
      </c>
      <c r="B682" s="8" t="s">
        <v>179</v>
      </c>
      <c r="C682" s="8" t="str">
        <f t="shared" si="14"/>
        <v>att_muscle:pop</v>
      </c>
      <c r="D682" s="9" t="s">
        <v>17</v>
      </c>
      <c r="E682" s="8" t="s">
        <v>2043</v>
      </c>
      <c r="F682" s="8" t="s">
        <v>2044</v>
      </c>
    </row>
    <row r="683" spans="1:6" x14ac:dyDescent="0.15">
      <c r="A683" s="8" t="s">
        <v>2045</v>
      </c>
      <c r="B683" s="8" t="s">
        <v>179</v>
      </c>
      <c r="C683" s="8" t="str">
        <f t="shared" ref="C683:C747" si="15">B683&amp;":"&amp;A683</f>
        <v>att_muscle:pt</v>
      </c>
      <c r="D683" s="9" t="s">
        <v>17</v>
      </c>
      <c r="E683" s="8" t="s">
        <v>2046</v>
      </c>
      <c r="F683" s="8" t="s">
        <v>2047</v>
      </c>
    </row>
    <row r="684" spans="1:6" x14ac:dyDescent="0.15">
      <c r="A684" s="8" t="s">
        <v>2048</v>
      </c>
      <c r="B684" s="8" t="s">
        <v>179</v>
      </c>
      <c r="C684" s="8" t="str">
        <f t="shared" si="15"/>
        <v>att_muscle:pte</v>
      </c>
      <c r="D684" s="9" t="s">
        <v>17</v>
      </c>
      <c r="E684" s="8" t="s">
        <v>2049</v>
      </c>
      <c r="F684" s="8" t="s">
        <v>2050</v>
      </c>
    </row>
    <row r="685" spans="1:6" x14ac:dyDescent="0.15">
      <c r="A685" s="8" t="s">
        <v>2051</v>
      </c>
      <c r="B685" s="8" t="s">
        <v>179</v>
      </c>
      <c r="C685" s="8" t="str">
        <f t="shared" si="15"/>
        <v>att_muscle:qf</v>
      </c>
      <c r="D685" s="9" t="s">
        <v>17</v>
      </c>
      <c r="E685" s="8" t="s">
        <v>2052</v>
      </c>
      <c r="F685" s="8" t="s">
        <v>2053</v>
      </c>
    </row>
    <row r="686" spans="1:6" x14ac:dyDescent="0.15">
      <c r="A686" s="8" t="s">
        <v>2054</v>
      </c>
      <c r="B686" s="8" t="s">
        <v>179</v>
      </c>
      <c r="C686" s="8" t="str">
        <f t="shared" si="15"/>
        <v>att_muscle:rf</v>
      </c>
      <c r="D686" s="9" t="s">
        <v>17</v>
      </c>
      <c r="E686" s="8" t="s">
        <v>2055</v>
      </c>
      <c r="F686" s="8" t="s">
        <v>2056</v>
      </c>
    </row>
    <row r="687" spans="1:6" x14ac:dyDescent="0.15">
      <c r="A687" s="8" t="s">
        <v>2057</v>
      </c>
      <c r="B687" s="8" t="s">
        <v>179</v>
      </c>
      <c r="C687" s="8" t="str">
        <f t="shared" si="15"/>
        <v>att_muscle:sm</v>
      </c>
      <c r="D687" s="9" t="s">
        <v>17</v>
      </c>
      <c r="E687" s="8" t="s">
        <v>2058</v>
      </c>
      <c r="F687" s="8" t="s">
        <v>2059</v>
      </c>
    </row>
    <row r="688" spans="1:6" x14ac:dyDescent="0.15">
      <c r="A688" s="8" t="s">
        <v>2060</v>
      </c>
      <c r="B688" s="8" t="s">
        <v>179</v>
      </c>
      <c r="C688" s="8" t="str">
        <f t="shared" si="15"/>
        <v>att_muscle:sol</v>
      </c>
      <c r="D688" s="9" t="s">
        <v>17</v>
      </c>
      <c r="E688" s="8" t="s">
        <v>2061</v>
      </c>
      <c r="F688" s="8" t="s">
        <v>2062</v>
      </c>
    </row>
    <row r="689" spans="1:6" x14ac:dyDescent="0.15">
      <c r="A689" s="8" t="s">
        <v>2063</v>
      </c>
      <c r="B689" s="8" t="s">
        <v>179</v>
      </c>
      <c r="C689" s="8" t="str">
        <f t="shared" si="15"/>
        <v>att_muscle:st</v>
      </c>
      <c r="D689" s="9" t="s">
        <v>17</v>
      </c>
      <c r="E689" s="8" t="s">
        <v>2064</v>
      </c>
      <c r="F689" s="8" t="s">
        <v>2065</v>
      </c>
    </row>
    <row r="690" spans="1:6" x14ac:dyDescent="0.15">
      <c r="A690" s="8" t="s">
        <v>2066</v>
      </c>
      <c r="B690" s="8" t="s">
        <v>179</v>
      </c>
      <c r="C690" s="8" t="str">
        <f t="shared" si="15"/>
        <v>att_muscle:ta</v>
      </c>
      <c r="D690" s="9" t="s">
        <v>17</v>
      </c>
      <c r="E690" s="8" t="s">
        <v>2067</v>
      </c>
      <c r="F690" s="8" t="s">
        <v>2068</v>
      </c>
    </row>
    <row r="691" spans="1:6" x14ac:dyDescent="0.15">
      <c r="A691" s="8" t="s">
        <v>2069</v>
      </c>
      <c r="B691" s="8" t="s">
        <v>179</v>
      </c>
      <c r="C691" s="8" t="str">
        <f t="shared" si="15"/>
        <v>att_muscle:tbl</v>
      </c>
      <c r="D691" s="9" t="s">
        <v>17</v>
      </c>
      <c r="E691" s="8" t="s">
        <v>2070</v>
      </c>
      <c r="F691" s="8" t="s">
        <v>2071</v>
      </c>
    </row>
    <row r="692" spans="1:6" x14ac:dyDescent="0.15">
      <c r="A692" s="8" t="s">
        <v>2072</v>
      </c>
      <c r="B692" s="8" t="s">
        <v>179</v>
      </c>
      <c r="C692" s="8" t="str">
        <f t="shared" si="15"/>
        <v>att_muscle:tbm</v>
      </c>
      <c r="D692" s="9" t="s">
        <v>17</v>
      </c>
      <c r="E692" s="8" t="s">
        <v>2073</v>
      </c>
      <c r="F692" s="8" t="s">
        <v>2074</v>
      </c>
    </row>
    <row r="693" spans="1:6" x14ac:dyDescent="0.15">
      <c r="A693" s="8" t="s">
        <v>2075</v>
      </c>
      <c r="B693" s="8" t="s">
        <v>179</v>
      </c>
      <c r="C693" s="8" t="str">
        <f t="shared" si="15"/>
        <v>att_muscle:tbo</v>
      </c>
      <c r="D693" s="9" t="s">
        <v>17</v>
      </c>
      <c r="E693" s="8" t="s">
        <v>2076</v>
      </c>
      <c r="F693" s="8" t="s">
        <v>2077</v>
      </c>
    </row>
    <row r="694" spans="1:6" x14ac:dyDescent="0.15">
      <c r="A694" s="8" t="s">
        <v>2078</v>
      </c>
      <c r="B694" s="8" t="s">
        <v>179</v>
      </c>
      <c r="C694" s="8" t="str">
        <f t="shared" si="15"/>
        <v>att_muscle:tp</v>
      </c>
      <c r="D694" s="9" t="s">
        <v>17</v>
      </c>
      <c r="E694" s="8" t="s">
        <v>2079</v>
      </c>
      <c r="F694" s="8" t="s">
        <v>2080</v>
      </c>
    </row>
    <row r="695" spans="1:6" x14ac:dyDescent="0.15">
      <c r="A695" s="8" t="s">
        <v>2081</v>
      </c>
      <c r="B695" s="8" t="s">
        <v>179</v>
      </c>
      <c r="C695" s="8" t="str">
        <f t="shared" si="15"/>
        <v>att_muscle:vi</v>
      </c>
      <c r="D695" s="9" t="s">
        <v>17</v>
      </c>
      <c r="E695" s="8" t="s">
        <v>2082</v>
      </c>
      <c r="F695" s="8" t="s">
        <v>2083</v>
      </c>
    </row>
    <row r="696" spans="1:6" x14ac:dyDescent="0.15">
      <c r="A696" s="8" t="s">
        <v>2084</v>
      </c>
      <c r="B696" s="8" t="s">
        <v>179</v>
      </c>
      <c r="C696" s="8" t="str">
        <f t="shared" si="15"/>
        <v>att_muscle:vl</v>
      </c>
      <c r="D696" s="9" t="s">
        <v>17</v>
      </c>
      <c r="E696" s="8" t="s">
        <v>2085</v>
      </c>
      <c r="F696" s="8" t="s">
        <v>2086</v>
      </c>
    </row>
    <row r="697" spans="1:6" x14ac:dyDescent="0.15">
      <c r="A697" s="8" t="s">
        <v>2087</v>
      </c>
      <c r="B697" s="8" t="s">
        <v>179</v>
      </c>
      <c r="C697" s="8" t="str">
        <f t="shared" si="15"/>
        <v>att_muscle:vm</v>
      </c>
      <c r="D697" s="9" t="s">
        <v>17</v>
      </c>
      <c r="E697" s="8" t="s">
        <v>2088</v>
      </c>
      <c r="F697" s="8" t="s">
        <v>2089</v>
      </c>
    </row>
    <row r="698" spans="1:6" x14ac:dyDescent="0.15">
      <c r="A698" s="8" t="s">
        <v>2816</v>
      </c>
      <c r="B698" s="8" t="s">
        <v>179</v>
      </c>
      <c r="C698" s="8" t="str">
        <f t="shared" si="15"/>
        <v>att_muscle:quad</v>
      </c>
      <c r="D698" s="9" t="s">
        <v>17</v>
      </c>
      <c r="E698" s="8" t="s">
        <v>2817</v>
      </c>
      <c r="F698" s="8" t="s">
        <v>2818</v>
      </c>
    </row>
    <row r="699" spans="1:6" x14ac:dyDescent="0.15">
      <c r="A699" s="8" t="s">
        <v>2090</v>
      </c>
      <c r="B699" s="8" t="s">
        <v>182</v>
      </c>
      <c r="C699" s="8" t="str">
        <f t="shared" si="15"/>
        <v>att_offline_frac_instrument:zirconium</v>
      </c>
      <c r="D699" s="9" t="s">
        <v>17</v>
      </c>
      <c r="E699" s="8" t="s">
        <v>2091</v>
      </c>
      <c r="F699" s="8" t="s">
        <v>2092</v>
      </c>
    </row>
    <row r="700" spans="1:6" x14ac:dyDescent="0.15">
      <c r="A700" s="8" t="s">
        <v>2093</v>
      </c>
      <c r="B700" s="8" t="s">
        <v>183</v>
      </c>
      <c r="C700" s="8" t="str">
        <f t="shared" si="15"/>
        <v>att_offline_fractionation:bgpage</v>
      </c>
      <c r="D700" s="9" t="s">
        <v>17</v>
      </c>
      <c r="E700" s="8" t="s">
        <v>2094</v>
      </c>
      <c r="F700" s="8" t="s">
        <v>2095</v>
      </c>
    </row>
    <row r="701" spans="1:6" x14ac:dyDescent="0.15">
      <c r="A701" s="8" t="s">
        <v>2096</v>
      </c>
      <c r="B701" s="8" t="s">
        <v>183</v>
      </c>
      <c r="C701" s="8" t="str">
        <f t="shared" si="15"/>
        <v>att_offline_fractionation:highph_hplc</v>
      </c>
      <c r="D701" s="9" t="s">
        <v>17</v>
      </c>
      <c r="E701" s="8" t="s">
        <v>2097</v>
      </c>
      <c r="F701" s="8" t="s">
        <v>2098</v>
      </c>
    </row>
    <row r="702" spans="1:6" x14ac:dyDescent="0.15">
      <c r="A702" s="8" t="s">
        <v>2099</v>
      </c>
      <c r="B702" s="8" t="s">
        <v>183</v>
      </c>
      <c r="C702" s="8" t="str">
        <f t="shared" si="15"/>
        <v>att_offline_fractionation:highph_tip</v>
      </c>
      <c r="D702" s="9" t="s">
        <v>17</v>
      </c>
      <c r="E702" s="8" t="s">
        <v>2100</v>
      </c>
      <c r="F702" s="8" t="s">
        <v>2101</v>
      </c>
    </row>
    <row r="703" spans="1:6" x14ac:dyDescent="0.15">
      <c r="A703" s="8" t="s">
        <v>2102</v>
      </c>
      <c r="B703" s="8" t="s">
        <v>183</v>
      </c>
      <c r="C703" s="8" t="str">
        <f t="shared" si="15"/>
        <v>att_offline_fractionation:sax</v>
      </c>
      <c r="D703" s="9" t="s">
        <v>17</v>
      </c>
      <c r="E703" s="8" t="s">
        <v>2103</v>
      </c>
      <c r="F703" s="8" t="s">
        <v>2104</v>
      </c>
    </row>
    <row r="704" spans="1:6" x14ac:dyDescent="0.15">
      <c r="A704" s="8" t="s">
        <v>2105</v>
      </c>
      <c r="B704" s="8" t="s">
        <v>183</v>
      </c>
      <c r="C704" s="8" t="str">
        <f t="shared" si="15"/>
        <v>att_offline_fractionation:scx</v>
      </c>
      <c r="D704" s="9" t="s">
        <v>17</v>
      </c>
      <c r="E704" s="8" t="s">
        <v>2106</v>
      </c>
      <c r="F704" s="8" t="s">
        <v>2107</v>
      </c>
    </row>
    <row r="705" spans="1:6" x14ac:dyDescent="0.15">
      <c r="A705" s="8" t="s">
        <v>2108</v>
      </c>
      <c r="B705" s="8" t="s">
        <v>183</v>
      </c>
      <c r="C705" s="8" t="str">
        <f t="shared" si="15"/>
        <v>att_offline_fractionation:sdspage</v>
      </c>
      <c r="D705" s="9" t="s">
        <v>17</v>
      </c>
      <c r="E705" s="8" t="s">
        <v>2109</v>
      </c>
      <c r="F705" s="8" t="s">
        <v>2110</v>
      </c>
    </row>
    <row r="706" spans="1:6" x14ac:dyDescent="0.15">
      <c r="A706" s="8" t="s">
        <v>2111</v>
      </c>
      <c r="B706" s="8" t="s">
        <v>193</v>
      </c>
      <c r="C706" s="8" t="str">
        <f t="shared" si="15"/>
        <v>att_omics_type:proteomics</v>
      </c>
      <c r="D706" s="9" t="s">
        <v>17</v>
      </c>
      <c r="E706" s="8" t="s">
        <v>2112</v>
      </c>
      <c r="F706" s="8" t="s">
        <v>2113</v>
      </c>
    </row>
    <row r="707" spans="1:6" x14ac:dyDescent="0.15">
      <c r="A707" s="8" t="s">
        <v>2114</v>
      </c>
      <c r="B707" s="8" t="s">
        <v>180</v>
      </c>
      <c r="C707" s="8" t="str">
        <f t="shared" si="15"/>
        <v>att_organ:appendix</v>
      </c>
      <c r="D707" s="8" t="s">
        <v>2114</v>
      </c>
      <c r="E707" s="8" t="s">
        <v>2115</v>
      </c>
      <c r="F707" s="8" t="s">
        <v>2115</v>
      </c>
    </row>
    <row r="708" spans="1:6" x14ac:dyDescent="0.15">
      <c r="A708" s="8" t="s">
        <v>2116</v>
      </c>
      <c r="B708" s="8" t="s">
        <v>180</v>
      </c>
      <c r="C708" s="8" t="str">
        <f t="shared" si="15"/>
        <v>att_organ:arteries</v>
      </c>
      <c r="D708" s="8" t="s">
        <v>2116</v>
      </c>
      <c r="E708" s="8" t="s">
        <v>2117</v>
      </c>
      <c r="F708" s="8" t="s">
        <v>2117</v>
      </c>
    </row>
    <row r="709" spans="1:6" x14ac:dyDescent="0.15">
      <c r="A709" s="8" t="s">
        <v>2118</v>
      </c>
      <c r="B709" s="8" t="s">
        <v>180</v>
      </c>
      <c r="C709" s="8" t="str">
        <f t="shared" si="15"/>
        <v>att_organ:bladder</v>
      </c>
      <c r="D709" s="8" t="s">
        <v>2118</v>
      </c>
      <c r="E709" s="8" t="s">
        <v>2119</v>
      </c>
      <c r="F709" s="8" t="s">
        <v>2119</v>
      </c>
    </row>
    <row r="710" spans="1:6" x14ac:dyDescent="0.15">
      <c r="A710" s="8" t="s">
        <v>2120</v>
      </c>
      <c r="B710" s="8" t="s">
        <v>180</v>
      </c>
      <c r="C710" s="8" t="str">
        <f t="shared" si="15"/>
        <v>att_organ:bone_marrow</v>
      </c>
      <c r="D710" s="8" t="s">
        <v>2120</v>
      </c>
      <c r="E710" s="8" t="s">
        <v>2121</v>
      </c>
      <c r="F710" s="8" t="s">
        <v>2121</v>
      </c>
    </row>
    <row r="711" spans="1:6" x14ac:dyDescent="0.15">
      <c r="A711" s="8" t="s">
        <v>2122</v>
      </c>
      <c r="B711" s="8" t="s">
        <v>180</v>
      </c>
      <c r="C711" s="8" t="str">
        <f t="shared" si="15"/>
        <v>att_organ:brain</v>
      </c>
      <c r="D711" s="8" t="s">
        <v>2122</v>
      </c>
      <c r="E711" s="8" t="s">
        <v>2123</v>
      </c>
      <c r="F711" s="8" t="s">
        <v>2123</v>
      </c>
    </row>
    <row r="712" spans="1:6" x14ac:dyDescent="0.15">
      <c r="A712" s="8" t="s">
        <v>2124</v>
      </c>
      <c r="B712" s="8" t="s">
        <v>180</v>
      </c>
      <c r="C712" s="8" t="str">
        <f t="shared" si="15"/>
        <v>att_organ:bronchi</v>
      </c>
      <c r="D712" s="8" t="s">
        <v>2124</v>
      </c>
      <c r="E712" s="8" t="s">
        <v>2125</v>
      </c>
      <c r="F712" s="8" t="s">
        <v>2125</v>
      </c>
    </row>
    <row r="713" spans="1:6" x14ac:dyDescent="0.15">
      <c r="A713" s="8" t="s">
        <v>2126</v>
      </c>
      <c r="B713" s="8" t="s">
        <v>180</v>
      </c>
      <c r="C713" s="8" t="str">
        <f t="shared" si="15"/>
        <v>att_organ:cecum</v>
      </c>
      <c r="D713" s="8" t="s">
        <v>2126</v>
      </c>
      <c r="E713" s="8" t="s">
        <v>2127</v>
      </c>
      <c r="F713" s="8" t="s">
        <v>2127</v>
      </c>
    </row>
    <row r="714" spans="1:6" x14ac:dyDescent="0.15">
      <c r="A714" s="8" t="s">
        <v>2128</v>
      </c>
      <c r="B714" s="8" t="s">
        <v>180</v>
      </c>
      <c r="C714" s="8" t="str">
        <f t="shared" si="15"/>
        <v>att_organ:cerebellum</v>
      </c>
      <c r="D714" s="8" t="s">
        <v>2128</v>
      </c>
      <c r="E714" s="8" t="s">
        <v>2129</v>
      </c>
      <c r="F714" s="8" t="s">
        <v>2129</v>
      </c>
    </row>
    <row r="715" spans="1:6" x14ac:dyDescent="0.15">
      <c r="A715" s="8" t="s">
        <v>2130</v>
      </c>
      <c r="B715" s="8" t="s">
        <v>180</v>
      </c>
      <c r="C715" s="8" t="str">
        <f t="shared" si="15"/>
        <v>att_organ:cerebrum</v>
      </c>
      <c r="D715" s="8" t="s">
        <v>2130</v>
      </c>
      <c r="E715" s="8" t="s">
        <v>2131</v>
      </c>
      <c r="F715" s="8" t="s">
        <v>2131</v>
      </c>
    </row>
    <row r="716" spans="1:6" x14ac:dyDescent="0.15">
      <c r="A716" s="8" t="s">
        <v>2132</v>
      </c>
      <c r="B716" s="8" t="s">
        <v>180</v>
      </c>
      <c r="C716" s="8" t="str">
        <f t="shared" si="15"/>
        <v>att_organ:ear</v>
      </c>
      <c r="D716" s="8" t="s">
        <v>2132</v>
      </c>
      <c r="E716" s="8" t="s">
        <v>2133</v>
      </c>
      <c r="F716" s="8" t="s">
        <v>2133</v>
      </c>
    </row>
    <row r="717" spans="1:6" x14ac:dyDescent="0.15">
      <c r="A717" s="8" t="s">
        <v>2134</v>
      </c>
      <c r="B717" s="8" t="s">
        <v>180</v>
      </c>
      <c r="C717" s="8" t="str">
        <f t="shared" si="15"/>
        <v>att_organ:esophagus</v>
      </c>
      <c r="D717" s="8" t="s">
        <v>2134</v>
      </c>
      <c r="E717" s="8" t="s">
        <v>2135</v>
      </c>
      <c r="F717" s="8" t="s">
        <v>2135</v>
      </c>
    </row>
    <row r="718" spans="1:6" x14ac:dyDescent="0.15">
      <c r="A718" s="8" t="s">
        <v>2136</v>
      </c>
      <c r="B718" s="8" t="s">
        <v>180</v>
      </c>
      <c r="C718" s="8" t="str">
        <f t="shared" si="15"/>
        <v>att_organ:eye</v>
      </c>
      <c r="D718" s="8" t="s">
        <v>2136</v>
      </c>
      <c r="E718" s="8" t="s">
        <v>2137</v>
      </c>
      <c r="F718" s="8" t="s">
        <v>2137</v>
      </c>
    </row>
    <row r="719" spans="1:6" x14ac:dyDescent="0.15">
      <c r="A719" s="8" t="s">
        <v>2138</v>
      </c>
      <c r="B719" s="8" t="s">
        <v>180</v>
      </c>
      <c r="C719" s="8" t="str">
        <f t="shared" si="15"/>
        <v>att_organ:gallbladder</v>
      </c>
      <c r="D719" s="8" t="s">
        <v>2138</v>
      </c>
      <c r="E719" s="8" t="s">
        <v>2139</v>
      </c>
      <c r="F719" s="8" t="s">
        <v>2139</v>
      </c>
    </row>
    <row r="720" spans="1:6" x14ac:dyDescent="0.15">
      <c r="A720" s="8" t="s">
        <v>2140</v>
      </c>
      <c r="B720" s="8" t="s">
        <v>180</v>
      </c>
      <c r="C720" s="8" t="str">
        <f t="shared" si="15"/>
        <v>att_organ:ganglia</v>
      </c>
      <c r="D720" s="8" t="s">
        <v>2140</v>
      </c>
      <c r="E720" s="8" t="s">
        <v>2141</v>
      </c>
      <c r="F720" s="8" t="s">
        <v>2141</v>
      </c>
    </row>
    <row r="721" spans="1:6" x14ac:dyDescent="0.15">
      <c r="A721" s="8" t="s">
        <v>2142</v>
      </c>
      <c r="B721" s="8" t="s">
        <v>180</v>
      </c>
      <c r="C721" s="8" t="str">
        <f t="shared" si="15"/>
        <v>att_organ:heart</v>
      </c>
      <c r="D721" s="8" t="s">
        <v>2142</v>
      </c>
      <c r="E721" s="8" t="s">
        <v>2143</v>
      </c>
      <c r="F721" s="8" t="s">
        <v>2143</v>
      </c>
    </row>
    <row r="722" spans="1:6" x14ac:dyDescent="0.15">
      <c r="A722" s="8" t="s">
        <v>2144</v>
      </c>
      <c r="B722" s="8" t="s">
        <v>180</v>
      </c>
      <c r="C722" s="8" t="str">
        <f t="shared" si="15"/>
        <v>att_organ:hypothalamus</v>
      </c>
      <c r="D722" s="8" t="s">
        <v>2144</v>
      </c>
      <c r="E722" s="8" t="s">
        <v>2145</v>
      </c>
      <c r="F722" s="8" t="s">
        <v>2145</v>
      </c>
    </row>
    <row r="723" spans="1:6" x14ac:dyDescent="0.15">
      <c r="A723" s="8" t="s">
        <v>2146</v>
      </c>
      <c r="B723" s="8" t="s">
        <v>180</v>
      </c>
      <c r="C723" s="8" t="str">
        <f t="shared" si="15"/>
        <v>att_organ:kidney</v>
      </c>
      <c r="D723" s="8" t="s">
        <v>2146</v>
      </c>
      <c r="E723" s="8" t="s">
        <v>2147</v>
      </c>
      <c r="F723" s="8" t="s">
        <v>2147</v>
      </c>
    </row>
    <row r="724" spans="1:6" x14ac:dyDescent="0.15">
      <c r="A724" s="8" t="s">
        <v>2148</v>
      </c>
      <c r="B724" s="8" t="s">
        <v>180</v>
      </c>
      <c r="C724" s="8" t="str">
        <f t="shared" si="15"/>
        <v>att_organ:large_intestine</v>
      </c>
      <c r="D724" s="8" t="s">
        <v>2149</v>
      </c>
      <c r="E724" s="8" t="s">
        <v>2150</v>
      </c>
      <c r="F724" s="8" t="s">
        <v>2151</v>
      </c>
    </row>
    <row r="725" spans="1:6" x14ac:dyDescent="0.15">
      <c r="A725" s="8" t="s">
        <v>2152</v>
      </c>
      <c r="B725" s="8" t="s">
        <v>180</v>
      </c>
      <c r="C725" s="8" t="str">
        <f t="shared" si="15"/>
        <v>att_organ:liver</v>
      </c>
      <c r="D725" s="8" t="s">
        <v>2152</v>
      </c>
      <c r="E725" s="8" t="s">
        <v>2153</v>
      </c>
      <c r="F725" s="8" t="s">
        <v>2153</v>
      </c>
    </row>
    <row r="726" spans="1:6" x14ac:dyDescent="0.15">
      <c r="A726" s="8" t="s">
        <v>2154</v>
      </c>
      <c r="B726" s="8" t="s">
        <v>180</v>
      </c>
      <c r="C726" s="8" t="str">
        <f t="shared" si="15"/>
        <v>att_organ:lung</v>
      </c>
      <c r="D726" s="8" t="s">
        <v>2154</v>
      </c>
      <c r="E726" s="8" t="s">
        <v>2155</v>
      </c>
      <c r="F726" s="8" t="s">
        <v>2155</v>
      </c>
    </row>
    <row r="727" spans="1:6" x14ac:dyDescent="0.15">
      <c r="A727" s="8" t="s">
        <v>2156</v>
      </c>
      <c r="B727" s="8" t="s">
        <v>180</v>
      </c>
      <c r="C727" s="8" t="str">
        <f t="shared" si="15"/>
        <v>att_organ:lymph_node</v>
      </c>
      <c r="D727" s="8" t="s">
        <v>1212</v>
      </c>
      <c r="E727" s="8" t="s">
        <v>2157</v>
      </c>
      <c r="F727" s="8" t="s">
        <v>2157</v>
      </c>
    </row>
    <row r="728" spans="1:6" x14ac:dyDescent="0.15">
      <c r="A728" s="8" t="s">
        <v>2158</v>
      </c>
      <c r="B728" s="8" t="s">
        <v>180</v>
      </c>
      <c r="C728" s="8" t="str">
        <f t="shared" si="15"/>
        <v>att_organ:medulla</v>
      </c>
      <c r="D728" s="8" t="s">
        <v>2158</v>
      </c>
      <c r="E728" s="8" t="s">
        <v>2159</v>
      </c>
      <c r="F728" s="8" t="s">
        <v>2159</v>
      </c>
    </row>
    <row r="729" spans="1:6" x14ac:dyDescent="0.15">
      <c r="A729" s="8" t="s">
        <v>2160</v>
      </c>
      <c r="B729" s="8" t="s">
        <v>180</v>
      </c>
      <c r="C729" s="8" t="str">
        <f t="shared" si="15"/>
        <v>att_organ:mesentery</v>
      </c>
      <c r="D729" s="8" t="s">
        <v>2160</v>
      </c>
      <c r="E729" s="8" t="s">
        <v>2161</v>
      </c>
      <c r="F729" s="8" t="s">
        <v>2161</v>
      </c>
    </row>
    <row r="730" spans="1:6" x14ac:dyDescent="0.15">
      <c r="A730" s="8" t="s">
        <v>2162</v>
      </c>
      <c r="B730" s="8" t="s">
        <v>180</v>
      </c>
      <c r="C730" s="8" t="str">
        <f t="shared" si="15"/>
        <v>att_organ:midbrain</v>
      </c>
      <c r="D730" s="8" t="s">
        <v>2162</v>
      </c>
      <c r="E730" s="8" t="s">
        <v>2163</v>
      </c>
      <c r="F730" s="8" t="s">
        <v>2163</v>
      </c>
    </row>
    <row r="731" spans="1:6" x14ac:dyDescent="0.15">
      <c r="A731" s="8" t="s">
        <v>2164</v>
      </c>
      <c r="B731" s="8" t="s">
        <v>180</v>
      </c>
      <c r="C731" s="8" t="str">
        <f t="shared" si="15"/>
        <v>att_organ:ovaries</v>
      </c>
      <c r="D731" s="8" t="s">
        <v>2164</v>
      </c>
      <c r="E731" s="8" t="s">
        <v>2165</v>
      </c>
      <c r="F731" s="8" t="s">
        <v>2165</v>
      </c>
    </row>
    <row r="732" spans="1:6" x14ac:dyDescent="0.15">
      <c r="A732" s="8" t="s">
        <v>2166</v>
      </c>
      <c r="B732" s="8" t="s">
        <v>180</v>
      </c>
      <c r="C732" s="8" t="str">
        <f t="shared" si="15"/>
        <v>att_organ:pancreas</v>
      </c>
      <c r="D732" s="8" t="s">
        <v>2166</v>
      </c>
      <c r="E732" s="8" t="s">
        <v>2167</v>
      </c>
      <c r="F732" s="8" t="s">
        <v>2167</v>
      </c>
    </row>
    <row r="733" spans="1:6" x14ac:dyDescent="0.15">
      <c r="A733" s="8" t="s">
        <v>2168</v>
      </c>
      <c r="B733" s="8" t="s">
        <v>180</v>
      </c>
      <c r="C733" s="8" t="str">
        <f t="shared" si="15"/>
        <v>att_organ:pons</v>
      </c>
      <c r="D733" s="8" t="s">
        <v>2168</v>
      </c>
      <c r="E733" s="8" t="s">
        <v>2169</v>
      </c>
      <c r="F733" s="8" t="s">
        <v>2169</v>
      </c>
    </row>
    <row r="734" spans="1:6" x14ac:dyDescent="0.15">
      <c r="A734" s="8" t="s">
        <v>2170</v>
      </c>
      <c r="B734" s="8" t="s">
        <v>180</v>
      </c>
      <c r="C734" s="8" t="str">
        <f t="shared" si="15"/>
        <v>att_organ:prostate</v>
      </c>
      <c r="D734" s="8" t="s">
        <v>2170</v>
      </c>
      <c r="E734" s="8" t="s">
        <v>2171</v>
      </c>
      <c r="F734" s="8" t="s">
        <v>2171</v>
      </c>
    </row>
    <row r="735" spans="1:6" x14ac:dyDescent="0.15">
      <c r="A735" s="8" t="s">
        <v>2172</v>
      </c>
      <c r="B735" s="8" t="s">
        <v>180</v>
      </c>
      <c r="C735" s="8" t="str">
        <f t="shared" si="15"/>
        <v>att_organ:rectum</v>
      </c>
      <c r="D735" s="8" t="s">
        <v>2172</v>
      </c>
      <c r="E735" s="8" t="s">
        <v>2173</v>
      </c>
      <c r="F735" s="8" t="s">
        <v>2173</v>
      </c>
    </row>
    <row r="736" spans="1:6" x14ac:dyDescent="0.15">
      <c r="A736" s="8" t="s">
        <v>2174</v>
      </c>
      <c r="B736" s="8" t="s">
        <v>180</v>
      </c>
      <c r="C736" s="8" t="str">
        <f t="shared" si="15"/>
        <v>att_organ:small_intestine</v>
      </c>
      <c r="D736" s="8" t="s">
        <v>2175</v>
      </c>
      <c r="E736" s="8" t="s">
        <v>2176</v>
      </c>
      <c r="F736" s="8" t="s">
        <v>2177</v>
      </c>
    </row>
    <row r="737" spans="1:6" x14ac:dyDescent="0.15">
      <c r="A737" s="8" t="s">
        <v>2178</v>
      </c>
      <c r="B737" s="8" t="s">
        <v>180</v>
      </c>
      <c r="C737" s="8" t="str">
        <f t="shared" si="15"/>
        <v>att_organ:spinal_cord</v>
      </c>
      <c r="D737" s="8" t="s">
        <v>2178</v>
      </c>
      <c r="E737" s="8" t="s">
        <v>2179</v>
      </c>
      <c r="F737" s="8" t="s">
        <v>2180</v>
      </c>
    </row>
    <row r="738" spans="1:6" x14ac:dyDescent="0.15">
      <c r="A738" s="8" t="s">
        <v>2181</v>
      </c>
      <c r="B738" s="8" t="s">
        <v>180</v>
      </c>
      <c r="C738" s="8" t="str">
        <f t="shared" si="15"/>
        <v>att_organ:spleen</v>
      </c>
      <c r="D738" s="8" t="s">
        <v>2181</v>
      </c>
      <c r="E738" s="8" t="s">
        <v>2182</v>
      </c>
      <c r="F738" s="8" t="s">
        <v>2182</v>
      </c>
    </row>
    <row r="739" spans="1:6" x14ac:dyDescent="0.15">
      <c r="A739" s="8" t="s">
        <v>2183</v>
      </c>
      <c r="B739" s="8" t="s">
        <v>180</v>
      </c>
      <c r="C739" s="8" t="str">
        <f t="shared" si="15"/>
        <v>att_organ:stomach</v>
      </c>
      <c r="D739" s="8" t="s">
        <v>2183</v>
      </c>
      <c r="E739" s="8" t="s">
        <v>2184</v>
      </c>
      <c r="F739" s="8" t="s">
        <v>2184</v>
      </c>
    </row>
    <row r="740" spans="1:6" x14ac:dyDescent="0.15">
      <c r="A740" s="8" t="s">
        <v>2185</v>
      </c>
      <c r="B740" s="8" t="s">
        <v>180</v>
      </c>
      <c r="C740" s="8" t="str">
        <f t="shared" si="15"/>
        <v>att_organ:testicles</v>
      </c>
      <c r="D740" s="8" t="s">
        <v>2185</v>
      </c>
      <c r="E740" s="8" t="s">
        <v>2186</v>
      </c>
      <c r="F740" s="8" t="s">
        <v>2186</v>
      </c>
    </row>
    <row r="741" spans="1:6" x14ac:dyDescent="0.15">
      <c r="A741" s="8" t="s">
        <v>2187</v>
      </c>
      <c r="B741" s="8" t="s">
        <v>180</v>
      </c>
      <c r="C741" s="8" t="str">
        <f t="shared" si="15"/>
        <v>att_organ:thalamus</v>
      </c>
      <c r="D741" s="8" t="s">
        <v>2187</v>
      </c>
      <c r="E741" s="8" t="s">
        <v>2188</v>
      </c>
      <c r="F741" s="8" t="s">
        <v>2188</v>
      </c>
    </row>
    <row r="742" spans="1:6" x14ac:dyDescent="0.15">
      <c r="A742" s="8" t="s">
        <v>2189</v>
      </c>
      <c r="B742" s="8" t="s">
        <v>180</v>
      </c>
      <c r="C742" s="8" t="str">
        <f t="shared" si="15"/>
        <v>att_organ:thymus</v>
      </c>
      <c r="D742" s="8" t="s">
        <v>2189</v>
      </c>
      <c r="E742" s="8" t="s">
        <v>2190</v>
      </c>
      <c r="F742" s="8" t="s">
        <v>2190</v>
      </c>
    </row>
    <row r="743" spans="1:6" x14ac:dyDescent="0.15">
      <c r="A743" s="8" t="s">
        <v>2191</v>
      </c>
      <c r="B743" s="8" t="s">
        <v>180</v>
      </c>
      <c r="C743" s="8" t="str">
        <f t="shared" si="15"/>
        <v>att_organ:tongue</v>
      </c>
      <c r="D743" s="8" t="s">
        <v>2191</v>
      </c>
      <c r="E743" s="8" t="s">
        <v>2192</v>
      </c>
      <c r="F743" s="8" t="s">
        <v>2192</v>
      </c>
    </row>
    <row r="744" spans="1:6" x14ac:dyDescent="0.15">
      <c r="A744" s="8" t="s">
        <v>2193</v>
      </c>
      <c r="B744" s="8" t="s">
        <v>180</v>
      </c>
      <c r="C744" s="8" t="str">
        <f t="shared" si="15"/>
        <v>att_organ:tonsils</v>
      </c>
      <c r="D744" s="8" t="s">
        <v>2193</v>
      </c>
      <c r="E744" s="8" t="s">
        <v>2194</v>
      </c>
      <c r="F744" s="8" t="s">
        <v>2194</v>
      </c>
    </row>
    <row r="745" spans="1:6" x14ac:dyDescent="0.15">
      <c r="A745" s="8" t="s">
        <v>2195</v>
      </c>
      <c r="B745" s="8" t="s">
        <v>180</v>
      </c>
      <c r="C745" s="8" t="str">
        <f t="shared" si="15"/>
        <v>att_organ:uterus</v>
      </c>
      <c r="D745" s="8" t="s">
        <v>2195</v>
      </c>
      <c r="E745" s="8" t="s">
        <v>2196</v>
      </c>
      <c r="F745" s="8" t="s">
        <v>2196</v>
      </c>
    </row>
    <row r="746" spans="1:6" x14ac:dyDescent="0.15">
      <c r="A746" s="8" t="s">
        <v>2197</v>
      </c>
      <c r="B746" s="8" t="s">
        <v>180</v>
      </c>
      <c r="C746" s="8" t="str">
        <f t="shared" si="15"/>
        <v>att_organ:veins</v>
      </c>
      <c r="D746" s="8" t="s">
        <v>2197</v>
      </c>
      <c r="E746" s="8" t="s">
        <v>2198</v>
      </c>
      <c r="F746" s="8" t="s">
        <v>2198</v>
      </c>
    </row>
    <row r="747" spans="1:6" x14ac:dyDescent="0.15">
      <c r="A747" s="8" t="s">
        <v>2199</v>
      </c>
      <c r="B747" s="8" t="s">
        <v>196</v>
      </c>
      <c r="C747" s="8" t="str">
        <f t="shared" si="15"/>
        <v>att_organism:UP000000589</v>
      </c>
      <c r="D747" s="8" t="s">
        <v>2200</v>
      </c>
      <c r="E747" s="8" t="s">
        <v>2201</v>
      </c>
      <c r="F747" s="8" t="s">
        <v>2202</v>
      </c>
    </row>
    <row r="748" spans="1:6" x14ac:dyDescent="0.15">
      <c r="A748" s="8" t="s">
        <v>2203</v>
      </c>
      <c r="B748" s="8" t="s">
        <v>196</v>
      </c>
      <c r="C748" s="8" t="str">
        <f t="shared" ref="C748:C817" si="16">B748&amp;":"&amp;A748</f>
        <v>att_organism:UP000001940</v>
      </c>
      <c r="D748" s="8" t="s">
        <v>2204</v>
      </c>
      <c r="E748" s="8" t="s">
        <v>2205</v>
      </c>
      <c r="F748" s="8" t="s">
        <v>2206</v>
      </c>
    </row>
    <row r="749" spans="1:6" x14ac:dyDescent="0.15">
      <c r="A749" s="8" t="s">
        <v>2207</v>
      </c>
      <c r="B749" s="8" t="s">
        <v>196</v>
      </c>
      <c r="C749" s="8" t="str">
        <f t="shared" si="16"/>
        <v>att_organism:UP000002311</v>
      </c>
      <c r="D749" s="8" t="s">
        <v>2208</v>
      </c>
      <c r="E749" s="8" t="s">
        <v>2209</v>
      </c>
      <c r="F749" s="8" t="s">
        <v>2210</v>
      </c>
    </row>
    <row r="750" spans="1:6" x14ac:dyDescent="0.15">
      <c r="A750" s="8" t="s">
        <v>2211</v>
      </c>
      <c r="B750" s="8" t="s">
        <v>196</v>
      </c>
      <c r="C750" s="8" t="str">
        <f t="shared" si="16"/>
        <v>att_organism:UP000002494</v>
      </c>
      <c r="D750" s="8" t="s">
        <v>2212</v>
      </c>
      <c r="E750" s="8" t="s">
        <v>2213</v>
      </c>
      <c r="F750" s="8" t="s">
        <v>2214</v>
      </c>
    </row>
    <row r="751" spans="1:6" x14ac:dyDescent="0.15">
      <c r="A751" s="8" t="s">
        <v>2215</v>
      </c>
      <c r="B751" s="8" t="s">
        <v>196</v>
      </c>
      <c r="C751" s="8" t="str">
        <f t="shared" si="16"/>
        <v>att_organism:UP000005640</v>
      </c>
      <c r="D751" s="8" t="s">
        <v>2216</v>
      </c>
      <c r="E751" s="8" t="s">
        <v>2217</v>
      </c>
      <c r="F751" s="8" t="s">
        <v>2218</v>
      </c>
    </row>
    <row r="752" spans="1:6" x14ac:dyDescent="0.15">
      <c r="A752" s="8" t="s">
        <v>2929</v>
      </c>
      <c r="B752" s="8" t="s">
        <v>196</v>
      </c>
      <c r="C752" s="8" t="str">
        <f t="shared" si="16"/>
        <v>att_organism:controls</v>
      </c>
      <c r="D752" s="8" t="s">
        <v>2926</v>
      </c>
      <c r="E752" s="8" t="s">
        <v>2927</v>
      </c>
      <c r="F752" s="8" t="s">
        <v>2928</v>
      </c>
    </row>
    <row r="753" spans="1:6" x14ac:dyDescent="0.15">
      <c r="A753" s="8" t="s">
        <v>2219</v>
      </c>
      <c r="B753" s="8" t="s">
        <v>2220</v>
      </c>
      <c r="C753" s="8" t="str">
        <f t="shared" si="16"/>
        <v>att_organsystem:cardiovascular</v>
      </c>
      <c r="D753" s="9" t="s">
        <v>17</v>
      </c>
      <c r="E753" s="8" t="s">
        <v>2221</v>
      </c>
      <c r="F753" s="8" t="s">
        <v>2222</v>
      </c>
    </row>
    <row r="754" spans="1:6" x14ac:dyDescent="0.15">
      <c r="A754" s="8" t="s">
        <v>2223</v>
      </c>
      <c r="B754" s="8" t="s">
        <v>2220</v>
      </c>
      <c r="C754" s="8" t="str">
        <f t="shared" si="16"/>
        <v>att_organsystem:digestive</v>
      </c>
      <c r="D754" s="9" t="s">
        <v>17</v>
      </c>
      <c r="E754" s="8" t="s">
        <v>2224</v>
      </c>
      <c r="F754" s="8" t="s">
        <v>2225</v>
      </c>
    </row>
    <row r="755" spans="1:6" x14ac:dyDescent="0.15">
      <c r="A755" s="8" t="s">
        <v>2226</v>
      </c>
      <c r="B755" s="8" t="s">
        <v>2220</v>
      </c>
      <c r="C755" s="8" t="str">
        <f t="shared" si="16"/>
        <v>att_organsystem:endocrine</v>
      </c>
      <c r="D755" s="9" t="s">
        <v>17</v>
      </c>
      <c r="E755" s="8" t="s">
        <v>2227</v>
      </c>
      <c r="F755" s="8" t="s">
        <v>2228</v>
      </c>
    </row>
    <row r="756" spans="1:6" x14ac:dyDescent="0.15">
      <c r="A756" s="8" t="s">
        <v>2229</v>
      </c>
      <c r="B756" s="8" t="s">
        <v>2220</v>
      </c>
      <c r="C756" s="8" t="str">
        <f t="shared" si="16"/>
        <v>att_organsystem:excretory</v>
      </c>
      <c r="D756" s="9" t="s">
        <v>17</v>
      </c>
      <c r="E756" s="8" t="s">
        <v>2230</v>
      </c>
      <c r="F756" s="8" t="s">
        <v>2231</v>
      </c>
    </row>
    <row r="757" spans="1:6" x14ac:dyDescent="0.15">
      <c r="A757" s="8" t="s">
        <v>2232</v>
      </c>
      <c r="B757" s="8" t="s">
        <v>2220</v>
      </c>
      <c r="C757" s="8" t="str">
        <f t="shared" si="16"/>
        <v>att_organsystem:integumentary</v>
      </c>
      <c r="D757" s="9" t="s">
        <v>17</v>
      </c>
      <c r="E757" s="8" t="s">
        <v>2233</v>
      </c>
      <c r="F757" s="8" t="s">
        <v>2234</v>
      </c>
    </row>
    <row r="758" spans="1:6" x14ac:dyDescent="0.15">
      <c r="A758" s="8" t="s">
        <v>2235</v>
      </c>
      <c r="B758" s="8" t="s">
        <v>2220</v>
      </c>
      <c r="C758" s="8" t="str">
        <f t="shared" si="16"/>
        <v>att_organsystem:lymphatic</v>
      </c>
      <c r="D758" s="9" t="s">
        <v>17</v>
      </c>
      <c r="E758" s="8" t="s">
        <v>2236</v>
      </c>
      <c r="F758" s="8" t="s">
        <v>2237</v>
      </c>
    </row>
    <row r="759" spans="1:6" x14ac:dyDescent="0.15">
      <c r="A759" s="8" t="s">
        <v>2238</v>
      </c>
      <c r="B759" s="8" t="s">
        <v>2220</v>
      </c>
      <c r="C759" s="8" t="str">
        <f t="shared" si="16"/>
        <v>att_organsystem:muscular</v>
      </c>
      <c r="D759" s="9" t="s">
        <v>17</v>
      </c>
      <c r="E759" s="8" t="s">
        <v>2239</v>
      </c>
      <c r="F759" s="8" t="s">
        <v>2240</v>
      </c>
    </row>
    <row r="760" spans="1:6" x14ac:dyDescent="0.15">
      <c r="A760" s="8" t="s">
        <v>2241</v>
      </c>
      <c r="B760" s="8" t="s">
        <v>2220</v>
      </c>
      <c r="C760" s="8" t="str">
        <f t="shared" si="16"/>
        <v>att_organsystem:nervous_system</v>
      </c>
      <c r="D760" s="9" t="s">
        <v>17</v>
      </c>
      <c r="E760" s="8" t="s">
        <v>2242</v>
      </c>
      <c r="F760" s="8" t="s">
        <v>2243</v>
      </c>
    </row>
    <row r="761" spans="1:6" x14ac:dyDescent="0.15">
      <c r="A761" s="8" t="s">
        <v>2244</v>
      </c>
      <c r="B761" s="8" t="s">
        <v>2220</v>
      </c>
      <c r="C761" s="8" t="str">
        <f t="shared" si="16"/>
        <v>att_organsystem:reproductive</v>
      </c>
      <c r="D761" s="9" t="s">
        <v>17</v>
      </c>
      <c r="E761" s="8" t="s">
        <v>2245</v>
      </c>
      <c r="F761" s="8" t="s">
        <v>2246</v>
      </c>
    </row>
    <row r="762" spans="1:6" x14ac:dyDescent="0.15">
      <c r="A762" s="8" t="s">
        <v>2247</v>
      </c>
      <c r="B762" s="8" t="s">
        <v>2220</v>
      </c>
      <c r="C762" s="8" t="str">
        <f t="shared" si="16"/>
        <v>att_organsystem:respiratory</v>
      </c>
      <c r="D762" s="9" t="s">
        <v>17</v>
      </c>
      <c r="E762" s="8" t="s">
        <v>2248</v>
      </c>
      <c r="F762" s="8" t="s">
        <v>2249</v>
      </c>
    </row>
    <row r="763" spans="1:6" x14ac:dyDescent="0.15">
      <c r="A763" s="8" t="s">
        <v>2250</v>
      </c>
      <c r="B763" s="8" t="s">
        <v>2220</v>
      </c>
      <c r="C763" s="8" t="str">
        <f t="shared" si="16"/>
        <v>att_organsystem:skeletal</v>
      </c>
      <c r="D763" s="9" t="s">
        <v>17</v>
      </c>
      <c r="E763" s="8" t="s">
        <v>2251</v>
      </c>
      <c r="F763" s="8" t="s">
        <v>2252</v>
      </c>
    </row>
    <row r="764" spans="1:6" x14ac:dyDescent="0.15">
      <c r="A764" s="8" t="s">
        <v>2253</v>
      </c>
      <c r="B764" s="8" t="s">
        <v>2220</v>
      </c>
      <c r="C764" s="8" t="str">
        <f t="shared" si="16"/>
        <v>att_organsystem:urinary</v>
      </c>
      <c r="D764" s="9" t="s">
        <v>17</v>
      </c>
      <c r="E764" s="8" t="s">
        <v>2254</v>
      </c>
      <c r="F764" s="8" t="s">
        <v>2255</v>
      </c>
    </row>
    <row r="765" spans="1:6" x14ac:dyDescent="0.15">
      <c r="A765" s="8" t="s">
        <v>2256</v>
      </c>
      <c r="B765" s="8" t="s">
        <v>198</v>
      </c>
      <c r="C765" s="8" t="str">
        <f t="shared" si="16"/>
        <v>att_phystraining:intervalcardio</v>
      </c>
      <c r="D765" s="9" t="s">
        <v>17</v>
      </c>
      <c r="E765" s="8" t="s">
        <v>2257</v>
      </c>
      <c r="F765" s="8" t="s">
        <v>2258</v>
      </c>
    </row>
    <row r="766" spans="1:6" x14ac:dyDescent="0.15">
      <c r="A766" s="8" t="s">
        <v>2259</v>
      </c>
      <c r="B766" s="8" t="s">
        <v>198</v>
      </c>
      <c r="C766" s="8" t="str">
        <f t="shared" si="16"/>
        <v>att_phystraining:steadycardio</v>
      </c>
      <c r="D766" s="9" t="s">
        <v>17</v>
      </c>
      <c r="E766" s="8" t="s">
        <v>2836</v>
      </c>
      <c r="F766" s="8" t="s">
        <v>2260</v>
      </c>
    </row>
    <row r="767" spans="1:6" x14ac:dyDescent="0.15">
      <c r="A767" s="8" t="s">
        <v>2261</v>
      </c>
      <c r="B767" s="8" t="s">
        <v>198</v>
      </c>
      <c r="C767" s="8" t="str">
        <f t="shared" si="16"/>
        <v>att_phystraining:strength</v>
      </c>
      <c r="D767" s="9" t="s">
        <v>17</v>
      </c>
      <c r="E767" s="8" t="s">
        <v>2262</v>
      </c>
      <c r="F767" s="8" t="s">
        <v>2263</v>
      </c>
    </row>
    <row r="768" spans="1:6" x14ac:dyDescent="0.15">
      <c r="A768" s="8" t="s">
        <v>2837</v>
      </c>
      <c r="B768" s="8" t="s">
        <v>198</v>
      </c>
      <c r="C768" s="8" t="str">
        <f t="shared" si="16"/>
        <v>att_phystraining:hiit</v>
      </c>
      <c r="D768" s="9" t="s">
        <v>17</v>
      </c>
      <c r="E768" s="8" t="s">
        <v>2838</v>
      </c>
      <c r="F768" s="8" t="s">
        <v>2839</v>
      </c>
    </row>
    <row r="769" spans="1:6" x14ac:dyDescent="0.15">
      <c r="A769" s="8" t="s">
        <v>2264</v>
      </c>
      <c r="B769" s="8" t="s">
        <v>203</v>
      </c>
      <c r="C769" s="8" t="str">
        <f t="shared" si="16"/>
        <v>att_protease:argc</v>
      </c>
      <c r="D769" s="9" t="s">
        <v>17</v>
      </c>
      <c r="E769" s="8" t="s">
        <v>2265</v>
      </c>
      <c r="F769" s="8" t="s">
        <v>2266</v>
      </c>
    </row>
    <row r="770" spans="1:6" x14ac:dyDescent="0.15">
      <c r="A770" s="8" t="s">
        <v>2267</v>
      </c>
      <c r="B770" s="8" t="s">
        <v>203</v>
      </c>
      <c r="C770" s="8" t="str">
        <f t="shared" si="16"/>
        <v>att_protease:aspn</v>
      </c>
      <c r="D770" s="9" t="s">
        <v>17</v>
      </c>
      <c r="E770" s="8" t="s">
        <v>2268</v>
      </c>
      <c r="F770" s="8" t="s">
        <v>2269</v>
      </c>
    </row>
    <row r="771" spans="1:6" x14ac:dyDescent="0.15">
      <c r="A771" s="8" t="s">
        <v>2270</v>
      </c>
      <c r="B771" s="8" t="s">
        <v>203</v>
      </c>
      <c r="C771" s="8" t="str">
        <f t="shared" si="16"/>
        <v>att_protease:chymotrypsin</v>
      </c>
      <c r="D771" s="9" t="s">
        <v>17</v>
      </c>
      <c r="E771" s="8" t="s">
        <v>2271</v>
      </c>
      <c r="F771" s="8" t="s">
        <v>2272</v>
      </c>
    </row>
    <row r="772" spans="1:6" x14ac:dyDescent="0.15">
      <c r="A772" s="8" t="s">
        <v>2273</v>
      </c>
      <c r="B772" s="8" t="s">
        <v>203</v>
      </c>
      <c r="C772" s="8" t="str">
        <f t="shared" si="16"/>
        <v>att_protease:elastase</v>
      </c>
      <c r="D772" s="9" t="s">
        <v>17</v>
      </c>
      <c r="E772" s="8" t="s">
        <v>2274</v>
      </c>
      <c r="F772" s="8" t="s">
        <v>2275</v>
      </c>
    </row>
    <row r="773" spans="1:6" x14ac:dyDescent="0.15">
      <c r="A773" s="8" t="s">
        <v>2276</v>
      </c>
      <c r="B773" s="8" t="s">
        <v>203</v>
      </c>
      <c r="C773" s="8" t="str">
        <f t="shared" si="16"/>
        <v>att_protease:gluc</v>
      </c>
      <c r="D773" s="9" t="s">
        <v>17</v>
      </c>
      <c r="E773" s="8" t="s">
        <v>2277</v>
      </c>
      <c r="F773" s="8" t="s">
        <v>2278</v>
      </c>
    </row>
    <row r="774" spans="1:6" x14ac:dyDescent="0.15">
      <c r="A774" s="8" t="s">
        <v>2279</v>
      </c>
      <c r="B774" s="8" t="s">
        <v>203</v>
      </c>
      <c r="C774" s="8" t="str">
        <f t="shared" si="16"/>
        <v>att_protease:lysc</v>
      </c>
      <c r="D774" s="9" t="s">
        <v>17</v>
      </c>
      <c r="E774" s="8" t="s">
        <v>2280</v>
      </c>
      <c r="F774" s="8" t="s">
        <v>2281</v>
      </c>
    </row>
    <row r="775" spans="1:6" x14ac:dyDescent="0.15">
      <c r="A775" s="8" t="s">
        <v>2282</v>
      </c>
      <c r="B775" s="8" t="s">
        <v>203</v>
      </c>
      <c r="C775" s="8" t="str">
        <f t="shared" si="16"/>
        <v>att_protease:raspn</v>
      </c>
      <c r="D775" s="9" t="s">
        <v>17</v>
      </c>
      <c r="E775" s="8" t="s">
        <v>2283</v>
      </c>
      <c r="F775" s="8" t="s">
        <v>2284</v>
      </c>
    </row>
    <row r="776" spans="1:6" x14ac:dyDescent="0.15">
      <c r="A776" s="8" t="s">
        <v>2285</v>
      </c>
      <c r="B776" s="8" t="s">
        <v>203</v>
      </c>
      <c r="C776" s="8" t="str">
        <f t="shared" si="16"/>
        <v>att_protease:trypsin</v>
      </c>
      <c r="D776" s="9" t="s">
        <v>17</v>
      </c>
      <c r="E776" s="8" t="s">
        <v>2286</v>
      </c>
      <c r="F776" s="8" t="s">
        <v>2287</v>
      </c>
    </row>
    <row r="777" spans="1:6" x14ac:dyDescent="0.15">
      <c r="A777" s="8" t="s">
        <v>2840</v>
      </c>
      <c r="B777" s="8" t="s">
        <v>206</v>
      </c>
      <c r="C777" s="8" t="str">
        <f t="shared" si="16"/>
        <v>att_protein_mutation:apex</v>
      </c>
      <c r="D777" s="9" t="s">
        <v>17</v>
      </c>
      <c r="E777" s="8" t="s">
        <v>2841</v>
      </c>
      <c r="F777" s="8" t="s">
        <v>2842</v>
      </c>
    </row>
    <row r="778" spans="1:6" x14ac:dyDescent="0.15">
      <c r="A778" s="8" t="s">
        <v>2843</v>
      </c>
      <c r="B778" s="8" t="s">
        <v>206</v>
      </c>
      <c r="C778" s="8" t="str">
        <f t="shared" si="16"/>
        <v>att_protein_mutation:bioid</v>
      </c>
      <c r="D778" s="9" t="s">
        <v>17</v>
      </c>
      <c r="E778" s="8" t="s">
        <v>2844</v>
      </c>
      <c r="F778" s="8" t="s">
        <v>2845</v>
      </c>
    </row>
    <row r="779" spans="1:6" x14ac:dyDescent="0.15">
      <c r="A779" s="8" t="s">
        <v>2846</v>
      </c>
      <c r="B779" s="8" t="s">
        <v>206</v>
      </c>
      <c r="C779" s="8" t="str">
        <f t="shared" si="16"/>
        <v>att_protein_mutation:turboid</v>
      </c>
      <c r="D779" s="9" t="s">
        <v>17</v>
      </c>
      <c r="E779" s="8" t="s">
        <v>2847</v>
      </c>
      <c r="F779" s="8" t="s">
        <v>2848</v>
      </c>
    </row>
    <row r="780" spans="1:6" x14ac:dyDescent="0.15">
      <c r="A780" s="8" t="s">
        <v>1275</v>
      </c>
      <c r="B780" s="8" t="s">
        <v>206</v>
      </c>
      <c r="C780" s="8" t="str">
        <f t="shared" si="16"/>
        <v>att_protein_mutation:deletion</v>
      </c>
      <c r="D780" s="9" t="s">
        <v>17</v>
      </c>
      <c r="E780" s="8" t="s">
        <v>2288</v>
      </c>
      <c r="F780" s="8" t="s">
        <v>2289</v>
      </c>
    </row>
    <row r="781" spans="1:6" x14ac:dyDescent="0.15">
      <c r="A781" s="8" t="s">
        <v>2290</v>
      </c>
      <c r="B781" s="8" t="s">
        <v>206</v>
      </c>
      <c r="C781" s="8" t="str">
        <f t="shared" si="16"/>
        <v>att_protein_mutation:flag</v>
      </c>
      <c r="D781" s="9" t="s">
        <v>17</v>
      </c>
      <c r="E781" s="8" t="s">
        <v>2291</v>
      </c>
      <c r="F781" s="8" t="s">
        <v>2292</v>
      </c>
    </row>
    <row r="782" spans="1:6" x14ac:dyDescent="0.15">
      <c r="A782" s="8" t="s">
        <v>2293</v>
      </c>
      <c r="B782" s="8" t="s">
        <v>206</v>
      </c>
      <c r="C782" s="8" t="str">
        <f t="shared" si="16"/>
        <v>att_protein_mutation:frameshift</v>
      </c>
      <c r="D782" s="9" t="s">
        <v>17</v>
      </c>
      <c r="E782" s="8" t="s">
        <v>2294</v>
      </c>
      <c r="F782" s="8" t="s">
        <v>2295</v>
      </c>
    </row>
    <row r="783" spans="1:6" x14ac:dyDescent="0.15">
      <c r="A783" s="8" t="s">
        <v>2296</v>
      </c>
      <c r="B783" s="8" t="s">
        <v>206</v>
      </c>
      <c r="C783" s="8" t="str">
        <f t="shared" si="16"/>
        <v>att_protein_mutation:gfp</v>
      </c>
      <c r="D783" s="9" t="s">
        <v>17</v>
      </c>
      <c r="E783" s="8" t="s">
        <v>2297</v>
      </c>
      <c r="F783" s="8" t="s">
        <v>2298</v>
      </c>
    </row>
    <row r="784" spans="1:6" x14ac:dyDescent="0.15">
      <c r="A784" s="8" t="s">
        <v>2299</v>
      </c>
      <c r="B784" s="8" t="s">
        <v>206</v>
      </c>
      <c r="C784" s="8" t="str">
        <f t="shared" si="16"/>
        <v>att_protein_mutation:ha</v>
      </c>
      <c r="D784" s="9" t="s">
        <v>17</v>
      </c>
      <c r="E784" s="8" t="s">
        <v>2300</v>
      </c>
      <c r="F784" s="8" t="s">
        <v>2301</v>
      </c>
    </row>
    <row r="785" spans="1:6" x14ac:dyDescent="0.15">
      <c r="A785" s="8" t="s">
        <v>2302</v>
      </c>
      <c r="B785" s="8" t="s">
        <v>206</v>
      </c>
      <c r="C785" s="8" t="str">
        <f t="shared" si="16"/>
        <v>att_protein_mutation:his</v>
      </c>
      <c r="D785" s="9" t="s">
        <v>17</v>
      </c>
      <c r="E785" s="8" t="s">
        <v>2303</v>
      </c>
      <c r="F785" s="8" t="s">
        <v>2304</v>
      </c>
    </row>
    <row r="786" spans="1:6" x14ac:dyDescent="0.15">
      <c r="A786" s="8" t="s">
        <v>2305</v>
      </c>
      <c r="B786" s="8" t="s">
        <v>206</v>
      </c>
      <c r="C786" s="8" t="str">
        <f t="shared" si="16"/>
        <v>att_protein_mutation:insertion</v>
      </c>
      <c r="D786" s="9" t="s">
        <v>17</v>
      </c>
      <c r="E786" s="8" t="s">
        <v>2306</v>
      </c>
      <c r="F786" s="8" t="s">
        <v>2307</v>
      </c>
    </row>
    <row r="787" spans="1:6" x14ac:dyDescent="0.15">
      <c r="A787" s="8" t="s">
        <v>2308</v>
      </c>
      <c r="B787" s="8" t="s">
        <v>206</v>
      </c>
      <c r="C787" s="8" t="str">
        <f t="shared" si="16"/>
        <v>att_protein_mutation:myc</v>
      </c>
      <c r="D787" s="9" t="s">
        <v>17</v>
      </c>
      <c r="E787" s="8" t="s">
        <v>2309</v>
      </c>
      <c r="F787" s="8" t="s">
        <v>2310</v>
      </c>
    </row>
    <row r="788" spans="1:6" x14ac:dyDescent="0.15">
      <c r="A788" s="8" t="s">
        <v>2311</v>
      </c>
      <c r="B788" s="8" t="s">
        <v>206</v>
      </c>
      <c r="C788" s="8" t="str">
        <f t="shared" si="16"/>
        <v>att_protein_mutation:pep86</v>
      </c>
      <c r="D788" s="9" t="s">
        <v>17</v>
      </c>
      <c r="E788" s="8" t="s">
        <v>2812</v>
      </c>
      <c r="F788" s="8" t="s">
        <v>2312</v>
      </c>
    </row>
    <row r="789" spans="1:6" x14ac:dyDescent="0.15">
      <c r="A789" s="8" t="s">
        <v>2313</v>
      </c>
      <c r="B789" s="8" t="s">
        <v>206</v>
      </c>
      <c r="C789" s="8" t="str">
        <f t="shared" si="16"/>
        <v>att_protein_mutation:substitution</v>
      </c>
      <c r="D789" s="9" t="s">
        <v>17</v>
      </c>
      <c r="E789" s="8" t="s">
        <v>2314</v>
      </c>
      <c r="F789" s="8" t="s">
        <v>2315</v>
      </c>
    </row>
    <row r="790" spans="1:6" x14ac:dyDescent="0.15">
      <c r="A790" s="8" t="s">
        <v>2316</v>
      </c>
      <c r="B790" s="8" t="s">
        <v>206</v>
      </c>
      <c r="C790" s="8" t="str">
        <f t="shared" ref="C790" si="17">B790&amp;":"&amp;A790</f>
        <v>att_protein_mutation:truncation</v>
      </c>
      <c r="D790" s="9" t="s">
        <v>17</v>
      </c>
      <c r="E790" s="8" t="s">
        <v>2317</v>
      </c>
      <c r="F790" s="8" t="s">
        <v>2318</v>
      </c>
    </row>
    <row r="791" spans="1:6" x14ac:dyDescent="0.15">
      <c r="A791" s="8" t="s">
        <v>342</v>
      </c>
      <c r="B791" s="8" t="s">
        <v>206</v>
      </c>
      <c r="C791" s="8" t="str">
        <f t="shared" si="16"/>
        <v>att_protein_mutation:none</v>
      </c>
      <c r="D791" s="9" t="s">
        <v>17</v>
      </c>
      <c r="E791" s="8" t="s">
        <v>1874</v>
      </c>
      <c r="F791" s="8" t="s">
        <v>2813</v>
      </c>
    </row>
    <row r="792" spans="1:6" x14ac:dyDescent="0.15">
      <c r="A792" s="8" t="s">
        <v>2319</v>
      </c>
      <c r="B792" s="8" t="s">
        <v>208</v>
      </c>
      <c r="C792" s="8" t="str">
        <f t="shared" si="16"/>
        <v>att_protein_position:aa</v>
      </c>
      <c r="D792" s="9" t="s">
        <v>17</v>
      </c>
      <c r="E792" s="8" t="s">
        <v>2320</v>
      </c>
      <c r="F792" s="8" t="s">
        <v>2321</v>
      </c>
    </row>
    <row r="793" spans="1:6" x14ac:dyDescent="0.15">
      <c r="A793" s="8" t="s">
        <v>2322</v>
      </c>
      <c r="B793" s="8" t="s">
        <v>208</v>
      </c>
      <c r="C793" s="8" t="str">
        <f t="shared" si="16"/>
        <v>att_protein_position:cterm</v>
      </c>
      <c r="D793" s="9" t="s">
        <v>17</v>
      </c>
      <c r="E793" s="8" t="s">
        <v>2323</v>
      </c>
      <c r="F793" s="8" t="s">
        <v>2324</v>
      </c>
    </row>
    <row r="794" spans="1:6" x14ac:dyDescent="0.15">
      <c r="A794" s="8" t="s">
        <v>2325</v>
      </c>
      <c r="B794" s="8" t="s">
        <v>208</v>
      </c>
      <c r="C794" s="8" t="str">
        <f t="shared" si="16"/>
        <v>att_protein_position:nterm</v>
      </c>
      <c r="D794" s="9" t="s">
        <v>17</v>
      </c>
      <c r="E794" s="8" t="s">
        <v>2326</v>
      </c>
      <c r="F794" s="8" t="s">
        <v>2327</v>
      </c>
    </row>
    <row r="795" spans="1:6" x14ac:dyDescent="0.15">
      <c r="A795" s="8" t="s">
        <v>2328</v>
      </c>
      <c r="B795" s="8" t="s">
        <v>208</v>
      </c>
      <c r="C795" s="8" t="str">
        <f t="shared" si="16"/>
        <v>att_protein_position:region</v>
      </c>
      <c r="D795" s="9" t="s">
        <v>17</v>
      </c>
      <c r="E795" s="8" t="s">
        <v>2329</v>
      </c>
      <c r="F795" s="8" t="s">
        <v>2330</v>
      </c>
    </row>
    <row r="796" spans="1:6" x14ac:dyDescent="0.15">
      <c r="A796" s="8" t="s">
        <v>2331</v>
      </c>
      <c r="B796" s="8" t="s">
        <v>210</v>
      </c>
      <c r="C796" s="8" t="str">
        <f t="shared" si="16"/>
        <v>att_quant_algorithm:directlfq</v>
      </c>
      <c r="D796" s="9" t="s">
        <v>17</v>
      </c>
      <c r="E796" s="8" t="s">
        <v>2332</v>
      </c>
      <c r="F796" s="9" t="s">
        <v>17</v>
      </c>
    </row>
    <row r="797" spans="1:6" x14ac:dyDescent="0.15">
      <c r="A797" s="8" t="s">
        <v>2333</v>
      </c>
      <c r="B797" s="8" t="s">
        <v>210</v>
      </c>
      <c r="C797" s="8" t="str">
        <f t="shared" si="16"/>
        <v>att_quant_algorithm:maxlfq</v>
      </c>
      <c r="D797" s="9" t="s">
        <v>17</v>
      </c>
      <c r="E797" s="8" t="s">
        <v>2334</v>
      </c>
      <c r="F797" s="9" t="s">
        <v>17</v>
      </c>
    </row>
    <row r="798" spans="1:6" x14ac:dyDescent="0.15">
      <c r="A798" s="8" t="s">
        <v>2335</v>
      </c>
      <c r="B798" s="8" t="s">
        <v>210</v>
      </c>
      <c r="C798" s="8" t="str">
        <f t="shared" si="16"/>
        <v>att_quant_algorithm:speccount</v>
      </c>
      <c r="D798" s="9" t="s">
        <v>17</v>
      </c>
      <c r="E798" s="8" t="s">
        <v>2336</v>
      </c>
      <c r="F798" s="9" t="s">
        <v>17</v>
      </c>
    </row>
    <row r="799" spans="1:6" x14ac:dyDescent="0.15">
      <c r="A799" s="8" t="s">
        <v>2337</v>
      </c>
      <c r="B799" s="8" t="s">
        <v>211</v>
      </c>
      <c r="C799" s="8" t="str">
        <f t="shared" si="16"/>
        <v>att_quantification:isobaric</v>
      </c>
      <c r="D799" s="9" t="s">
        <v>17</v>
      </c>
      <c r="E799" s="8" t="s">
        <v>2337</v>
      </c>
      <c r="F799" s="8" t="s">
        <v>2338</v>
      </c>
    </row>
    <row r="800" spans="1:6" x14ac:dyDescent="0.15">
      <c r="A800" s="8" t="s">
        <v>2339</v>
      </c>
      <c r="B800" s="8" t="s">
        <v>211</v>
      </c>
      <c r="C800" s="8" t="str">
        <f t="shared" si="16"/>
        <v>att_quantification:istopic</v>
      </c>
      <c r="D800" s="9" t="s">
        <v>17</v>
      </c>
      <c r="E800" s="8" t="s">
        <v>2339</v>
      </c>
      <c r="F800" s="8" t="s">
        <v>2340</v>
      </c>
    </row>
    <row r="801" spans="1:6" x14ac:dyDescent="0.15">
      <c r="A801" s="8" t="s">
        <v>2341</v>
      </c>
      <c r="B801" s="8" t="s">
        <v>211</v>
      </c>
      <c r="C801" s="8" t="str">
        <f t="shared" si="16"/>
        <v>att_quantification:label_free</v>
      </c>
      <c r="D801" s="9" t="s">
        <v>17</v>
      </c>
      <c r="E801" s="8" t="s">
        <v>2342</v>
      </c>
      <c r="F801" s="8" t="s">
        <v>2343</v>
      </c>
    </row>
    <row r="802" spans="1:6" x14ac:dyDescent="0.15">
      <c r="A802" s="8" t="s">
        <v>2344</v>
      </c>
      <c r="B802" s="8" t="s">
        <v>211</v>
      </c>
      <c r="C802" s="8" t="str">
        <f t="shared" si="16"/>
        <v>att_quantification:silac</v>
      </c>
      <c r="D802" s="9" t="s">
        <v>17</v>
      </c>
      <c r="E802" s="8" t="s">
        <v>2344</v>
      </c>
      <c r="F802" s="8" t="s">
        <v>2345</v>
      </c>
    </row>
    <row r="803" spans="1:6" x14ac:dyDescent="0.15">
      <c r="A803" s="8" t="s">
        <v>2346</v>
      </c>
      <c r="B803" s="8" t="s">
        <v>214</v>
      </c>
      <c r="C803" s="8" t="str">
        <f t="shared" si="16"/>
        <v>att_reduction:dtt</v>
      </c>
      <c r="D803" s="9" t="s">
        <v>17</v>
      </c>
      <c r="E803" s="8" t="s">
        <v>2347</v>
      </c>
      <c r="F803" s="8" t="s">
        <v>2348</v>
      </c>
    </row>
    <row r="804" spans="1:6" x14ac:dyDescent="0.15">
      <c r="A804" s="8" t="s">
        <v>342</v>
      </c>
      <c r="B804" s="8" t="s">
        <v>214</v>
      </c>
      <c r="C804" s="8" t="str">
        <f t="shared" si="16"/>
        <v>att_reduction:none</v>
      </c>
      <c r="D804" s="9" t="s">
        <v>17</v>
      </c>
      <c r="E804" s="8" t="s">
        <v>343</v>
      </c>
      <c r="F804" s="8" t="s">
        <v>2349</v>
      </c>
    </row>
    <row r="805" spans="1:6" x14ac:dyDescent="0.15">
      <c r="A805" s="8" t="s">
        <v>2350</v>
      </c>
      <c r="B805" s="8" t="s">
        <v>214</v>
      </c>
      <c r="C805" s="8" t="str">
        <f t="shared" si="16"/>
        <v>att_reduction:tcep</v>
      </c>
      <c r="D805" s="9" t="s">
        <v>17</v>
      </c>
      <c r="E805" s="8" t="s">
        <v>2351</v>
      </c>
      <c r="F805" s="8" t="s">
        <v>2352</v>
      </c>
    </row>
    <row r="806" spans="1:6" x14ac:dyDescent="0.15">
      <c r="A806" s="8" t="s">
        <v>1417</v>
      </c>
      <c r="B806" s="8" t="s">
        <v>2353</v>
      </c>
      <c r="C806" s="8" t="str">
        <f t="shared" si="16"/>
        <v>att_signalling:apoptosis</v>
      </c>
      <c r="D806" s="9" t="s">
        <v>17</v>
      </c>
      <c r="E806" s="8" t="s">
        <v>1418</v>
      </c>
      <c r="F806" s="8" t="s">
        <v>2354</v>
      </c>
    </row>
    <row r="807" spans="1:6" x14ac:dyDescent="0.15">
      <c r="A807" s="8" t="s">
        <v>2355</v>
      </c>
      <c r="B807" s="8" t="s">
        <v>2353</v>
      </c>
      <c r="C807" s="8" t="str">
        <f t="shared" si="16"/>
        <v>att_signalling:autocrine</v>
      </c>
      <c r="D807" s="9" t="s">
        <v>17</v>
      </c>
      <c r="E807" s="8" t="s">
        <v>2356</v>
      </c>
      <c r="F807" s="8" t="s">
        <v>2357</v>
      </c>
    </row>
    <row r="808" spans="1:6" x14ac:dyDescent="0.15">
      <c r="A808" s="8" t="s">
        <v>2358</v>
      </c>
      <c r="B808" s="8" t="s">
        <v>2353</v>
      </c>
      <c r="C808" s="8" t="str">
        <f t="shared" si="16"/>
        <v>att_signalling:complement</v>
      </c>
      <c r="D808" s="9" t="s">
        <v>17</v>
      </c>
      <c r="E808" s="8" t="s">
        <v>2359</v>
      </c>
      <c r="F808" s="8" t="s">
        <v>2360</v>
      </c>
    </row>
    <row r="809" spans="1:6" x14ac:dyDescent="0.15">
      <c r="A809" s="8" t="s">
        <v>2361</v>
      </c>
      <c r="B809" s="8" t="s">
        <v>2353</v>
      </c>
      <c r="C809" s="8" t="str">
        <f t="shared" si="16"/>
        <v>att_signalling:cytokines</v>
      </c>
      <c r="D809" s="9" t="s">
        <v>17</v>
      </c>
      <c r="E809" s="8" t="s">
        <v>2362</v>
      </c>
      <c r="F809" s="8" t="s">
        <v>2363</v>
      </c>
    </row>
    <row r="810" spans="1:6" x14ac:dyDescent="0.15">
      <c r="A810" s="8" t="s">
        <v>2364</v>
      </c>
      <c r="B810" s="8" t="s">
        <v>2353</v>
      </c>
      <c r="C810" s="8" t="str">
        <f t="shared" si="16"/>
        <v>att_signalling:inflammation</v>
      </c>
      <c r="D810" s="9" t="s">
        <v>17</v>
      </c>
      <c r="E810" s="8" t="s">
        <v>2365</v>
      </c>
      <c r="F810" s="8" t="s">
        <v>2366</v>
      </c>
    </row>
    <row r="811" spans="1:6" x14ac:dyDescent="0.15">
      <c r="A811" s="8" t="s">
        <v>2367</v>
      </c>
      <c r="B811" s="8" t="s">
        <v>2353</v>
      </c>
      <c r="C811" s="8" t="str">
        <f t="shared" si="16"/>
        <v>att_signalling:insulin</v>
      </c>
      <c r="D811" s="9" t="s">
        <v>17</v>
      </c>
      <c r="E811" s="8" t="s">
        <v>2368</v>
      </c>
      <c r="F811" s="8" t="s">
        <v>2369</v>
      </c>
    </row>
    <row r="812" spans="1:6" x14ac:dyDescent="0.15">
      <c r="A812" s="8" t="s">
        <v>2370</v>
      </c>
      <c r="B812" s="8" t="s">
        <v>2353</v>
      </c>
      <c r="C812" s="8" t="str">
        <f t="shared" si="16"/>
        <v>att_signalling:juxtacrine</v>
      </c>
      <c r="D812" s="9" t="s">
        <v>17</v>
      </c>
      <c r="E812" s="8" t="s">
        <v>2371</v>
      </c>
      <c r="F812" s="8" t="s">
        <v>2372</v>
      </c>
    </row>
    <row r="813" spans="1:6" x14ac:dyDescent="0.15">
      <c r="A813" s="8" t="s">
        <v>2373</v>
      </c>
      <c r="B813" s="8" t="s">
        <v>2353</v>
      </c>
      <c r="C813" s="8" t="str">
        <f t="shared" si="16"/>
        <v>att_signalling:necrosis</v>
      </c>
      <c r="D813" s="9" t="s">
        <v>17</v>
      </c>
      <c r="E813" s="8" t="s">
        <v>2374</v>
      </c>
      <c r="F813" s="8" t="s">
        <v>2375</v>
      </c>
    </row>
    <row r="814" spans="1:6" x14ac:dyDescent="0.15">
      <c r="A814" s="8" t="s">
        <v>2376</v>
      </c>
      <c r="B814" s="8" t="s">
        <v>2353</v>
      </c>
      <c r="C814" s="8" t="str">
        <f t="shared" si="16"/>
        <v>att_signalling:paracrine</v>
      </c>
      <c r="D814" s="9" t="s">
        <v>17</v>
      </c>
      <c r="E814" s="8" t="s">
        <v>2377</v>
      </c>
      <c r="F814" s="8" t="s">
        <v>2378</v>
      </c>
    </row>
    <row r="815" spans="1:6" x14ac:dyDescent="0.15">
      <c r="A815" s="8" t="s">
        <v>1765</v>
      </c>
      <c r="B815" s="8" t="s">
        <v>2353</v>
      </c>
      <c r="C815" s="8" t="str">
        <f t="shared" si="16"/>
        <v>att_signalling:signaling</v>
      </c>
      <c r="D815" s="9" t="s">
        <v>17</v>
      </c>
      <c r="E815" s="8" t="s">
        <v>1766</v>
      </c>
      <c r="F815" s="8" t="s">
        <v>2379</v>
      </c>
    </row>
    <row r="816" spans="1:6" x14ac:dyDescent="0.15">
      <c r="A816" s="8" t="s">
        <v>2380</v>
      </c>
      <c r="B816" s="8" t="s">
        <v>31</v>
      </c>
      <c r="C816" s="8" t="str">
        <f t="shared" si="16"/>
        <v>att_software:diann</v>
      </c>
      <c r="D816" s="9" t="s">
        <v>17</v>
      </c>
      <c r="E816" s="8" t="s">
        <v>2381</v>
      </c>
      <c r="F816" s="8" t="s">
        <v>2382</v>
      </c>
    </row>
    <row r="817" spans="1:6" x14ac:dyDescent="0.15">
      <c r="A817" s="8" t="s">
        <v>2383</v>
      </c>
      <c r="B817" s="8" t="s">
        <v>31</v>
      </c>
      <c r="C817" s="8" t="str">
        <f t="shared" si="16"/>
        <v>att_software:maxquant</v>
      </c>
      <c r="D817" s="9" t="s">
        <v>17</v>
      </c>
      <c r="E817" s="8" t="s">
        <v>2384</v>
      </c>
      <c r="F817" s="8" t="s">
        <v>2385</v>
      </c>
    </row>
    <row r="818" spans="1:6" x14ac:dyDescent="0.15">
      <c r="A818" s="8" t="s">
        <v>2386</v>
      </c>
      <c r="B818" s="8" t="s">
        <v>31</v>
      </c>
      <c r="C818" s="8" t="str">
        <f t="shared" ref="C818:C888" si="18">B818&amp;":"&amp;A818</f>
        <v>att_software:metamorpheus</v>
      </c>
      <c r="D818" s="9" t="s">
        <v>17</v>
      </c>
      <c r="E818" s="8" t="s">
        <v>2387</v>
      </c>
      <c r="F818" s="8" t="s">
        <v>2388</v>
      </c>
    </row>
    <row r="819" spans="1:6" x14ac:dyDescent="0.15">
      <c r="A819" s="8" t="s">
        <v>2389</v>
      </c>
      <c r="B819" s="8" t="s">
        <v>31</v>
      </c>
      <c r="C819" s="8" t="str">
        <f t="shared" si="18"/>
        <v>att_software:minora</v>
      </c>
      <c r="D819" s="9" t="s">
        <v>17</v>
      </c>
      <c r="E819" s="8" t="s">
        <v>2390</v>
      </c>
      <c r="F819" s="8" t="s">
        <v>2391</v>
      </c>
    </row>
    <row r="820" spans="1:6" x14ac:dyDescent="0.15">
      <c r="A820" s="8" t="s">
        <v>2392</v>
      </c>
      <c r="B820" s="8" t="s">
        <v>31</v>
      </c>
      <c r="C820" s="8" t="str">
        <f t="shared" si="18"/>
        <v>att_software:msfragger</v>
      </c>
      <c r="D820" s="9" t="s">
        <v>17</v>
      </c>
      <c r="E820" s="8" t="s">
        <v>2393</v>
      </c>
      <c r="F820" s="8" t="s">
        <v>2394</v>
      </c>
    </row>
    <row r="821" spans="1:6" x14ac:dyDescent="0.15">
      <c r="A821" s="8" t="s">
        <v>2395</v>
      </c>
      <c r="B821" s="8" t="s">
        <v>31</v>
      </c>
      <c r="C821" s="8" t="str">
        <f t="shared" si="18"/>
        <v>att_software:msgf</v>
      </c>
      <c r="D821" s="9" t="s">
        <v>17</v>
      </c>
      <c r="E821" s="8" t="s">
        <v>2396</v>
      </c>
      <c r="F821" s="8" t="s">
        <v>2397</v>
      </c>
    </row>
    <row r="822" spans="1:6" x14ac:dyDescent="0.15">
      <c r="A822" s="8" t="s">
        <v>2398</v>
      </c>
      <c r="B822" s="8" t="s">
        <v>31</v>
      </c>
      <c r="C822" s="8" t="str">
        <f t="shared" si="18"/>
        <v>att_software:spectronaut</v>
      </c>
      <c r="D822" s="9" t="s">
        <v>17</v>
      </c>
      <c r="E822" s="8" t="s">
        <v>2399</v>
      </c>
      <c r="F822" s="8" t="s">
        <v>2400</v>
      </c>
    </row>
    <row r="823" spans="1:6" x14ac:dyDescent="0.15">
      <c r="A823" s="8" t="s">
        <v>2932</v>
      </c>
      <c r="B823" s="8" t="s">
        <v>2930</v>
      </c>
      <c r="C823" s="8" t="str">
        <f t="shared" si="18"/>
        <v>att_subcellular_compartment:wc</v>
      </c>
      <c r="D823" s="9" t="s">
        <v>17</v>
      </c>
      <c r="E823" s="8" t="s">
        <v>2933</v>
      </c>
      <c r="F823" s="8" t="s">
        <v>2934</v>
      </c>
    </row>
    <row r="824" spans="1:6" x14ac:dyDescent="0.15">
      <c r="A824" s="8" t="s">
        <v>2936</v>
      </c>
      <c r="B824" s="8" t="s">
        <v>2930</v>
      </c>
      <c r="C824" s="8" t="str">
        <f t="shared" si="18"/>
        <v>att_subcellular_compartment:membrane</v>
      </c>
      <c r="D824" s="9" t="s">
        <v>17</v>
      </c>
      <c r="E824" s="8" t="s">
        <v>2937</v>
      </c>
      <c r="F824" s="8" t="s">
        <v>2938</v>
      </c>
    </row>
    <row r="825" spans="1:6" x14ac:dyDescent="0.15">
      <c r="A825" s="8" t="s">
        <v>2935</v>
      </c>
      <c r="B825" s="8" t="s">
        <v>2930</v>
      </c>
      <c r="C825" s="8" t="str">
        <f t="shared" ref="C825" si="19">B825&amp;":"&amp;A825</f>
        <v>att_subcellular_compartment:mitochondria</v>
      </c>
      <c r="D825" s="9" t="s">
        <v>17</v>
      </c>
      <c r="E825" s="8" t="s">
        <v>2952</v>
      </c>
      <c r="F825" s="8" t="s">
        <v>2951</v>
      </c>
    </row>
    <row r="826" spans="1:6" x14ac:dyDescent="0.15">
      <c r="A826" s="8" t="s">
        <v>2939</v>
      </c>
      <c r="B826" s="8" t="s">
        <v>2930</v>
      </c>
      <c r="C826" s="8" t="str">
        <f t="shared" si="18"/>
        <v>att_subcellular_compartment:golgi</v>
      </c>
      <c r="D826" s="9" t="s">
        <v>17</v>
      </c>
      <c r="E826" s="8" t="s">
        <v>2940</v>
      </c>
      <c r="F826" s="8" t="s">
        <v>2941</v>
      </c>
    </row>
    <row r="827" spans="1:6" x14ac:dyDescent="0.15">
      <c r="A827" s="8" t="s">
        <v>2942</v>
      </c>
      <c r="B827" s="8" t="s">
        <v>2930</v>
      </c>
      <c r="C827" s="8" t="str">
        <f t="shared" ref="C827:C829" si="20">B827&amp;":"&amp;A827</f>
        <v>att_subcellular_compartment:plasmamembrane</v>
      </c>
      <c r="D827" s="9" t="s">
        <v>17</v>
      </c>
      <c r="E827" s="8" t="s">
        <v>2950</v>
      </c>
      <c r="F827" s="8" t="s">
        <v>2943</v>
      </c>
    </row>
    <row r="828" spans="1:6" x14ac:dyDescent="0.15">
      <c r="A828" s="8" t="s">
        <v>2944</v>
      </c>
      <c r="B828" s="8" t="s">
        <v>2930</v>
      </c>
      <c r="C828" s="8" t="str">
        <f t="shared" si="20"/>
        <v>att_subcellular_compartment:nucleus</v>
      </c>
      <c r="D828" s="9" t="s">
        <v>17</v>
      </c>
      <c r="E828" s="8" t="s">
        <v>2945</v>
      </c>
      <c r="F828" s="8" t="s">
        <v>2946</v>
      </c>
    </row>
    <row r="829" spans="1:6" x14ac:dyDescent="0.15">
      <c r="A829" s="8" t="s">
        <v>2947</v>
      </c>
      <c r="B829" s="8" t="s">
        <v>2930</v>
      </c>
      <c r="C829" s="8" t="str">
        <f t="shared" si="20"/>
        <v>att_subcellular_compartment:cytosol</v>
      </c>
      <c r="D829" s="9" t="s">
        <v>17</v>
      </c>
      <c r="E829" s="8" t="s">
        <v>2948</v>
      </c>
      <c r="F829" s="8" t="s">
        <v>2949</v>
      </c>
    </row>
    <row r="830" spans="1:6" x14ac:dyDescent="0.15">
      <c r="A830" s="8" t="s">
        <v>2401</v>
      </c>
      <c r="B830" s="8" t="s">
        <v>238</v>
      </c>
      <c r="C830" s="8" t="str">
        <f t="shared" si="18"/>
        <v>att_tissue:adipose</v>
      </c>
      <c r="D830" s="8" t="s">
        <v>2401</v>
      </c>
      <c r="E830" s="8" t="s">
        <v>2402</v>
      </c>
      <c r="F830" s="8" t="s">
        <v>2403</v>
      </c>
    </row>
    <row r="831" spans="1:6" x14ac:dyDescent="0.15">
      <c r="A831" s="8" t="s">
        <v>2404</v>
      </c>
      <c r="B831" s="8" t="s">
        <v>238</v>
      </c>
      <c r="C831" s="8" t="str">
        <f t="shared" si="18"/>
        <v>att_tissue:areolar</v>
      </c>
      <c r="D831" s="8" t="s">
        <v>2404</v>
      </c>
      <c r="E831" s="8" t="s">
        <v>2405</v>
      </c>
      <c r="F831" s="8" t="s">
        <v>2406</v>
      </c>
    </row>
    <row r="832" spans="1:6" x14ac:dyDescent="0.15">
      <c r="A832" s="8" t="s">
        <v>2407</v>
      </c>
      <c r="B832" s="8" t="s">
        <v>238</v>
      </c>
      <c r="C832" s="8" t="str">
        <f t="shared" si="18"/>
        <v>att_tissue:blood</v>
      </c>
      <c r="D832" s="8" t="s">
        <v>2407</v>
      </c>
      <c r="E832" s="8" t="s">
        <v>2408</v>
      </c>
      <c r="F832" s="8" t="s">
        <v>2408</v>
      </c>
    </row>
    <row r="833" spans="1:6" x14ac:dyDescent="0.15">
      <c r="A833" s="8" t="s">
        <v>2409</v>
      </c>
      <c r="B833" s="8" t="s">
        <v>238</v>
      </c>
      <c r="C833" s="8" t="str">
        <f t="shared" si="18"/>
        <v>att_tissue:connective</v>
      </c>
      <c r="D833" s="8" t="s">
        <v>2409</v>
      </c>
      <c r="E833" s="8" t="s">
        <v>2410</v>
      </c>
      <c r="F833" s="8" t="s">
        <v>2411</v>
      </c>
    </row>
    <row r="834" spans="1:6" x14ac:dyDescent="0.15">
      <c r="A834" s="8" t="s">
        <v>2412</v>
      </c>
      <c r="B834" s="8" t="s">
        <v>238</v>
      </c>
      <c r="C834" s="8" t="str">
        <f t="shared" si="18"/>
        <v>att_tissue:dermis</v>
      </c>
      <c r="D834" s="8" t="s">
        <v>2412</v>
      </c>
      <c r="E834" s="8" t="s">
        <v>2413</v>
      </c>
      <c r="F834" s="8" t="s">
        <v>2413</v>
      </c>
    </row>
    <row r="835" spans="1:6" x14ac:dyDescent="0.15">
      <c r="A835" s="8" t="s">
        <v>2414</v>
      </c>
      <c r="B835" s="8" t="s">
        <v>238</v>
      </c>
      <c r="C835" s="8" t="str">
        <f t="shared" si="18"/>
        <v>att_tissue:epidermis</v>
      </c>
      <c r="D835" s="8" t="s">
        <v>2414</v>
      </c>
      <c r="E835" s="8" t="s">
        <v>2415</v>
      </c>
      <c r="F835" s="8" t="s">
        <v>2415</v>
      </c>
    </row>
    <row r="836" spans="1:6" x14ac:dyDescent="0.15">
      <c r="A836" s="8" t="s">
        <v>2416</v>
      </c>
      <c r="B836" s="8" t="s">
        <v>238</v>
      </c>
      <c r="C836" s="8" t="str">
        <f t="shared" si="18"/>
        <v>att_tissue:epithelial</v>
      </c>
      <c r="D836" s="8" t="s">
        <v>2416</v>
      </c>
      <c r="E836" s="8" t="s">
        <v>2417</v>
      </c>
      <c r="F836" s="8" t="s">
        <v>2418</v>
      </c>
    </row>
    <row r="837" spans="1:6" x14ac:dyDescent="0.15">
      <c r="A837" s="8" t="s">
        <v>2419</v>
      </c>
      <c r="B837" s="8" t="s">
        <v>238</v>
      </c>
      <c r="C837" s="8" t="str">
        <f t="shared" si="18"/>
        <v>att_tissue:hypodermis</v>
      </c>
      <c r="D837" s="8" t="s">
        <v>2419</v>
      </c>
      <c r="E837" s="8" t="s">
        <v>2420</v>
      </c>
      <c r="F837" s="8" t="s">
        <v>2420</v>
      </c>
    </row>
    <row r="838" spans="1:6" x14ac:dyDescent="0.15">
      <c r="A838" s="8" t="s">
        <v>2421</v>
      </c>
      <c r="B838" s="8" t="s">
        <v>238</v>
      </c>
      <c r="C838" s="8" t="str">
        <f t="shared" si="18"/>
        <v>att_tissue:muscle</v>
      </c>
      <c r="D838" s="8" t="s">
        <v>2421</v>
      </c>
      <c r="E838" s="8" t="s">
        <v>2819</v>
      </c>
      <c r="F838" s="8" t="s">
        <v>2422</v>
      </c>
    </row>
    <row r="839" spans="1:6" x14ac:dyDescent="0.15">
      <c r="A839" s="8" t="s">
        <v>2423</v>
      </c>
      <c r="B839" s="8" t="s">
        <v>238</v>
      </c>
      <c r="C839" s="8" t="str">
        <f t="shared" si="18"/>
        <v>att_tissue:nervous</v>
      </c>
      <c r="D839" s="8" t="s">
        <v>2423</v>
      </c>
      <c r="E839" s="8" t="s">
        <v>2242</v>
      </c>
      <c r="F839" s="8" t="s">
        <v>2424</v>
      </c>
    </row>
    <row r="840" spans="1:6" x14ac:dyDescent="0.15">
      <c r="A840" s="8" t="s">
        <v>2425</v>
      </c>
      <c r="B840" s="8" t="s">
        <v>238</v>
      </c>
      <c r="C840" s="8" t="str">
        <f t="shared" si="18"/>
        <v>att_tissue:reticular</v>
      </c>
      <c r="D840" s="8" t="s">
        <v>2425</v>
      </c>
      <c r="E840" s="8" t="s">
        <v>2426</v>
      </c>
      <c r="F840" s="8" t="s">
        <v>2427</v>
      </c>
    </row>
    <row r="841" spans="1:6" x14ac:dyDescent="0.15">
      <c r="A841" s="8" t="s">
        <v>2428</v>
      </c>
      <c r="B841" s="8" t="s">
        <v>238</v>
      </c>
      <c r="C841" s="8" t="str">
        <f t="shared" si="18"/>
        <v>att_tissue:stromal</v>
      </c>
      <c r="D841" s="8" t="s">
        <v>2428</v>
      </c>
      <c r="E841" s="8" t="s">
        <v>2429</v>
      </c>
      <c r="F841" s="8" t="s">
        <v>2430</v>
      </c>
    </row>
    <row r="842" spans="1:6" x14ac:dyDescent="0.15">
      <c r="A842" s="8" t="s">
        <v>2431</v>
      </c>
      <c r="B842" s="8" t="s">
        <v>240</v>
      </c>
      <c r="C842" s="8" t="str">
        <f t="shared" si="18"/>
        <v>att_tmt_channel:tmt10_126</v>
      </c>
      <c r="D842" s="9" t="s">
        <v>17</v>
      </c>
      <c r="E842" s="8">
        <v>126</v>
      </c>
      <c r="F842" s="9" t="s">
        <v>17</v>
      </c>
    </row>
    <row r="843" spans="1:6" x14ac:dyDescent="0.15">
      <c r="A843" s="8" t="s">
        <v>2432</v>
      </c>
      <c r="B843" s="8" t="s">
        <v>240</v>
      </c>
      <c r="C843" s="8" t="str">
        <f t="shared" si="18"/>
        <v>att_tmt_channel:tmt10_127C</v>
      </c>
      <c r="D843" s="9" t="s">
        <v>17</v>
      </c>
      <c r="E843" s="8" t="s">
        <v>2433</v>
      </c>
      <c r="F843" s="9" t="s">
        <v>17</v>
      </c>
    </row>
    <row r="844" spans="1:6" x14ac:dyDescent="0.15">
      <c r="A844" s="8" t="s">
        <v>2434</v>
      </c>
      <c r="B844" s="8" t="s">
        <v>240</v>
      </c>
      <c r="C844" s="8" t="str">
        <f t="shared" si="18"/>
        <v>att_tmt_channel:tmt10_127N</v>
      </c>
      <c r="D844" s="9" t="s">
        <v>17</v>
      </c>
      <c r="E844" s="8" t="s">
        <v>2435</v>
      </c>
      <c r="F844" s="9" t="s">
        <v>17</v>
      </c>
    </row>
    <row r="845" spans="1:6" x14ac:dyDescent="0.15">
      <c r="A845" s="8" t="s">
        <v>2436</v>
      </c>
      <c r="B845" s="8" t="s">
        <v>240</v>
      </c>
      <c r="C845" s="8" t="str">
        <f t="shared" si="18"/>
        <v>att_tmt_channel:tmt10_128C</v>
      </c>
      <c r="D845" s="9" t="s">
        <v>17</v>
      </c>
      <c r="E845" s="8" t="s">
        <v>2437</v>
      </c>
      <c r="F845" s="9" t="s">
        <v>17</v>
      </c>
    </row>
    <row r="846" spans="1:6" x14ac:dyDescent="0.15">
      <c r="A846" s="8" t="s">
        <v>2438</v>
      </c>
      <c r="B846" s="8" t="s">
        <v>240</v>
      </c>
      <c r="C846" s="8" t="str">
        <f t="shared" si="18"/>
        <v>att_tmt_channel:tmt10_128N</v>
      </c>
      <c r="D846" s="9" t="s">
        <v>17</v>
      </c>
      <c r="E846" s="8" t="s">
        <v>2439</v>
      </c>
      <c r="F846" s="9" t="s">
        <v>17</v>
      </c>
    </row>
    <row r="847" spans="1:6" x14ac:dyDescent="0.15">
      <c r="A847" s="8" t="s">
        <v>2440</v>
      </c>
      <c r="B847" s="8" t="s">
        <v>240</v>
      </c>
      <c r="C847" s="8" t="str">
        <f t="shared" si="18"/>
        <v>att_tmt_channel:tmt10_129C</v>
      </c>
      <c r="D847" s="9" t="s">
        <v>17</v>
      </c>
      <c r="E847" s="8" t="s">
        <v>2441</v>
      </c>
      <c r="F847" s="9" t="s">
        <v>17</v>
      </c>
    </row>
    <row r="848" spans="1:6" x14ac:dyDescent="0.15">
      <c r="A848" s="8" t="s">
        <v>2442</v>
      </c>
      <c r="B848" s="8" t="s">
        <v>240</v>
      </c>
      <c r="C848" s="8" t="str">
        <f t="shared" si="18"/>
        <v>att_tmt_channel:tmt10_129N</v>
      </c>
      <c r="D848" s="9" t="s">
        <v>17</v>
      </c>
      <c r="E848" s="8" t="s">
        <v>2443</v>
      </c>
      <c r="F848" s="9" t="s">
        <v>17</v>
      </c>
    </row>
    <row r="849" spans="1:6" x14ac:dyDescent="0.15">
      <c r="A849" s="8" t="s">
        <v>2444</v>
      </c>
      <c r="B849" s="8" t="s">
        <v>240</v>
      </c>
      <c r="C849" s="8" t="str">
        <f t="shared" si="18"/>
        <v>att_tmt_channel:tmt10_130C</v>
      </c>
      <c r="D849" s="9" t="s">
        <v>17</v>
      </c>
      <c r="E849" s="8" t="s">
        <v>2445</v>
      </c>
      <c r="F849" s="9" t="s">
        <v>17</v>
      </c>
    </row>
    <row r="850" spans="1:6" x14ac:dyDescent="0.15">
      <c r="A850" s="8" t="s">
        <v>2446</v>
      </c>
      <c r="B850" s="8" t="s">
        <v>240</v>
      </c>
      <c r="C850" s="8" t="str">
        <f t="shared" si="18"/>
        <v>att_tmt_channel:tmt10_130N</v>
      </c>
      <c r="D850" s="9" t="s">
        <v>17</v>
      </c>
      <c r="E850" s="8" t="s">
        <v>2447</v>
      </c>
      <c r="F850" s="9" t="s">
        <v>17</v>
      </c>
    </row>
    <row r="851" spans="1:6" x14ac:dyDescent="0.15">
      <c r="A851" s="8" t="s">
        <v>2448</v>
      </c>
      <c r="B851" s="8" t="s">
        <v>240</v>
      </c>
      <c r="C851" s="8" t="str">
        <f t="shared" si="18"/>
        <v>att_tmt_channel:tmt10_131</v>
      </c>
      <c r="D851" s="9" t="s">
        <v>17</v>
      </c>
      <c r="E851" s="8">
        <v>131</v>
      </c>
      <c r="F851" s="9" t="s">
        <v>17</v>
      </c>
    </row>
    <row r="852" spans="1:6" x14ac:dyDescent="0.15">
      <c r="A852" s="8" t="s">
        <v>2449</v>
      </c>
      <c r="B852" s="8" t="s">
        <v>240</v>
      </c>
      <c r="C852" s="8" t="str">
        <f t="shared" si="18"/>
        <v>att_tmt_channel:tmt11_126</v>
      </c>
      <c r="D852" s="9" t="s">
        <v>17</v>
      </c>
      <c r="E852" s="8">
        <v>126</v>
      </c>
      <c r="F852" s="9" t="s">
        <v>17</v>
      </c>
    </row>
    <row r="853" spans="1:6" x14ac:dyDescent="0.15">
      <c r="A853" s="8" t="s">
        <v>2450</v>
      </c>
      <c r="B853" s="8" t="s">
        <v>240</v>
      </c>
      <c r="C853" s="8" t="str">
        <f t="shared" si="18"/>
        <v>att_tmt_channel:tmt11_127C</v>
      </c>
      <c r="D853" s="9" t="s">
        <v>17</v>
      </c>
      <c r="E853" s="8" t="s">
        <v>2433</v>
      </c>
      <c r="F853" s="9" t="s">
        <v>17</v>
      </c>
    </row>
    <row r="854" spans="1:6" x14ac:dyDescent="0.15">
      <c r="A854" s="8" t="s">
        <v>2451</v>
      </c>
      <c r="B854" s="8" t="s">
        <v>240</v>
      </c>
      <c r="C854" s="8" t="str">
        <f t="shared" si="18"/>
        <v>att_tmt_channel:tmt11_127N</v>
      </c>
      <c r="D854" s="9" t="s">
        <v>17</v>
      </c>
      <c r="E854" s="8" t="s">
        <v>2435</v>
      </c>
      <c r="F854" s="9" t="s">
        <v>17</v>
      </c>
    </row>
    <row r="855" spans="1:6" x14ac:dyDescent="0.15">
      <c r="A855" s="8" t="s">
        <v>2452</v>
      </c>
      <c r="B855" s="8" t="s">
        <v>240</v>
      </c>
      <c r="C855" s="8" t="str">
        <f t="shared" si="18"/>
        <v>att_tmt_channel:tmt11_128C</v>
      </c>
      <c r="D855" s="9" t="s">
        <v>17</v>
      </c>
      <c r="E855" s="8" t="s">
        <v>2437</v>
      </c>
      <c r="F855" s="9" t="s">
        <v>17</v>
      </c>
    </row>
    <row r="856" spans="1:6" x14ac:dyDescent="0.15">
      <c r="A856" s="8" t="s">
        <v>2453</v>
      </c>
      <c r="B856" s="8" t="s">
        <v>240</v>
      </c>
      <c r="C856" s="8" t="str">
        <f t="shared" si="18"/>
        <v>att_tmt_channel:tmt11_128N</v>
      </c>
      <c r="D856" s="9" t="s">
        <v>17</v>
      </c>
      <c r="E856" s="8" t="s">
        <v>2439</v>
      </c>
      <c r="F856" s="9" t="s">
        <v>17</v>
      </c>
    </row>
    <row r="857" spans="1:6" x14ac:dyDescent="0.15">
      <c r="A857" s="8" t="s">
        <v>2454</v>
      </c>
      <c r="B857" s="8" t="s">
        <v>240</v>
      </c>
      <c r="C857" s="8" t="str">
        <f t="shared" si="18"/>
        <v>att_tmt_channel:tmt11_129C</v>
      </c>
      <c r="D857" s="9" t="s">
        <v>17</v>
      </c>
      <c r="E857" s="8" t="s">
        <v>2441</v>
      </c>
      <c r="F857" s="9" t="s">
        <v>17</v>
      </c>
    </row>
    <row r="858" spans="1:6" x14ac:dyDescent="0.15">
      <c r="A858" s="8" t="s">
        <v>2455</v>
      </c>
      <c r="B858" s="8" t="s">
        <v>240</v>
      </c>
      <c r="C858" s="8" t="str">
        <f t="shared" si="18"/>
        <v>att_tmt_channel:tmt11_129N</v>
      </c>
      <c r="D858" s="9" t="s">
        <v>17</v>
      </c>
      <c r="E858" s="8" t="s">
        <v>2443</v>
      </c>
      <c r="F858" s="9" t="s">
        <v>17</v>
      </c>
    </row>
    <row r="859" spans="1:6" x14ac:dyDescent="0.15">
      <c r="A859" s="8" t="s">
        <v>2456</v>
      </c>
      <c r="B859" s="8" t="s">
        <v>240</v>
      </c>
      <c r="C859" s="8" t="str">
        <f t="shared" si="18"/>
        <v>att_tmt_channel:tmt11_130C</v>
      </c>
      <c r="D859" s="9" t="s">
        <v>17</v>
      </c>
      <c r="E859" s="8" t="s">
        <v>2445</v>
      </c>
      <c r="F859" s="9" t="s">
        <v>17</v>
      </c>
    </row>
    <row r="860" spans="1:6" x14ac:dyDescent="0.15">
      <c r="A860" s="8" t="s">
        <v>2457</v>
      </c>
      <c r="B860" s="8" t="s">
        <v>240</v>
      </c>
      <c r="C860" s="8" t="str">
        <f t="shared" si="18"/>
        <v>att_tmt_channel:tmt11_130N</v>
      </c>
      <c r="D860" s="9" t="s">
        <v>17</v>
      </c>
      <c r="E860" s="8" t="s">
        <v>2447</v>
      </c>
      <c r="F860" s="9" t="s">
        <v>17</v>
      </c>
    </row>
    <row r="861" spans="1:6" x14ac:dyDescent="0.15">
      <c r="A861" s="8" t="s">
        <v>2458</v>
      </c>
      <c r="B861" s="8" t="s">
        <v>240</v>
      </c>
      <c r="C861" s="8" t="str">
        <f t="shared" si="18"/>
        <v>att_tmt_channel:tmt11_131C</v>
      </c>
      <c r="D861" s="9" t="s">
        <v>17</v>
      </c>
      <c r="E861" s="8" t="s">
        <v>2459</v>
      </c>
      <c r="F861" s="9" t="s">
        <v>17</v>
      </c>
    </row>
    <row r="862" spans="1:6" x14ac:dyDescent="0.15">
      <c r="A862" s="8" t="s">
        <v>2460</v>
      </c>
      <c r="B862" s="8" t="s">
        <v>240</v>
      </c>
      <c r="C862" s="8" t="str">
        <f t="shared" si="18"/>
        <v>att_tmt_channel:tmt11_131N</v>
      </c>
      <c r="D862" s="9" t="s">
        <v>17</v>
      </c>
      <c r="E862" s="8" t="s">
        <v>2461</v>
      </c>
      <c r="F862" s="9" t="s">
        <v>17</v>
      </c>
    </row>
    <row r="863" spans="1:6" x14ac:dyDescent="0.15">
      <c r="A863" s="8" t="s">
        <v>2462</v>
      </c>
      <c r="B863" s="8" t="s">
        <v>240</v>
      </c>
      <c r="C863" s="8" t="str">
        <f t="shared" si="18"/>
        <v>att_tmt_channel:tmt18_126</v>
      </c>
      <c r="D863" s="9" t="s">
        <v>17</v>
      </c>
      <c r="E863" s="8">
        <v>126</v>
      </c>
      <c r="F863" s="9" t="s">
        <v>17</v>
      </c>
    </row>
    <row r="864" spans="1:6" x14ac:dyDescent="0.15">
      <c r="A864" s="8" t="s">
        <v>2463</v>
      </c>
      <c r="B864" s="8" t="s">
        <v>240</v>
      </c>
      <c r="C864" s="8" t="str">
        <f t="shared" si="18"/>
        <v>att_tmt_channel:tmt18_127C</v>
      </c>
      <c r="D864" s="9" t="s">
        <v>17</v>
      </c>
      <c r="E864" s="8" t="s">
        <v>2433</v>
      </c>
      <c r="F864" s="9" t="s">
        <v>17</v>
      </c>
    </row>
    <row r="865" spans="1:6" x14ac:dyDescent="0.15">
      <c r="A865" s="8" t="s">
        <v>2464</v>
      </c>
      <c r="B865" s="8" t="s">
        <v>240</v>
      </c>
      <c r="C865" s="8" t="str">
        <f t="shared" si="18"/>
        <v>att_tmt_channel:tmt18_127N</v>
      </c>
      <c r="D865" s="9" t="s">
        <v>17</v>
      </c>
      <c r="E865" s="8" t="s">
        <v>2435</v>
      </c>
      <c r="F865" s="9" t="s">
        <v>17</v>
      </c>
    </row>
    <row r="866" spans="1:6" x14ac:dyDescent="0.15">
      <c r="A866" s="8" t="s">
        <v>2465</v>
      </c>
      <c r="B866" s="8" t="s">
        <v>240</v>
      </c>
      <c r="C866" s="8" t="str">
        <f t="shared" si="18"/>
        <v>att_tmt_channel:tmt18_128C</v>
      </c>
      <c r="D866" s="9" t="s">
        <v>17</v>
      </c>
      <c r="E866" s="8" t="s">
        <v>2437</v>
      </c>
      <c r="F866" s="9" t="s">
        <v>17</v>
      </c>
    </row>
    <row r="867" spans="1:6" x14ac:dyDescent="0.15">
      <c r="A867" s="8" t="s">
        <v>2466</v>
      </c>
      <c r="B867" s="8" t="s">
        <v>240</v>
      </c>
      <c r="C867" s="8" t="str">
        <f t="shared" si="18"/>
        <v>att_tmt_channel:tmt18_128N</v>
      </c>
      <c r="D867" s="9" t="s">
        <v>17</v>
      </c>
      <c r="E867" s="8" t="s">
        <v>2439</v>
      </c>
      <c r="F867" s="9" t="s">
        <v>17</v>
      </c>
    </row>
    <row r="868" spans="1:6" x14ac:dyDescent="0.15">
      <c r="A868" s="8" t="s">
        <v>2467</v>
      </c>
      <c r="B868" s="8" t="s">
        <v>240</v>
      </c>
      <c r="C868" s="8" t="str">
        <f t="shared" si="18"/>
        <v>att_tmt_channel:tmt18_129C</v>
      </c>
      <c r="D868" s="9" t="s">
        <v>17</v>
      </c>
      <c r="E868" s="8" t="s">
        <v>2441</v>
      </c>
      <c r="F868" s="9" t="s">
        <v>17</v>
      </c>
    </row>
    <row r="869" spans="1:6" x14ac:dyDescent="0.15">
      <c r="A869" s="8" t="s">
        <v>2468</v>
      </c>
      <c r="B869" s="8" t="s">
        <v>240</v>
      </c>
      <c r="C869" s="8" t="str">
        <f t="shared" si="18"/>
        <v>att_tmt_channel:tmt18_129N</v>
      </c>
      <c r="D869" s="9" t="s">
        <v>17</v>
      </c>
      <c r="E869" s="8" t="s">
        <v>2443</v>
      </c>
      <c r="F869" s="9" t="s">
        <v>17</v>
      </c>
    </row>
    <row r="870" spans="1:6" x14ac:dyDescent="0.15">
      <c r="A870" s="8" t="s">
        <v>2469</v>
      </c>
      <c r="B870" s="8" t="s">
        <v>240</v>
      </c>
      <c r="C870" s="8" t="str">
        <f t="shared" si="18"/>
        <v>att_tmt_channel:tmt18_130C</v>
      </c>
      <c r="D870" s="9" t="s">
        <v>17</v>
      </c>
      <c r="E870" s="8" t="s">
        <v>2445</v>
      </c>
      <c r="F870" s="9" t="s">
        <v>17</v>
      </c>
    </row>
    <row r="871" spans="1:6" x14ac:dyDescent="0.15">
      <c r="A871" s="8" t="s">
        <v>2470</v>
      </c>
      <c r="B871" s="8" t="s">
        <v>240</v>
      </c>
      <c r="C871" s="8" t="str">
        <f t="shared" si="18"/>
        <v>att_tmt_channel:tmt18_130N</v>
      </c>
      <c r="D871" s="9" t="s">
        <v>17</v>
      </c>
      <c r="E871" s="8" t="s">
        <v>2447</v>
      </c>
      <c r="F871" s="9" t="s">
        <v>17</v>
      </c>
    </row>
    <row r="872" spans="1:6" x14ac:dyDescent="0.15">
      <c r="A872" s="8" t="s">
        <v>2471</v>
      </c>
      <c r="B872" s="8" t="s">
        <v>240</v>
      </c>
      <c r="C872" s="8" t="str">
        <f t="shared" si="18"/>
        <v>att_tmt_channel:tmt18_131C</v>
      </c>
      <c r="D872" s="9" t="s">
        <v>17</v>
      </c>
      <c r="E872" s="8" t="s">
        <v>2459</v>
      </c>
      <c r="F872" s="9" t="s">
        <v>17</v>
      </c>
    </row>
    <row r="873" spans="1:6" x14ac:dyDescent="0.15">
      <c r="A873" s="8" t="s">
        <v>2472</v>
      </c>
      <c r="B873" s="8" t="s">
        <v>240</v>
      </c>
      <c r="C873" s="8" t="str">
        <f t="shared" si="18"/>
        <v>att_tmt_channel:tmt18_131N</v>
      </c>
      <c r="D873" s="9" t="s">
        <v>17</v>
      </c>
      <c r="E873" s="8" t="s">
        <v>2461</v>
      </c>
      <c r="F873" s="9" t="s">
        <v>17</v>
      </c>
    </row>
    <row r="874" spans="1:6" x14ac:dyDescent="0.15">
      <c r="A874" s="8" t="s">
        <v>2473</v>
      </c>
      <c r="B874" s="8" t="s">
        <v>240</v>
      </c>
      <c r="C874" s="8" t="str">
        <f t="shared" si="18"/>
        <v>att_tmt_channel:tmt18_132C</v>
      </c>
      <c r="D874" s="9" t="s">
        <v>17</v>
      </c>
      <c r="E874" s="8" t="s">
        <v>2474</v>
      </c>
      <c r="F874" s="9" t="s">
        <v>17</v>
      </c>
    </row>
    <row r="875" spans="1:6" x14ac:dyDescent="0.15">
      <c r="A875" s="8" t="s">
        <v>2475</v>
      </c>
      <c r="B875" s="8" t="s">
        <v>240</v>
      </c>
      <c r="C875" s="8" t="str">
        <f t="shared" si="18"/>
        <v>att_tmt_channel:tmt18_132N</v>
      </c>
      <c r="D875" s="9" t="s">
        <v>17</v>
      </c>
      <c r="E875" s="8" t="s">
        <v>2476</v>
      </c>
      <c r="F875" s="9" t="s">
        <v>17</v>
      </c>
    </row>
    <row r="876" spans="1:6" x14ac:dyDescent="0.15">
      <c r="A876" s="8" t="s">
        <v>2477</v>
      </c>
      <c r="B876" s="8" t="s">
        <v>240</v>
      </c>
      <c r="C876" s="8" t="str">
        <f t="shared" si="18"/>
        <v>att_tmt_channel:tmt18_133C</v>
      </c>
      <c r="D876" s="9" t="s">
        <v>17</v>
      </c>
      <c r="E876" s="8" t="s">
        <v>2478</v>
      </c>
      <c r="F876" s="9" t="s">
        <v>17</v>
      </c>
    </row>
    <row r="877" spans="1:6" x14ac:dyDescent="0.15">
      <c r="A877" s="8" t="s">
        <v>2479</v>
      </c>
      <c r="B877" s="8" t="s">
        <v>240</v>
      </c>
      <c r="C877" s="8" t="str">
        <f t="shared" si="18"/>
        <v>att_tmt_channel:tmt18_133N</v>
      </c>
      <c r="D877" s="9" t="s">
        <v>17</v>
      </c>
      <c r="E877" s="8" t="s">
        <v>2480</v>
      </c>
      <c r="F877" s="9" t="s">
        <v>17</v>
      </c>
    </row>
    <row r="878" spans="1:6" x14ac:dyDescent="0.15">
      <c r="A878" s="8" t="s">
        <v>2481</v>
      </c>
      <c r="B878" s="8" t="s">
        <v>240</v>
      </c>
      <c r="C878" s="8" t="str">
        <f t="shared" si="18"/>
        <v>att_tmt_channel:tmt18_134C</v>
      </c>
      <c r="D878" s="9" t="s">
        <v>17</v>
      </c>
      <c r="E878" s="8" t="s">
        <v>2482</v>
      </c>
      <c r="F878" s="9" t="s">
        <v>17</v>
      </c>
    </row>
    <row r="879" spans="1:6" x14ac:dyDescent="0.15">
      <c r="A879" s="8" t="s">
        <v>2483</v>
      </c>
      <c r="B879" s="8" t="s">
        <v>240</v>
      </c>
      <c r="C879" s="8" t="str">
        <f t="shared" si="18"/>
        <v>att_tmt_channel:tmt18_134N</v>
      </c>
      <c r="D879" s="9" t="s">
        <v>17</v>
      </c>
      <c r="E879" s="8" t="s">
        <v>2484</v>
      </c>
      <c r="F879" s="9" t="s">
        <v>17</v>
      </c>
    </row>
    <row r="880" spans="1:6" x14ac:dyDescent="0.15">
      <c r="A880" s="8" t="s">
        <v>2485</v>
      </c>
      <c r="B880" s="8" t="s">
        <v>240</v>
      </c>
      <c r="C880" s="8" t="str">
        <f t="shared" si="18"/>
        <v>att_tmt_channel:tmt18_135N</v>
      </c>
      <c r="D880" s="9" t="s">
        <v>17</v>
      </c>
      <c r="E880" s="8" t="s">
        <v>2486</v>
      </c>
      <c r="F880" s="9" t="s">
        <v>17</v>
      </c>
    </row>
    <row r="881" spans="1:6" x14ac:dyDescent="0.15">
      <c r="A881" s="8" t="s">
        <v>2487</v>
      </c>
      <c r="B881" s="8" t="s">
        <v>240</v>
      </c>
      <c r="C881" s="8" t="str">
        <f t="shared" si="18"/>
        <v>att_tmt_channel:tmt6_126</v>
      </c>
      <c r="D881" s="9" t="s">
        <v>17</v>
      </c>
      <c r="E881" s="8">
        <v>126</v>
      </c>
      <c r="F881" s="9" t="s">
        <v>17</v>
      </c>
    </row>
    <row r="882" spans="1:6" x14ac:dyDescent="0.15">
      <c r="A882" s="8" t="s">
        <v>2488</v>
      </c>
      <c r="B882" s="8" t="s">
        <v>240</v>
      </c>
      <c r="C882" s="8" t="str">
        <f t="shared" si="18"/>
        <v>att_tmt_channel:tmt6_127</v>
      </c>
      <c r="D882" s="9" t="s">
        <v>17</v>
      </c>
      <c r="E882" s="8">
        <v>127</v>
      </c>
      <c r="F882" s="9" t="s">
        <v>17</v>
      </c>
    </row>
    <row r="883" spans="1:6" x14ac:dyDescent="0.15">
      <c r="A883" s="8" t="s">
        <v>2489</v>
      </c>
      <c r="B883" s="8" t="s">
        <v>240</v>
      </c>
      <c r="C883" s="8" t="str">
        <f t="shared" si="18"/>
        <v>att_tmt_channel:tmt6_128</v>
      </c>
      <c r="D883" s="9" t="s">
        <v>17</v>
      </c>
      <c r="E883" s="8">
        <v>128</v>
      </c>
      <c r="F883" s="9" t="s">
        <v>17</v>
      </c>
    </row>
    <row r="884" spans="1:6" x14ac:dyDescent="0.15">
      <c r="A884" s="8" t="s">
        <v>2490</v>
      </c>
      <c r="B884" s="8" t="s">
        <v>240</v>
      </c>
      <c r="C884" s="8" t="str">
        <f t="shared" si="18"/>
        <v>att_tmt_channel:tmt6_129</v>
      </c>
      <c r="D884" s="9" t="s">
        <v>17</v>
      </c>
      <c r="E884" s="8">
        <v>129</v>
      </c>
      <c r="F884" s="9" t="s">
        <v>17</v>
      </c>
    </row>
    <row r="885" spans="1:6" x14ac:dyDescent="0.15">
      <c r="A885" s="8" t="s">
        <v>2491</v>
      </c>
      <c r="B885" s="8" t="s">
        <v>240</v>
      </c>
      <c r="C885" s="8" t="str">
        <f t="shared" si="18"/>
        <v>att_tmt_channel:tmt6_130</v>
      </c>
      <c r="D885" s="9" t="s">
        <v>17</v>
      </c>
      <c r="E885" s="8">
        <v>130</v>
      </c>
      <c r="F885" s="9" t="s">
        <v>17</v>
      </c>
    </row>
    <row r="886" spans="1:6" x14ac:dyDescent="0.15">
      <c r="A886" s="8" t="s">
        <v>2492</v>
      </c>
      <c r="B886" s="8" t="s">
        <v>240</v>
      </c>
      <c r="C886" s="8" t="str">
        <f t="shared" si="18"/>
        <v>att_tmt_channel:tmt6_131</v>
      </c>
      <c r="D886" s="9" t="s">
        <v>17</v>
      </c>
      <c r="E886" s="8">
        <v>131</v>
      </c>
      <c r="F886" s="9" t="s">
        <v>17</v>
      </c>
    </row>
    <row r="887" spans="1:6" x14ac:dyDescent="0.15">
      <c r="A887" s="8" t="s">
        <v>2493</v>
      </c>
      <c r="B887" s="8" t="s">
        <v>248</v>
      </c>
      <c r="C887" s="8" t="str">
        <f t="shared" si="18"/>
        <v>att_user_institute:biochem</v>
      </c>
      <c r="D887" s="9" t="s">
        <v>17</v>
      </c>
      <c r="E887" s="8" t="s">
        <v>2494</v>
      </c>
      <c r="F887" s="8" t="s">
        <v>2495</v>
      </c>
    </row>
    <row r="888" spans="1:6" x14ac:dyDescent="0.15">
      <c r="A888" s="8" t="s">
        <v>2496</v>
      </c>
      <c r="B888" s="8" t="s">
        <v>248</v>
      </c>
      <c r="C888" s="8" t="str">
        <f t="shared" si="18"/>
        <v>att_user_institute:cecad</v>
      </c>
      <c r="D888" s="9" t="s">
        <v>17</v>
      </c>
      <c r="E888" s="8" t="s">
        <v>2497</v>
      </c>
      <c r="F888" s="8" t="s">
        <v>2498</v>
      </c>
    </row>
    <row r="889" spans="1:6" x14ac:dyDescent="0.15">
      <c r="A889" s="8" t="s">
        <v>2499</v>
      </c>
      <c r="B889" s="8" t="s">
        <v>248</v>
      </c>
      <c r="C889" s="8" t="str">
        <f t="shared" ref="C889:C918" si="21">B889&amp;":"&amp;A889</f>
        <v>att_user_institute:mpiage</v>
      </c>
      <c r="D889" s="9" t="s">
        <v>17</v>
      </c>
      <c r="E889" s="8" t="s">
        <v>2500</v>
      </c>
      <c r="F889" s="8" t="s">
        <v>2501</v>
      </c>
    </row>
    <row r="890" spans="1:6" x14ac:dyDescent="0.15">
      <c r="A890" s="8" t="s">
        <v>2502</v>
      </c>
      <c r="B890" s="8" t="s">
        <v>248</v>
      </c>
      <c r="C890" s="8" t="str">
        <f t="shared" si="21"/>
        <v>att_user_institute:mpimetab</v>
      </c>
      <c r="D890" s="9" t="s">
        <v>17</v>
      </c>
      <c r="E890" s="8" t="s">
        <v>2503</v>
      </c>
      <c r="F890" s="8" t="s">
        <v>2504</v>
      </c>
    </row>
    <row r="891" spans="1:6" x14ac:dyDescent="0.15">
      <c r="A891" s="8" t="s">
        <v>2493</v>
      </c>
      <c r="B891" s="8" t="s">
        <v>248</v>
      </c>
      <c r="C891" s="8" t="str">
        <f t="shared" si="21"/>
        <v>att_user_institute:biochem</v>
      </c>
      <c r="D891" s="8" t="s">
        <v>17</v>
      </c>
      <c r="E891" s="8" t="s">
        <v>2494</v>
      </c>
      <c r="F891" s="8" t="s">
        <v>2495</v>
      </c>
    </row>
    <row r="892" spans="1:6" x14ac:dyDescent="0.15">
      <c r="A892" s="8" t="s">
        <v>2496</v>
      </c>
      <c r="B892" s="8" t="s">
        <v>248</v>
      </c>
      <c r="C892" s="8" t="str">
        <f t="shared" si="21"/>
        <v>att_user_institute:cecad</v>
      </c>
      <c r="D892" s="8" t="s">
        <v>17</v>
      </c>
      <c r="E892" s="8" t="s">
        <v>2497</v>
      </c>
      <c r="F892" s="8" t="s">
        <v>2498</v>
      </c>
    </row>
    <row r="893" spans="1:6" x14ac:dyDescent="0.15">
      <c r="A893" s="8" t="s">
        <v>2499</v>
      </c>
      <c r="B893" s="8" t="s">
        <v>248</v>
      </c>
      <c r="C893" s="8" t="str">
        <f t="shared" si="21"/>
        <v>att_user_institute:mpiage</v>
      </c>
      <c r="D893" s="8" t="s">
        <v>17</v>
      </c>
      <c r="E893" s="8" t="s">
        <v>2500</v>
      </c>
      <c r="F893" s="8" t="s">
        <v>2501</v>
      </c>
    </row>
    <row r="894" spans="1:6" x14ac:dyDescent="0.15">
      <c r="A894" s="8" t="s">
        <v>2502</v>
      </c>
      <c r="B894" s="8" t="s">
        <v>248</v>
      </c>
      <c r="C894" s="8" t="str">
        <f t="shared" si="21"/>
        <v>att_user_institute:mpimetab</v>
      </c>
      <c r="D894" s="8" t="s">
        <v>17</v>
      </c>
      <c r="E894" s="8" t="s">
        <v>2503</v>
      </c>
      <c r="F894" s="8" t="s">
        <v>2504</v>
      </c>
    </row>
    <row r="895" spans="1:6" x14ac:dyDescent="0.15">
      <c r="A895" s="8" t="s">
        <v>2505</v>
      </c>
      <c r="B895" s="8" t="s">
        <v>252</v>
      </c>
      <c r="C895" s="8" t="str">
        <f t="shared" si="21"/>
        <v>att_user_research_group:mitoprotea</v>
      </c>
      <c r="D895" s="8" t="s">
        <v>17</v>
      </c>
      <c r="E895" s="8" t="s">
        <v>2506</v>
      </c>
      <c r="F895" s="8" t="s">
        <v>2507</v>
      </c>
    </row>
    <row r="896" spans="1:6" x14ac:dyDescent="0.15">
      <c r="A896" s="8" t="s">
        <v>2508</v>
      </c>
      <c r="B896" s="8" t="s">
        <v>252</v>
      </c>
      <c r="C896" s="8" t="str">
        <f t="shared" si="21"/>
        <v>att_user_research_group:molageing</v>
      </c>
      <c r="D896" s="8" t="s">
        <v>17</v>
      </c>
      <c r="E896" s="8" t="s">
        <v>2509</v>
      </c>
      <c r="F896" s="8" t="s">
        <v>2510</v>
      </c>
    </row>
    <row r="897" spans="1:6" x14ac:dyDescent="0.15">
      <c r="A897" s="8" t="s">
        <v>2874</v>
      </c>
      <c r="B897" s="8" t="s">
        <v>252</v>
      </c>
      <c r="C897" s="8" t="str">
        <f t="shared" si="21"/>
        <v>att_user_research_group:ProtFa</v>
      </c>
      <c r="D897" s="8" t="s">
        <v>17</v>
      </c>
      <c r="E897" s="8" t="s">
        <v>2875</v>
      </c>
      <c r="F897" s="8" t="s">
        <v>2876</v>
      </c>
    </row>
    <row r="898" spans="1:6" x14ac:dyDescent="0.15">
      <c r="A898" s="8" t="s">
        <v>2877</v>
      </c>
      <c r="B898" s="8" t="s">
        <v>252</v>
      </c>
      <c r="C898" s="8" t="str">
        <f t="shared" si="21"/>
        <v>att_user_research_group:frezza</v>
      </c>
      <c r="D898" s="8" t="s">
        <v>17</v>
      </c>
      <c r="E898" s="8" t="s">
        <v>2878</v>
      </c>
      <c r="F898" s="8" t="s">
        <v>2879</v>
      </c>
    </row>
    <row r="899" spans="1:6" x14ac:dyDescent="0.15">
      <c r="A899" s="8" t="s">
        <v>2880</v>
      </c>
      <c r="B899" s="8" t="s">
        <v>252</v>
      </c>
      <c r="C899" s="8" t="str">
        <f t="shared" si="21"/>
        <v>att_user_research_group:krueger</v>
      </c>
      <c r="D899" s="8" t="s">
        <v>17</v>
      </c>
      <c r="E899" s="8" t="s">
        <v>2881</v>
      </c>
      <c r="F899" s="8" t="s">
        <v>2882</v>
      </c>
    </row>
    <row r="900" spans="1:6" x14ac:dyDescent="0.15">
      <c r="A900" s="8" t="s">
        <v>2883</v>
      </c>
      <c r="B900" s="8" t="s">
        <v>252</v>
      </c>
      <c r="C900" s="8" t="str">
        <f t="shared" si="21"/>
        <v>att_user_research_group:rugarli</v>
      </c>
      <c r="D900" s="8" t="s">
        <v>17</v>
      </c>
      <c r="E900" s="8" t="s">
        <v>2884</v>
      </c>
      <c r="F900" s="8" t="s">
        <v>2882</v>
      </c>
    </row>
    <row r="901" spans="1:6" x14ac:dyDescent="0.15">
      <c r="A901" s="8" t="s">
        <v>2885</v>
      </c>
      <c r="B901" s="8" t="s">
        <v>252</v>
      </c>
      <c r="C901" s="8" t="str">
        <f t="shared" si="21"/>
        <v>att_user_research_group:trifunovic</v>
      </c>
      <c r="D901" s="8" t="s">
        <v>17</v>
      </c>
      <c r="E901" s="8" t="s">
        <v>2886</v>
      </c>
      <c r="F901" s="8" t="s">
        <v>2887</v>
      </c>
    </row>
    <row r="902" spans="1:6" x14ac:dyDescent="0.15">
      <c r="A902" s="8" t="s">
        <v>2888</v>
      </c>
      <c r="B902" s="8" t="s">
        <v>252</v>
      </c>
      <c r="C902" s="8" t="str">
        <f t="shared" si="21"/>
        <v>att_user_research_group:niessen</v>
      </c>
      <c r="D902" s="8" t="s">
        <v>17</v>
      </c>
      <c r="E902" s="8" t="s">
        <v>2889</v>
      </c>
      <c r="F902" s="8" t="s">
        <v>2497</v>
      </c>
    </row>
    <row r="903" spans="1:6" x14ac:dyDescent="0.15">
      <c r="A903" s="8" t="s">
        <v>2890</v>
      </c>
      <c r="B903" s="8" t="s">
        <v>252</v>
      </c>
      <c r="C903" s="8" t="str">
        <f t="shared" si="21"/>
        <v>att_user_research_group:gloeckner</v>
      </c>
      <c r="D903" s="8" t="s">
        <v>17</v>
      </c>
      <c r="E903" s="8" t="s">
        <v>2891</v>
      </c>
      <c r="F903" s="8" t="s">
        <v>2892</v>
      </c>
    </row>
    <row r="904" spans="1:6" x14ac:dyDescent="0.15">
      <c r="A904" s="8" t="s">
        <v>2893</v>
      </c>
      <c r="B904" s="8" t="s">
        <v>252</v>
      </c>
      <c r="C904" s="8" t="str">
        <f t="shared" si="21"/>
        <v>att_user_research_group:bazzi</v>
      </c>
      <c r="D904" s="8" t="s">
        <v>17</v>
      </c>
      <c r="E904" s="8" t="s">
        <v>2894</v>
      </c>
      <c r="F904" s="8" t="s">
        <v>2895</v>
      </c>
    </row>
    <row r="905" spans="1:6" x14ac:dyDescent="0.15">
      <c r="A905" s="8" t="s">
        <v>2896</v>
      </c>
      <c r="B905" s="8" t="s">
        <v>252</v>
      </c>
      <c r="C905" s="8" t="str">
        <f t="shared" si="21"/>
        <v>att_user_research_group:hallek</v>
      </c>
      <c r="D905" s="8" t="s">
        <v>17</v>
      </c>
      <c r="E905" s="8" t="s">
        <v>2897</v>
      </c>
      <c r="F905" s="8" t="s">
        <v>2898</v>
      </c>
    </row>
    <row r="906" spans="1:6" x14ac:dyDescent="0.15">
      <c r="A906" s="8" t="s">
        <v>2899</v>
      </c>
      <c r="B906" s="8" t="s">
        <v>252</v>
      </c>
      <c r="C906" s="8" t="str">
        <f t="shared" si="21"/>
        <v>att_user_research_group:benzing</v>
      </c>
      <c r="D906" s="8" t="s">
        <v>17</v>
      </c>
      <c r="E906" s="8" t="s">
        <v>2900</v>
      </c>
      <c r="F906" s="8" t="s">
        <v>2901</v>
      </c>
    </row>
    <row r="907" spans="1:6" x14ac:dyDescent="0.15">
      <c r="A907" s="8" t="s">
        <v>2902</v>
      </c>
      <c r="B907" s="8" t="s">
        <v>252</v>
      </c>
      <c r="C907" s="8" t="str">
        <f t="shared" si="21"/>
        <v>att_user_research_group:hennies</v>
      </c>
      <c r="D907" s="8" t="s">
        <v>17</v>
      </c>
      <c r="E907" s="8" t="s">
        <v>2903</v>
      </c>
      <c r="F907" s="8" t="s">
        <v>2904</v>
      </c>
    </row>
    <row r="908" spans="1:6" x14ac:dyDescent="0.15">
      <c r="A908" s="8" t="s">
        <v>2905</v>
      </c>
      <c r="B908" s="8" t="s">
        <v>252</v>
      </c>
      <c r="C908" s="8" t="str">
        <f t="shared" si="21"/>
        <v>att_user_research_group:vonkarstedt</v>
      </c>
      <c r="D908" s="8" t="s">
        <v>17</v>
      </c>
      <c r="E908" s="8" t="s">
        <v>2906</v>
      </c>
      <c r="F908" s="8" t="s">
        <v>2907</v>
      </c>
    </row>
    <row r="909" spans="1:6" x14ac:dyDescent="0.15">
      <c r="A909" s="8" t="s">
        <v>2908</v>
      </c>
      <c r="B909" s="8" t="s">
        <v>252</v>
      </c>
      <c r="C909" s="8" t="str">
        <f t="shared" si="21"/>
        <v>att_user_research_group:laessig</v>
      </c>
      <c r="D909" s="8" t="s">
        <v>17</v>
      </c>
      <c r="E909" s="8" t="s">
        <v>2909</v>
      </c>
      <c r="F909" s="8" t="s">
        <v>2910</v>
      </c>
    </row>
    <row r="910" spans="1:6" x14ac:dyDescent="0.15">
      <c r="A910" s="8" t="s">
        <v>2911</v>
      </c>
      <c r="B910" s="8" t="s">
        <v>252</v>
      </c>
      <c r="C910" s="8" t="str">
        <f t="shared" si="21"/>
        <v>att_user_research_group:hoppe</v>
      </c>
      <c r="D910" s="8" t="s">
        <v>17</v>
      </c>
      <c r="E910" s="8" t="s">
        <v>2912</v>
      </c>
      <c r="F910" s="8" t="s">
        <v>2913</v>
      </c>
    </row>
    <row r="911" spans="1:6" x14ac:dyDescent="0.15">
      <c r="A911" s="8" t="s">
        <v>2914</v>
      </c>
      <c r="B911" s="8" t="s">
        <v>252</v>
      </c>
      <c r="C911" s="8" t="str">
        <f t="shared" si="21"/>
        <v>att_user_research_group:garcia</v>
      </c>
      <c r="D911" s="8" t="s">
        <v>17</v>
      </c>
      <c r="E911" s="8" t="s">
        <v>2915</v>
      </c>
      <c r="F911" s="8" t="s">
        <v>2913</v>
      </c>
    </row>
    <row r="912" spans="1:6" x14ac:dyDescent="0.15">
      <c r="A912" s="8" t="s">
        <v>2916</v>
      </c>
      <c r="B912" s="8" t="s">
        <v>252</v>
      </c>
      <c r="C912" s="8" t="str">
        <f t="shared" si="21"/>
        <v>att_user_research_group:khaskar</v>
      </c>
      <c r="D912" s="8" t="s">
        <v>17</v>
      </c>
      <c r="E912" s="8" t="s">
        <v>2917</v>
      </c>
      <c r="F912" s="8" t="s">
        <v>2918</v>
      </c>
    </row>
    <row r="913" spans="1:6" x14ac:dyDescent="0.15">
      <c r="A913" s="8" t="s">
        <v>2919</v>
      </c>
      <c r="B913" s="8" t="s">
        <v>252</v>
      </c>
      <c r="C913" s="8" t="str">
        <f t="shared" si="21"/>
        <v>att_user_research_group:krieg</v>
      </c>
      <c r="D913" s="8" t="s">
        <v>17</v>
      </c>
      <c r="E913" s="8" t="s">
        <v>2920</v>
      </c>
      <c r="F913" s="8" t="s">
        <v>2921</v>
      </c>
    </row>
    <row r="914" spans="1:6" x14ac:dyDescent="0.15">
      <c r="A914" s="8" t="s">
        <v>2824</v>
      </c>
      <c r="B914" s="22" t="s">
        <v>2820</v>
      </c>
      <c r="C914" s="8" t="str">
        <f t="shared" si="21"/>
        <v>att_diet:wd</v>
      </c>
      <c r="D914" s="8" t="s">
        <v>17</v>
      </c>
      <c r="E914" s="8" t="s">
        <v>2823</v>
      </c>
      <c r="F914" s="8" t="s">
        <v>2822</v>
      </c>
    </row>
    <row r="915" spans="1:6" x14ac:dyDescent="0.15">
      <c r="A915" s="8" t="s">
        <v>2825</v>
      </c>
      <c r="B915" s="22" t="s">
        <v>2820</v>
      </c>
      <c r="C915" s="8" t="str">
        <f t="shared" si="21"/>
        <v>att_diet:sd</v>
      </c>
      <c r="D915" s="8" t="s">
        <v>17</v>
      </c>
      <c r="E915" s="8" t="s">
        <v>2826</v>
      </c>
    </row>
    <row r="916" spans="1:6" x14ac:dyDescent="0.15">
      <c r="A916" s="8" t="s">
        <v>2827</v>
      </c>
      <c r="B916" s="22" t="s">
        <v>2820</v>
      </c>
      <c r="C916" s="8" t="str">
        <f t="shared" si="21"/>
        <v>att_diet:veg</v>
      </c>
      <c r="D916" s="8" t="s">
        <v>17</v>
      </c>
      <c r="E916" s="8" t="s">
        <v>2828</v>
      </c>
      <c r="F916" s="8" t="s">
        <v>2829</v>
      </c>
    </row>
    <row r="917" spans="1:6" x14ac:dyDescent="0.15">
      <c r="A917" s="8" t="s">
        <v>2832</v>
      </c>
      <c r="B917" s="22" t="s">
        <v>2820</v>
      </c>
      <c r="C917" s="8" t="str">
        <f t="shared" si="21"/>
        <v>att_diet:hg</v>
      </c>
      <c r="D917" s="8" t="s">
        <v>17</v>
      </c>
      <c r="E917" s="8" t="s">
        <v>2830</v>
      </c>
      <c r="F917" s="8" t="s">
        <v>2831</v>
      </c>
    </row>
    <row r="918" spans="1:6" x14ac:dyDescent="0.15">
      <c r="A918" s="8" t="s">
        <v>2835</v>
      </c>
      <c r="B918" s="8" t="s">
        <v>2820</v>
      </c>
      <c r="C918" s="8" t="str">
        <f t="shared" si="21"/>
        <v>att_diet:hfd</v>
      </c>
      <c r="D918" s="8" t="s">
        <v>17</v>
      </c>
      <c r="E918" s="8" t="s">
        <v>2833</v>
      </c>
      <c r="F918"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2024-02-07T14:46:42Z</dcterms:modified>
  <dc:language>en-GB</dc:language>
</cp:coreProperties>
</file>