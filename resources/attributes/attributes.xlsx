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412D60BE-5994-6B4E-B104-56C5B7A3BADF}" xr6:coauthVersionLast="47" xr6:coauthVersionMax="47" xr10:uidLastSave="{00000000-0000-0000-0000-000000000000}"/>
  <bookViews>
    <workbookView xWindow="1360" yWindow="880" windowWidth="38400" windowHeight="19500" tabRatio="500"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attributes!$A$1:$ALX$129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A1387" i="2" l="1"/>
  <c r="A1386" i="2"/>
  <c r="A1385" i="2"/>
  <c r="A1384" i="2"/>
  <c r="A1383" i="2"/>
  <c r="A1382" i="2"/>
  <c r="A1381" i="2"/>
  <c r="A1380" i="2"/>
  <c r="A1379" i="2"/>
  <c r="A1378" i="2"/>
  <c r="A1377" i="2"/>
  <c r="A1376" i="2"/>
  <c r="A1375" i="2"/>
  <c r="A1374" i="2"/>
  <c r="A1373" i="2"/>
  <c r="A1372" i="2"/>
  <c r="A1371" i="2"/>
  <c r="A1370" i="2"/>
  <c r="A1369" i="2"/>
  <c r="A1368" i="2"/>
  <c r="A1367" i="2"/>
  <c r="A1366" i="2"/>
  <c r="A1365" i="2"/>
  <c r="A1364" i="2"/>
  <c r="A1363" i="2"/>
  <c r="A1362" i="2"/>
  <c r="A1361" i="2"/>
  <c r="A1360" i="2"/>
  <c r="A1359" i="2"/>
  <c r="C826" i="2"/>
  <c r="C882" i="2"/>
  <c r="C881" i="2"/>
  <c r="C875" i="2"/>
  <c r="C880" i="2"/>
  <c r="C373" i="2"/>
  <c r="C794" i="2" l="1"/>
  <c r="C844" i="2"/>
  <c r="C485" i="2"/>
  <c r="C1025" i="2"/>
  <c r="C1024" i="2"/>
  <c r="C1023" i="2"/>
  <c r="C1022" i="2"/>
  <c r="C1021" i="2"/>
  <c r="C1020" i="2"/>
  <c r="C440" i="2"/>
  <c r="C385" i="2"/>
  <c r="C126" i="2"/>
  <c r="C237" i="2"/>
  <c r="C978" i="2"/>
  <c r="C977" i="2"/>
  <c r="C976" i="2"/>
  <c r="C975" i="2"/>
  <c r="C974" i="2"/>
  <c r="C188" i="2"/>
  <c r="C1019" i="2"/>
  <c r="C1018" i="2"/>
  <c r="C1017" i="2"/>
  <c r="C1016" i="2"/>
  <c r="C1015" i="2"/>
  <c r="C1014"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4" i="2"/>
  <c r="C375" i="2"/>
  <c r="C376" i="2"/>
  <c r="C377" i="2"/>
  <c r="C378" i="2"/>
  <c r="C379" i="2"/>
  <c r="C380" i="2"/>
  <c r="C381" i="2"/>
  <c r="C382" i="2"/>
  <c r="C383" i="2"/>
  <c r="C384"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7" i="2"/>
  <c r="C828" i="2"/>
  <c r="C829" i="2"/>
  <c r="C830" i="2"/>
  <c r="C831" i="2"/>
  <c r="C832" i="2"/>
  <c r="C833" i="2"/>
  <c r="C834" i="2"/>
  <c r="C835" i="2"/>
  <c r="C836" i="2"/>
  <c r="C837" i="2"/>
  <c r="C838" i="2"/>
  <c r="C839" i="2"/>
  <c r="C840" i="2"/>
  <c r="C841" i="2"/>
  <c r="C842" i="2"/>
  <c r="C843"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6" i="2"/>
  <c r="C877" i="2"/>
  <c r="C878" i="2"/>
  <c r="C879"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<sst xmlns="http://schemas.openxmlformats.org/spreadsheetml/2006/main" count="13545" uniqueCount="4404">
  <si>
    <t>tag</t>
  </si>
  <si>
    <t>text</t>
  </si>
  <si>
    <t>priority</t>
  </si>
  <si>
    <t>has_features_value</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</si>
  <si>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</si>
  <si>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</si>
  <si>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</si>
  <si>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</si>
  <si>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</si>
  <si>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</si>
  <si>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</si>
  <si>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</si>
  <si>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</si>
  <si>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</si>
  <si>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</si>
  <si>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</si>
  <si>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</si>
  <si>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</si>
  <si>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</si>
  <si>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</si>
  <si>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</si>
  <si>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</si>
  <si>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</si>
  <si>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</si>
  <si>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</si>
  <si>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</si>
  <si>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</si>
  <si>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</si>
  <si>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</si>
  <si>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</si>
  <si>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</si>
  <si>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</si>
  <si>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</si>
  <si>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</si>
  <si>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</si>
  <si>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</si>
  <si>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</si>
  <si>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</si>
  <si>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</si>
  <si>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</si>
  <si>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</si>
  <si>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</si>
  <si>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</si>
  <si>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</si>
  <si>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</si>
  <si>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</si>
  <si>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</si>
  <si>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</si>
  <si>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</si>
  <si>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lc</t>
  </si>
  <si>
    <t>att_column_length</t>
  </si>
  <si>
    <t>att_column_outer_diameter</t>
  </si>
  <si>
    <t>att_column_oven_temp</t>
  </si>
  <si>
    <t>att_column_particle_size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</si>
  <si>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</si>
  <si>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</si>
  <si>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</si>
  <si>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</si>
  <si>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</si>
  <si>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</si>
  <si>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</si>
  <si>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</si>
  <si>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</si>
  <si>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</si>
  <si>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</si>
  <si>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</si>
  <si>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</si>
  <si>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</si>
  <si>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</si>
  <si>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</si>
  <si>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</si>
  <si>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</si>
  <si>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</si>
  <si>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</si>
  <si>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</si>
  <si>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</si>
  <si>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</si>
  <si>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</si>
  <si>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</si>
  <si>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</si>
  <si>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</si>
  <si>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</si>
  <si>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</si>
  <si>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</si>
  <si>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</si>
  <si>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</si>
  <si>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</si>
  <si>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</si>
  <si>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</si>
  <si>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</si>
  <si>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</si>
  <si>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</si>
  <si>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</si>
  <si>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</si>
  <si>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</si>
  <si>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</si>
  <si>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</si>
  <si>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</si>
  <si>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</si>
  <si>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</si>
  <si>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</si>
  <si>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</si>
  <si>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</si>
  <si>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</si>
  <si>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</si>
  <si>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</si>
  <si>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</si>
  <si>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</si>
  <si>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</si>
  <si>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</si>
  <si>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</si>
  <si>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</si>
  <si>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</si>
  <si>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</si>
  <si>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</si>
  <si>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</si>
  <si>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</si>
  <si>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</si>
  <si>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</si>
  <si>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</si>
  <si>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</si>
  <si>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</si>
  <si>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</si>
  <si>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</si>
  <si>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</si>
  <si>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</si>
  <si>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</si>
  <si>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</si>
  <si>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</si>
  <si>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</si>
  <si>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</si>
  <si>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</si>
  <si>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</si>
  <si>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</si>
  <si>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</si>
  <si>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</si>
  <si>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</si>
  <si>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</si>
  <si>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</si>
  <si>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</si>
  <si>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</si>
  <si>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</si>
  <si>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</si>
  <si>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</si>
  <si>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</si>
  <si>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</si>
  <si>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</si>
  <si>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</si>
  <si>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</si>
  <si>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</si>
  <si>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</si>
  <si>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</si>
  <si>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</si>
  <si>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</si>
  <si>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</si>
  <si>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</si>
  <si>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</si>
  <si>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</si>
  <si>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</si>
  <si>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</si>
  <si>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</si>
  <si>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</si>
  <si>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</si>
  <si>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</si>
  <si>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</si>
  <si>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</si>
  <si>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</si>
  <si>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</si>
  <si>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</si>
  <si>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</si>
  <si>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</si>
  <si>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</si>
  <si>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</si>
  <si>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</si>
  <si>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</si>
  <si>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</si>
  <si>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</si>
  <si>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</si>
  <si>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</si>
  <si>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</si>
  <si>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</si>
  <si>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</si>
  <si>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</si>
  <si>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</si>
  <si>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</si>
  <si>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</si>
  <si>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</si>
  <si>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</si>
  <si>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</si>
  <si>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</si>
  <si>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</si>
  <si>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</si>
  <si>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</si>
  <si>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</si>
  <si>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</si>
  <si>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</si>
  <si>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</si>
  <si>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</si>
  <si>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</si>
  <si>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</si>
  <si>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</si>
  <si>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</si>
  <si>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</si>
  <si>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</si>
  <si>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</si>
  <si>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</si>
  <si>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</si>
  <si>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</si>
  <si>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</si>
  <si>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</si>
  <si>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</si>
  <si>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</si>
  <si>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</si>
  <si>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</si>
  <si>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</si>
  <si>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</si>
  <si>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</si>
  <si>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</si>
  <si>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</si>
  <si>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</si>
  <si>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</si>
  <si>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</si>
  <si>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</si>
  <si>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</si>
  <si>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</si>
  <si>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</si>
  <si>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</si>
  <si>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</si>
  <si>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</si>
  <si>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</si>
  <si>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</si>
  <si>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</si>
  <si>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</si>
  <si>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</si>
  <si>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</si>
  <si>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</si>
  <si>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</si>
  <si>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</si>
  <si>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</si>
  <si>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</si>
  <si>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</si>
  <si>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</si>
  <si>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</si>
  <si>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</si>
  <si>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</si>
  <si>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</si>
  <si>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</si>
  <si>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</si>
  <si>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</si>
  <si>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</si>
  <si>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</si>
  <si>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</si>
  <si>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</si>
  <si>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</si>
  <si>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</si>
  <si>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</si>
  <si>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</si>
  <si>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</si>
  <si>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</si>
  <si>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</si>
  <si>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</si>
  <si>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</si>
  <si>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</si>
  <si>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</si>
  <si>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</si>
  <si>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</si>
  <si>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</si>
  <si>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</si>
  <si>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</si>
  <si>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</si>
  <si>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</si>
  <si>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</si>
  <si>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</si>
  <si>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</si>
  <si>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</si>
  <si>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</si>
  <si>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</si>
  <si>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</si>
  <si>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</si>
  <si>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</si>
  <si>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</si>
  <si>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</si>
  <si>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</si>
  <si>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</si>
  <si>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</si>
  <si>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</si>
  <si>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</si>
  <si>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</si>
  <si>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</si>
  <si>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</si>
  <si>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</si>
  <si>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</si>
  <si>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</si>
  <si>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</si>
  <si>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</si>
  <si>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</si>
  <si>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</si>
  <si>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</si>
  <si>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</si>
  <si>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</si>
  <si>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</si>
  <si>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</si>
  <si>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</si>
  <si>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</si>
  <si>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</si>
  <si>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</si>
  <si>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</si>
  <si>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</si>
  <si>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</si>
  <si>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</si>
  <si>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</si>
  <si>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</si>
  <si>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</si>
  <si>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</si>
  <si>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</si>
  <si>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</si>
  <si>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</si>
  <si>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</si>
  <si>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</si>
  <si>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</si>
  <si>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</si>
  <si>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</si>
  <si>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</si>
  <si>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</si>
  <si>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</si>
  <si>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</si>
  <si>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</si>
  <si>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</si>
  <si>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</si>
  <si>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</si>
  <si>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</si>
  <si>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</si>
  <si>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</si>
  <si>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</si>
  <si>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</si>
  <si>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</si>
  <si>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</si>
  <si>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</si>
  <si>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</si>
  <si>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</si>
  <si>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</si>
  <si>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</si>
  <si>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</si>
  <si>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</si>
  <si>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</si>
  <si>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</si>
  <si>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</si>
  <si>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</si>
  <si>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</si>
  <si>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</si>
  <si>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</si>
  <si>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</si>
  <si>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</si>
  <si>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</si>
  <si>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</si>
  <si>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</si>
  <si>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</si>
  <si>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</si>
  <si>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</si>
  <si>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</si>
  <si>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</si>
  <si>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</si>
  <si>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</si>
  <si>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</si>
  <si>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</si>
  <si>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</si>
  <si>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</si>
  <si>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</si>
  <si>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</si>
  <si>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</si>
  <si>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</si>
  <si>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</si>
  <si>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</si>
  <si>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</si>
  <si>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</si>
  <si>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</si>
  <si>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</si>
  <si>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</si>
  <si>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</si>
  <si>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</si>
  <si>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</si>
  <si>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</si>
  <si>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</si>
  <si>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</si>
  <si>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</si>
  <si>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</si>
  <si>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</si>
  <si>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</si>
  <si>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</si>
  <si>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</si>
  <si>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</si>
  <si>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</si>
  <si>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</si>
  <si>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</si>
  <si>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</si>
  <si>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</si>
  <si>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</si>
  <si>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</si>
  <si>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</si>
  <si>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</si>
  <si>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</si>
  <si>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</si>
  <si>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</si>
  <si>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</si>
  <si>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</si>
  <si>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</si>
  <si>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</si>
  <si>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</si>
  <si>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</si>
  <si>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</si>
  <si>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</si>
  <si>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</si>
  <si>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</si>
  <si>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</si>
  <si>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</si>
  <si>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</si>
  <si>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</si>
  <si>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</si>
  <si>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</si>
  <si>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</si>
  <si>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</si>
  <si>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</si>
  <si>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</si>
  <si>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</si>
  <si>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</si>
  <si>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</si>
  <si>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</si>
  <si>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</si>
  <si>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</si>
  <si>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</si>
  <si>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</si>
  <si>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</si>
  <si>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</si>
  <si>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</si>
  <si>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</si>
  <si>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</si>
  <si>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</si>
  <si>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</si>
  <si>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</si>
  <si>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</si>
  <si>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</si>
  <si>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</si>
  <si>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</si>
  <si>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</si>
  <si>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</si>
  <si>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</si>
  <si>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</si>
  <si>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</si>
  <si>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</si>
  <si>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</si>
  <si>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</si>
  <si>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</si>
  <si>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</si>
  <si>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</si>
  <si>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</si>
  <si>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</si>
  <si>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</si>
  <si>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</si>
  <si>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</si>
  <si>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</si>
  <si>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</si>
  <si>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</si>
  <si>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</si>
  <si>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</si>
  <si>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</si>
  <si>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</si>
  <si>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</si>
  <si>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</si>
  <si>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</si>
  <si>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</si>
  <si>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</si>
  <si>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</si>
  <si>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</si>
  <si>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</si>
  <si>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</si>
  <si>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</si>
  <si>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</si>
  <si>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</si>
  <si>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</si>
  <si>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</si>
  <si>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</si>
  <si>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</si>
  <si>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</si>
  <si>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</si>
  <si>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</si>
  <si>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</si>
  <si>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</si>
  <si>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</si>
  <si>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</si>
  <si>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</si>
  <si>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</si>
  <si>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</si>
  <si>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</si>
  <si>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</si>
  <si>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</si>
  <si>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</si>
  <si>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</si>
  <si>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</si>
  <si>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</si>
  <si>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</si>
  <si>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</si>
  <si>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</si>
  <si>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</si>
  <si>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</si>
  <si>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</si>
  <si>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</si>
  <si>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</si>
  <si>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</si>
  <si>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</si>
  <si>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</si>
  <si>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</si>
  <si>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</si>
  <si>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</si>
  <si>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</si>
  <si>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</si>
  <si>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</si>
  <si>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</si>
  <si>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</si>
  <si>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</si>
  <si>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</si>
  <si>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</si>
  <si>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</si>
  <si>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</si>
  <si>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</si>
  <si>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</si>
  <si>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</si>
  <si>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</si>
  <si>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</si>
  <si>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</si>
  <si>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</si>
  <si>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</si>
  <si>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</si>
  <si>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</si>
  <si>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</si>
  <si>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</si>
  <si>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</si>
  <si>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</si>
  <si>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</si>
  <si>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</si>
  <si>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</si>
  <si>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</si>
  <si>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</si>
  <si>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</si>
  <si>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</si>
  <si>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</si>
  <si>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</si>
  <si>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</si>
  <si>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</si>
  <si>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</si>
  <si>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</si>
  <si>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</si>
  <si>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</si>
  <si>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</si>
  <si>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</si>
  <si>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</si>
  <si>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</si>
  <si>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</si>
  <si>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</si>
  <si>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</si>
  <si>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</si>
  <si>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</si>
  <si>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</si>
  <si>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</si>
  <si>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</si>
  <si>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</si>
  <si>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</si>
  <si>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</si>
  <si>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</si>
  <si>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</si>
  <si>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</si>
  <si>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</si>
  <si>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</si>
  <si>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</si>
  <si>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</si>
  <si>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</si>
  <si>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</si>
  <si>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</si>
  <si>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</si>
  <si>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</si>
  <si>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</si>
  <si>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</si>
  <si>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</si>
  <si>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</si>
  <si>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</si>
  <si>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</si>
  <si>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</si>
  <si>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</si>
  <si>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</si>
  <si>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</si>
  <si>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</si>
  <si>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</si>
  <si>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</si>
  <si>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</si>
  <si>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</si>
  <si>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</si>
  <si>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</si>
  <si>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</si>
  <si>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</si>
  <si>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</si>
  <si>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</si>
  <si>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</si>
  <si>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</si>
  <si>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</si>
  <si>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</si>
  <si>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</si>
  <si>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</si>
  <si>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</si>
  <si>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</si>
  <si>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</si>
  <si>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</si>
  <si>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</si>
  <si>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</si>
  <si>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</si>
  <si>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</si>
  <si>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</si>
  <si>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</si>
  <si>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</si>
  <si>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</si>
  <si>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</si>
  <si>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</si>
  <si>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</si>
  <si>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</si>
  <si>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</si>
  <si>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</si>
  <si>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</si>
  <si>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</si>
  <si>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</si>
  <si>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</si>
  <si>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</si>
  <si>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</si>
  <si>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</si>
  <si>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</si>
  <si>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</si>
  <si>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</si>
  <si>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</si>
  <si>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</si>
  <si>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</si>
  <si>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</si>
  <si>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</si>
  <si>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</si>
  <si>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</si>
  <si>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</si>
  <si>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</si>
  <si>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</si>
  <si>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</si>
  <si>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</si>
  <si>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</si>
  <si>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</si>
  <si>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</si>
  <si>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</si>
  <si>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</si>
  <si>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</si>
  <si>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</si>
  <si>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</si>
  <si>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</si>
  <si>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</si>
  <si>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</si>
  <si>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</si>
  <si>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</si>
  <si>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</si>
  <si>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</si>
  <si>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</si>
  <si>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</si>
  <si>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</si>
  <si>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</si>
  <si>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</si>
  <si>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</si>
  <si>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</si>
  <si>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</si>
  <si>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</si>
  <si>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</si>
  <si>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</si>
  <si>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</si>
  <si>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</si>
  <si>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</si>
  <si>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</si>
  <si>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</si>
  <si>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</si>
  <si>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</si>
  <si>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</si>
  <si>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</si>
  <si>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</si>
  <si>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</si>
  <si>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</si>
  <si>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</si>
  <si>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</si>
  <si>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</si>
  <si>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</si>
  <si>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</si>
  <si>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</si>
  <si>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</si>
  <si>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</si>
  <si>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</si>
  <si>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</si>
  <si>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</si>
  <si>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</si>
  <si>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</si>
  <si>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</si>
  <si>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</si>
  <si>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</si>
  <si>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</si>
  <si>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</si>
  <si>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</si>
  <si>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</si>
  <si>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</si>
  <si>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</si>
  <si>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</si>
  <si>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</si>
  <si>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</si>
  <si>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</si>
  <si>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</si>
  <si>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</si>
  <si>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</si>
  <si>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</si>
  <si>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</si>
  <si>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</si>
  <si>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</si>
  <si>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</si>
  <si>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</si>
  <si>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</si>
  <si>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</si>
  <si>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</si>
  <si>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</si>
  <si>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</si>
  <si>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</si>
  <si>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</si>
  <si>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</si>
  <si>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</si>
  <si>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</si>
  <si>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</si>
  <si>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</si>
  <si>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</si>
  <si>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</si>
  <si>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</si>
  <si>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</si>
  <si>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</si>
  <si>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</si>
  <si>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</si>
  <si>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</si>
  <si>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</si>
  <si>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</si>
  <si>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</si>
  <si>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</si>
  <si>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</si>
  <si>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</si>
  <si>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</si>
  <si>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</si>
  <si>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</si>
  <si>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</si>
  <si>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</si>
  <si>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</si>
  <si>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</si>
  <si>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</si>
  <si>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</si>
  <si>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</si>
  <si>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</si>
  <si>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</si>
  <si>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</si>
  <si>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</si>
  <si>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</si>
  <si>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</si>
  <si>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</si>
  <si>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</si>
  <si>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</si>
  <si>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</si>
  <si>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</si>
  <si>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</si>
  <si>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</si>
  <si>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</si>
  <si>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</si>
  <si>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</si>
  <si>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</si>
  <si>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</si>
  <si>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</si>
  <si>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</si>
  <si>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</si>
  <si>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</si>
  <si>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</si>
  <si>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</si>
  <si>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</si>
  <si>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</si>
  <si>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</si>
  <si>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</si>
  <si>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</si>
  <si>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</si>
  <si>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</si>
  <si>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</si>
  <si>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</si>
  <si>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</si>
  <si>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</si>
  <si>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</si>
  <si>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</si>
  <si>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</si>
  <si>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</si>
  <si>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</si>
  <si>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</si>
  <si>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</si>
  <si>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</si>
  <si>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</si>
  <si>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</si>
  <si>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</si>
  <si>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</si>
  <si>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</si>
  <si>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</si>
  <si>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</si>
  <si>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</si>
  <si>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</si>
  <si>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</si>
  <si>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</si>
  <si>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</si>
  <si>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</si>
  <si>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</si>
  <si>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</si>
  <si>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</si>
  <si>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</si>
  <si>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</si>
  <si>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</si>
  <si>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</si>
  <si>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</si>
  <si>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</si>
  <si>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</si>
  <si>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</si>
  <si>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</si>
  <si>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</si>
  <si>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</si>
  <si>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</si>
  <si>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</si>
  <si>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</si>
  <si>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</si>
  <si>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</si>
  <si>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</si>
  <si>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</si>
  <si>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</si>
  <si>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</si>
  <si>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</si>
  <si>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</si>
  <si>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</si>
  <si>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</si>
  <si>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</si>
  <si>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</si>
  <si>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</si>
  <si>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</si>
  <si>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</si>
  <si>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</si>
  <si>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</si>
  <si>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</si>
  <si>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</si>
  <si>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</si>
  <si>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</si>
  <si>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</si>
  <si>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</si>
  <si>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</si>
  <si>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</si>
  <si>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</si>
  <si>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</si>
  <si>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</si>
  <si>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</si>
  <si>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</si>
  <si>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</si>
  <si>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</si>
  <si>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</si>
  <si>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</si>
  <si>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</si>
  <si>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</si>
  <si>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</si>
  <si>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</si>
  <si>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</si>
  <si>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</si>
  <si>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</si>
  <si>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</si>
  <si>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</si>
  <si>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</si>
  <si>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</si>
  <si>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</si>
  <si>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</si>
  <si>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</si>
  <si>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</si>
  <si>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</si>
  <si>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</si>
  <si>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</si>
  <si>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</si>
  <si>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</si>
  <si>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</si>
  <si>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</si>
  <si>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</si>
  <si>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</si>
  <si>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</si>
  <si>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</si>
  <si>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</si>
  <si>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</si>
  <si>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</si>
  <si>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</si>
  <si>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</si>
  <si>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</si>
  <si>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</si>
  <si>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</si>
  <si>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</si>
  <si>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</si>
  <si>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</si>
  <si>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</si>
  <si>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</si>
  <si>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</si>
  <si>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</si>
  <si>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</si>
  <si>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</si>
  <si>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</si>
  <si>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</si>
  <si>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</si>
  <si>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</si>
  <si>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</si>
  <si>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</si>
  <si>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</si>
  <si>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</si>
  <si>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</si>
  <si>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</si>
  <si>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</si>
  <si>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</si>
  <si>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</si>
  <si>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</si>
  <si>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</si>
  <si>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</si>
  <si>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</si>
  <si>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</si>
  <si>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</si>
  <si>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</si>
  <si>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</si>
  <si>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</si>
  <si>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</si>
  <si>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</si>
  <si>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</si>
  <si>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</si>
  <si>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</si>
  <si>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</si>
  <si>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</si>
  <si>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</si>
  <si>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</si>
  <si>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</si>
  <si>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</si>
  <si>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</si>
  <si>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</si>
  <si>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</si>
  <si>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</si>
  <si>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</si>
  <si>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</si>
  <si>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</si>
  <si>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</si>
  <si>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</si>
  <si>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</si>
  <si>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</si>
  <si>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</si>
  <si>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</si>
  <si>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</si>
  <si>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</si>
  <si>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</si>
  <si>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</si>
  <si>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</si>
  <si>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</si>
  <si>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</si>
  <si>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</si>
  <si>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</si>
  <si>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</si>
  <si>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</si>
  <si>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</si>
  <si>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</si>
  <si>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</si>
  <si>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</si>
  <si>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</si>
  <si>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</si>
  <si>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</si>
  <si>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</si>
  <si>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</si>
  <si>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</si>
  <si>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</si>
  <si>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</si>
  <si>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</si>
  <si>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</si>
  <si>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</si>
  <si>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</si>
  <si>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</si>
  <si>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</si>
  <si>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</si>
  <si>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</si>
  <si>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</si>
  <si>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</si>
  <si>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</si>
  <si>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</si>
  <si>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</si>
  <si>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</si>
  <si>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</si>
  <si>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</si>
  <si>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</si>
  <si>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</si>
  <si>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</si>
  <si>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</si>
  <si>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</si>
  <si>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</si>
  <si>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</si>
  <si>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</si>
  <si>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</si>
  <si>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</si>
  <si>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</si>
  <si>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</si>
  <si>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</si>
  <si>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</si>
  <si>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</si>
  <si>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</si>
  <si>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</si>
  <si>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</si>
  <si>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</si>
  <si>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</si>
  <si>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</si>
  <si>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</si>
  <si>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</si>
  <si>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</si>
  <si>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</si>
  <si>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</si>
  <si>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</si>
  <si>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</si>
  <si>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</si>
  <si>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</si>
  <si>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</si>
  <si>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</si>
  <si>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</si>
  <si>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</si>
  <si>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</si>
  <si>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</si>
  <si>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</si>
  <si>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</si>
  <si>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</si>
  <si>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</si>
  <si>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</si>
  <si>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</si>
  <si>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</si>
  <si>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</si>
  <si>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</si>
  <si>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</si>
  <si>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</si>
  <si>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</si>
  <si>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</si>
  <si>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</si>
  <si>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</si>
  <si>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</si>
  <si>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</si>
  <si>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</si>
  <si>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</si>
  <si>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</si>
  <si>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</si>
  <si>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</si>
  <si>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</si>
  <si>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</si>
  <si>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</si>
  <si>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</si>
  <si>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</si>
  <si>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</si>
  <si>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</si>
  <si>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</si>
  <si>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</si>
  <si>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</si>
  <si>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</si>
  <si>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</si>
  <si>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</si>
  <si>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</si>
  <si>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</si>
  <si>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</si>
  <si>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</si>
  <si>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</si>
  <si>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</si>
  <si>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</si>
  <si>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</si>
  <si>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</si>
  <si>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</si>
  <si>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</si>
  <si>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</si>
  <si>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</si>
  <si>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</si>
  <si>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</si>
  <si>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</si>
  <si>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</si>
  <si>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</si>
  <si>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</si>
  <si>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</si>
  <si>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</si>
  <si>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</si>
  <si>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</si>
  <si>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</si>
  <si>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</si>
  <si>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</si>
  <si>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</si>
  <si>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</si>
  <si>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</si>
  <si>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</si>
  <si>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</si>
  <si>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</si>
  <si>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</si>
  <si>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</si>
  <si>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</si>
  <si>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</si>
  <si>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</si>
  <si>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</si>
  <si>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</si>
  <si>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</si>
  <si>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</si>
  <si>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</si>
  <si>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</si>
  <si>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</si>
  <si>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</si>
  <si>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</si>
  <si>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</si>
  <si>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</si>
  <si>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</si>
  <si>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</si>
  <si>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</si>
  <si>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</si>
  <si>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</si>
  <si>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</si>
  <si>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</si>
  <si>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</si>
  <si>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</si>
  <si>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</si>
  <si>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</si>
  <si>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</si>
  <si>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</si>
  <si>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</si>
  <si>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</si>
  <si>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</si>
  <si>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</si>
  <si>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</si>
  <si>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</si>
  <si>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</si>
  <si>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</si>
  <si>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</si>
  <si>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</si>
  <si>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</si>
  <si>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</si>
  <si>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</si>
  <si>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</si>
  <si>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</si>
  <si>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</si>
  <si>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</si>
  <si>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</si>
  <si>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</si>
  <si>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</si>
  <si>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</si>
  <si>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</si>
  <si>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</si>
  <si>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</si>
  <si>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</si>
  <si>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</si>
  <si>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</si>
  <si>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</si>
  <si>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</si>
  <si>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</si>
  <si>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</si>
  <si>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</si>
  <si>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</si>
  <si>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</si>
  <si>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</si>
  <si>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</si>
  <si>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</si>
  <si>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</si>
  <si>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</si>
  <si>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</si>
  <si>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</si>
  <si>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</si>
  <si>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</si>
  <si>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</si>
  <si>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</si>
  <si>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</si>
  <si>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</si>
  <si>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</si>
  <si>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</si>
  <si>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</si>
  <si>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</si>
  <si>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</si>
  <si>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</si>
  <si>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</si>
  <si>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</si>
  <si>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</si>
  <si>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</si>
  <si>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</si>
  <si>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</si>
  <si>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</si>
  <si>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</si>
  <si>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</si>
  <si>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</si>
  <si>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</si>
  <si>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</si>
  <si>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</si>
  <si>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</si>
  <si>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</si>
  <si>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</si>
  <si>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</si>
  <si>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</si>
  <si>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</si>
  <si>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</si>
  <si>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</si>
  <si>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</si>
  <si>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</si>
  <si>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</si>
  <si>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</si>
  <si>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</si>
  <si>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</si>
  <si>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</si>
  <si>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</si>
  <si>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</si>
  <si>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</si>
  <si>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</si>
  <si>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</si>
  <si>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</si>
  <si>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</si>
  <si>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</si>
  <si>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</si>
  <si>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</si>
  <si>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</si>
  <si>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</si>
  <si>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</si>
  <si>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</si>
  <si>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</si>
  <si>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</si>
  <si>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</si>
  <si>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</si>
  <si>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</si>
  <si>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</si>
  <si>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</si>
  <si>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</si>
  <si>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</si>
  <si>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</si>
  <si>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</si>
  <si>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</si>
  <si>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</si>
  <si>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</si>
  <si>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</si>
  <si>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</si>
  <si>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</si>
  <si>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</si>
  <si>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</si>
  <si>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</si>
  <si>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</si>
  <si>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</si>
  <si>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</si>
  <si>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</si>
  <si>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</si>
  <si>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</si>
  <si>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</si>
  <si>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</si>
  <si>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</si>
  <si>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</si>
  <si>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</si>
  <si>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</si>
  <si>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</si>
  <si>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</si>
  <si>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</si>
  <si>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</si>
  <si>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</si>
  <si>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</si>
  <si>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</si>
  <si>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</si>
  <si>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</si>
  <si>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</si>
  <si>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</si>
  <si>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</si>
  <si>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</si>
  <si>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</si>
  <si>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</si>
  <si>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</si>
  <si>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</si>
  <si>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</si>
  <si>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</si>
  <si>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</si>
  <si>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</si>
  <si>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</si>
  <si>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</si>
  <si>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</si>
  <si>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</si>
  <si>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</si>
  <si>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</si>
  <si>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</si>
  <si>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</si>
  <si>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</si>
  <si>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</si>
  <si>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</si>
  <si>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</si>
  <si>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</si>
  <si>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</si>
  <si>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</si>
  <si>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</si>
  <si>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</si>
  <si>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</si>
  <si>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</si>
  <si>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</si>
  <si>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</si>
  <si>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</si>
  <si>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</si>
  <si>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</si>
  <si>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</si>
  <si>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</si>
  <si>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</si>
  <si>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</si>
  <si>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</si>
  <si>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</si>
  <si>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</si>
  <si>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</si>
  <si>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</si>
  <si>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</si>
  <si>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</si>
  <si>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</si>
  <si>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</si>
  <si>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</si>
  <si>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</si>
  <si>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</si>
  <si>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</si>
  <si>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</si>
  <si>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</si>
  <si>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</si>
  <si>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</si>
  <si>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</si>
  <si>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</si>
  <si>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</si>
  <si>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</si>
  <si>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</si>
  <si>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</si>
  <si>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</si>
  <si>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</si>
  <si>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</si>
  <si>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</si>
  <si>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</si>
  <si>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</si>
  <si>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</si>
  <si>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</si>
  <si>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</si>
  <si>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</si>
  <si>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</si>
  <si>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</si>
  <si>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</si>
  <si>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</si>
  <si>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</si>
  <si>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</si>
  <si>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</si>
  <si>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</si>
  <si>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</si>
  <si>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</si>
  <si>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</si>
  <si>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</si>
  <si>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</si>
  <si>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</si>
  <si>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</si>
  <si>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</si>
  <si>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</si>
  <si>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</si>
  <si>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</si>
  <si>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</si>
  <si>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</si>
  <si>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</si>
  <si>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</si>
  <si>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</si>
  <si>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</si>
  <si>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</si>
  <si>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</si>
  <si>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</si>
  <si>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</si>
  <si>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</si>
  <si>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</si>
  <si>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</si>
  <si>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</si>
  <si>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</si>
  <si>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</si>
  <si>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</si>
  <si>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</si>
  <si>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</si>
  <si>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</si>
  <si>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</si>
  <si>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</si>
  <si>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</si>
  <si>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</si>
  <si>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</si>
  <si>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</si>
  <si>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</si>
  <si>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</si>
  <si>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</si>
  <si>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</si>
  <si>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</si>
  <si>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</si>
  <si>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</si>
  <si>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</si>
  <si>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</si>
  <si>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</si>
  <si>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</si>
  <si>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</si>
  <si>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</si>
  <si>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</si>
  <si>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</si>
  <si>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</si>
  <si>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</si>
  <si>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</si>
  <si>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</si>
  <si>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</si>
  <si>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</si>
  <si>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</si>
  <si>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</si>
  <si>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</si>
  <si>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</si>
  <si>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</si>
  <si>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</si>
  <si>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</si>
  <si>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</si>
  <si>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</si>
  <si>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</si>
  <si>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</si>
  <si>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</si>
  <si>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</si>
  <si>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</si>
  <si>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</si>
  <si>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</si>
  <si>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</si>
  <si>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</si>
  <si>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</si>
  <si>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</si>
  <si>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</si>
  <si>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</si>
  <si>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</si>
  <si>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</si>
  <si>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</si>
  <si>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</si>
  <si>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</si>
  <si>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</si>
  <si>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</si>
  <si>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</si>
  <si>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</si>
  <si>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</si>
  <si>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</si>
  <si>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</si>
  <si>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</si>
  <si>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</si>
  <si>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</si>
  <si>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</si>
  <si>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</si>
  <si>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</si>
  <si>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</si>
  <si>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</si>
  <si>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</si>
  <si>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</si>
  <si>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</si>
  <si>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</si>
  <si>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</si>
  <si>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</si>
  <si>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</si>
  <si>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</si>
  <si>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</si>
  <si>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</si>
  <si>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</si>
  <si>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</si>
  <si>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</si>
  <si>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</si>
  <si>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</si>
  <si>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</si>
  <si>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</si>
  <si>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</si>
  <si>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</si>
  <si>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</si>
  <si>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</si>
  <si>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</si>
  <si>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</si>
  <si>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</si>
  <si>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</si>
  <si>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</si>
  <si>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</si>
  <si>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</si>
  <si>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</si>
  <si>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</si>
  <si>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</si>
  <si>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</si>
  <si>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</si>
  <si>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</si>
  <si>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</si>
  <si>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</si>
  <si>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</si>
  <si>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</si>
  <si>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</si>
  <si>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</si>
  <si>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</si>
  <si>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</si>
  <si>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</si>
  <si>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</si>
  <si>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</si>
  <si>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</si>
  <si>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</si>
  <si>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</si>
  <si>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</si>
  <si>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</si>
  <si>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</si>
  <si>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</si>
  <si>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</si>
  <si>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</si>
  <si>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</si>
  <si>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</si>
  <si>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</si>
  <si>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</si>
  <si>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</si>
  <si>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</si>
  <si>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</si>
  <si>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</si>
  <si>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</si>
  <si>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</si>
  <si>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</si>
  <si>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</si>
  <si>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</si>
  <si>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</si>
  <si>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</si>
  <si>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</si>
  <si>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</si>
  <si>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</si>
  <si>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</si>
  <si>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</si>
  <si>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</si>
  <si>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</si>
  <si>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</si>
  <si>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</si>
  <si>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</si>
  <si>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</si>
  <si>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</si>
  <si>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</si>
  <si>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</si>
  <si>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</si>
  <si>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</si>
  <si>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</si>
  <si>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</si>
  <si>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</si>
  <si>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</si>
  <si>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</si>
  <si>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</si>
  <si>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</si>
  <si>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</si>
  <si>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</si>
  <si>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</si>
  <si>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</si>
  <si>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</si>
  <si>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</si>
  <si>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</si>
  <si>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</si>
  <si>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</si>
  <si>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</si>
  <si>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</si>
  <si>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</si>
  <si>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</si>
  <si>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</si>
  <si>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</si>
  <si>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</si>
  <si>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</si>
  <si>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</si>
  <si>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</si>
  <si>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</si>
  <si>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</si>
  <si>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</si>
  <si>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</si>
  <si>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</si>
  <si>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</si>
  <si>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</si>
  <si>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</si>
  <si>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</si>
  <si>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</si>
  <si>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</si>
  <si>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</si>
  <si>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</si>
  <si>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</si>
  <si>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</si>
  <si>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</si>
  <si>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</si>
  <si>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</si>
  <si>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</si>
  <si>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</si>
  <si>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</si>
  <si>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</si>
  <si>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</si>
  <si>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</si>
  <si>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</si>
  <si>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</si>
  <si>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</si>
  <si>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</si>
  <si>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</si>
  <si>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</si>
  <si>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</si>
  <si>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</si>
  <si>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</si>
  <si>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</si>
  <si>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</si>
  <si>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</si>
  <si>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</si>
  <si>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</si>
  <si>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</si>
  <si>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</si>
  <si>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</si>
  <si>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</si>
  <si>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</si>
  <si>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</si>
  <si>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</si>
  <si>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</si>
  <si>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</si>
  <si>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</si>
  <si>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</si>
  <si>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</si>
  <si>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</si>
  <si>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</si>
  <si>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</si>
  <si>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</si>
  <si>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</si>
  <si>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</si>
  <si>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</si>
  <si>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</si>
  <si>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</si>
  <si>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</si>
  <si>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</si>
  <si>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</si>
  <si>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</si>
  <si>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</si>
  <si>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</si>
  <si>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</si>
  <si>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</si>
  <si>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</si>
  <si>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</si>
  <si>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</si>
  <si>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</si>
  <si>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</si>
  <si>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</si>
  <si>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</si>
  <si>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</si>
  <si>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</si>
  <si>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</si>
  <si>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</si>
  <si>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</si>
  <si>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</si>
  <si>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</si>
  <si>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</si>
  <si>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</si>
  <si>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</si>
  <si>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</si>
  <si>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</si>
  <si>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</si>
  <si>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</si>
  <si>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</si>
  <si>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</si>
  <si>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</si>
  <si>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</si>
  <si>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</si>
  <si>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</si>
  <si>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</si>
  <si>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</si>
  <si>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</si>
  <si>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</si>
  <si>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</si>
  <si>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</si>
  <si>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</si>
  <si>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</si>
  <si>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</si>
  <si>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</si>
  <si>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</si>
  <si>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</si>
  <si>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</si>
  <si>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</si>
  <si>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</si>
  <si>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</si>
  <si>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</si>
  <si>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</si>
  <si>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</si>
  <si>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</si>
  <si>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</si>
  <si>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</si>
  <si>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</si>
  <si>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</si>
  <si>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</si>
  <si>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</si>
  <si>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</si>
  <si>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</si>
  <si>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</si>
  <si>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</si>
  <si>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</si>
  <si>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</si>
  <si>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</si>
  <si>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</si>
  <si>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</si>
  <si>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</si>
  <si>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</si>
  <si>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</si>
  <si>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</si>
  <si>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</si>
  <si>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</si>
  <si>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</si>
  <si>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</si>
  <si>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</si>
  <si>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</si>
  <si>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</si>
  <si>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</si>
  <si>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</si>
  <si>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</si>
  <si>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</si>
  <si>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</si>
  <si>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</si>
  <si>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</si>
  <si>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</si>
  <si>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</si>
  <si>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</si>
  <si>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</si>
  <si>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</si>
  <si>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</si>
  <si>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</si>
  <si>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</si>
  <si>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</si>
  <si>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</si>
  <si>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</si>
  <si>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</si>
  <si>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</si>
  <si>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</si>
  <si>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</si>
  <si>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</si>
  <si>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</si>
  <si>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</si>
  <si>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</si>
  <si>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</si>
  <si>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</si>
  <si>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</si>
  <si>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</si>
  <si>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</si>
  <si>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</si>
  <si>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</si>
  <si>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</si>
  <si>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</si>
  <si>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</si>
  <si>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</si>
  <si>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</si>
  <si>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</si>
  <si>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</si>
  <si>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</si>
  <si>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</si>
  <si>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</si>
  <si>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</si>
  <si>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</si>
  <si>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</si>
  <si>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</si>
  <si>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</si>
  <si>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</si>
  <si>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</si>
  <si>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</si>
  <si>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</si>
  <si>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</si>
  <si>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</si>
  <si>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</si>
  <si>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</si>
  <si>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</si>
  <si>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</si>
  <si>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</si>
  <si>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</si>
  <si>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</si>
  <si>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</si>
  <si>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</si>
  <si>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</si>
  <si>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</si>
  <si>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</si>
  <si>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</si>
  <si>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</si>
  <si>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</si>
  <si>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</si>
  <si>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</si>
  <si>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</si>
  <si>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</si>
  <si>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</si>
  <si>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</si>
  <si>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</si>
  <si>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</si>
  <si>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</si>
  <si>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</si>
  <si>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</si>
  <si>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</si>
  <si>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</si>
  <si>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</si>
  <si>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</si>
  <si>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</si>
  <si>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</si>
  <si>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</si>
  <si>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</si>
  <si>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</si>
  <si>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</si>
  <si>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</si>
  <si>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</si>
  <si>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</si>
  <si>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</si>
  <si>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</si>
  <si>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</si>
  <si>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</si>
  <si>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</si>
  <si>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</si>
  <si>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</si>
  <si>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</si>
  <si>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</si>
  <si>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</si>
  <si>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</si>
  <si>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</si>
  <si>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</si>
  <si>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</si>
  <si>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</si>
  <si>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</si>
  <si>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</si>
  <si>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</si>
  <si>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</si>
  <si>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</si>
  <si>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</si>
  <si>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</si>
  <si>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</si>
  <si>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</si>
  <si>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</si>
  <si>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</si>
  <si>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</si>
  <si>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</si>
  <si>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</si>
  <si>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</si>
  <si>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</si>
  <si>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</si>
  <si>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</si>
  <si>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</si>
  <si>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</si>
  <si>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</si>
  <si>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</si>
  <si>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</si>
  <si>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</si>
  <si>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</si>
  <si>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</si>
  <si>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</si>
  <si>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</si>
  <si>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</si>
  <si>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</si>
  <si>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</si>
  <si>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</si>
  <si>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</si>
  <si>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</si>
  <si>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</si>
  <si>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</si>
  <si>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</si>
  <si>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</si>
  <si>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</si>
  <si>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</si>
  <si>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</si>
  <si>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</si>
  <si>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</si>
  <si>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</si>
  <si>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</si>
  <si>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</si>
  <si>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</si>
  <si>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</si>
  <si>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</si>
  <si>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</si>
  <si>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</si>
  <si>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</si>
  <si>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</si>
  <si>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</si>
  <si>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</si>
  <si>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</si>
  <si>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</si>
  <si>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</si>
  <si>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</si>
  <si>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</si>
  <si>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</si>
  <si>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</si>
  <si>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</si>
  <si>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</si>
  <si>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</si>
  <si>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</si>
  <si>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</si>
  <si>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</si>
  <si>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</si>
  <si>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</si>
  <si>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</si>
  <si>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</si>
  <si>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</si>
  <si>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</si>
  <si>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</si>
  <si>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</si>
  <si>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</si>
  <si>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</si>
  <si>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</si>
  <si>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</si>
  <si>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</si>
  <si>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</si>
  <si>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</si>
  <si>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</si>
  <si>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</si>
  <si>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</si>
  <si>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</si>
  <si>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</si>
  <si>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</si>
  <si>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</si>
  <si>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</si>
  <si>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</si>
  <si>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</si>
  <si>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</si>
  <si>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</si>
  <si>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</si>
  <si>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</si>
  <si>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</si>
  <si>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</si>
  <si>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</si>
  <si>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</si>
  <si>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</si>
  <si>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</si>
  <si>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</si>
  <si>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</si>
  <si>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</si>
  <si>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</si>
  <si>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</si>
  <si>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</si>
  <si>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</si>
  <si>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</si>
  <si>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</si>
  <si>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</si>
  <si>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</si>
  <si>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</si>
  <si>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</si>
  <si>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</si>
  <si>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</si>
  <si>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</si>
  <si>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</si>
  <si>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</si>
  <si>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</si>
  <si>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</si>
  <si>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</si>
  <si>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</si>
  <si>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</si>
  <si>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</si>
  <si>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</si>
  <si>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</si>
  <si>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</si>
  <si>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</si>
  <si>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</si>
  <si>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</si>
  <si>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</si>
  <si>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</si>
  <si>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</si>
  <si>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</si>
  <si>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</si>
  <si>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</si>
  <si>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</si>
  <si>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</si>
  <si>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</si>
  <si>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</si>
  <si>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</si>
  <si>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</si>
  <si>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</si>
  <si>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</si>
  <si>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</si>
  <si>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</si>
  <si>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</si>
  <si>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</si>
  <si>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</si>
  <si>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</si>
  <si>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</si>
  <si>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</si>
  <si>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</si>
  <si>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</si>
  <si>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</si>
  <si>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</si>
  <si>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</si>
  <si>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</si>
  <si>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</si>
  <si>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</si>
  <si>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</si>
  <si>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</si>
  <si>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</si>
  <si>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</si>
  <si>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</si>
  <si>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</si>
  <si>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</si>
  <si>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</si>
  <si>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</si>
  <si>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</si>
  <si>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</si>
  <si>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</si>
  <si>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</si>
  <si>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</si>
  <si>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</si>
  <si>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</si>
  <si>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</si>
  <si>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</si>
  <si>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</si>
  <si>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</si>
  <si>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</si>
  <si>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</si>
  <si>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</si>
  <si>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</si>
  <si>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</si>
  <si>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</si>
  <si>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</si>
  <si>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</si>
  <si>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</si>
  <si>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</si>
  <si>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</si>
  <si>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</si>
  <si>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</si>
  <si>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</si>
  <si>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</si>
  <si>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</si>
  <si>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</si>
  <si>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</si>
  <si>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</si>
  <si>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</si>
  <si>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</si>
  <si>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</si>
  <si>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</si>
  <si>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</si>
  <si>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</si>
  <si>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</si>
  <si>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</si>
  <si>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</si>
  <si>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</si>
  <si>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</si>
  <si>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</si>
  <si>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</si>
  <si>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</si>
  <si>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</si>
  <si>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</si>
  <si>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</si>
  <si>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</si>
  <si>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</si>
  <si>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</si>
  <si>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</si>
  <si>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</si>
  <si>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</si>
  <si>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</si>
  <si>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</si>
  <si>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</si>
  <si>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</si>
  <si>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</si>
  <si>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</si>
  <si>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</si>
  <si>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</si>
  <si>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</si>
  <si>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</si>
  <si>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</si>
  <si>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</si>
  <si>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</si>
  <si>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</si>
  <si>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</si>
  <si>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</si>
  <si>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</si>
  <si>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</si>
  <si>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</si>
  <si>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</si>
  <si>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</si>
  <si>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</si>
  <si>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</si>
  <si>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</si>
  <si>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</si>
  <si>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</si>
  <si>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</si>
  <si>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</si>
  <si>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</si>
  <si>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</si>
  <si>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</si>
  <si>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</si>
  <si>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</si>
  <si>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</si>
  <si>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</si>
  <si>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</si>
  <si>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</si>
  <si>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</si>
  <si>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</si>
  <si>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</si>
  <si>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</si>
  <si>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</si>
  <si>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</si>
  <si>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</si>
  <si>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</si>
  <si>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</si>
  <si>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</si>
  <si>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</si>
  <si>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</si>
  <si>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</si>
  <si>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</si>
  <si>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</si>
  <si>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</si>
  <si>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</si>
  <si>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</si>
  <si>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</si>
  <si>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</si>
  <si>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</si>
  <si>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</si>
  <si>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</si>
  <si>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</si>
  <si>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</si>
  <si>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</si>
  <si>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</si>
  <si>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</si>
  <si>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</si>
  <si>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</si>
  <si>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</si>
  <si>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</si>
  <si>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</si>
  <si>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</si>
  <si>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</si>
  <si>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</si>
  <si>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</si>
  <si>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</si>
  <si>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</si>
  <si>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</si>
  <si>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</si>
  <si>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</si>
  <si>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</si>
  <si>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</si>
  <si>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</si>
  <si>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</si>
  <si>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</si>
  <si>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</si>
  <si>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</si>
  <si>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</si>
  <si>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</si>
  <si>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</si>
  <si>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</si>
  <si>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</si>
  <si>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</si>
  <si>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</si>
  <si>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</si>
  <si>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</si>
  <si>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</si>
  <si>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</si>
  <si>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</si>
  <si>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</si>
  <si>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</si>
  <si>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</si>
  <si>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</si>
  <si>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</si>
  <si>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</si>
  <si>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</si>
  <si>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</si>
  <si>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</si>
  <si>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</si>
  <si>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</si>
  <si>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</si>
  <si>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</si>
  <si>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</si>
  <si>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</si>
  <si>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</si>
  <si>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</si>
  <si>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</si>
  <si>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</si>
  <si>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</si>
  <si>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</si>
  <si>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</si>
  <si>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</si>
  <si>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</si>
  <si>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</si>
  <si>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</si>
  <si>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</si>
  <si>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</si>
  <si>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</si>
  <si>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</si>
  <si>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</si>
  <si>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</si>
  <si>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</si>
  <si>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</si>
  <si>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</si>
  <si>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</si>
  <si>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</si>
  <si>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</si>
  <si>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</si>
  <si>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</si>
  <si>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</si>
  <si>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</si>
  <si>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</si>
  <si>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</si>
  <si>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</si>
  <si>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</si>
  <si>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</si>
  <si>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</si>
  <si>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</si>
  <si>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</si>
  <si>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</si>
  <si>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</si>
  <si>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</si>
  <si>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</si>
  <si>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</si>
  <si>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</si>
  <si>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</si>
  <si>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</si>
  <si>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</si>
  <si>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</si>
  <si>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</si>
  <si>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</si>
  <si>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</si>
  <si>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</si>
  <si>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</si>
  <si>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</si>
  <si>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</si>
  <si>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</si>
  <si>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</si>
  <si>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</si>
  <si>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</si>
  <si>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</si>
  <si>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</si>
  <si>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</si>
  <si>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</si>
  <si>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</si>
  <si>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</si>
  <si>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</si>
  <si>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</si>
  <si>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</si>
  <si>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</si>
  <si>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</si>
  <si>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</si>
  <si>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</si>
  <si>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</si>
  <si>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</si>
  <si>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</si>
  <si>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</si>
  <si>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</si>
  <si>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</si>
  <si>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</si>
  <si>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</si>
  <si>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</si>
  <si>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</si>
  <si>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</si>
  <si>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</si>
  <si>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</si>
  <si>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</si>
  <si>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</si>
  <si>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</si>
  <si>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</si>
  <si>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</si>
  <si>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</si>
  <si>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</si>
  <si>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</si>
  <si>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</si>
  <si>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</si>
  <si>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</si>
  <si>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</si>
  <si>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</si>
  <si>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</si>
  <si>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</si>
  <si>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</si>
  <si>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</si>
  <si>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</si>
  <si>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</si>
  <si>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</si>
  <si>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</si>
  <si>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</si>
  <si>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</si>
  <si>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</si>
  <si>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</si>
  <si>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</si>
  <si>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</si>
  <si>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</si>
  <si>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</si>
  <si>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</si>
  <si>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</si>
  <si>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</si>
  <si>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</si>
  <si>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</si>
  <si>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</si>
  <si>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</si>
  <si>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</si>
  <si>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</si>
  <si>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</si>
  <si>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</si>
  <si>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</si>
  <si>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</si>
  <si>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</si>
  <si>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</si>
  <si>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</si>
  <si>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</si>
  <si>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</si>
  <si>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</si>
  <si>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</si>
  <si>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</si>
  <si>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</si>
  <si>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</si>
  <si>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</si>
  <si>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</si>
  <si>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</si>
  <si>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</si>
  <si>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</si>
  <si>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</si>
  <si>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</si>
  <si>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</si>
  <si>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</si>
  <si>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</si>
  <si>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</si>
  <si>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</si>
  <si>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</si>
  <si>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</si>
  <si>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</si>
  <si>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</si>
  <si>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</si>
  <si>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</si>
  <si>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</si>
  <si>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</si>
  <si>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</si>
  <si>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</si>
  <si>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</si>
  <si>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</si>
  <si>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</si>
  <si>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</si>
  <si>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</si>
  <si>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</si>
  <si>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</si>
  <si>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</si>
  <si>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</si>
  <si>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</si>
  <si>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</si>
  <si>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</si>
  <si>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</si>
  <si>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</si>
  <si>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</si>
  <si>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</si>
  <si>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</si>
  <si>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</si>
  <si>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</si>
  <si>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</si>
  <si>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</si>
  <si>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</si>
  <si>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</si>
  <si>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</si>
  <si>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</si>
  <si>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</si>
  <si>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</si>
  <si>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</si>
  <si>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</si>
  <si>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</si>
  <si>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</si>
  <si>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</si>
  <si>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</si>
  <si>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</si>
  <si>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</si>
  <si>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</si>
  <si>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</si>
  <si>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</si>
  <si>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</si>
  <si>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</si>
  <si>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</si>
  <si>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</si>
  <si>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</si>
  <si>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</si>
  <si>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</si>
  <si>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</si>
  <si>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</si>
  <si>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</si>
  <si>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</si>
  <si>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</si>
  <si>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</si>
  <si>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</si>
  <si>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</si>
  <si>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</si>
  <si>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</si>
  <si>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</si>
  <si>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</si>
  <si>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</si>
  <si>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</si>
  <si>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</si>
  <si>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</si>
  <si>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</si>
  <si>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</si>
  <si>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</si>
  <si>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</si>
  <si>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</si>
  <si>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</si>
  <si>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</si>
  <si>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</si>
  <si>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</si>
  <si>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</si>
  <si>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</si>
  <si>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</si>
  <si>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</si>
  <si>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</si>
  <si>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</si>
  <si>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</si>
  <si>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</si>
  <si>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</si>
  <si>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</si>
  <si>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</si>
  <si>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</si>
  <si>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</si>
  <si>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</si>
  <si>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</si>
  <si>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</si>
  <si>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</si>
  <si>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</si>
  <si>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</si>
  <si>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</si>
  <si>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</si>
  <si>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</si>
  <si>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</si>
  <si>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</si>
  <si>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</si>
  <si>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</si>
  <si>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</si>
  <si>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</si>
  <si>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</si>
  <si>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</si>
  <si>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</si>
  <si>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</si>
  <si>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</si>
  <si>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</si>
  <si>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</si>
  <si>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</si>
  <si>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</si>
  <si>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</si>
  <si>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</si>
  <si>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</si>
  <si>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</si>
  <si>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</si>
  <si>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</si>
  <si>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</si>
  <si>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</si>
  <si>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</si>
  <si>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</si>
  <si>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</si>
  <si>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</si>
  <si>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</si>
  <si>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</si>
  <si>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</si>
  <si>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</si>
  <si>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</si>
  <si>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</si>
  <si>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</si>
  <si>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</si>
  <si>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</si>
  <si>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</si>
  <si>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</si>
  <si>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</si>
  <si>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</si>
  <si>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</si>
  <si>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</si>
  <si>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</si>
  <si>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</si>
  <si>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</si>
  <si>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</si>
  <si>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</si>
  <si>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</si>
  <si>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</si>
  <si>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</si>
  <si>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</si>
  <si>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</si>
  <si>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</si>
  <si>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</si>
  <si>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</si>
  <si>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</si>
  <si>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</si>
  <si>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</si>
  <si>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</si>
  <si>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</si>
  <si>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</si>
  <si>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</si>
  <si>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</si>
  <si>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</si>
  <si>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</si>
  <si>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</si>
  <si>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</si>
  <si>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</si>
  <si>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</si>
  <si>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</si>
  <si>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</si>
  <si>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</si>
  <si>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</si>
  <si>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</si>
  <si>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</si>
  <si>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</si>
  <si>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</si>
  <si>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</si>
  <si>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</si>
  <si>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</si>
  <si>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</si>
  <si>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</si>
  <si>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</si>
  <si>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</si>
  <si>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</si>
  <si>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</si>
  <si>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</si>
  <si>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</si>
  <si>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</si>
  <si>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</si>
  <si>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</si>
  <si>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</si>
  <si>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</si>
  <si>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</si>
  <si>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</si>
  <si>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</si>
  <si>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</si>
  <si>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</si>
  <si>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</si>
  <si>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</si>
  <si>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</si>
  <si>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</si>
  <si>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</si>
  <si>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</si>
  <si>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</si>
  <si>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</si>
  <si>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</si>
  <si>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</si>
  <si>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</si>
  <si>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</si>
  <si>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</si>
  <si>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</si>
  <si>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</si>
  <si>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</si>
  <si>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</si>
  <si>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</si>
  <si>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</si>
  <si>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</si>
  <si>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</si>
  <si>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</si>
  <si>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</si>
  <si>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</si>
  <si>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</si>
  <si>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</si>
  <si>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</si>
  <si>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</si>
  <si>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</si>
  <si>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</si>
  <si>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</si>
  <si>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</si>
  <si>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</si>
  <si>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</si>
  <si>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</si>
  <si>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</si>
  <si>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</si>
  <si>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</si>
  <si>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</si>
  <si>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</si>
  <si>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</si>
  <si>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</si>
  <si>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</si>
  <si>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</si>
  <si>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</si>
  <si>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</si>
  <si>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</si>
  <si>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</si>
  <si>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</si>
  <si>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</si>
  <si>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</si>
  <si>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</si>
  <si>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</si>
  <si>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</si>
  <si>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</si>
  <si>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</si>
  <si>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</si>
  <si>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</si>
  <si>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</si>
  <si>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</si>
  <si>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</si>
  <si>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</si>
  <si>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</si>
  <si>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</si>
  <si>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</si>
  <si>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</si>
  <si>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</si>
  <si>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</si>
  <si>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</si>
  <si>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</si>
  <si>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</si>
  <si>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</si>
  <si>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</si>
  <si>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</si>
  <si>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</si>
  <si>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</si>
  <si>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</si>
  <si>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</si>
  <si>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</si>
  <si>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</si>
  <si>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</si>
  <si>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</si>
  <si>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</si>
  <si>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</si>
  <si>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</si>
  <si>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</si>
  <si>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</si>
  <si>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</si>
  <si>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</si>
  <si>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</si>
  <si>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</si>
  <si>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</si>
  <si>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</si>
  <si>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</si>
  <si>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</si>
  <si>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</si>
  <si>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</si>
  <si>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</si>
  <si>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</si>
  <si>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</si>
  <si>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</si>
  <si>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</si>
  <si>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</si>
  <si>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</si>
  <si>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</si>
  <si>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</si>
  <si>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</si>
  <si>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</si>
  <si>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</si>
  <si>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</si>
  <si>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</si>
  <si>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</si>
  <si>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</si>
  <si>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</si>
  <si>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</si>
  <si>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</si>
  <si>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</si>
  <si>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</si>
  <si>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</si>
  <si>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</si>
  <si>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</si>
  <si>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</si>
  <si>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</si>
  <si>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</si>
  <si>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</si>
  <si>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</si>
  <si>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</si>
  <si>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</si>
  <si>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</si>
  <si>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</si>
  <si>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</si>
  <si>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</si>
  <si>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</si>
  <si>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</si>
  <si>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</si>
  <si>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</si>
  <si>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</si>
  <si>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</si>
  <si>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</si>
  <si>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</si>
  <si>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</si>
  <si>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</si>
  <si>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</si>
  <si>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</si>
  <si>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</si>
  <si>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</si>
  <si>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</si>
  <si>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</si>
  <si>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</si>
  <si>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</si>
  <si>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</si>
  <si>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</si>
  <si>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</si>
  <si>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</si>
  <si>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</si>
  <si>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</si>
  <si>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</si>
  <si>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</si>
  <si>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</si>
  <si>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</si>
  <si>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</si>
  <si>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</si>
  <si>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</si>
  <si>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</si>
  <si>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</si>
  <si>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</si>
  <si>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</si>
  <si>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</si>
  <si>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</si>
  <si>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</si>
  <si>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</si>
  <si>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</si>
  <si>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</si>
  <si>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</si>
  <si>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</si>
  <si>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</si>
  <si>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</si>
  <si>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</si>
  <si>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</si>
  <si>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</si>
  <si>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</si>
  <si>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</si>
  <si>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</si>
  <si>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</si>
  <si>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</si>
  <si>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</si>
  <si>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</si>
  <si>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</si>
  <si>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</si>
  <si>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</si>
  <si>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</si>
  <si>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</si>
  <si>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</si>
  <si>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</si>
  <si>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</si>
  <si>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</si>
  <si>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</si>
  <si>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</si>
  <si>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</si>
  <si>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</si>
  <si>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</si>
  <si>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</si>
  <si>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</si>
  <si>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</si>
  <si>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</si>
  <si>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</si>
  <si>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</si>
  <si>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</si>
  <si>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</si>
  <si>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</si>
  <si>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</si>
  <si>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</si>
  <si>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</si>
  <si>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</si>
  <si>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</si>
  <si>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</si>
  <si>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</si>
  <si>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</si>
  <si>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</si>
  <si>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</si>
  <si>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</si>
  <si>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</si>
  <si>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</si>
  <si>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</si>
  <si>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</si>
  <si>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</si>
  <si>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</si>
  <si>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</si>
  <si>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</si>
  <si>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</si>
  <si>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</si>
  <si>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</si>
  <si>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</si>
  <si>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</si>
  <si>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</si>
  <si>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</si>
  <si>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</si>
  <si>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</si>
  <si>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</si>
  <si>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</si>
  <si>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</si>
  <si>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</si>
  <si>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</si>
  <si>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</si>
  <si>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</si>
  <si>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</si>
  <si>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</si>
  <si>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</si>
  <si>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</si>
  <si>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</si>
  <si>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</si>
  <si>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</si>
  <si>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</si>
  <si>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</si>
  <si>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</si>
  <si>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</si>
  <si>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</si>
  <si>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</si>
  <si>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</si>
  <si>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</si>
  <si>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</si>
  <si>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</si>
  <si>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</si>
  <si>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</si>
  <si>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</si>
  <si>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</si>
  <si>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</si>
  <si>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</si>
  <si>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</si>
  <si>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</si>
  <si>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</si>
  <si>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</si>
  <si>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</si>
  <si>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</si>
  <si>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</si>
  <si>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</si>
  <si>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</si>
  <si>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</si>
  <si>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</si>
  <si>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</si>
  <si>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</si>
  <si>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</si>
  <si>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</si>
  <si>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</si>
  <si>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</si>
  <si>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</si>
  <si>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</si>
  <si>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</si>
  <si>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</si>
  <si>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</si>
  <si>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</si>
  <si>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</si>
  <si>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</si>
  <si>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</si>
  <si>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</si>
  <si>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</si>
  <si>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</si>
  <si>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</si>
  <si>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</si>
  <si>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</si>
  <si>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</si>
  <si>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</si>
  <si>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</si>
  <si>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</si>
  <si>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</si>
  <si>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</si>
  <si>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</si>
  <si>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</si>
  <si>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</si>
  <si>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</si>
  <si>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</si>
  <si>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</si>
  <si>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</si>
  <si>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</si>
  <si>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</si>
  <si>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</si>
  <si>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</si>
  <si>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</si>
  <si>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</si>
  <si>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</si>
  <si>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</si>
  <si>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</si>
  <si>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</si>
  <si>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</si>
  <si>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</si>
  <si>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</si>
  <si>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</si>
  <si>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</si>
  <si>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</si>
  <si>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</si>
  <si>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</si>
  <si>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</si>
  <si>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</si>
  <si>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</si>
  <si>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</si>
  <si>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</si>
  <si>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</si>
  <si>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</si>
  <si>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</si>
  <si>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</si>
  <si>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</si>
  <si>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</si>
  <si>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</si>
  <si>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</si>
  <si>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</si>
  <si>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</si>
  <si>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</si>
  <si>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</si>
  <si>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</si>
  <si>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</si>
  <si>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</si>
  <si>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</si>
  <si>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</si>
  <si>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</si>
  <si>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</si>
  <si>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</si>
  <si>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</si>
  <si>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</si>
  <si>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</si>
  <si>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</si>
  <si>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</si>
  <si>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</si>
  <si>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</si>
  <si>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</si>
  <si>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</si>
  <si>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</si>
  <si>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</si>
  <si>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</si>
  <si>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</si>
  <si>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</si>
  <si>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</si>
  <si>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</si>
  <si>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</si>
  <si>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</si>
  <si>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</si>
  <si>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</si>
  <si>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</si>
  <si>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</si>
  <si>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</si>
  <si>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</si>
  <si>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</si>
  <si>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</si>
  <si>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</si>
  <si>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</si>
  <si>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</si>
  <si>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</si>
  <si>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</si>
  <si>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</si>
  <si>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</si>
  <si>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</si>
  <si>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</si>
  <si>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</si>
  <si>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</si>
  <si>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</si>
  <si>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</si>
  <si>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</si>
  <si>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</si>
  <si>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</si>
  <si>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</si>
  <si>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</si>
  <si>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</si>
  <si>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</si>
  <si>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</si>
  <si>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</si>
  <si>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</si>
  <si>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</si>
  <si>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</si>
  <si>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</si>
  <si>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</si>
  <si>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</si>
  <si>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</si>
  <si>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</si>
  <si>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</si>
  <si>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</si>
  <si>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</si>
  <si>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</si>
  <si>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</si>
  <si>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</si>
  <si>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</si>
  <si>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</si>
  <si>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</si>
  <si>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</si>
  <si>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</si>
  <si>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</si>
  <si>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</si>
  <si>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</si>
  <si>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</si>
  <si>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</si>
  <si>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</si>
  <si>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</si>
  <si>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</si>
  <si>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</si>
  <si>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</si>
  <si>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</si>
  <si>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</si>
  <si>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</si>
  <si>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</si>
  <si>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</si>
  <si>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</si>
  <si>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</si>
  <si>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</si>
  <si>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</si>
  <si>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</si>
  <si>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</si>
  <si>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</si>
  <si>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</si>
  <si>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</si>
  <si>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</si>
  <si>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</si>
  <si>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</si>
  <si>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</si>
  <si>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</si>
  <si>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</si>
  <si>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</si>
  <si>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</si>
  <si>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</si>
  <si>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</si>
  <si>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</si>
  <si>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</si>
  <si>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</si>
  <si>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</si>
  <si>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</si>
  <si>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</si>
  <si>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</si>
  <si>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</si>
  <si>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</si>
  <si>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</si>
  <si>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</si>
  <si>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</si>
  <si>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</si>
  <si>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</si>
  <si>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</si>
  <si>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</si>
  <si>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</si>
  <si>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</si>
  <si>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</si>
  <si>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</si>
  <si>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</si>
  <si>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</si>
  <si>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</si>
  <si>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</si>
  <si>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</si>
  <si>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</si>
  <si>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</si>
  <si>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</si>
  <si>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</si>
  <si>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</si>
  <si>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</si>
  <si>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</si>
  <si>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</si>
  <si>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</si>
  <si>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</si>
  <si>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</si>
  <si>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</si>
  <si>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</si>
  <si>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</si>
  <si>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</si>
  <si>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</si>
  <si>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</si>
  <si>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</si>
  <si>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</si>
  <si>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</si>
  <si>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</si>
  <si>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</si>
  <si>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</si>
  <si>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</si>
  <si>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</si>
  <si>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</si>
  <si>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</si>
  <si>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</si>
  <si>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</si>
  <si>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</si>
  <si>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</si>
  <si>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</si>
  <si>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</si>
  <si>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</si>
  <si>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</si>
  <si>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</si>
  <si>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</si>
  <si>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</si>
  <si>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</si>
  <si>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</si>
  <si>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</si>
  <si>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</si>
  <si>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</si>
  <si>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</si>
  <si>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</si>
  <si>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</si>
  <si>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</si>
  <si>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</si>
  <si>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</si>
  <si>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</si>
  <si>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</si>
  <si>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</si>
  <si>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</si>
  <si>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</si>
  <si>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</si>
  <si>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</si>
  <si>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</si>
  <si>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</si>
  <si>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</si>
  <si>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</si>
  <si>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</si>
  <si>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</si>
  <si>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</si>
  <si>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</si>
  <si>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</si>
  <si>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</si>
  <si>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</si>
  <si>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</si>
  <si>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</si>
  <si>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</si>
  <si>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</si>
  <si>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</si>
  <si>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</si>
  <si>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</si>
  <si>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</si>
  <si>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</si>
  <si>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</si>
  <si>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</si>
  <si>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</si>
  <si>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</si>
  <si>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</si>
  <si>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</si>
  <si>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</si>
  <si>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</si>
  <si>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</si>
  <si>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</si>
  <si>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</si>
  <si>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</si>
  <si>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</si>
  <si>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</si>
  <si>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</si>
  <si>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</si>
  <si>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</si>
  <si>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</si>
  <si>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</si>
  <si>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</si>
  <si>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</si>
  <si>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</si>
  <si>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</si>
  <si>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</si>
  <si>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</si>
  <si>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</si>
  <si>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</si>
  <si>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</si>
  <si>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</si>
  <si>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</si>
  <si>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</si>
  <si>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</si>
  <si>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</si>
  <si>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</si>
  <si>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</si>
  <si>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</si>
  <si>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</si>
  <si>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</si>
  <si>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</si>
  <si>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</si>
  <si>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</si>
  <si>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</si>
  <si>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</si>
  <si>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</si>
  <si>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</si>
  <si>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</si>
  <si>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</si>
  <si>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</si>
  <si>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</si>
  <si>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</si>
  <si>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</si>
  <si>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</si>
  <si>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</si>
  <si>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</si>
  <si>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</si>
  <si>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</si>
  <si>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</si>
  <si>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</si>
  <si>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</si>
  <si>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</si>
  <si>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</si>
  <si>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</si>
  <si>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</si>
  <si>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</si>
  <si>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</si>
  <si>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</si>
  <si>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</si>
  <si>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</si>
  <si>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</si>
  <si>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</si>
  <si>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</si>
  <si>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</si>
  <si>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</si>
  <si>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</si>
  <si>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</si>
  <si>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</si>
  <si>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</si>
  <si>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</si>
  <si>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</si>
  <si>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</si>
  <si>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</si>
  <si>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</si>
  <si>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</si>
  <si>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</si>
  <si>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</si>
  <si>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</si>
  <si>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</si>
  <si>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</si>
  <si>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</si>
  <si>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</si>
  <si>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</si>
  <si>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</si>
  <si>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</si>
  <si>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</si>
  <si>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</si>
  <si>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</si>
  <si>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</si>
  <si>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</si>
  <si>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</si>
  <si>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</si>
  <si>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</si>
  <si>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</si>
  <si>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</si>
  <si>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</si>
  <si>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</si>
  <si>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</si>
  <si>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</si>
  <si>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</si>
  <si>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</si>
  <si>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</si>
  <si>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</si>
  <si>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</si>
  <si>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</si>
  <si>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</si>
  <si>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</si>
  <si>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</si>
  <si>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</si>
  <si>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</si>
  <si>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</si>
  <si>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</si>
  <si>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</si>
  <si>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</si>
  <si>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</si>
  <si>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</si>
  <si>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</si>
  <si>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</si>
  <si>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</si>
  <si>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</si>
  <si>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</si>
  <si>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</si>
  <si>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</si>
  <si>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</si>
  <si>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</si>
  <si>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</si>
  <si>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</si>
  <si>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</si>
  <si>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</si>
  <si>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</si>
  <si>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</si>
  <si>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</si>
  <si>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</si>
  <si>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</si>
  <si>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</si>
  <si>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</si>
  <si>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</si>
  <si>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</si>
  <si>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</si>
  <si>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</si>
  <si>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</si>
  <si>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</si>
  <si>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</si>
  <si>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</si>
  <si>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</si>
  <si>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</si>
  <si>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</si>
  <si>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</si>
  <si>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</si>
  <si>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</si>
  <si>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</si>
  <si>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</si>
  <si>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</si>
  <si>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</si>
  <si>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</si>
  <si>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</si>
  <si>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</si>
  <si>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</si>
  <si>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</si>
  <si>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</si>
  <si>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</si>
  <si>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</si>
  <si>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</si>
  <si>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</si>
  <si>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</si>
  <si>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</si>
  <si>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</si>
  <si>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</si>
  <si>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</si>
  <si>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</si>
  <si>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</si>
  <si>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</si>
  <si>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</si>
  <si>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</si>
  <si>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</si>
  <si>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</si>
  <si>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</si>
  <si>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</si>
  <si>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</si>
  <si>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</si>
  <si>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</si>
  <si>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</si>
  <si>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</si>
  <si>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</si>
  <si>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</si>
  <si>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</si>
  <si>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</si>
  <si>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</si>
  <si>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</si>
  <si>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</si>
  <si>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</si>
  <si>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</si>
  <si>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</si>
  <si>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</si>
  <si>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</si>
  <si>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</si>
  <si>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</si>
  <si>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</si>
  <si>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</si>
  <si>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</si>
  <si>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</si>
  <si>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</si>
  <si>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</si>
  <si>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</si>
  <si>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</si>
  <si>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</si>
  <si>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</si>
  <si>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</si>
  <si>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</si>
  <si>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</si>
  <si>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</si>
  <si>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</si>
  <si>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</si>
  <si>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</si>
  <si>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</si>
  <si>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</si>
  <si>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</si>
  <si>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</si>
  <si>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</si>
  <si>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</si>
  <si>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</si>
  <si>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</si>
  <si>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</si>
  <si>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</si>
  <si>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</si>
  <si>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</si>
  <si>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</si>
  <si>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</si>
  <si>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</si>
  <si>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</si>
  <si>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</si>
  <si>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</si>
  <si>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</si>
  <si>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</si>
  <si>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</si>
  <si>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</si>
  <si>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</si>
  <si>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</si>
  <si>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</si>
  <si>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</si>
  <si>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</si>
  <si>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</si>
  <si>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</si>
  <si>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</si>
  <si>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</si>
  <si>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</si>
  <si>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</si>
  <si>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</si>
  <si>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</si>
  <si>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</si>
  <si>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</si>
  <si>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</si>
  <si>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</si>
  <si>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</si>
  <si>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</si>
  <si>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</si>
  <si>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</si>
  <si>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</si>
  <si>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</si>
  <si>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</si>
  <si>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</si>
  <si>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</si>
  <si>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</si>
  <si>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</si>
  <si>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</si>
  <si>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</si>
  <si>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</si>
  <si>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</si>
  <si>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</si>
  <si>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</si>
  <si>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</si>
  <si>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</si>
  <si>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</si>
  <si>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</si>
  <si>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</si>
  <si>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</si>
  <si>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</si>
  <si>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</si>
  <si>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</si>
  <si>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</si>
  <si>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</si>
  <si>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</si>
  <si>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</si>
  <si>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</si>
  <si>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</si>
  <si>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</si>
  <si>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</si>
  <si>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</si>
  <si>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</si>
  <si>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</si>
  <si>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</si>
  <si>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</si>
  <si>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</si>
  <si>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</si>
  <si>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</si>
  <si>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</si>
  <si>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</si>
  <si>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</si>
  <si>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</si>
  <si>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</si>
  <si>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</si>
  <si>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</si>
  <si>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</si>
  <si>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</si>
  <si>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</si>
  <si>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</si>
  <si>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</si>
  <si>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</si>
  <si>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</si>
  <si>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</si>
  <si>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</si>
  <si>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</si>
  <si>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</si>
  <si>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</si>
  <si>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</si>
  <si>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</si>
  <si>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</si>
  <si>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</si>
  <si>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</si>
  <si>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</si>
  <si>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</si>
  <si>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</si>
  <si>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</si>
  <si>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</si>
  <si>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</si>
  <si>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</si>
  <si>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</si>
  <si>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</si>
  <si>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</si>
  <si>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</si>
  <si>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</si>
  <si>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</si>
  <si>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</si>
  <si>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</si>
  <si>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</si>
  <si>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</si>
  <si>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</si>
  <si>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</si>
  <si>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</si>
  <si>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</si>
  <si>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</si>
  <si>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</si>
  <si>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</si>
  <si>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</si>
  <si>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</si>
  <si>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</si>
  <si>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</si>
  <si>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</si>
  <si>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</si>
  <si>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</si>
  <si>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</si>
  <si>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</si>
  <si>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</si>
  <si>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</si>
  <si>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</si>
  <si>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</si>
  <si>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</si>
  <si>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</si>
  <si>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</si>
  <si>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</si>
  <si>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</si>
  <si>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</si>
  <si>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</si>
  <si>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</si>
  <si>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</si>
  <si>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</si>
  <si>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</si>
  <si>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</si>
  <si>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</si>
  <si>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</si>
  <si>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</si>
  <si>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</si>
  <si>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</si>
  <si>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</si>
  <si>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</si>
  <si>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</si>
  <si>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</si>
  <si>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</si>
  <si>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</si>
  <si>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</si>
  <si>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</si>
  <si>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</si>
  <si>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</si>
  <si>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</si>
  <si>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</si>
  <si>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</si>
  <si>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</si>
  <si>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</si>
  <si>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</si>
  <si>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</si>
  <si>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</si>
  <si>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</si>
  <si>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</si>
  <si>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</si>
  <si>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</si>
  <si>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</si>
  <si>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</si>
  <si>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</si>
  <si>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</si>
  <si>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</si>
  <si>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</si>
  <si>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</si>
  <si>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</si>
  <si>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</si>
  <si>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</si>
  <si>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</si>
  <si>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</si>
  <si>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</si>
  <si>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</si>
  <si>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</si>
  <si>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</si>
  <si>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</si>
  <si>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</si>
  <si>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</si>
  <si>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</si>
  <si>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</si>
  <si>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</si>
  <si>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</si>
  <si>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</si>
  <si>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</si>
  <si>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</si>
  <si>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</si>
  <si>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</si>
  <si>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</si>
  <si>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</si>
  <si>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</si>
  <si>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</si>
  <si>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</si>
  <si>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</si>
  <si>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</si>
  <si>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</si>
  <si>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</si>
  <si>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</si>
  <si>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</si>
  <si>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</si>
  <si>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</si>
  <si>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</si>
  <si>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</si>
  <si>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</si>
  <si>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</si>
  <si>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</si>
  <si>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</si>
  <si>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</si>
  <si>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</si>
  <si>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</si>
  <si>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</si>
  <si>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</si>
  <si>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</si>
  <si>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</si>
  <si>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</si>
  <si>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</si>
  <si>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</si>
  <si>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</si>
  <si>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</si>
  <si>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</si>
  <si>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</si>
  <si>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</si>
  <si>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</si>
  <si>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</si>
  <si>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</si>
  <si>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</si>
  <si>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</si>
  <si>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</si>
  <si>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</si>
  <si>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</si>
  <si>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</si>
  <si>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</si>
  <si>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</si>
  <si>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</si>
  <si>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</si>
  <si>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</si>
  <si>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</si>
  <si>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</si>
  <si>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</si>
  <si>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</si>
  <si>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</si>
  <si>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</si>
  <si>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</si>
  <si>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</si>
  <si>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</si>
  <si>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</si>
  <si>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</si>
  <si>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</si>
  <si>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</si>
  <si>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</si>
  <si>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</si>
  <si>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</si>
  <si>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</si>
  <si>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</si>
  <si>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</si>
  <si>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</si>
  <si>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</si>
  <si>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</si>
  <si>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</si>
  <si>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</si>
  <si>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</si>
  <si>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</si>
  <si>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</si>
  <si>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</si>
  <si>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</si>
  <si>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</si>
  <si>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</si>
  <si>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</si>
  <si>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</si>
  <si>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</si>
  <si>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</si>
  <si>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</si>
  <si>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</si>
  <si>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</si>
  <si>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</si>
  <si>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</si>
  <si>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</si>
  <si>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</si>
  <si>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</si>
  <si>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</si>
  <si>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</si>
  <si>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</si>
  <si>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</si>
  <si>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</si>
  <si>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</si>
  <si>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</si>
  <si>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</si>
  <si>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</si>
  <si>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</si>
  <si>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</si>
  <si>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</si>
  <si>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</si>
  <si>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</si>
  <si>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</si>
  <si>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</si>
  <si>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</si>
  <si>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</si>
  <si>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</si>
  <si>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</si>
  <si>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</si>
  <si>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</si>
  <si>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</si>
  <si>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</si>
  <si>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</si>
  <si>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</si>
  <si>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</si>
  <si>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</si>
  <si>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</si>
  <si>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</si>
  <si>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</si>
  <si>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</si>
  <si>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</si>
  <si>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</si>
  <si>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</si>
  <si>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</si>
  <si>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</si>
  <si>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</si>
  <si>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</si>
  <si>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</si>
  <si>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</si>
  <si>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</si>
  <si>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</si>
  <si>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</si>
  <si>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</si>
  <si>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</si>
  <si>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</si>
  <si>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</si>
  <si>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</si>
  <si>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</si>
  <si>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</si>
  <si>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</si>
  <si>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</si>
  <si>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</si>
  <si>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</si>
  <si>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</si>
  <si>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</si>
  <si>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</si>
  <si>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</si>
  <si>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</si>
  <si>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</si>
  <si>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</si>
  <si>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</si>
  <si>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</si>
  <si>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</si>
  <si>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</si>
  <si>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</si>
  <si>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</si>
  <si>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</si>
  <si>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</si>
  <si>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</si>
  <si>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</si>
  <si>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</si>
  <si>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</si>
  <si>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</si>
  <si>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</si>
  <si>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</si>
  <si>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</si>
  <si>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</si>
  <si>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</si>
  <si>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</si>
  <si>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</si>
  <si>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</si>
  <si>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</si>
  <si>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</si>
  <si>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</si>
  <si>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</si>
  <si>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</si>
  <si>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</si>
  <si>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</si>
  <si>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</si>
  <si>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</si>
  <si>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</si>
  <si>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</si>
  <si>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</si>
  <si>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</si>
  <si>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</si>
  <si>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</si>
  <si>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</si>
  <si>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</si>
  <si>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</si>
  <si>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</si>
  <si>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</si>
  <si>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</si>
  <si>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</si>
  <si>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</si>
  <si>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</si>
  <si>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</si>
  <si>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</si>
  <si>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</si>
  <si>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</si>
  <si>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</si>
  <si>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</si>
  <si>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</si>
  <si>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</si>
  <si>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</si>
  <si>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</si>
  <si>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</si>
  <si>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</si>
  <si>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</si>
  <si>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</si>
  <si>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</si>
  <si>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</si>
  <si>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</si>
  <si>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</si>
  <si>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</si>
  <si>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</si>
  <si>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</si>
  <si>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</si>
  <si>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</si>
  <si>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</si>
  <si>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</si>
  <si>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</si>
  <si>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</si>
  <si>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</si>
  <si>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</si>
  <si>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</si>
  <si>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</si>
  <si>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</si>
  <si>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</si>
  <si>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</si>
  <si>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</si>
  <si>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</si>
  <si>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</si>
  <si>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</si>
  <si>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</si>
  <si>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</si>
  <si>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</si>
  <si>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</si>
  <si>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</si>
  <si>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</si>
  <si>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</si>
  <si>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</si>
  <si>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</si>
  <si>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</si>
  <si>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</si>
  <si>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</si>
  <si>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</si>
  <si>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</si>
  <si>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</si>
  <si>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</si>
  <si>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</si>
  <si>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</si>
  <si>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</si>
  <si>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</si>
  <si>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</si>
  <si>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</si>
  <si>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</si>
  <si>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</si>
  <si>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</si>
  <si>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</si>
  <si>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</si>
  <si>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</si>
  <si>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</si>
  <si>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</si>
  <si>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</si>
  <si>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</si>
  <si>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</si>
  <si>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</si>
  <si>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</si>
  <si>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</si>
  <si>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</si>
  <si>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</si>
  <si>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</si>
  <si>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</si>
  <si>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</si>
  <si>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</si>
  <si>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</si>
  <si>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</si>
  <si>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</si>
  <si>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</si>
  <si>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</si>
  <si>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</si>
  <si>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</si>
  <si>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</si>
  <si>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</si>
  <si>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</si>
  <si>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</si>
  <si>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</si>
  <si>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</si>
  <si>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</si>
  <si>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</si>
  <si>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</si>
  <si>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</si>
  <si>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</si>
  <si>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</si>
  <si>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</si>
  <si>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</si>
  <si>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</si>
  <si>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</si>
  <si>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</si>
  <si>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</si>
  <si>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</si>
  <si>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</si>
  <si>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</si>
  <si>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</si>
  <si>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</si>
  <si>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</si>
  <si>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</si>
  <si>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</si>
  <si>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</si>
  <si>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</si>
  <si>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</si>
  <si>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</si>
  <si>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</si>
  <si>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</si>
  <si>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</si>
  <si>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</si>
  <si>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</si>
  <si>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</si>
  <si>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</si>
  <si>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</si>
  <si>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</si>
  <si>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</si>
  <si>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</si>
  <si>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</si>
  <si>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</si>
  <si>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</si>
  <si>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</si>
  <si>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</si>
  <si>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</si>
  <si>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</si>
  <si>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</si>
  <si>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</si>
  <si>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</si>
  <si>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</si>
  <si>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</si>
  <si>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</si>
  <si>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</si>
  <si>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</si>
  <si>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</si>
  <si>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</si>
  <si>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</si>
  <si>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</si>
  <si>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</si>
  <si>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</si>
  <si>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</si>
  <si>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</si>
  <si>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</si>
  <si>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</si>
  <si>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</si>
  <si>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</si>
  <si>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</si>
  <si>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</si>
  <si>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</si>
  <si>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</si>
  <si>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</si>
  <si>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</si>
  <si>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</si>
  <si>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</si>
  <si>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</si>
  <si>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</si>
  <si>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</si>
  <si>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</si>
  <si>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</si>
  <si>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</si>
  <si>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</si>
  <si>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</si>
  <si>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</si>
  <si>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</si>
  <si>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</si>
  <si>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</si>
  <si>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</si>
  <si>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</si>
  <si>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</si>
  <si>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</si>
  <si>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</si>
  <si>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</si>
  <si>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</si>
  <si>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</si>
  <si>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</si>
  <si>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</si>
  <si>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</si>
  <si>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</si>
  <si>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</si>
  <si>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</si>
  <si>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</si>
  <si>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</si>
  <si>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</si>
  <si>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</si>
  <si>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</si>
  <si>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</si>
  <si>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</si>
  <si>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</si>
  <si>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</si>
  <si>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</si>
  <si>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</si>
  <si>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</si>
  <si>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</si>
  <si>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</si>
  <si>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</si>
  <si>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</si>
  <si>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</si>
  <si>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</si>
  <si>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</si>
  <si>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</si>
  <si>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</si>
  <si>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</si>
  <si>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</si>
  <si>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</si>
  <si>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</si>
  <si>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</si>
  <si>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</si>
  <si>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</si>
  <si>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</si>
  <si>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</si>
  <si>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</si>
  <si>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</si>
  <si>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</si>
  <si>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</si>
  <si>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</si>
  <si>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</si>
  <si>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</si>
  <si>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</si>
  <si>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</si>
  <si>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</si>
  <si>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</si>
  <si>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</si>
  <si>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</si>
  <si>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</si>
  <si>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</si>
  <si>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</si>
  <si>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</si>
  <si>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</si>
  <si>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</si>
  <si>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</si>
  <si>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</si>
  <si>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</si>
  <si>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</si>
  <si>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</si>
  <si>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</si>
  <si>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</si>
  <si>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</si>
  <si>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</si>
  <si>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</si>
  <si>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</si>
  <si>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</si>
  <si>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</si>
  <si>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</si>
  <si>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</si>
  <si>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</si>
  <si>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</si>
  <si>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</si>
  <si>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</si>
  <si>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</si>
  <si>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</si>
  <si>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</si>
  <si>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</si>
  <si>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</si>
  <si>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</si>
  <si>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</si>
  <si>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</si>
  <si>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</si>
  <si>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</si>
  <si>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</si>
  <si>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</si>
  <si>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</si>
  <si>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</si>
  <si>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</si>
  <si>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</si>
  <si>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</si>
  <si>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</si>
  <si>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</si>
  <si>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</si>
  <si>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</si>
  <si>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</si>
  <si>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</si>
  <si>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</si>
  <si>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</si>
  <si>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</si>
  <si>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</si>
  <si>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</si>
  <si>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</si>
  <si>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</si>
  <si>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</si>
  <si>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</si>
  <si>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</si>
  <si>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</si>
  <si>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</si>
  <si>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</si>
  <si>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</si>
  <si>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</si>
  <si>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</si>
  <si>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</si>
  <si>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</si>
  <si>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</si>
  <si>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</si>
  <si>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</si>
  <si>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</si>
  <si>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</si>
  <si>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</si>
  <si>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</si>
  <si>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</si>
  <si>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</si>
  <si>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</si>
  <si>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</si>
  <si>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</si>
  <si>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</si>
  <si>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</si>
  <si>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</si>
  <si>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</si>
  <si>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</si>
  <si>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</si>
  <si>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</si>
  <si>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</si>
  <si>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</si>
  <si>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</si>
  <si>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</si>
  <si>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</si>
  <si>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</si>
  <si>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</si>
  <si>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</si>
  <si>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</si>
  <si>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</si>
  <si>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</si>
  <si>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</si>
  <si>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</si>
  <si>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</si>
  <si>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</si>
  <si>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</si>
  <si>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</si>
  <si>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</si>
  <si>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</si>
  <si>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</si>
  <si>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</si>
  <si>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</si>
  <si>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</si>
  <si>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</si>
  <si>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</si>
  <si>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</si>
  <si>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</si>
  <si>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</si>
  <si>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</si>
  <si>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</si>
  <si>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</si>
  <si>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</si>
  <si>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</si>
  <si>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</si>
  <si>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</si>
  <si>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</si>
  <si>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</si>
  <si>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</si>
  <si>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</si>
  <si>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</si>
  <si>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</si>
  <si>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</si>
  <si>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</si>
  <si>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</si>
  <si>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</si>
  <si>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</si>
  <si>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</si>
  <si>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</si>
  <si>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</si>
  <si>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</si>
  <si>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</si>
  <si>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</si>
  <si>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</si>
  <si>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</si>
  <si>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</si>
  <si>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</si>
  <si>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</si>
  <si>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</si>
  <si>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</si>
  <si>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</si>
  <si>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</si>
  <si>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</si>
  <si>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</si>
  <si>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</si>
  <si>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</si>
  <si>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</si>
  <si>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</si>
  <si>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</si>
  <si>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</si>
  <si>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</si>
  <si>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</si>
  <si>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</si>
  <si>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</si>
  <si>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</si>
  <si>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</si>
  <si>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</si>
  <si>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</si>
  <si>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</si>
  <si>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</si>
  <si>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</si>
  <si>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</si>
  <si>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</si>
  <si>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</si>
  <si>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</si>
  <si>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</si>
  <si>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</si>
  <si>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</si>
  <si>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</si>
  <si>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</si>
  <si>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</si>
  <si>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</si>
  <si>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</si>
  <si>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</si>
  <si>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</si>
  <si>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</si>
  <si>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</si>
  <si>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</si>
  <si>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</si>
  <si>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</si>
  <si>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</si>
  <si>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</si>
  <si>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</si>
  <si>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</si>
  <si>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</si>
  <si>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</si>
  <si>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</si>
  <si>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</si>
  <si>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</si>
  <si>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</si>
  <si>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</si>
  <si>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</si>
  <si>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</si>
  <si>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</si>
  <si>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</si>
  <si>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</si>
  <si>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</si>
  <si>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</si>
  <si>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</si>
  <si>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</si>
  <si>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</si>
  <si>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</si>
  <si>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</si>
  <si>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</si>
  <si>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</si>
  <si>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</si>
  <si>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</si>
  <si>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</si>
  <si>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</si>
  <si>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</si>
  <si>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</si>
  <si>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</si>
  <si>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</si>
  <si>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</si>
  <si>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</si>
  <si>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</si>
  <si>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</si>
  <si>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</si>
  <si>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</si>
  <si>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</si>
  <si>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</si>
  <si>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</si>
  <si>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</si>
  <si>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</si>
  <si>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</si>
  <si>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</si>
  <si>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</si>
  <si>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</si>
  <si>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</si>
  <si>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</si>
  <si>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</si>
  <si>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</si>
  <si>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</si>
  <si>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</si>
  <si>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</si>
  <si>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</si>
  <si>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</si>
  <si>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</si>
  <si>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</si>
  <si>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</si>
  <si>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</si>
  <si>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</si>
  <si>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</si>
  <si>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</si>
  <si>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</si>
  <si>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</si>
  <si>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</si>
  <si>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</si>
  <si>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</si>
  <si>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</si>
  <si>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</si>
  <si>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</si>
  <si>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</si>
  <si>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</si>
  <si>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</si>
  <si>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</si>
  <si>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</si>
  <si>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</si>
  <si>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</si>
  <si>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</si>
  <si>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</si>
  <si>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</si>
  <si>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</si>
  <si>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</si>
  <si>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</si>
  <si>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</si>
  <si>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</si>
  <si>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</si>
  <si>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</si>
  <si>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</si>
  <si>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</si>
  <si>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</si>
  <si>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</si>
  <si>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</si>
  <si>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</si>
  <si>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</si>
  <si>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</si>
  <si>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</si>
  <si>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</si>
  <si>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</si>
  <si>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</si>
  <si>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</si>
  <si>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</si>
  <si>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</si>
  <si>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</si>
  <si>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</si>
  <si>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</si>
  <si>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</si>
  <si>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</si>
  <si>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</si>
  <si>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</si>
  <si>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</si>
  <si>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</si>
  <si>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</si>
  <si>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</si>
  <si>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</si>
  <si>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</si>
  <si>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</si>
  <si>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</si>
  <si>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</si>
  <si>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</si>
  <si>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</si>
  <si>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</si>
  <si>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</si>
  <si>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</si>
  <si>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</si>
  <si>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</si>
  <si>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</si>
  <si>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</si>
  <si>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</si>
  <si>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</si>
  <si>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</si>
  <si>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</si>
  <si>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</si>
  <si>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</si>
  <si>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</si>
  <si>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</si>
  <si>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</si>
  <si>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</si>
  <si>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</si>
  <si>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</si>
  <si>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</si>
  <si>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</si>
  <si>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</si>
  <si>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</si>
  <si>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</si>
  <si>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</si>
  <si>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</si>
  <si>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</si>
  <si>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</si>
  <si>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</si>
  <si>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</si>
  <si>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</si>
  <si>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</si>
  <si>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</si>
  <si>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</si>
  <si>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</si>
  <si>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</si>
  <si>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</si>
  <si>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</si>
  <si>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</si>
  <si>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</si>
  <si>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</si>
  <si>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</si>
  <si>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</si>
  <si>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</si>
  <si>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</si>
  <si>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</si>
  <si>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</si>
  <si>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</si>
  <si>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</si>
  <si>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</si>
  <si>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</si>
  <si>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</si>
  <si>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</si>
  <si>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</si>
  <si>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</si>
  <si>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</si>
  <si>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</si>
  <si>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</si>
  <si>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</si>
  <si>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</si>
  <si>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</si>
  <si>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</si>
  <si>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</si>
  <si>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</si>
  <si>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</si>
  <si>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</si>
  <si>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</si>
  <si>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</si>
  <si>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</si>
  <si>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</si>
  <si>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</si>
  <si>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</si>
  <si>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</si>
  <si>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</si>
  <si>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</si>
  <si>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</si>
  <si>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</si>
  <si>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</si>
  <si>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</si>
  <si>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</si>
  <si>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</si>
  <si>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</si>
  <si>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</si>
  <si>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Batch identifier</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</si>
  <si>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</si>
  <si>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</si>
  <si>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</si>
  <si>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</si>
  <si>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</si>
  <si>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</si>
  <si>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</si>
  <si>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</si>
  <si>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</si>
  <si>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</si>
  <si>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</si>
  <si>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</si>
  <si>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</si>
  <si>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</si>
  <si>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</si>
  <si>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</si>
  <si>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</si>
  <si>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</si>
  <si>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</si>
  <si>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</si>
  <si>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</si>
  <si>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</si>
  <si>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</si>
  <si>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</si>
  <si>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</si>
  <si>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</si>
  <si>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</si>
  <si>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</si>
  <si>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</si>
  <si>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</si>
  <si>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</si>
  <si>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</si>
  <si>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</si>
  <si>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</si>
  <si>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</si>
  <si>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</si>
  <si>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</si>
  <si>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</si>
  <si>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</si>
  <si>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</si>
  <si>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</si>
  <si>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</si>
  <si>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</si>
  <si>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</si>
  <si>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</si>
  <si>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</si>
  <si>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</si>
  <si>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</si>
  <si>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</si>
  <si>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</si>
  <si>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</si>
  <si>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</si>
  <si>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</si>
  <si>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</si>
  <si>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</si>
  <si>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</si>
  <si>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</si>
  <si>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</si>
  <si>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</si>
  <si>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</si>
  <si>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</si>
  <si>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</si>
  <si>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</si>
  <si>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</si>
  <si>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</si>
  <si>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</si>
  <si>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</si>
  <si>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</si>
  <si>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</si>
  <si>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</si>
  <si>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</si>
  <si>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</si>
  <si>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</si>
  <si>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</si>
  <si>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</si>
  <si>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</si>
  <si>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</si>
  <si>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</si>
  <si>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</si>
  <si>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</si>
  <si>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</si>
  <si>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</si>
  <si>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</si>
  <si>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</si>
  <si>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</si>
  <si>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</si>
  <si>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</si>
  <si>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</si>
  <si>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</si>
  <si>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</si>
  <si>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</si>
  <si>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</si>
  <si>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</si>
  <si>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</si>
  <si>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</si>
  <si>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</si>
  <si>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</si>
  <si>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</si>
  <si>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</si>
  <si>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</si>
  <si>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</si>
  <si>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</si>
  <si>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</si>
  <si>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</si>
  <si>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</si>
  <si>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</si>
  <si>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</si>
  <si>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</si>
  <si>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</si>
  <si>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</si>
  <si>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</si>
  <si>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</si>
  <si>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att_lamp_intensity|att_exposure_time|att_laser_intensity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</si>
</sst>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12" x14ac:knownFonts="1">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2">
    <xf numFmtId="0" fontId="0" fillId="0" borderId="0" xfId="0"/>
    <xf numFmtId="49" fontId="0" fillId="0" borderId="0" xfId="0" applyNumberFormat="1"/>
    <xf numFmtId="0" fontId="1" fillId="2" borderId="0" xfId="0" applyFont="1" applyFill="1" applyAlignment="1">
      <alignment vertical="center"/>
    </xf>
    <xf numFmtId="49" fontId="1" fillId="2" borderId="0" xfId="0" applyNumberFormat="1" applyFont="1" applyFill="1" applyAlignment="1">
      <alignment vertical="center" wrapText="1"/>
    </xf>
    <xf numFmtId="0" fontId="1" fillId="2" borderId="0" xfId="0" applyFont="1" applyFill="1"/>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49" fontId="0" fillId="0" borderId="0" xfId="0" applyNumberFormat="1" applyAlignment="1">
      <alignment horizontal="right"/>
    </xf>
    <xf numFmtId="0" fontId="6" fillId="0" borderId="0" xfId="0" applyFont="1"/>
    <xf numFmtId="0" fontId="0" fillId="0" borderId="0" xfId="0" applyAlignment="1">
      <alignment horizontal="right" wrapText="1"/>
    </xf>
    <xf numFmtId="0" fontId="0" fillId="0" borderId="0" xfId="0" quotePrefix="1" applyAlignment="1">
      <alignment horizontal="right"/>
    </xf>
    <xf numFmtId="0" fontId="7" fillId="0" borderId="0" xfId="0" applyFont="1"/>
    <xf numFmtId="0" fontId="9" fillId="0" borderId="0" xfId="0" applyFont="1"/>
    <xf numFmtId="0" fontId="8" fillId="0" borderId="0" xfId="0" applyFont="1"/>
    <xf numFmtId="49" fontId="8" fillId="0" borderId="0" xfId="0" applyNumberFormat="1" applyFont="1"/>
    <xf numFmtId="0" fontId="8" fillId="0" borderId="0" xfId="0" applyFont="1" applyAlignment="1">
      <alignment horizontal="left"/>
    </xf>
    <xf numFmtId="0" fontId="10" fillId="0" borderId="0" xfId="0" applyFont="1" applyAlignment="1">
      <alignment horizontal="right" vertical="center"/>
    </xf>
    <xf numFmtId="0" fontId="6" fillId="0" borderId="0" xfId="0" applyFont="1" applyAlignment="1">
      <alignment horizontal="right"/>
    </xf>
    <xf numFmtId="0" fontId="8" fillId="0" borderId="0" xfId="0" applyFont="1" applyAlignment="1">
      <alignment horizontal="right"/>
    </xf>
    <xf numFmtId="0" fontId="11" fillId="0" borderId="0" xfId="0" applyFont="1"/>
    <xf numFmtId="0" fontId="0" fillId="0" borderId="0" xfId="0" applyAlignment="1">
      <alignment wrapText="1"/>
    </xf>
  </cellXfs>
  <cellStyles count="1">
    <cellStyle name="Normal" xfId="0" builtinId="0"/>
  </cellStyles>
  <dxfs count="9">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X157"/>
  <sheetViews>
    <sheetView tabSelected="1" zoomScale="180" zoomScaleNormal="180" workbookViewId="0">
      <pane ySplit="1" topLeftCell="A120" activePane="bottomLeft" state="frozen"/>
      <selection pane="bottomLeft" activeCell="B118" sqref="B118"/>
    </sheetView>
  </sheetViews>
  <sheetFormatPr baseColWidth="10" defaultColWidth="10.6640625" defaultRowHeight="13" x14ac:dyDescent="0.15"/>
  <cols>
    <col min="1" max="1" width="24.6640625" customWidth="1"/>
    <col min="2" max="2" width="66.33203125" customWidth="1"/>
    <col min="3" max="3" width="40.1640625" customWidth="1"/>
    <col min="4" max="4" width="32.6640625" customWidth="1"/>
    <col min="5" max="5" width="13" customWidth="1"/>
    <col min="8" max="8" width="17.1640625" style="1" customWidth="1"/>
    <col min="9" max="9" width="11.6640625" customWidth="1"/>
    <col min="10" max="10" width="11" customWidth="1"/>
    <col min="11" max="11" width="37.6640625" customWidth="1"/>
  </cols>
  <sheetData>
    <row r="1" spans="1:1012" s="2" customFormat="1" ht="38" customHeight="1" x14ac:dyDescent="0.15">
      <c r="A1" s="2" t="s">
        <v>0</v>
      </c>
      <c r="B1" s="2" t="s">
        <v>4071</v>
      </c>
      <c r="C1" s="2" t="s">
        <v>3962</v>
      </c>
      <c r="D1" s="2" t="s">
        <v>1</v>
      </c>
      <c r="E1" s="2" t="s">
        <v>4121</v>
      </c>
      <c r="F1" s="2" t="s">
        <v>2</v>
      </c>
      <c r="G1" s="2" t="s">
        <v>4115</v>
      </c>
      <c r="H1" s="3" t="s">
        <v>3</v>
      </c>
      <c r="I1" s="2" t="s">
        <v>4</v>
      </c>
      <c r="J1" s="2" t="s">
        <v>5</v>
      </c>
      <c r="K1" s="2" t="s">
        <v>4114</v>
      </c>
      <c r="L1" s="2" t="s">
        <v>6</v>
      </c>
      <c r="M1" s="3" t="s">
        <v>7</v>
      </c>
      <c r="N1" s="3" t="s">
        <v>8</v>
      </c>
      <c r="O1" s="3" t="s">
        <v>9</v>
      </c>
      <c r="P1" s="3" t="s">
        <v>10</v>
      </c>
      <c r="Q1" s="3" t="s">
        <v>11</v>
      </c>
      <c r="R1" s="3" t="s">
        <v>3851</v>
      </c>
      <c r="S1" s="2" t="s">
        <v>2524</v>
      </c>
      <c r="T1" s="2" t="s">
        <v>4124</v>
      </c>
      <c r="ALR1" s="4"/>
      <c r="ALS1" s="4"/>
      <c r="ALT1" s="4"/>
      <c r="ALU1" s="4"/>
      <c r="ALV1"/>
      <c r="ALW1"/>
      <c r="ALX1"/>
    </row>
    <row r="2" spans="1:1012" x14ac:dyDescent="0.15">
      <c r="A2" t="s">
        <v>175</v>
      </c>
      <c r="D2" t="s">
        <v>2776</v>
      </c>
      <c r="F2">
        <v>800</v>
      </c>
      <c r="G2" t="b">
        <v>0</v>
      </c>
      <c r="H2" s="1" t="s">
        <v>15</v>
      </c>
      <c r="I2" t="s">
        <v>176</v>
      </c>
      <c r="J2">
        <v>0</v>
      </c>
      <c r="K2" t="s">
        <v>176</v>
      </c>
      <c r="L2" t="s">
        <v>4274</v>
      </c>
      <c r="M2" t="s">
        <v>4274</v>
      </c>
      <c r="N2" t="s">
        <v>176</v>
      </c>
      <c r="O2" t="s">
        <v>4274</v>
      </c>
      <c r="P2" t="s">
        <v>4274</v>
      </c>
      <c r="Q2" t="s">
        <v>4274</v>
      </c>
      <c r="R2" t="s">
        <v>4274</v>
      </c>
    </row>
    <row r="3" spans="1:1012" x14ac:dyDescent="0.15">
      <c r="A3" t="s">
        <v>177</v>
      </c>
      <c r="D3" t="s">
        <v>178</v>
      </c>
      <c r="F3">
        <v>700</v>
      </c>
      <c r="G3" t="b">
        <v>0</v>
      </c>
      <c r="H3" s="1" t="s">
        <v>15</v>
      </c>
      <c r="I3" t="s">
        <v>176</v>
      </c>
      <c r="J3">
        <v>0</v>
      </c>
      <c r="K3" t="s">
        <v>176</v>
      </c>
      <c r="L3" t="s">
        <v>4274</v>
      </c>
      <c r="M3" t="s">
        <v>4274</v>
      </c>
      <c r="N3" t="s">
        <v>176</v>
      </c>
      <c r="O3" t="s">
        <v>4274</v>
      </c>
      <c r="P3" t="s">
        <v>4274</v>
      </c>
      <c r="Q3" t="s">
        <v>4274</v>
      </c>
      <c r="R3" t="s">
        <v>4274</v>
      </c>
    </row>
    <row r="4" spans="1:1012" x14ac:dyDescent="0.15">
      <c r="A4" t="s">
        <v>181</v>
      </c>
      <c r="D4" t="s">
        <v>182</v>
      </c>
      <c r="F4">
        <v>600</v>
      </c>
      <c r="G4" t="b">
        <v>0</v>
      </c>
      <c r="H4" s="1" t="s">
        <v>15</v>
      </c>
      <c r="I4" t="s">
        <v>176</v>
      </c>
      <c r="J4">
        <v>0</v>
      </c>
      <c r="K4" t="s">
        <v>176</v>
      </c>
      <c r="L4" t="s">
        <v>4274</v>
      </c>
      <c r="M4" t="s">
        <v>4274</v>
      </c>
      <c r="N4" t="s">
        <v>176</v>
      </c>
      <c r="O4" t="s">
        <v>4274</v>
      </c>
      <c r="P4" t="s">
        <v>4274</v>
      </c>
      <c r="Q4" t="s">
        <v>4274</v>
      </c>
      <c r="R4" t="s">
        <v>4274</v>
      </c>
    </row>
    <row r="5" spans="1:1012" x14ac:dyDescent="0.15">
      <c r="A5" t="s">
        <v>179</v>
      </c>
      <c r="D5" t="s">
        <v>180</v>
      </c>
      <c r="F5">
        <v>550</v>
      </c>
      <c r="G5" t="b">
        <v>0</v>
      </c>
      <c r="H5" s="1" t="s">
        <v>15</v>
      </c>
      <c r="I5" t="s">
        <v>176</v>
      </c>
      <c r="J5">
        <v>0</v>
      </c>
      <c r="K5" t="s">
        <v>4275</v>
      </c>
      <c r="L5" t="s">
        <v>4274</v>
      </c>
      <c r="M5" t="s">
        <v>4144</v>
      </c>
      <c r="N5" t="s">
        <v>176</v>
      </c>
      <c r="O5" t="s">
        <v>4274</v>
      </c>
      <c r="P5" t="s">
        <v>4274</v>
      </c>
      <c r="Q5" t="s">
        <v>4274</v>
      </c>
      <c r="R5" t="s">
        <v>4274</v>
      </c>
    </row>
    <row r="6" spans="1:1012" s="23" customFormat="1" x14ac:dyDescent="0.15">
      <c r="A6" t="s">
        <v>183</v>
      </c>
      <c r="B6"/>
      <c r="C6"/>
      <c r="D6" t="s">
        <v>184</v>
      </c>
      <c r="E6"/>
      <c r="F6">
        <v>500</v>
      </c>
      <c r="G6" t="b">
        <v>0</v>
      </c>
      <c r="H6" s="1" t="s">
        <v>15</v>
      </c>
      <c r="I6" t="s">
        <v>176</v>
      </c>
      <c r="J6">
        <v>0</v>
      </c>
      <c r="K6" t="s">
        <v>4275</v>
      </c>
      <c r="L6" t="s">
        <v>4274</v>
      </c>
      <c r="M6" t="s">
        <v>4144</v>
      </c>
      <c r="N6" t="s">
        <v>176</v>
      </c>
      <c r="O6" t="s">
        <v>4274</v>
      </c>
      <c r="P6" t="s">
        <v>4274</v>
      </c>
      <c r="Q6" t="s">
        <v>4274</v>
      </c>
      <c r="R6" t="s">
        <v>4274</v>
      </c>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row>
    <row r="7" spans="1:1012" x14ac:dyDescent="0.15">
      <c r="A7" t="s">
        <v>185</v>
      </c>
      <c r="D7" t="s">
        <v>186</v>
      </c>
      <c r="F7">
        <v>300</v>
      </c>
      <c r="G7" t="b">
        <v>0</v>
      </c>
      <c r="H7" s="1" t="s">
        <v>15</v>
      </c>
      <c r="I7" t="s">
        <v>176</v>
      </c>
      <c r="J7">
        <v>0</v>
      </c>
      <c r="K7" t="s">
        <v>176</v>
      </c>
      <c r="L7" t="s">
        <v>4274</v>
      </c>
      <c r="M7" t="s">
        <v>4274</v>
      </c>
      <c r="N7" t="s">
        <v>176</v>
      </c>
      <c r="O7" t="s">
        <v>4274</v>
      </c>
      <c r="P7" t="s">
        <v>4274</v>
      </c>
      <c r="Q7" t="s">
        <v>4274</v>
      </c>
      <c r="R7" t="s">
        <v>4274</v>
      </c>
    </row>
    <row r="8" spans="1:1012" x14ac:dyDescent="0.15">
      <c r="A8" s="27" t="s">
        <v>4060</v>
      </c>
      <c r="B8" s="27"/>
      <c r="C8" t="s">
        <v>13</v>
      </c>
      <c r="D8" s="5" t="s">
        <v>4116</v>
      </c>
      <c r="E8" s="5" t="s">
        <v>4118</v>
      </c>
      <c r="F8">
        <v>500</v>
      </c>
      <c r="G8" t="b">
        <v>1</v>
      </c>
      <c r="H8" s="1" t="s">
        <v>15</v>
      </c>
      <c r="I8" t="s">
        <v>3111</v>
      </c>
      <c r="J8">
        <v>2</v>
      </c>
      <c r="K8" t="s">
        <v>4276</v>
      </c>
      <c r="L8" t="s">
        <v>4274</v>
      </c>
      <c r="M8" t="s">
        <v>4144</v>
      </c>
      <c r="N8" t="s">
        <v>4274</v>
      </c>
      <c r="O8" t="s">
        <v>4274</v>
      </c>
      <c r="P8" t="s">
        <v>4274</v>
      </c>
      <c r="Q8" t="s">
        <v>2505</v>
      </c>
      <c r="R8" t="s">
        <v>4233</v>
      </c>
    </row>
    <row r="9" spans="1:1012" x14ac:dyDescent="0.15">
      <c r="A9" s="6" t="s">
        <v>4061</v>
      </c>
      <c r="B9" s="6"/>
      <c r="D9" s="5" t="s">
        <v>3983</v>
      </c>
      <c r="E9" s="5" t="s">
        <v>2735</v>
      </c>
      <c r="F9">
        <v>500</v>
      </c>
      <c r="G9" t="b">
        <v>1</v>
      </c>
      <c r="H9" s="1" t="s">
        <v>15</v>
      </c>
      <c r="I9" t="s">
        <v>3111</v>
      </c>
      <c r="J9">
        <v>2</v>
      </c>
      <c r="K9" t="s">
        <v>4276</v>
      </c>
      <c r="L9" t="s">
        <v>4274</v>
      </c>
      <c r="M9" t="s">
        <v>4144</v>
      </c>
      <c r="N9" t="s">
        <v>4274</v>
      </c>
      <c r="O9" t="s">
        <v>4274</v>
      </c>
      <c r="P9" t="s">
        <v>4274</v>
      </c>
      <c r="Q9" t="s">
        <v>2505</v>
      </c>
      <c r="R9" t="s">
        <v>4233</v>
      </c>
    </row>
    <row r="10" spans="1:1012" x14ac:dyDescent="0.15">
      <c r="A10" s="6" t="s">
        <v>4062</v>
      </c>
      <c r="B10" s="6"/>
      <c r="D10" s="5" t="s">
        <v>3990</v>
      </c>
      <c r="E10" s="5" t="s">
        <v>4117</v>
      </c>
      <c r="F10">
        <v>500</v>
      </c>
      <c r="G10" t="b">
        <v>1</v>
      </c>
      <c r="H10" s="1" t="s">
        <v>15</v>
      </c>
      <c r="I10" t="s">
        <v>3111</v>
      </c>
      <c r="J10">
        <v>2</v>
      </c>
      <c r="K10" t="s">
        <v>4276</v>
      </c>
      <c r="L10" t="s">
        <v>4274</v>
      </c>
      <c r="M10" t="s">
        <v>4144</v>
      </c>
      <c r="N10" t="s">
        <v>4274</v>
      </c>
      <c r="O10" t="s">
        <v>4274</v>
      </c>
      <c r="P10" t="s">
        <v>4274</v>
      </c>
      <c r="Q10" t="s">
        <v>2505</v>
      </c>
      <c r="R10" t="s">
        <v>4233</v>
      </c>
    </row>
    <row r="11" spans="1:1012" x14ac:dyDescent="0.15">
      <c r="A11" s="6" t="s">
        <v>4227</v>
      </c>
      <c r="B11" s="6"/>
      <c r="D11" s="5" t="s">
        <v>4230</v>
      </c>
      <c r="E11" s="5"/>
      <c r="F11">
        <v>800</v>
      </c>
      <c r="G11" t="b">
        <v>1</v>
      </c>
      <c r="H11" s="1" t="s">
        <v>15</v>
      </c>
      <c r="I11" t="s">
        <v>3111</v>
      </c>
      <c r="J11">
        <v>2</v>
      </c>
      <c r="K11" t="s">
        <v>4276</v>
      </c>
      <c r="L11" t="s">
        <v>4274</v>
      </c>
      <c r="M11" t="s">
        <v>4144</v>
      </c>
      <c r="N11" t="s">
        <v>4274</v>
      </c>
      <c r="O11" t="s">
        <v>4274</v>
      </c>
      <c r="P11" t="s">
        <v>4274</v>
      </c>
      <c r="Q11" t="s">
        <v>2505</v>
      </c>
      <c r="R11" t="s">
        <v>4233</v>
      </c>
    </row>
    <row r="12" spans="1:1012" x14ac:dyDescent="0.15">
      <c r="A12" s="6" t="s">
        <v>4064</v>
      </c>
      <c r="B12" s="6"/>
      <c r="D12" s="5" t="s">
        <v>4086</v>
      </c>
      <c r="E12" s="5" t="s">
        <v>4022</v>
      </c>
      <c r="F12">
        <v>500</v>
      </c>
      <c r="G12" t="b">
        <v>1</v>
      </c>
      <c r="H12" s="1" t="s">
        <v>15</v>
      </c>
      <c r="I12" t="s">
        <v>3111</v>
      </c>
      <c r="J12">
        <v>2</v>
      </c>
      <c r="K12" t="s">
        <v>4276</v>
      </c>
      <c r="L12" t="s">
        <v>4274</v>
      </c>
      <c r="M12" t="s">
        <v>4144</v>
      </c>
      <c r="N12" t="s">
        <v>4274</v>
      </c>
      <c r="O12" t="s">
        <v>4274</v>
      </c>
      <c r="P12" t="s">
        <v>4274</v>
      </c>
      <c r="Q12" t="s">
        <v>2505</v>
      </c>
      <c r="R12" t="s">
        <v>4233</v>
      </c>
    </row>
    <row r="13" spans="1:1012" s="23" customFormat="1" x14ac:dyDescent="0.15">
      <c r="A13" s="6" t="s">
        <v>4065</v>
      </c>
      <c r="B13" s="6"/>
      <c r="C13"/>
      <c r="D13" s="5" t="s">
        <v>4087</v>
      </c>
      <c r="E13" s="5" t="s">
        <v>4122</v>
      </c>
      <c r="F13">
        <v>500</v>
      </c>
      <c r="G13" t="b">
        <v>1</v>
      </c>
      <c r="H13" s="1" t="s">
        <v>15</v>
      </c>
      <c r="I13" t="s">
        <v>3111</v>
      </c>
      <c r="J13">
        <v>2</v>
      </c>
      <c r="K13" t="s">
        <v>4276</v>
      </c>
      <c r="L13" t="s">
        <v>4274</v>
      </c>
      <c r="M13" t="s">
        <v>4144</v>
      </c>
      <c r="N13" t="s">
        <v>4274</v>
      </c>
      <c r="O13" t="s">
        <v>4274</v>
      </c>
      <c r="P13" t="s">
        <v>4274</v>
      </c>
      <c r="Q13" t="s">
        <v>2505</v>
      </c>
      <c r="R13" t="s">
        <v>4233</v>
      </c>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row>
    <row r="14" spans="1:1012" s="24" customFormat="1" x14ac:dyDescent="0.15">
      <c r="A14" s="6" t="s">
        <v>3967</v>
      </c>
      <c r="B14" s="6"/>
      <c r="C14"/>
      <c r="D14" s="5" t="s">
        <v>3969</v>
      </c>
      <c r="E14" s="5" t="s">
        <v>2525</v>
      </c>
      <c r="F14">
        <v>500</v>
      </c>
      <c r="G14" t="b">
        <v>1</v>
      </c>
      <c r="H14" s="1" t="s">
        <v>15</v>
      </c>
      <c r="I14" t="s">
        <v>3111</v>
      </c>
      <c r="J14">
        <v>2</v>
      </c>
      <c r="K14" t="s">
        <v>4276</v>
      </c>
      <c r="L14" t="s">
        <v>4274</v>
      </c>
      <c r="M14" t="s">
        <v>4144</v>
      </c>
      <c r="N14" t="s">
        <v>4274</v>
      </c>
      <c r="O14" t="s">
        <v>4274</v>
      </c>
      <c r="P14" t="s">
        <v>4274</v>
      </c>
      <c r="Q14" t="s">
        <v>2505</v>
      </c>
      <c r="R14" t="s">
        <v>4233</v>
      </c>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row>
    <row r="15" spans="1:1012" x14ac:dyDescent="0.15">
      <c r="A15" s="6" t="s">
        <v>3965</v>
      </c>
      <c r="B15" s="6"/>
      <c r="D15" s="5" t="s">
        <v>4017</v>
      </c>
      <c r="E15" s="5" t="s">
        <v>4119</v>
      </c>
      <c r="F15">
        <v>500</v>
      </c>
      <c r="G15" t="b">
        <v>1</v>
      </c>
      <c r="H15" s="1" t="s">
        <v>15</v>
      </c>
      <c r="I15" t="s">
        <v>3111</v>
      </c>
      <c r="J15">
        <v>2</v>
      </c>
      <c r="K15" t="s">
        <v>4276</v>
      </c>
      <c r="L15" t="s">
        <v>4274</v>
      </c>
      <c r="M15" t="s">
        <v>4144</v>
      </c>
      <c r="N15" t="s">
        <v>4274</v>
      </c>
      <c r="O15" t="s">
        <v>4274</v>
      </c>
      <c r="P15" t="s">
        <v>4274</v>
      </c>
      <c r="Q15" t="s">
        <v>2505</v>
      </c>
      <c r="R15" t="s">
        <v>4233</v>
      </c>
    </row>
    <row r="16" spans="1:1012" x14ac:dyDescent="0.15">
      <c r="A16" s="6" t="s">
        <v>3970</v>
      </c>
      <c r="B16" s="6"/>
      <c r="D16" s="5" t="s">
        <v>3971</v>
      </c>
      <c r="E16" s="5" t="s">
        <v>3228</v>
      </c>
      <c r="F16">
        <v>500</v>
      </c>
      <c r="G16" t="b">
        <v>1</v>
      </c>
      <c r="H16" s="1" t="s">
        <v>15</v>
      </c>
      <c r="I16" t="s">
        <v>3111</v>
      </c>
      <c r="J16">
        <v>2</v>
      </c>
      <c r="K16" t="s">
        <v>4276</v>
      </c>
      <c r="L16" t="s">
        <v>4274</v>
      </c>
      <c r="M16" t="s">
        <v>4144</v>
      </c>
      <c r="N16" t="s">
        <v>4274</v>
      </c>
      <c r="O16" t="s">
        <v>4274</v>
      </c>
      <c r="P16" t="s">
        <v>4274</v>
      </c>
      <c r="Q16" t="s">
        <v>2505</v>
      </c>
      <c r="R16" t="s">
        <v>4233</v>
      </c>
    </row>
    <row r="17" spans="1:1012" x14ac:dyDescent="0.15">
      <c r="A17" s="6" t="s">
        <v>4066</v>
      </c>
      <c r="B17" s="6"/>
      <c r="D17" s="5" t="s">
        <v>4031</v>
      </c>
      <c r="E17" s="5" t="s">
        <v>4018</v>
      </c>
      <c r="F17">
        <v>500</v>
      </c>
      <c r="G17" t="b">
        <v>1</v>
      </c>
      <c r="H17" s="1" t="s">
        <v>15</v>
      </c>
      <c r="I17" t="s">
        <v>3111</v>
      </c>
      <c r="J17">
        <v>2</v>
      </c>
      <c r="K17" t="s">
        <v>4276</v>
      </c>
      <c r="L17" t="s">
        <v>4274</v>
      </c>
      <c r="M17" t="s">
        <v>4144</v>
      </c>
      <c r="N17" t="s">
        <v>4274</v>
      </c>
      <c r="O17" t="s">
        <v>4274</v>
      </c>
      <c r="P17" t="s">
        <v>4274</v>
      </c>
      <c r="Q17" t="s">
        <v>2505</v>
      </c>
      <c r="R17" t="s">
        <v>4233</v>
      </c>
    </row>
    <row r="18" spans="1:1012" x14ac:dyDescent="0.15">
      <c r="A18" s="6" t="s">
        <v>4067</v>
      </c>
      <c r="B18" s="6"/>
      <c r="D18" s="5" t="s">
        <v>1765</v>
      </c>
      <c r="E18" s="5"/>
      <c r="F18">
        <v>500</v>
      </c>
      <c r="G18" t="b">
        <v>1</v>
      </c>
      <c r="H18" s="1" t="s">
        <v>15</v>
      </c>
      <c r="I18" t="s">
        <v>3111</v>
      </c>
      <c r="J18">
        <v>2</v>
      </c>
      <c r="K18" t="s">
        <v>4276</v>
      </c>
      <c r="L18" t="s">
        <v>4274</v>
      </c>
      <c r="M18" t="s">
        <v>4144</v>
      </c>
      <c r="N18" t="s">
        <v>4274</v>
      </c>
      <c r="O18" t="s">
        <v>4274</v>
      </c>
      <c r="P18" t="s">
        <v>4274</v>
      </c>
      <c r="Q18" t="s">
        <v>2505</v>
      </c>
      <c r="R18" t="s">
        <v>4233</v>
      </c>
    </row>
    <row r="19" spans="1:1012" x14ac:dyDescent="0.15">
      <c r="A19" s="6" t="s">
        <v>1162</v>
      </c>
      <c r="B19" s="6"/>
      <c r="D19" s="5" t="s">
        <v>4046</v>
      </c>
      <c r="E19" s="5"/>
      <c r="F19">
        <v>500</v>
      </c>
      <c r="G19" t="b">
        <v>1</v>
      </c>
      <c r="H19" s="1" t="s">
        <v>15</v>
      </c>
      <c r="I19" t="s">
        <v>3111</v>
      </c>
      <c r="J19">
        <v>2</v>
      </c>
      <c r="K19" t="s">
        <v>4276</v>
      </c>
      <c r="L19" t="s">
        <v>4274</v>
      </c>
      <c r="M19" t="s">
        <v>4144</v>
      </c>
      <c r="N19" t="s">
        <v>4274</v>
      </c>
      <c r="O19" t="s">
        <v>4274</v>
      </c>
      <c r="P19" t="s">
        <v>4274</v>
      </c>
      <c r="Q19" t="s">
        <v>2505</v>
      </c>
      <c r="R19" t="s">
        <v>4233</v>
      </c>
    </row>
    <row r="20" spans="1:1012" x14ac:dyDescent="0.15">
      <c r="A20" s="6" t="s">
        <v>4068</v>
      </c>
      <c r="B20" s="6"/>
      <c r="D20" s="5" t="s">
        <v>4050</v>
      </c>
      <c r="E20" s="5" t="s">
        <v>4051</v>
      </c>
      <c r="F20">
        <v>500</v>
      </c>
      <c r="G20" t="b">
        <v>1</v>
      </c>
      <c r="H20" s="1" t="s">
        <v>15</v>
      </c>
      <c r="I20" t="s">
        <v>3111</v>
      </c>
      <c r="J20">
        <v>2</v>
      </c>
      <c r="K20" t="s">
        <v>4276</v>
      </c>
      <c r="L20" t="s">
        <v>4274</v>
      </c>
      <c r="M20" t="s">
        <v>4144</v>
      </c>
      <c r="N20" t="s">
        <v>4274</v>
      </c>
      <c r="O20" t="s">
        <v>4274</v>
      </c>
      <c r="P20" t="s">
        <v>4274</v>
      </c>
      <c r="Q20" t="s">
        <v>2505</v>
      </c>
      <c r="R20" t="s">
        <v>4233</v>
      </c>
    </row>
    <row r="21" spans="1:1012" ht="49" customHeight="1" x14ac:dyDescent="0.15">
      <c r="A21" s="6" t="s">
        <v>4069</v>
      </c>
      <c r="B21" s="6"/>
      <c r="D21" s="5" t="s">
        <v>4053</v>
      </c>
      <c r="E21" s="5"/>
      <c r="F21">
        <v>500</v>
      </c>
      <c r="G21" t="b">
        <v>1</v>
      </c>
      <c r="H21" s="1" t="s">
        <v>15</v>
      </c>
      <c r="I21" t="s">
        <v>3111</v>
      </c>
      <c r="J21">
        <v>2</v>
      </c>
      <c r="K21" t="s">
        <v>4276</v>
      </c>
      <c r="L21" t="s">
        <v>4274</v>
      </c>
      <c r="M21" t="s">
        <v>4144</v>
      </c>
      <c r="N21" t="s">
        <v>4274</v>
      </c>
      <c r="O21" t="s">
        <v>4274</v>
      </c>
      <c r="P21" t="s">
        <v>4274</v>
      </c>
      <c r="Q21" t="s">
        <v>2505</v>
      </c>
      <c r="R21" t="s">
        <v>4233</v>
      </c>
    </row>
    <row r="22" spans="1:1012" x14ac:dyDescent="0.15">
      <c r="A22" s="6" t="s">
        <v>4070</v>
      </c>
      <c r="B22" s="6"/>
      <c r="D22" s="5" t="s">
        <v>4054</v>
      </c>
      <c r="E22" s="5"/>
      <c r="F22">
        <v>500</v>
      </c>
      <c r="G22" t="b">
        <v>1</v>
      </c>
      <c r="H22" s="1" t="s">
        <v>15</v>
      </c>
      <c r="I22" t="s">
        <v>3111</v>
      </c>
      <c r="J22">
        <v>2</v>
      </c>
      <c r="K22" t="s">
        <v>4276</v>
      </c>
      <c r="L22" t="s">
        <v>4274</v>
      </c>
      <c r="M22" t="s">
        <v>4144</v>
      </c>
      <c r="N22" t="s">
        <v>4274</v>
      </c>
      <c r="O22" t="s">
        <v>4274</v>
      </c>
      <c r="P22" t="s">
        <v>4274</v>
      </c>
      <c r="Q22" t="s">
        <v>2505</v>
      </c>
      <c r="R22" t="s">
        <v>4233</v>
      </c>
    </row>
    <row r="23" spans="1:1012" x14ac:dyDescent="0.15">
      <c r="A23" t="s">
        <v>4076</v>
      </c>
      <c r="D23" s="5" t="s">
        <v>4088</v>
      </c>
      <c r="E23" s="5" t="s">
        <v>4120</v>
      </c>
      <c r="F23">
        <v>500</v>
      </c>
      <c r="G23" t="b">
        <v>1</v>
      </c>
      <c r="H23" s="1" t="s">
        <v>15</v>
      </c>
      <c r="I23" t="s">
        <v>3111</v>
      </c>
      <c r="J23">
        <v>2</v>
      </c>
      <c r="K23" t="s">
        <v>4276</v>
      </c>
      <c r="L23" t="s">
        <v>4274</v>
      </c>
      <c r="M23" t="s">
        <v>4144</v>
      </c>
      <c r="N23" t="s">
        <v>4274</v>
      </c>
      <c r="O23" t="s">
        <v>4274</v>
      </c>
      <c r="P23" t="s">
        <v>4274</v>
      </c>
      <c r="Q23" t="s">
        <v>2505</v>
      </c>
      <c r="R23" t="s">
        <v>4233</v>
      </c>
    </row>
    <row r="24" spans="1:1012" x14ac:dyDescent="0.15">
      <c r="A24" s="6" t="s">
        <v>4140</v>
      </c>
      <c r="B24" s="6"/>
      <c r="D24" s="5" t="s">
        <v>4141</v>
      </c>
      <c r="E24" s="5" t="s">
        <v>3230</v>
      </c>
      <c r="F24">
        <v>500</v>
      </c>
      <c r="G24" t="b">
        <v>1</v>
      </c>
      <c r="H24" s="1" t="s">
        <v>15</v>
      </c>
      <c r="I24" t="s">
        <v>3111</v>
      </c>
      <c r="J24">
        <v>2</v>
      </c>
      <c r="K24" t="s">
        <v>4276</v>
      </c>
      <c r="L24" t="s">
        <v>4274</v>
      </c>
      <c r="M24" t="s">
        <v>4144</v>
      </c>
      <c r="N24" t="s">
        <v>4274</v>
      </c>
      <c r="O24" t="s">
        <v>4274</v>
      </c>
      <c r="P24" t="s">
        <v>4274</v>
      </c>
      <c r="Q24" t="s">
        <v>2505</v>
      </c>
      <c r="R24" t="s">
        <v>4233</v>
      </c>
    </row>
    <row r="25" spans="1:1012" x14ac:dyDescent="0.15">
      <c r="A25" s="6" t="s">
        <v>4142</v>
      </c>
      <c r="B25" s="6"/>
      <c r="D25" s="5" t="s">
        <v>4143</v>
      </c>
      <c r="E25" s="5" t="s">
        <v>3229</v>
      </c>
      <c r="F25">
        <v>500</v>
      </c>
      <c r="G25" t="b">
        <v>1</v>
      </c>
      <c r="H25" s="1" t="s">
        <v>15</v>
      </c>
      <c r="I25" t="s">
        <v>3111</v>
      </c>
      <c r="J25">
        <v>2</v>
      </c>
      <c r="K25" t="s">
        <v>4276</v>
      </c>
      <c r="L25" t="s">
        <v>4274</v>
      </c>
      <c r="M25" t="s">
        <v>4144</v>
      </c>
      <c r="N25" t="s">
        <v>4274</v>
      </c>
      <c r="O25" t="s">
        <v>4274</v>
      </c>
      <c r="P25" t="s">
        <v>4274</v>
      </c>
      <c r="Q25" t="s">
        <v>2505</v>
      </c>
      <c r="R25" t="s">
        <v>4233</v>
      </c>
    </row>
    <row r="26" spans="1:1012" x14ac:dyDescent="0.15">
      <c r="A26" s="6" t="s">
        <v>4147</v>
      </c>
      <c r="B26" s="6"/>
      <c r="D26" s="5" t="s">
        <v>4145</v>
      </c>
      <c r="E26" s="5" t="s">
        <v>4146</v>
      </c>
      <c r="F26">
        <v>500</v>
      </c>
      <c r="G26" t="b">
        <v>1</v>
      </c>
      <c r="H26" s="1" t="s">
        <v>15</v>
      </c>
      <c r="I26" t="s">
        <v>3111</v>
      </c>
      <c r="J26">
        <v>2</v>
      </c>
      <c r="K26" t="s">
        <v>4276</v>
      </c>
      <c r="L26" t="s">
        <v>4274</v>
      </c>
      <c r="M26" t="s">
        <v>4144</v>
      </c>
      <c r="N26" t="s">
        <v>4274</v>
      </c>
      <c r="O26" t="s">
        <v>4274</v>
      </c>
      <c r="P26" t="s">
        <v>4274</v>
      </c>
      <c r="Q26" t="s">
        <v>2505</v>
      </c>
      <c r="R26" t="s">
        <v>4233</v>
      </c>
    </row>
    <row r="27" spans="1:1012" s="23" customFormat="1" x14ac:dyDescent="0.15">
      <c r="A27" s="6" t="s">
        <v>4148</v>
      </c>
      <c r="B27" s="6"/>
      <c r="C27"/>
      <c r="D27" s="5" t="s">
        <v>4149</v>
      </c>
      <c r="E27" s="5" t="s">
        <v>4150</v>
      </c>
      <c r="F27">
        <v>500</v>
      </c>
      <c r="G27" t="b">
        <v>1</v>
      </c>
      <c r="H27" s="1" t="s">
        <v>15</v>
      </c>
      <c r="I27" t="s">
        <v>3111</v>
      </c>
      <c r="J27">
        <v>2</v>
      </c>
      <c r="K27" t="s">
        <v>4276</v>
      </c>
      <c r="L27" t="s">
        <v>4274</v>
      </c>
      <c r="M27" t="s">
        <v>4144</v>
      </c>
      <c r="N27" t="s">
        <v>4274</v>
      </c>
      <c r="O27" t="s">
        <v>4274</v>
      </c>
      <c r="P27" t="s">
        <v>4274</v>
      </c>
      <c r="Q27" t="s">
        <v>2505</v>
      </c>
      <c r="R27" t="s">
        <v>4233</v>
      </c>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row>
    <row r="28" spans="1:1012" x14ac:dyDescent="0.15">
      <c r="A28" s="6" t="s">
        <v>4155</v>
      </c>
      <c r="D28" s="5" t="s">
        <v>4156</v>
      </c>
      <c r="E28" s="5" t="s">
        <v>4157</v>
      </c>
      <c r="F28">
        <v>500</v>
      </c>
      <c r="G28" t="b">
        <v>1</v>
      </c>
      <c r="H28" s="1" t="s">
        <v>15</v>
      </c>
      <c r="I28" t="s">
        <v>3111</v>
      </c>
      <c r="J28">
        <v>2</v>
      </c>
      <c r="K28" t="s">
        <v>4276</v>
      </c>
      <c r="L28" t="s">
        <v>4274</v>
      </c>
      <c r="M28" t="s">
        <v>4144</v>
      </c>
      <c r="N28" t="s">
        <v>4274</v>
      </c>
      <c r="O28" t="s">
        <v>4274</v>
      </c>
      <c r="P28" t="s">
        <v>4274</v>
      </c>
      <c r="Q28" t="s">
        <v>2505</v>
      </c>
      <c r="R28" t="s">
        <v>4233</v>
      </c>
    </row>
    <row r="29" spans="1:1012" x14ac:dyDescent="0.15">
      <c r="A29" s="5" t="s">
        <v>12</v>
      </c>
      <c r="B29" s="5"/>
      <c r="C29" s="5"/>
      <c r="D29" t="s">
        <v>14</v>
      </c>
      <c r="F29">
        <v>500</v>
      </c>
      <c r="G29" t="b">
        <v>0</v>
      </c>
      <c r="H29" s="1" t="s">
        <v>15</v>
      </c>
      <c r="I29" t="s">
        <v>16</v>
      </c>
      <c r="J29">
        <v>0</v>
      </c>
      <c r="K29" t="s">
        <v>4277</v>
      </c>
      <c r="L29" t="s">
        <v>4274</v>
      </c>
      <c r="M29" t="s">
        <v>4144</v>
      </c>
      <c r="N29" t="s">
        <v>4274</v>
      </c>
      <c r="O29" t="s">
        <v>4274</v>
      </c>
      <c r="P29" t="s">
        <v>4274</v>
      </c>
      <c r="Q29" t="s">
        <v>2505</v>
      </c>
      <c r="R29" t="s">
        <v>4274</v>
      </c>
    </row>
    <row r="30" spans="1:1012" x14ac:dyDescent="0.15">
      <c r="A30" s="5" t="s">
        <v>83</v>
      </c>
      <c r="B30" s="5"/>
      <c r="C30" s="5" t="s">
        <v>4062</v>
      </c>
      <c r="D30" t="s">
        <v>84</v>
      </c>
      <c r="F30">
        <v>500</v>
      </c>
      <c r="G30" t="b">
        <v>0</v>
      </c>
      <c r="H30" s="1" t="s">
        <v>15</v>
      </c>
      <c r="I30" t="s">
        <v>16</v>
      </c>
      <c r="J30">
        <v>0</v>
      </c>
      <c r="K30" t="s">
        <v>4277</v>
      </c>
      <c r="L30" t="s">
        <v>4274</v>
      </c>
      <c r="M30" t="s">
        <v>4144</v>
      </c>
      <c r="N30" t="s">
        <v>4274</v>
      </c>
      <c r="O30" t="s">
        <v>4274</v>
      </c>
      <c r="P30" t="s">
        <v>4274</v>
      </c>
      <c r="Q30" t="s">
        <v>2505</v>
      </c>
      <c r="R30" t="s">
        <v>4274</v>
      </c>
    </row>
    <row r="31" spans="1:1012" x14ac:dyDescent="0.15">
      <c r="A31" s="5" t="s">
        <v>201</v>
      </c>
      <c r="B31" s="5"/>
      <c r="C31" s="5"/>
      <c r="D31" t="s">
        <v>3135</v>
      </c>
      <c r="F31">
        <v>500</v>
      </c>
      <c r="G31" t="b">
        <v>0</v>
      </c>
      <c r="H31" s="1" t="s">
        <v>15</v>
      </c>
      <c r="I31" t="s">
        <v>16</v>
      </c>
      <c r="J31">
        <v>0</v>
      </c>
      <c r="K31" t="s">
        <v>4277</v>
      </c>
      <c r="L31" t="s">
        <v>4274</v>
      </c>
      <c r="M31" t="s">
        <v>4144</v>
      </c>
      <c r="N31" t="s">
        <v>4274</v>
      </c>
      <c r="O31" t="s">
        <v>4274</v>
      </c>
      <c r="P31" t="s">
        <v>4274</v>
      </c>
      <c r="Q31" t="s">
        <v>2505</v>
      </c>
      <c r="R31" t="s">
        <v>4274</v>
      </c>
    </row>
    <row r="32" spans="1:1012" x14ac:dyDescent="0.15">
      <c r="A32" t="s">
        <v>2738</v>
      </c>
      <c r="D32" t="s">
        <v>2739</v>
      </c>
      <c r="F32">
        <v>500</v>
      </c>
      <c r="G32" t="b">
        <v>0</v>
      </c>
      <c r="H32" s="1" t="s">
        <v>15</v>
      </c>
      <c r="I32" t="s">
        <v>16</v>
      </c>
      <c r="J32">
        <v>0</v>
      </c>
      <c r="K32" t="s">
        <v>4277</v>
      </c>
      <c r="L32" t="s">
        <v>4274</v>
      </c>
      <c r="M32" t="s">
        <v>4144</v>
      </c>
      <c r="N32" t="s">
        <v>4274</v>
      </c>
      <c r="O32" t="s">
        <v>4274</v>
      </c>
      <c r="P32" t="s">
        <v>4274</v>
      </c>
      <c r="Q32" t="s">
        <v>2505</v>
      </c>
      <c r="R32" t="s">
        <v>4274</v>
      </c>
    </row>
    <row r="33" spans="1:1012" x14ac:dyDescent="0.15">
      <c r="A33" s="5" t="s">
        <v>57</v>
      </c>
      <c r="B33" s="5"/>
      <c r="C33" s="5" t="s">
        <v>3963</v>
      </c>
      <c r="D33" t="s">
        <v>58</v>
      </c>
      <c r="F33">
        <v>600</v>
      </c>
      <c r="G33" t="b">
        <v>0</v>
      </c>
      <c r="H33" s="1" t="s">
        <v>15</v>
      </c>
      <c r="I33" t="s">
        <v>16</v>
      </c>
      <c r="J33">
        <v>0</v>
      </c>
      <c r="K33" t="s">
        <v>4276</v>
      </c>
      <c r="L33" t="s">
        <v>4274</v>
      </c>
      <c r="M33" t="s">
        <v>4144</v>
      </c>
      <c r="N33" t="s">
        <v>4274</v>
      </c>
      <c r="O33" t="s">
        <v>4274</v>
      </c>
      <c r="P33" t="s">
        <v>4274</v>
      </c>
      <c r="Q33" t="s">
        <v>2505</v>
      </c>
      <c r="R33" t="s">
        <v>4233</v>
      </c>
    </row>
    <row r="34" spans="1:1012" x14ac:dyDescent="0.15">
      <c r="A34" t="s">
        <v>2836</v>
      </c>
      <c r="D34" t="s">
        <v>3085</v>
      </c>
      <c r="F34">
        <v>650</v>
      </c>
      <c r="G34" t="b">
        <v>0</v>
      </c>
      <c r="H34" s="1" t="s">
        <v>15</v>
      </c>
      <c r="I34" t="s">
        <v>42</v>
      </c>
      <c r="J34">
        <v>0</v>
      </c>
      <c r="K34" t="s">
        <v>4276</v>
      </c>
      <c r="L34" t="s">
        <v>4274</v>
      </c>
      <c r="M34" t="s">
        <v>4144</v>
      </c>
      <c r="N34" t="s">
        <v>4274</v>
      </c>
      <c r="O34" t="s">
        <v>4274</v>
      </c>
      <c r="P34" t="s">
        <v>4274</v>
      </c>
      <c r="Q34" t="s">
        <v>2505</v>
      </c>
      <c r="R34" t="s">
        <v>4233</v>
      </c>
    </row>
    <row r="35" spans="1:1012" x14ac:dyDescent="0.15">
      <c r="A35" t="s">
        <v>1162</v>
      </c>
      <c r="D35" s="5" t="s">
        <v>3097</v>
      </c>
      <c r="E35" s="5"/>
      <c r="F35">
        <v>500</v>
      </c>
      <c r="G35" t="b">
        <v>0</v>
      </c>
      <c r="H35" s="1" t="s">
        <v>15</v>
      </c>
      <c r="I35" t="s">
        <v>42</v>
      </c>
      <c r="J35">
        <v>0</v>
      </c>
      <c r="K35" t="s">
        <v>4276</v>
      </c>
      <c r="L35" t="s">
        <v>4274</v>
      </c>
      <c r="M35" t="s">
        <v>4144</v>
      </c>
      <c r="N35" t="s">
        <v>4274</v>
      </c>
      <c r="O35" t="s">
        <v>4274</v>
      </c>
      <c r="P35" t="s">
        <v>4274</v>
      </c>
      <c r="Q35" t="s">
        <v>2505</v>
      </c>
      <c r="R35" t="s">
        <v>4233</v>
      </c>
    </row>
    <row r="36" spans="1:1012" x14ac:dyDescent="0.15">
      <c r="A36" t="s">
        <v>2881</v>
      </c>
      <c r="D36" t="s">
        <v>2882</v>
      </c>
      <c r="F36">
        <v>500</v>
      </c>
      <c r="G36" t="b">
        <v>0</v>
      </c>
      <c r="H36" s="1" t="s">
        <v>15</v>
      </c>
      <c r="I36" t="s">
        <v>42</v>
      </c>
      <c r="J36">
        <v>1</v>
      </c>
      <c r="K36" t="s">
        <v>4276</v>
      </c>
      <c r="L36" t="s">
        <v>4274</v>
      </c>
      <c r="M36" t="s">
        <v>4144</v>
      </c>
      <c r="N36" t="s">
        <v>4274</v>
      </c>
      <c r="O36" t="s">
        <v>4274</v>
      </c>
      <c r="P36" t="s">
        <v>4274</v>
      </c>
      <c r="Q36" t="s">
        <v>2505</v>
      </c>
      <c r="R36" t="s">
        <v>4233</v>
      </c>
    </row>
    <row r="37" spans="1:1012" x14ac:dyDescent="0.15">
      <c r="A37" s="5" t="s">
        <v>40</v>
      </c>
      <c r="B37" s="5"/>
      <c r="C37" s="5"/>
      <c r="D37" t="s">
        <v>41</v>
      </c>
      <c r="F37">
        <v>200</v>
      </c>
      <c r="G37" t="b">
        <v>0</v>
      </c>
      <c r="H37" s="1" t="s">
        <v>15</v>
      </c>
      <c r="I37" t="s">
        <v>42</v>
      </c>
      <c r="J37">
        <v>1</v>
      </c>
      <c r="K37" t="s">
        <v>4277</v>
      </c>
      <c r="L37" t="s">
        <v>4274</v>
      </c>
      <c r="M37" t="s">
        <v>4144</v>
      </c>
      <c r="N37" t="s">
        <v>4274</v>
      </c>
      <c r="O37" t="s">
        <v>4274</v>
      </c>
      <c r="P37" t="s">
        <v>4274</v>
      </c>
      <c r="Q37" t="s">
        <v>2505</v>
      </c>
      <c r="R37" t="s">
        <v>4274</v>
      </c>
    </row>
    <row r="38" spans="1:1012" x14ac:dyDescent="0.15">
      <c r="A38" s="5" t="s">
        <v>43</v>
      </c>
      <c r="B38" s="5"/>
      <c r="C38" s="5"/>
      <c r="D38" t="s">
        <v>44</v>
      </c>
      <c r="F38">
        <v>200</v>
      </c>
      <c r="G38" t="b">
        <v>0</v>
      </c>
      <c r="H38" s="1" t="s">
        <v>15</v>
      </c>
      <c r="I38" t="s">
        <v>42</v>
      </c>
      <c r="J38">
        <v>1</v>
      </c>
      <c r="K38" t="s">
        <v>4277</v>
      </c>
      <c r="L38" t="s">
        <v>4274</v>
      </c>
      <c r="M38" t="s">
        <v>4144</v>
      </c>
      <c r="N38" t="s">
        <v>4274</v>
      </c>
      <c r="O38" t="s">
        <v>4274</v>
      </c>
      <c r="P38" t="s">
        <v>4274</v>
      </c>
      <c r="Q38" t="s">
        <v>2505</v>
      </c>
      <c r="R38" t="s">
        <v>4274</v>
      </c>
    </row>
    <row r="39" spans="1:1012" x14ac:dyDescent="0.15">
      <c r="A39" s="5" t="s">
        <v>2880</v>
      </c>
      <c r="B39" s="5"/>
      <c r="C39" s="5"/>
      <c r="D39" t="s">
        <v>2892</v>
      </c>
      <c r="F39">
        <v>500</v>
      </c>
      <c r="G39" t="b">
        <v>0</v>
      </c>
      <c r="H39" s="1" t="s">
        <v>15</v>
      </c>
      <c r="I39" t="s">
        <v>37</v>
      </c>
      <c r="J39">
        <v>0</v>
      </c>
      <c r="K39" t="s">
        <v>4278</v>
      </c>
      <c r="L39" t="s">
        <v>4274</v>
      </c>
      <c r="M39" t="s">
        <v>4274</v>
      </c>
      <c r="N39" t="s">
        <v>4274</v>
      </c>
      <c r="O39" t="s">
        <v>4274</v>
      </c>
      <c r="P39" t="s">
        <v>4274</v>
      </c>
      <c r="Q39" t="s">
        <v>2505</v>
      </c>
      <c r="R39" t="s">
        <v>4233</v>
      </c>
    </row>
    <row r="40" spans="1:1012" x14ac:dyDescent="0.15">
      <c r="A40" t="s">
        <v>38</v>
      </c>
      <c r="C40" t="s">
        <v>4155</v>
      </c>
      <c r="D40" t="s">
        <v>39</v>
      </c>
      <c r="F40">
        <v>600</v>
      </c>
      <c r="G40" t="b">
        <v>0</v>
      </c>
      <c r="H40" s="1" t="s">
        <v>15</v>
      </c>
      <c r="I40" t="s">
        <v>37</v>
      </c>
      <c r="J40">
        <v>0</v>
      </c>
      <c r="K40" t="s">
        <v>4277</v>
      </c>
      <c r="L40" t="s">
        <v>4274</v>
      </c>
      <c r="M40" t="s">
        <v>4144</v>
      </c>
      <c r="N40" t="s">
        <v>4274</v>
      </c>
      <c r="O40" t="s">
        <v>4274</v>
      </c>
      <c r="P40" t="s">
        <v>4274</v>
      </c>
      <c r="Q40" t="s">
        <v>2505</v>
      </c>
      <c r="R40" t="s">
        <v>4274</v>
      </c>
    </row>
    <row r="41" spans="1:1012" x14ac:dyDescent="0.15">
      <c r="A41" t="s">
        <v>2937</v>
      </c>
      <c r="D41" t="s">
        <v>2938</v>
      </c>
      <c r="F41">
        <v>600</v>
      </c>
      <c r="G41" t="b">
        <v>0</v>
      </c>
      <c r="H41" s="1" t="s">
        <v>15</v>
      </c>
      <c r="I41" t="s">
        <v>37</v>
      </c>
      <c r="J41">
        <v>0</v>
      </c>
      <c r="K41" t="s">
        <v>4274</v>
      </c>
      <c r="L41" t="s">
        <v>4274</v>
      </c>
      <c r="M41" t="s">
        <v>4274</v>
      </c>
      <c r="N41" t="s">
        <v>4274</v>
      </c>
      <c r="O41" t="s">
        <v>4274</v>
      </c>
      <c r="P41" t="s">
        <v>4274</v>
      </c>
      <c r="Q41" t="s">
        <v>4274</v>
      </c>
      <c r="R41" t="s">
        <v>4274</v>
      </c>
    </row>
    <row r="42" spans="1:1012" x14ac:dyDescent="0.15">
      <c r="A42" s="5" t="s">
        <v>2980</v>
      </c>
      <c r="B42" s="5"/>
      <c r="C42" s="5"/>
      <c r="D42" t="s">
        <v>3203</v>
      </c>
      <c r="F42">
        <v>600</v>
      </c>
      <c r="G42" t="b">
        <v>0</v>
      </c>
      <c r="H42" s="1" t="s">
        <v>15</v>
      </c>
      <c r="I42" t="s">
        <v>37</v>
      </c>
      <c r="J42">
        <v>0</v>
      </c>
      <c r="K42" t="s">
        <v>4276</v>
      </c>
      <c r="L42" t="s">
        <v>4274</v>
      </c>
      <c r="M42" t="s">
        <v>4144</v>
      </c>
      <c r="N42" t="s">
        <v>4274</v>
      </c>
      <c r="O42" t="s">
        <v>4274</v>
      </c>
      <c r="P42" t="s">
        <v>4274</v>
      </c>
      <c r="Q42" t="s">
        <v>2505</v>
      </c>
      <c r="R42" t="s">
        <v>4233</v>
      </c>
    </row>
    <row r="43" spans="1:1012" s="24" customFormat="1" x14ac:dyDescent="0.15">
      <c r="A43" s="5" t="s">
        <v>3112</v>
      </c>
      <c r="B43" s="5"/>
      <c r="C43" s="5"/>
      <c r="D43" t="s">
        <v>3235</v>
      </c>
      <c r="E43"/>
      <c r="F43">
        <v>600</v>
      </c>
      <c r="G43" t="b">
        <v>0</v>
      </c>
      <c r="H43" s="1" t="s">
        <v>15</v>
      </c>
      <c r="I43" t="s">
        <v>37</v>
      </c>
      <c r="J43">
        <v>0</v>
      </c>
      <c r="K43" t="s">
        <v>4276</v>
      </c>
      <c r="L43" t="s">
        <v>4274</v>
      </c>
      <c r="M43" t="s">
        <v>4144</v>
      </c>
      <c r="N43" t="s">
        <v>4274</v>
      </c>
      <c r="O43" t="s">
        <v>4274</v>
      </c>
      <c r="P43" t="s">
        <v>4274</v>
      </c>
      <c r="Q43" t="s">
        <v>2505</v>
      </c>
      <c r="R43" t="s">
        <v>4233</v>
      </c>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row>
    <row r="44" spans="1:1012" x14ac:dyDescent="0.15">
      <c r="A44" t="s">
        <v>2871</v>
      </c>
      <c r="D44" t="s">
        <v>2872</v>
      </c>
      <c r="F44">
        <v>550</v>
      </c>
      <c r="G44" t="b">
        <v>0</v>
      </c>
      <c r="H44" s="1" t="s">
        <v>15</v>
      </c>
      <c r="I44" t="s">
        <v>37</v>
      </c>
      <c r="J44">
        <v>0</v>
      </c>
      <c r="K44" t="s">
        <v>4276</v>
      </c>
      <c r="L44" t="s">
        <v>4274</v>
      </c>
      <c r="M44" t="s">
        <v>4144</v>
      </c>
      <c r="N44" t="s">
        <v>4274</v>
      </c>
      <c r="O44" t="s">
        <v>4274</v>
      </c>
      <c r="P44" t="s">
        <v>4274</v>
      </c>
      <c r="Q44" t="s">
        <v>2505</v>
      </c>
      <c r="R44" t="s">
        <v>4233</v>
      </c>
    </row>
    <row r="45" spans="1:1012" x14ac:dyDescent="0.15">
      <c r="A45" t="s">
        <v>35</v>
      </c>
      <c r="D45" t="s">
        <v>36</v>
      </c>
      <c r="F45">
        <v>500</v>
      </c>
      <c r="G45" t="b">
        <v>0</v>
      </c>
      <c r="H45" s="1" t="s">
        <v>15</v>
      </c>
      <c r="I45" t="s">
        <v>37</v>
      </c>
      <c r="J45">
        <v>0</v>
      </c>
      <c r="K45" t="s">
        <v>4277</v>
      </c>
      <c r="L45" t="s">
        <v>4274</v>
      </c>
      <c r="M45" t="s">
        <v>4144</v>
      </c>
      <c r="N45" t="s">
        <v>4274</v>
      </c>
      <c r="O45" t="s">
        <v>4274</v>
      </c>
      <c r="P45" t="s">
        <v>4274</v>
      </c>
      <c r="Q45" t="s">
        <v>2505</v>
      </c>
      <c r="R45" t="s">
        <v>4274</v>
      </c>
    </row>
    <row r="46" spans="1:1012" x14ac:dyDescent="0.15">
      <c r="A46" t="s">
        <v>81</v>
      </c>
      <c r="D46" t="s">
        <v>82</v>
      </c>
      <c r="F46">
        <v>500</v>
      </c>
      <c r="G46" t="b">
        <v>0</v>
      </c>
      <c r="H46" s="1" t="s">
        <v>15</v>
      </c>
      <c r="I46" t="s">
        <v>37</v>
      </c>
      <c r="J46">
        <v>0</v>
      </c>
      <c r="K46" t="s">
        <v>4277</v>
      </c>
      <c r="L46" t="s">
        <v>4274</v>
      </c>
      <c r="M46" t="s">
        <v>4144</v>
      </c>
      <c r="N46" t="s">
        <v>4274</v>
      </c>
      <c r="O46" t="s">
        <v>4274</v>
      </c>
      <c r="P46" t="s">
        <v>4274</v>
      </c>
      <c r="Q46" t="s">
        <v>2505</v>
      </c>
      <c r="R46" t="s">
        <v>4274</v>
      </c>
    </row>
    <row r="47" spans="1:1012" x14ac:dyDescent="0.15">
      <c r="A47" s="5" t="s">
        <v>118</v>
      </c>
      <c r="B47" s="5"/>
      <c r="C47" s="5"/>
      <c r="D47" t="s">
        <v>119</v>
      </c>
      <c r="F47">
        <v>500</v>
      </c>
      <c r="G47" t="b">
        <v>0</v>
      </c>
      <c r="H47" s="1" t="s">
        <v>15</v>
      </c>
      <c r="I47" t="s">
        <v>37</v>
      </c>
      <c r="J47">
        <v>0</v>
      </c>
      <c r="K47" t="s">
        <v>4277</v>
      </c>
      <c r="L47" t="s">
        <v>4274</v>
      </c>
      <c r="M47" t="s">
        <v>4144</v>
      </c>
      <c r="N47" t="s">
        <v>4274</v>
      </c>
      <c r="O47" t="s">
        <v>4274</v>
      </c>
      <c r="P47" t="s">
        <v>4274</v>
      </c>
      <c r="Q47" t="s">
        <v>2505</v>
      </c>
      <c r="R47" t="s">
        <v>4274</v>
      </c>
    </row>
    <row r="48" spans="1:1012" x14ac:dyDescent="0.15">
      <c r="A48" t="s">
        <v>123</v>
      </c>
      <c r="D48" t="s">
        <v>124</v>
      </c>
      <c r="F48">
        <v>500</v>
      </c>
      <c r="G48" t="b">
        <v>0</v>
      </c>
      <c r="H48" s="1" t="s">
        <v>15</v>
      </c>
      <c r="I48" t="s">
        <v>37</v>
      </c>
      <c r="J48">
        <v>0</v>
      </c>
      <c r="K48" t="s">
        <v>4277</v>
      </c>
      <c r="L48" t="s">
        <v>4274</v>
      </c>
      <c r="M48" t="s">
        <v>4144</v>
      </c>
      <c r="N48" t="s">
        <v>4274</v>
      </c>
      <c r="O48" t="s">
        <v>4274</v>
      </c>
      <c r="P48" t="s">
        <v>4274</v>
      </c>
      <c r="Q48" t="s">
        <v>2505</v>
      </c>
      <c r="R48" t="s">
        <v>4274</v>
      </c>
    </row>
    <row r="49" spans="1:18" x14ac:dyDescent="0.15">
      <c r="A49" t="s">
        <v>137</v>
      </c>
      <c r="D49" t="s">
        <v>2726</v>
      </c>
      <c r="F49">
        <v>500</v>
      </c>
      <c r="G49" t="b">
        <v>0</v>
      </c>
      <c r="H49" s="1" t="s">
        <v>15</v>
      </c>
      <c r="I49" t="s">
        <v>37</v>
      </c>
      <c r="J49">
        <v>0</v>
      </c>
      <c r="K49" t="s">
        <v>4277</v>
      </c>
      <c r="L49" t="s">
        <v>4274</v>
      </c>
      <c r="M49" t="s">
        <v>4144</v>
      </c>
      <c r="N49" t="s">
        <v>4274</v>
      </c>
      <c r="O49" t="s">
        <v>4274</v>
      </c>
      <c r="P49" t="s">
        <v>4274</v>
      </c>
      <c r="Q49" t="s">
        <v>2505</v>
      </c>
      <c r="R49" t="s">
        <v>4274</v>
      </c>
    </row>
    <row r="50" spans="1:18" x14ac:dyDescent="0.15">
      <c r="A50" t="s">
        <v>3009</v>
      </c>
      <c r="D50" t="s">
        <v>3010</v>
      </c>
      <c r="F50">
        <v>500</v>
      </c>
      <c r="G50" t="b">
        <v>0</v>
      </c>
      <c r="H50" s="1" t="s">
        <v>15</v>
      </c>
      <c r="I50" t="s">
        <v>37</v>
      </c>
      <c r="J50">
        <v>0</v>
      </c>
      <c r="K50" t="s">
        <v>4277</v>
      </c>
      <c r="L50" t="s">
        <v>4274</v>
      </c>
      <c r="M50" t="s">
        <v>4144</v>
      </c>
      <c r="N50" t="s">
        <v>4274</v>
      </c>
      <c r="O50" t="s">
        <v>4274</v>
      </c>
      <c r="P50" t="s">
        <v>4274</v>
      </c>
      <c r="Q50" t="s">
        <v>2505</v>
      </c>
      <c r="R50" t="s">
        <v>4274</v>
      </c>
    </row>
    <row r="51" spans="1:18" x14ac:dyDescent="0.15">
      <c r="A51" t="s">
        <v>138</v>
      </c>
      <c r="D51" t="s">
        <v>149</v>
      </c>
      <c r="F51">
        <v>500</v>
      </c>
      <c r="G51" t="b">
        <v>0</v>
      </c>
      <c r="H51" s="1" t="s">
        <v>15</v>
      </c>
      <c r="I51" t="s">
        <v>37</v>
      </c>
      <c r="J51">
        <v>0</v>
      </c>
      <c r="K51" t="s">
        <v>4277</v>
      </c>
      <c r="L51" t="s">
        <v>4274</v>
      </c>
      <c r="M51" t="s">
        <v>4144</v>
      </c>
      <c r="N51" t="s">
        <v>4274</v>
      </c>
      <c r="O51" t="s">
        <v>4274</v>
      </c>
      <c r="P51" t="s">
        <v>4274</v>
      </c>
      <c r="Q51" t="s">
        <v>2505</v>
      </c>
      <c r="R51" t="s">
        <v>4274</v>
      </c>
    </row>
    <row r="52" spans="1:18" x14ac:dyDescent="0.15">
      <c r="A52" s="5" t="s">
        <v>3105</v>
      </c>
      <c r="B52" s="5"/>
      <c r="C52" s="5"/>
      <c r="D52" t="s">
        <v>3104</v>
      </c>
      <c r="F52">
        <v>500</v>
      </c>
      <c r="G52" t="b">
        <v>0</v>
      </c>
      <c r="H52" s="1" t="s">
        <v>15</v>
      </c>
      <c r="I52" t="s">
        <v>37</v>
      </c>
      <c r="J52">
        <v>0</v>
      </c>
      <c r="K52" t="s">
        <v>4279</v>
      </c>
      <c r="L52" t="s">
        <v>2434</v>
      </c>
      <c r="M52" t="s">
        <v>4144</v>
      </c>
      <c r="N52" t="s">
        <v>4274</v>
      </c>
      <c r="O52" t="s">
        <v>4274</v>
      </c>
      <c r="P52" t="s">
        <v>4274</v>
      </c>
      <c r="Q52" t="s">
        <v>2505</v>
      </c>
      <c r="R52" t="s">
        <v>4274</v>
      </c>
    </row>
    <row r="53" spans="1:18" x14ac:dyDescent="0.15">
      <c r="A53" t="s">
        <v>152</v>
      </c>
      <c r="D53" t="s">
        <v>153</v>
      </c>
      <c r="F53">
        <v>500</v>
      </c>
      <c r="G53" t="b">
        <v>0</v>
      </c>
      <c r="H53" s="1" t="s">
        <v>15</v>
      </c>
      <c r="I53" t="s">
        <v>37</v>
      </c>
      <c r="J53">
        <v>0</v>
      </c>
      <c r="K53" t="s">
        <v>4277</v>
      </c>
      <c r="L53" t="s">
        <v>4274</v>
      </c>
      <c r="M53" t="s">
        <v>4144</v>
      </c>
      <c r="N53" t="s">
        <v>4274</v>
      </c>
      <c r="O53" t="s">
        <v>4274</v>
      </c>
      <c r="P53" t="s">
        <v>4274</v>
      </c>
      <c r="Q53" t="s">
        <v>2505</v>
      </c>
      <c r="R53" t="s">
        <v>4274</v>
      </c>
    </row>
    <row r="54" spans="1:18" x14ac:dyDescent="0.15">
      <c r="A54" s="5" t="s">
        <v>170</v>
      </c>
      <c r="B54" s="5"/>
      <c r="C54" s="5"/>
      <c r="D54" t="s">
        <v>171</v>
      </c>
      <c r="F54">
        <v>500</v>
      </c>
      <c r="G54" t="b">
        <v>0</v>
      </c>
      <c r="H54" s="1" t="s">
        <v>15</v>
      </c>
      <c r="I54" t="s">
        <v>37</v>
      </c>
      <c r="J54">
        <v>0</v>
      </c>
      <c r="K54" t="s">
        <v>4277</v>
      </c>
      <c r="L54" t="s">
        <v>4274</v>
      </c>
      <c r="M54" t="s">
        <v>4144</v>
      </c>
      <c r="N54" t="s">
        <v>4274</v>
      </c>
      <c r="O54" t="s">
        <v>4274</v>
      </c>
      <c r="P54" t="s">
        <v>4274</v>
      </c>
      <c r="Q54" t="s">
        <v>2505</v>
      </c>
      <c r="R54" t="s">
        <v>4274</v>
      </c>
    </row>
    <row r="55" spans="1:18" x14ac:dyDescent="0.15">
      <c r="A55" s="5" t="s">
        <v>172</v>
      </c>
      <c r="B55" s="5"/>
      <c r="C55" s="5"/>
      <c r="D55" t="s">
        <v>2729</v>
      </c>
      <c r="F55">
        <v>500</v>
      </c>
      <c r="G55" t="b">
        <v>0</v>
      </c>
      <c r="H55" s="1" t="s">
        <v>15</v>
      </c>
      <c r="I55" t="s">
        <v>37</v>
      </c>
      <c r="J55">
        <v>0</v>
      </c>
      <c r="K55" t="s">
        <v>4277</v>
      </c>
      <c r="L55" t="s">
        <v>4274</v>
      </c>
      <c r="M55" t="s">
        <v>4144</v>
      </c>
      <c r="N55" t="s">
        <v>4274</v>
      </c>
      <c r="O55" t="s">
        <v>4274</v>
      </c>
      <c r="P55" t="s">
        <v>4274</v>
      </c>
      <c r="Q55" t="s">
        <v>2505</v>
      </c>
      <c r="R55" t="s">
        <v>4274</v>
      </c>
    </row>
    <row r="56" spans="1:18" x14ac:dyDescent="0.15">
      <c r="A56" t="s">
        <v>2830</v>
      </c>
      <c r="C56" t="s">
        <v>4227</v>
      </c>
      <c r="D56" t="s">
        <v>2831</v>
      </c>
      <c r="F56">
        <v>500</v>
      </c>
      <c r="G56" t="b">
        <v>0</v>
      </c>
      <c r="H56" s="1" t="s">
        <v>17</v>
      </c>
      <c r="I56" t="s">
        <v>37</v>
      </c>
      <c r="J56">
        <v>0</v>
      </c>
      <c r="K56" t="s">
        <v>2505</v>
      </c>
      <c r="L56" t="s">
        <v>4274</v>
      </c>
      <c r="M56" t="s">
        <v>4274</v>
      </c>
      <c r="N56" t="s">
        <v>4274</v>
      </c>
      <c r="O56" t="s">
        <v>4274</v>
      </c>
      <c r="P56" t="s">
        <v>4274</v>
      </c>
      <c r="Q56" t="s">
        <v>2505</v>
      </c>
      <c r="R56" t="s">
        <v>4274</v>
      </c>
    </row>
    <row r="57" spans="1:18" x14ac:dyDescent="0.15">
      <c r="A57" t="s">
        <v>4096</v>
      </c>
      <c r="D57" t="s">
        <v>2949</v>
      </c>
      <c r="F57">
        <v>500</v>
      </c>
      <c r="G57" t="b">
        <v>0</v>
      </c>
      <c r="H57" s="1" t="s">
        <v>15</v>
      </c>
      <c r="I57" t="s">
        <v>37</v>
      </c>
      <c r="J57">
        <v>0</v>
      </c>
      <c r="K57" t="s">
        <v>4276</v>
      </c>
      <c r="L57" t="s">
        <v>4274</v>
      </c>
      <c r="M57" t="s">
        <v>4144</v>
      </c>
      <c r="N57" t="s">
        <v>4274</v>
      </c>
      <c r="O57" t="s">
        <v>4274</v>
      </c>
      <c r="P57" t="s">
        <v>4274</v>
      </c>
      <c r="Q57" t="s">
        <v>2505</v>
      </c>
      <c r="R57" t="s">
        <v>4233</v>
      </c>
    </row>
    <row r="58" spans="1:18" x14ac:dyDescent="0.15">
      <c r="A58" t="s">
        <v>3087</v>
      </c>
      <c r="D58" t="s">
        <v>3086</v>
      </c>
      <c r="F58">
        <v>500</v>
      </c>
      <c r="G58" t="b">
        <v>0</v>
      </c>
      <c r="H58" s="1" t="s">
        <v>15</v>
      </c>
      <c r="I58" t="s">
        <v>37</v>
      </c>
      <c r="J58">
        <v>0</v>
      </c>
      <c r="K58" t="s">
        <v>4276</v>
      </c>
      <c r="L58" t="s">
        <v>4274</v>
      </c>
      <c r="M58" t="s">
        <v>4144</v>
      </c>
      <c r="N58" t="s">
        <v>4274</v>
      </c>
      <c r="O58" t="s">
        <v>4274</v>
      </c>
      <c r="P58" t="s">
        <v>4274</v>
      </c>
      <c r="Q58" t="s">
        <v>2505</v>
      </c>
      <c r="R58" t="s">
        <v>4233</v>
      </c>
    </row>
    <row r="59" spans="1:18" x14ac:dyDescent="0.15">
      <c r="A59" t="s">
        <v>3122</v>
      </c>
      <c r="D59" t="s">
        <v>3121</v>
      </c>
      <c r="F59">
        <v>500</v>
      </c>
      <c r="G59" t="b">
        <v>0</v>
      </c>
      <c r="H59" s="1" t="s">
        <v>15</v>
      </c>
      <c r="I59" t="s">
        <v>37</v>
      </c>
      <c r="J59">
        <v>0</v>
      </c>
      <c r="K59" t="s">
        <v>4276</v>
      </c>
      <c r="L59" t="s">
        <v>4274</v>
      </c>
      <c r="M59" t="s">
        <v>4144</v>
      </c>
      <c r="N59" t="s">
        <v>4274</v>
      </c>
      <c r="O59" t="s">
        <v>4274</v>
      </c>
      <c r="P59" t="s">
        <v>4274</v>
      </c>
      <c r="Q59" t="s">
        <v>2505</v>
      </c>
      <c r="R59" t="s">
        <v>4233</v>
      </c>
    </row>
    <row r="60" spans="1:18" ht="16" x14ac:dyDescent="0.2">
      <c r="A60" s="19" t="s">
        <v>3138</v>
      </c>
      <c r="B60" s="19"/>
      <c r="C60" s="19"/>
      <c r="D60" t="s">
        <v>3143</v>
      </c>
      <c r="F60">
        <v>500</v>
      </c>
      <c r="G60" t="b">
        <v>0</v>
      </c>
      <c r="H60" s="1" t="s">
        <v>15</v>
      </c>
      <c r="I60" t="s">
        <v>37</v>
      </c>
      <c r="J60">
        <v>0</v>
      </c>
      <c r="K60" t="s">
        <v>4276</v>
      </c>
      <c r="L60" t="s">
        <v>4274</v>
      </c>
      <c r="M60" t="s">
        <v>4144</v>
      </c>
      <c r="N60" t="s">
        <v>4274</v>
      </c>
      <c r="O60" t="s">
        <v>4274</v>
      </c>
      <c r="P60" t="s">
        <v>4274</v>
      </c>
      <c r="Q60" t="s">
        <v>2505</v>
      </c>
      <c r="R60" t="s">
        <v>4233</v>
      </c>
    </row>
    <row r="61" spans="1:18" x14ac:dyDescent="0.15">
      <c r="A61" t="s">
        <v>3144</v>
      </c>
      <c r="D61" t="s">
        <v>3206</v>
      </c>
      <c r="F61">
        <v>500</v>
      </c>
      <c r="G61" t="b">
        <v>0</v>
      </c>
      <c r="H61" s="1" t="s">
        <v>15</v>
      </c>
      <c r="I61" t="s">
        <v>37</v>
      </c>
      <c r="J61">
        <v>0</v>
      </c>
      <c r="K61" t="s">
        <v>4276</v>
      </c>
      <c r="L61" t="s">
        <v>4274</v>
      </c>
      <c r="M61" t="s">
        <v>4144</v>
      </c>
      <c r="N61" t="s">
        <v>4274</v>
      </c>
      <c r="O61" t="s">
        <v>4274</v>
      </c>
      <c r="P61" t="s">
        <v>4274</v>
      </c>
      <c r="Q61" t="s">
        <v>2505</v>
      </c>
      <c r="R61" t="s">
        <v>4233</v>
      </c>
    </row>
    <row r="62" spans="1:18" x14ac:dyDescent="0.15">
      <c r="A62" t="s">
        <v>3160</v>
      </c>
      <c r="D62" t="s">
        <v>3161</v>
      </c>
      <c r="F62">
        <v>600</v>
      </c>
      <c r="G62" t="b">
        <v>0</v>
      </c>
      <c r="H62" s="1" t="s">
        <v>15</v>
      </c>
      <c r="I62" t="s">
        <v>37</v>
      </c>
      <c r="J62">
        <v>0</v>
      </c>
      <c r="K62" t="s">
        <v>4280</v>
      </c>
      <c r="L62" t="s">
        <v>4274</v>
      </c>
      <c r="M62" t="s">
        <v>4144</v>
      </c>
      <c r="N62" t="s">
        <v>4274</v>
      </c>
      <c r="O62" t="s">
        <v>4274</v>
      </c>
      <c r="P62" t="s">
        <v>4281</v>
      </c>
      <c r="Q62" t="s">
        <v>4274</v>
      </c>
      <c r="R62" t="s">
        <v>4274</v>
      </c>
    </row>
    <row r="63" spans="1:18" x14ac:dyDescent="0.15">
      <c r="A63" t="s">
        <v>2768</v>
      </c>
      <c r="D63" t="s">
        <v>3224</v>
      </c>
      <c r="F63">
        <v>500</v>
      </c>
      <c r="G63" t="b">
        <v>0</v>
      </c>
      <c r="H63" s="1" t="s">
        <v>17</v>
      </c>
      <c r="I63" t="s">
        <v>37</v>
      </c>
      <c r="J63">
        <v>0</v>
      </c>
      <c r="K63" t="s">
        <v>4277</v>
      </c>
      <c r="L63" t="s">
        <v>4274</v>
      </c>
      <c r="M63" t="s">
        <v>4144</v>
      </c>
      <c r="N63" t="s">
        <v>4274</v>
      </c>
      <c r="O63" t="s">
        <v>4274</v>
      </c>
      <c r="P63" t="s">
        <v>4274</v>
      </c>
      <c r="Q63" t="s">
        <v>2505</v>
      </c>
      <c r="R63" t="s">
        <v>4274</v>
      </c>
    </row>
    <row r="64" spans="1:18" x14ac:dyDescent="0.15">
      <c r="A64" t="s">
        <v>3950</v>
      </c>
      <c r="C64" t="s">
        <v>3963</v>
      </c>
      <c r="D64" t="s">
        <v>3951</v>
      </c>
      <c r="F64">
        <v>200</v>
      </c>
      <c r="G64" t="b">
        <v>0</v>
      </c>
      <c r="H64" s="1" t="s">
        <v>15</v>
      </c>
      <c r="I64" t="s">
        <v>37</v>
      </c>
      <c r="J64">
        <v>0</v>
      </c>
      <c r="K64" t="s">
        <v>4276</v>
      </c>
      <c r="L64" t="s">
        <v>4274</v>
      </c>
      <c r="M64" t="s">
        <v>4144</v>
      </c>
      <c r="N64" t="s">
        <v>4274</v>
      </c>
      <c r="O64" t="s">
        <v>4274</v>
      </c>
      <c r="P64" t="s">
        <v>4274</v>
      </c>
      <c r="Q64" t="s">
        <v>2505</v>
      </c>
      <c r="R64" t="s">
        <v>4233</v>
      </c>
    </row>
    <row r="65" spans="1:1012" x14ac:dyDescent="0.15">
      <c r="A65" s="5" t="s">
        <v>3242</v>
      </c>
      <c r="B65" s="5"/>
      <c r="C65" s="5"/>
      <c r="D65" t="s">
        <v>3243</v>
      </c>
      <c r="F65">
        <v>659</v>
      </c>
      <c r="G65" t="b">
        <v>0</v>
      </c>
      <c r="H65" s="1" t="s">
        <v>15</v>
      </c>
      <c r="I65" t="s">
        <v>37</v>
      </c>
      <c r="J65">
        <v>0</v>
      </c>
      <c r="K65" t="s">
        <v>4276</v>
      </c>
      <c r="L65" t="s">
        <v>4274</v>
      </c>
      <c r="M65" t="s">
        <v>4144</v>
      </c>
      <c r="N65" t="s">
        <v>4274</v>
      </c>
      <c r="O65" t="s">
        <v>4274</v>
      </c>
      <c r="P65" t="s">
        <v>4274</v>
      </c>
      <c r="Q65" t="s">
        <v>2505</v>
      </c>
      <c r="R65" t="s">
        <v>4233</v>
      </c>
    </row>
    <row r="66" spans="1:1012" x14ac:dyDescent="0.15">
      <c r="A66" t="s">
        <v>3942</v>
      </c>
      <c r="D66" t="s">
        <v>3943</v>
      </c>
      <c r="F66">
        <v>450</v>
      </c>
      <c r="G66" t="b">
        <v>0</v>
      </c>
      <c r="H66" s="1" t="s">
        <v>15</v>
      </c>
      <c r="I66" t="s">
        <v>3944</v>
      </c>
      <c r="J66">
        <v>0</v>
      </c>
      <c r="K66" t="s">
        <v>4278</v>
      </c>
      <c r="L66" t="s">
        <v>4274</v>
      </c>
      <c r="M66" t="s">
        <v>4274</v>
      </c>
      <c r="N66" t="s">
        <v>4274</v>
      </c>
      <c r="O66" t="s">
        <v>4274</v>
      </c>
      <c r="P66" t="s">
        <v>4274</v>
      </c>
      <c r="Q66" t="s">
        <v>2505</v>
      </c>
      <c r="R66" t="s">
        <v>4233</v>
      </c>
    </row>
    <row r="67" spans="1:1012" x14ac:dyDescent="0.15">
      <c r="A67" t="s">
        <v>120</v>
      </c>
      <c r="D67" t="s">
        <v>121</v>
      </c>
      <c r="F67">
        <v>500</v>
      </c>
      <c r="G67" t="b">
        <v>0</v>
      </c>
      <c r="H67" s="1" t="s">
        <v>15</v>
      </c>
      <c r="I67" t="s">
        <v>122</v>
      </c>
      <c r="J67">
        <v>0</v>
      </c>
      <c r="K67" t="s">
        <v>4277</v>
      </c>
      <c r="L67" t="s">
        <v>4274</v>
      </c>
      <c r="M67" t="s">
        <v>4144</v>
      </c>
      <c r="N67" t="s">
        <v>4274</v>
      </c>
      <c r="O67" t="s">
        <v>4274</v>
      </c>
      <c r="P67" t="s">
        <v>4274</v>
      </c>
      <c r="Q67" t="s">
        <v>2505</v>
      </c>
      <c r="R67" t="s">
        <v>4274</v>
      </c>
    </row>
    <row r="68" spans="1:1012" x14ac:dyDescent="0.15">
      <c r="A68" t="s">
        <v>34</v>
      </c>
      <c r="C68" t="s">
        <v>3964</v>
      </c>
      <c r="D68" t="s">
        <v>127</v>
      </c>
      <c r="F68">
        <v>500</v>
      </c>
      <c r="G68" t="b">
        <v>0</v>
      </c>
      <c r="H68" s="1" t="s">
        <v>15</v>
      </c>
      <c r="I68" t="s">
        <v>21</v>
      </c>
      <c r="J68">
        <v>2</v>
      </c>
      <c r="K68" t="s">
        <v>4282</v>
      </c>
      <c r="L68" t="s">
        <v>2434</v>
      </c>
      <c r="M68" t="s">
        <v>4144</v>
      </c>
      <c r="N68" t="s">
        <v>4274</v>
      </c>
      <c r="O68" t="s">
        <v>4274</v>
      </c>
      <c r="P68" t="s">
        <v>4281</v>
      </c>
      <c r="Q68" t="s">
        <v>2505</v>
      </c>
      <c r="R68" t="s">
        <v>4233</v>
      </c>
    </row>
    <row r="69" spans="1:1012" x14ac:dyDescent="0.15">
      <c r="A69" t="s">
        <v>88</v>
      </c>
      <c r="C69" t="s">
        <v>3965</v>
      </c>
      <c r="D69" s="5" t="s">
        <v>3119</v>
      </c>
      <c r="E69" s="5"/>
      <c r="F69">
        <v>500</v>
      </c>
      <c r="G69" t="b">
        <v>0</v>
      </c>
      <c r="H69" s="1" t="s">
        <v>15</v>
      </c>
      <c r="I69" t="s">
        <v>21</v>
      </c>
      <c r="J69">
        <v>2</v>
      </c>
      <c r="K69" t="s">
        <v>4276</v>
      </c>
      <c r="L69" t="s">
        <v>4274</v>
      </c>
      <c r="M69" t="s">
        <v>4144</v>
      </c>
      <c r="N69" t="s">
        <v>4274</v>
      </c>
      <c r="O69" t="s">
        <v>4274</v>
      </c>
      <c r="P69" t="s">
        <v>4274</v>
      </c>
      <c r="Q69" t="s">
        <v>2505</v>
      </c>
      <c r="R69" t="s">
        <v>4233</v>
      </c>
    </row>
    <row r="70" spans="1:1012" x14ac:dyDescent="0.15">
      <c r="A70" s="5" t="s">
        <v>68</v>
      </c>
      <c r="B70" s="5"/>
      <c r="C70" s="5"/>
      <c r="D70" s="5" t="s">
        <v>3207</v>
      </c>
      <c r="E70" s="5"/>
      <c r="F70">
        <v>500</v>
      </c>
      <c r="G70" t="b">
        <v>0</v>
      </c>
      <c r="H70" s="1" t="s">
        <v>15</v>
      </c>
      <c r="I70" t="s">
        <v>21</v>
      </c>
      <c r="J70">
        <v>2</v>
      </c>
      <c r="K70" t="s">
        <v>4276</v>
      </c>
      <c r="L70" t="s">
        <v>4274</v>
      </c>
      <c r="M70" t="s">
        <v>4144</v>
      </c>
      <c r="N70" t="s">
        <v>4274</v>
      </c>
      <c r="O70" t="s">
        <v>4274</v>
      </c>
      <c r="P70" t="s">
        <v>4274</v>
      </c>
      <c r="Q70" t="s">
        <v>2505</v>
      </c>
      <c r="R70" t="s">
        <v>4233</v>
      </c>
    </row>
    <row r="71" spans="1:1012" x14ac:dyDescent="0.15">
      <c r="A71" s="5" t="s">
        <v>3966</v>
      </c>
      <c r="B71" s="5"/>
      <c r="C71" s="5" t="s">
        <v>3967</v>
      </c>
      <c r="D71" s="5" t="s">
        <v>3968</v>
      </c>
      <c r="E71" s="5"/>
      <c r="F71">
        <v>500</v>
      </c>
      <c r="G71" t="b">
        <v>0</v>
      </c>
      <c r="H71" s="1" t="s">
        <v>15</v>
      </c>
      <c r="I71" s="5" t="s">
        <v>21</v>
      </c>
      <c r="J71">
        <v>2</v>
      </c>
      <c r="K71" t="s">
        <v>4283</v>
      </c>
      <c r="L71" t="s">
        <v>4274</v>
      </c>
      <c r="M71" t="s">
        <v>4274</v>
      </c>
      <c r="N71" t="s">
        <v>4274</v>
      </c>
      <c r="O71" t="s">
        <v>4274</v>
      </c>
      <c r="P71" t="s">
        <v>4281</v>
      </c>
      <c r="Q71" t="s">
        <v>2505</v>
      </c>
      <c r="R71" t="s">
        <v>4233</v>
      </c>
    </row>
    <row r="72" spans="1:1012" x14ac:dyDescent="0.15">
      <c r="A72" t="s">
        <v>91</v>
      </c>
      <c r="B72" t="s">
        <v>4085</v>
      </c>
      <c r="C72" s="5" t="s">
        <v>3967</v>
      </c>
      <c r="D72" s="5" t="s">
        <v>92</v>
      </c>
      <c r="E72" s="5"/>
      <c r="F72">
        <v>500</v>
      </c>
      <c r="G72" t="b">
        <v>0</v>
      </c>
      <c r="H72" s="1" t="s">
        <v>15</v>
      </c>
      <c r="I72" t="s">
        <v>21</v>
      </c>
      <c r="J72">
        <v>2</v>
      </c>
      <c r="K72" t="s">
        <v>4276</v>
      </c>
      <c r="L72" t="s">
        <v>4274</v>
      </c>
      <c r="M72" t="s">
        <v>4144</v>
      </c>
      <c r="N72" t="s">
        <v>4274</v>
      </c>
      <c r="O72" t="s">
        <v>4274</v>
      </c>
      <c r="P72" t="s">
        <v>4274</v>
      </c>
      <c r="Q72" t="s">
        <v>2505</v>
      </c>
      <c r="R72" t="s">
        <v>4233</v>
      </c>
    </row>
    <row r="73" spans="1:1012" x14ac:dyDescent="0.15">
      <c r="A73" t="s">
        <v>93</v>
      </c>
      <c r="B73" t="s">
        <v>4085</v>
      </c>
      <c r="C73" s="5" t="s">
        <v>3967</v>
      </c>
      <c r="D73" s="5" t="s">
        <v>94</v>
      </c>
      <c r="E73" s="5"/>
      <c r="F73">
        <v>500</v>
      </c>
      <c r="G73" t="b">
        <v>0</v>
      </c>
      <c r="H73" s="1" t="s">
        <v>15</v>
      </c>
      <c r="I73" t="s">
        <v>21</v>
      </c>
      <c r="J73">
        <v>2</v>
      </c>
      <c r="K73" t="s">
        <v>4276</v>
      </c>
      <c r="L73" t="s">
        <v>4274</v>
      </c>
      <c r="M73" t="s">
        <v>4144</v>
      </c>
      <c r="N73" t="s">
        <v>4274</v>
      </c>
      <c r="O73" t="s">
        <v>4274</v>
      </c>
      <c r="P73" t="s">
        <v>4274</v>
      </c>
      <c r="Q73" t="s">
        <v>2505</v>
      </c>
      <c r="R73" t="s">
        <v>4233</v>
      </c>
    </row>
    <row r="74" spans="1:1012" s="23" customFormat="1" x14ac:dyDescent="0.15">
      <c r="A74" t="s">
        <v>3850</v>
      </c>
      <c r="B74"/>
      <c r="C74" t="s">
        <v>19</v>
      </c>
      <c r="D74" t="s">
        <v>125</v>
      </c>
      <c r="E74"/>
      <c r="F74">
        <v>720</v>
      </c>
      <c r="G74" t="b">
        <v>0</v>
      </c>
      <c r="H74" s="1" t="s">
        <v>15</v>
      </c>
      <c r="I74" t="s">
        <v>21</v>
      </c>
      <c r="J74">
        <v>2</v>
      </c>
      <c r="K74" t="s">
        <v>4284</v>
      </c>
      <c r="L74" t="s">
        <v>2434</v>
      </c>
      <c r="M74" t="s">
        <v>4144</v>
      </c>
      <c r="N74" t="s">
        <v>4274</v>
      </c>
      <c r="O74" t="s">
        <v>4274</v>
      </c>
      <c r="P74" t="s">
        <v>4281</v>
      </c>
      <c r="Q74" t="s">
        <v>2505</v>
      </c>
      <c r="R74" t="s">
        <v>4233</v>
      </c>
      <c r="S74"/>
      <c r="T74" t="s">
        <v>4124</v>
      </c>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c r="SD74"/>
      <c r="SE74"/>
      <c r="SF74"/>
      <c r="SG74"/>
      <c r="SH74"/>
      <c r="SI74"/>
      <c r="SJ74"/>
      <c r="SK74"/>
      <c r="SL74"/>
      <c r="SM74"/>
      <c r="SN74"/>
      <c r="SO74"/>
      <c r="SP74"/>
      <c r="SQ74"/>
      <c r="SR74"/>
      <c r="SS74"/>
      <c r="ST74"/>
      <c r="SU74"/>
      <c r="SV74"/>
      <c r="SW74"/>
      <c r="SX74"/>
      <c r="SY74"/>
      <c r="SZ74"/>
      <c r="TA74"/>
      <c r="TB74"/>
      <c r="TC74"/>
      <c r="TD74"/>
      <c r="TE74"/>
      <c r="TF74"/>
      <c r="TG74"/>
      <c r="TH74"/>
      <c r="TI74"/>
      <c r="TJ74"/>
      <c r="TK74"/>
      <c r="TL74"/>
      <c r="TM74"/>
      <c r="TN74"/>
      <c r="TO74"/>
      <c r="TP74"/>
      <c r="TQ74"/>
      <c r="TR74"/>
      <c r="TS74"/>
      <c r="TT74"/>
      <c r="TU74"/>
      <c r="TV74"/>
      <c r="TW74"/>
      <c r="TX74"/>
      <c r="TY74"/>
      <c r="TZ74"/>
      <c r="UA74"/>
      <c r="UB74"/>
      <c r="UC74"/>
      <c r="UD74"/>
      <c r="UE74"/>
      <c r="UF74"/>
      <c r="UG74"/>
      <c r="UH74"/>
      <c r="UI74"/>
      <c r="UJ74"/>
      <c r="UK74"/>
      <c r="UL74"/>
      <c r="UM74"/>
      <c r="UN74"/>
      <c r="UO74"/>
      <c r="UP74"/>
      <c r="UQ74"/>
      <c r="UR74"/>
      <c r="US74"/>
      <c r="UT74"/>
      <c r="UU74"/>
      <c r="UV74"/>
      <c r="UW74"/>
      <c r="UX74"/>
      <c r="UY74"/>
      <c r="UZ74"/>
      <c r="VA74"/>
      <c r="VB74"/>
      <c r="VC74"/>
      <c r="VD74"/>
      <c r="VE74"/>
      <c r="VF74"/>
      <c r="VG74"/>
      <c r="VH74"/>
      <c r="VI74"/>
      <c r="VJ74"/>
      <c r="VK74"/>
      <c r="VL74"/>
      <c r="VM74"/>
      <c r="VN74"/>
      <c r="VO74"/>
      <c r="VP74"/>
      <c r="VQ74"/>
      <c r="VR74"/>
      <c r="VS74"/>
      <c r="VT74"/>
      <c r="VU74"/>
      <c r="VV74"/>
      <c r="VW74"/>
      <c r="VX74"/>
      <c r="VY74"/>
      <c r="VZ74"/>
      <c r="WA74"/>
      <c r="WB74"/>
      <c r="WC74"/>
      <c r="WD74"/>
      <c r="WE74"/>
      <c r="WF74"/>
      <c r="WG74"/>
      <c r="WH74"/>
      <c r="WI74"/>
      <c r="WJ74"/>
      <c r="WK74"/>
      <c r="WL74"/>
      <c r="WM74"/>
      <c r="WN74"/>
      <c r="WO74"/>
      <c r="WP74"/>
      <c r="WQ74"/>
      <c r="WR74"/>
      <c r="WS74"/>
      <c r="WT74"/>
      <c r="WU74"/>
      <c r="WV74"/>
      <c r="WW74"/>
      <c r="WX74"/>
      <c r="WY74"/>
      <c r="WZ74"/>
      <c r="XA74"/>
      <c r="XB74"/>
      <c r="XC74"/>
      <c r="XD74"/>
      <c r="XE74"/>
      <c r="XF74"/>
      <c r="XG74"/>
      <c r="XH74"/>
      <c r="XI74"/>
      <c r="XJ74"/>
      <c r="XK74"/>
      <c r="XL74"/>
      <c r="XM74"/>
      <c r="XN74"/>
      <c r="XO74"/>
      <c r="XP74"/>
      <c r="XQ74"/>
      <c r="XR74"/>
      <c r="XS74"/>
      <c r="XT74"/>
      <c r="XU74"/>
      <c r="XV74"/>
      <c r="XW74"/>
      <c r="XX74"/>
      <c r="XY74"/>
      <c r="XZ74"/>
      <c r="YA74"/>
      <c r="YB74"/>
      <c r="YC74"/>
      <c r="YD74"/>
      <c r="YE74"/>
      <c r="YF74"/>
      <c r="YG74"/>
      <c r="YH74"/>
      <c r="YI74"/>
      <c r="YJ74"/>
      <c r="YK74"/>
      <c r="YL74"/>
      <c r="YM74"/>
      <c r="YN74"/>
      <c r="YO74"/>
      <c r="YP74"/>
      <c r="YQ74"/>
      <c r="YR74"/>
      <c r="YS74"/>
      <c r="YT74"/>
      <c r="YU74"/>
      <c r="YV74"/>
      <c r="YW74"/>
      <c r="YX74"/>
      <c r="YY74"/>
      <c r="YZ74"/>
      <c r="ZA74"/>
      <c r="ZB74"/>
      <c r="ZC74"/>
      <c r="ZD74"/>
      <c r="ZE74"/>
      <c r="ZF74"/>
      <c r="ZG74"/>
      <c r="ZH74"/>
      <c r="ZI74"/>
      <c r="ZJ74"/>
      <c r="ZK74"/>
      <c r="ZL74"/>
      <c r="ZM74"/>
      <c r="ZN74"/>
      <c r="ZO74"/>
      <c r="ZP74"/>
      <c r="ZQ74"/>
      <c r="ZR74"/>
      <c r="ZS74"/>
      <c r="ZT74"/>
      <c r="ZU74"/>
      <c r="ZV74"/>
      <c r="ZW74"/>
      <c r="ZX74"/>
      <c r="ZY74"/>
      <c r="ZZ74"/>
      <c r="AAA74"/>
      <c r="AAB74"/>
      <c r="AAC74"/>
      <c r="AAD74"/>
      <c r="AAE74"/>
      <c r="AAF74"/>
      <c r="AAG74"/>
      <c r="AAH74"/>
      <c r="AAI74"/>
      <c r="AAJ74"/>
      <c r="AAK74"/>
      <c r="AAL74"/>
      <c r="AAM74"/>
      <c r="AAN74"/>
      <c r="AAO74"/>
      <c r="AAP74"/>
      <c r="AAQ74"/>
      <c r="AAR74"/>
      <c r="AAS74"/>
      <c r="AAT74"/>
      <c r="AAU74"/>
      <c r="AAV74"/>
      <c r="AAW74"/>
      <c r="AAX74"/>
      <c r="AAY74"/>
      <c r="AAZ74"/>
      <c r="ABA74"/>
      <c r="ABB74"/>
      <c r="ABC74"/>
      <c r="ABD74"/>
      <c r="ABE74"/>
      <c r="ABF74"/>
      <c r="ABG74"/>
      <c r="ABH74"/>
      <c r="ABI74"/>
      <c r="ABJ74"/>
      <c r="ABK74"/>
      <c r="ABL74"/>
      <c r="ABM74"/>
      <c r="ABN74"/>
      <c r="ABO74"/>
      <c r="ABP74"/>
      <c r="ABQ74"/>
      <c r="ABR74"/>
      <c r="ABS74"/>
      <c r="ABT74"/>
      <c r="ABU74"/>
      <c r="ABV74"/>
      <c r="ABW74"/>
      <c r="ABX74"/>
      <c r="ABY74"/>
      <c r="ABZ74"/>
      <c r="ACA74"/>
      <c r="ACB74"/>
      <c r="ACC74"/>
      <c r="ACD74"/>
      <c r="ACE74"/>
      <c r="ACF74"/>
      <c r="ACG74"/>
      <c r="ACH74"/>
      <c r="ACI74"/>
      <c r="ACJ74"/>
      <c r="ACK74"/>
      <c r="ACL74"/>
      <c r="ACM74"/>
      <c r="ACN74"/>
      <c r="ACO74"/>
      <c r="ACP74"/>
      <c r="ACQ74"/>
      <c r="ACR74"/>
      <c r="ACS74"/>
      <c r="ACT74"/>
      <c r="ACU74"/>
      <c r="ACV74"/>
      <c r="ACW74"/>
      <c r="ACX74"/>
      <c r="ACY74"/>
      <c r="ACZ74"/>
      <c r="ADA74"/>
      <c r="ADB74"/>
      <c r="ADC74"/>
      <c r="ADD74"/>
      <c r="ADE74"/>
      <c r="ADF74"/>
      <c r="ADG74"/>
      <c r="ADH74"/>
      <c r="ADI74"/>
      <c r="ADJ74"/>
      <c r="ADK74"/>
      <c r="ADL74"/>
      <c r="ADM74"/>
      <c r="ADN74"/>
      <c r="ADO74"/>
      <c r="ADP74"/>
      <c r="ADQ74"/>
      <c r="ADR74"/>
      <c r="ADS74"/>
      <c r="ADT74"/>
      <c r="ADU74"/>
      <c r="ADV74"/>
      <c r="ADW74"/>
      <c r="ADX74"/>
      <c r="ADY74"/>
      <c r="ADZ74"/>
      <c r="AEA74"/>
      <c r="AEB74"/>
      <c r="AEC74"/>
      <c r="AED74"/>
      <c r="AEE74"/>
      <c r="AEF74"/>
      <c r="AEG74"/>
      <c r="AEH74"/>
      <c r="AEI74"/>
      <c r="AEJ74"/>
      <c r="AEK74"/>
      <c r="AEL74"/>
      <c r="AEM74"/>
      <c r="AEN74"/>
      <c r="AEO74"/>
      <c r="AEP74"/>
      <c r="AEQ74"/>
      <c r="AER74"/>
      <c r="AES74"/>
      <c r="AET74"/>
      <c r="AEU74"/>
      <c r="AEV74"/>
      <c r="AEW74"/>
      <c r="AEX74"/>
      <c r="AEY74"/>
      <c r="AEZ74"/>
      <c r="AFA74"/>
      <c r="AFB74"/>
      <c r="AFC74"/>
      <c r="AFD74"/>
      <c r="AFE74"/>
      <c r="AFF74"/>
      <c r="AFG74"/>
      <c r="AFH74"/>
      <c r="AFI74"/>
      <c r="AFJ74"/>
      <c r="AFK74"/>
      <c r="AFL74"/>
      <c r="AFM74"/>
      <c r="AFN74"/>
      <c r="AFO74"/>
      <c r="AFP74"/>
      <c r="AFQ74"/>
      <c r="AFR74"/>
      <c r="AFS74"/>
      <c r="AFT74"/>
      <c r="AFU74"/>
      <c r="AFV74"/>
      <c r="AFW74"/>
      <c r="AFX74"/>
      <c r="AFY74"/>
      <c r="AFZ74"/>
      <c r="AGA74"/>
      <c r="AGB74"/>
      <c r="AGC74"/>
      <c r="AGD74"/>
      <c r="AGE74"/>
      <c r="AGF74"/>
      <c r="AGG74"/>
      <c r="AGH74"/>
      <c r="AGI74"/>
      <c r="AGJ74"/>
      <c r="AGK74"/>
      <c r="AGL74"/>
      <c r="AGM74"/>
      <c r="AGN74"/>
      <c r="AGO74"/>
      <c r="AGP74"/>
      <c r="AGQ74"/>
      <c r="AGR74"/>
      <c r="AGS74"/>
      <c r="AGT74"/>
      <c r="AGU74"/>
      <c r="AGV74"/>
      <c r="AGW74"/>
      <c r="AGX74"/>
      <c r="AGY74"/>
      <c r="AGZ74"/>
      <c r="AHA74"/>
      <c r="AHB74"/>
      <c r="AHC74"/>
      <c r="AHD74"/>
      <c r="AHE74"/>
      <c r="AHF74"/>
      <c r="AHG74"/>
      <c r="AHH74"/>
      <c r="AHI74"/>
      <c r="AHJ74"/>
      <c r="AHK74"/>
      <c r="AHL74"/>
      <c r="AHM74"/>
      <c r="AHN74"/>
      <c r="AHO74"/>
      <c r="AHP74"/>
      <c r="AHQ74"/>
      <c r="AHR74"/>
      <c r="AHS74"/>
      <c r="AHT74"/>
      <c r="AHU74"/>
      <c r="AHV74"/>
      <c r="AHW74"/>
      <c r="AHX74"/>
      <c r="AHY74"/>
      <c r="AHZ74"/>
      <c r="AIA74"/>
      <c r="AIB74"/>
      <c r="AIC74"/>
      <c r="AID74"/>
      <c r="AIE74"/>
      <c r="AIF74"/>
      <c r="AIG74"/>
      <c r="AIH74"/>
      <c r="AII74"/>
      <c r="AIJ74"/>
      <c r="AIK74"/>
      <c r="AIL74"/>
      <c r="AIM74"/>
      <c r="AIN74"/>
      <c r="AIO74"/>
      <c r="AIP74"/>
      <c r="AIQ74"/>
      <c r="AIR74"/>
      <c r="AIS74"/>
      <c r="AIT74"/>
      <c r="AIU74"/>
      <c r="AIV74"/>
      <c r="AIW74"/>
      <c r="AIX74"/>
      <c r="AIY74"/>
      <c r="AIZ74"/>
      <c r="AJA74"/>
      <c r="AJB74"/>
      <c r="AJC74"/>
      <c r="AJD74"/>
      <c r="AJE74"/>
      <c r="AJF74"/>
      <c r="AJG74"/>
      <c r="AJH74"/>
      <c r="AJI74"/>
      <c r="AJJ74"/>
      <c r="AJK74"/>
      <c r="AJL74"/>
      <c r="AJM74"/>
      <c r="AJN74"/>
      <c r="AJO74"/>
      <c r="AJP74"/>
      <c r="AJQ74"/>
      <c r="AJR74"/>
      <c r="AJS74"/>
      <c r="AJT74"/>
      <c r="AJU74"/>
      <c r="AJV74"/>
      <c r="AJW74"/>
      <c r="AJX74"/>
      <c r="AJY74"/>
      <c r="AJZ74"/>
      <c r="AKA74"/>
      <c r="AKB74"/>
      <c r="AKC74"/>
      <c r="AKD74"/>
      <c r="AKE74"/>
      <c r="AKF74"/>
      <c r="AKG74"/>
      <c r="AKH74"/>
      <c r="AKI74"/>
      <c r="AKJ74"/>
      <c r="AKK74"/>
      <c r="AKL74"/>
      <c r="AKM74"/>
      <c r="AKN74"/>
      <c r="AKO74"/>
      <c r="AKP74"/>
      <c r="AKQ74"/>
      <c r="AKR74"/>
      <c r="AKS74"/>
      <c r="AKT74"/>
      <c r="AKU74"/>
      <c r="AKV74"/>
      <c r="AKW74"/>
      <c r="AKX74"/>
      <c r="AKY74"/>
      <c r="AKZ74"/>
      <c r="ALA74"/>
      <c r="ALB74"/>
      <c r="ALC74"/>
      <c r="ALD74"/>
      <c r="ALE74"/>
      <c r="ALF74"/>
      <c r="ALG74"/>
      <c r="ALH74"/>
      <c r="ALI74"/>
      <c r="ALJ74"/>
      <c r="ALK74"/>
      <c r="ALL74"/>
      <c r="ALM74"/>
      <c r="ALN74"/>
      <c r="ALO74"/>
      <c r="ALP74"/>
      <c r="ALQ74"/>
      <c r="ALR74"/>
      <c r="ALS74"/>
      <c r="ALT74"/>
      <c r="ALU74"/>
      <c r="ALV74"/>
      <c r="ALW74"/>
      <c r="ALX74"/>
    </row>
    <row r="75" spans="1:1012" x14ac:dyDescent="0.15">
      <c r="A75" t="s">
        <v>19</v>
      </c>
      <c r="C75" t="s">
        <v>18</v>
      </c>
      <c r="D75" t="s">
        <v>128</v>
      </c>
      <c r="F75">
        <v>710</v>
      </c>
      <c r="G75" t="b">
        <v>0</v>
      </c>
      <c r="H75" s="1" t="s">
        <v>15</v>
      </c>
      <c r="I75" t="s">
        <v>21</v>
      </c>
      <c r="J75">
        <v>2</v>
      </c>
      <c r="K75" t="s">
        <v>4285</v>
      </c>
      <c r="L75" t="s">
        <v>2434</v>
      </c>
      <c r="M75" t="s">
        <v>4144</v>
      </c>
      <c r="N75" t="s">
        <v>4274</v>
      </c>
      <c r="O75" t="s">
        <v>4274</v>
      </c>
      <c r="P75" t="s">
        <v>4281</v>
      </c>
      <c r="Q75" t="s">
        <v>2505</v>
      </c>
      <c r="R75" t="s">
        <v>4233</v>
      </c>
      <c r="S75" t="s">
        <v>2524</v>
      </c>
    </row>
    <row r="76" spans="1:1012" x14ac:dyDescent="0.15">
      <c r="A76" s="5" t="s">
        <v>18</v>
      </c>
      <c r="B76" s="5"/>
      <c r="C76" s="5" t="s">
        <v>4075</v>
      </c>
      <c r="D76" t="s">
        <v>20</v>
      </c>
      <c r="F76">
        <v>680</v>
      </c>
      <c r="G76" t="b">
        <v>0</v>
      </c>
      <c r="H76" s="1" t="s">
        <v>15</v>
      </c>
      <c r="I76" t="s">
        <v>21</v>
      </c>
      <c r="J76">
        <v>2</v>
      </c>
      <c r="K76" t="s">
        <v>4282</v>
      </c>
      <c r="L76" t="s">
        <v>2434</v>
      </c>
      <c r="M76" t="s">
        <v>4144</v>
      </c>
      <c r="N76" t="s">
        <v>4274</v>
      </c>
      <c r="O76" t="s">
        <v>4274</v>
      </c>
      <c r="P76" t="s">
        <v>4281</v>
      </c>
      <c r="Q76" t="s">
        <v>2505</v>
      </c>
      <c r="R76" t="s">
        <v>4233</v>
      </c>
    </row>
    <row r="77" spans="1:1012" x14ac:dyDescent="0.15">
      <c r="A77" s="5" t="s">
        <v>45</v>
      </c>
      <c r="B77" s="5"/>
      <c r="C77" s="5"/>
      <c r="D77" s="5" t="s">
        <v>46</v>
      </c>
      <c r="E77" s="5"/>
      <c r="F77">
        <v>500</v>
      </c>
      <c r="G77" t="b">
        <v>0</v>
      </c>
      <c r="H77" s="1" t="s">
        <v>15</v>
      </c>
      <c r="I77" t="s">
        <v>21</v>
      </c>
      <c r="J77">
        <v>2</v>
      </c>
      <c r="K77" t="s">
        <v>4276</v>
      </c>
      <c r="L77" t="s">
        <v>4274</v>
      </c>
      <c r="M77" t="s">
        <v>4144</v>
      </c>
      <c r="N77" t="s">
        <v>4274</v>
      </c>
      <c r="O77" t="s">
        <v>4274</v>
      </c>
      <c r="P77" t="s">
        <v>4274</v>
      </c>
      <c r="Q77" t="s">
        <v>2505</v>
      </c>
      <c r="R77" t="s">
        <v>4233</v>
      </c>
    </row>
    <row r="78" spans="1:1012" x14ac:dyDescent="0.15">
      <c r="A78" s="5" t="s">
        <v>89</v>
      </c>
      <c r="B78" s="5"/>
      <c r="C78" s="5"/>
      <c r="D78" t="s">
        <v>126</v>
      </c>
      <c r="F78">
        <v>500</v>
      </c>
      <c r="G78" t="b">
        <v>0</v>
      </c>
      <c r="H78" s="1" t="s">
        <v>15</v>
      </c>
      <c r="I78" t="s">
        <v>21</v>
      </c>
      <c r="J78">
        <v>2</v>
      </c>
      <c r="K78" t="s">
        <v>4286</v>
      </c>
      <c r="L78" t="s">
        <v>4274</v>
      </c>
      <c r="M78" t="s">
        <v>4144</v>
      </c>
      <c r="N78" t="s">
        <v>4274</v>
      </c>
      <c r="O78" t="s">
        <v>4274</v>
      </c>
      <c r="P78" t="s">
        <v>4281</v>
      </c>
      <c r="Q78" t="s">
        <v>2505</v>
      </c>
      <c r="R78" t="s">
        <v>4233</v>
      </c>
    </row>
    <row r="79" spans="1:1012" x14ac:dyDescent="0.15">
      <c r="A79" s="5" t="s">
        <v>107</v>
      </c>
      <c r="B79" s="5" t="s">
        <v>4084</v>
      </c>
      <c r="C79" s="5"/>
      <c r="D79" s="5" t="s">
        <v>3205</v>
      </c>
      <c r="E79" s="5"/>
      <c r="F79">
        <v>500</v>
      </c>
      <c r="G79" t="b">
        <v>0</v>
      </c>
      <c r="H79" s="1" t="s">
        <v>15</v>
      </c>
      <c r="I79" t="s">
        <v>21</v>
      </c>
      <c r="J79">
        <v>2</v>
      </c>
      <c r="K79" t="s">
        <v>4276</v>
      </c>
      <c r="L79" t="s">
        <v>4274</v>
      </c>
      <c r="M79" t="s">
        <v>4144</v>
      </c>
      <c r="N79" t="s">
        <v>4274</v>
      </c>
      <c r="O79" t="s">
        <v>4274</v>
      </c>
      <c r="P79" t="s">
        <v>4274</v>
      </c>
      <c r="Q79" t="s">
        <v>2505</v>
      </c>
      <c r="R79" t="s">
        <v>4233</v>
      </c>
    </row>
    <row r="80" spans="1:1012" x14ac:dyDescent="0.15">
      <c r="A80" s="5" t="s">
        <v>129</v>
      </c>
      <c r="B80" s="5"/>
      <c r="C80" s="5"/>
      <c r="D80" t="s">
        <v>3208</v>
      </c>
      <c r="F80">
        <v>500</v>
      </c>
      <c r="G80" t="b">
        <v>0</v>
      </c>
      <c r="H80" s="1" t="s">
        <v>15</v>
      </c>
      <c r="I80" t="s">
        <v>21</v>
      </c>
      <c r="J80">
        <v>2</v>
      </c>
      <c r="K80" t="s">
        <v>4276</v>
      </c>
      <c r="L80" t="s">
        <v>4274</v>
      </c>
      <c r="M80" t="s">
        <v>4144</v>
      </c>
      <c r="N80" t="s">
        <v>4274</v>
      </c>
      <c r="O80" t="s">
        <v>4274</v>
      </c>
      <c r="P80" t="s">
        <v>4274</v>
      </c>
      <c r="Q80" t="s">
        <v>2505</v>
      </c>
      <c r="R80" t="s">
        <v>4233</v>
      </c>
    </row>
    <row r="81" spans="1:1012" x14ac:dyDescent="0.15">
      <c r="A81" s="5" t="s">
        <v>131</v>
      </c>
      <c r="B81" s="5"/>
      <c r="C81" s="5"/>
      <c r="D81" t="s">
        <v>3209</v>
      </c>
      <c r="F81">
        <v>500</v>
      </c>
      <c r="G81" t="b">
        <v>0</v>
      </c>
      <c r="H81" s="1" t="s">
        <v>15</v>
      </c>
      <c r="I81" t="s">
        <v>21</v>
      </c>
      <c r="J81">
        <v>2</v>
      </c>
      <c r="K81" t="s">
        <v>4276</v>
      </c>
      <c r="L81" t="s">
        <v>4274</v>
      </c>
      <c r="M81" t="s">
        <v>4144</v>
      </c>
      <c r="N81" t="s">
        <v>4274</v>
      </c>
      <c r="O81" t="s">
        <v>4274</v>
      </c>
      <c r="P81" t="s">
        <v>4274</v>
      </c>
      <c r="Q81" t="s">
        <v>2505</v>
      </c>
      <c r="R81" t="s">
        <v>4233</v>
      </c>
    </row>
    <row r="82" spans="1:1012" x14ac:dyDescent="0.15">
      <c r="A82" s="5" t="s">
        <v>133</v>
      </c>
      <c r="B82" s="5"/>
      <c r="C82" s="5"/>
      <c r="D82" t="s">
        <v>3210</v>
      </c>
      <c r="F82">
        <v>500</v>
      </c>
      <c r="G82" t="b">
        <v>0</v>
      </c>
      <c r="H82" s="1" t="s">
        <v>15</v>
      </c>
      <c r="I82" t="s">
        <v>21</v>
      </c>
      <c r="J82">
        <v>2</v>
      </c>
      <c r="K82" t="s">
        <v>4276</v>
      </c>
      <c r="L82" t="s">
        <v>4274</v>
      </c>
      <c r="M82" t="s">
        <v>4144</v>
      </c>
      <c r="N82" t="s">
        <v>4274</v>
      </c>
      <c r="O82" t="s">
        <v>4274</v>
      </c>
      <c r="P82" t="s">
        <v>4274</v>
      </c>
      <c r="Q82" t="s">
        <v>2505</v>
      </c>
      <c r="R82" t="s">
        <v>4233</v>
      </c>
    </row>
    <row r="83" spans="1:1012" x14ac:dyDescent="0.15">
      <c r="A83" s="5" t="s">
        <v>135</v>
      </c>
      <c r="B83" s="5"/>
      <c r="C83" s="5"/>
      <c r="D83" t="s">
        <v>3211</v>
      </c>
      <c r="F83">
        <v>500</v>
      </c>
      <c r="G83" t="b">
        <v>0</v>
      </c>
      <c r="H83" s="1" t="s">
        <v>15</v>
      </c>
      <c r="I83" t="s">
        <v>21</v>
      </c>
      <c r="J83">
        <v>2</v>
      </c>
      <c r="K83" t="s">
        <v>4276</v>
      </c>
      <c r="L83" t="s">
        <v>4274</v>
      </c>
      <c r="M83" t="s">
        <v>4144</v>
      </c>
      <c r="N83" t="s">
        <v>4274</v>
      </c>
      <c r="O83" t="s">
        <v>4274</v>
      </c>
      <c r="P83" t="s">
        <v>4274</v>
      </c>
      <c r="Q83" t="s">
        <v>2505</v>
      </c>
      <c r="R83" t="s">
        <v>4233</v>
      </c>
    </row>
    <row r="84" spans="1:1012" x14ac:dyDescent="0.15">
      <c r="A84" t="s">
        <v>165</v>
      </c>
      <c r="D84" t="s">
        <v>166</v>
      </c>
      <c r="F84">
        <v>500</v>
      </c>
      <c r="G84" t="b">
        <v>0</v>
      </c>
      <c r="H84" s="1" t="s">
        <v>15</v>
      </c>
      <c r="I84" t="s">
        <v>21</v>
      </c>
      <c r="J84">
        <v>2</v>
      </c>
      <c r="K84" t="s">
        <v>4286</v>
      </c>
      <c r="L84" t="s">
        <v>4274</v>
      </c>
      <c r="M84" t="s">
        <v>4144</v>
      </c>
      <c r="N84" t="s">
        <v>4274</v>
      </c>
      <c r="O84" t="s">
        <v>4274</v>
      </c>
      <c r="P84" t="s">
        <v>4281</v>
      </c>
      <c r="Q84" t="s">
        <v>2505</v>
      </c>
      <c r="R84" t="s">
        <v>4233</v>
      </c>
    </row>
    <row r="85" spans="1:1012" s="23" customFormat="1" x14ac:dyDescent="0.15">
      <c r="A85" t="s">
        <v>90</v>
      </c>
      <c r="B85" t="s">
        <v>4085</v>
      </c>
      <c r="C85"/>
      <c r="D85" s="5" t="s">
        <v>3204</v>
      </c>
      <c r="E85" s="5"/>
      <c r="F85">
        <v>500</v>
      </c>
      <c r="G85" t="b">
        <v>0</v>
      </c>
      <c r="H85" s="1" t="s">
        <v>15</v>
      </c>
      <c r="I85" t="s">
        <v>21</v>
      </c>
      <c r="J85">
        <v>2</v>
      </c>
      <c r="K85" t="s">
        <v>4276</v>
      </c>
      <c r="L85" t="s">
        <v>4274</v>
      </c>
      <c r="M85" t="s">
        <v>4144</v>
      </c>
      <c r="N85" t="s">
        <v>4274</v>
      </c>
      <c r="O85" t="s">
        <v>4274</v>
      </c>
      <c r="P85" t="s">
        <v>4274</v>
      </c>
      <c r="Q85" t="s">
        <v>2505</v>
      </c>
      <c r="R85" t="s">
        <v>4233</v>
      </c>
      <c r="S85"/>
      <c r="T8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c r="MA85"/>
      <c r="MB85"/>
      <c r="MC85"/>
      <c r="MD85"/>
      <c r="ME85"/>
      <c r="MF85"/>
      <c r="MG85"/>
      <c r="MH85"/>
      <c r="MI85"/>
      <c r="MJ85"/>
      <c r="MK85"/>
      <c r="ML85"/>
      <c r="MM85"/>
      <c r="MN85"/>
      <c r="MO85"/>
      <c r="MP85"/>
      <c r="MQ85"/>
      <c r="MR85"/>
      <c r="MS85"/>
      <c r="MT85"/>
      <c r="MU85"/>
      <c r="MV85"/>
      <c r="MW85"/>
      <c r="MX85"/>
      <c r="MY85"/>
      <c r="MZ85"/>
      <c r="NA85"/>
      <c r="NB85"/>
      <c r="NC85"/>
      <c r="ND85"/>
      <c r="NE85"/>
      <c r="NF85"/>
      <c r="NG85"/>
      <c r="NH85"/>
      <c r="NI85"/>
      <c r="NJ85"/>
      <c r="NK85"/>
      <c r="NL85"/>
      <c r="NM85"/>
      <c r="NN85"/>
      <c r="NO85"/>
      <c r="NP85"/>
      <c r="NQ85"/>
      <c r="NR85"/>
      <c r="NS85"/>
      <c r="NT85"/>
      <c r="NU85"/>
      <c r="NV85"/>
      <c r="NW85"/>
      <c r="NX85"/>
      <c r="NY85"/>
      <c r="NZ85"/>
      <c r="OA85"/>
      <c r="OB85"/>
      <c r="OC85"/>
      <c r="OD85"/>
      <c r="OE85"/>
      <c r="OF85"/>
      <c r="OG85"/>
      <c r="OH85"/>
      <c r="OI85"/>
      <c r="OJ85"/>
      <c r="OK85"/>
      <c r="OL85"/>
      <c r="OM85"/>
      <c r="ON85"/>
      <c r="OO85"/>
      <c r="OP85"/>
      <c r="OQ85"/>
      <c r="OR85"/>
      <c r="OS85"/>
      <c r="OT85"/>
      <c r="OU85"/>
      <c r="OV85"/>
      <c r="OW85"/>
      <c r="OX85"/>
      <c r="OY85"/>
      <c r="OZ85"/>
      <c r="PA85"/>
      <c r="PB85"/>
      <c r="PC85"/>
      <c r="PD85"/>
      <c r="PE85"/>
      <c r="PF85"/>
      <c r="PG85"/>
      <c r="PH85"/>
      <c r="PI85"/>
      <c r="PJ85"/>
      <c r="PK85"/>
      <c r="PL85"/>
      <c r="PM85"/>
      <c r="PN85"/>
      <c r="PO85"/>
      <c r="PP85"/>
      <c r="PQ85"/>
      <c r="PR85"/>
      <c r="PS85"/>
      <c r="PT85"/>
      <c r="PU85"/>
      <c r="PV85"/>
      <c r="PW85"/>
      <c r="PX85"/>
      <c r="PY85"/>
      <c r="PZ85"/>
      <c r="QA85"/>
      <c r="QB85"/>
      <c r="QC85"/>
      <c r="QD85"/>
      <c r="QE85"/>
      <c r="QF85"/>
      <c r="QG85"/>
      <c r="QH85"/>
      <c r="QI85"/>
      <c r="QJ85"/>
      <c r="QK85"/>
      <c r="QL85"/>
      <c r="QM85"/>
      <c r="QN85"/>
      <c r="QO85"/>
      <c r="QP85"/>
      <c r="QQ85"/>
      <c r="QR85"/>
      <c r="QS85"/>
      <c r="QT85"/>
      <c r="QU85"/>
      <c r="QV85"/>
      <c r="QW85"/>
      <c r="QX85"/>
      <c r="QY85"/>
      <c r="QZ85"/>
      <c r="RA85"/>
      <c r="RB85"/>
      <c r="RC85"/>
      <c r="RD85"/>
      <c r="RE85"/>
      <c r="RF85"/>
      <c r="RG85"/>
      <c r="RH85"/>
      <c r="RI85"/>
      <c r="RJ85"/>
      <c r="RK85"/>
      <c r="RL85"/>
      <c r="RM85"/>
      <c r="RN85"/>
      <c r="RO85"/>
      <c r="RP85"/>
      <c r="RQ85"/>
      <c r="RR85"/>
      <c r="RS85"/>
      <c r="RT85"/>
      <c r="RU85"/>
      <c r="RV85"/>
      <c r="RW85"/>
      <c r="RX85"/>
      <c r="RY85"/>
      <c r="RZ85"/>
      <c r="SA85"/>
      <c r="SB85"/>
      <c r="SC85"/>
      <c r="SD85"/>
      <c r="SE85"/>
      <c r="SF85"/>
      <c r="SG85"/>
      <c r="SH85"/>
      <c r="SI85"/>
      <c r="SJ85"/>
      <c r="SK85"/>
      <c r="SL85"/>
      <c r="SM85"/>
      <c r="SN85"/>
      <c r="SO85"/>
      <c r="SP85"/>
      <c r="SQ85"/>
      <c r="SR85"/>
      <c r="SS85"/>
      <c r="ST85"/>
      <c r="SU85"/>
      <c r="SV85"/>
      <c r="SW85"/>
      <c r="SX85"/>
      <c r="SY85"/>
      <c r="SZ85"/>
      <c r="TA85"/>
      <c r="TB85"/>
      <c r="TC85"/>
      <c r="TD85"/>
      <c r="TE85"/>
      <c r="TF85"/>
      <c r="TG85"/>
      <c r="TH85"/>
      <c r="TI85"/>
      <c r="TJ85"/>
      <c r="TK85"/>
      <c r="TL85"/>
      <c r="TM85"/>
      <c r="TN85"/>
      <c r="TO85"/>
      <c r="TP85"/>
      <c r="TQ85"/>
      <c r="TR85"/>
      <c r="TS85"/>
      <c r="TT85"/>
      <c r="TU85"/>
      <c r="TV85"/>
      <c r="TW85"/>
      <c r="TX85"/>
      <c r="TY85"/>
      <c r="TZ85"/>
      <c r="UA85"/>
      <c r="UB85"/>
      <c r="UC85"/>
      <c r="UD85"/>
      <c r="UE85"/>
      <c r="UF85"/>
      <c r="UG85"/>
      <c r="UH85"/>
      <c r="UI85"/>
      <c r="UJ85"/>
      <c r="UK85"/>
      <c r="UL85"/>
      <c r="UM85"/>
      <c r="UN85"/>
      <c r="UO85"/>
      <c r="UP85"/>
      <c r="UQ85"/>
      <c r="UR85"/>
      <c r="US85"/>
      <c r="UT85"/>
      <c r="UU85"/>
      <c r="UV85"/>
      <c r="UW85"/>
      <c r="UX85"/>
      <c r="UY85"/>
      <c r="UZ85"/>
      <c r="VA85"/>
      <c r="VB85"/>
      <c r="VC85"/>
      <c r="VD85"/>
      <c r="VE85"/>
      <c r="VF85"/>
      <c r="VG85"/>
      <c r="VH85"/>
      <c r="VI85"/>
      <c r="VJ85"/>
      <c r="VK85"/>
      <c r="VL85"/>
      <c r="VM85"/>
      <c r="VN85"/>
      <c r="VO85"/>
      <c r="VP85"/>
      <c r="VQ85"/>
      <c r="VR85"/>
      <c r="VS85"/>
      <c r="VT85"/>
      <c r="VU85"/>
      <c r="VV85"/>
      <c r="VW85"/>
      <c r="VX85"/>
      <c r="VY85"/>
      <c r="VZ85"/>
      <c r="WA85"/>
      <c r="WB85"/>
      <c r="WC85"/>
      <c r="WD85"/>
      <c r="WE85"/>
      <c r="WF85"/>
      <c r="WG85"/>
      <c r="WH85"/>
      <c r="WI85"/>
      <c r="WJ85"/>
      <c r="WK85"/>
      <c r="WL85"/>
      <c r="WM85"/>
      <c r="WN85"/>
      <c r="WO85"/>
      <c r="WP85"/>
      <c r="WQ85"/>
      <c r="WR85"/>
      <c r="WS85"/>
      <c r="WT85"/>
      <c r="WU85"/>
      <c r="WV85"/>
      <c r="WW85"/>
      <c r="WX85"/>
      <c r="WY85"/>
      <c r="WZ85"/>
      <c r="XA85"/>
      <c r="XB85"/>
      <c r="XC85"/>
      <c r="XD85"/>
      <c r="XE85"/>
      <c r="XF85"/>
      <c r="XG85"/>
      <c r="XH85"/>
      <c r="XI85"/>
      <c r="XJ85"/>
      <c r="XK85"/>
      <c r="XL85"/>
      <c r="XM85"/>
      <c r="XN85"/>
      <c r="XO85"/>
      <c r="XP85"/>
      <c r="XQ85"/>
      <c r="XR85"/>
      <c r="XS85"/>
      <c r="XT85"/>
      <c r="XU85"/>
      <c r="XV85"/>
      <c r="XW85"/>
      <c r="XX85"/>
      <c r="XY85"/>
      <c r="XZ85"/>
      <c r="YA85"/>
      <c r="YB85"/>
      <c r="YC85"/>
      <c r="YD85"/>
      <c r="YE85"/>
      <c r="YF85"/>
      <c r="YG85"/>
      <c r="YH85"/>
      <c r="YI85"/>
      <c r="YJ85"/>
      <c r="YK85"/>
      <c r="YL85"/>
      <c r="YM85"/>
      <c r="YN85"/>
      <c r="YO85"/>
      <c r="YP85"/>
      <c r="YQ85"/>
      <c r="YR85"/>
      <c r="YS85"/>
      <c r="YT85"/>
      <c r="YU85"/>
      <c r="YV85"/>
      <c r="YW85"/>
      <c r="YX85"/>
      <c r="YY85"/>
      <c r="YZ85"/>
      <c r="ZA85"/>
      <c r="ZB85"/>
      <c r="ZC85"/>
      <c r="ZD85"/>
      <c r="ZE85"/>
      <c r="ZF85"/>
      <c r="ZG85"/>
      <c r="ZH85"/>
      <c r="ZI85"/>
      <c r="ZJ85"/>
      <c r="ZK85"/>
      <c r="ZL85"/>
      <c r="ZM85"/>
      <c r="ZN85"/>
      <c r="ZO85"/>
      <c r="ZP85"/>
      <c r="ZQ85"/>
      <c r="ZR85"/>
      <c r="ZS85"/>
      <c r="ZT85"/>
      <c r="ZU85"/>
      <c r="ZV85"/>
      <c r="ZW85"/>
      <c r="ZX85"/>
      <c r="ZY85"/>
      <c r="ZZ85"/>
      <c r="AAA85"/>
      <c r="AAB85"/>
      <c r="AAC85"/>
      <c r="AAD85"/>
      <c r="AAE85"/>
      <c r="AAF85"/>
      <c r="AAG85"/>
      <c r="AAH85"/>
      <c r="AAI85"/>
      <c r="AAJ85"/>
      <c r="AAK85"/>
      <c r="AAL85"/>
      <c r="AAM85"/>
      <c r="AAN85"/>
      <c r="AAO85"/>
      <c r="AAP85"/>
      <c r="AAQ85"/>
      <c r="AAR85"/>
      <c r="AAS85"/>
      <c r="AAT85"/>
      <c r="AAU85"/>
      <c r="AAV85"/>
      <c r="AAW85"/>
      <c r="AAX85"/>
      <c r="AAY85"/>
      <c r="AAZ85"/>
      <c r="ABA85"/>
      <c r="ABB85"/>
      <c r="ABC85"/>
      <c r="ABD85"/>
      <c r="ABE85"/>
      <c r="ABF85"/>
      <c r="ABG85"/>
      <c r="ABH85"/>
      <c r="ABI85"/>
      <c r="ABJ85"/>
      <c r="ABK85"/>
      <c r="ABL85"/>
      <c r="ABM85"/>
      <c r="ABN85"/>
      <c r="ABO85"/>
      <c r="ABP85"/>
      <c r="ABQ85"/>
      <c r="ABR85"/>
      <c r="ABS85"/>
      <c r="ABT85"/>
      <c r="ABU85"/>
      <c r="ABV85"/>
      <c r="ABW85"/>
      <c r="ABX85"/>
      <c r="ABY85"/>
      <c r="ABZ85"/>
      <c r="ACA85"/>
      <c r="ACB85"/>
      <c r="ACC85"/>
      <c r="ACD85"/>
      <c r="ACE85"/>
      <c r="ACF85"/>
      <c r="ACG85"/>
      <c r="ACH85"/>
      <c r="ACI85"/>
      <c r="ACJ85"/>
      <c r="ACK85"/>
      <c r="ACL85"/>
      <c r="ACM85"/>
      <c r="ACN85"/>
      <c r="ACO85"/>
      <c r="ACP85"/>
      <c r="ACQ85"/>
      <c r="ACR85"/>
      <c r="ACS85"/>
      <c r="ACT85"/>
      <c r="ACU85"/>
      <c r="ACV85"/>
      <c r="ACW85"/>
      <c r="ACX85"/>
      <c r="ACY85"/>
      <c r="ACZ85"/>
      <c r="ADA85"/>
      <c r="ADB85"/>
      <c r="ADC85"/>
      <c r="ADD85"/>
      <c r="ADE85"/>
      <c r="ADF85"/>
      <c r="ADG85"/>
      <c r="ADH85"/>
      <c r="ADI85"/>
      <c r="ADJ85"/>
      <c r="ADK85"/>
      <c r="ADL85"/>
      <c r="ADM85"/>
      <c r="ADN85"/>
      <c r="ADO85"/>
      <c r="ADP85"/>
      <c r="ADQ85"/>
      <c r="ADR85"/>
      <c r="ADS85"/>
      <c r="ADT85"/>
      <c r="ADU85"/>
      <c r="ADV85"/>
      <c r="ADW85"/>
      <c r="ADX85"/>
      <c r="ADY85"/>
      <c r="ADZ85"/>
      <c r="AEA85"/>
      <c r="AEB85"/>
      <c r="AEC85"/>
      <c r="AED85"/>
      <c r="AEE85"/>
      <c r="AEF85"/>
      <c r="AEG85"/>
      <c r="AEH85"/>
      <c r="AEI85"/>
      <c r="AEJ85"/>
      <c r="AEK85"/>
      <c r="AEL85"/>
      <c r="AEM85"/>
      <c r="AEN85"/>
      <c r="AEO85"/>
      <c r="AEP85"/>
      <c r="AEQ85"/>
      <c r="AER85"/>
      <c r="AES85"/>
      <c r="AET85"/>
      <c r="AEU85"/>
      <c r="AEV85"/>
      <c r="AEW85"/>
      <c r="AEX85"/>
      <c r="AEY85"/>
      <c r="AEZ85"/>
      <c r="AFA85"/>
      <c r="AFB85"/>
      <c r="AFC85"/>
      <c r="AFD85"/>
      <c r="AFE85"/>
      <c r="AFF85"/>
      <c r="AFG85"/>
      <c r="AFH85"/>
      <c r="AFI85"/>
      <c r="AFJ85"/>
      <c r="AFK85"/>
      <c r="AFL85"/>
      <c r="AFM85"/>
      <c r="AFN85"/>
      <c r="AFO85"/>
      <c r="AFP85"/>
      <c r="AFQ85"/>
      <c r="AFR85"/>
      <c r="AFS85"/>
      <c r="AFT85"/>
      <c r="AFU85"/>
      <c r="AFV85"/>
      <c r="AFW85"/>
      <c r="AFX85"/>
      <c r="AFY85"/>
      <c r="AFZ85"/>
      <c r="AGA85"/>
      <c r="AGB85"/>
      <c r="AGC85"/>
      <c r="AGD85"/>
      <c r="AGE85"/>
      <c r="AGF85"/>
      <c r="AGG85"/>
      <c r="AGH85"/>
      <c r="AGI85"/>
      <c r="AGJ85"/>
      <c r="AGK85"/>
      <c r="AGL85"/>
      <c r="AGM85"/>
      <c r="AGN85"/>
      <c r="AGO85"/>
      <c r="AGP85"/>
      <c r="AGQ85"/>
      <c r="AGR85"/>
      <c r="AGS85"/>
      <c r="AGT85"/>
      <c r="AGU85"/>
      <c r="AGV85"/>
      <c r="AGW85"/>
      <c r="AGX85"/>
      <c r="AGY85"/>
      <c r="AGZ85"/>
      <c r="AHA85"/>
      <c r="AHB85"/>
      <c r="AHC85"/>
      <c r="AHD85"/>
      <c r="AHE85"/>
      <c r="AHF85"/>
      <c r="AHG85"/>
      <c r="AHH85"/>
      <c r="AHI85"/>
      <c r="AHJ85"/>
      <c r="AHK85"/>
      <c r="AHL85"/>
      <c r="AHM85"/>
      <c r="AHN85"/>
      <c r="AHO85"/>
      <c r="AHP85"/>
      <c r="AHQ85"/>
      <c r="AHR85"/>
      <c r="AHS85"/>
      <c r="AHT85"/>
      <c r="AHU85"/>
      <c r="AHV85"/>
      <c r="AHW85"/>
      <c r="AHX85"/>
      <c r="AHY85"/>
      <c r="AHZ85"/>
      <c r="AIA85"/>
      <c r="AIB85"/>
      <c r="AIC85"/>
      <c r="AID85"/>
      <c r="AIE85"/>
      <c r="AIF85"/>
      <c r="AIG85"/>
      <c r="AIH85"/>
      <c r="AII85"/>
      <c r="AIJ85"/>
      <c r="AIK85"/>
      <c r="AIL85"/>
      <c r="AIM85"/>
      <c r="AIN85"/>
      <c r="AIO85"/>
      <c r="AIP85"/>
      <c r="AIQ85"/>
      <c r="AIR85"/>
      <c r="AIS85"/>
      <c r="AIT85"/>
      <c r="AIU85"/>
      <c r="AIV85"/>
      <c r="AIW85"/>
      <c r="AIX85"/>
      <c r="AIY85"/>
      <c r="AIZ85"/>
      <c r="AJA85"/>
      <c r="AJB85"/>
      <c r="AJC85"/>
      <c r="AJD85"/>
      <c r="AJE85"/>
      <c r="AJF85"/>
      <c r="AJG85"/>
      <c r="AJH85"/>
      <c r="AJI85"/>
      <c r="AJJ85"/>
      <c r="AJK85"/>
      <c r="AJL85"/>
      <c r="AJM85"/>
      <c r="AJN85"/>
      <c r="AJO85"/>
      <c r="AJP85"/>
      <c r="AJQ85"/>
      <c r="AJR85"/>
      <c r="AJS85"/>
      <c r="AJT85"/>
      <c r="AJU85"/>
      <c r="AJV85"/>
      <c r="AJW85"/>
      <c r="AJX85"/>
      <c r="AJY85"/>
      <c r="AJZ85"/>
      <c r="AKA85"/>
      <c r="AKB85"/>
      <c r="AKC85"/>
      <c r="AKD85"/>
      <c r="AKE85"/>
      <c r="AKF85"/>
      <c r="AKG85"/>
      <c r="AKH85"/>
      <c r="AKI85"/>
      <c r="AKJ85"/>
      <c r="AKK85"/>
      <c r="AKL85"/>
      <c r="AKM85"/>
      <c r="AKN85"/>
      <c r="AKO85"/>
      <c r="AKP85"/>
      <c r="AKQ85"/>
      <c r="AKR85"/>
      <c r="AKS85"/>
      <c r="AKT85"/>
      <c r="AKU85"/>
      <c r="AKV85"/>
      <c r="AKW85"/>
      <c r="AKX85"/>
      <c r="AKY85"/>
      <c r="AKZ85"/>
      <c r="ALA85"/>
      <c r="ALB85"/>
      <c r="ALC85"/>
      <c r="ALD85"/>
      <c r="ALE85"/>
      <c r="ALF85"/>
      <c r="ALG85"/>
      <c r="ALH85"/>
      <c r="ALI85"/>
      <c r="ALJ85"/>
      <c r="ALK85"/>
      <c r="ALL85"/>
      <c r="ALM85"/>
      <c r="ALN85"/>
      <c r="ALO85"/>
      <c r="ALP85"/>
      <c r="ALQ85"/>
      <c r="ALR85"/>
      <c r="ALS85"/>
      <c r="ALT85"/>
      <c r="ALU85"/>
      <c r="ALV85"/>
      <c r="ALW85"/>
      <c r="ALX85"/>
    </row>
    <row r="86" spans="1:1012" x14ac:dyDescent="0.15">
      <c r="A86" t="s">
        <v>130</v>
      </c>
      <c r="C86" t="s">
        <v>4067</v>
      </c>
      <c r="D86" s="5" t="s">
        <v>132</v>
      </c>
      <c r="E86" s="5"/>
      <c r="F86">
        <v>500</v>
      </c>
      <c r="G86" t="b">
        <v>0</v>
      </c>
      <c r="H86" s="1" t="s">
        <v>15</v>
      </c>
      <c r="I86" t="s">
        <v>21</v>
      </c>
      <c r="J86">
        <v>2</v>
      </c>
      <c r="K86" t="s">
        <v>4276</v>
      </c>
      <c r="L86" t="s">
        <v>4274</v>
      </c>
      <c r="M86" t="s">
        <v>4144</v>
      </c>
      <c r="N86" t="s">
        <v>4274</v>
      </c>
      <c r="O86" t="s">
        <v>4274</v>
      </c>
      <c r="P86" t="s">
        <v>4274</v>
      </c>
      <c r="Q86" t="s">
        <v>2505</v>
      </c>
      <c r="R86" t="s">
        <v>4233</v>
      </c>
    </row>
    <row r="87" spans="1:1012" ht="13.5" customHeight="1" x14ac:dyDescent="0.15">
      <c r="A87" t="s">
        <v>134</v>
      </c>
      <c r="C87" t="s">
        <v>4067</v>
      </c>
      <c r="D87" s="5" t="s">
        <v>136</v>
      </c>
      <c r="E87" s="5"/>
      <c r="F87">
        <v>500</v>
      </c>
      <c r="G87" t="b">
        <v>0</v>
      </c>
      <c r="H87" s="1" t="s">
        <v>15</v>
      </c>
      <c r="I87" t="s">
        <v>21</v>
      </c>
      <c r="J87">
        <v>2</v>
      </c>
      <c r="K87" t="s">
        <v>4276</v>
      </c>
      <c r="L87" t="s">
        <v>4274</v>
      </c>
      <c r="M87" t="s">
        <v>4144</v>
      </c>
      <c r="N87" t="s">
        <v>4274</v>
      </c>
      <c r="O87" t="s">
        <v>4274</v>
      </c>
      <c r="P87" t="s">
        <v>4274</v>
      </c>
      <c r="Q87" t="s">
        <v>2505</v>
      </c>
      <c r="R87" t="s">
        <v>4233</v>
      </c>
    </row>
    <row r="88" spans="1:1012" x14ac:dyDescent="0.15">
      <c r="A88" s="5" t="s">
        <v>3044</v>
      </c>
      <c r="B88" s="5"/>
      <c r="C88" s="5"/>
      <c r="D88" s="5" t="s">
        <v>3059</v>
      </c>
      <c r="E88" s="5"/>
      <c r="F88">
        <v>500</v>
      </c>
      <c r="G88" t="b">
        <v>0</v>
      </c>
      <c r="H88" s="1" t="s">
        <v>15</v>
      </c>
      <c r="I88" t="s">
        <v>21</v>
      </c>
      <c r="J88">
        <v>2</v>
      </c>
      <c r="K88" t="s">
        <v>4276</v>
      </c>
      <c r="L88" t="s">
        <v>4274</v>
      </c>
      <c r="M88" t="s">
        <v>4144</v>
      </c>
      <c r="N88" t="s">
        <v>4274</v>
      </c>
      <c r="O88" t="s">
        <v>4274</v>
      </c>
      <c r="P88" t="s">
        <v>4274</v>
      </c>
      <c r="Q88" t="s">
        <v>2505</v>
      </c>
      <c r="R88" t="s">
        <v>4233</v>
      </c>
    </row>
    <row r="89" spans="1:1012" x14ac:dyDescent="0.15">
      <c r="A89" s="5" t="s">
        <v>3045</v>
      </c>
      <c r="B89" s="5"/>
      <c r="C89" s="5"/>
      <c r="D89" s="5" t="s">
        <v>3060</v>
      </c>
      <c r="E89" s="5"/>
      <c r="F89">
        <v>500</v>
      </c>
      <c r="G89" t="b">
        <v>0</v>
      </c>
      <c r="H89" s="1" t="s">
        <v>15</v>
      </c>
      <c r="I89" t="s">
        <v>21</v>
      </c>
      <c r="J89">
        <v>2</v>
      </c>
      <c r="K89" t="s">
        <v>4276</v>
      </c>
      <c r="L89" t="s">
        <v>4274</v>
      </c>
      <c r="M89" t="s">
        <v>4144</v>
      </c>
      <c r="N89" t="s">
        <v>4274</v>
      </c>
      <c r="O89" t="s">
        <v>4274</v>
      </c>
      <c r="P89" t="s">
        <v>4274</v>
      </c>
      <c r="Q89" t="s">
        <v>2505</v>
      </c>
      <c r="R89" t="s">
        <v>4233</v>
      </c>
    </row>
    <row r="90" spans="1:1012" x14ac:dyDescent="0.15">
      <c r="A90" s="5" t="s">
        <v>115</v>
      </c>
      <c r="B90" s="5"/>
      <c r="C90" s="5"/>
      <c r="D90" t="s">
        <v>116</v>
      </c>
      <c r="F90">
        <v>500</v>
      </c>
      <c r="G90" t="b">
        <v>0</v>
      </c>
      <c r="H90" s="1" t="s">
        <v>15</v>
      </c>
      <c r="I90" t="s">
        <v>72</v>
      </c>
      <c r="J90">
        <v>1</v>
      </c>
      <c r="K90" t="s">
        <v>4276</v>
      </c>
      <c r="L90" t="s">
        <v>4274</v>
      </c>
      <c r="M90" t="s">
        <v>4144</v>
      </c>
      <c r="N90" t="s">
        <v>4274</v>
      </c>
      <c r="O90" t="s">
        <v>4274</v>
      </c>
      <c r="P90" t="s">
        <v>4274</v>
      </c>
      <c r="Q90" t="s">
        <v>2505</v>
      </c>
      <c r="R90" t="s">
        <v>4233</v>
      </c>
    </row>
    <row r="91" spans="1:1012" x14ac:dyDescent="0.15">
      <c r="A91" s="5" t="s">
        <v>70</v>
      </c>
      <c r="B91" s="5"/>
      <c r="C91" s="5" t="s">
        <v>115</v>
      </c>
      <c r="D91" t="s">
        <v>117</v>
      </c>
      <c r="F91">
        <v>500</v>
      </c>
      <c r="G91" t="b">
        <v>0</v>
      </c>
      <c r="H91" s="1" t="s">
        <v>15</v>
      </c>
      <c r="I91" t="s">
        <v>72</v>
      </c>
      <c r="J91">
        <v>1</v>
      </c>
      <c r="K91" t="s">
        <v>4277</v>
      </c>
      <c r="L91" t="s">
        <v>4274</v>
      </c>
      <c r="M91" t="s">
        <v>4144</v>
      </c>
      <c r="N91" t="s">
        <v>4274</v>
      </c>
      <c r="O91" t="s">
        <v>4274</v>
      </c>
      <c r="P91" t="s">
        <v>4274</v>
      </c>
      <c r="Q91" t="s">
        <v>2505</v>
      </c>
      <c r="R91" t="s">
        <v>4274</v>
      </c>
    </row>
    <row r="92" spans="1:1012" x14ac:dyDescent="0.15">
      <c r="A92" s="5" t="s">
        <v>69</v>
      </c>
      <c r="B92" s="5"/>
      <c r="C92" s="5" t="s">
        <v>4060</v>
      </c>
      <c r="D92" s="5" t="s">
        <v>71</v>
      </c>
      <c r="E92" s="5"/>
      <c r="F92">
        <v>450</v>
      </c>
      <c r="G92" t="b">
        <v>0</v>
      </c>
      <c r="H92" s="1" t="s">
        <v>15</v>
      </c>
      <c r="I92" t="s">
        <v>72</v>
      </c>
      <c r="J92">
        <v>1</v>
      </c>
      <c r="K92" t="s">
        <v>4276</v>
      </c>
      <c r="L92" t="s">
        <v>4274</v>
      </c>
      <c r="M92" t="s">
        <v>4144</v>
      </c>
      <c r="N92" t="s">
        <v>4274</v>
      </c>
      <c r="O92" t="s">
        <v>4274</v>
      </c>
      <c r="P92" t="s">
        <v>4274</v>
      </c>
      <c r="Q92" t="s">
        <v>2505</v>
      </c>
      <c r="R92" t="s">
        <v>4233</v>
      </c>
    </row>
    <row r="93" spans="1:1012" x14ac:dyDescent="0.15">
      <c r="A93" s="5" t="s">
        <v>3212</v>
      </c>
      <c r="B93" s="5"/>
      <c r="C93" s="5" t="s">
        <v>4062</v>
      </c>
      <c r="D93" t="s">
        <v>3216</v>
      </c>
      <c r="F93">
        <v>600</v>
      </c>
      <c r="G93" t="b">
        <v>0</v>
      </c>
      <c r="H93" s="1" t="s">
        <v>15</v>
      </c>
      <c r="I93" t="s">
        <v>49</v>
      </c>
      <c r="J93">
        <v>2</v>
      </c>
      <c r="K93" t="s">
        <v>4276</v>
      </c>
      <c r="L93" t="s">
        <v>4274</v>
      </c>
      <c r="M93" t="s">
        <v>4144</v>
      </c>
      <c r="N93" t="s">
        <v>4274</v>
      </c>
      <c r="O93" t="s">
        <v>4274</v>
      </c>
      <c r="P93" t="s">
        <v>4274</v>
      </c>
      <c r="Q93" t="s">
        <v>2505</v>
      </c>
      <c r="R93" t="s">
        <v>4233</v>
      </c>
    </row>
    <row r="94" spans="1:1012" ht="14" x14ac:dyDescent="0.15">
      <c r="A94" t="s">
        <v>48</v>
      </c>
      <c r="C94" s="31" t="s">
        <v>4154</v>
      </c>
      <c r="D94" t="s">
        <v>56</v>
      </c>
      <c r="F94">
        <v>700</v>
      </c>
      <c r="G94" t="b">
        <v>0</v>
      </c>
      <c r="H94" s="1" t="s">
        <v>15</v>
      </c>
      <c r="I94" t="s">
        <v>49</v>
      </c>
      <c r="J94">
        <v>2</v>
      </c>
      <c r="K94" t="s">
        <v>4286</v>
      </c>
      <c r="L94" t="s">
        <v>4274</v>
      </c>
      <c r="M94" t="s">
        <v>4144</v>
      </c>
      <c r="N94" t="s">
        <v>4274</v>
      </c>
      <c r="O94" t="s">
        <v>4274</v>
      </c>
      <c r="P94" t="s">
        <v>4281</v>
      </c>
      <c r="Q94" t="s">
        <v>2505</v>
      </c>
      <c r="R94" t="s">
        <v>4233</v>
      </c>
    </row>
    <row r="95" spans="1:1012" x14ac:dyDescent="0.15">
      <c r="A95" t="s">
        <v>4094</v>
      </c>
      <c r="C95" t="s">
        <v>4095</v>
      </c>
      <c r="D95" t="s">
        <v>2727</v>
      </c>
      <c r="F95">
        <v>600</v>
      </c>
      <c r="G95" t="b">
        <v>0</v>
      </c>
      <c r="H95" s="1" t="s">
        <v>15</v>
      </c>
      <c r="I95" t="s">
        <v>49</v>
      </c>
      <c r="J95">
        <v>2</v>
      </c>
      <c r="K95" t="s">
        <v>4284</v>
      </c>
      <c r="L95" t="s">
        <v>2434</v>
      </c>
      <c r="M95" t="s">
        <v>4144</v>
      </c>
      <c r="N95" t="s">
        <v>4274</v>
      </c>
      <c r="O95" t="s">
        <v>4274</v>
      </c>
      <c r="P95" t="s">
        <v>4281</v>
      </c>
      <c r="Q95" t="s">
        <v>2505</v>
      </c>
      <c r="R95" t="s">
        <v>4233</v>
      </c>
      <c r="T95" t="s">
        <v>4124</v>
      </c>
    </row>
    <row r="96" spans="1:1012" x14ac:dyDescent="0.15">
      <c r="A96" t="s">
        <v>4095</v>
      </c>
      <c r="C96" t="s">
        <v>3212</v>
      </c>
      <c r="D96" t="s">
        <v>2728</v>
      </c>
      <c r="F96">
        <v>500</v>
      </c>
      <c r="G96" t="b">
        <v>0</v>
      </c>
      <c r="H96" s="1" t="s">
        <v>15</v>
      </c>
      <c r="I96" t="s">
        <v>49</v>
      </c>
      <c r="J96">
        <v>2</v>
      </c>
      <c r="K96" t="s">
        <v>4285</v>
      </c>
      <c r="L96" t="s">
        <v>2434</v>
      </c>
      <c r="M96" t="s">
        <v>4144</v>
      </c>
      <c r="N96" t="s">
        <v>4274</v>
      </c>
      <c r="O96" t="s">
        <v>4274</v>
      </c>
      <c r="P96" t="s">
        <v>4281</v>
      </c>
      <c r="Q96" t="s">
        <v>2505</v>
      </c>
      <c r="R96" t="s">
        <v>4233</v>
      </c>
      <c r="S96" t="s">
        <v>2524</v>
      </c>
    </row>
    <row r="97" spans="1:18" x14ac:dyDescent="0.15">
      <c r="A97" t="s">
        <v>54</v>
      </c>
      <c r="C97" s="6"/>
      <c r="D97" t="s">
        <v>55</v>
      </c>
      <c r="F97">
        <v>500</v>
      </c>
      <c r="G97" t="b">
        <v>0</v>
      </c>
      <c r="H97" s="1" t="s">
        <v>15</v>
      </c>
      <c r="I97" t="s">
        <v>49</v>
      </c>
      <c r="J97">
        <v>2</v>
      </c>
      <c r="K97" t="s">
        <v>4283</v>
      </c>
      <c r="L97" t="s">
        <v>4274</v>
      </c>
      <c r="M97" t="s">
        <v>4274</v>
      </c>
      <c r="N97" t="s">
        <v>4274</v>
      </c>
      <c r="O97" t="s">
        <v>4274</v>
      </c>
      <c r="P97" t="s">
        <v>4281</v>
      </c>
      <c r="Q97" t="s">
        <v>2505</v>
      </c>
      <c r="R97" t="s">
        <v>4233</v>
      </c>
    </row>
    <row r="98" spans="1:18" x14ac:dyDescent="0.15">
      <c r="A98" t="s">
        <v>156</v>
      </c>
      <c r="B98" t="s">
        <v>4265</v>
      </c>
      <c r="C98" t="s">
        <v>158</v>
      </c>
      <c r="D98" t="s">
        <v>157</v>
      </c>
      <c r="F98">
        <v>400</v>
      </c>
      <c r="G98" t="b">
        <v>0</v>
      </c>
      <c r="H98" s="1" t="s">
        <v>15</v>
      </c>
      <c r="I98" t="s">
        <v>103</v>
      </c>
      <c r="J98">
        <v>0</v>
      </c>
      <c r="K98" t="s">
        <v>4287</v>
      </c>
      <c r="L98" t="s">
        <v>4274</v>
      </c>
      <c r="M98" t="s">
        <v>4144</v>
      </c>
      <c r="N98" t="s">
        <v>4274</v>
      </c>
      <c r="O98" t="s">
        <v>103</v>
      </c>
      <c r="P98" t="s">
        <v>4274</v>
      </c>
      <c r="Q98" t="s">
        <v>4274</v>
      </c>
      <c r="R98" t="s">
        <v>4274</v>
      </c>
    </row>
    <row r="99" spans="1:18" x14ac:dyDescent="0.15">
      <c r="A99" t="s">
        <v>4271</v>
      </c>
      <c r="B99" t="s">
        <v>4272</v>
      </c>
      <c r="C99" t="s">
        <v>158</v>
      </c>
      <c r="D99" t="s">
        <v>4266</v>
      </c>
      <c r="F99">
        <v>400</v>
      </c>
      <c r="G99" t="b">
        <v>0</v>
      </c>
      <c r="H99" s="1" t="s">
        <v>15</v>
      </c>
      <c r="I99" t="s">
        <v>103</v>
      </c>
      <c r="J99">
        <v>0</v>
      </c>
      <c r="K99" t="s">
        <v>4287</v>
      </c>
      <c r="L99" t="s">
        <v>4274</v>
      </c>
      <c r="M99" t="s">
        <v>4144</v>
      </c>
      <c r="N99" t="s">
        <v>4274</v>
      </c>
      <c r="O99" t="s">
        <v>103</v>
      </c>
      <c r="P99" t="s">
        <v>4274</v>
      </c>
      <c r="Q99" t="s">
        <v>4274</v>
      </c>
      <c r="R99" t="s">
        <v>4274</v>
      </c>
    </row>
    <row r="100" spans="1:18" x14ac:dyDescent="0.15">
      <c r="A100" t="s">
        <v>100</v>
      </c>
      <c r="C100" t="s">
        <v>4270</v>
      </c>
      <c r="D100" t="s">
        <v>102</v>
      </c>
      <c r="F100">
        <v>520</v>
      </c>
      <c r="G100" t="b">
        <v>0</v>
      </c>
      <c r="H100" s="1" t="s">
        <v>15</v>
      </c>
      <c r="I100" t="s">
        <v>103</v>
      </c>
      <c r="J100">
        <v>0</v>
      </c>
      <c r="K100" t="s">
        <v>4287</v>
      </c>
      <c r="L100" t="s">
        <v>4274</v>
      </c>
      <c r="M100" t="s">
        <v>4144</v>
      </c>
      <c r="N100" t="s">
        <v>4274</v>
      </c>
      <c r="O100" t="s">
        <v>103</v>
      </c>
      <c r="P100" t="s">
        <v>4274</v>
      </c>
      <c r="Q100" t="s">
        <v>4274</v>
      </c>
      <c r="R100" t="s">
        <v>4274</v>
      </c>
    </row>
    <row r="101" spans="1:18" x14ac:dyDescent="0.15">
      <c r="A101" t="s">
        <v>101</v>
      </c>
      <c r="D101" t="s">
        <v>106</v>
      </c>
      <c r="F101">
        <v>550</v>
      </c>
      <c r="G101" t="b">
        <v>0</v>
      </c>
      <c r="H101" s="1" t="s">
        <v>15</v>
      </c>
      <c r="I101" t="s">
        <v>103</v>
      </c>
      <c r="J101">
        <v>0</v>
      </c>
      <c r="K101" t="s">
        <v>4287</v>
      </c>
      <c r="L101" t="s">
        <v>4274</v>
      </c>
      <c r="M101" t="s">
        <v>4144</v>
      </c>
      <c r="N101" t="s">
        <v>4274</v>
      </c>
      <c r="O101" t="s">
        <v>103</v>
      </c>
      <c r="P101" t="s">
        <v>4274</v>
      </c>
      <c r="Q101" t="s">
        <v>4274</v>
      </c>
      <c r="R101" t="s">
        <v>4274</v>
      </c>
    </row>
    <row r="102" spans="1:18" x14ac:dyDescent="0.15">
      <c r="A102" t="s">
        <v>104</v>
      </c>
      <c r="C102" t="s">
        <v>4228</v>
      </c>
      <c r="D102" t="s">
        <v>105</v>
      </c>
      <c r="F102">
        <v>650</v>
      </c>
      <c r="G102" t="b">
        <v>0</v>
      </c>
      <c r="H102" s="1" t="s">
        <v>15</v>
      </c>
      <c r="I102" t="s">
        <v>103</v>
      </c>
      <c r="J102">
        <v>0</v>
      </c>
      <c r="K102" t="s">
        <v>4287</v>
      </c>
      <c r="L102" t="s">
        <v>4274</v>
      </c>
      <c r="M102" t="s">
        <v>4144</v>
      </c>
      <c r="N102" t="s">
        <v>4274</v>
      </c>
      <c r="O102" t="s">
        <v>103</v>
      </c>
      <c r="P102" t="s">
        <v>4274</v>
      </c>
      <c r="Q102" t="s">
        <v>4274</v>
      </c>
      <c r="R102" t="s">
        <v>4274</v>
      </c>
    </row>
    <row r="103" spans="1:18" x14ac:dyDescent="0.15">
      <c r="A103" s="5" t="s">
        <v>4162</v>
      </c>
      <c r="B103" t="s">
        <v>4176</v>
      </c>
      <c r="D103" s="5" t="s">
        <v>4175</v>
      </c>
      <c r="E103" s="5" t="s">
        <v>1227</v>
      </c>
      <c r="F103">
        <v>500</v>
      </c>
      <c r="G103" t="b">
        <v>1</v>
      </c>
      <c r="H103" s="1" t="s">
        <v>15</v>
      </c>
      <c r="I103" t="s">
        <v>103</v>
      </c>
      <c r="J103">
        <v>0</v>
      </c>
      <c r="K103" t="s">
        <v>4287</v>
      </c>
      <c r="L103" t="s">
        <v>4274</v>
      </c>
      <c r="M103" t="s">
        <v>4144</v>
      </c>
      <c r="N103" t="s">
        <v>4274</v>
      </c>
      <c r="O103" t="s">
        <v>103</v>
      </c>
      <c r="P103" t="s">
        <v>4274</v>
      </c>
      <c r="Q103" t="s">
        <v>4274</v>
      </c>
      <c r="R103" t="s">
        <v>4274</v>
      </c>
    </row>
    <row r="104" spans="1:18" x14ac:dyDescent="0.15">
      <c r="A104" s="5" t="s">
        <v>4177</v>
      </c>
      <c r="B104" t="s">
        <v>4179</v>
      </c>
      <c r="D104" s="5" t="s">
        <v>4196</v>
      </c>
      <c r="E104" s="5" t="s">
        <v>4178</v>
      </c>
      <c r="F104">
        <v>500</v>
      </c>
      <c r="G104" t="b">
        <v>1</v>
      </c>
      <c r="H104" s="1" t="s">
        <v>15</v>
      </c>
      <c r="I104" t="s">
        <v>103</v>
      </c>
      <c r="J104">
        <v>0</v>
      </c>
      <c r="K104" t="s">
        <v>4287</v>
      </c>
      <c r="L104" t="s">
        <v>4274</v>
      </c>
      <c r="M104" t="s">
        <v>4144</v>
      </c>
      <c r="N104" t="s">
        <v>4274</v>
      </c>
      <c r="O104" t="s">
        <v>103</v>
      </c>
      <c r="P104" t="s">
        <v>4274</v>
      </c>
      <c r="Q104" t="s">
        <v>4274</v>
      </c>
      <c r="R104" t="s">
        <v>4274</v>
      </c>
    </row>
    <row r="105" spans="1:18" x14ac:dyDescent="0.15">
      <c r="A105" t="s">
        <v>158</v>
      </c>
      <c r="C105" t="s">
        <v>4194</v>
      </c>
      <c r="D105" t="s">
        <v>4187</v>
      </c>
      <c r="F105">
        <v>500</v>
      </c>
      <c r="G105" t="b">
        <v>0</v>
      </c>
      <c r="H105" s="1" t="s">
        <v>15</v>
      </c>
      <c r="I105" t="s">
        <v>103</v>
      </c>
      <c r="J105">
        <v>0</v>
      </c>
      <c r="K105" t="s">
        <v>4287</v>
      </c>
      <c r="L105" t="s">
        <v>4274</v>
      </c>
      <c r="M105" t="s">
        <v>4144</v>
      </c>
      <c r="N105" t="s">
        <v>4274</v>
      </c>
      <c r="O105" t="s">
        <v>103</v>
      </c>
      <c r="P105" t="s">
        <v>4274</v>
      </c>
      <c r="Q105" t="s">
        <v>4274</v>
      </c>
      <c r="R105" t="s">
        <v>4274</v>
      </c>
    </row>
    <row r="106" spans="1:18" x14ac:dyDescent="0.15">
      <c r="A106" t="s">
        <v>4188</v>
      </c>
      <c r="B106" t="s">
        <v>4191</v>
      </c>
      <c r="D106" t="s">
        <v>4054</v>
      </c>
      <c r="F106">
        <v>500</v>
      </c>
      <c r="G106" t="b">
        <v>1</v>
      </c>
      <c r="H106" s="1" t="s">
        <v>15</v>
      </c>
      <c r="I106" t="s">
        <v>103</v>
      </c>
      <c r="J106">
        <v>0</v>
      </c>
      <c r="K106" t="s">
        <v>4287</v>
      </c>
      <c r="L106" t="s">
        <v>4274</v>
      </c>
      <c r="M106" t="s">
        <v>4144</v>
      </c>
      <c r="N106" t="s">
        <v>4274</v>
      </c>
      <c r="O106" t="s">
        <v>103</v>
      </c>
      <c r="P106" t="s">
        <v>4274</v>
      </c>
      <c r="Q106" t="s">
        <v>4274</v>
      </c>
      <c r="R106" t="s">
        <v>4274</v>
      </c>
    </row>
    <row r="107" spans="1:18" x14ac:dyDescent="0.15">
      <c r="A107" t="s">
        <v>4189</v>
      </c>
      <c r="B107" t="s">
        <v>4192</v>
      </c>
      <c r="D107" t="s">
        <v>4197</v>
      </c>
      <c r="F107">
        <v>600</v>
      </c>
      <c r="G107" t="b">
        <v>1</v>
      </c>
      <c r="H107" s="1" t="s">
        <v>15</v>
      </c>
      <c r="I107" t="s">
        <v>103</v>
      </c>
      <c r="J107">
        <v>0</v>
      </c>
      <c r="K107" t="s">
        <v>4287</v>
      </c>
      <c r="L107" t="s">
        <v>4274</v>
      </c>
      <c r="M107" t="s">
        <v>4144</v>
      </c>
      <c r="N107" t="s">
        <v>4274</v>
      </c>
      <c r="O107" t="s">
        <v>103</v>
      </c>
      <c r="P107" t="s">
        <v>4274</v>
      </c>
      <c r="Q107" t="s">
        <v>4274</v>
      </c>
      <c r="R107" t="s">
        <v>4274</v>
      </c>
    </row>
    <row r="108" spans="1:18" x14ac:dyDescent="0.15">
      <c r="A108" t="s">
        <v>4190</v>
      </c>
      <c r="B108" t="s">
        <v>4192</v>
      </c>
      <c r="D108" t="s">
        <v>4198</v>
      </c>
      <c r="F108">
        <v>500</v>
      </c>
      <c r="G108" t="b">
        <v>1</v>
      </c>
      <c r="H108" s="1" t="s">
        <v>15</v>
      </c>
      <c r="I108" t="s">
        <v>103</v>
      </c>
      <c r="J108">
        <v>0</v>
      </c>
      <c r="K108" t="s">
        <v>4287</v>
      </c>
      <c r="L108" t="s">
        <v>4274</v>
      </c>
      <c r="M108" t="s">
        <v>4144</v>
      </c>
      <c r="N108" t="s">
        <v>4274</v>
      </c>
      <c r="O108" t="s">
        <v>103</v>
      </c>
      <c r="P108" t="s">
        <v>4274</v>
      </c>
      <c r="Q108" t="s">
        <v>4274</v>
      </c>
      <c r="R108" t="s">
        <v>4274</v>
      </c>
    </row>
    <row r="109" spans="1:18" x14ac:dyDescent="0.15">
      <c r="A109" t="s">
        <v>4193</v>
      </c>
      <c r="B109" t="s">
        <v>4195</v>
      </c>
      <c r="D109" t="s">
        <v>4199</v>
      </c>
      <c r="F109">
        <v>500</v>
      </c>
      <c r="G109" t="b">
        <v>1</v>
      </c>
      <c r="H109" s="1" t="s">
        <v>15</v>
      </c>
      <c r="I109" t="s">
        <v>103</v>
      </c>
      <c r="J109">
        <v>0</v>
      </c>
      <c r="K109" t="s">
        <v>4287</v>
      </c>
      <c r="L109" t="s">
        <v>4274</v>
      </c>
      <c r="M109" t="s">
        <v>4144</v>
      </c>
      <c r="N109" t="s">
        <v>4274</v>
      </c>
      <c r="O109" t="s">
        <v>103</v>
      </c>
      <c r="P109" t="s">
        <v>4274</v>
      </c>
      <c r="Q109" t="s">
        <v>4274</v>
      </c>
      <c r="R109" t="s">
        <v>4274</v>
      </c>
    </row>
    <row r="110" spans="1:18" x14ac:dyDescent="0.15">
      <c r="A110" t="s">
        <v>4203</v>
      </c>
      <c r="B110" t="s">
        <v>4204</v>
      </c>
      <c r="D110" t="s">
        <v>4205</v>
      </c>
      <c r="F110">
        <v>500</v>
      </c>
      <c r="G110" t="b">
        <v>0</v>
      </c>
      <c r="H110" s="1" t="s">
        <v>15</v>
      </c>
      <c r="I110" t="s">
        <v>103</v>
      </c>
      <c r="J110">
        <v>0</v>
      </c>
      <c r="K110" t="s">
        <v>4287</v>
      </c>
      <c r="L110" t="s">
        <v>4274</v>
      </c>
      <c r="M110" t="s">
        <v>4144</v>
      </c>
      <c r="N110" t="s">
        <v>4274</v>
      </c>
      <c r="O110" t="s">
        <v>103</v>
      </c>
    </row>
    <row r="111" spans="1:18" x14ac:dyDescent="0.15">
      <c r="A111" t="s">
        <v>85</v>
      </c>
      <c r="C111" t="s">
        <v>4403</v>
      </c>
      <c r="D111" t="s">
        <v>86</v>
      </c>
      <c r="F111">
        <v>500</v>
      </c>
      <c r="G111" t="b">
        <v>0</v>
      </c>
      <c r="H111" s="1" t="s">
        <v>15</v>
      </c>
      <c r="I111" t="s">
        <v>87</v>
      </c>
      <c r="J111">
        <v>0</v>
      </c>
      <c r="K111" t="s">
        <v>4279</v>
      </c>
      <c r="L111" t="s">
        <v>2434</v>
      </c>
      <c r="M111" t="s">
        <v>4144</v>
      </c>
      <c r="N111" t="s">
        <v>4274</v>
      </c>
      <c r="O111" t="s">
        <v>4274</v>
      </c>
      <c r="P111" t="s">
        <v>4274</v>
      </c>
      <c r="Q111" t="s">
        <v>2505</v>
      </c>
      <c r="R111" t="s">
        <v>4274</v>
      </c>
    </row>
    <row r="112" spans="1:18" x14ac:dyDescent="0.15">
      <c r="A112" t="s">
        <v>147</v>
      </c>
      <c r="D112" t="s">
        <v>148</v>
      </c>
      <c r="F112">
        <v>500</v>
      </c>
      <c r="G112" t="b">
        <v>0</v>
      </c>
      <c r="H112" s="1" t="s">
        <v>15</v>
      </c>
      <c r="I112" t="s">
        <v>87</v>
      </c>
      <c r="J112">
        <v>0</v>
      </c>
      <c r="K112" t="s">
        <v>4279</v>
      </c>
      <c r="L112" t="s">
        <v>2434</v>
      </c>
      <c r="M112" t="s">
        <v>4144</v>
      </c>
      <c r="N112" t="s">
        <v>4274</v>
      </c>
      <c r="O112" t="s">
        <v>4274</v>
      </c>
      <c r="P112" t="s">
        <v>4274</v>
      </c>
      <c r="Q112" t="s">
        <v>2505</v>
      </c>
      <c r="R112" t="s">
        <v>4274</v>
      </c>
    </row>
    <row r="113" spans="1:1012" x14ac:dyDescent="0.15">
      <c r="A113" t="s">
        <v>97</v>
      </c>
      <c r="D113" t="s">
        <v>98</v>
      </c>
      <c r="F113">
        <v>500</v>
      </c>
      <c r="G113" t="b">
        <v>0</v>
      </c>
      <c r="H113" s="1" t="s">
        <v>15</v>
      </c>
      <c r="I113" t="s">
        <v>99</v>
      </c>
      <c r="J113">
        <v>0</v>
      </c>
      <c r="K113" t="s">
        <v>4277</v>
      </c>
      <c r="L113" t="s">
        <v>4274</v>
      </c>
      <c r="M113" t="s">
        <v>4144</v>
      </c>
      <c r="N113" t="s">
        <v>4274</v>
      </c>
      <c r="O113" t="s">
        <v>4274</v>
      </c>
      <c r="P113" t="s">
        <v>4274</v>
      </c>
      <c r="Q113" t="s">
        <v>2505</v>
      </c>
      <c r="R113" t="s">
        <v>4274</v>
      </c>
    </row>
    <row r="114" spans="1:1012" x14ac:dyDescent="0.15">
      <c r="A114" s="5" t="s">
        <v>168</v>
      </c>
      <c r="B114" s="5"/>
      <c r="C114" s="5"/>
      <c r="D114" t="s">
        <v>169</v>
      </c>
      <c r="F114">
        <v>500</v>
      </c>
      <c r="G114" t="b">
        <v>0</v>
      </c>
      <c r="H114" s="1" t="s">
        <v>15</v>
      </c>
      <c r="I114" t="s">
        <v>143</v>
      </c>
      <c r="J114">
        <v>1</v>
      </c>
      <c r="K114" t="s">
        <v>4277</v>
      </c>
      <c r="L114" t="s">
        <v>4274</v>
      </c>
      <c r="M114" t="s">
        <v>4144</v>
      </c>
      <c r="N114" t="s">
        <v>4274</v>
      </c>
      <c r="O114" t="s">
        <v>4274</v>
      </c>
      <c r="P114" t="s">
        <v>4274</v>
      </c>
      <c r="Q114" t="s">
        <v>2505</v>
      </c>
      <c r="R114" t="s">
        <v>4274</v>
      </c>
    </row>
    <row r="115" spans="1:1012" x14ac:dyDescent="0.15">
      <c r="A115" s="5" t="s">
        <v>140</v>
      </c>
      <c r="B115" s="5"/>
      <c r="C115" s="5"/>
      <c r="D115" s="5" t="s">
        <v>142</v>
      </c>
      <c r="E115" s="5"/>
      <c r="F115">
        <v>400</v>
      </c>
      <c r="G115" t="b">
        <v>0</v>
      </c>
      <c r="H115" s="1" t="s">
        <v>15</v>
      </c>
      <c r="I115" t="s">
        <v>143</v>
      </c>
      <c r="J115">
        <v>1</v>
      </c>
      <c r="K115" t="s">
        <v>4277</v>
      </c>
      <c r="L115" t="s">
        <v>4274</v>
      </c>
      <c r="M115" t="s">
        <v>4144</v>
      </c>
      <c r="N115" t="s">
        <v>4274</v>
      </c>
      <c r="O115" t="s">
        <v>4274</v>
      </c>
      <c r="P115" t="s">
        <v>4274</v>
      </c>
      <c r="Q115" t="s">
        <v>2505</v>
      </c>
      <c r="R115" t="s">
        <v>4274</v>
      </c>
    </row>
    <row r="116" spans="1:1012" x14ac:dyDescent="0.15">
      <c r="A116" s="5" t="s">
        <v>141</v>
      </c>
      <c r="B116" s="5"/>
      <c r="C116" s="5"/>
      <c r="D116" t="s">
        <v>146</v>
      </c>
      <c r="F116">
        <v>400</v>
      </c>
      <c r="G116" t="b">
        <v>0</v>
      </c>
      <c r="H116" s="1" t="s">
        <v>15</v>
      </c>
      <c r="I116" t="s">
        <v>143</v>
      </c>
      <c r="J116">
        <v>1</v>
      </c>
      <c r="K116" t="s">
        <v>4277</v>
      </c>
      <c r="L116" t="s">
        <v>4274</v>
      </c>
      <c r="M116" t="s">
        <v>4144</v>
      </c>
      <c r="N116" t="s">
        <v>4274</v>
      </c>
      <c r="O116" t="s">
        <v>4274</v>
      </c>
      <c r="P116" t="s">
        <v>4274</v>
      </c>
      <c r="Q116" t="s">
        <v>2505</v>
      </c>
      <c r="R116" t="s">
        <v>4274</v>
      </c>
    </row>
    <row r="117" spans="1:1012" x14ac:dyDescent="0.15">
      <c r="A117" s="5" t="s">
        <v>144</v>
      </c>
      <c r="B117" s="5"/>
      <c r="C117" s="5"/>
      <c r="D117" s="5" t="s">
        <v>145</v>
      </c>
      <c r="E117" s="5"/>
      <c r="F117">
        <v>400</v>
      </c>
      <c r="G117" t="b">
        <v>0</v>
      </c>
      <c r="H117" s="1" t="s">
        <v>15</v>
      </c>
      <c r="I117" t="s">
        <v>143</v>
      </c>
      <c r="J117">
        <v>1</v>
      </c>
      <c r="K117" t="s">
        <v>4233</v>
      </c>
      <c r="L117" t="s">
        <v>4274</v>
      </c>
      <c r="M117" t="s">
        <v>4274</v>
      </c>
      <c r="N117" t="s">
        <v>4274</v>
      </c>
      <c r="O117" t="s">
        <v>4274</v>
      </c>
      <c r="P117" t="s">
        <v>4274</v>
      </c>
      <c r="Q117" t="s">
        <v>4274</v>
      </c>
      <c r="R117" t="s">
        <v>4233</v>
      </c>
    </row>
    <row r="118" spans="1:1012" x14ac:dyDescent="0.15">
      <c r="A118" s="5" t="s">
        <v>108</v>
      </c>
      <c r="B118" s="5"/>
      <c r="C118" s="5" t="s">
        <v>4229</v>
      </c>
      <c r="D118" t="s">
        <v>2767</v>
      </c>
      <c r="F118">
        <v>500</v>
      </c>
      <c r="G118" t="b">
        <v>0</v>
      </c>
      <c r="H118" s="1" t="s">
        <v>15</v>
      </c>
      <c r="I118" s="23" t="s">
        <v>3842</v>
      </c>
      <c r="J118">
        <v>0</v>
      </c>
      <c r="K118" t="s">
        <v>4277</v>
      </c>
      <c r="L118" t="s">
        <v>4274</v>
      </c>
      <c r="M118" t="s">
        <v>4144</v>
      </c>
      <c r="N118" t="s">
        <v>4274</v>
      </c>
      <c r="O118" t="s">
        <v>4274</v>
      </c>
      <c r="P118" t="s">
        <v>4274</v>
      </c>
      <c r="Q118" t="s">
        <v>2505</v>
      </c>
      <c r="R118" t="s">
        <v>4274</v>
      </c>
    </row>
    <row r="119" spans="1:1012" x14ac:dyDescent="0.15">
      <c r="A119" s="24" t="s">
        <v>3840</v>
      </c>
      <c r="B119" s="24"/>
      <c r="C119" s="24"/>
      <c r="D119" s="26" t="s">
        <v>3841</v>
      </c>
      <c r="E119" s="26"/>
      <c r="F119" s="24">
        <v>800</v>
      </c>
      <c r="G119" t="b">
        <v>0</v>
      </c>
      <c r="H119" s="25" t="s">
        <v>15</v>
      </c>
      <c r="I119" s="24" t="s">
        <v>3842</v>
      </c>
      <c r="J119" s="24">
        <v>0</v>
      </c>
      <c r="K119" t="s">
        <v>4276</v>
      </c>
      <c r="L119" t="s">
        <v>4274</v>
      </c>
      <c r="M119" t="s">
        <v>4144</v>
      </c>
      <c r="N119" t="s">
        <v>4274</v>
      </c>
      <c r="O119" t="s">
        <v>4274</v>
      </c>
      <c r="P119" t="s">
        <v>4274</v>
      </c>
      <c r="Q119" t="s">
        <v>2505</v>
      </c>
      <c r="R119" t="s">
        <v>4233</v>
      </c>
      <c r="S119" s="24"/>
      <c r="T119" s="24"/>
      <c r="U119" s="24"/>
      <c r="V119" s="24"/>
      <c r="W119" s="24"/>
      <c r="X119" s="24"/>
      <c r="Y119" s="24"/>
      <c r="Z119" s="24"/>
      <c r="AA119" s="24"/>
      <c r="AB119" s="24"/>
      <c r="AC119" s="24"/>
      <c r="AD119" s="24"/>
      <c r="AE119" s="24"/>
      <c r="AF119" s="24"/>
      <c r="AG119" s="24"/>
      <c r="AH119" s="24"/>
      <c r="AI119" s="24"/>
      <c r="AJ119" s="24"/>
      <c r="AK119" s="24"/>
      <c r="AL119" s="24"/>
      <c r="AM119" s="24"/>
      <c r="AN119" s="24"/>
      <c r="AO119" s="24"/>
      <c r="AP119" s="24"/>
      <c r="AQ119" s="24"/>
      <c r="AR119" s="24"/>
      <c r="AS119" s="24"/>
      <c r="AT119" s="24"/>
      <c r="AU119" s="24"/>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c r="BR119" s="24"/>
      <c r="BS119" s="24"/>
      <c r="BT119" s="24"/>
      <c r="BU119" s="24"/>
      <c r="BV119" s="24"/>
      <c r="BW119" s="24"/>
      <c r="BX119" s="24"/>
      <c r="BY119" s="24"/>
      <c r="BZ119" s="24"/>
      <c r="CA119" s="24"/>
      <c r="CB119" s="24"/>
      <c r="CC119" s="24"/>
      <c r="CD119" s="24"/>
      <c r="CE119" s="24"/>
      <c r="CF119" s="24"/>
      <c r="CG119" s="24"/>
      <c r="CH119" s="24"/>
      <c r="CI119" s="24"/>
      <c r="CJ119" s="24"/>
      <c r="CK119" s="24"/>
      <c r="CL119" s="24"/>
      <c r="CM119" s="24"/>
      <c r="CN119" s="24"/>
      <c r="CO119" s="24"/>
      <c r="CP119" s="24"/>
      <c r="CQ119" s="24"/>
      <c r="CR119" s="24"/>
      <c r="CS119" s="24"/>
      <c r="CT119" s="24"/>
      <c r="CU119" s="24"/>
      <c r="CV119" s="24"/>
      <c r="CW119" s="24"/>
      <c r="CX119" s="24"/>
      <c r="CY119" s="24"/>
      <c r="CZ119" s="24"/>
      <c r="DA119" s="24"/>
      <c r="DB119" s="24"/>
      <c r="DC119" s="24"/>
      <c r="DD119" s="24"/>
      <c r="DE119" s="24"/>
      <c r="DF119" s="24"/>
      <c r="DG119" s="24"/>
      <c r="DH119" s="24"/>
      <c r="DI119" s="24"/>
      <c r="DJ119" s="24"/>
      <c r="DK119" s="24"/>
      <c r="DL119" s="24"/>
      <c r="DM119" s="24"/>
      <c r="DN119" s="24"/>
      <c r="DO119" s="24"/>
      <c r="DP119" s="24"/>
      <c r="DQ119" s="24"/>
      <c r="DR119" s="24"/>
      <c r="DS119" s="24"/>
      <c r="DT119" s="24"/>
      <c r="DU119" s="24"/>
      <c r="DV119" s="24"/>
      <c r="DW119" s="24"/>
      <c r="DX119" s="24"/>
      <c r="DY119" s="24"/>
      <c r="DZ119" s="24"/>
      <c r="EA119" s="24"/>
      <c r="EB119" s="24"/>
      <c r="EC119" s="24"/>
      <c r="ED119" s="24"/>
      <c r="EE119" s="24"/>
      <c r="EF119" s="24"/>
      <c r="EG119" s="24"/>
      <c r="EH119" s="24"/>
      <c r="EI119" s="24"/>
      <c r="EJ119" s="24"/>
      <c r="EK119" s="24"/>
      <c r="EL119" s="24"/>
      <c r="EM119" s="24"/>
      <c r="EN119" s="24"/>
      <c r="EO119" s="24"/>
      <c r="EP119" s="24"/>
      <c r="EQ119" s="24"/>
      <c r="ER119" s="24"/>
      <c r="ES119" s="24"/>
      <c r="ET119" s="24"/>
      <c r="EU119" s="24"/>
      <c r="EV119" s="24"/>
      <c r="EW119" s="24"/>
      <c r="EX119" s="24"/>
      <c r="EY119" s="24"/>
      <c r="EZ119" s="24"/>
      <c r="FA119" s="24"/>
      <c r="FB119" s="24"/>
      <c r="FC119" s="24"/>
      <c r="FD119" s="24"/>
      <c r="FE119" s="24"/>
      <c r="FF119" s="24"/>
      <c r="FG119" s="24"/>
      <c r="FH119" s="24"/>
      <c r="FI119" s="24"/>
      <c r="FJ119" s="24"/>
      <c r="FK119" s="24"/>
      <c r="FL119" s="24"/>
      <c r="FM119" s="24"/>
      <c r="FN119" s="24"/>
      <c r="FO119" s="24"/>
      <c r="FP119" s="24"/>
      <c r="FQ119" s="24"/>
      <c r="FR119" s="24"/>
      <c r="FS119" s="24"/>
      <c r="FT119" s="24"/>
      <c r="FU119" s="24"/>
      <c r="FV119" s="24"/>
      <c r="FW119" s="24"/>
      <c r="FX119" s="24"/>
      <c r="FY119" s="24"/>
      <c r="FZ119" s="24"/>
      <c r="GA119" s="24"/>
      <c r="GB119" s="24"/>
      <c r="GC119" s="24"/>
      <c r="GD119" s="24"/>
      <c r="GE119" s="24"/>
      <c r="GF119" s="24"/>
      <c r="GG119" s="24"/>
      <c r="GH119" s="24"/>
      <c r="GI119" s="24"/>
      <c r="GJ119" s="24"/>
      <c r="GK119" s="24"/>
      <c r="GL119" s="24"/>
      <c r="GM119" s="24"/>
      <c r="GN119" s="24"/>
      <c r="GO119" s="24"/>
      <c r="GP119" s="24"/>
      <c r="GQ119" s="24"/>
      <c r="GR119" s="24"/>
      <c r="GS119" s="24"/>
      <c r="GT119" s="24"/>
      <c r="GU119" s="24"/>
      <c r="GV119" s="24"/>
      <c r="GW119" s="24"/>
      <c r="GX119" s="24"/>
      <c r="GY119" s="24"/>
      <c r="GZ119" s="24"/>
      <c r="HA119" s="24"/>
      <c r="HB119" s="24"/>
      <c r="HC119" s="24"/>
      <c r="HD119" s="24"/>
      <c r="HE119" s="24"/>
      <c r="HF119" s="24"/>
      <c r="HG119" s="24"/>
      <c r="HH119" s="24"/>
      <c r="HI119" s="24"/>
      <c r="HJ119" s="24"/>
      <c r="HK119" s="24"/>
      <c r="HL119" s="24"/>
      <c r="HM119" s="24"/>
      <c r="HN119" s="24"/>
      <c r="HO119" s="24"/>
      <c r="HP119" s="24"/>
      <c r="HQ119" s="24"/>
      <c r="HR119" s="24"/>
      <c r="HS119" s="24"/>
      <c r="HT119" s="24"/>
      <c r="HU119" s="24"/>
      <c r="HV119" s="24"/>
      <c r="HW119" s="24"/>
      <c r="HX119" s="24"/>
      <c r="HY119" s="24"/>
      <c r="HZ119" s="24"/>
      <c r="IA119" s="24"/>
      <c r="IB119" s="24"/>
      <c r="IC119" s="24"/>
      <c r="ID119" s="24"/>
      <c r="IE119" s="24"/>
      <c r="IF119" s="24"/>
      <c r="IG119" s="24"/>
      <c r="IH119" s="24"/>
      <c r="II119" s="24"/>
      <c r="IJ119" s="24"/>
      <c r="IK119" s="24"/>
      <c r="IL119" s="24"/>
      <c r="IM119" s="24"/>
      <c r="IN119" s="24"/>
      <c r="IO119" s="24"/>
      <c r="IP119" s="24"/>
      <c r="IQ119" s="24"/>
      <c r="IR119" s="24"/>
      <c r="IS119" s="24"/>
      <c r="IT119" s="24"/>
      <c r="IU119" s="24"/>
      <c r="IV119" s="24"/>
      <c r="IW119" s="24"/>
      <c r="IX119" s="24"/>
      <c r="IY119" s="24"/>
      <c r="IZ119" s="24"/>
      <c r="JA119" s="24"/>
      <c r="JB119" s="24"/>
      <c r="JC119" s="24"/>
      <c r="JD119" s="24"/>
      <c r="JE119" s="24"/>
      <c r="JF119" s="24"/>
      <c r="JG119" s="24"/>
      <c r="JH119" s="24"/>
      <c r="JI119" s="24"/>
      <c r="JJ119" s="24"/>
      <c r="JK119" s="24"/>
      <c r="JL119" s="24"/>
      <c r="JM119" s="24"/>
      <c r="JN119" s="24"/>
      <c r="JO119" s="24"/>
      <c r="JP119" s="24"/>
      <c r="JQ119" s="24"/>
      <c r="JR119" s="24"/>
      <c r="JS119" s="24"/>
      <c r="JT119" s="24"/>
      <c r="JU119" s="24"/>
      <c r="JV119" s="24"/>
      <c r="JW119" s="24"/>
      <c r="JX119" s="24"/>
      <c r="JY119" s="24"/>
      <c r="JZ119" s="24"/>
      <c r="KA119" s="24"/>
      <c r="KB119" s="24"/>
      <c r="KC119" s="24"/>
      <c r="KD119" s="24"/>
      <c r="KE119" s="24"/>
      <c r="KF119" s="24"/>
      <c r="KG119" s="24"/>
      <c r="KH119" s="24"/>
      <c r="KI119" s="24"/>
      <c r="KJ119" s="24"/>
      <c r="KK119" s="24"/>
      <c r="KL119" s="24"/>
      <c r="KM119" s="24"/>
      <c r="KN119" s="24"/>
      <c r="KO119" s="24"/>
      <c r="KP119" s="24"/>
      <c r="KQ119" s="24"/>
      <c r="KR119" s="24"/>
      <c r="KS119" s="24"/>
      <c r="KT119" s="24"/>
      <c r="KU119" s="24"/>
      <c r="KV119" s="24"/>
      <c r="KW119" s="24"/>
      <c r="KX119" s="24"/>
      <c r="KY119" s="24"/>
      <c r="KZ119" s="24"/>
      <c r="LA119" s="24"/>
      <c r="LB119" s="24"/>
      <c r="LC119" s="24"/>
      <c r="LD119" s="24"/>
      <c r="LE119" s="24"/>
      <c r="LF119" s="24"/>
      <c r="LG119" s="24"/>
      <c r="LH119" s="24"/>
      <c r="LI119" s="24"/>
      <c r="LJ119" s="24"/>
      <c r="LK119" s="24"/>
      <c r="LL119" s="24"/>
      <c r="LM119" s="24"/>
      <c r="LN119" s="24"/>
      <c r="LO119" s="24"/>
      <c r="LP119" s="24"/>
      <c r="LQ119" s="24"/>
      <c r="LR119" s="24"/>
      <c r="LS119" s="24"/>
      <c r="LT119" s="24"/>
      <c r="LU119" s="24"/>
      <c r="LV119" s="24"/>
      <c r="LW119" s="24"/>
      <c r="LX119" s="24"/>
      <c r="LY119" s="24"/>
      <c r="LZ119" s="24"/>
      <c r="MA119" s="24"/>
      <c r="MB119" s="24"/>
      <c r="MC119" s="24"/>
      <c r="MD119" s="24"/>
      <c r="ME119" s="24"/>
      <c r="MF119" s="24"/>
      <c r="MG119" s="24"/>
      <c r="MH119" s="24"/>
      <c r="MI119" s="24"/>
      <c r="MJ119" s="24"/>
      <c r="MK119" s="24"/>
      <c r="ML119" s="24"/>
      <c r="MM119" s="24"/>
      <c r="MN119" s="24"/>
      <c r="MO119" s="24"/>
      <c r="MP119" s="24"/>
      <c r="MQ119" s="24"/>
      <c r="MR119" s="24"/>
      <c r="MS119" s="24"/>
      <c r="MT119" s="24"/>
      <c r="MU119" s="24"/>
      <c r="MV119" s="24"/>
      <c r="MW119" s="24"/>
      <c r="MX119" s="24"/>
      <c r="MY119" s="24"/>
      <c r="MZ119" s="24"/>
      <c r="NA119" s="24"/>
      <c r="NB119" s="24"/>
      <c r="NC119" s="24"/>
      <c r="ND119" s="24"/>
      <c r="NE119" s="24"/>
      <c r="NF119" s="24"/>
      <c r="NG119" s="24"/>
      <c r="NH119" s="24"/>
      <c r="NI119" s="24"/>
      <c r="NJ119" s="24"/>
      <c r="NK119" s="24"/>
      <c r="NL119" s="24"/>
      <c r="NM119" s="24"/>
      <c r="NN119" s="24"/>
      <c r="NO119" s="24"/>
      <c r="NP119" s="24"/>
      <c r="NQ119" s="24"/>
      <c r="NR119" s="24"/>
      <c r="NS119" s="24"/>
      <c r="NT119" s="24"/>
      <c r="NU119" s="24"/>
      <c r="NV119" s="24"/>
      <c r="NW119" s="24"/>
      <c r="NX119" s="24"/>
      <c r="NY119" s="24"/>
      <c r="NZ119" s="24"/>
      <c r="OA119" s="24"/>
      <c r="OB119" s="24"/>
      <c r="OC119" s="24"/>
      <c r="OD119" s="24"/>
      <c r="OE119" s="24"/>
      <c r="OF119" s="24"/>
      <c r="OG119" s="24"/>
      <c r="OH119" s="24"/>
      <c r="OI119" s="24"/>
      <c r="OJ119" s="24"/>
      <c r="OK119" s="24"/>
      <c r="OL119" s="24"/>
      <c r="OM119" s="24"/>
      <c r="ON119" s="24"/>
      <c r="OO119" s="24"/>
      <c r="OP119" s="24"/>
      <c r="OQ119" s="24"/>
      <c r="OR119" s="24"/>
      <c r="OS119" s="24"/>
      <c r="OT119" s="24"/>
      <c r="OU119" s="24"/>
      <c r="OV119" s="24"/>
      <c r="OW119" s="24"/>
      <c r="OX119" s="24"/>
      <c r="OY119" s="24"/>
      <c r="OZ119" s="24"/>
      <c r="PA119" s="24"/>
      <c r="PB119" s="24"/>
      <c r="PC119" s="24"/>
      <c r="PD119" s="24"/>
      <c r="PE119" s="24"/>
      <c r="PF119" s="24"/>
      <c r="PG119" s="24"/>
      <c r="PH119" s="24"/>
      <c r="PI119" s="24"/>
      <c r="PJ119" s="24"/>
      <c r="PK119" s="24"/>
      <c r="PL119" s="24"/>
      <c r="PM119" s="24"/>
      <c r="PN119" s="24"/>
      <c r="PO119" s="24"/>
      <c r="PP119" s="24"/>
      <c r="PQ119" s="24"/>
      <c r="PR119" s="24"/>
      <c r="PS119" s="24"/>
      <c r="PT119" s="24"/>
      <c r="PU119" s="24"/>
      <c r="PV119" s="24"/>
      <c r="PW119" s="24"/>
      <c r="PX119" s="24"/>
      <c r="PY119" s="24"/>
      <c r="PZ119" s="24"/>
      <c r="QA119" s="24"/>
      <c r="QB119" s="24"/>
      <c r="QC119" s="24"/>
      <c r="QD119" s="24"/>
      <c r="QE119" s="24"/>
      <c r="QF119" s="24"/>
      <c r="QG119" s="24"/>
      <c r="QH119" s="24"/>
      <c r="QI119" s="24"/>
      <c r="QJ119" s="24"/>
      <c r="QK119" s="24"/>
      <c r="QL119" s="24"/>
      <c r="QM119" s="24"/>
      <c r="QN119" s="24"/>
      <c r="QO119" s="24"/>
      <c r="QP119" s="24"/>
      <c r="QQ119" s="24"/>
      <c r="QR119" s="24"/>
      <c r="QS119" s="24"/>
      <c r="QT119" s="24"/>
      <c r="QU119" s="24"/>
      <c r="QV119" s="24"/>
      <c r="QW119" s="24"/>
      <c r="QX119" s="24"/>
      <c r="QY119" s="24"/>
      <c r="QZ119" s="24"/>
      <c r="RA119" s="24"/>
      <c r="RB119" s="24"/>
      <c r="RC119" s="24"/>
      <c r="RD119" s="24"/>
      <c r="RE119" s="24"/>
      <c r="RF119" s="24"/>
      <c r="RG119" s="24"/>
      <c r="RH119" s="24"/>
      <c r="RI119" s="24"/>
      <c r="RJ119" s="24"/>
      <c r="RK119" s="24"/>
      <c r="RL119" s="24"/>
      <c r="RM119" s="24"/>
      <c r="RN119" s="24"/>
      <c r="RO119" s="24"/>
      <c r="RP119" s="24"/>
      <c r="RQ119" s="24"/>
      <c r="RR119" s="24"/>
      <c r="RS119" s="24"/>
      <c r="RT119" s="24"/>
      <c r="RU119" s="24"/>
      <c r="RV119" s="24"/>
      <c r="RW119" s="24"/>
      <c r="RX119" s="24"/>
      <c r="RY119" s="24"/>
      <c r="RZ119" s="24"/>
      <c r="SA119" s="24"/>
      <c r="SB119" s="24"/>
      <c r="SC119" s="24"/>
      <c r="SD119" s="24"/>
      <c r="SE119" s="24"/>
      <c r="SF119" s="24"/>
      <c r="SG119" s="24"/>
      <c r="SH119" s="24"/>
      <c r="SI119" s="24"/>
      <c r="SJ119" s="24"/>
      <c r="SK119" s="24"/>
      <c r="SL119" s="24"/>
      <c r="SM119" s="24"/>
      <c r="SN119" s="24"/>
      <c r="SO119" s="24"/>
      <c r="SP119" s="24"/>
      <c r="SQ119" s="24"/>
      <c r="SR119" s="24"/>
      <c r="SS119" s="24"/>
      <c r="ST119" s="24"/>
      <c r="SU119" s="24"/>
      <c r="SV119" s="24"/>
      <c r="SW119" s="24"/>
      <c r="SX119" s="24"/>
      <c r="SY119" s="24"/>
      <c r="SZ119" s="24"/>
      <c r="TA119" s="24"/>
      <c r="TB119" s="24"/>
      <c r="TC119" s="24"/>
      <c r="TD119" s="24"/>
      <c r="TE119" s="24"/>
      <c r="TF119" s="24"/>
      <c r="TG119" s="24"/>
      <c r="TH119" s="24"/>
      <c r="TI119" s="24"/>
      <c r="TJ119" s="24"/>
      <c r="TK119" s="24"/>
      <c r="TL119" s="24"/>
      <c r="TM119" s="24"/>
      <c r="TN119" s="24"/>
      <c r="TO119" s="24"/>
      <c r="TP119" s="24"/>
      <c r="TQ119" s="24"/>
      <c r="TR119" s="24"/>
      <c r="TS119" s="24"/>
      <c r="TT119" s="24"/>
      <c r="TU119" s="24"/>
      <c r="TV119" s="24"/>
      <c r="TW119" s="24"/>
      <c r="TX119" s="24"/>
      <c r="TY119" s="24"/>
      <c r="TZ119" s="24"/>
      <c r="UA119" s="24"/>
      <c r="UB119" s="24"/>
      <c r="UC119" s="24"/>
      <c r="UD119" s="24"/>
      <c r="UE119" s="24"/>
      <c r="UF119" s="24"/>
      <c r="UG119" s="24"/>
      <c r="UH119" s="24"/>
      <c r="UI119" s="24"/>
      <c r="UJ119" s="24"/>
      <c r="UK119" s="24"/>
      <c r="UL119" s="24"/>
      <c r="UM119" s="24"/>
      <c r="UN119" s="24"/>
      <c r="UO119" s="24"/>
      <c r="UP119" s="24"/>
      <c r="UQ119" s="24"/>
      <c r="UR119" s="24"/>
      <c r="US119" s="24"/>
      <c r="UT119" s="24"/>
      <c r="UU119" s="24"/>
      <c r="UV119" s="24"/>
      <c r="UW119" s="24"/>
      <c r="UX119" s="24"/>
      <c r="UY119" s="24"/>
      <c r="UZ119" s="24"/>
      <c r="VA119" s="24"/>
      <c r="VB119" s="24"/>
      <c r="VC119" s="24"/>
      <c r="VD119" s="24"/>
      <c r="VE119" s="24"/>
      <c r="VF119" s="24"/>
      <c r="VG119" s="24"/>
      <c r="VH119" s="24"/>
      <c r="VI119" s="24"/>
      <c r="VJ119" s="24"/>
      <c r="VK119" s="24"/>
      <c r="VL119" s="24"/>
      <c r="VM119" s="24"/>
      <c r="VN119" s="24"/>
      <c r="VO119" s="24"/>
      <c r="VP119" s="24"/>
      <c r="VQ119" s="24"/>
      <c r="VR119" s="24"/>
      <c r="VS119" s="24"/>
      <c r="VT119" s="24"/>
      <c r="VU119" s="24"/>
      <c r="VV119" s="24"/>
      <c r="VW119" s="24"/>
      <c r="VX119" s="24"/>
      <c r="VY119" s="24"/>
      <c r="VZ119" s="24"/>
      <c r="WA119" s="24"/>
      <c r="WB119" s="24"/>
      <c r="WC119" s="24"/>
      <c r="WD119" s="24"/>
      <c r="WE119" s="24"/>
      <c r="WF119" s="24"/>
      <c r="WG119" s="24"/>
      <c r="WH119" s="24"/>
      <c r="WI119" s="24"/>
      <c r="WJ119" s="24"/>
      <c r="WK119" s="24"/>
      <c r="WL119" s="24"/>
      <c r="WM119" s="24"/>
      <c r="WN119" s="24"/>
      <c r="WO119" s="24"/>
      <c r="WP119" s="24"/>
      <c r="WQ119" s="24"/>
      <c r="WR119" s="24"/>
      <c r="WS119" s="24"/>
      <c r="WT119" s="24"/>
      <c r="WU119" s="24"/>
      <c r="WV119" s="24"/>
      <c r="WW119" s="24"/>
      <c r="WX119" s="24"/>
      <c r="WY119" s="24"/>
      <c r="WZ119" s="24"/>
      <c r="XA119" s="24"/>
      <c r="XB119" s="24"/>
      <c r="XC119" s="24"/>
      <c r="XD119" s="24"/>
      <c r="XE119" s="24"/>
      <c r="XF119" s="24"/>
      <c r="XG119" s="24"/>
      <c r="XH119" s="24"/>
      <c r="XI119" s="24"/>
      <c r="XJ119" s="24"/>
      <c r="XK119" s="24"/>
      <c r="XL119" s="24"/>
      <c r="XM119" s="24"/>
      <c r="XN119" s="24"/>
      <c r="XO119" s="24"/>
      <c r="XP119" s="24"/>
      <c r="XQ119" s="24"/>
      <c r="XR119" s="24"/>
      <c r="XS119" s="24"/>
      <c r="XT119" s="24"/>
      <c r="XU119" s="24"/>
      <c r="XV119" s="24"/>
      <c r="XW119" s="24"/>
      <c r="XX119" s="24"/>
      <c r="XY119" s="24"/>
      <c r="XZ119" s="24"/>
      <c r="YA119" s="24"/>
      <c r="YB119" s="24"/>
      <c r="YC119" s="24"/>
      <c r="YD119" s="24"/>
      <c r="YE119" s="24"/>
      <c r="YF119" s="24"/>
      <c r="YG119" s="24"/>
      <c r="YH119" s="24"/>
      <c r="YI119" s="24"/>
      <c r="YJ119" s="24"/>
      <c r="YK119" s="24"/>
      <c r="YL119" s="24"/>
      <c r="YM119" s="24"/>
      <c r="YN119" s="24"/>
      <c r="YO119" s="24"/>
      <c r="YP119" s="24"/>
      <c r="YQ119" s="24"/>
      <c r="YR119" s="24"/>
      <c r="YS119" s="24"/>
      <c r="YT119" s="24"/>
      <c r="YU119" s="24"/>
      <c r="YV119" s="24"/>
      <c r="YW119" s="24"/>
      <c r="YX119" s="24"/>
      <c r="YY119" s="24"/>
      <c r="YZ119" s="24"/>
      <c r="ZA119" s="24"/>
      <c r="ZB119" s="24"/>
      <c r="ZC119" s="24"/>
      <c r="ZD119" s="24"/>
      <c r="ZE119" s="24"/>
      <c r="ZF119" s="24"/>
      <c r="ZG119" s="24"/>
      <c r="ZH119" s="24"/>
      <c r="ZI119" s="24"/>
      <c r="ZJ119" s="24"/>
      <c r="ZK119" s="24"/>
      <c r="ZL119" s="24"/>
      <c r="ZM119" s="24"/>
      <c r="ZN119" s="24"/>
      <c r="ZO119" s="24"/>
      <c r="ZP119" s="24"/>
      <c r="ZQ119" s="24"/>
      <c r="ZR119" s="24"/>
      <c r="ZS119" s="24"/>
      <c r="ZT119" s="24"/>
      <c r="ZU119" s="24"/>
      <c r="ZV119" s="24"/>
      <c r="ZW119" s="24"/>
      <c r="ZX119" s="24"/>
      <c r="ZY119" s="24"/>
      <c r="ZZ119" s="24"/>
      <c r="AAA119" s="24"/>
      <c r="AAB119" s="24"/>
      <c r="AAC119" s="24"/>
      <c r="AAD119" s="24"/>
      <c r="AAE119" s="24"/>
      <c r="AAF119" s="24"/>
      <c r="AAG119" s="24"/>
      <c r="AAH119" s="24"/>
      <c r="AAI119" s="24"/>
      <c r="AAJ119" s="24"/>
      <c r="AAK119" s="24"/>
      <c r="AAL119" s="24"/>
      <c r="AAM119" s="24"/>
      <c r="AAN119" s="24"/>
      <c r="AAO119" s="24"/>
      <c r="AAP119" s="24"/>
      <c r="AAQ119" s="24"/>
      <c r="AAR119" s="24"/>
      <c r="AAS119" s="24"/>
      <c r="AAT119" s="24"/>
      <c r="AAU119" s="24"/>
      <c r="AAV119" s="24"/>
      <c r="AAW119" s="24"/>
      <c r="AAX119" s="24"/>
      <c r="AAY119" s="24"/>
      <c r="AAZ119" s="24"/>
      <c r="ABA119" s="24"/>
      <c r="ABB119" s="24"/>
      <c r="ABC119" s="24"/>
      <c r="ABD119" s="24"/>
      <c r="ABE119" s="24"/>
      <c r="ABF119" s="24"/>
      <c r="ABG119" s="24"/>
      <c r="ABH119" s="24"/>
      <c r="ABI119" s="24"/>
      <c r="ABJ119" s="24"/>
      <c r="ABK119" s="24"/>
      <c r="ABL119" s="24"/>
      <c r="ABM119" s="24"/>
      <c r="ABN119" s="24"/>
      <c r="ABO119" s="24"/>
      <c r="ABP119" s="24"/>
      <c r="ABQ119" s="24"/>
      <c r="ABR119" s="24"/>
      <c r="ABS119" s="24"/>
      <c r="ABT119" s="24"/>
      <c r="ABU119" s="24"/>
      <c r="ABV119" s="24"/>
      <c r="ABW119" s="24"/>
      <c r="ABX119" s="24"/>
      <c r="ABY119" s="24"/>
      <c r="ABZ119" s="24"/>
      <c r="ACA119" s="24"/>
      <c r="ACB119" s="24"/>
      <c r="ACC119" s="24"/>
      <c r="ACD119" s="24"/>
      <c r="ACE119" s="24"/>
      <c r="ACF119" s="24"/>
      <c r="ACG119" s="24"/>
      <c r="ACH119" s="24"/>
      <c r="ACI119" s="24"/>
      <c r="ACJ119" s="24"/>
      <c r="ACK119" s="24"/>
      <c r="ACL119" s="24"/>
      <c r="ACM119" s="24"/>
      <c r="ACN119" s="24"/>
      <c r="ACO119" s="24"/>
      <c r="ACP119" s="24"/>
      <c r="ACQ119" s="24"/>
      <c r="ACR119" s="24"/>
      <c r="ACS119" s="24"/>
      <c r="ACT119" s="24"/>
      <c r="ACU119" s="24"/>
      <c r="ACV119" s="24"/>
      <c r="ACW119" s="24"/>
      <c r="ACX119" s="24"/>
      <c r="ACY119" s="24"/>
      <c r="ACZ119" s="24"/>
      <c r="ADA119" s="24"/>
      <c r="ADB119" s="24"/>
      <c r="ADC119" s="24"/>
      <c r="ADD119" s="24"/>
      <c r="ADE119" s="24"/>
      <c r="ADF119" s="24"/>
      <c r="ADG119" s="24"/>
      <c r="ADH119" s="24"/>
      <c r="ADI119" s="24"/>
      <c r="ADJ119" s="24"/>
      <c r="ADK119" s="24"/>
      <c r="ADL119" s="24"/>
      <c r="ADM119" s="24"/>
      <c r="ADN119" s="24"/>
      <c r="ADO119" s="24"/>
      <c r="ADP119" s="24"/>
      <c r="ADQ119" s="24"/>
      <c r="ADR119" s="24"/>
      <c r="ADS119" s="24"/>
      <c r="ADT119" s="24"/>
      <c r="ADU119" s="24"/>
      <c r="ADV119" s="24"/>
      <c r="ADW119" s="24"/>
      <c r="ADX119" s="24"/>
      <c r="ADY119" s="24"/>
      <c r="ADZ119" s="24"/>
      <c r="AEA119" s="24"/>
      <c r="AEB119" s="24"/>
      <c r="AEC119" s="24"/>
      <c r="AED119" s="24"/>
      <c r="AEE119" s="24"/>
      <c r="AEF119" s="24"/>
      <c r="AEG119" s="24"/>
      <c r="AEH119" s="24"/>
      <c r="AEI119" s="24"/>
      <c r="AEJ119" s="24"/>
      <c r="AEK119" s="24"/>
      <c r="AEL119" s="24"/>
      <c r="AEM119" s="24"/>
      <c r="AEN119" s="24"/>
      <c r="AEO119" s="24"/>
      <c r="AEP119" s="24"/>
      <c r="AEQ119" s="24"/>
      <c r="AER119" s="24"/>
      <c r="AES119" s="24"/>
      <c r="AET119" s="24"/>
      <c r="AEU119" s="24"/>
      <c r="AEV119" s="24"/>
      <c r="AEW119" s="24"/>
      <c r="AEX119" s="24"/>
      <c r="AEY119" s="24"/>
      <c r="AEZ119" s="24"/>
      <c r="AFA119" s="24"/>
      <c r="AFB119" s="24"/>
      <c r="AFC119" s="24"/>
      <c r="AFD119" s="24"/>
      <c r="AFE119" s="24"/>
      <c r="AFF119" s="24"/>
      <c r="AFG119" s="24"/>
      <c r="AFH119" s="24"/>
      <c r="AFI119" s="24"/>
      <c r="AFJ119" s="24"/>
      <c r="AFK119" s="24"/>
      <c r="AFL119" s="24"/>
      <c r="AFM119" s="24"/>
      <c r="AFN119" s="24"/>
      <c r="AFO119" s="24"/>
      <c r="AFP119" s="24"/>
      <c r="AFQ119" s="24"/>
      <c r="AFR119" s="24"/>
      <c r="AFS119" s="24"/>
      <c r="AFT119" s="24"/>
      <c r="AFU119" s="24"/>
      <c r="AFV119" s="24"/>
      <c r="AFW119" s="24"/>
      <c r="AFX119" s="24"/>
      <c r="AFY119" s="24"/>
      <c r="AFZ119" s="24"/>
      <c r="AGA119" s="24"/>
      <c r="AGB119" s="24"/>
      <c r="AGC119" s="24"/>
      <c r="AGD119" s="24"/>
      <c r="AGE119" s="24"/>
      <c r="AGF119" s="24"/>
      <c r="AGG119" s="24"/>
      <c r="AGH119" s="24"/>
      <c r="AGI119" s="24"/>
      <c r="AGJ119" s="24"/>
      <c r="AGK119" s="24"/>
      <c r="AGL119" s="24"/>
      <c r="AGM119" s="24"/>
      <c r="AGN119" s="24"/>
      <c r="AGO119" s="24"/>
      <c r="AGP119" s="24"/>
      <c r="AGQ119" s="24"/>
      <c r="AGR119" s="24"/>
      <c r="AGS119" s="24"/>
      <c r="AGT119" s="24"/>
      <c r="AGU119" s="24"/>
      <c r="AGV119" s="24"/>
      <c r="AGW119" s="24"/>
      <c r="AGX119" s="24"/>
      <c r="AGY119" s="24"/>
      <c r="AGZ119" s="24"/>
      <c r="AHA119" s="24"/>
      <c r="AHB119" s="24"/>
      <c r="AHC119" s="24"/>
      <c r="AHD119" s="24"/>
      <c r="AHE119" s="24"/>
      <c r="AHF119" s="24"/>
      <c r="AHG119" s="24"/>
      <c r="AHH119" s="24"/>
      <c r="AHI119" s="24"/>
      <c r="AHJ119" s="24"/>
      <c r="AHK119" s="24"/>
      <c r="AHL119" s="24"/>
      <c r="AHM119" s="24"/>
      <c r="AHN119" s="24"/>
      <c r="AHO119" s="24"/>
      <c r="AHP119" s="24"/>
      <c r="AHQ119" s="24"/>
      <c r="AHR119" s="24"/>
      <c r="AHS119" s="24"/>
      <c r="AHT119" s="24"/>
      <c r="AHU119" s="24"/>
      <c r="AHV119" s="24"/>
      <c r="AHW119" s="24"/>
      <c r="AHX119" s="24"/>
      <c r="AHY119" s="24"/>
      <c r="AHZ119" s="24"/>
      <c r="AIA119" s="24"/>
      <c r="AIB119" s="24"/>
      <c r="AIC119" s="24"/>
      <c r="AID119" s="24"/>
      <c r="AIE119" s="24"/>
      <c r="AIF119" s="24"/>
      <c r="AIG119" s="24"/>
      <c r="AIH119" s="24"/>
      <c r="AII119" s="24"/>
      <c r="AIJ119" s="24"/>
      <c r="AIK119" s="24"/>
      <c r="AIL119" s="24"/>
      <c r="AIM119" s="24"/>
      <c r="AIN119" s="24"/>
      <c r="AIO119" s="24"/>
      <c r="AIP119" s="24"/>
      <c r="AIQ119" s="24"/>
      <c r="AIR119" s="24"/>
      <c r="AIS119" s="24"/>
      <c r="AIT119" s="24"/>
      <c r="AIU119" s="24"/>
      <c r="AIV119" s="24"/>
      <c r="AIW119" s="24"/>
      <c r="AIX119" s="24"/>
      <c r="AIY119" s="24"/>
      <c r="AIZ119" s="24"/>
      <c r="AJA119" s="24"/>
      <c r="AJB119" s="24"/>
      <c r="AJC119" s="24"/>
      <c r="AJD119" s="24"/>
      <c r="AJE119" s="24"/>
      <c r="AJF119" s="24"/>
      <c r="AJG119" s="24"/>
      <c r="AJH119" s="24"/>
      <c r="AJI119" s="24"/>
      <c r="AJJ119" s="24"/>
      <c r="AJK119" s="24"/>
      <c r="AJL119" s="24"/>
      <c r="AJM119" s="24"/>
      <c r="AJN119" s="24"/>
      <c r="AJO119" s="24"/>
      <c r="AJP119" s="24"/>
      <c r="AJQ119" s="24"/>
      <c r="AJR119" s="24"/>
      <c r="AJS119" s="24"/>
      <c r="AJT119" s="24"/>
      <c r="AJU119" s="24"/>
      <c r="AJV119" s="24"/>
      <c r="AJW119" s="24"/>
      <c r="AJX119" s="24"/>
      <c r="AJY119" s="24"/>
      <c r="AJZ119" s="24"/>
      <c r="AKA119" s="24"/>
      <c r="AKB119" s="24"/>
      <c r="AKC119" s="24"/>
      <c r="AKD119" s="24"/>
      <c r="AKE119" s="24"/>
      <c r="AKF119" s="24"/>
      <c r="AKG119" s="24"/>
      <c r="AKH119" s="24"/>
      <c r="AKI119" s="24"/>
      <c r="AKJ119" s="24"/>
      <c r="AKK119" s="24"/>
      <c r="AKL119" s="24"/>
      <c r="AKM119" s="24"/>
      <c r="AKN119" s="24"/>
      <c r="AKO119" s="24"/>
      <c r="AKP119" s="24"/>
      <c r="AKQ119" s="24"/>
      <c r="AKR119" s="24"/>
      <c r="AKS119" s="24"/>
      <c r="AKT119" s="24"/>
      <c r="AKU119" s="24"/>
      <c r="AKV119" s="24"/>
      <c r="AKW119" s="24"/>
      <c r="AKX119" s="24"/>
      <c r="AKY119" s="24"/>
      <c r="AKZ119" s="24"/>
      <c r="ALA119" s="24"/>
      <c r="ALB119" s="24"/>
      <c r="ALC119" s="24"/>
      <c r="ALD119" s="24"/>
      <c r="ALE119" s="24"/>
      <c r="ALF119" s="24"/>
      <c r="ALG119" s="24"/>
      <c r="ALH119" s="24"/>
      <c r="ALI119" s="24"/>
      <c r="ALJ119" s="24"/>
      <c r="ALK119" s="24"/>
      <c r="ALL119" s="24"/>
      <c r="ALM119" s="24"/>
      <c r="ALN119" s="24"/>
      <c r="ALO119" s="24"/>
      <c r="ALP119" s="24"/>
      <c r="ALQ119" s="24"/>
      <c r="ALR119" s="24"/>
      <c r="ALS119" s="24"/>
      <c r="ALT119" s="24"/>
      <c r="ALU119" s="24"/>
      <c r="ALV119" s="24"/>
      <c r="ALW119" s="24"/>
      <c r="ALX119" s="24"/>
    </row>
    <row r="120" spans="1:1012" x14ac:dyDescent="0.15">
      <c r="A120" s="5" t="s">
        <v>23</v>
      </c>
      <c r="B120" s="5"/>
      <c r="C120" s="5" t="s">
        <v>4161</v>
      </c>
      <c r="D120" t="s">
        <v>76</v>
      </c>
      <c r="F120">
        <v>500</v>
      </c>
      <c r="G120" t="b">
        <v>0</v>
      </c>
      <c r="H120" s="1" t="s">
        <v>15</v>
      </c>
      <c r="I120" t="s">
        <v>25</v>
      </c>
      <c r="J120">
        <v>1</v>
      </c>
      <c r="K120" t="s">
        <v>4279</v>
      </c>
      <c r="L120" t="s">
        <v>2434</v>
      </c>
      <c r="M120" t="s">
        <v>4144</v>
      </c>
      <c r="N120" t="s">
        <v>4274</v>
      </c>
      <c r="O120" t="s">
        <v>4274</v>
      </c>
      <c r="P120" t="s">
        <v>4274</v>
      </c>
      <c r="Q120" t="s">
        <v>2505</v>
      </c>
      <c r="R120" t="s">
        <v>4274</v>
      </c>
    </row>
    <row r="121" spans="1:1012" x14ac:dyDescent="0.15">
      <c r="A121" s="5" t="s">
        <v>163</v>
      </c>
      <c r="B121" s="5"/>
      <c r="C121" s="5" t="s">
        <v>4098</v>
      </c>
      <c r="D121" s="5" t="s">
        <v>164</v>
      </c>
      <c r="E121" s="5"/>
      <c r="F121">
        <v>550</v>
      </c>
      <c r="G121" t="b">
        <v>0</v>
      </c>
      <c r="H121" s="1" t="s">
        <v>15</v>
      </c>
      <c r="I121" t="s">
        <v>25</v>
      </c>
      <c r="J121">
        <v>1</v>
      </c>
      <c r="K121" t="s">
        <v>4277</v>
      </c>
      <c r="L121" t="s">
        <v>4274</v>
      </c>
      <c r="M121" t="s">
        <v>4144</v>
      </c>
      <c r="N121" t="s">
        <v>4274</v>
      </c>
      <c r="O121" t="s">
        <v>4274</v>
      </c>
      <c r="P121" t="s">
        <v>4274</v>
      </c>
      <c r="Q121" t="s">
        <v>2505</v>
      </c>
      <c r="R121" t="s">
        <v>4274</v>
      </c>
    </row>
    <row r="122" spans="1:1012" x14ac:dyDescent="0.15">
      <c r="A122" s="5" t="s">
        <v>154</v>
      </c>
      <c r="B122" s="5"/>
      <c r="C122" s="5"/>
      <c r="D122" s="5" t="s">
        <v>155</v>
      </c>
      <c r="E122" s="5"/>
      <c r="F122">
        <v>500</v>
      </c>
      <c r="G122" t="b">
        <v>0</v>
      </c>
      <c r="H122" s="1" t="s">
        <v>15</v>
      </c>
      <c r="I122" t="s">
        <v>25</v>
      </c>
      <c r="J122">
        <v>1</v>
      </c>
      <c r="K122" t="s">
        <v>4279</v>
      </c>
      <c r="L122" t="s">
        <v>2434</v>
      </c>
      <c r="M122" t="s">
        <v>4144</v>
      </c>
      <c r="N122" t="s">
        <v>4274</v>
      </c>
      <c r="O122" t="s">
        <v>4274</v>
      </c>
      <c r="P122" t="s">
        <v>4274</v>
      </c>
      <c r="Q122" t="s">
        <v>2505</v>
      </c>
      <c r="R122" t="s">
        <v>4274</v>
      </c>
    </row>
    <row r="123" spans="1:1012" x14ac:dyDescent="0.15">
      <c r="A123" s="5" t="s">
        <v>4082</v>
      </c>
      <c r="B123" s="5"/>
      <c r="C123" s="5" t="s">
        <v>4066</v>
      </c>
      <c r="D123" s="5" t="s">
        <v>4083</v>
      </c>
      <c r="E123" s="5"/>
      <c r="F123">
        <v>450</v>
      </c>
      <c r="G123" t="b">
        <v>0</v>
      </c>
      <c r="H123" s="1" t="s">
        <v>15</v>
      </c>
      <c r="I123" t="s">
        <v>25</v>
      </c>
      <c r="J123">
        <v>1</v>
      </c>
      <c r="K123" t="s">
        <v>4277</v>
      </c>
      <c r="L123" t="s">
        <v>4274</v>
      </c>
      <c r="M123" t="s">
        <v>4144</v>
      </c>
      <c r="N123" t="s">
        <v>4274</v>
      </c>
      <c r="O123" t="s">
        <v>4274</v>
      </c>
      <c r="P123" t="s">
        <v>4274</v>
      </c>
      <c r="Q123" t="s">
        <v>2505</v>
      </c>
      <c r="R123" t="s">
        <v>4274</v>
      </c>
    </row>
    <row r="124" spans="1:1012" x14ac:dyDescent="0.15">
      <c r="A124" s="5" t="s">
        <v>113</v>
      </c>
      <c r="B124" s="5"/>
      <c r="C124" s="5"/>
      <c r="D124" s="5" t="s">
        <v>114</v>
      </c>
      <c r="E124" s="5"/>
      <c r="F124">
        <v>450</v>
      </c>
      <c r="G124" t="b">
        <v>0</v>
      </c>
      <c r="H124" s="1" t="s">
        <v>15</v>
      </c>
      <c r="I124" t="s">
        <v>25</v>
      </c>
      <c r="J124">
        <v>1</v>
      </c>
      <c r="K124" t="s">
        <v>4277</v>
      </c>
      <c r="L124" t="s">
        <v>4274</v>
      </c>
      <c r="M124" t="s">
        <v>4144</v>
      </c>
      <c r="N124" t="s">
        <v>4274</v>
      </c>
      <c r="O124" t="s">
        <v>4274</v>
      </c>
      <c r="P124" t="s">
        <v>4274</v>
      </c>
      <c r="Q124" t="s">
        <v>2505</v>
      </c>
      <c r="R124" t="s">
        <v>4274</v>
      </c>
    </row>
    <row r="125" spans="1:1012" x14ac:dyDescent="0.15">
      <c r="A125" s="5" t="s">
        <v>22</v>
      </c>
      <c r="B125" s="5"/>
      <c r="C125" s="5" t="s">
        <v>3963</v>
      </c>
      <c r="D125" s="5" t="s">
        <v>24</v>
      </c>
      <c r="E125" s="5"/>
      <c r="F125">
        <v>550</v>
      </c>
      <c r="G125" t="b">
        <v>0</v>
      </c>
      <c r="H125" s="1" t="s">
        <v>15</v>
      </c>
      <c r="I125" t="s">
        <v>25</v>
      </c>
      <c r="J125">
        <v>1</v>
      </c>
      <c r="K125" t="s">
        <v>4277</v>
      </c>
      <c r="L125" t="s">
        <v>4274</v>
      </c>
      <c r="M125" t="s">
        <v>4144</v>
      </c>
      <c r="N125" t="s">
        <v>4274</v>
      </c>
      <c r="O125" t="s">
        <v>4274</v>
      </c>
      <c r="P125" t="s">
        <v>4274</v>
      </c>
      <c r="Q125" t="s">
        <v>2505</v>
      </c>
      <c r="R125" t="s">
        <v>4274</v>
      </c>
    </row>
    <row r="126" spans="1:1012" x14ac:dyDescent="0.15">
      <c r="A126" t="s">
        <v>27</v>
      </c>
      <c r="C126" t="s">
        <v>4068</v>
      </c>
      <c r="D126" t="s">
        <v>167</v>
      </c>
      <c r="F126">
        <v>500</v>
      </c>
      <c r="G126" t="b">
        <v>0</v>
      </c>
      <c r="H126" s="1" t="s">
        <v>15</v>
      </c>
      <c r="I126" t="s">
        <v>29</v>
      </c>
      <c r="J126">
        <v>3</v>
      </c>
      <c r="K126" t="s">
        <v>4279</v>
      </c>
      <c r="L126" t="s">
        <v>2434</v>
      </c>
      <c r="M126" t="s">
        <v>4144</v>
      </c>
      <c r="N126" t="s">
        <v>4274</v>
      </c>
      <c r="O126" t="s">
        <v>4274</v>
      </c>
      <c r="P126" t="s">
        <v>4274</v>
      </c>
      <c r="Q126" t="s">
        <v>2505</v>
      </c>
      <c r="R126" t="s">
        <v>4274</v>
      </c>
    </row>
    <row r="127" spans="1:1012" x14ac:dyDescent="0.15">
      <c r="A127" s="5" t="s">
        <v>26</v>
      </c>
      <c r="B127" s="5"/>
      <c r="C127" s="5"/>
      <c r="D127" t="s">
        <v>28</v>
      </c>
      <c r="F127">
        <v>500</v>
      </c>
      <c r="G127" t="b">
        <v>0</v>
      </c>
      <c r="H127" s="1" t="s">
        <v>15</v>
      </c>
      <c r="I127" t="s">
        <v>29</v>
      </c>
      <c r="J127">
        <v>3</v>
      </c>
      <c r="K127" t="s">
        <v>4277</v>
      </c>
      <c r="L127" t="s">
        <v>4274</v>
      </c>
      <c r="M127" t="s">
        <v>4144</v>
      </c>
      <c r="N127" t="s">
        <v>4274</v>
      </c>
      <c r="O127" t="s">
        <v>4274</v>
      </c>
      <c r="P127" t="s">
        <v>4274</v>
      </c>
      <c r="Q127" t="s">
        <v>2505</v>
      </c>
      <c r="R127" t="s">
        <v>4274</v>
      </c>
    </row>
    <row r="128" spans="1:1012" x14ac:dyDescent="0.15">
      <c r="A128" s="5" t="s">
        <v>95</v>
      </c>
      <c r="B128" s="5"/>
      <c r="C128" s="5"/>
      <c r="D128" t="s">
        <v>96</v>
      </c>
      <c r="F128">
        <v>500</v>
      </c>
      <c r="G128" t="b">
        <v>0</v>
      </c>
      <c r="H128" s="1" t="s">
        <v>15</v>
      </c>
      <c r="I128" t="s">
        <v>29</v>
      </c>
      <c r="J128">
        <v>0</v>
      </c>
      <c r="K128" t="s">
        <v>4277</v>
      </c>
      <c r="L128" t="s">
        <v>4274</v>
      </c>
      <c r="M128" t="s">
        <v>4144</v>
      </c>
      <c r="N128" t="s">
        <v>4274</v>
      </c>
      <c r="O128" t="s">
        <v>4274</v>
      </c>
      <c r="P128" t="s">
        <v>4274</v>
      </c>
      <c r="Q128" t="s">
        <v>2505</v>
      </c>
      <c r="R128" t="s">
        <v>4274</v>
      </c>
    </row>
    <row r="129" spans="1:18" x14ac:dyDescent="0.15">
      <c r="A129" s="5" t="s">
        <v>159</v>
      </c>
      <c r="B129" s="5"/>
      <c r="C129" s="5"/>
      <c r="D129" t="s">
        <v>161</v>
      </c>
      <c r="F129">
        <v>500</v>
      </c>
      <c r="G129" t="b">
        <v>0</v>
      </c>
      <c r="H129" s="1" t="s">
        <v>15</v>
      </c>
      <c r="I129" t="s">
        <v>29</v>
      </c>
      <c r="J129">
        <v>3</v>
      </c>
      <c r="K129" t="s">
        <v>4279</v>
      </c>
      <c r="L129" t="s">
        <v>2434</v>
      </c>
      <c r="M129" t="s">
        <v>4144</v>
      </c>
      <c r="N129" t="s">
        <v>4274</v>
      </c>
      <c r="O129" t="s">
        <v>4274</v>
      </c>
      <c r="P129" t="s">
        <v>4274</v>
      </c>
      <c r="Q129" t="s">
        <v>2505</v>
      </c>
      <c r="R129" t="s">
        <v>4274</v>
      </c>
    </row>
    <row r="130" spans="1:18" x14ac:dyDescent="0.15">
      <c r="A130" s="5" t="s">
        <v>160</v>
      </c>
      <c r="B130" s="5"/>
      <c r="C130" s="5"/>
      <c r="D130" t="s">
        <v>162</v>
      </c>
      <c r="F130">
        <v>500</v>
      </c>
      <c r="G130" t="b">
        <v>0</v>
      </c>
      <c r="H130" s="1" t="s">
        <v>15</v>
      </c>
      <c r="I130" t="s">
        <v>29</v>
      </c>
      <c r="J130">
        <v>3</v>
      </c>
      <c r="K130" t="s">
        <v>4279</v>
      </c>
      <c r="L130" t="s">
        <v>2434</v>
      </c>
      <c r="M130" t="s">
        <v>4144</v>
      </c>
      <c r="N130" t="s">
        <v>4274</v>
      </c>
      <c r="O130" t="s">
        <v>4274</v>
      </c>
      <c r="P130" t="s">
        <v>4274</v>
      </c>
      <c r="Q130" t="s">
        <v>2505</v>
      </c>
      <c r="R130" t="s">
        <v>4274</v>
      </c>
    </row>
    <row r="131" spans="1:18" x14ac:dyDescent="0.15">
      <c r="A131" t="s">
        <v>59</v>
      </c>
      <c r="D131" t="s">
        <v>60</v>
      </c>
      <c r="F131">
        <v>200</v>
      </c>
      <c r="G131" t="b">
        <v>0</v>
      </c>
      <c r="H131" s="1" t="s">
        <v>15</v>
      </c>
      <c r="I131" t="s">
        <v>61</v>
      </c>
      <c r="J131">
        <v>0</v>
      </c>
      <c r="K131" t="s">
        <v>4277</v>
      </c>
      <c r="L131" t="s">
        <v>4274</v>
      </c>
      <c r="M131" t="s">
        <v>4144</v>
      </c>
      <c r="N131" t="s">
        <v>4274</v>
      </c>
      <c r="O131" t="s">
        <v>4274</v>
      </c>
      <c r="P131" t="s">
        <v>4274</v>
      </c>
      <c r="Q131" t="s">
        <v>2505</v>
      </c>
      <c r="R131" t="s">
        <v>4274</v>
      </c>
    </row>
    <row r="132" spans="1:18" x14ac:dyDescent="0.15">
      <c r="A132" t="s">
        <v>62</v>
      </c>
      <c r="D132" t="s">
        <v>63</v>
      </c>
      <c r="F132">
        <v>200</v>
      </c>
      <c r="G132" t="b">
        <v>0</v>
      </c>
      <c r="H132" s="1" t="s">
        <v>15</v>
      </c>
      <c r="I132" t="s">
        <v>61</v>
      </c>
      <c r="J132">
        <v>0</v>
      </c>
      <c r="K132" t="s">
        <v>4277</v>
      </c>
      <c r="L132" t="s">
        <v>4274</v>
      </c>
      <c r="M132" t="s">
        <v>4144</v>
      </c>
      <c r="N132" t="s">
        <v>4274</v>
      </c>
      <c r="O132" t="s">
        <v>4274</v>
      </c>
      <c r="P132" t="s">
        <v>4274</v>
      </c>
      <c r="Q132" t="s">
        <v>2505</v>
      </c>
      <c r="R132" t="s">
        <v>4274</v>
      </c>
    </row>
    <row r="133" spans="1:18" x14ac:dyDescent="0.15">
      <c r="A133" s="5" t="s">
        <v>64</v>
      </c>
      <c r="B133" s="5"/>
      <c r="C133" s="5"/>
      <c r="D133" t="s">
        <v>65</v>
      </c>
      <c r="F133">
        <v>200</v>
      </c>
      <c r="G133" t="b">
        <v>0</v>
      </c>
      <c r="H133" s="1" t="s">
        <v>15</v>
      </c>
      <c r="I133" t="s">
        <v>61</v>
      </c>
      <c r="J133">
        <v>0</v>
      </c>
      <c r="K133" t="s">
        <v>4277</v>
      </c>
      <c r="L133" t="s">
        <v>4274</v>
      </c>
      <c r="M133" t="s">
        <v>4144</v>
      </c>
      <c r="N133" t="s">
        <v>4274</v>
      </c>
      <c r="O133" t="s">
        <v>4274</v>
      </c>
      <c r="P133" t="s">
        <v>4274</v>
      </c>
      <c r="Q133" t="s">
        <v>2505</v>
      </c>
      <c r="R133" t="s">
        <v>4274</v>
      </c>
    </row>
    <row r="134" spans="1:18" x14ac:dyDescent="0.15">
      <c r="A134" t="s">
        <v>66</v>
      </c>
      <c r="D134" t="s">
        <v>67</v>
      </c>
      <c r="F134">
        <v>200</v>
      </c>
      <c r="G134" t="b">
        <v>0</v>
      </c>
      <c r="H134" s="1" t="s">
        <v>15</v>
      </c>
      <c r="I134" t="s">
        <v>61</v>
      </c>
      <c r="J134">
        <v>0</v>
      </c>
      <c r="K134" t="s">
        <v>4277</v>
      </c>
      <c r="L134" t="s">
        <v>4274</v>
      </c>
      <c r="M134" t="s">
        <v>4144</v>
      </c>
      <c r="N134" t="s">
        <v>4274</v>
      </c>
      <c r="O134" t="s">
        <v>4274</v>
      </c>
      <c r="P134" t="s">
        <v>4274</v>
      </c>
      <c r="Q134" t="s">
        <v>2505</v>
      </c>
      <c r="R134" t="s">
        <v>4274</v>
      </c>
    </row>
    <row r="135" spans="1:18" x14ac:dyDescent="0.15">
      <c r="A135" t="s">
        <v>30</v>
      </c>
      <c r="D135" t="s">
        <v>31</v>
      </c>
      <c r="F135">
        <v>500</v>
      </c>
      <c r="G135" t="b">
        <v>1</v>
      </c>
      <c r="H135" s="1" t="s">
        <v>15</v>
      </c>
      <c r="I135" t="s">
        <v>32</v>
      </c>
      <c r="J135">
        <v>0</v>
      </c>
      <c r="K135" t="s">
        <v>4278</v>
      </c>
      <c r="L135" t="s">
        <v>4274</v>
      </c>
      <c r="M135" t="s">
        <v>4274</v>
      </c>
      <c r="N135" t="s">
        <v>4274</v>
      </c>
      <c r="O135" t="s">
        <v>4274</v>
      </c>
      <c r="P135" t="s">
        <v>4274</v>
      </c>
      <c r="Q135" t="s">
        <v>2505</v>
      </c>
      <c r="R135" t="s">
        <v>4233</v>
      </c>
    </row>
    <row r="136" spans="1:18" x14ac:dyDescent="0.15">
      <c r="A136" t="s">
        <v>4231</v>
      </c>
      <c r="C136" t="s">
        <v>3963</v>
      </c>
      <c r="D136" t="s">
        <v>4232</v>
      </c>
      <c r="F136">
        <v>600</v>
      </c>
      <c r="G136" t="b">
        <v>0</v>
      </c>
      <c r="H136" s="1" t="s">
        <v>15</v>
      </c>
      <c r="I136" t="s">
        <v>37</v>
      </c>
      <c r="J136">
        <v>0</v>
      </c>
      <c r="K136" t="s">
        <v>4278</v>
      </c>
      <c r="Q136" t="s">
        <v>2505</v>
      </c>
      <c r="R136" t="s">
        <v>4233</v>
      </c>
    </row>
    <row r="137" spans="1:18" x14ac:dyDescent="0.15">
      <c r="A137" t="s">
        <v>4293</v>
      </c>
      <c r="B137" t="s">
        <v>4273</v>
      </c>
      <c r="C137" t="s">
        <v>4227</v>
      </c>
      <c r="D137" t="s">
        <v>4294</v>
      </c>
      <c r="F137">
        <v>500</v>
      </c>
      <c r="G137" t="b">
        <v>1</v>
      </c>
      <c r="H137" s="1" t="s">
        <v>15</v>
      </c>
      <c r="I137" t="s">
        <v>37</v>
      </c>
      <c r="J137">
        <v>0</v>
      </c>
      <c r="K137" t="s">
        <v>4276</v>
      </c>
      <c r="L137" t="s">
        <v>4274</v>
      </c>
      <c r="M137" t="s">
        <v>4144</v>
      </c>
      <c r="N137" t="s">
        <v>4274</v>
      </c>
      <c r="O137" t="s">
        <v>4274</v>
      </c>
      <c r="P137" t="s">
        <v>4274</v>
      </c>
      <c r="Q137" t="s">
        <v>2505</v>
      </c>
      <c r="R137" t="s">
        <v>4233</v>
      </c>
    </row>
    <row r="138" spans="1:18" x14ac:dyDescent="0.15">
      <c r="A138" t="s">
        <v>4299</v>
      </c>
      <c r="B138" t="s">
        <v>4273</v>
      </c>
      <c r="D138" t="s">
        <v>4300</v>
      </c>
      <c r="F138">
        <v>500</v>
      </c>
      <c r="G138" t="b">
        <v>0</v>
      </c>
      <c r="H138" s="1" t="s">
        <v>15</v>
      </c>
      <c r="I138" t="s">
        <v>37</v>
      </c>
      <c r="J138">
        <v>0</v>
      </c>
      <c r="K138" t="s">
        <v>4276</v>
      </c>
      <c r="L138" t="s">
        <v>4274</v>
      </c>
      <c r="M138" t="s">
        <v>4144</v>
      </c>
      <c r="N138" t="s">
        <v>4274</v>
      </c>
      <c r="O138" t="s">
        <v>4274</v>
      </c>
      <c r="P138" t="s">
        <v>4274</v>
      </c>
      <c r="Q138" t="s">
        <v>2505</v>
      </c>
      <c r="R138" t="s">
        <v>4233</v>
      </c>
    </row>
    <row r="139" spans="1:18" x14ac:dyDescent="0.15">
      <c r="A139" t="s">
        <v>4388</v>
      </c>
      <c r="B139" t="s">
        <v>4273</v>
      </c>
      <c r="D139" t="s">
        <v>4389</v>
      </c>
      <c r="F139">
        <v>500</v>
      </c>
      <c r="G139" t="b">
        <v>1</v>
      </c>
      <c r="H139" s="1" t="s">
        <v>15</v>
      </c>
      <c r="I139" t="s">
        <v>37</v>
      </c>
      <c r="J139">
        <v>0</v>
      </c>
      <c r="K139" t="s">
        <v>4276</v>
      </c>
      <c r="L139" t="s">
        <v>4274</v>
      </c>
      <c r="M139" t="s">
        <v>4144</v>
      </c>
      <c r="N139" t="s">
        <v>4274</v>
      </c>
      <c r="O139" t="s">
        <v>4274</v>
      </c>
      <c r="P139" t="s">
        <v>4274</v>
      </c>
      <c r="Q139" t="s">
        <v>2505</v>
      </c>
      <c r="R139" t="s">
        <v>4233</v>
      </c>
    </row>
    <row r="140" spans="1:18" x14ac:dyDescent="0.15">
      <c r="A140" t="s">
        <v>4390</v>
      </c>
      <c r="B140" t="s">
        <v>4273</v>
      </c>
      <c r="D140" t="s">
        <v>4391</v>
      </c>
      <c r="F140">
        <v>500</v>
      </c>
      <c r="G140" t="b">
        <v>1</v>
      </c>
      <c r="H140" s="1" t="s">
        <v>15</v>
      </c>
      <c r="I140" t="s">
        <v>37</v>
      </c>
      <c r="J140">
        <v>0</v>
      </c>
      <c r="K140" t="s">
        <v>4276</v>
      </c>
      <c r="L140" t="s">
        <v>4274</v>
      </c>
      <c r="M140" t="s">
        <v>4144</v>
      </c>
      <c r="N140" t="s">
        <v>4274</v>
      </c>
      <c r="O140" t="s">
        <v>4274</v>
      </c>
      <c r="P140" t="s">
        <v>4274</v>
      </c>
      <c r="Q140" t="s">
        <v>2505</v>
      </c>
      <c r="R140" t="s">
        <v>4233</v>
      </c>
    </row>
    <row r="141" spans="1:18" x14ac:dyDescent="0.15">
      <c r="A141" t="s">
        <v>4392</v>
      </c>
      <c r="B141" t="s">
        <v>4273</v>
      </c>
      <c r="C141" s="6"/>
      <c r="D141" t="s">
        <v>4393</v>
      </c>
      <c r="F141">
        <v>500</v>
      </c>
      <c r="G141" t="b">
        <v>1</v>
      </c>
      <c r="H141" s="1" t="s">
        <v>15</v>
      </c>
      <c r="I141" t="s">
        <v>37</v>
      </c>
      <c r="J141">
        <v>0</v>
      </c>
      <c r="K141" t="s">
        <v>4276</v>
      </c>
      <c r="L141" t="s">
        <v>4274</v>
      </c>
      <c r="M141" t="s">
        <v>4144</v>
      </c>
      <c r="N141" t="s">
        <v>4274</v>
      </c>
      <c r="O141" t="s">
        <v>4274</v>
      </c>
      <c r="P141" t="s">
        <v>4274</v>
      </c>
      <c r="Q141" t="s">
        <v>2505</v>
      </c>
      <c r="R141" t="s">
        <v>4233</v>
      </c>
    </row>
    <row r="142" spans="1:18" x14ac:dyDescent="0.15">
      <c r="B142" s="6"/>
      <c r="C142" s="6"/>
    </row>
    <row r="153" spans="1:2" x14ac:dyDescent="0.15">
      <c r="A153" s="6"/>
      <c r="B153" s="6"/>
    </row>
    <row r="154" spans="1:2" x14ac:dyDescent="0.15">
      <c r="A154" s="6"/>
      <c r="B154" s="6"/>
    </row>
    <row r="155" spans="1:2" x14ac:dyDescent="0.15">
      <c r="A155" s="6"/>
      <c r="B155" s="6"/>
    </row>
    <row r="156" spans="1:2" x14ac:dyDescent="0.15">
      <c r="A156" s="6"/>
      <c r="B156" s="6"/>
    </row>
    <row r="157" spans="1:2" x14ac:dyDescent="0.15">
      <c r="A157" s="6"/>
      <c r="B157" s="6"/>
    </row>
  </sheetData>
  <autoFilter ref="A1:ALX129" xr:uid="{00000000-0001-0000-0000-000000000000}">
    <sortState xmlns:xlrd2="http://schemas.microsoft.com/office/spreadsheetml/2017/richdata2" ref="A2:ALX135">
      <sortCondition descending="1" ref="I1:I135"/>
    </sortState>
  </autoFilter>
  <conditionalFormatting sqref="H1:H95">
    <cfRule type="containsText" dxfId="8" priority="2" operator="containsText" text="TRUE">
      <formula>NOT(ISERROR(SEARCH("TRUE",H1)))</formula>
    </cfRule>
  </conditionalFormatting>
  <conditionalFormatting sqref="M1:R1">
    <cfRule type="containsText" dxfId="4" priority="1" operator="containsText" text="TRUE">
      <formula>NOT(ISERROR(SEARCH("TRUE",M1)))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x14ac:dyDescent="0.15"/>
  <cols>
    <col min="1" max="1" width="24.6640625" customWidth="1"/>
    <col min="2" max="2" width="73.5" customWidth="1"/>
  </cols>
  <sheetData>
    <row r="1" spans="1:2" x14ac:dyDescent="0.15">
      <c r="A1" s="2" t="s">
        <v>0</v>
      </c>
      <c r="B1" s="2" t="s">
        <v>3962</v>
      </c>
    </row>
    <row r="2" spans="1:2" x14ac:dyDescent="0.15">
      <c r="A2" t="s">
        <v>175</v>
      </c>
    </row>
    <row r="3" spans="1:2" x14ac:dyDescent="0.15">
      <c r="A3" t="s">
        <v>177</v>
      </c>
    </row>
    <row r="4" spans="1:2" x14ac:dyDescent="0.15">
      <c r="A4" t="s">
        <v>181</v>
      </c>
    </row>
    <row r="5" spans="1:2" x14ac:dyDescent="0.15">
      <c r="A5" t="s">
        <v>179</v>
      </c>
    </row>
    <row r="6" spans="1:2" x14ac:dyDescent="0.15">
      <c r="A6" t="s">
        <v>183</v>
      </c>
    </row>
    <row r="7" spans="1:2" x14ac:dyDescent="0.15">
      <c r="A7" t="s">
        <v>185</v>
      </c>
    </row>
    <row r="8" spans="1:2" x14ac:dyDescent="0.15">
      <c r="A8" s="27" t="s">
        <v>4060</v>
      </c>
      <c r="B8" t="s">
        <v>13</v>
      </c>
    </row>
    <row r="9" spans="1:2" x14ac:dyDescent="0.15">
      <c r="A9" s="6" t="s">
        <v>4061</v>
      </c>
    </row>
    <row r="10" spans="1:2" x14ac:dyDescent="0.15">
      <c r="A10" s="6" t="s">
        <v>4062</v>
      </c>
    </row>
    <row r="11" spans="1:2" x14ac:dyDescent="0.15">
      <c r="A11" s="6" t="s">
        <v>4227</v>
      </c>
    </row>
    <row r="12" spans="1:2" x14ac:dyDescent="0.15">
      <c r="A12" s="6" t="s">
        <v>4064</v>
      </c>
    </row>
    <row r="13" spans="1:2" x14ac:dyDescent="0.15">
      <c r="A13" s="6" t="s">
        <v>4065</v>
      </c>
    </row>
    <row r="14" spans="1:2" x14ac:dyDescent="0.15">
      <c r="A14" s="6" t="s">
        <v>3967</v>
      </c>
    </row>
    <row r="15" spans="1:2" x14ac:dyDescent="0.15">
      <c r="A15" s="6" t="s">
        <v>3965</v>
      </c>
    </row>
    <row r="16" spans="1:2" x14ac:dyDescent="0.15">
      <c r="A16" s="6" t="s">
        <v>3970</v>
      </c>
    </row>
    <row r="17" spans="1:2" x14ac:dyDescent="0.15">
      <c r="A17" s="6" t="s">
        <v>4066</v>
      </c>
    </row>
    <row r="18" spans="1:2" x14ac:dyDescent="0.15">
      <c r="A18" s="6" t="s">
        <v>4067</v>
      </c>
    </row>
    <row r="19" spans="1:2" x14ac:dyDescent="0.15">
      <c r="A19" s="6" t="s">
        <v>1162</v>
      </c>
    </row>
    <row r="20" spans="1:2" x14ac:dyDescent="0.15">
      <c r="A20" s="6" t="s">
        <v>4068</v>
      </c>
    </row>
    <row r="21" spans="1:2" x14ac:dyDescent="0.15">
      <c r="A21" s="6" t="s">
        <v>4069</v>
      </c>
    </row>
    <row r="22" spans="1:2" x14ac:dyDescent="0.15">
      <c r="A22" s="6" t="s">
        <v>4070</v>
      </c>
    </row>
    <row r="23" spans="1:2" x14ac:dyDescent="0.15">
      <c r="A23" t="s">
        <v>4076</v>
      </c>
    </row>
    <row r="24" spans="1:2" x14ac:dyDescent="0.15">
      <c r="A24" s="6" t="s">
        <v>4140</v>
      </c>
    </row>
    <row r="25" spans="1:2" x14ac:dyDescent="0.15">
      <c r="A25" s="6" t="s">
        <v>4142</v>
      </c>
    </row>
    <row r="26" spans="1:2" x14ac:dyDescent="0.15">
      <c r="A26" s="6" t="s">
        <v>4147</v>
      </c>
    </row>
    <row r="27" spans="1:2" x14ac:dyDescent="0.15">
      <c r="A27" s="6" t="s">
        <v>4148</v>
      </c>
    </row>
    <row r="28" spans="1:2" x14ac:dyDescent="0.15">
      <c r="A28" s="6" t="s">
        <v>4155</v>
      </c>
    </row>
    <row r="29" spans="1:2" x14ac:dyDescent="0.15">
      <c r="A29" s="5" t="s">
        <v>12</v>
      </c>
      <c r="B29" s="5"/>
    </row>
    <row r="30" spans="1:2" x14ac:dyDescent="0.15">
      <c r="A30" s="5" t="s">
        <v>83</v>
      </c>
      <c r="B30" s="5" t="s">
        <v>4062</v>
      </c>
    </row>
    <row r="31" spans="1:2" x14ac:dyDescent="0.15">
      <c r="A31" s="5" t="s">
        <v>201</v>
      </c>
      <c r="B31" s="5"/>
    </row>
    <row r="32" spans="1:2" x14ac:dyDescent="0.15">
      <c r="A32" t="s">
        <v>2738</v>
      </c>
    </row>
    <row r="33" spans="1:2" x14ac:dyDescent="0.15">
      <c r="A33" s="5" t="s">
        <v>57</v>
      </c>
      <c r="B33" s="5" t="s">
        <v>3963</v>
      </c>
    </row>
    <row r="34" spans="1:2" x14ac:dyDescent="0.15">
      <c r="A34" t="s">
        <v>2836</v>
      </c>
    </row>
    <row r="35" spans="1:2" x14ac:dyDescent="0.15">
      <c r="A35" t="s">
        <v>1162</v>
      </c>
    </row>
    <row r="36" spans="1:2" x14ac:dyDescent="0.15">
      <c r="A36" t="s">
        <v>2881</v>
      </c>
    </row>
    <row r="37" spans="1:2" x14ac:dyDescent="0.15">
      <c r="A37" s="5" t="s">
        <v>40</v>
      </c>
      <c r="B37" s="5"/>
    </row>
    <row r="38" spans="1:2" x14ac:dyDescent="0.15">
      <c r="A38" s="5" t="s">
        <v>43</v>
      </c>
      <c r="B38" s="5"/>
    </row>
    <row r="39" spans="1:2" x14ac:dyDescent="0.15">
      <c r="A39" s="5" t="s">
        <v>2880</v>
      </c>
      <c r="B39" s="5"/>
    </row>
    <row r="40" spans="1:2" x14ac:dyDescent="0.15">
      <c r="A40" t="s">
        <v>38</v>
      </c>
      <c r="B40" t="s">
        <v>4155</v>
      </c>
    </row>
    <row r="41" spans="1:2" x14ac:dyDescent="0.15">
      <c r="A41" t="s">
        <v>2937</v>
      </c>
    </row>
    <row r="42" spans="1:2" x14ac:dyDescent="0.15">
      <c r="A42" s="5" t="s">
        <v>2980</v>
      </c>
      <c r="B42" s="5"/>
    </row>
    <row r="43" spans="1:2" x14ac:dyDescent="0.15">
      <c r="A43" s="5" t="s">
        <v>3112</v>
      </c>
      <c r="B43" s="5"/>
    </row>
    <row r="44" spans="1:2" x14ac:dyDescent="0.15">
      <c r="A44" t="s">
        <v>2871</v>
      </c>
    </row>
    <row r="45" spans="1:2" x14ac:dyDescent="0.15">
      <c r="A45" t="s">
        <v>35</v>
      </c>
    </row>
    <row r="46" spans="1:2" x14ac:dyDescent="0.15">
      <c r="A46" t="s">
        <v>81</v>
      </c>
    </row>
    <row r="47" spans="1:2" x14ac:dyDescent="0.15">
      <c r="A47" s="5" t="s">
        <v>118</v>
      </c>
      <c r="B47" s="5"/>
    </row>
    <row r="48" spans="1:2" x14ac:dyDescent="0.15">
      <c r="A48" t="s">
        <v>123</v>
      </c>
    </row>
    <row r="49" spans="1:2" x14ac:dyDescent="0.15">
      <c r="A49" t="s">
        <v>137</v>
      </c>
    </row>
    <row r="50" spans="1:2" x14ac:dyDescent="0.15">
      <c r="A50" t="s">
        <v>3009</v>
      </c>
    </row>
    <row r="51" spans="1:2" x14ac:dyDescent="0.15">
      <c r="A51" t="s">
        <v>138</v>
      </c>
    </row>
    <row r="52" spans="1:2" x14ac:dyDescent="0.15">
      <c r="A52" s="5" t="s">
        <v>3105</v>
      </c>
      <c r="B52" s="5"/>
    </row>
    <row r="53" spans="1:2" x14ac:dyDescent="0.15">
      <c r="A53" t="s">
        <v>152</v>
      </c>
    </row>
    <row r="54" spans="1:2" x14ac:dyDescent="0.15">
      <c r="A54" s="5" t="s">
        <v>170</v>
      </c>
      <c r="B54" s="5"/>
    </row>
    <row r="55" spans="1:2" x14ac:dyDescent="0.15">
      <c r="A55" s="5" t="s">
        <v>172</v>
      </c>
      <c r="B55" s="5"/>
    </row>
    <row r="56" spans="1:2" x14ac:dyDescent="0.15">
      <c r="A56" t="s">
        <v>2830</v>
      </c>
      <c r="B56" t="s">
        <v>4227</v>
      </c>
    </row>
    <row r="57" spans="1:2" x14ac:dyDescent="0.15">
      <c r="A57" t="s">
        <v>4096</v>
      </c>
    </row>
    <row r="58" spans="1:2" x14ac:dyDescent="0.15">
      <c r="A58" t="s">
        <v>3087</v>
      </c>
    </row>
    <row r="59" spans="1:2" x14ac:dyDescent="0.15">
      <c r="A59" t="s">
        <v>3122</v>
      </c>
    </row>
    <row r="60" spans="1:2" ht="16" x14ac:dyDescent="0.2">
      <c r="A60" s="19" t="s">
        <v>3138</v>
      </c>
      <c r="B60" s="19"/>
    </row>
    <row r="61" spans="1:2" x14ac:dyDescent="0.15">
      <c r="A61" t="s">
        <v>3144</v>
      </c>
    </row>
    <row r="62" spans="1:2" x14ac:dyDescent="0.15">
      <c r="A62" t="s">
        <v>3160</v>
      </c>
    </row>
    <row r="63" spans="1:2" x14ac:dyDescent="0.15">
      <c r="A63" t="s">
        <v>2768</v>
      </c>
    </row>
    <row r="64" spans="1:2" x14ac:dyDescent="0.15">
      <c r="A64" t="s">
        <v>3950</v>
      </c>
      <c r="B64" t="s">
        <v>3963</v>
      </c>
    </row>
    <row r="65" spans="1:2" x14ac:dyDescent="0.15">
      <c r="A65" s="5" t="s">
        <v>3242</v>
      </c>
      <c r="B65" s="5"/>
    </row>
    <row r="66" spans="1:2" x14ac:dyDescent="0.15">
      <c r="A66" t="s">
        <v>3942</v>
      </c>
    </row>
    <row r="67" spans="1:2" x14ac:dyDescent="0.15">
      <c r="A67" t="s">
        <v>120</v>
      </c>
    </row>
    <row r="68" spans="1:2" x14ac:dyDescent="0.15">
      <c r="A68" t="s">
        <v>34</v>
      </c>
      <c r="B68" t="s">
        <v>3964</v>
      </c>
    </row>
    <row r="69" spans="1:2" x14ac:dyDescent="0.15">
      <c r="A69" t="s">
        <v>88</v>
      </c>
      <c r="B69" t="s">
        <v>3965</v>
      </c>
    </row>
    <row r="70" spans="1:2" x14ac:dyDescent="0.15">
      <c r="A70" s="5" t="s">
        <v>68</v>
      </c>
      <c r="B70" s="5"/>
    </row>
    <row r="71" spans="1:2" x14ac:dyDescent="0.15">
      <c r="A71" s="5" t="s">
        <v>3966</v>
      </c>
      <c r="B71" s="5" t="s">
        <v>3967</v>
      </c>
    </row>
    <row r="72" spans="1:2" x14ac:dyDescent="0.15">
      <c r="A72" t="s">
        <v>91</v>
      </c>
      <c r="B72" s="5" t="s">
        <v>3967</v>
      </c>
    </row>
    <row r="73" spans="1:2" x14ac:dyDescent="0.15">
      <c r="A73" t="s">
        <v>93</v>
      </c>
      <c r="B73" s="5" t="s">
        <v>3967</v>
      </c>
    </row>
    <row r="74" spans="1:2" x14ac:dyDescent="0.15">
      <c r="A74" t="s">
        <v>3850</v>
      </c>
      <c r="B74" t="s">
        <v>19</v>
      </c>
    </row>
    <row r="75" spans="1:2" x14ac:dyDescent="0.15">
      <c r="A75" t="s">
        <v>19</v>
      </c>
      <c r="B75" t="s">
        <v>18</v>
      </c>
    </row>
    <row r="76" spans="1:2" x14ac:dyDescent="0.15">
      <c r="A76" s="5" t="s">
        <v>18</v>
      </c>
      <c r="B76" s="5" t="s">
        <v>4075</v>
      </c>
    </row>
    <row r="77" spans="1:2" x14ac:dyDescent="0.15">
      <c r="A77" s="5" t="s">
        <v>45</v>
      </c>
      <c r="B77" s="5"/>
    </row>
    <row r="78" spans="1:2" x14ac:dyDescent="0.15">
      <c r="A78" s="5" t="s">
        <v>89</v>
      </c>
      <c r="B78" s="5"/>
    </row>
    <row r="79" spans="1:2" x14ac:dyDescent="0.15">
      <c r="A79" s="5" t="s">
        <v>107</v>
      </c>
      <c r="B79" s="5"/>
    </row>
    <row r="80" spans="1:2" x14ac:dyDescent="0.15">
      <c r="A80" s="5" t="s">
        <v>129</v>
      </c>
      <c r="B80" s="5"/>
    </row>
    <row r="81" spans="1:2" x14ac:dyDescent="0.15">
      <c r="A81" s="5" t="s">
        <v>131</v>
      </c>
      <c r="B81" s="5"/>
    </row>
    <row r="82" spans="1:2" x14ac:dyDescent="0.15">
      <c r="A82" s="5" t="s">
        <v>133</v>
      </c>
      <c r="B82" s="5"/>
    </row>
    <row r="83" spans="1:2" x14ac:dyDescent="0.15">
      <c r="A83" s="5" t="s">
        <v>135</v>
      </c>
      <c r="B83" s="5"/>
    </row>
    <row r="84" spans="1:2" x14ac:dyDescent="0.15">
      <c r="A84" t="s">
        <v>165</v>
      </c>
    </row>
    <row r="85" spans="1:2" x14ac:dyDescent="0.15">
      <c r="A85" t="s">
        <v>90</v>
      </c>
    </row>
    <row r="86" spans="1:2" x14ac:dyDescent="0.15">
      <c r="A86" t="s">
        <v>130</v>
      </c>
      <c r="B86" t="s">
        <v>4067</v>
      </c>
    </row>
    <row r="87" spans="1:2" x14ac:dyDescent="0.15">
      <c r="A87" t="s">
        <v>134</v>
      </c>
      <c r="B87" t="s">
        <v>4067</v>
      </c>
    </row>
    <row r="88" spans="1:2" x14ac:dyDescent="0.15">
      <c r="A88" s="5" t="s">
        <v>3044</v>
      </c>
      <c r="B88" s="5"/>
    </row>
    <row r="89" spans="1:2" x14ac:dyDescent="0.15">
      <c r="A89" s="5" t="s">
        <v>3045</v>
      </c>
      <c r="B89" s="5"/>
    </row>
    <row r="90" spans="1:2" x14ac:dyDescent="0.15">
      <c r="A90" s="5" t="s">
        <v>115</v>
      </c>
      <c r="B90" s="5"/>
    </row>
    <row r="91" spans="1:2" x14ac:dyDescent="0.15">
      <c r="A91" s="5" t="s">
        <v>70</v>
      </c>
      <c r="B91" s="5" t="s">
        <v>115</v>
      </c>
    </row>
    <row r="92" spans="1:2" x14ac:dyDescent="0.15">
      <c r="A92" s="5" t="s">
        <v>69</v>
      </c>
      <c r="B92" s="5" t="s">
        <v>4060</v>
      </c>
    </row>
    <row r="93" spans="1:2" x14ac:dyDescent="0.15">
      <c r="A93" s="5" t="s">
        <v>3212</v>
      </c>
      <c r="B93" s="5" t="s">
        <v>4062</v>
      </c>
    </row>
    <row r="94" spans="1:2" ht="28" x14ac:dyDescent="0.15">
      <c r="A94" t="s">
        <v>48</v>
      </c>
      <c r="B94" s="31" t="s">
        <v>4154</v>
      </c>
    </row>
    <row r="95" spans="1:2" x14ac:dyDescent="0.15">
      <c r="A95" t="s">
        <v>4094</v>
      </c>
      <c r="B95" t="s">
        <v>4095</v>
      </c>
    </row>
    <row r="96" spans="1:2" x14ac:dyDescent="0.15">
      <c r="A96" t="s">
        <v>4095</v>
      </c>
      <c r="B96" t="s">
        <v>3212</v>
      </c>
    </row>
    <row r="97" spans="1:2" x14ac:dyDescent="0.15">
      <c r="A97" t="s">
        <v>54</v>
      </c>
      <c r="B97" s="6"/>
    </row>
    <row r="98" spans="1:2" x14ac:dyDescent="0.15">
      <c r="A98" t="s">
        <v>156</v>
      </c>
      <c r="B98" t="s">
        <v>158</v>
      </c>
    </row>
    <row r="99" spans="1:2" x14ac:dyDescent="0.15">
      <c r="A99" t="s">
        <v>100</v>
      </c>
      <c r="B99" t="s">
        <v>4180</v>
      </c>
    </row>
    <row r="100" spans="1:2" x14ac:dyDescent="0.15">
      <c r="A100" t="s">
        <v>101</v>
      </c>
    </row>
    <row r="101" spans="1:2" x14ac:dyDescent="0.15">
      <c r="A101" t="s">
        <v>104</v>
      </c>
      <c r="B101" t="s">
        <v>4228</v>
      </c>
    </row>
    <row r="102" spans="1:2" x14ac:dyDescent="0.15">
      <c r="A102" s="5" t="s">
        <v>4162</v>
      </c>
    </row>
    <row r="103" spans="1:2" x14ac:dyDescent="0.15">
      <c r="A103" s="5" t="s">
        <v>4177</v>
      </c>
    </row>
    <row r="104" spans="1:2" x14ac:dyDescent="0.15">
      <c r="A104" t="s">
        <v>158</v>
      </c>
      <c r="B104" t="s">
        <v>4194</v>
      </c>
    </row>
    <row r="105" spans="1:2" x14ac:dyDescent="0.15">
      <c r="A105" t="s">
        <v>4188</v>
      </c>
    </row>
    <row r="106" spans="1:2" x14ac:dyDescent="0.15">
      <c r="A106" t="s">
        <v>4189</v>
      </c>
    </row>
    <row r="107" spans="1:2" x14ac:dyDescent="0.15">
      <c r="A107" t="s">
        <v>4190</v>
      </c>
    </row>
    <row r="108" spans="1:2" x14ac:dyDescent="0.15">
      <c r="A108" t="s">
        <v>4193</v>
      </c>
    </row>
    <row r="109" spans="1:2" x14ac:dyDescent="0.15">
      <c r="A109" t="s">
        <v>4203</v>
      </c>
    </row>
    <row r="110" spans="1:2" x14ac:dyDescent="0.15">
      <c r="A110" t="s">
        <v>85</v>
      </c>
    </row>
    <row r="111" spans="1:2" x14ac:dyDescent="0.15">
      <c r="A111" t="s">
        <v>147</v>
      </c>
    </row>
    <row r="112" spans="1:2" x14ac:dyDescent="0.15">
      <c r="A112" t="s">
        <v>97</v>
      </c>
    </row>
    <row r="113" spans="1:2" x14ac:dyDescent="0.15">
      <c r="A113" s="5" t="s">
        <v>168</v>
      </c>
      <c r="B113" s="5"/>
    </row>
    <row r="114" spans="1:2" x14ac:dyDescent="0.15">
      <c r="A114" s="5" t="s">
        <v>140</v>
      </c>
      <c r="B114" s="5"/>
    </row>
    <row r="115" spans="1:2" x14ac:dyDescent="0.15">
      <c r="A115" s="5" t="s">
        <v>141</v>
      </c>
      <c r="B115" s="5"/>
    </row>
    <row r="116" spans="1:2" x14ac:dyDescent="0.15">
      <c r="A116" s="5" t="s">
        <v>144</v>
      </c>
      <c r="B116" s="5"/>
    </row>
    <row r="117" spans="1:2" x14ac:dyDescent="0.15">
      <c r="A117" s="5" t="s">
        <v>108</v>
      </c>
      <c r="B117" s="5" t="s">
        <v>4229</v>
      </c>
    </row>
    <row r="118" spans="1:2" x14ac:dyDescent="0.15">
      <c r="A118" s="24" t="s">
        <v>3840</v>
      </c>
      <c r="B118" s="24"/>
    </row>
    <row r="119" spans="1:2" x14ac:dyDescent="0.15">
      <c r="A119" s="5" t="s">
        <v>23</v>
      </c>
      <c r="B119" s="5" t="s">
        <v>4161</v>
      </c>
    </row>
    <row r="120" spans="1:2" x14ac:dyDescent="0.15">
      <c r="A120" s="5" t="s">
        <v>163</v>
      </c>
      <c r="B120" s="5" t="s">
        <v>4098</v>
      </c>
    </row>
    <row r="121" spans="1:2" x14ac:dyDescent="0.15">
      <c r="A121" s="5" t="s">
        <v>154</v>
      </c>
      <c r="B121" s="5"/>
    </row>
    <row r="122" spans="1:2" x14ac:dyDescent="0.15">
      <c r="A122" s="5" t="s">
        <v>4082</v>
      </c>
      <c r="B122" s="5" t="s">
        <v>4066</v>
      </c>
    </row>
    <row r="123" spans="1:2" x14ac:dyDescent="0.15">
      <c r="A123" s="5" t="s">
        <v>113</v>
      </c>
      <c r="B123" s="5"/>
    </row>
    <row r="124" spans="1:2" x14ac:dyDescent="0.15">
      <c r="A124" s="5" t="s">
        <v>22</v>
      </c>
      <c r="B124" s="5" t="s">
        <v>3963</v>
      </c>
    </row>
    <row r="125" spans="1:2" x14ac:dyDescent="0.15">
      <c r="A125" t="s">
        <v>27</v>
      </c>
      <c r="B125" t="s">
        <v>4068</v>
      </c>
    </row>
    <row r="126" spans="1:2" x14ac:dyDescent="0.15">
      <c r="A126" s="5" t="s">
        <v>26</v>
      </c>
      <c r="B126" s="5"/>
    </row>
    <row r="127" spans="1:2" x14ac:dyDescent="0.15">
      <c r="A127" s="5" t="s">
        <v>95</v>
      </c>
      <c r="B127" s="5"/>
    </row>
    <row r="128" spans="1:2" x14ac:dyDescent="0.15">
      <c r="A128" s="5" t="s">
        <v>159</v>
      </c>
      <c r="B128" s="5"/>
    </row>
    <row r="129" spans="1:2" x14ac:dyDescent="0.15">
      <c r="A129" s="5" t="s">
        <v>160</v>
      </c>
      <c r="B129" s="5"/>
    </row>
    <row r="130" spans="1:2" x14ac:dyDescent="0.15">
      <c r="A130" t="s">
        <v>59</v>
      </c>
    </row>
    <row r="131" spans="1:2" x14ac:dyDescent="0.15">
      <c r="A131" t="s">
        <v>62</v>
      </c>
    </row>
    <row r="132" spans="1:2" x14ac:dyDescent="0.15">
      <c r="A132" s="5" t="s">
        <v>64</v>
      </c>
      <c r="B132" s="5"/>
    </row>
    <row r="133" spans="1:2" x14ac:dyDescent="0.15">
      <c r="A133" t="s">
        <v>66</v>
      </c>
    </row>
    <row r="134" spans="1:2" x14ac:dyDescent="0.15">
      <c r="A134" t="s">
        <v>30</v>
      </c>
    </row>
    <row r="135" spans="1:2" x14ac:dyDescent="0.15">
      <c r="A135" t="s">
        <v>4231</v>
      </c>
      <c r="B135" t="s">
        <v>3963</v>
      </c>
    </row>
    <row r="141" spans="1:2" x14ac:dyDescent="0.15">
      <c r="B141" s="6"/>
    </row>
    <row r="142" spans="1:2" x14ac:dyDescent="0.15">
      <c r="B142" s="6"/>
    </row>
    <row r="153" spans="1:1" x14ac:dyDescent="0.15">
      <c r="A153" s="6"/>
    </row>
    <row r="154" spans="1:1" x14ac:dyDescent="0.15">
      <c r="A154" s="6"/>
    </row>
    <row r="155" spans="1:1" x14ac:dyDescent="0.15">
      <c r="A155" s="6"/>
    </row>
    <row r="156" spans="1:1" x14ac:dyDescent="0.15">
      <c r="A156" s="6"/>
    </row>
    <row r="157" spans="1:1" x14ac:dyDescent="0.15">
      <c r="A157" s="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393"/>
  <sheetViews>
    <sheetView topLeftCell="A2" zoomScale="120" zoomScaleNormal="120" workbookViewId="0">
      <selection activeCell="C1376" sqref="C1376"/>
    </sheetView>
  </sheetViews>
  <sheetFormatPr baseColWidth="10" defaultColWidth="10.6640625" defaultRowHeight="13" x14ac:dyDescent="0.15"/>
  <cols>
    <col min="1" max="1" width="19.1640625" style="6" customWidth="1"/>
    <col min="2" max="2" width="27.6640625" style="6" customWidth="1"/>
    <col min="3" max="3" width="31" style="6" customWidth="1"/>
    <col min="4" max="4" width="15.1640625" style="6" customWidth="1"/>
    <col min="5" max="5" width="35.5" style="6" customWidth="1"/>
    <col min="6" max="6" width="52.5" style="6" customWidth="1"/>
    <col min="7" max="11" width="10.6640625" style="6"/>
    <col min="12" max="12" width="43.83203125" style="6" customWidth="1"/>
    <col min="13" max="1008" width="10.6640625" style="6"/>
  </cols>
  <sheetData>
    <row r="1" spans="1:1010" s="15" customFormat="1" x14ac:dyDescent="0.15">
      <c r="A1" s="15" t="s">
        <v>2723</v>
      </c>
      <c r="B1" s="15" t="s">
        <v>187</v>
      </c>
      <c r="C1" s="15" t="s">
        <v>0</v>
      </c>
      <c r="D1" s="15" t="s">
        <v>188</v>
      </c>
      <c r="E1" s="15" t="s">
        <v>1</v>
      </c>
      <c r="F1" s="15" t="s">
        <v>189</v>
      </c>
      <c r="G1" s="15" t="s">
        <v>2</v>
      </c>
      <c r="H1" s="15" t="s">
        <v>4097</v>
      </c>
      <c r="ALR1" s="16"/>
      <c r="ALS1" s="16"/>
      <c r="ALT1" s="16"/>
      <c r="ALU1" s="17"/>
      <c r="ALV1" s="17"/>
    </row>
    <row r="2" spans="1:1010" x14ac:dyDescent="0.15">
      <c r="A2" s="6" t="s">
        <v>190</v>
      </c>
      <c r="B2" s="6" t="s">
        <v>120</v>
      </c>
      <c r="C2" s="6" t="str">
        <f>A2</f>
        <v>steroid_synthesis</v>
      </c>
      <c r="D2" s="7" t="s">
        <v>13</v>
      </c>
      <c r="E2" s="6" t="s">
        <v>191</v>
      </c>
      <c r="F2" s="6" t="s">
        <v>192</v>
      </c>
      <c r="G2" s="6">
        <v>500</v>
      </c>
    </row>
    <row r="3" spans="1:1010" x14ac:dyDescent="0.15">
      <c r="A3" s="6" t="s">
        <v>193</v>
      </c>
      <c r="B3" s="6" t="s">
        <v>120</v>
      </c>
      <c r="C3" s="6" t="str">
        <f t="shared" ref="C3:C66" si="0">A3</f>
        <v>q_linked_reactions</v>
      </c>
      <c r="D3" s="7" t="s">
        <v>13</v>
      </c>
      <c r="E3" s="6" t="s">
        <v>194</v>
      </c>
      <c r="F3" s="6" t="s">
        <v>195</v>
      </c>
      <c r="G3" s="6">
        <v>500</v>
      </c>
    </row>
    <row r="4" spans="1:1010" x14ac:dyDescent="0.15">
      <c r="A4" s="6" t="s">
        <v>196</v>
      </c>
      <c r="B4" s="6" t="s">
        <v>120</v>
      </c>
      <c r="C4" s="6" t="str">
        <f t="shared" si="0"/>
        <v>protein_import</v>
      </c>
      <c r="D4" s="7" t="s">
        <v>13</v>
      </c>
      <c r="E4" s="6" t="s">
        <v>197</v>
      </c>
      <c r="F4" s="6" t="s">
        <v>197</v>
      </c>
      <c r="G4" s="6">
        <v>500</v>
      </c>
    </row>
    <row r="5" spans="1:1010" x14ac:dyDescent="0.15">
      <c r="A5" s="6" t="s">
        <v>198</v>
      </c>
      <c r="B5" s="6" t="s">
        <v>51</v>
      </c>
      <c r="C5" s="6" t="str">
        <f t="shared" si="0"/>
        <v>360um</v>
      </c>
      <c r="D5" s="7" t="s">
        <v>13</v>
      </c>
      <c r="E5" s="6">
        <v>360</v>
      </c>
      <c r="F5" s="6" t="s">
        <v>199</v>
      </c>
      <c r="G5" s="6">
        <v>500</v>
      </c>
    </row>
    <row r="6" spans="1:1010" x14ac:dyDescent="0.15">
      <c r="A6" s="6" t="s">
        <v>200</v>
      </c>
      <c r="B6" s="6" t="s">
        <v>201</v>
      </c>
      <c r="C6" s="6" t="str">
        <f t="shared" si="0"/>
        <v>arginine</v>
      </c>
      <c r="D6" s="6" t="s">
        <v>200</v>
      </c>
      <c r="E6" s="6" t="s">
        <v>202</v>
      </c>
      <c r="F6" s="6" t="s">
        <v>203</v>
      </c>
      <c r="G6" s="6">
        <v>500</v>
      </c>
    </row>
    <row r="7" spans="1:1010" x14ac:dyDescent="0.15">
      <c r="A7" s="6" t="s">
        <v>204</v>
      </c>
      <c r="B7" s="6" t="s">
        <v>201</v>
      </c>
      <c r="C7" s="6" t="str">
        <f t="shared" si="0"/>
        <v>asparagine</v>
      </c>
      <c r="D7" s="6" t="s">
        <v>204</v>
      </c>
      <c r="E7" s="6" t="s">
        <v>205</v>
      </c>
      <c r="F7" s="6" t="s">
        <v>206</v>
      </c>
      <c r="G7" s="6">
        <v>500</v>
      </c>
    </row>
    <row r="8" spans="1:1010" x14ac:dyDescent="0.15">
      <c r="A8" s="6" t="s">
        <v>207</v>
      </c>
      <c r="B8" s="6" t="s">
        <v>201</v>
      </c>
      <c r="C8" s="6" t="str">
        <f t="shared" si="0"/>
        <v>asparticacid</v>
      </c>
      <c r="D8" s="6" t="s">
        <v>207</v>
      </c>
      <c r="E8" s="6" t="s">
        <v>208</v>
      </c>
      <c r="F8" s="6" t="s">
        <v>209</v>
      </c>
      <c r="G8" s="6">
        <v>500</v>
      </c>
    </row>
    <row r="9" spans="1:1010" x14ac:dyDescent="0.15">
      <c r="A9" s="6" t="s">
        <v>210</v>
      </c>
      <c r="B9" s="6" t="s">
        <v>201</v>
      </c>
      <c r="C9" s="6" t="str">
        <f t="shared" si="0"/>
        <v>cysteine</v>
      </c>
      <c r="D9" s="6" t="s">
        <v>210</v>
      </c>
      <c r="E9" s="6" t="s">
        <v>211</v>
      </c>
      <c r="F9" s="6" t="s">
        <v>212</v>
      </c>
      <c r="G9" s="6">
        <v>500</v>
      </c>
    </row>
    <row r="10" spans="1:1010" x14ac:dyDescent="0.15">
      <c r="A10" s="6" t="s">
        <v>213</v>
      </c>
      <c r="B10" s="6" t="s">
        <v>201</v>
      </c>
      <c r="C10" s="6" t="str">
        <f t="shared" si="0"/>
        <v>glutamicacid</v>
      </c>
      <c r="D10" s="6" t="s">
        <v>213</v>
      </c>
      <c r="E10" s="6" t="s">
        <v>214</v>
      </c>
      <c r="F10" s="6" t="s">
        <v>215</v>
      </c>
      <c r="G10" s="6">
        <v>500</v>
      </c>
    </row>
    <row r="11" spans="1:1010" x14ac:dyDescent="0.15">
      <c r="A11" s="6" t="s">
        <v>216</v>
      </c>
      <c r="B11" s="6" t="s">
        <v>201</v>
      </c>
      <c r="C11" s="6" t="str">
        <f t="shared" si="0"/>
        <v>glutamine</v>
      </c>
      <c r="D11" s="6" t="s">
        <v>216</v>
      </c>
      <c r="E11" s="6" t="s">
        <v>217</v>
      </c>
      <c r="F11" s="6" t="s">
        <v>218</v>
      </c>
      <c r="G11" s="6">
        <v>500</v>
      </c>
    </row>
    <row r="12" spans="1:1010" x14ac:dyDescent="0.15">
      <c r="A12" s="6" t="s">
        <v>219</v>
      </c>
      <c r="B12" s="6" t="s">
        <v>201</v>
      </c>
      <c r="C12" s="6" t="str">
        <f t="shared" si="0"/>
        <v>glycine</v>
      </c>
      <c r="D12" s="6" t="s">
        <v>219</v>
      </c>
      <c r="E12" s="6" t="s">
        <v>220</v>
      </c>
      <c r="F12" s="6" t="s">
        <v>221</v>
      </c>
      <c r="G12" s="6">
        <v>500</v>
      </c>
    </row>
    <row r="13" spans="1:1010" x14ac:dyDescent="0.15">
      <c r="A13" s="6" t="s">
        <v>222</v>
      </c>
      <c r="B13" s="6" t="s">
        <v>201</v>
      </c>
      <c r="C13" s="6" t="str">
        <f t="shared" si="0"/>
        <v>histidine</v>
      </c>
      <c r="D13" s="6" t="s">
        <v>222</v>
      </c>
      <c r="E13" s="6" t="s">
        <v>223</v>
      </c>
      <c r="F13" s="6" t="s">
        <v>224</v>
      </c>
      <c r="G13" s="6">
        <v>500</v>
      </c>
    </row>
    <row r="14" spans="1:1010" x14ac:dyDescent="0.15">
      <c r="A14" s="6" t="s">
        <v>225</v>
      </c>
      <c r="B14" s="6" t="s">
        <v>201</v>
      </c>
      <c r="C14" s="6" t="str">
        <f t="shared" si="0"/>
        <v>isoleucine</v>
      </c>
      <c r="D14" s="6" t="s">
        <v>225</v>
      </c>
      <c r="E14" s="6" t="s">
        <v>226</v>
      </c>
      <c r="F14" s="6" t="s">
        <v>227</v>
      </c>
      <c r="G14" s="6">
        <v>500</v>
      </c>
    </row>
    <row r="15" spans="1:1010" x14ac:dyDescent="0.15">
      <c r="A15" s="6" t="s">
        <v>228</v>
      </c>
      <c r="B15" s="6" t="s">
        <v>201</v>
      </c>
      <c r="C15" s="6" t="str">
        <f t="shared" si="0"/>
        <v>leucine</v>
      </c>
      <c r="D15" s="6" t="s">
        <v>228</v>
      </c>
      <c r="E15" s="6" t="s">
        <v>229</v>
      </c>
      <c r="F15" s="6" t="s">
        <v>230</v>
      </c>
      <c r="G15" s="6">
        <v>500</v>
      </c>
    </row>
    <row r="16" spans="1:1010" x14ac:dyDescent="0.15">
      <c r="A16" s="6" t="s">
        <v>231</v>
      </c>
      <c r="B16" s="6" t="s">
        <v>201</v>
      </c>
      <c r="C16" s="6" t="str">
        <f t="shared" si="0"/>
        <v>lysine</v>
      </c>
      <c r="D16" s="6" t="s">
        <v>231</v>
      </c>
      <c r="E16" s="6" t="s">
        <v>232</v>
      </c>
      <c r="F16" s="6" t="s">
        <v>233</v>
      </c>
      <c r="G16" s="6">
        <v>500</v>
      </c>
    </row>
    <row r="17" spans="1:7" x14ac:dyDescent="0.15">
      <c r="A17" s="6" t="s">
        <v>234</v>
      </c>
      <c r="B17" s="6" t="s">
        <v>201</v>
      </c>
      <c r="C17" s="6" t="str">
        <f t="shared" si="0"/>
        <v>methionine</v>
      </c>
      <c r="D17" s="6" t="s">
        <v>234</v>
      </c>
      <c r="E17" s="6" t="s">
        <v>235</v>
      </c>
      <c r="F17" s="6" t="s">
        <v>236</v>
      </c>
      <c r="G17" s="6">
        <v>500</v>
      </c>
    </row>
    <row r="18" spans="1:7" x14ac:dyDescent="0.15">
      <c r="A18" s="6" t="s">
        <v>237</v>
      </c>
      <c r="B18" s="6" t="s">
        <v>201</v>
      </c>
      <c r="C18" s="6" t="str">
        <f t="shared" si="0"/>
        <v>phenylalanine</v>
      </c>
      <c r="D18" s="6" t="s">
        <v>237</v>
      </c>
      <c r="E18" s="6" t="s">
        <v>238</v>
      </c>
      <c r="F18" s="6" t="s">
        <v>239</v>
      </c>
      <c r="G18" s="6">
        <v>500</v>
      </c>
    </row>
    <row r="19" spans="1:7" x14ac:dyDescent="0.15">
      <c r="A19" s="6" t="s">
        <v>240</v>
      </c>
      <c r="B19" s="6" t="s">
        <v>201</v>
      </c>
      <c r="C19" s="6" t="str">
        <f t="shared" si="0"/>
        <v>proline</v>
      </c>
      <c r="D19" s="6" t="s">
        <v>240</v>
      </c>
      <c r="E19" s="6" t="s">
        <v>241</v>
      </c>
      <c r="F19" s="6" t="s">
        <v>242</v>
      </c>
      <c r="G19" s="6">
        <v>500</v>
      </c>
    </row>
    <row r="20" spans="1:7" x14ac:dyDescent="0.15">
      <c r="A20" s="6" t="s">
        <v>243</v>
      </c>
      <c r="B20" s="6" t="s">
        <v>201</v>
      </c>
      <c r="C20" s="6" t="str">
        <f t="shared" si="0"/>
        <v>serine</v>
      </c>
      <c r="D20" s="6" t="s">
        <v>243</v>
      </c>
      <c r="E20" s="6" t="s">
        <v>244</v>
      </c>
      <c r="F20" s="6" t="s">
        <v>245</v>
      </c>
      <c r="G20" s="6">
        <v>500</v>
      </c>
    </row>
    <row r="21" spans="1:7" x14ac:dyDescent="0.15">
      <c r="A21" s="6" t="s">
        <v>246</v>
      </c>
      <c r="B21" s="6" t="s">
        <v>201</v>
      </c>
      <c r="C21" s="6" t="str">
        <f t="shared" si="0"/>
        <v>threonine</v>
      </c>
      <c r="D21" s="6" t="s">
        <v>246</v>
      </c>
      <c r="E21" s="6" t="s">
        <v>247</v>
      </c>
      <c r="F21" s="6" t="s">
        <v>248</v>
      </c>
      <c r="G21" s="6">
        <v>500</v>
      </c>
    </row>
    <row r="22" spans="1:7" x14ac:dyDescent="0.15">
      <c r="A22" s="6" t="s">
        <v>249</v>
      </c>
      <c r="B22" s="6" t="s">
        <v>201</v>
      </c>
      <c r="C22" s="6" t="str">
        <f t="shared" si="0"/>
        <v>tryptophan</v>
      </c>
      <c r="D22" s="6" t="s">
        <v>249</v>
      </c>
      <c r="E22" s="6" t="s">
        <v>250</v>
      </c>
      <c r="F22" s="6" t="s">
        <v>251</v>
      </c>
      <c r="G22" s="6">
        <v>500</v>
      </c>
    </row>
    <row r="23" spans="1:7" x14ac:dyDescent="0.15">
      <c r="A23" s="6" t="s">
        <v>252</v>
      </c>
      <c r="B23" s="6" t="s">
        <v>201</v>
      </c>
      <c r="C23" s="6" t="str">
        <f t="shared" si="0"/>
        <v>tyrosine</v>
      </c>
      <c r="D23" s="6" t="s">
        <v>252</v>
      </c>
      <c r="E23" s="6" t="s">
        <v>253</v>
      </c>
      <c r="F23" s="6" t="s">
        <v>254</v>
      </c>
      <c r="G23" s="6">
        <v>500</v>
      </c>
    </row>
    <row r="24" spans="1:7" x14ac:dyDescent="0.15">
      <c r="A24" s="6" t="s">
        <v>255</v>
      </c>
      <c r="B24" s="6" t="s">
        <v>201</v>
      </c>
      <c r="C24" s="6" t="str">
        <f t="shared" si="0"/>
        <v>valine</v>
      </c>
      <c r="D24" s="6" t="s">
        <v>255</v>
      </c>
      <c r="E24" s="6" t="s">
        <v>256</v>
      </c>
      <c r="F24" s="6" t="s">
        <v>257</v>
      </c>
      <c r="G24" s="6">
        <v>500</v>
      </c>
    </row>
    <row r="25" spans="1:7" x14ac:dyDescent="0.15">
      <c r="A25" s="6" t="s">
        <v>200</v>
      </c>
      <c r="B25" s="6" t="s">
        <v>12</v>
      </c>
      <c r="C25" s="6" t="str">
        <f t="shared" si="0"/>
        <v>arginine</v>
      </c>
      <c r="D25" s="7" t="s">
        <v>13</v>
      </c>
      <c r="E25" s="6" t="s">
        <v>202</v>
      </c>
      <c r="F25" s="6" t="s">
        <v>203</v>
      </c>
      <c r="G25" s="6">
        <v>500</v>
      </c>
    </row>
    <row r="26" spans="1:7" x14ac:dyDescent="0.15">
      <c r="A26" s="6" t="s">
        <v>204</v>
      </c>
      <c r="B26" s="6" t="s">
        <v>12</v>
      </c>
      <c r="C26" s="6" t="str">
        <f t="shared" si="0"/>
        <v>asparagine</v>
      </c>
      <c r="D26" s="7" t="s">
        <v>13</v>
      </c>
      <c r="E26" s="6" t="s">
        <v>205</v>
      </c>
      <c r="F26" s="6" t="s">
        <v>206</v>
      </c>
      <c r="G26" s="6">
        <v>500</v>
      </c>
    </row>
    <row r="27" spans="1:7" x14ac:dyDescent="0.15">
      <c r="A27" s="6" t="s">
        <v>207</v>
      </c>
      <c r="B27" s="6" t="s">
        <v>12</v>
      </c>
      <c r="C27" s="6" t="str">
        <f t="shared" si="0"/>
        <v>asparticacid</v>
      </c>
      <c r="D27" s="7" t="s">
        <v>13</v>
      </c>
      <c r="E27" s="6" t="s">
        <v>208</v>
      </c>
      <c r="F27" s="6" t="s">
        <v>209</v>
      </c>
      <c r="G27" s="6">
        <v>500</v>
      </c>
    </row>
    <row r="28" spans="1:7" x14ac:dyDescent="0.15">
      <c r="A28" s="6" t="s">
        <v>210</v>
      </c>
      <c r="B28" s="6" t="s">
        <v>12</v>
      </c>
      <c r="C28" s="6" t="str">
        <f t="shared" si="0"/>
        <v>cysteine</v>
      </c>
      <c r="D28" s="7" t="s">
        <v>13</v>
      </c>
      <c r="E28" s="6" t="s">
        <v>211</v>
      </c>
      <c r="F28" s="6" t="s">
        <v>212</v>
      </c>
      <c r="G28" s="6">
        <v>500</v>
      </c>
    </row>
    <row r="29" spans="1:7" x14ac:dyDescent="0.15">
      <c r="A29" s="6" t="s">
        <v>213</v>
      </c>
      <c r="B29" s="6" t="s">
        <v>12</v>
      </c>
      <c r="C29" s="6" t="str">
        <f t="shared" si="0"/>
        <v>glutamicacid</v>
      </c>
      <c r="D29" s="7" t="s">
        <v>13</v>
      </c>
      <c r="E29" s="6" t="s">
        <v>214</v>
      </c>
      <c r="F29" s="6" t="s">
        <v>215</v>
      </c>
      <c r="G29" s="6">
        <v>500</v>
      </c>
    </row>
    <row r="30" spans="1:7" x14ac:dyDescent="0.15">
      <c r="A30" s="6" t="s">
        <v>216</v>
      </c>
      <c r="B30" s="6" t="s">
        <v>12</v>
      </c>
      <c r="C30" s="6" t="str">
        <f t="shared" si="0"/>
        <v>glutamine</v>
      </c>
      <c r="D30" s="7" t="s">
        <v>13</v>
      </c>
      <c r="E30" s="6" t="s">
        <v>217</v>
      </c>
      <c r="F30" s="6" t="s">
        <v>218</v>
      </c>
      <c r="G30" s="6">
        <v>500</v>
      </c>
    </row>
    <row r="31" spans="1:7" x14ac:dyDescent="0.15">
      <c r="A31" s="6" t="s">
        <v>219</v>
      </c>
      <c r="B31" s="6" t="s">
        <v>12</v>
      </c>
      <c r="C31" s="6" t="str">
        <f t="shared" si="0"/>
        <v>glycine</v>
      </c>
      <c r="D31" s="7" t="s">
        <v>13</v>
      </c>
      <c r="E31" s="6" t="s">
        <v>220</v>
      </c>
      <c r="F31" s="6" t="s">
        <v>221</v>
      </c>
      <c r="G31" s="6">
        <v>500</v>
      </c>
    </row>
    <row r="32" spans="1:7" x14ac:dyDescent="0.15">
      <c r="A32" s="6" t="s">
        <v>222</v>
      </c>
      <c r="B32" s="6" t="s">
        <v>12</v>
      </c>
      <c r="C32" s="6" t="str">
        <f t="shared" si="0"/>
        <v>histidine</v>
      </c>
      <c r="D32" s="7" t="s">
        <v>13</v>
      </c>
      <c r="E32" s="6" t="s">
        <v>223</v>
      </c>
      <c r="F32" s="6" t="s">
        <v>224</v>
      </c>
      <c r="G32" s="6">
        <v>500</v>
      </c>
    </row>
    <row r="33" spans="1:7" x14ac:dyDescent="0.15">
      <c r="A33" s="6" t="s">
        <v>225</v>
      </c>
      <c r="B33" s="6" t="s">
        <v>12</v>
      </c>
      <c r="C33" s="6" t="str">
        <f t="shared" si="0"/>
        <v>isoleucine</v>
      </c>
      <c r="D33" s="7" t="s">
        <v>13</v>
      </c>
      <c r="E33" s="6" t="s">
        <v>226</v>
      </c>
      <c r="F33" s="6" t="s">
        <v>227</v>
      </c>
      <c r="G33" s="6">
        <v>500</v>
      </c>
    </row>
    <row r="34" spans="1:7" x14ac:dyDescent="0.15">
      <c r="A34" s="6" t="s">
        <v>228</v>
      </c>
      <c r="B34" s="6" t="s">
        <v>12</v>
      </c>
      <c r="C34" s="6" t="str">
        <f t="shared" si="0"/>
        <v>leucine</v>
      </c>
      <c r="D34" s="7" t="s">
        <v>13</v>
      </c>
      <c r="E34" s="6" t="s">
        <v>229</v>
      </c>
      <c r="F34" s="6" t="s">
        <v>230</v>
      </c>
      <c r="G34" s="6">
        <v>500</v>
      </c>
    </row>
    <row r="35" spans="1:7" x14ac:dyDescent="0.15">
      <c r="A35" s="6" t="s">
        <v>231</v>
      </c>
      <c r="B35" s="6" t="s">
        <v>12</v>
      </c>
      <c r="C35" s="6" t="str">
        <f t="shared" si="0"/>
        <v>lysine</v>
      </c>
      <c r="D35" s="7" t="s">
        <v>13</v>
      </c>
      <c r="E35" s="6" t="s">
        <v>232</v>
      </c>
      <c r="F35" s="6" t="s">
        <v>233</v>
      </c>
      <c r="G35" s="6">
        <v>500</v>
      </c>
    </row>
    <row r="36" spans="1:7" x14ac:dyDescent="0.15">
      <c r="A36" s="6" t="s">
        <v>234</v>
      </c>
      <c r="B36" s="6" t="s">
        <v>12</v>
      </c>
      <c r="C36" s="6" t="str">
        <f t="shared" si="0"/>
        <v>methionine</v>
      </c>
      <c r="D36" s="7" t="s">
        <v>13</v>
      </c>
      <c r="E36" s="6" t="s">
        <v>235</v>
      </c>
      <c r="F36" s="6" t="s">
        <v>236</v>
      </c>
      <c r="G36" s="6">
        <v>500</v>
      </c>
    </row>
    <row r="37" spans="1:7" x14ac:dyDescent="0.15">
      <c r="A37" s="6" t="s">
        <v>237</v>
      </c>
      <c r="B37" s="6" t="s">
        <v>12</v>
      </c>
      <c r="C37" s="6" t="str">
        <f t="shared" si="0"/>
        <v>phenylalanine</v>
      </c>
      <c r="D37" s="7" t="s">
        <v>13</v>
      </c>
      <c r="E37" s="6" t="s">
        <v>238</v>
      </c>
      <c r="F37" s="6" t="s">
        <v>239</v>
      </c>
      <c r="G37" s="6">
        <v>500</v>
      </c>
    </row>
    <row r="38" spans="1:7" x14ac:dyDescent="0.15">
      <c r="A38" s="6" t="s">
        <v>240</v>
      </c>
      <c r="B38" s="6" t="s">
        <v>12</v>
      </c>
      <c r="C38" s="6" t="str">
        <f t="shared" si="0"/>
        <v>proline</v>
      </c>
      <c r="D38" s="7" t="s">
        <v>13</v>
      </c>
      <c r="E38" s="6" t="s">
        <v>241</v>
      </c>
      <c r="F38" s="6" t="s">
        <v>242</v>
      </c>
      <c r="G38" s="6">
        <v>500</v>
      </c>
    </row>
    <row r="39" spans="1:7" x14ac:dyDescent="0.15">
      <c r="A39" s="6" t="s">
        <v>243</v>
      </c>
      <c r="B39" s="6" t="s">
        <v>12</v>
      </c>
      <c r="C39" s="6" t="str">
        <f t="shared" si="0"/>
        <v>serine</v>
      </c>
      <c r="D39" s="7" t="s">
        <v>13</v>
      </c>
      <c r="E39" s="6" t="s">
        <v>244</v>
      </c>
      <c r="F39" s="6" t="s">
        <v>245</v>
      </c>
      <c r="G39" s="6">
        <v>500</v>
      </c>
    </row>
    <row r="40" spans="1:7" x14ac:dyDescent="0.15">
      <c r="A40" s="6" t="s">
        <v>246</v>
      </c>
      <c r="B40" s="6" t="s">
        <v>12</v>
      </c>
      <c r="C40" s="6" t="str">
        <f t="shared" si="0"/>
        <v>threonine</v>
      </c>
      <c r="D40" s="7" t="s">
        <v>13</v>
      </c>
      <c r="E40" s="6" t="s">
        <v>247</v>
      </c>
      <c r="F40" s="6" t="s">
        <v>248</v>
      </c>
      <c r="G40" s="6">
        <v>500</v>
      </c>
    </row>
    <row r="41" spans="1:7" x14ac:dyDescent="0.15">
      <c r="A41" s="6" t="s">
        <v>249</v>
      </c>
      <c r="B41" s="6" t="s">
        <v>12</v>
      </c>
      <c r="C41" s="6" t="str">
        <f t="shared" si="0"/>
        <v>tryptophan</v>
      </c>
      <c r="D41" s="7" t="s">
        <v>13</v>
      </c>
      <c r="E41" s="6" t="s">
        <v>250</v>
      </c>
      <c r="F41" s="6" t="s">
        <v>251</v>
      </c>
      <c r="G41" s="6">
        <v>500</v>
      </c>
    </row>
    <row r="42" spans="1:7" x14ac:dyDescent="0.15">
      <c r="A42" s="6" t="s">
        <v>252</v>
      </c>
      <c r="B42" s="6" t="s">
        <v>12</v>
      </c>
      <c r="C42" s="6" t="str">
        <f t="shared" si="0"/>
        <v>tyrosine</v>
      </c>
      <c r="D42" s="7" t="s">
        <v>13</v>
      </c>
      <c r="E42" s="6" t="s">
        <v>253</v>
      </c>
      <c r="F42" s="6" t="s">
        <v>254</v>
      </c>
      <c r="G42" s="6">
        <v>500</v>
      </c>
    </row>
    <row r="43" spans="1:7" x14ac:dyDescent="0.15">
      <c r="A43" s="6" t="s">
        <v>255</v>
      </c>
      <c r="B43" s="6" t="s">
        <v>12</v>
      </c>
      <c r="C43" s="6" t="str">
        <f t="shared" si="0"/>
        <v>valine</v>
      </c>
      <c r="D43" s="7" t="s">
        <v>13</v>
      </c>
      <c r="E43" s="6" t="s">
        <v>256</v>
      </c>
      <c r="F43" s="6" t="s">
        <v>257</v>
      </c>
      <c r="G43" s="6">
        <v>500</v>
      </c>
    </row>
    <row r="44" spans="1:7" x14ac:dyDescent="0.15">
      <c r="A44" s="6" t="s">
        <v>273</v>
      </c>
      <c r="B44" s="6" t="s">
        <v>12</v>
      </c>
      <c r="C44" s="6" t="str">
        <f t="shared" si="0"/>
        <v>none</v>
      </c>
      <c r="D44" s="7" t="s">
        <v>13</v>
      </c>
      <c r="E44" s="6" t="s">
        <v>3007</v>
      </c>
      <c r="F44" s="6" t="s">
        <v>3008</v>
      </c>
      <c r="G44" s="6">
        <v>500</v>
      </c>
    </row>
    <row r="45" spans="1:7" x14ac:dyDescent="0.15">
      <c r="A45" s="6" t="s">
        <v>258</v>
      </c>
      <c r="B45" s="6" t="s">
        <v>18</v>
      </c>
      <c r="C45" s="6" t="str">
        <f t="shared" si="0"/>
        <v>dda</v>
      </c>
      <c r="D45" s="6" t="s">
        <v>258</v>
      </c>
      <c r="E45" s="6" t="s">
        <v>259</v>
      </c>
      <c r="F45" s="6" t="s">
        <v>260</v>
      </c>
      <c r="G45" s="6">
        <v>500</v>
      </c>
    </row>
    <row r="46" spans="1:7" x14ac:dyDescent="0.15">
      <c r="A46" s="6" t="s">
        <v>261</v>
      </c>
      <c r="B46" s="6" t="s">
        <v>18</v>
      </c>
      <c r="C46" s="6" t="str">
        <f t="shared" si="0"/>
        <v>dia</v>
      </c>
      <c r="D46" s="6" t="s">
        <v>261</v>
      </c>
      <c r="E46" s="6" t="s">
        <v>262</v>
      </c>
      <c r="F46" s="6" t="s">
        <v>263</v>
      </c>
      <c r="G46" s="6">
        <v>500</v>
      </c>
    </row>
    <row r="47" spans="1:7" x14ac:dyDescent="0.15">
      <c r="A47" s="6" t="s">
        <v>264</v>
      </c>
      <c r="B47" s="6" t="s">
        <v>18</v>
      </c>
      <c r="C47" s="6" t="str">
        <f t="shared" si="0"/>
        <v>srm</v>
      </c>
      <c r="D47" s="6" t="s">
        <v>264</v>
      </c>
      <c r="E47" s="6" t="s">
        <v>265</v>
      </c>
      <c r="F47" s="6" t="s">
        <v>266</v>
      </c>
      <c r="G47" s="6">
        <v>500</v>
      </c>
    </row>
    <row r="48" spans="1:7" x14ac:dyDescent="0.15">
      <c r="A48" s="6" t="s">
        <v>267</v>
      </c>
      <c r="B48" s="6" t="s">
        <v>22</v>
      </c>
      <c r="C48" s="6" t="str">
        <f t="shared" si="0"/>
        <v>caa</v>
      </c>
      <c r="D48" s="7" t="s">
        <v>13</v>
      </c>
      <c r="E48" s="6" t="s">
        <v>268</v>
      </c>
      <c r="F48" s="6" t="s">
        <v>269</v>
      </c>
      <c r="G48" s="6">
        <v>500</v>
      </c>
    </row>
    <row r="49" spans="1:7" x14ac:dyDescent="0.15">
      <c r="A49" s="6" t="s">
        <v>270</v>
      </c>
      <c r="B49" s="6" t="s">
        <v>22</v>
      </c>
      <c r="C49" s="6" t="str">
        <f t="shared" si="0"/>
        <v>iaa</v>
      </c>
      <c r="D49" s="7" t="s">
        <v>13</v>
      </c>
      <c r="E49" s="6" t="s">
        <v>271</v>
      </c>
      <c r="F49" s="6" t="s">
        <v>272</v>
      </c>
      <c r="G49" s="6">
        <v>500</v>
      </c>
    </row>
    <row r="50" spans="1:7" x14ac:dyDescent="0.15">
      <c r="A50" s="6" t="s">
        <v>273</v>
      </c>
      <c r="B50" s="6" t="s">
        <v>22</v>
      </c>
      <c r="C50" s="6" t="str">
        <f t="shared" si="0"/>
        <v>none</v>
      </c>
      <c r="D50" s="7" t="s">
        <v>13</v>
      </c>
      <c r="E50" s="6" t="s">
        <v>274</v>
      </c>
      <c r="F50" s="6" t="s">
        <v>275</v>
      </c>
      <c r="G50" s="6">
        <v>500</v>
      </c>
    </row>
    <row r="51" spans="1:7" x14ac:dyDescent="0.15">
      <c r="A51" s="6" t="s">
        <v>276</v>
      </c>
      <c r="B51" s="6" t="s">
        <v>26</v>
      </c>
      <c r="C51" s="6" t="str">
        <f t="shared" si="0"/>
        <v>directdia</v>
      </c>
      <c r="D51" s="7" t="s">
        <v>13</v>
      </c>
      <c r="E51" s="6" t="s">
        <v>277</v>
      </c>
      <c r="F51" s="6" t="s">
        <v>278</v>
      </c>
      <c r="G51" s="6">
        <v>500</v>
      </c>
    </row>
    <row r="52" spans="1:7" x14ac:dyDescent="0.15">
      <c r="A52" s="6" t="s">
        <v>279</v>
      </c>
      <c r="B52" s="6" t="s">
        <v>26</v>
      </c>
      <c r="C52" s="6" t="str">
        <f t="shared" si="0"/>
        <v>libdia</v>
      </c>
      <c r="D52" s="7" t="s">
        <v>13</v>
      </c>
      <c r="E52" s="6" t="s">
        <v>280</v>
      </c>
      <c r="F52" s="6" t="s">
        <v>281</v>
      </c>
      <c r="G52" s="6">
        <v>500</v>
      </c>
    </row>
    <row r="53" spans="1:7" x14ac:dyDescent="0.15">
      <c r="A53" s="6" t="s">
        <v>282</v>
      </c>
      <c r="B53" s="6" t="s">
        <v>283</v>
      </c>
      <c r="C53" s="6" t="str">
        <f t="shared" si="0"/>
        <v>adipoq_cre</v>
      </c>
      <c r="D53" s="7" t="s">
        <v>13</v>
      </c>
      <c r="E53" s="6" t="s">
        <v>284</v>
      </c>
      <c r="F53" s="6" t="s">
        <v>285</v>
      </c>
      <c r="G53" s="6">
        <v>500</v>
      </c>
    </row>
    <row r="54" spans="1:7" x14ac:dyDescent="0.15">
      <c r="A54" s="6" t="s">
        <v>286</v>
      </c>
      <c r="B54" s="6" t="s">
        <v>283</v>
      </c>
      <c r="C54" s="6" t="str">
        <f t="shared" si="0"/>
        <v>alb_cre</v>
      </c>
      <c r="D54" s="7" t="s">
        <v>13</v>
      </c>
      <c r="E54" s="6" t="s">
        <v>287</v>
      </c>
      <c r="F54" s="6" t="s">
        <v>288</v>
      </c>
      <c r="G54" s="6">
        <v>500</v>
      </c>
    </row>
    <row r="55" spans="1:7" x14ac:dyDescent="0.15">
      <c r="A55" s="6" t="s">
        <v>289</v>
      </c>
      <c r="B55" s="6" t="s">
        <v>283</v>
      </c>
      <c r="C55" s="6" t="str">
        <f t="shared" si="0"/>
        <v>asc_ko</v>
      </c>
      <c r="D55" s="7" t="s">
        <v>13</v>
      </c>
      <c r="E55" s="6" t="s">
        <v>290</v>
      </c>
      <c r="F55" s="6" t="s">
        <v>290</v>
      </c>
      <c r="G55" s="6">
        <v>500</v>
      </c>
    </row>
    <row r="56" spans="1:7" x14ac:dyDescent="0.15">
      <c r="A56" s="6" t="s">
        <v>291</v>
      </c>
      <c r="B56" s="6" t="s">
        <v>283</v>
      </c>
      <c r="C56" s="6" t="str">
        <f t="shared" si="0"/>
        <v>baf53b_cre</v>
      </c>
      <c r="D56" s="7" t="s">
        <v>13</v>
      </c>
      <c r="E56" s="6" t="s">
        <v>292</v>
      </c>
      <c r="F56" s="6" t="s">
        <v>293</v>
      </c>
      <c r="G56" s="6">
        <v>500</v>
      </c>
    </row>
    <row r="57" spans="1:7" x14ac:dyDescent="0.15">
      <c r="A57" s="6" t="s">
        <v>294</v>
      </c>
      <c r="B57" s="6" t="s">
        <v>283</v>
      </c>
      <c r="C57" s="6" t="str">
        <f t="shared" si="0"/>
        <v>c57_bl6j</v>
      </c>
      <c r="D57" s="7" t="s">
        <v>13</v>
      </c>
      <c r="E57" s="6" t="s">
        <v>295</v>
      </c>
      <c r="F57" s="6" t="s">
        <v>295</v>
      </c>
      <c r="G57" s="6">
        <v>500</v>
      </c>
    </row>
    <row r="58" spans="1:7" x14ac:dyDescent="0.15">
      <c r="A58" s="6" t="s">
        <v>296</v>
      </c>
      <c r="B58" s="6" t="s">
        <v>283</v>
      </c>
      <c r="C58" s="6" t="str">
        <f t="shared" si="0"/>
        <v>clec4f_cre</v>
      </c>
      <c r="D58" s="7" t="s">
        <v>13</v>
      </c>
      <c r="E58" s="6" t="s">
        <v>297</v>
      </c>
      <c r="F58" s="6" t="s">
        <v>298</v>
      </c>
      <c r="G58" s="6">
        <v>500</v>
      </c>
    </row>
    <row r="59" spans="1:7" x14ac:dyDescent="0.15">
      <c r="A59" s="6" t="s">
        <v>299</v>
      </c>
      <c r="B59" s="6" t="s">
        <v>283</v>
      </c>
      <c r="C59" s="6" t="str">
        <f t="shared" si="0"/>
        <v>cx3cr1_cre</v>
      </c>
      <c r="D59" s="7" t="s">
        <v>13</v>
      </c>
      <c r="E59" s="6" t="s">
        <v>300</v>
      </c>
      <c r="F59" s="6" t="s">
        <v>301</v>
      </c>
      <c r="G59" s="6">
        <v>500</v>
      </c>
    </row>
    <row r="60" spans="1:7" x14ac:dyDescent="0.15">
      <c r="A60" s="6" t="s">
        <v>302</v>
      </c>
      <c r="B60" s="6" t="s">
        <v>283</v>
      </c>
      <c r="C60" s="6" t="str">
        <f t="shared" si="0"/>
        <v>cxcr4creert2</v>
      </c>
      <c r="D60" s="7" t="s">
        <v>13</v>
      </c>
      <c r="E60" s="6" t="s">
        <v>303</v>
      </c>
      <c r="F60" s="6" t="s">
        <v>303</v>
      </c>
      <c r="G60" s="6">
        <v>500</v>
      </c>
    </row>
    <row r="61" spans="1:7" x14ac:dyDescent="0.15">
      <c r="A61" s="6" t="s">
        <v>304</v>
      </c>
      <c r="B61" s="6" t="s">
        <v>283</v>
      </c>
      <c r="C61" s="6" t="str">
        <f t="shared" si="0"/>
        <v>glast_cre</v>
      </c>
      <c r="D61" s="7" t="s">
        <v>13</v>
      </c>
      <c r="E61" s="6" t="s">
        <v>305</v>
      </c>
      <c r="F61" s="6" t="s">
        <v>306</v>
      </c>
      <c r="G61" s="6">
        <v>500</v>
      </c>
    </row>
    <row r="62" spans="1:7" x14ac:dyDescent="0.15">
      <c r="A62" s="6" t="s">
        <v>307</v>
      </c>
      <c r="B62" s="6" t="s">
        <v>283</v>
      </c>
      <c r="C62" s="6" t="str">
        <f t="shared" si="0"/>
        <v>lrat_cre</v>
      </c>
      <c r="D62" s="7" t="s">
        <v>13</v>
      </c>
      <c r="E62" s="6" t="s">
        <v>308</v>
      </c>
      <c r="F62" s="6" t="s">
        <v>309</v>
      </c>
      <c r="G62" s="6">
        <v>500</v>
      </c>
    </row>
    <row r="63" spans="1:7" x14ac:dyDescent="0.15">
      <c r="A63" s="6" t="s">
        <v>310</v>
      </c>
      <c r="B63" s="6" t="s">
        <v>283</v>
      </c>
      <c r="C63" s="6" t="str">
        <f t="shared" si="0"/>
        <v>lysm_cre</v>
      </c>
      <c r="D63" s="7" t="s">
        <v>13</v>
      </c>
      <c r="E63" s="6" t="s">
        <v>311</v>
      </c>
      <c r="F63" s="6" t="s">
        <v>312</v>
      </c>
      <c r="G63" s="6">
        <v>500</v>
      </c>
    </row>
    <row r="64" spans="1:7" x14ac:dyDescent="0.15">
      <c r="A64" s="6" t="s">
        <v>313</v>
      </c>
      <c r="B64" s="6" t="s">
        <v>283</v>
      </c>
      <c r="C64" s="6" t="str">
        <f t="shared" si="0"/>
        <v>ms4a3_cre</v>
      </c>
      <c r="D64" s="7" t="s">
        <v>13</v>
      </c>
      <c r="E64" s="6" t="s">
        <v>314</v>
      </c>
      <c r="F64" s="6" t="s">
        <v>315</v>
      </c>
      <c r="G64" s="6">
        <v>500</v>
      </c>
    </row>
    <row r="65" spans="1:7" x14ac:dyDescent="0.15">
      <c r="A65" s="6" t="s">
        <v>316</v>
      </c>
      <c r="B65" s="6" t="s">
        <v>283</v>
      </c>
      <c r="C65" s="6" t="str">
        <f t="shared" si="0"/>
        <v>mt_nlrp3_cre</v>
      </c>
      <c r="D65" s="7" t="s">
        <v>13</v>
      </c>
      <c r="E65" s="6" t="s">
        <v>317</v>
      </c>
      <c r="F65" s="6" t="s">
        <v>318</v>
      </c>
      <c r="G65" s="6">
        <v>500</v>
      </c>
    </row>
    <row r="66" spans="1:7" x14ac:dyDescent="0.15">
      <c r="A66" s="6" t="s">
        <v>319</v>
      </c>
      <c r="B66" s="6" t="s">
        <v>283</v>
      </c>
      <c r="C66" s="6" t="str">
        <f t="shared" si="0"/>
        <v>nlrp3_flox</v>
      </c>
      <c r="D66" s="7" t="s">
        <v>13</v>
      </c>
      <c r="E66" s="6" t="s">
        <v>320</v>
      </c>
      <c r="F66" s="6" t="s">
        <v>320</v>
      </c>
      <c r="G66" s="6">
        <v>500</v>
      </c>
    </row>
    <row r="67" spans="1:7" x14ac:dyDescent="0.15">
      <c r="A67" s="6" t="s">
        <v>321</v>
      </c>
      <c r="B67" s="6" t="s">
        <v>283</v>
      </c>
      <c r="C67" s="6" t="str">
        <f t="shared" ref="C67:C131" si="1">A67</f>
        <v>nlrp3_ko</v>
      </c>
      <c r="D67" s="7" t="s">
        <v>13</v>
      </c>
      <c r="E67" s="6" t="s">
        <v>322</v>
      </c>
      <c r="F67" s="6" t="s">
        <v>322</v>
      </c>
      <c r="G67" s="6">
        <v>500</v>
      </c>
    </row>
    <row r="68" spans="1:7" x14ac:dyDescent="0.15">
      <c r="A68" s="6" t="s">
        <v>323</v>
      </c>
      <c r="B68" s="6" t="s">
        <v>283</v>
      </c>
      <c r="C68" s="6" t="str">
        <f t="shared" si="1"/>
        <v>oaf</v>
      </c>
      <c r="D68" s="7" t="s">
        <v>13</v>
      </c>
      <c r="E68" s="6" t="s">
        <v>324</v>
      </c>
      <c r="F68" s="6" t="s">
        <v>324</v>
      </c>
      <c r="G68" s="6">
        <v>500</v>
      </c>
    </row>
    <row r="69" spans="1:7" x14ac:dyDescent="0.15">
      <c r="A69" s="6" t="s">
        <v>325</v>
      </c>
      <c r="B69" s="6" t="s">
        <v>283</v>
      </c>
      <c r="C69" s="6" t="str">
        <f t="shared" si="1"/>
        <v>r26_ert2cre</v>
      </c>
      <c r="D69" s="7" t="s">
        <v>13</v>
      </c>
      <c r="E69" s="6" t="s">
        <v>326</v>
      </c>
      <c r="F69" s="6" t="s">
        <v>327</v>
      </c>
      <c r="G69" s="6">
        <v>500</v>
      </c>
    </row>
    <row r="70" spans="1:7" x14ac:dyDescent="0.15">
      <c r="A70" s="6" t="s">
        <v>328</v>
      </c>
      <c r="B70" s="6" t="s">
        <v>283</v>
      </c>
      <c r="C70" s="6" t="str">
        <f t="shared" si="1"/>
        <v>r26_metrs_flox</v>
      </c>
      <c r="D70" s="7" t="s">
        <v>13</v>
      </c>
      <c r="E70" s="7" t="s">
        <v>329</v>
      </c>
      <c r="F70" s="6" t="s">
        <v>330</v>
      </c>
      <c r="G70" s="6">
        <v>500</v>
      </c>
    </row>
    <row r="71" spans="1:7" x14ac:dyDescent="0.15">
      <c r="A71" s="6" t="s">
        <v>331</v>
      </c>
      <c r="B71" s="6" t="s">
        <v>283</v>
      </c>
      <c r="C71" s="6" t="str">
        <f t="shared" si="1"/>
        <v>r26_nlrp3_flox</v>
      </c>
      <c r="D71" s="7" t="s">
        <v>13</v>
      </c>
      <c r="E71" s="6" t="s">
        <v>332</v>
      </c>
      <c r="F71" s="6" t="s">
        <v>332</v>
      </c>
      <c r="G71" s="6">
        <v>500</v>
      </c>
    </row>
    <row r="72" spans="1:7" x14ac:dyDescent="0.15">
      <c r="A72" s="6" t="s">
        <v>333</v>
      </c>
      <c r="B72" s="6" t="s">
        <v>283</v>
      </c>
      <c r="C72" s="6" t="str">
        <f t="shared" si="1"/>
        <v>ribotag_lox</v>
      </c>
      <c r="D72" s="7" t="s">
        <v>13</v>
      </c>
      <c r="E72" s="6" t="s">
        <v>334</v>
      </c>
      <c r="F72" s="7" t="s">
        <v>13</v>
      </c>
      <c r="G72" s="6">
        <v>500</v>
      </c>
    </row>
    <row r="73" spans="1:7" x14ac:dyDescent="0.15">
      <c r="A73" s="6" t="s">
        <v>335</v>
      </c>
      <c r="B73" s="6" t="s">
        <v>283</v>
      </c>
      <c r="C73" s="6" t="str">
        <f t="shared" si="1"/>
        <v>sox10_cre</v>
      </c>
      <c r="D73" s="7" t="s">
        <v>13</v>
      </c>
      <c r="E73" s="6" t="s">
        <v>336</v>
      </c>
      <c r="F73" s="6" t="s">
        <v>337</v>
      </c>
      <c r="G73" s="6">
        <v>500</v>
      </c>
    </row>
    <row r="74" spans="1:7" x14ac:dyDescent="0.15">
      <c r="A74" s="6" t="s">
        <v>338</v>
      </c>
      <c r="B74" s="6" t="s">
        <v>283</v>
      </c>
      <c r="C74" s="6" t="str">
        <f t="shared" si="1"/>
        <v>ucp1_cre</v>
      </c>
      <c r="D74" s="7" t="s">
        <v>13</v>
      </c>
      <c r="E74" s="6" t="s">
        <v>339</v>
      </c>
      <c r="F74" s="6" t="s">
        <v>340</v>
      </c>
      <c r="G74" s="6">
        <v>500</v>
      </c>
    </row>
    <row r="75" spans="1:7" x14ac:dyDescent="0.15">
      <c r="A75" s="6" t="s">
        <v>341</v>
      </c>
      <c r="B75" s="6" t="s">
        <v>283</v>
      </c>
      <c r="C75" s="6" t="str">
        <f t="shared" si="1"/>
        <v>vil_cre</v>
      </c>
      <c r="D75" s="7" t="s">
        <v>13</v>
      </c>
      <c r="E75" s="6" t="s">
        <v>342</v>
      </c>
      <c r="F75" s="6" t="s">
        <v>343</v>
      </c>
      <c r="G75" s="6">
        <v>500</v>
      </c>
    </row>
    <row r="76" spans="1:7" x14ac:dyDescent="0.15">
      <c r="A76" s="6" t="s">
        <v>344</v>
      </c>
      <c r="B76" s="6" t="s">
        <v>35</v>
      </c>
      <c r="C76" s="6" t="str">
        <f t="shared" si="1"/>
        <v>adipose_macrophages</v>
      </c>
      <c r="D76" s="6" t="s">
        <v>345</v>
      </c>
      <c r="E76" s="6" t="s">
        <v>346</v>
      </c>
      <c r="F76" s="6" t="s">
        <v>347</v>
      </c>
      <c r="G76" s="6">
        <v>500</v>
      </c>
    </row>
    <row r="77" spans="1:7" x14ac:dyDescent="0.15">
      <c r="A77" s="6" t="s">
        <v>348</v>
      </c>
      <c r="B77" s="6" t="s">
        <v>35</v>
      </c>
      <c r="C77" s="6" t="str">
        <f t="shared" si="1"/>
        <v>astrocytes</v>
      </c>
      <c r="D77" s="6" t="s">
        <v>348</v>
      </c>
      <c r="E77" s="6" t="s">
        <v>306</v>
      </c>
      <c r="F77" s="6" t="s">
        <v>306</v>
      </c>
      <c r="G77" s="6">
        <v>500</v>
      </c>
    </row>
    <row r="78" spans="1:7" x14ac:dyDescent="0.15">
      <c r="A78" s="6" t="s">
        <v>349</v>
      </c>
      <c r="B78" s="6" t="s">
        <v>35</v>
      </c>
      <c r="C78" s="6" t="str">
        <f t="shared" si="1"/>
        <v>basophils</v>
      </c>
      <c r="D78" s="6" t="s">
        <v>349</v>
      </c>
      <c r="E78" s="6" t="s">
        <v>350</v>
      </c>
      <c r="F78" s="6" t="s">
        <v>351</v>
      </c>
      <c r="G78" s="6">
        <v>500</v>
      </c>
    </row>
    <row r="79" spans="1:7" x14ac:dyDescent="0.15">
      <c r="A79" s="6" t="s">
        <v>352</v>
      </c>
      <c r="B79" s="6" t="s">
        <v>35</v>
      </c>
      <c r="C79" s="6" t="str">
        <f t="shared" si="1"/>
        <v>bcells</v>
      </c>
      <c r="D79" s="6" t="s">
        <v>352</v>
      </c>
      <c r="E79" s="6" t="s">
        <v>353</v>
      </c>
      <c r="F79" s="6" t="s">
        <v>353</v>
      </c>
      <c r="G79" s="6">
        <v>500</v>
      </c>
    </row>
    <row r="80" spans="1:7" x14ac:dyDescent="0.15">
      <c r="A80" s="6" t="s">
        <v>354</v>
      </c>
      <c r="B80" s="6" t="s">
        <v>35</v>
      </c>
      <c r="C80" s="6" t="str">
        <f t="shared" si="1"/>
        <v>cytotoxict</v>
      </c>
      <c r="D80" s="6" t="s">
        <v>354</v>
      </c>
      <c r="E80" s="6" t="s">
        <v>355</v>
      </c>
      <c r="F80" s="6" t="s">
        <v>356</v>
      </c>
      <c r="G80" s="6">
        <v>500</v>
      </c>
    </row>
    <row r="81" spans="1:7" x14ac:dyDescent="0.15">
      <c r="A81" s="6" t="s">
        <v>357</v>
      </c>
      <c r="B81" s="6" t="s">
        <v>35</v>
      </c>
      <c r="C81" s="6" t="str">
        <f t="shared" si="1"/>
        <v>endothelial</v>
      </c>
      <c r="D81" s="6" t="s">
        <v>357</v>
      </c>
      <c r="E81" s="6" t="s">
        <v>358</v>
      </c>
      <c r="F81" s="6" t="s">
        <v>359</v>
      </c>
      <c r="G81" s="6">
        <v>500</v>
      </c>
    </row>
    <row r="82" spans="1:7" x14ac:dyDescent="0.15">
      <c r="A82" s="6" t="s">
        <v>360</v>
      </c>
      <c r="B82" s="6" t="s">
        <v>35</v>
      </c>
      <c r="C82" s="6" t="str">
        <f t="shared" si="1"/>
        <v>eosinophils</v>
      </c>
      <c r="D82" s="6" t="s">
        <v>360</v>
      </c>
      <c r="E82" s="6" t="s">
        <v>361</v>
      </c>
      <c r="F82" s="6" t="s">
        <v>362</v>
      </c>
      <c r="G82" s="6">
        <v>500</v>
      </c>
    </row>
    <row r="83" spans="1:7" x14ac:dyDescent="0.15">
      <c r="A83" s="6" t="s">
        <v>363</v>
      </c>
      <c r="B83" s="6" t="s">
        <v>35</v>
      </c>
      <c r="C83" s="6" t="str">
        <f t="shared" si="1"/>
        <v>epithelioid</v>
      </c>
      <c r="D83" s="6" t="s">
        <v>363</v>
      </c>
      <c r="E83" s="6" t="s">
        <v>364</v>
      </c>
      <c r="F83" s="6" t="s">
        <v>365</v>
      </c>
      <c r="G83" s="6">
        <v>500</v>
      </c>
    </row>
    <row r="84" spans="1:7" x14ac:dyDescent="0.15">
      <c r="A84" s="6" t="s">
        <v>366</v>
      </c>
      <c r="B84" s="6" t="s">
        <v>35</v>
      </c>
      <c r="C84" s="6" t="str">
        <f t="shared" si="1"/>
        <v>erythrocytes</v>
      </c>
      <c r="D84" s="6" t="s">
        <v>366</v>
      </c>
      <c r="E84" s="6" t="s">
        <v>367</v>
      </c>
      <c r="F84" s="6" t="s">
        <v>368</v>
      </c>
      <c r="G84" s="6">
        <v>500</v>
      </c>
    </row>
    <row r="85" spans="1:7" x14ac:dyDescent="0.15">
      <c r="A85" s="6" t="s">
        <v>369</v>
      </c>
      <c r="B85" s="6" t="s">
        <v>35</v>
      </c>
      <c r="C85" s="6" t="str">
        <f t="shared" si="1"/>
        <v>gammadeltat</v>
      </c>
      <c r="D85" s="6" t="s">
        <v>369</v>
      </c>
      <c r="E85" s="6" t="s">
        <v>370</v>
      </c>
      <c r="F85" s="6" t="s">
        <v>371</v>
      </c>
      <c r="G85" s="6">
        <v>500</v>
      </c>
    </row>
    <row r="86" spans="1:7" x14ac:dyDescent="0.15">
      <c r="A86" s="6" t="s">
        <v>372</v>
      </c>
      <c r="B86" s="6" t="s">
        <v>35</v>
      </c>
      <c r="C86" s="6" t="str">
        <f t="shared" si="1"/>
        <v>hofbauer</v>
      </c>
      <c r="D86" s="6" t="s">
        <v>372</v>
      </c>
      <c r="E86" s="6" t="s">
        <v>373</v>
      </c>
      <c r="F86" s="6" t="s">
        <v>374</v>
      </c>
      <c r="G86" s="6">
        <v>500</v>
      </c>
    </row>
    <row r="87" spans="1:7" x14ac:dyDescent="0.15">
      <c r="A87" s="6" t="s">
        <v>375</v>
      </c>
      <c r="B87" s="6" t="s">
        <v>35</v>
      </c>
      <c r="C87" s="6" t="str">
        <f t="shared" si="1"/>
        <v>keratinocytes</v>
      </c>
      <c r="D87" s="6" t="s">
        <v>375</v>
      </c>
      <c r="E87" s="6" t="s">
        <v>376</v>
      </c>
      <c r="F87" s="6" t="s">
        <v>377</v>
      </c>
      <c r="G87" s="6">
        <v>500</v>
      </c>
    </row>
    <row r="88" spans="1:7" x14ac:dyDescent="0.15">
      <c r="A88" s="6" t="s">
        <v>378</v>
      </c>
      <c r="B88" s="6" t="s">
        <v>35</v>
      </c>
      <c r="C88" s="6" t="str">
        <f t="shared" si="1"/>
        <v>kupffer</v>
      </c>
      <c r="D88" s="6" t="s">
        <v>378</v>
      </c>
      <c r="E88" s="6" t="s">
        <v>379</v>
      </c>
      <c r="F88" s="6" t="s">
        <v>380</v>
      </c>
      <c r="G88" s="6">
        <v>500</v>
      </c>
    </row>
    <row r="89" spans="1:7" x14ac:dyDescent="0.15">
      <c r="A89" s="6" t="s">
        <v>381</v>
      </c>
      <c r="B89" s="6" t="s">
        <v>35</v>
      </c>
      <c r="C89" s="6" t="str">
        <f t="shared" si="1"/>
        <v>langerhans</v>
      </c>
      <c r="D89" s="6" t="s">
        <v>381</v>
      </c>
      <c r="E89" s="6" t="s">
        <v>382</v>
      </c>
      <c r="F89" s="6" t="s">
        <v>383</v>
      </c>
      <c r="G89" s="6">
        <v>500</v>
      </c>
    </row>
    <row r="90" spans="1:7" x14ac:dyDescent="0.15">
      <c r="A90" s="6" t="s">
        <v>384</v>
      </c>
      <c r="B90" s="6" t="s">
        <v>35</v>
      </c>
      <c r="C90" s="6" t="str">
        <f t="shared" si="1"/>
        <v>leukocytes</v>
      </c>
      <c r="D90" s="6" t="s">
        <v>384</v>
      </c>
      <c r="E90" s="6" t="s">
        <v>385</v>
      </c>
      <c r="F90" s="6" t="s">
        <v>386</v>
      </c>
      <c r="G90" s="6">
        <v>500</v>
      </c>
    </row>
    <row r="91" spans="1:7" x14ac:dyDescent="0.15">
      <c r="A91" s="6" t="s">
        <v>387</v>
      </c>
      <c r="B91" s="6" t="s">
        <v>35</v>
      </c>
      <c r="C91" s="6" t="str">
        <f t="shared" si="1"/>
        <v>lymphocytes</v>
      </c>
      <c r="D91" s="6" t="s">
        <v>387</v>
      </c>
      <c r="E91" s="6" t="s">
        <v>388</v>
      </c>
      <c r="F91" s="6" t="s">
        <v>389</v>
      </c>
      <c r="G91" s="6">
        <v>500</v>
      </c>
    </row>
    <row r="92" spans="1:7" x14ac:dyDescent="0.15">
      <c r="A92" s="6" t="s">
        <v>390</v>
      </c>
      <c r="B92" s="6" t="s">
        <v>35</v>
      </c>
      <c r="C92" s="6" t="str">
        <f t="shared" si="1"/>
        <v>macrophage</v>
      </c>
      <c r="D92" s="6" t="s">
        <v>390</v>
      </c>
      <c r="E92" s="6" t="s">
        <v>391</v>
      </c>
      <c r="F92" s="6" t="s">
        <v>391</v>
      </c>
      <c r="G92" s="6">
        <v>500</v>
      </c>
    </row>
    <row r="93" spans="1:7" x14ac:dyDescent="0.15">
      <c r="A93" s="6" t="s">
        <v>392</v>
      </c>
      <c r="B93" s="6" t="s">
        <v>35</v>
      </c>
      <c r="C93" s="6" t="str">
        <f t="shared" si="1"/>
        <v>microglia</v>
      </c>
      <c r="D93" s="6" t="s">
        <v>392</v>
      </c>
      <c r="E93" s="6" t="s">
        <v>393</v>
      </c>
      <c r="F93" s="6" t="s">
        <v>394</v>
      </c>
      <c r="G93" s="6">
        <v>500</v>
      </c>
    </row>
    <row r="94" spans="1:7" x14ac:dyDescent="0.15">
      <c r="A94" s="6" t="s">
        <v>395</v>
      </c>
      <c r="B94" s="6" t="s">
        <v>35</v>
      </c>
      <c r="C94" s="6" t="str">
        <f t="shared" si="1"/>
        <v>monoblast</v>
      </c>
      <c r="D94" s="6" t="s">
        <v>395</v>
      </c>
      <c r="E94" s="6" t="s">
        <v>396</v>
      </c>
      <c r="F94" s="6" t="s">
        <v>396</v>
      </c>
      <c r="G94" s="6">
        <v>500</v>
      </c>
    </row>
    <row r="95" spans="1:7" x14ac:dyDescent="0.15">
      <c r="A95" s="6" t="s">
        <v>397</v>
      </c>
      <c r="B95" s="6" t="s">
        <v>35</v>
      </c>
      <c r="C95" s="6" t="str">
        <f t="shared" si="1"/>
        <v>monocytes</v>
      </c>
      <c r="D95" s="6" t="s">
        <v>397</v>
      </c>
      <c r="E95" s="6" t="s">
        <v>315</v>
      </c>
      <c r="F95" s="6" t="s">
        <v>398</v>
      </c>
      <c r="G95" s="6">
        <v>500</v>
      </c>
    </row>
    <row r="96" spans="1:7" x14ac:dyDescent="0.15">
      <c r="A96" s="6" t="s">
        <v>399</v>
      </c>
      <c r="B96" s="6" t="s">
        <v>35</v>
      </c>
      <c r="C96" s="6" t="str">
        <f t="shared" si="1"/>
        <v>neutrophils</v>
      </c>
      <c r="D96" s="6" t="s">
        <v>399</v>
      </c>
      <c r="E96" s="6" t="s">
        <v>400</v>
      </c>
      <c r="F96" s="6" t="s">
        <v>401</v>
      </c>
      <c r="G96" s="6">
        <v>500</v>
      </c>
    </row>
    <row r="97" spans="1:7" x14ac:dyDescent="0.15">
      <c r="A97" s="6" t="s">
        <v>402</v>
      </c>
      <c r="B97" s="6" t="s">
        <v>35</v>
      </c>
      <c r="C97" s="6" t="str">
        <f t="shared" si="1"/>
        <v>nk</v>
      </c>
      <c r="D97" s="6" t="s">
        <v>402</v>
      </c>
      <c r="E97" s="6" t="s">
        <v>403</v>
      </c>
      <c r="F97" s="6" t="s">
        <v>404</v>
      </c>
      <c r="G97" s="6">
        <v>500</v>
      </c>
    </row>
    <row r="98" spans="1:7" x14ac:dyDescent="0.15">
      <c r="A98" s="6" t="s">
        <v>405</v>
      </c>
      <c r="B98" s="6" t="s">
        <v>35</v>
      </c>
      <c r="C98" s="6" t="str">
        <f t="shared" si="1"/>
        <v>osteoblast</v>
      </c>
      <c r="D98" s="6" t="s">
        <v>405</v>
      </c>
      <c r="E98" s="6" t="s">
        <v>406</v>
      </c>
      <c r="F98" s="6" t="s">
        <v>407</v>
      </c>
      <c r="G98" s="6">
        <v>500</v>
      </c>
    </row>
    <row r="99" spans="1:7" x14ac:dyDescent="0.15">
      <c r="A99" s="6" t="s">
        <v>408</v>
      </c>
      <c r="B99" s="6" t="s">
        <v>35</v>
      </c>
      <c r="C99" s="6" t="str">
        <f t="shared" si="1"/>
        <v>osteoclast</v>
      </c>
      <c r="D99" s="6" t="s">
        <v>408</v>
      </c>
      <c r="E99" s="6" t="s">
        <v>409</v>
      </c>
      <c r="F99" s="6" t="s">
        <v>410</v>
      </c>
      <c r="G99" s="6">
        <v>500</v>
      </c>
    </row>
    <row r="100" spans="1:7" x14ac:dyDescent="0.15">
      <c r="A100" s="6" t="s">
        <v>411</v>
      </c>
      <c r="B100" s="6" t="s">
        <v>35</v>
      </c>
      <c r="C100" s="6" t="str">
        <f t="shared" si="1"/>
        <v>osteocytes</v>
      </c>
      <c r="D100" s="6" t="s">
        <v>411</v>
      </c>
      <c r="E100" s="6" t="s">
        <v>412</v>
      </c>
      <c r="F100" s="6" t="s">
        <v>413</v>
      </c>
      <c r="G100" s="6">
        <v>500</v>
      </c>
    </row>
    <row r="101" spans="1:7" x14ac:dyDescent="0.15">
      <c r="A101" s="6" t="s">
        <v>414</v>
      </c>
      <c r="B101" s="6" t="s">
        <v>35</v>
      </c>
      <c r="C101" s="6" t="str">
        <f t="shared" si="1"/>
        <v>osteogenic</v>
      </c>
      <c r="D101" s="6" t="s">
        <v>414</v>
      </c>
      <c r="E101" s="6" t="s">
        <v>415</v>
      </c>
      <c r="F101" s="6" t="s">
        <v>416</v>
      </c>
      <c r="G101" s="6">
        <v>500</v>
      </c>
    </row>
    <row r="102" spans="1:7" x14ac:dyDescent="0.15">
      <c r="A102" s="6" t="s">
        <v>417</v>
      </c>
      <c r="B102" s="6" t="s">
        <v>35</v>
      </c>
      <c r="C102" s="6" t="str">
        <f t="shared" si="1"/>
        <v>regt</v>
      </c>
      <c r="D102" s="6" t="s">
        <v>417</v>
      </c>
      <c r="E102" s="6" t="s">
        <v>418</v>
      </c>
      <c r="F102" s="6" t="s">
        <v>419</v>
      </c>
      <c r="G102" s="6">
        <v>500</v>
      </c>
    </row>
    <row r="103" spans="1:7" x14ac:dyDescent="0.15">
      <c r="A103" s="6" t="s">
        <v>420</v>
      </c>
      <c r="B103" s="6" t="s">
        <v>35</v>
      </c>
      <c r="C103" s="6" t="str">
        <f t="shared" si="1"/>
        <v>stemcells</v>
      </c>
      <c r="D103" s="6" t="s">
        <v>420</v>
      </c>
      <c r="E103" s="6" t="s">
        <v>421</v>
      </c>
      <c r="F103" s="6" t="s">
        <v>422</v>
      </c>
      <c r="G103" s="6">
        <v>500</v>
      </c>
    </row>
    <row r="104" spans="1:7" x14ac:dyDescent="0.15">
      <c r="A104" s="6" t="s">
        <v>423</v>
      </c>
      <c r="B104" s="6" t="s">
        <v>35</v>
      </c>
      <c r="C104" s="6" t="str">
        <f t="shared" si="1"/>
        <v>tcells</v>
      </c>
      <c r="D104" s="6" t="s">
        <v>423</v>
      </c>
      <c r="E104" s="6" t="s">
        <v>424</v>
      </c>
      <c r="F104" s="6" t="s">
        <v>424</v>
      </c>
      <c r="G104" s="6">
        <v>500</v>
      </c>
    </row>
    <row r="105" spans="1:7" x14ac:dyDescent="0.15">
      <c r="A105" s="6" t="s">
        <v>425</v>
      </c>
      <c r="B105" s="6" t="s">
        <v>35</v>
      </c>
      <c r="C105" s="6" t="str">
        <f t="shared" si="1"/>
        <v>thelper</v>
      </c>
      <c r="D105" s="6" t="s">
        <v>425</v>
      </c>
      <c r="E105" s="6" t="s">
        <v>426</v>
      </c>
      <c r="F105" s="6" t="s">
        <v>427</v>
      </c>
      <c r="G105" s="6">
        <v>500</v>
      </c>
    </row>
    <row r="106" spans="1:7" x14ac:dyDescent="0.15">
      <c r="A106" s="6" t="s">
        <v>428</v>
      </c>
      <c r="B106" s="6" t="s">
        <v>35</v>
      </c>
      <c r="C106" s="6" t="str">
        <f t="shared" si="1"/>
        <v>thrombocytes</v>
      </c>
      <c r="D106" s="6" t="s">
        <v>428</v>
      </c>
      <c r="E106" s="6" t="s">
        <v>429</v>
      </c>
      <c r="F106" s="6" t="s">
        <v>430</v>
      </c>
      <c r="G106" s="6">
        <v>500</v>
      </c>
    </row>
    <row r="107" spans="1:7" x14ac:dyDescent="0.15">
      <c r="A107" s="6" t="s">
        <v>431</v>
      </c>
      <c r="B107" s="6" t="s">
        <v>38</v>
      </c>
      <c r="C107" s="6" t="str">
        <f t="shared" si="1"/>
        <v>786_0</v>
      </c>
      <c r="D107" s="6">
        <v>786</v>
      </c>
      <c r="E107" s="6" t="s">
        <v>432</v>
      </c>
      <c r="F107" s="6" t="s">
        <v>433</v>
      </c>
      <c r="G107" s="6">
        <v>500</v>
      </c>
    </row>
    <row r="108" spans="1:7" x14ac:dyDescent="0.15">
      <c r="A108" s="6" t="s">
        <v>434</v>
      </c>
      <c r="B108" s="6" t="s">
        <v>38</v>
      </c>
      <c r="C108" s="6" t="str">
        <f t="shared" si="1"/>
        <v>a498</v>
      </c>
      <c r="D108" s="6" t="s">
        <v>434</v>
      </c>
      <c r="E108" s="6" t="s">
        <v>435</v>
      </c>
      <c r="F108" s="6" t="s">
        <v>433</v>
      </c>
      <c r="G108" s="6">
        <v>500</v>
      </c>
    </row>
    <row r="109" spans="1:7" x14ac:dyDescent="0.15">
      <c r="A109" s="6" t="s">
        <v>436</v>
      </c>
      <c r="B109" s="6" t="s">
        <v>38</v>
      </c>
      <c r="C109" s="6" t="str">
        <f t="shared" si="1"/>
        <v>a549</v>
      </c>
      <c r="D109" s="6" t="s">
        <v>436</v>
      </c>
      <c r="E109" s="6" t="s">
        <v>437</v>
      </c>
      <c r="F109" s="6" t="s">
        <v>438</v>
      </c>
      <c r="G109" s="6">
        <v>500</v>
      </c>
    </row>
    <row r="110" spans="1:7" x14ac:dyDescent="0.15">
      <c r="A110" s="6" t="s">
        <v>439</v>
      </c>
      <c r="B110" s="6" t="s">
        <v>38</v>
      </c>
      <c r="C110" s="6" t="str">
        <f t="shared" si="1"/>
        <v>achn</v>
      </c>
      <c r="D110" s="6" t="s">
        <v>439</v>
      </c>
      <c r="E110" s="6" t="s">
        <v>440</v>
      </c>
      <c r="F110" s="6" t="s">
        <v>433</v>
      </c>
      <c r="G110" s="6">
        <v>500</v>
      </c>
    </row>
    <row r="111" spans="1:7" x14ac:dyDescent="0.15">
      <c r="A111" s="6" t="s">
        <v>441</v>
      </c>
      <c r="B111" s="6" t="s">
        <v>38</v>
      </c>
      <c r="C111" s="6" t="str">
        <f t="shared" si="1"/>
        <v>bmdc</v>
      </c>
      <c r="D111" s="6" t="s">
        <v>441</v>
      </c>
      <c r="E111" s="6" t="s">
        <v>442</v>
      </c>
      <c r="F111" s="6" t="s">
        <v>442</v>
      </c>
      <c r="G111" s="6">
        <v>500</v>
      </c>
    </row>
    <row r="112" spans="1:7" x14ac:dyDescent="0.15">
      <c r="A112" s="6" t="s">
        <v>443</v>
      </c>
      <c r="B112" s="6" t="s">
        <v>38</v>
      </c>
      <c r="C112" s="6" t="str">
        <f t="shared" si="1"/>
        <v>bmm</v>
      </c>
      <c r="D112" s="6" t="s">
        <v>443</v>
      </c>
      <c r="E112" s="6" t="s">
        <v>444</v>
      </c>
      <c r="F112" s="6" t="s">
        <v>445</v>
      </c>
      <c r="G112" s="6">
        <v>500</v>
      </c>
    </row>
    <row r="113" spans="1:7" x14ac:dyDescent="0.15">
      <c r="A113" s="6" t="s">
        <v>446</v>
      </c>
      <c r="B113" s="6" t="s">
        <v>38</v>
      </c>
      <c r="C113" s="6" t="str">
        <f t="shared" si="1"/>
        <v>bt549</v>
      </c>
      <c r="D113" s="6" t="s">
        <v>446</v>
      </c>
      <c r="E113" s="6" t="s">
        <v>447</v>
      </c>
      <c r="F113" s="6" t="s">
        <v>448</v>
      </c>
      <c r="G113" s="6">
        <v>500</v>
      </c>
    </row>
    <row r="114" spans="1:7" x14ac:dyDescent="0.15">
      <c r="A114" s="6" t="s">
        <v>449</v>
      </c>
      <c r="B114" s="6" t="s">
        <v>38</v>
      </c>
      <c r="C114" s="6" t="str">
        <f t="shared" si="1"/>
        <v>caki1</v>
      </c>
      <c r="D114" s="6" t="s">
        <v>449</v>
      </c>
      <c r="E114" s="6" t="s">
        <v>450</v>
      </c>
      <c r="F114" s="6" t="s">
        <v>433</v>
      </c>
      <c r="G114" s="6">
        <v>500</v>
      </c>
    </row>
    <row r="115" spans="1:7" x14ac:dyDescent="0.15">
      <c r="A115" s="6" t="s">
        <v>451</v>
      </c>
      <c r="B115" s="6" t="s">
        <v>38</v>
      </c>
      <c r="C115" s="6" t="str">
        <f t="shared" si="1"/>
        <v>cho</v>
      </c>
      <c r="D115" s="6" t="s">
        <v>451</v>
      </c>
      <c r="E115" s="6" t="s">
        <v>452</v>
      </c>
      <c r="F115" s="6" t="s">
        <v>453</v>
      </c>
      <c r="G115" s="6">
        <v>500</v>
      </c>
    </row>
    <row r="116" spans="1:7" x14ac:dyDescent="0.15">
      <c r="A116" s="6" t="s">
        <v>454</v>
      </c>
      <c r="B116" s="6" t="s">
        <v>38</v>
      </c>
      <c r="C116" s="6" t="str">
        <f t="shared" si="1"/>
        <v>colo205</v>
      </c>
      <c r="D116" s="6" t="s">
        <v>454</v>
      </c>
      <c r="E116" s="6" t="s">
        <v>455</v>
      </c>
      <c r="F116" s="6" t="s">
        <v>456</v>
      </c>
      <c r="G116" s="6">
        <v>500</v>
      </c>
    </row>
    <row r="117" spans="1:7" x14ac:dyDescent="0.15">
      <c r="A117" s="6" t="s">
        <v>457</v>
      </c>
      <c r="B117" s="6" t="s">
        <v>38</v>
      </c>
      <c r="C117" s="6" t="str">
        <f t="shared" si="1"/>
        <v>crfcem</v>
      </c>
      <c r="D117" s="6" t="s">
        <v>457</v>
      </c>
      <c r="E117" s="6" t="s">
        <v>458</v>
      </c>
      <c r="F117" s="6" t="s">
        <v>459</v>
      </c>
      <c r="G117" s="6">
        <v>500</v>
      </c>
    </row>
    <row r="118" spans="1:7" x14ac:dyDescent="0.15">
      <c r="A118" s="6" t="s">
        <v>460</v>
      </c>
      <c r="B118" s="6" t="s">
        <v>38</v>
      </c>
      <c r="C118" s="6" t="str">
        <f t="shared" si="1"/>
        <v>du145</v>
      </c>
      <c r="D118" s="6" t="s">
        <v>460</v>
      </c>
      <c r="E118" s="6" t="s">
        <v>461</v>
      </c>
      <c r="F118" s="6" t="s">
        <v>462</v>
      </c>
      <c r="G118" s="6">
        <v>500</v>
      </c>
    </row>
    <row r="119" spans="1:7" x14ac:dyDescent="0.15">
      <c r="A119" s="6" t="s">
        <v>463</v>
      </c>
      <c r="B119" s="6" t="s">
        <v>38</v>
      </c>
      <c r="C119" s="6" t="str">
        <f t="shared" si="1"/>
        <v>ekvx</v>
      </c>
      <c r="D119" s="6" t="s">
        <v>463</v>
      </c>
      <c r="E119" s="6" t="s">
        <v>464</v>
      </c>
      <c r="F119" s="6" t="s">
        <v>438</v>
      </c>
      <c r="G119" s="6">
        <v>500</v>
      </c>
    </row>
    <row r="120" spans="1:7" x14ac:dyDescent="0.15">
      <c r="A120" s="6" t="s">
        <v>465</v>
      </c>
      <c r="B120" s="6" t="s">
        <v>38</v>
      </c>
      <c r="C120" s="6" t="str">
        <f t="shared" si="1"/>
        <v>hcc2998</v>
      </c>
      <c r="D120" s="6" t="s">
        <v>465</v>
      </c>
      <c r="E120" s="6" t="s">
        <v>466</v>
      </c>
      <c r="F120" s="6" t="s">
        <v>456</v>
      </c>
      <c r="G120" s="6">
        <v>500</v>
      </c>
    </row>
    <row r="121" spans="1:7" x14ac:dyDescent="0.15">
      <c r="A121" s="6" t="s">
        <v>467</v>
      </c>
      <c r="B121" s="6" t="s">
        <v>38</v>
      </c>
      <c r="C121" s="6" t="str">
        <f t="shared" si="1"/>
        <v>hct116</v>
      </c>
      <c r="D121" s="6" t="s">
        <v>467</v>
      </c>
      <c r="E121" s="6" t="s">
        <v>468</v>
      </c>
      <c r="F121" s="6" t="s">
        <v>456</v>
      </c>
      <c r="G121" s="6">
        <v>500</v>
      </c>
    </row>
    <row r="122" spans="1:7" x14ac:dyDescent="0.15">
      <c r="A122" s="6" t="s">
        <v>469</v>
      </c>
      <c r="B122" s="6" t="s">
        <v>38</v>
      </c>
      <c r="C122" s="6" t="str">
        <f t="shared" si="1"/>
        <v>hct15</v>
      </c>
      <c r="D122" s="6" t="s">
        <v>469</v>
      </c>
      <c r="E122" s="6" t="s">
        <v>470</v>
      </c>
      <c r="F122" s="6" t="s">
        <v>456</v>
      </c>
      <c r="G122" s="6">
        <v>500</v>
      </c>
    </row>
    <row r="123" spans="1:7" x14ac:dyDescent="0.15">
      <c r="A123" s="6" t="s">
        <v>471</v>
      </c>
      <c r="B123" s="6" t="s">
        <v>38</v>
      </c>
      <c r="C123" s="6" t="str">
        <f t="shared" si="1"/>
        <v>hek293</v>
      </c>
      <c r="D123" s="6" t="s">
        <v>471</v>
      </c>
      <c r="E123" s="6" t="s">
        <v>472</v>
      </c>
      <c r="F123" s="6" t="s">
        <v>473</v>
      </c>
      <c r="G123" s="6">
        <v>500</v>
      </c>
    </row>
    <row r="124" spans="1:7" x14ac:dyDescent="0.15">
      <c r="A124" s="6" t="s">
        <v>474</v>
      </c>
      <c r="B124" s="6" t="s">
        <v>38</v>
      </c>
      <c r="C124" s="6" t="str">
        <f t="shared" si="1"/>
        <v>hek293t</v>
      </c>
      <c r="D124" s="6" t="s">
        <v>474</v>
      </c>
      <c r="E124" s="6" t="s">
        <v>475</v>
      </c>
      <c r="F124" s="6" t="s">
        <v>476</v>
      </c>
      <c r="G124" s="6">
        <v>500</v>
      </c>
    </row>
    <row r="125" spans="1:7" x14ac:dyDescent="0.15">
      <c r="A125" s="6" t="s">
        <v>477</v>
      </c>
      <c r="B125" s="6" t="s">
        <v>38</v>
      </c>
      <c r="C125" s="6" t="str">
        <f t="shared" si="1"/>
        <v>hela</v>
      </c>
      <c r="D125" s="6" t="s">
        <v>477</v>
      </c>
      <c r="E125" s="6" t="s">
        <v>478</v>
      </c>
      <c r="F125" s="6" t="s">
        <v>479</v>
      </c>
      <c r="G125" s="6">
        <v>500</v>
      </c>
    </row>
    <row r="126" spans="1:7" x14ac:dyDescent="0.15">
      <c r="A126" s="6" t="s">
        <v>3191</v>
      </c>
      <c r="B126" s="6" t="s">
        <v>38</v>
      </c>
      <c r="C126" s="6" t="str">
        <f t="shared" si="1"/>
        <v>trexflip</v>
      </c>
      <c r="D126" s="6" t="s">
        <v>3192</v>
      </c>
      <c r="E126" s="6" t="s">
        <v>3193</v>
      </c>
      <c r="F126" s="6" t="s">
        <v>3194</v>
      </c>
      <c r="G126" s="6">
        <v>500</v>
      </c>
    </row>
    <row r="127" spans="1:7" x14ac:dyDescent="0.15">
      <c r="A127" s="6" t="s">
        <v>480</v>
      </c>
      <c r="B127" s="6" t="s">
        <v>38</v>
      </c>
      <c r="C127" s="6" t="str">
        <f t="shared" si="1"/>
        <v>hl60</v>
      </c>
      <c r="D127" s="6" t="s">
        <v>480</v>
      </c>
      <c r="E127" s="6" t="s">
        <v>481</v>
      </c>
      <c r="F127" s="6" t="s">
        <v>459</v>
      </c>
      <c r="G127" s="6">
        <v>500</v>
      </c>
    </row>
    <row r="128" spans="1:7" x14ac:dyDescent="0.15">
      <c r="A128" s="6" t="s">
        <v>482</v>
      </c>
      <c r="B128" s="6" t="s">
        <v>38</v>
      </c>
      <c r="C128" s="6" t="str">
        <f t="shared" si="1"/>
        <v>hop62</v>
      </c>
      <c r="D128" s="6" t="s">
        <v>482</v>
      </c>
      <c r="E128" s="6" t="s">
        <v>483</v>
      </c>
      <c r="F128" s="6" t="s">
        <v>438</v>
      </c>
      <c r="G128" s="6">
        <v>500</v>
      </c>
    </row>
    <row r="129" spans="1:7" x14ac:dyDescent="0.15">
      <c r="A129" s="6" t="s">
        <v>484</v>
      </c>
      <c r="B129" s="6" t="s">
        <v>38</v>
      </c>
      <c r="C129" s="6" t="str">
        <f t="shared" si="1"/>
        <v>hop92</v>
      </c>
      <c r="D129" s="6" t="s">
        <v>484</v>
      </c>
      <c r="E129" s="6" t="s">
        <v>485</v>
      </c>
      <c r="F129" s="6" t="s">
        <v>438</v>
      </c>
      <c r="G129" s="6">
        <v>500</v>
      </c>
    </row>
    <row r="130" spans="1:7" x14ac:dyDescent="0.15">
      <c r="A130" s="6" t="s">
        <v>486</v>
      </c>
      <c r="B130" s="6" t="s">
        <v>38</v>
      </c>
      <c r="C130" s="6" t="str">
        <f t="shared" si="1"/>
        <v>hs578t</v>
      </c>
      <c r="D130" s="6" t="s">
        <v>486</v>
      </c>
      <c r="E130" s="6" t="s">
        <v>487</v>
      </c>
      <c r="F130" s="6" t="s">
        <v>448</v>
      </c>
      <c r="G130" s="6">
        <v>500</v>
      </c>
    </row>
    <row r="131" spans="1:7" x14ac:dyDescent="0.15">
      <c r="A131" s="6" t="s">
        <v>488</v>
      </c>
      <c r="B131" s="6" t="s">
        <v>38</v>
      </c>
      <c r="C131" s="6" t="str">
        <f t="shared" si="1"/>
        <v>ht29</v>
      </c>
      <c r="D131" s="6" t="s">
        <v>488</v>
      </c>
      <c r="E131" s="6" t="s">
        <v>489</v>
      </c>
      <c r="F131" s="6" t="s">
        <v>456</v>
      </c>
      <c r="G131" s="6">
        <v>500</v>
      </c>
    </row>
    <row r="132" spans="1:7" x14ac:dyDescent="0.15">
      <c r="A132" s="6" t="s">
        <v>490</v>
      </c>
      <c r="B132" s="6" t="s">
        <v>38</v>
      </c>
      <c r="C132" s="6" t="str">
        <f t="shared" ref="C132:C196" si="2">A132</f>
        <v>igrov1</v>
      </c>
      <c r="D132" s="6" t="s">
        <v>490</v>
      </c>
      <c r="E132" s="6" t="s">
        <v>491</v>
      </c>
      <c r="F132" s="6" t="s">
        <v>492</v>
      </c>
      <c r="G132" s="6">
        <v>500</v>
      </c>
    </row>
    <row r="133" spans="1:7" x14ac:dyDescent="0.15">
      <c r="A133" s="6" t="s">
        <v>493</v>
      </c>
      <c r="B133" s="6" t="s">
        <v>38</v>
      </c>
      <c r="C133" s="6" t="str">
        <f t="shared" si="2"/>
        <v>immmef</v>
      </c>
      <c r="D133" s="6" t="s">
        <v>493</v>
      </c>
      <c r="E133" s="6" t="s">
        <v>494</v>
      </c>
      <c r="F133" s="6" t="s">
        <v>495</v>
      </c>
      <c r="G133" s="6">
        <v>500</v>
      </c>
    </row>
    <row r="134" spans="1:7" x14ac:dyDescent="0.15">
      <c r="A134" s="6" t="s">
        <v>496</v>
      </c>
      <c r="B134" s="6" t="s">
        <v>38</v>
      </c>
      <c r="C134" s="6" t="str">
        <f t="shared" si="2"/>
        <v>jeko1</v>
      </c>
      <c r="D134" s="6" t="s">
        <v>496</v>
      </c>
      <c r="E134" s="6" t="s">
        <v>497</v>
      </c>
      <c r="F134" s="6" t="s">
        <v>498</v>
      </c>
      <c r="G134" s="6">
        <v>500</v>
      </c>
    </row>
    <row r="135" spans="1:7" x14ac:dyDescent="0.15">
      <c r="A135" s="6" t="s">
        <v>499</v>
      </c>
      <c r="B135" s="6" t="s">
        <v>38</v>
      </c>
      <c r="C135" s="6" t="str">
        <f t="shared" si="2"/>
        <v>jurkat</v>
      </c>
      <c r="D135" s="6" t="s">
        <v>499</v>
      </c>
      <c r="E135" s="6" t="s">
        <v>500</v>
      </c>
      <c r="F135" s="6" t="s">
        <v>501</v>
      </c>
      <c r="G135" s="6">
        <v>500</v>
      </c>
    </row>
    <row r="136" spans="1:7" x14ac:dyDescent="0.15">
      <c r="A136" s="6" t="s">
        <v>502</v>
      </c>
      <c r="B136" s="6" t="s">
        <v>38</v>
      </c>
      <c r="C136" s="6" t="str">
        <f t="shared" si="2"/>
        <v>jvm13</v>
      </c>
      <c r="D136" s="6" t="s">
        <v>502</v>
      </c>
      <c r="E136" s="6" t="s">
        <v>503</v>
      </c>
      <c r="F136" s="6" t="s">
        <v>498</v>
      </c>
      <c r="G136" s="6">
        <v>500</v>
      </c>
    </row>
    <row r="137" spans="1:7" x14ac:dyDescent="0.15">
      <c r="A137" s="6" t="s">
        <v>504</v>
      </c>
      <c r="B137" s="6" t="s">
        <v>38</v>
      </c>
      <c r="C137" s="6" t="str">
        <f t="shared" si="2"/>
        <v>jvm2</v>
      </c>
      <c r="D137" s="6" t="s">
        <v>504</v>
      </c>
      <c r="E137" s="6" t="s">
        <v>505</v>
      </c>
      <c r="F137" s="6" t="s">
        <v>498</v>
      </c>
      <c r="G137" s="6">
        <v>500</v>
      </c>
    </row>
    <row r="138" spans="1:7" x14ac:dyDescent="0.15">
      <c r="A138" s="6" t="s">
        <v>506</v>
      </c>
      <c r="B138" s="6" t="s">
        <v>38</v>
      </c>
      <c r="C138" s="6" t="str">
        <f t="shared" si="2"/>
        <v>k562</v>
      </c>
      <c r="D138" s="6" t="s">
        <v>506</v>
      </c>
      <c r="E138" s="6" t="s">
        <v>507</v>
      </c>
      <c r="F138" s="6" t="s">
        <v>459</v>
      </c>
      <c r="G138" s="6">
        <v>500</v>
      </c>
    </row>
    <row r="139" spans="1:7" x14ac:dyDescent="0.15">
      <c r="A139" s="6" t="s">
        <v>508</v>
      </c>
      <c r="B139" s="6" t="s">
        <v>38</v>
      </c>
      <c r="C139" s="6" t="str">
        <f t="shared" si="2"/>
        <v>km12</v>
      </c>
      <c r="D139" s="6" t="s">
        <v>508</v>
      </c>
      <c r="E139" s="6" t="s">
        <v>509</v>
      </c>
      <c r="F139" s="6" t="s">
        <v>456</v>
      </c>
      <c r="G139" s="6">
        <v>500</v>
      </c>
    </row>
    <row r="140" spans="1:7" x14ac:dyDescent="0.15">
      <c r="A140" s="6" t="s">
        <v>510</v>
      </c>
      <c r="B140" s="6" t="s">
        <v>38</v>
      </c>
      <c r="C140" s="6" t="str">
        <f t="shared" si="2"/>
        <v>lox_imvi</v>
      </c>
      <c r="D140" s="6" t="s">
        <v>510</v>
      </c>
      <c r="E140" s="6" t="s">
        <v>511</v>
      </c>
      <c r="F140" s="6" t="s">
        <v>512</v>
      </c>
      <c r="G140" s="6">
        <v>500</v>
      </c>
    </row>
    <row r="141" spans="1:7" x14ac:dyDescent="0.15">
      <c r="A141" s="6" t="s">
        <v>513</v>
      </c>
      <c r="B141" s="6" t="s">
        <v>38</v>
      </c>
      <c r="C141" s="6" t="str">
        <f t="shared" si="2"/>
        <v>m14</v>
      </c>
      <c r="D141" s="6" t="s">
        <v>513</v>
      </c>
      <c r="E141" s="6" t="s">
        <v>514</v>
      </c>
      <c r="F141" s="6" t="s">
        <v>512</v>
      </c>
      <c r="G141" s="6">
        <v>500</v>
      </c>
    </row>
    <row r="142" spans="1:7" x14ac:dyDescent="0.15">
      <c r="A142" s="6" t="s">
        <v>515</v>
      </c>
      <c r="B142" s="6" t="s">
        <v>38</v>
      </c>
      <c r="C142" s="6" t="str">
        <f t="shared" si="2"/>
        <v>malme3m</v>
      </c>
      <c r="D142" s="6" t="s">
        <v>515</v>
      </c>
      <c r="E142" s="6" t="s">
        <v>516</v>
      </c>
      <c r="F142" s="6" t="s">
        <v>512</v>
      </c>
      <c r="G142" s="6">
        <v>500</v>
      </c>
    </row>
    <row r="143" spans="1:7" x14ac:dyDescent="0.15">
      <c r="A143" s="6" t="s">
        <v>517</v>
      </c>
      <c r="B143" s="6" t="s">
        <v>38</v>
      </c>
      <c r="C143" s="6" t="str">
        <f t="shared" si="2"/>
        <v>maver1</v>
      </c>
      <c r="D143" s="6" t="s">
        <v>517</v>
      </c>
      <c r="E143" s="6" t="s">
        <v>518</v>
      </c>
      <c r="F143" s="6" t="s">
        <v>498</v>
      </c>
      <c r="G143" s="6">
        <v>500</v>
      </c>
    </row>
    <row r="144" spans="1:7" x14ac:dyDescent="0.15">
      <c r="A144" s="6" t="s">
        <v>519</v>
      </c>
      <c r="B144" s="6" t="s">
        <v>38</v>
      </c>
      <c r="C144" s="6" t="str">
        <f t="shared" si="2"/>
        <v>mcf7</v>
      </c>
      <c r="D144" s="6" t="s">
        <v>519</v>
      </c>
      <c r="E144" s="6" t="s">
        <v>520</v>
      </c>
      <c r="F144" s="6" t="s">
        <v>448</v>
      </c>
      <c r="G144" s="6">
        <v>500</v>
      </c>
    </row>
    <row r="145" spans="1:7" x14ac:dyDescent="0.15">
      <c r="A145" s="6" t="s">
        <v>521</v>
      </c>
      <c r="B145" s="6" t="s">
        <v>38</v>
      </c>
      <c r="C145" s="6" t="str">
        <f t="shared" si="2"/>
        <v>mdamb231</v>
      </c>
      <c r="D145" s="6" t="s">
        <v>521</v>
      </c>
      <c r="E145" s="6" t="s">
        <v>522</v>
      </c>
      <c r="F145" s="6" t="s">
        <v>448</v>
      </c>
      <c r="G145" s="6">
        <v>500</v>
      </c>
    </row>
    <row r="146" spans="1:7" x14ac:dyDescent="0.15">
      <c r="A146" s="6" t="s">
        <v>523</v>
      </c>
      <c r="B146" s="6" t="s">
        <v>38</v>
      </c>
      <c r="C146" s="6" t="str">
        <f t="shared" si="2"/>
        <v>mdamb435</v>
      </c>
      <c r="D146" s="6" t="s">
        <v>523</v>
      </c>
      <c r="E146" s="6" t="s">
        <v>524</v>
      </c>
      <c r="F146" s="6" t="s">
        <v>512</v>
      </c>
      <c r="G146" s="6">
        <v>500</v>
      </c>
    </row>
    <row r="147" spans="1:7" x14ac:dyDescent="0.15">
      <c r="A147" s="6" t="s">
        <v>525</v>
      </c>
      <c r="B147" s="6" t="s">
        <v>38</v>
      </c>
      <c r="C147" s="6" t="str">
        <f t="shared" si="2"/>
        <v>mdamb468</v>
      </c>
      <c r="D147" s="6" t="s">
        <v>525</v>
      </c>
      <c r="E147" s="6" t="s">
        <v>526</v>
      </c>
      <c r="F147" s="6" t="s">
        <v>448</v>
      </c>
      <c r="G147" s="6">
        <v>500</v>
      </c>
    </row>
    <row r="148" spans="1:7" x14ac:dyDescent="0.15">
      <c r="A148" s="6" t="s">
        <v>527</v>
      </c>
      <c r="B148" s="6" t="s">
        <v>38</v>
      </c>
      <c r="C148" s="6" t="str">
        <f t="shared" si="2"/>
        <v>mef</v>
      </c>
      <c r="D148" s="6" t="s">
        <v>527</v>
      </c>
      <c r="E148" s="6" t="s">
        <v>528</v>
      </c>
      <c r="F148" s="6" t="s">
        <v>529</v>
      </c>
      <c r="G148" s="6">
        <v>500</v>
      </c>
    </row>
    <row r="149" spans="1:7" x14ac:dyDescent="0.15">
      <c r="A149" s="6" t="s">
        <v>530</v>
      </c>
      <c r="B149" s="6" t="s">
        <v>38</v>
      </c>
      <c r="C149" s="6" t="str">
        <f t="shared" si="2"/>
        <v>mino</v>
      </c>
      <c r="D149" s="6" t="s">
        <v>530</v>
      </c>
      <c r="E149" s="6" t="s">
        <v>531</v>
      </c>
      <c r="F149" s="6" t="s">
        <v>498</v>
      </c>
      <c r="G149" s="6">
        <v>500</v>
      </c>
    </row>
    <row r="150" spans="1:7" x14ac:dyDescent="0.15">
      <c r="A150" s="6" t="s">
        <v>532</v>
      </c>
      <c r="B150" s="6" t="s">
        <v>38</v>
      </c>
      <c r="C150" s="6" t="str">
        <f t="shared" si="2"/>
        <v>molt4</v>
      </c>
      <c r="D150" s="6" t="s">
        <v>532</v>
      </c>
      <c r="E150" s="6" t="s">
        <v>533</v>
      </c>
      <c r="F150" s="6" t="s">
        <v>459</v>
      </c>
      <c r="G150" s="6">
        <v>500</v>
      </c>
    </row>
    <row r="151" spans="1:7" x14ac:dyDescent="0.15">
      <c r="A151" s="6" t="s">
        <v>534</v>
      </c>
      <c r="B151" s="6" t="s">
        <v>38</v>
      </c>
      <c r="C151" s="6" t="str">
        <f t="shared" si="2"/>
        <v>nceb1</v>
      </c>
      <c r="D151" s="6" t="s">
        <v>534</v>
      </c>
      <c r="E151" s="6" t="s">
        <v>535</v>
      </c>
      <c r="F151" s="6" t="s">
        <v>498</v>
      </c>
      <c r="G151" s="6">
        <v>500</v>
      </c>
    </row>
    <row r="152" spans="1:7" x14ac:dyDescent="0.15">
      <c r="A152" s="6" t="s">
        <v>536</v>
      </c>
      <c r="B152" s="6" t="s">
        <v>38</v>
      </c>
      <c r="C152" s="6" t="str">
        <f t="shared" si="2"/>
        <v>nci_adrres</v>
      </c>
      <c r="D152" s="6" t="s">
        <v>537</v>
      </c>
      <c r="E152" s="6" t="s">
        <v>538</v>
      </c>
      <c r="F152" s="6" t="s">
        <v>492</v>
      </c>
      <c r="G152" s="6">
        <v>500</v>
      </c>
    </row>
    <row r="153" spans="1:7" x14ac:dyDescent="0.15">
      <c r="A153" s="6" t="s">
        <v>539</v>
      </c>
      <c r="B153" s="6" t="s">
        <v>38</v>
      </c>
      <c r="C153" s="6" t="str">
        <f t="shared" si="2"/>
        <v>nci_h226</v>
      </c>
      <c r="D153" s="6" t="s">
        <v>540</v>
      </c>
      <c r="E153" s="6" t="s">
        <v>541</v>
      </c>
      <c r="F153" s="6" t="s">
        <v>438</v>
      </c>
      <c r="G153" s="6">
        <v>500</v>
      </c>
    </row>
    <row r="154" spans="1:7" x14ac:dyDescent="0.15">
      <c r="A154" s="6" t="s">
        <v>542</v>
      </c>
      <c r="B154" s="6" t="s">
        <v>38</v>
      </c>
      <c r="C154" s="6" t="str">
        <f t="shared" si="2"/>
        <v>nci_h23</v>
      </c>
      <c r="D154" s="6" t="s">
        <v>543</v>
      </c>
      <c r="E154" s="6" t="s">
        <v>544</v>
      </c>
      <c r="F154" s="6" t="s">
        <v>438</v>
      </c>
      <c r="G154" s="6">
        <v>500</v>
      </c>
    </row>
    <row r="155" spans="1:7" x14ac:dyDescent="0.15">
      <c r="A155" s="6" t="s">
        <v>545</v>
      </c>
      <c r="B155" s="6" t="s">
        <v>38</v>
      </c>
      <c r="C155" s="6" t="str">
        <f t="shared" si="2"/>
        <v>nci_h322m</v>
      </c>
      <c r="D155" s="6" t="s">
        <v>546</v>
      </c>
      <c r="E155" s="6" t="s">
        <v>547</v>
      </c>
      <c r="F155" s="6" t="s">
        <v>438</v>
      </c>
      <c r="G155" s="6">
        <v>500</v>
      </c>
    </row>
    <row r="156" spans="1:7" x14ac:dyDescent="0.15">
      <c r="A156" s="6" t="s">
        <v>548</v>
      </c>
      <c r="B156" s="6" t="s">
        <v>38</v>
      </c>
      <c r="C156" s="6" t="str">
        <f t="shared" si="2"/>
        <v>nci_h460</v>
      </c>
      <c r="D156" s="6" t="s">
        <v>549</v>
      </c>
      <c r="E156" s="6" t="s">
        <v>550</v>
      </c>
      <c r="F156" s="6" t="s">
        <v>438</v>
      </c>
      <c r="G156" s="6">
        <v>500</v>
      </c>
    </row>
    <row r="157" spans="1:7" x14ac:dyDescent="0.15">
      <c r="A157" s="6" t="s">
        <v>551</v>
      </c>
      <c r="B157" s="6" t="s">
        <v>38</v>
      </c>
      <c r="C157" s="6" t="str">
        <f t="shared" si="2"/>
        <v>nci_h522</v>
      </c>
      <c r="D157" s="6" t="s">
        <v>552</v>
      </c>
      <c r="E157" s="6" t="s">
        <v>553</v>
      </c>
      <c r="F157" s="6" t="s">
        <v>438</v>
      </c>
      <c r="G157" s="6">
        <v>500</v>
      </c>
    </row>
    <row r="158" spans="1:7" x14ac:dyDescent="0.15">
      <c r="A158" s="6" t="s">
        <v>554</v>
      </c>
      <c r="B158" s="6" t="s">
        <v>38</v>
      </c>
      <c r="C158" s="6" t="str">
        <f t="shared" si="2"/>
        <v>ovcar3</v>
      </c>
      <c r="D158" s="6" t="s">
        <v>554</v>
      </c>
      <c r="E158" s="6" t="s">
        <v>555</v>
      </c>
      <c r="F158" s="6" t="s">
        <v>492</v>
      </c>
      <c r="G158" s="6">
        <v>500</v>
      </c>
    </row>
    <row r="159" spans="1:7" x14ac:dyDescent="0.15">
      <c r="A159" s="6" t="s">
        <v>556</v>
      </c>
      <c r="B159" s="6" t="s">
        <v>38</v>
      </c>
      <c r="C159" s="6" t="str">
        <f t="shared" si="2"/>
        <v>ovcar4</v>
      </c>
      <c r="D159" s="6" t="s">
        <v>556</v>
      </c>
      <c r="E159" s="6" t="s">
        <v>557</v>
      </c>
      <c r="F159" s="6" t="s">
        <v>492</v>
      </c>
      <c r="G159" s="6">
        <v>500</v>
      </c>
    </row>
    <row r="160" spans="1:7" x14ac:dyDescent="0.15">
      <c r="A160" s="6" t="s">
        <v>558</v>
      </c>
      <c r="B160" s="6" t="s">
        <v>38</v>
      </c>
      <c r="C160" s="6" t="str">
        <f t="shared" si="2"/>
        <v>ovcar5</v>
      </c>
      <c r="D160" s="6" t="s">
        <v>558</v>
      </c>
      <c r="E160" s="6" t="s">
        <v>559</v>
      </c>
      <c r="F160" s="6" t="s">
        <v>492</v>
      </c>
      <c r="G160" s="6">
        <v>500</v>
      </c>
    </row>
    <row r="161" spans="1:7" x14ac:dyDescent="0.15">
      <c r="A161" s="6" t="s">
        <v>560</v>
      </c>
      <c r="B161" s="6" t="s">
        <v>38</v>
      </c>
      <c r="C161" s="6" t="str">
        <f t="shared" si="2"/>
        <v>ovcar8</v>
      </c>
      <c r="D161" s="6" t="s">
        <v>560</v>
      </c>
      <c r="E161" s="6" t="s">
        <v>561</v>
      </c>
      <c r="F161" s="6" t="s">
        <v>492</v>
      </c>
      <c r="G161" s="6">
        <v>500</v>
      </c>
    </row>
    <row r="162" spans="1:7" x14ac:dyDescent="0.15">
      <c r="A162" s="6" t="s">
        <v>562</v>
      </c>
      <c r="B162" s="6" t="s">
        <v>38</v>
      </c>
      <c r="C162" s="6" t="str">
        <f t="shared" si="2"/>
        <v>p388</v>
      </c>
      <c r="D162" s="6" t="s">
        <v>562</v>
      </c>
      <c r="E162" s="6" t="s">
        <v>563</v>
      </c>
      <c r="F162" s="6" t="s">
        <v>564</v>
      </c>
      <c r="G162" s="6">
        <v>500</v>
      </c>
    </row>
    <row r="163" spans="1:7" x14ac:dyDescent="0.15">
      <c r="A163" s="6" t="s">
        <v>565</v>
      </c>
      <c r="B163" s="6" t="s">
        <v>38</v>
      </c>
      <c r="C163" s="6" t="str">
        <f t="shared" si="2"/>
        <v>pc3</v>
      </c>
      <c r="D163" s="6" t="s">
        <v>565</v>
      </c>
      <c r="E163" s="6" t="s">
        <v>566</v>
      </c>
      <c r="F163" s="6" t="s">
        <v>462</v>
      </c>
      <c r="G163" s="6">
        <v>500</v>
      </c>
    </row>
    <row r="164" spans="1:7" x14ac:dyDescent="0.15">
      <c r="A164" s="6" t="s">
        <v>567</v>
      </c>
      <c r="B164" s="6" t="s">
        <v>38</v>
      </c>
      <c r="C164" s="6" t="str">
        <f t="shared" si="2"/>
        <v>rec1</v>
      </c>
      <c r="D164" s="6" t="s">
        <v>567</v>
      </c>
      <c r="E164" s="6" t="s">
        <v>568</v>
      </c>
      <c r="F164" s="6" t="s">
        <v>498</v>
      </c>
      <c r="G164" s="6">
        <v>500</v>
      </c>
    </row>
    <row r="165" spans="1:7" x14ac:dyDescent="0.15">
      <c r="A165" s="6" t="s">
        <v>569</v>
      </c>
      <c r="B165" s="6" t="s">
        <v>38</v>
      </c>
      <c r="C165" s="6" t="str">
        <f t="shared" si="2"/>
        <v>rpmi8226</v>
      </c>
      <c r="D165" s="6" t="s">
        <v>569</v>
      </c>
      <c r="E165" s="6" t="s">
        <v>570</v>
      </c>
      <c r="F165" s="6" t="s">
        <v>459</v>
      </c>
      <c r="G165" s="6">
        <v>500</v>
      </c>
    </row>
    <row r="166" spans="1:7" x14ac:dyDescent="0.15">
      <c r="A166" s="6" t="s">
        <v>571</v>
      </c>
      <c r="B166" s="6" t="s">
        <v>38</v>
      </c>
      <c r="C166" s="6" t="str">
        <f t="shared" si="2"/>
        <v>rxf393</v>
      </c>
      <c r="D166" s="6" t="s">
        <v>571</v>
      </c>
      <c r="E166" s="6" t="s">
        <v>572</v>
      </c>
      <c r="F166" s="6" t="s">
        <v>433</v>
      </c>
      <c r="G166" s="6">
        <v>500</v>
      </c>
    </row>
    <row r="167" spans="1:7" x14ac:dyDescent="0.15">
      <c r="A167" s="6" t="s">
        <v>573</v>
      </c>
      <c r="B167" s="6" t="s">
        <v>38</v>
      </c>
      <c r="C167" s="6" t="str">
        <f t="shared" si="2"/>
        <v>sf268</v>
      </c>
      <c r="D167" s="6" t="s">
        <v>573</v>
      </c>
      <c r="E167" s="6" t="s">
        <v>574</v>
      </c>
      <c r="F167" s="6" t="s">
        <v>575</v>
      </c>
      <c r="G167" s="6">
        <v>500</v>
      </c>
    </row>
    <row r="168" spans="1:7" x14ac:dyDescent="0.15">
      <c r="A168" s="6" t="s">
        <v>576</v>
      </c>
      <c r="B168" s="6" t="s">
        <v>38</v>
      </c>
      <c r="C168" s="6" t="str">
        <f t="shared" si="2"/>
        <v>sf295</v>
      </c>
      <c r="D168" s="6" t="s">
        <v>576</v>
      </c>
      <c r="E168" s="6" t="s">
        <v>577</v>
      </c>
      <c r="F168" s="6" t="s">
        <v>575</v>
      </c>
      <c r="G168" s="6">
        <v>500</v>
      </c>
    </row>
    <row r="169" spans="1:7" x14ac:dyDescent="0.15">
      <c r="A169" s="6" t="s">
        <v>578</v>
      </c>
      <c r="B169" s="6" t="s">
        <v>38</v>
      </c>
      <c r="C169" s="6" t="str">
        <f t="shared" si="2"/>
        <v>sf539</v>
      </c>
      <c r="D169" s="6" t="s">
        <v>578</v>
      </c>
      <c r="E169" s="6" t="s">
        <v>579</v>
      </c>
      <c r="F169" s="6" t="s">
        <v>575</v>
      </c>
      <c r="G169" s="6">
        <v>500</v>
      </c>
    </row>
    <row r="170" spans="1:7" x14ac:dyDescent="0.15">
      <c r="A170" s="6" t="s">
        <v>580</v>
      </c>
      <c r="B170" s="6" t="s">
        <v>38</v>
      </c>
      <c r="C170" s="6" t="str">
        <f t="shared" si="2"/>
        <v>skmel2</v>
      </c>
      <c r="D170" s="6" t="s">
        <v>580</v>
      </c>
      <c r="E170" s="6" t="s">
        <v>581</v>
      </c>
      <c r="F170" s="6" t="s">
        <v>512</v>
      </c>
      <c r="G170" s="6">
        <v>500</v>
      </c>
    </row>
    <row r="171" spans="1:7" x14ac:dyDescent="0.15">
      <c r="A171" s="6" t="s">
        <v>582</v>
      </c>
      <c r="B171" s="6" t="s">
        <v>38</v>
      </c>
      <c r="C171" s="6" t="str">
        <f t="shared" si="2"/>
        <v>skmel28</v>
      </c>
      <c r="D171" s="6" t="s">
        <v>582</v>
      </c>
      <c r="E171" s="6" t="s">
        <v>583</v>
      </c>
      <c r="F171" s="6" t="s">
        <v>512</v>
      </c>
      <c r="G171" s="6">
        <v>500</v>
      </c>
    </row>
    <row r="172" spans="1:7" x14ac:dyDescent="0.15">
      <c r="A172" s="6" t="s">
        <v>584</v>
      </c>
      <c r="B172" s="6" t="s">
        <v>38</v>
      </c>
      <c r="C172" s="6" t="str">
        <f t="shared" si="2"/>
        <v>skmel5</v>
      </c>
      <c r="D172" s="6" t="s">
        <v>584</v>
      </c>
      <c r="E172" s="6" t="s">
        <v>585</v>
      </c>
      <c r="F172" s="6" t="s">
        <v>512</v>
      </c>
      <c r="G172" s="6">
        <v>500</v>
      </c>
    </row>
    <row r="173" spans="1:7" x14ac:dyDescent="0.15">
      <c r="A173" s="6" t="s">
        <v>586</v>
      </c>
      <c r="B173" s="6" t="s">
        <v>38</v>
      </c>
      <c r="C173" s="6" t="str">
        <f t="shared" si="2"/>
        <v>skov3</v>
      </c>
      <c r="D173" s="6" t="s">
        <v>586</v>
      </c>
      <c r="E173" s="6" t="s">
        <v>587</v>
      </c>
      <c r="F173" s="6" t="s">
        <v>492</v>
      </c>
      <c r="G173" s="6">
        <v>500</v>
      </c>
    </row>
    <row r="174" spans="1:7" x14ac:dyDescent="0.15">
      <c r="A174" s="6" t="s">
        <v>588</v>
      </c>
      <c r="B174" s="6" t="s">
        <v>38</v>
      </c>
      <c r="C174" s="6" t="str">
        <f t="shared" si="2"/>
        <v>sn12c</v>
      </c>
      <c r="D174" s="6" t="s">
        <v>588</v>
      </c>
      <c r="E174" s="6" t="s">
        <v>589</v>
      </c>
      <c r="F174" s="6" t="s">
        <v>433</v>
      </c>
      <c r="G174" s="6">
        <v>500</v>
      </c>
    </row>
    <row r="175" spans="1:7" x14ac:dyDescent="0.15">
      <c r="A175" s="6" t="s">
        <v>590</v>
      </c>
      <c r="B175" s="6" t="s">
        <v>38</v>
      </c>
      <c r="C175" s="6" t="str">
        <f t="shared" si="2"/>
        <v>snb19</v>
      </c>
      <c r="D175" s="6" t="s">
        <v>590</v>
      </c>
      <c r="E175" s="6" t="s">
        <v>591</v>
      </c>
      <c r="F175" s="6" t="s">
        <v>575</v>
      </c>
      <c r="G175" s="6">
        <v>500</v>
      </c>
    </row>
    <row r="176" spans="1:7" x14ac:dyDescent="0.15">
      <c r="A176" s="6" t="s">
        <v>592</v>
      </c>
      <c r="B176" s="6" t="s">
        <v>38</v>
      </c>
      <c r="C176" s="6" t="str">
        <f t="shared" si="2"/>
        <v>snb75</v>
      </c>
      <c r="D176" s="6" t="s">
        <v>592</v>
      </c>
      <c r="E176" s="6" t="s">
        <v>593</v>
      </c>
      <c r="F176" s="6" t="s">
        <v>575</v>
      </c>
      <c r="G176" s="6">
        <v>500</v>
      </c>
    </row>
    <row r="177" spans="1:7" x14ac:dyDescent="0.15">
      <c r="A177" s="6" t="s">
        <v>594</v>
      </c>
      <c r="B177" s="6" t="s">
        <v>38</v>
      </c>
      <c r="C177" s="6" t="str">
        <f t="shared" si="2"/>
        <v>sr</v>
      </c>
      <c r="D177" s="6" t="s">
        <v>594</v>
      </c>
      <c r="E177" s="6" t="s">
        <v>595</v>
      </c>
      <c r="F177" s="6" t="s">
        <v>459</v>
      </c>
      <c r="G177" s="6">
        <v>500</v>
      </c>
    </row>
    <row r="178" spans="1:7" x14ac:dyDescent="0.15">
      <c r="A178" s="6" t="s">
        <v>596</v>
      </c>
      <c r="B178" s="6" t="s">
        <v>38</v>
      </c>
      <c r="C178" s="6" t="str">
        <f t="shared" si="2"/>
        <v>sw620</v>
      </c>
      <c r="D178" s="6" t="s">
        <v>596</v>
      </c>
      <c r="E178" s="6" t="s">
        <v>597</v>
      </c>
      <c r="F178" s="6" t="s">
        <v>456</v>
      </c>
      <c r="G178" s="6">
        <v>500</v>
      </c>
    </row>
    <row r="179" spans="1:7" x14ac:dyDescent="0.15">
      <c r="A179" s="6" t="s">
        <v>598</v>
      </c>
      <c r="B179" s="6" t="s">
        <v>38</v>
      </c>
      <c r="C179" s="6" t="str">
        <f t="shared" si="2"/>
        <v>t47d</v>
      </c>
      <c r="D179" s="6" t="s">
        <v>598</v>
      </c>
      <c r="E179" s="6" t="s">
        <v>599</v>
      </c>
      <c r="F179" s="6" t="s">
        <v>448</v>
      </c>
      <c r="G179" s="6">
        <v>500</v>
      </c>
    </row>
    <row r="180" spans="1:7" x14ac:dyDescent="0.15">
      <c r="A180" s="6" t="s">
        <v>600</v>
      </c>
      <c r="B180" s="6" t="s">
        <v>38</v>
      </c>
      <c r="C180" s="6" t="str">
        <f t="shared" si="2"/>
        <v>thp1</v>
      </c>
      <c r="D180" s="6" t="s">
        <v>600</v>
      </c>
      <c r="E180" s="6" t="s">
        <v>601</v>
      </c>
      <c r="F180" s="6" t="s">
        <v>602</v>
      </c>
      <c r="G180" s="6">
        <v>500</v>
      </c>
    </row>
    <row r="181" spans="1:7" x14ac:dyDescent="0.15">
      <c r="A181" s="6" t="s">
        <v>603</v>
      </c>
      <c r="B181" s="6" t="s">
        <v>38</v>
      </c>
      <c r="C181" s="6" t="str">
        <f t="shared" si="2"/>
        <v>tk10</v>
      </c>
      <c r="D181" s="6" t="s">
        <v>603</v>
      </c>
      <c r="E181" s="6" t="s">
        <v>604</v>
      </c>
      <c r="F181" s="6" t="s">
        <v>433</v>
      </c>
      <c r="G181" s="6">
        <v>500</v>
      </c>
    </row>
    <row r="182" spans="1:7" x14ac:dyDescent="0.15">
      <c r="A182" s="6" t="s">
        <v>605</v>
      </c>
      <c r="B182" s="6" t="s">
        <v>38</v>
      </c>
      <c r="C182" s="6" t="str">
        <f t="shared" si="2"/>
        <v>u251</v>
      </c>
      <c r="D182" s="6" t="s">
        <v>605</v>
      </c>
      <c r="E182" s="6" t="s">
        <v>606</v>
      </c>
      <c r="F182" s="6" t="s">
        <v>575</v>
      </c>
      <c r="G182" s="6">
        <v>500</v>
      </c>
    </row>
    <row r="183" spans="1:7" x14ac:dyDescent="0.15">
      <c r="A183" s="6" t="s">
        <v>607</v>
      </c>
      <c r="B183" s="6" t="s">
        <v>38</v>
      </c>
      <c r="C183" s="6" t="str">
        <f t="shared" si="2"/>
        <v>u937</v>
      </c>
      <c r="D183" s="6" t="s">
        <v>607</v>
      </c>
      <c r="E183" s="6" t="s">
        <v>608</v>
      </c>
      <c r="F183" s="6" t="s">
        <v>609</v>
      </c>
      <c r="G183" s="6">
        <v>500</v>
      </c>
    </row>
    <row r="184" spans="1:7" x14ac:dyDescent="0.15">
      <c r="A184" s="6" t="s">
        <v>610</v>
      </c>
      <c r="B184" s="6" t="s">
        <v>38</v>
      </c>
      <c r="C184" s="6" t="str">
        <f t="shared" si="2"/>
        <v>uacc257</v>
      </c>
      <c r="D184" s="6" t="s">
        <v>610</v>
      </c>
      <c r="E184" s="6" t="s">
        <v>611</v>
      </c>
      <c r="F184" s="6" t="s">
        <v>512</v>
      </c>
      <c r="G184" s="6">
        <v>500</v>
      </c>
    </row>
    <row r="185" spans="1:7" x14ac:dyDescent="0.15">
      <c r="A185" s="6" t="s">
        <v>612</v>
      </c>
      <c r="B185" s="6" t="s">
        <v>38</v>
      </c>
      <c r="C185" s="6" t="str">
        <f t="shared" si="2"/>
        <v>uacc62</v>
      </c>
      <c r="D185" s="6" t="s">
        <v>612</v>
      </c>
      <c r="E185" s="6" t="s">
        <v>613</v>
      </c>
      <c r="F185" s="6" t="s">
        <v>512</v>
      </c>
      <c r="G185" s="6">
        <v>500</v>
      </c>
    </row>
    <row r="186" spans="1:7" x14ac:dyDescent="0.15">
      <c r="A186" s="6" t="s">
        <v>614</v>
      </c>
      <c r="B186" s="6" t="s">
        <v>38</v>
      </c>
      <c r="C186" s="6" t="str">
        <f t="shared" si="2"/>
        <v>uo31</v>
      </c>
      <c r="D186" s="6" t="s">
        <v>614</v>
      </c>
      <c r="E186" s="6" t="s">
        <v>615</v>
      </c>
      <c r="F186" s="6" t="s">
        <v>433</v>
      </c>
      <c r="G186" s="6">
        <v>500</v>
      </c>
    </row>
    <row r="187" spans="1:7" x14ac:dyDescent="0.15">
      <c r="A187" s="6" t="s">
        <v>616</v>
      </c>
      <c r="B187" s="6" t="s">
        <v>38</v>
      </c>
      <c r="C187" s="6" t="str">
        <f t="shared" si="2"/>
        <v>z138</v>
      </c>
      <c r="D187" s="6" t="s">
        <v>616</v>
      </c>
      <c r="E187" s="6" t="s">
        <v>617</v>
      </c>
      <c r="F187" s="6" t="s">
        <v>498</v>
      </c>
      <c r="G187" s="6">
        <v>500</v>
      </c>
    </row>
    <row r="188" spans="1:7" x14ac:dyDescent="0.15">
      <c r="A188" s="6" t="s">
        <v>3172</v>
      </c>
      <c r="B188" s="6" t="s">
        <v>38</v>
      </c>
      <c r="C188" s="6" t="str">
        <f t="shared" si="2"/>
        <v>bv2</v>
      </c>
      <c r="D188" s="6" t="s">
        <v>3172</v>
      </c>
      <c r="E188" s="6" t="s">
        <v>3170</v>
      </c>
      <c r="F188" s="22" t="s">
        <v>3171</v>
      </c>
      <c r="G188" s="6">
        <v>500</v>
      </c>
    </row>
    <row r="189" spans="1:7" x14ac:dyDescent="0.15">
      <c r="A189" s="6" t="s">
        <v>618</v>
      </c>
      <c r="B189" s="6" t="s">
        <v>47</v>
      </c>
      <c r="C189" s="6" t="str">
        <f t="shared" si="2"/>
        <v>75um</v>
      </c>
      <c r="D189" s="7" t="s">
        <v>13</v>
      </c>
      <c r="E189" s="6">
        <v>75</v>
      </c>
      <c r="F189" s="6" t="s">
        <v>619</v>
      </c>
      <c r="G189" s="6">
        <v>500</v>
      </c>
    </row>
    <row r="190" spans="1:7" x14ac:dyDescent="0.15">
      <c r="A190" s="6" t="s">
        <v>620</v>
      </c>
      <c r="B190" s="6" t="s">
        <v>50</v>
      </c>
      <c r="C190" s="6" t="str">
        <f t="shared" si="2"/>
        <v>15cm</v>
      </c>
      <c r="D190" s="6" t="s">
        <v>620</v>
      </c>
      <c r="E190" s="6">
        <v>15</v>
      </c>
      <c r="F190" s="6" t="s">
        <v>621</v>
      </c>
      <c r="G190" s="6">
        <v>500</v>
      </c>
    </row>
    <row r="191" spans="1:7" x14ac:dyDescent="0.15">
      <c r="A191" s="6" t="s">
        <v>622</v>
      </c>
      <c r="B191" s="6" t="s">
        <v>50</v>
      </c>
      <c r="C191" s="6" t="str">
        <f t="shared" si="2"/>
        <v>30cm</v>
      </c>
      <c r="D191" s="6" t="s">
        <v>622</v>
      </c>
      <c r="E191" s="6">
        <v>30</v>
      </c>
      <c r="F191" s="6" t="s">
        <v>623</v>
      </c>
      <c r="G191" s="6">
        <v>500</v>
      </c>
    </row>
    <row r="192" spans="1:7" x14ac:dyDescent="0.15">
      <c r="A192" s="6" t="s">
        <v>624</v>
      </c>
      <c r="B192" s="6" t="s">
        <v>50</v>
      </c>
      <c r="C192" s="6" t="str">
        <f t="shared" si="2"/>
        <v>50cm</v>
      </c>
      <c r="D192" s="6" t="s">
        <v>624</v>
      </c>
      <c r="E192" s="6">
        <v>50</v>
      </c>
      <c r="F192" s="6" t="s">
        <v>625</v>
      </c>
      <c r="G192" s="6">
        <v>500</v>
      </c>
    </row>
    <row r="193" spans="1:7" x14ac:dyDescent="0.15">
      <c r="A193" s="6" t="s">
        <v>626</v>
      </c>
      <c r="B193" s="6" t="s">
        <v>50</v>
      </c>
      <c r="C193" s="6" t="str">
        <f t="shared" si="2"/>
        <v>5cm</v>
      </c>
      <c r="D193" s="6" t="s">
        <v>626</v>
      </c>
      <c r="E193" s="6">
        <v>5</v>
      </c>
      <c r="F193" s="6" t="s">
        <v>2998</v>
      </c>
      <c r="G193" s="6">
        <v>500</v>
      </c>
    </row>
    <row r="194" spans="1:7" x14ac:dyDescent="0.15">
      <c r="A194" s="6" t="s">
        <v>2997</v>
      </c>
      <c r="B194" s="6" t="s">
        <v>50</v>
      </c>
      <c r="C194" s="6" t="str">
        <f t="shared" si="2"/>
        <v>40cm</v>
      </c>
      <c r="D194" s="6">
        <v>40</v>
      </c>
      <c r="E194" s="6">
        <v>40</v>
      </c>
      <c r="F194" s="6" t="s">
        <v>2999</v>
      </c>
      <c r="G194" s="6">
        <v>500</v>
      </c>
    </row>
    <row r="195" spans="1:7" x14ac:dyDescent="0.15">
      <c r="A195" s="6" t="s">
        <v>3106</v>
      </c>
      <c r="B195" s="6" t="s">
        <v>50</v>
      </c>
      <c r="C195" s="6" t="str">
        <f t="shared" si="2"/>
        <v>60cm</v>
      </c>
      <c r="D195" s="6" t="s">
        <v>3106</v>
      </c>
      <c r="E195" s="6">
        <v>60</v>
      </c>
      <c r="F195" s="6" t="s">
        <v>3107</v>
      </c>
      <c r="G195" s="6">
        <v>500</v>
      </c>
    </row>
    <row r="196" spans="1:7" x14ac:dyDescent="0.15">
      <c r="A196" s="6" t="s">
        <v>627</v>
      </c>
      <c r="B196" s="6" t="s">
        <v>52</v>
      </c>
      <c r="C196" s="6" t="str">
        <f t="shared" si="2"/>
        <v>40c</v>
      </c>
      <c r="D196" s="7" t="s">
        <v>13</v>
      </c>
      <c r="E196" s="6">
        <v>40</v>
      </c>
      <c r="F196" s="7" t="s">
        <v>3001</v>
      </c>
      <c r="G196" s="6">
        <v>500</v>
      </c>
    </row>
    <row r="197" spans="1:7" x14ac:dyDescent="0.15">
      <c r="A197" s="6" t="s">
        <v>3000</v>
      </c>
      <c r="B197" s="6" t="s">
        <v>52</v>
      </c>
      <c r="C197" s="6" t="str">
        <f t="shared" ref="C197:C261" si="3">A197</f>
        <v>50c</v>
      </c>
      <c r="D197" s="7" t="s">
        <v>13</v>
      </c>
      <c r="E197" s="6">
        <v>50</v>
      </c>
      <c r="F197" s="7" t="s">
        <v>3002</v>
      </c>
      <c r="G197" s="6">
        <v>500</v>
      </c>
    </row>
    <row r="198" spans="1:7" x14ac:dyDescent="0.15">
      <c r="A198" s="6" t="s">
        <v>628</v>
      </c>
      <c r="B198" s="6" t="s">
        <v>52</v>
      </c>
      <c r="C198" s="6" t="str">
        <f t="shared" si="3"/>
        <v>55c</v>
      </c>
      <c r="D198" s="7" t="s">
        <v>13</v>
      </c>
      <c r="E198" s="6">
        <v>55</v>
      </c>
      <c r="F198" s="7" t="s">
        <v>3003</v>
      </c>
      <c r="G198" s="6">
        <v>500</v>
      </c>
    </row>
    <row r="199" spans="1:7" x14ac:dyDescent="0.15">
      <c r="A199" s="6" t="s">
        <v>629</v>
      </c>
      <c r="B199" s="6" t="s">
        <v>53</v>
      </c>
      <c r="C199" s="6" t="str">
        <f t="shared" si="3"/>
        <v>170nm</v>
      </c>
      <c r="D199" s="7" t="s">
        <v>13</v>
      </c>
      <c r="E199" s="6">
        <v>1.7</v>
      </c>
      <c r="F199" s="6" t="s">
        <v>630</v>
      </c>
      <c r="G199" s="6">
        <v>500</v>
      </c>
    </row>
    <row r="200" spans="1:7" x14ac:dyDescent="0.15">
      <c r="A200" s="6" t="s">
        <v>631</v>
      </c>
      <c r="B200" s="6" t="s">
        <v>53</v>
      </c>
      <c r="C200" s="6" t="str">
        <f t="shared" si="3"/>
        <v>270nm</v>
      </c>
      <c r="D200" s="7" t="s">
        <v>13</v>
      </c>
      <c r="E200" s="6">
        <v>2.7</v>
      </c>
      <c r="F200" s="6" t="s">
        <v>632</v>
      </c>
      <c r="G200" s="6">
        <v>500</v>
      </c>
    </row>
    <row r="201" spans="1:7" x14ac:dyDescent="0.15">
      <c r="A201" s="6" t="s">
        <v>633</v>
      </c>
      <c r="B201" s="6" t="s">
        <v>54</v>
      </c>
      <c r="C201" s="6" t="str">
        <f t="shared" si="3"/>
        <v>c18</v>
      </c>
      <c r="D201" s="7" t="s">
        <v>13</v>
      </c>
      <c r="E201" s="6" t="s">
        <v>634</v>
      </c>
      <c r="F201" s="6" t="s">
        <v>635</v>
      </c>
      <c r="G201" s="6">
        <v>500</v>
      </c>
    </row>
    <row r="202" spans="1:7" x14ac:dyDescent="0.15">
      <c r="A202" s="6" t="s">
        <v>636</v>
      </c>
      <c r="B202" s="6" t="s">
        <v>54</v>
      </c>
      <c r="C202" s="6" t="str">
        <f t="shared" si="3"/>
        <v>c8</v>
      </c>
      <c r="D202" s="7" t="s">
        <v>13</v>
      </c>
      <c r="E202" s="6" t="s">
        <v>637</v>
      </c>
      <c r="F202" s="6" t="s">
        <v>638</v>
      </c>
      <c r="G202" s="6">
        <v>500</v>
      </c>
    </row>
    <row r="203" spans="1:7" x14ac:dyDescent="0.15">
      <c r="A203" s="6" t="s">
        <v>639</v>
      </c>
      <c r="B203" s="6" t="s">
        <v>48</v>
      </c>
      <c r="C203" s="6" t="str">
        <f t="shared" si="3"/>
        <v>aurora</v>
      </c>
      <c r="D203" s="7" t="s">
        <v>13</v>
      </c>
      <c r="E203" s="6" t="s">
        <v>2774</v>
      </c>
      <c r="F203" s="6" t="s">
        <v>2775</v>
      </c>
      <c r="G203" s="6">
        <v>500</v>
      </c>
    </row>
    <row r="204" spans="1:7" x14ac:dyDescent="0.15">
      <c r="A204" s="6" t="s">
        <v>642</v>
      </c>
      <c r="B204" s="6" t="s">
        <v>48</v>
      </c>
      <c r="C204" s="6" t="str">
        <f t="shared" si="3"/>
        <v>easyspray</v>
      </c>
      <c r="D204" s="7" t="s">
        <v>13</v>
      </c>
      <c r="E204" s="6" t="s">
        <v>643</v>
      </c>
      <c r="F204" s="6" t="s">
        <v>644</v>
      </c>
      <c r="G204" s="6">
        <v>500</v>
      </c>
    </row>
    <row r="205" spans="1:7" x14ac:dyDescent="0.15">
      <c r="A205" s="6" t="s">
        <v>645</v>
      </c>
      <c r="B205" s="6" t="s">
        <v>48</v>
      </c>
      <c r="C205" s="6" t="str">
        <f t="shared" si="3"/>
        <v>inhouse</v>
      </c>
      <c r="D205" s="7" t="s">
        <v>13</v>
      </c>
      <c r="E205" s="6" t="s">
        <v>646</v>
      </c>
      <c r="F205" s="6" t="s">
        <v>647</v>
      </c>
      <c r="G205" s="6">
        <v>500</v>
      </c>
    </row>
    <row r="206" spans="1:7" x14ac:dyDescent="0.15">
      <c r="A206" s="6" t="s">
        <v>648</v>
      </c>
      <c r="B206" s="6" t="s">
        <v>48</v>
      </c>
      <c r="C206" s="6" t="str">
        <f t="shared" si="3"/>
        <v>upac_doubleviper</v>
      </c>
      <c r="D206" s="7" t="s">
        <v>13</v>
      </c>
      <c r="E206" s="6" t="s">
        <v>649</v>
      </c>
      <c r="F206" s="6" t="s">
        <v>650</v>
      </c>
      <c r="G206" s="6">
        <v>500</v>
      </c>
    </row>
    <row r="207" spans="1:7" x14ac:dyDescent="0.15">
      <c r="A207" s="6" t="s">
        <v>651</v>
      </c>
      <c r="B207" s="6" t="s">
        <v>48</v>
      </c>
      <c r="C207" s="6" t="str">
        <f t="shared" si="3"/>
        <v>upac_low_loadneo</v>
      </c>
      <c r="D207" s="7" t="s">
        <v>13</v>
      </c>
      <c r="E207" s="6" t="s">
        <v>652</v>
      </c>
      <c r="F207" s="6" t="s">
        <v>653</v>
      </c>
      <c r="G207" s="6">
        <v>500</v>
      </c>
    </row>
    <row r="208" spans="1:7" x14ac:dyDescent="0.15">
      <c r="A208" s="6" t="s">
        <v>654</v>
      </c>
      <c r="B208" s="6" t="s">
        <v>48</v>
      </c>
      <c r="C208" s="6" t="str">
        <f t="shared" si="3"/>
        <v>upac_neo</v>
      </c>
      <c r="D208" s="7" t="s">
        <v>13</v>
      </c>
      <c r="E208" s="6" t="s">
        <v>655</v>
      </c>
      <c r="F208" s="6" t="s">
        <v>656</v>
      </c>
      <c r="G208" s="6">
        <v>500</v>
      </c>
    </row>
    <row r="209" spans="1:7" x14ac:dyDescent="0.15">
      <c r="A209" s="6" t="s">
        <v>3046</v>
      </c>
      <c r="B209" s="6" t="s">
        <v>48</v>
      </c>
      <c r="C209" s="6" t="str">
        <f t="shared" si="3"/>
        <v>pepsep</v>
      </c>
      <c r="D209" s="7" t="s">
        <v>3046</v>
      </c>
      <c r="E209" s="6" t="s">
        <v>3047</v>
      </c>
      <c r="F209" s="6" t="s">
        <v>3048</v>
      </c>
      <c r="G209" s="6">
        <v>500</v>
      </c>
    </row>
    <row r="210" spans="1:7" x14ac:dyDescent="0.15">
      <c r="A210" s="6" t="s">
        <v>3049</v>
      </c>
      <c r="B210" s="6" t="s">
        <v>48</v>
      </c>
      <c r="C210" s="6" t="str">
        <f t="shared" si="3"/>
        <v>pepsepultra</v>
      </c>
      <c r="D210" s="7" t="s">
        <v>3046</v>
      </c>
      <c r="E210" s="6" t="s">
        <v>3050</v>
      </c>
      <c r="F210" s="6" t="s">
        <v>3058</v>
      </c>
      <c r="G210" s="6">
        <v>500</v>
      </c>
    </row>
    <row r="211" spans="1:7" x14ac:dyDescent="0.15">
      <c r="A211" s="6" t="s">
        <v>3051</v>
      </c>
      <c r="B211" s="6" t="s">
        <v>48</v>
      </c>
      <c r="C211" s="6" t="str">
        <f t="shared" si="3"/>
        <v>pepsepmax</v>
      </c>
      <c r="D211" s="7" t="s">
        <v>3046</v>
      </c>
      <c r="E211" s="6" t="s">
        <v>3052</v>
      </c>
      <c r="F211" s="6" t="s">
        <v>3057</v>
      </c>
      <c r="G211" s="6">
        <v>500</v>
      </c>
    </row>
    <row r="212" spans="1:7" x14ac:dyDescent="0.15">
      <c r="A212" s="6" t="s">
        <v>3053</v>
      </c>
      <c r="B212" s="6" t="s">
        <v>48</v>
      </c>
      <c r="C212" s="6" t="str">
        <f t="shared" si="3"/>
        <v>pepsepmaxht</v>
      </c>
      <c r="D212" s="7" t="s">
        <v>3054</v>
      </c>
      <c r="E212" s="6" t="s">
        <v>3055</v>
      </c>
      <c r="F212" s="6" t="s">
        <v>3056</v>
      </c>
      <c r="G212" s="6">
        <v>500</v>
      </c>
    </row>
    <row r="213" spans="1:7" x14ac:dyDescent="0.15">
      <c r="A213" s="6" t="s">
        <v>657</v>
      </c>
      <c r="B213" s="6" t="s">
        <v>57</v>
      </c>
      <c r="C213" s="6" t="str">
        <f t="shared" si="3"/>
        <v>5_fluorouracil</v>
      </c>
      <c r="D213" s="6" t="s">
        <v>658</v>
      </c>
      <c r="E213" s="6" t="s">
        <v>659</v>
      </c>
      <c r="F213" s="6" t="s">
        <v>660</v>
      </c>
      <c r="G213" s="6">
        <v>500</v>
      </c>
    </row>
    <row r="214" spans="1:7" x14ac:dyDescent="0.15">
      <c r="A214" s="6" t="s">
        <v>661</v>
      </c>
      <c r="B214" s="6" t="s">
        <v>57</v>
      </c>
      <c r="C214" s="6" t="str">
        <f t="shared" si="3"/>
        <v>anisomycin</v>
      </c>
      <c r="D214" s="6" t="s">
        <v>661</v>
      </c>
      <c r="E214" s="6" t="s">
        <v>662</v>
      </c>
      <c r="F214" s="6" t="s">
        <v>662</v>
      </c>
      <c r="G214" s="6">
        <v>500</v>
      </c>
    </row>
    <row r="215" spans="1:7" x14ac:dyDescent="0.15">
      <c r="A215" s="6" t="s">
        <v>663</v>
      </c>
      <c r="B215" s="6" t="s">
        <v>57</v>
      </c>
      <c r="C215" s="6" t="str">
        <f t="shared" si="3"/>
        <v>antimycin</v>
      </c>
      <c r="D215" s="6" t="s">
        <v>663</v>
      </c>
      <c r="E215" s="6" t="s">
        <v>664</v>
      </c>
      <c r="F215" s="6" t="s">
        <v>665</v>
      </c>
      <c r="G215" s="6">
        <v>500</v>
      </c>
    </row>
    <row r="216" spans="1:7" x14ac:dyDescent="0.15">
      <c r="A216" s="6" t="s">
        <v>666</v>
      </c>
      <c r="B216" s="6" t="s">
        <v>57</v>
      </c>
      <c r="C216" s="6" t="str">
        <f t="shared" si="3"/>
        <v>atp</v>
      </c>
      <c r="D216" s="6" t="s">
        <v>666</v>
      </c>
      <c r="E216" s="6" t="s">
        <v>667</v>
      </c>
      <c r="F216" s="6" t="s">
        <v>668</v>
      </c>
      <c r="G216" s="6">
        <v>500</v>
      </c>
    </row>
    <row r="217" spans="1:7" x14ac:dyDescent="0.15">
      <c r="A217" s="6" t="s">
        <v>669</v>
      </c>
      <c r="B217" s="6" t="s">
        <v>57</v>
      </c>
      <c r="C217" s="6" t="str">
        <f t="shared" si="3"/>
        <v>berzosertib</v>
      </c>
      <c r="D217" s="6" t="s">
        <v>669</v>
      </c>
      <c r="E217" s="6" t="s">
        <v>669</v>
      </c>
      <c r="F217" s="6" t="s">
        <v>670</v>
      </c>
      <c r="G217" s="6">
        <v>500</v>
      </c>
    </row>
    <row r="218" spans="1:7" x14ac:dyDescent="0.15">
      <c r="A218" s="6" t="s">
        <v>671</v>
      </c>
      <c r="B218" s="6" t="s">
        <v>57</v>
      </c>
      <c r="C218" s="6" t="str">
        <f t="shared" si="3"/>
        <v>bortezomib</v>
      </c>
      <c r="D218" s="6" t="s">
        <v>671</v>
      </c>
      <c r="E218" s="6" t="s">
        <v>671</v>
      </c>
      <c r="F218" s="6" t="s">
        <v>672</v>
      </c>
      <c r="G218" s="6">
        <v>500</v>
      </c>
    </row>
    <row r="219" spans="1:7" x14ac:dyDescent="0.15">
      <c r="A219" s="6" t="s">
        <v>673</v>
      </c>
      <c r="B219" s="6" t="s">
        <v>57</v>
      </c>
      <c r="C219" s="6" t="str">
        <f t="shared" si="3"/>
        <v>cccp</v>
      </c>
      <c r="D219" s="6" t="s">
        <v>673</v>
      </c>
      <c r="E219" s="6" t="s">
        <v>674</v>
      </c>
      <c r="F219" s="6" t="s">
        <v>675</v>
      </c>
      <c r="G219" s="6">
        <v>500</v>
      </c>
    </row>
    <row r="220" spans="1:7" x14ac:dyDescent="0.15">
      <c r="A220" s="6" t="s">
        <v>676</v>
      </c>
      <c r="B220" s="6" t="s">
        <v>57</v>
      </c>
      <c r="C220" s="6" t="str">
        <f t="shared" si="3"/>
        <v>cycloheximide</v>
      </c>
      <c r="D220" s="6" t="s">
        <v>676</v>
      </c>
      <c r="E220" s="6" t="s">
        <v>677</v>
      </c>
      <c r="F220" s="6" t="s">
        <v>677</v>
      </c>
      <c r="G220" s="6">
        <v>500</v>
      </c>
    </row>
    <row r="221" spans="1:7" x14ac:dyDescent="0.15">
      <c r="A221" s="6" t="s">
        <v>678</v>
      </c>
      <c r="B221" s="6" t="s">
        <v>57</v>
      </c>
      <c r="C221" s="6" t="str">
        <f t="shared" si="3"/>
        <v>dmso</v>
      </c>
      <c r="D221" s="6" t="s">
        <v>678</v>
      </c>
      <c r="E221" s="6" t="s">
        <v>679</v>
      </c>
      <c r="F221" s="6" t="s">
        <v>680</v>
      </c>
      <c r="G221" s="6">
        <v>500</v>
      </c>
    </row>
    <row r="222" spans="1:7" x14ac:dyDescent="0.15">
      <c r="A222" s="6" t="s">
        <v>681</v>
      </c>
      <c r="B222" s="6" t="s">
        <v>57</v>
      </c>
      <c r="C222" s="6" t="str">
        <f t="shared" si="3"/>
        <v>doxorubicin</v>
      </c>
      <c r="D222" s="6" t="s">
        <v>681</v>
      </c>
      <c r="E222" s="6" t="s">
        <v>682</v>
      </c>
      <c r="F222" s="6" t="s">
        <v>683</v>
      </c>
      <c r="G222" s="6">
        <v>500</v>
      </c>
    </row>
    <row r="223" spans="1:7" x14ac:dyDescent="0.15">
      <c r="A223" s="6" t="s">
        <v>684</v>
      </c>
      <c r="B223" s="6" t="s">
        <v>57</v>
      </c>
      <c r="C223" s="6" t="str">
        <f t="shared" si="3"/>
        <v>doxycycline</v>
      </c>
      <c r="D223" s="6" t="s">
        <v>684</v>
      </c>
      <c r="E223" s="6" t="s">
        <v>685</v>
      </c>
      <c r="F223" s="6" t="s">
        <v>686</v>
      </c>
      <c r="G223" s="6">
        <v>500</v>
      </c>
    </row>
    <row r="224" spans="1:7" x14ac:dyDescent="0.15">
      <c r="A224" s="6" t="s">
        <v>2786</v>
      </c>
      <c r="B224" s="6" t="s">
        <v>57</v>
      </c>
      <c r="C224" s="6" t="str">
        <f t="shared" si="3"/>
        <v>epoximicin</v>
      </c>
      <c r="D224" s="6" t="s">
        <v>2785</v>
      </c>
      <c r="E224" s="6" t="s">
        <v>2784</v>
      </c>
      <c r="F224" s="6" t="s">
        <v>2787</v>
      </c>
      <c r="G224" s="6">
        <v>500</v>
      </c>
    </row>
    <row r="225" spans="1:7" x14ac:dyDescent="0.15">
      <c r="A225" s="6" t="s">
        <v>687</v>
      </c>
      <c r="B225" s="6" t="s">
        <v>57</v>
      </c>
      <c r="C225" s="6" t="str">
        <f t="shared" si="3"/>
        <v>etoposide</v>
      </c>
      <c r="D225" s="6" t="s">
        <v>687</v>
      </c>
      <c r="E225" s="6" t="s">
        <v>688</v>
      </c>
      <c r="F225" s="6" t="s">
        <v>689</v>
      </c>
      <c r="G225" s="6">
        <v>500</v>
      </c>
    </row>
    <row r="226" spans="1:7" x14ac:dyDescent="0.15">
      <c r="A226" s="6" t="s">
        <v>690</v>
      </c>
      <c r="B226" s="6" t="s">
        <v>57</v>
      </c>
      <c r="C226" s="6" t="str">
        <f t="shared" si="3"/>
        <v>fccp</v>
      </c>
      <c r="D226" s="6" t="s">
        <v>690</v>
      </c>
      <c r="E226" s="6" t="s">
        <v>691</v>
      </c>
      <c r="F226" s="6" t="s">
        <v>692</v>
      </c>
      <c r="G226" s="6">
        <v>500</v>
      </c>
    </row>
    <row r="227" spans="1:7" x14ac:dyDescent="0.15">
      <c r="A227" s="6" t="s">
        <v>693</v>
      </c>
      <c r="B227" s="6" t="s">
        <v>57</v>
      </c>
      <c r="C227" s="6" t="str">
        <f t="shared" si="3"/>
        <v>h2o</v>
      </c>
      <c r="D227" s="6" t="s">
        <v>693</v>
      </c>
      <c r="E227" s="6" t="s">
        <v>694</v>
      </c>
      <c r="F227" s="6" t="s">
        <v>695</v>
      </c>
      <c r="G227" s="6">
        <v>500</v>
      </c>
    </row>
    <row r="228" spans="1:7" x14ac:dyDescent="0.15">
      <c r="A228" s="6" t="s">
        <v>2781</v>
      </c>
      <c r="B228" s="6" t="s">
        <v>57</v>
      </c>
      <c r="C228" s="6" t="str">
        <f t="shared" si="3"/>
        <v>h2o2</v>
      </c>
      <c r="D228" s="6" t="s">
        <v>2781</v>
      </c>
      <c r="E228" s="6" t="s">
        <v>2782</v>
      </c>
      <c r="F228" s="6" t="s">
        <v>2783</v>
      </c>
      <c r="G228" s="6">
        <v>500</v>
      </c>
    </row>
    <row r="229" spans="1:7" x14ac:dyDescent="0.15">
      <c r="A229" s="6" t="s">
        <v>696</v>
      </c>
      <c r="B229" s="6" t="s">
        <v>57</v>
      </c>
      <c r="C229" s="6" t="str">
        <f t="shared" si="3"/>
        <v>hydroxyurea</v>
      </c>
      <c r="D229" s="6" t="s">
        <v>696</v>
      </c>
      <c r="E229" s="6" t="s">
        <v>697</v>
      </c>
      <c r="F229" s="6" t="s">
        <v>698</v>
      </c>
      <c r="G229" s="6">
        <v>500</v>
      </c>
    </row>
    <row r="230" spans="1:7" x14ac:dyDescent="0.15">
      <c r="A230" s="6" t="s">
        <v>699</v>
      </c>
      <c r="B230" s="6" t="s">
        <v>57</v>
      </c>
      <c r="C230" s="6" t="str">
        <f t="shared" si="3"/>
        <v>oligomycin</v>
      </c>
      <c r="D230" s="6" t="s">
        <v>699</v>
      </c>
      <c r="E230" s="6" t="s">
        <v>700</v>
      </c>
      <c r="F230" s="6" t="s">
        <v>701</v>
      </c>
      <c r="G230" s="6">
        <v>500</v>
      </c>
    </row>
    <row r="231" spans="1:7" x14ac:dyDescent="0.15">
      <c r="A231" s="6" t="s">
        <v>702</v>
      </c>
      <c r="B231" s="6" t="s">
        <v>57</v>
      </c>
      <c r="C231" s="6" t="str">
        <f t="shared" si="3"/>
        <v>rapamycin</v>
      </c>
      <c r="D231" s="6" t="s">
        <v>702</v>
      </c>
      <c r="E231" s="6" t="s">
        <v>703</v>
      </c>
      <c r="F231" s="6" t="s">
        <v>704</v>
      </c>
      <c r="G231" s="6">
        <v>500</v>
      </c>
    </row>
    <row r="232" spans="1:7" x14ac:dyDescent="0.15">
      <c r="A232" s="6" t="s">
        <v>705</v>
      </c>
      <c r="B232" s="6" t="s">
        <v>57</v>
      </c>
      <c r="C232" s="6" t="str">
        <f t="shared" si="3"/>
        <v>rotenone</v>
      </c>
      <c r="D232" s="6" t="s">
        <v>705</v>
      </c>
      <c r="E232" s="6" t="s">
        <v>706</v>
      </c>
      <c r="F232" s="6" t="s">
        <v>707</v>
      </c>
      <c r="G232" s="6">
        <v>500</v>
      </c>
    </row>
    <row r="233" spans="1:7" x14ac:dyDescent="0.15">
      <c r="A233" s="6" t="s">
        <v>708</v>
      </c>
      <c r="B233" s="6" t="s">
        <v>57</v>
      </c>
      <c r="C233" s="6" t="str">
        <f t="shared" si="3"/>
        <v>tamoxifen</v>
      </c>
      <c r="D233" s="6" t="s">
        <v>708</v>
      </c>
      <c r="E233" s="6" t="s">
        <v>708</v>
      </c>
      <c r="F233" s="6" t="s">
        <v>709</v>
      </c>
      <c r="G233" s="6">
        <v>500</v>
      </c>
    </row>
    <row r="234" spans="1:7" x14ac:dyDescent="0.15">
      <c r="A234" s="6" t="s">
        <v>710</v>
      </c>
      <c r="B234" s="6" t="s">
        <v>57</v>
      </c>
      <c r="C234" s="6" t="str">
        <f t="shared" si="3"/>
        <v>torin</v>
      </c>
      <c r="D234" s="6" t="s">
        <v>710</v>
      </c>
      <c r="E234" s="6" t="s">
        <v>711</v>
      </c>
      <c r="F234" s="6" t="s">
        <v>712</v>
      </c>
      <c r="G234" s="6">
        <v>500</v>
      </c>
    </row>
    <row r="235" spans="1:7" x14ac:dyDescent="0.15">
      <c r="A235" s="6" t="s">
        <v>713</v>
      </c>
      <c r="B235" s="6" t="s">
        <v>57</v>
      </c>
      <c r="C235" s="6" t="str">
        <f t="shared" si="3"/>
        <v>trametinib</v>
      </c>
      <c r="D235" s="6" t="s">
        <v>713</v>
      </c>
      <c r="E235" s="6" t="s">
        <v>713</v>
      </c>
      <c r="F235" s="6" t="s">
        <v>714</v>
      </c>
      <c r="G235" s="6">
        <v>500</v>
      </c>
    </row>
    <row r="236" spans="1:7" x14ac:dyDescent="0.15">
      <c r="A236" s="6" t="s">
        <v>715</v>
      </c>
      <c r="B236" s="6" t="s">
        <v>57</v>
      </c>
      <c r="C236" s="6" t="str">
        <f t="shared" si="3"/>
        <v>unstimulated</v>
      </c>
      <c r="D236" s="6" t="s">
        <v>715</v>
      </c>
      <c r="E236" s="6" t="s">
        <v>716</v>
      </c>
      <c r="F236" s="6" t="s">
        <v>717</v>
      </c>
      <c r="G236" s="6">
        <v>500</v>
      </c>
    </row>
    <row r="237" spans="1:7" x14ac:dyDescent="0.15">
      <c r="A237" s="6" t="s">
        <v>3188</v>
      </c>
      <c r="B237" s="6" t="s">
        <v>57</v>
      </c>
      <c r="C237" s="6" t="str">
        <f t="shared" si="3"/>
        <v>pbs</v>
      </c>
      <c r="D237" s="6" t="s">
        <v>3188</v>
      </c>
      <c r="E237" s="6" t="s">
        <v>3189</v>
      </c>
      <c r="F237" s="6" t="s">
        <v>3190</v>
      </c>
      <c r="G237" s="6">
        <v>500</v>
      </c>
    </row>
    <row r="238" spans="1:7" x14ac:dyDescent="0.15">
      <c r="A238" s="6" t="s">
        <v>718</v>
      </c>
      <c r="B238" s="6" t="s">
        <v>57</v>
      </c>
      <c r="C238" s="6" t="str">
        <f t="shared" si="3"/>
        <v>microenvironment</v>
      </c>
      <c r="D238" s="7" t="s">
        <v>13</v>
      </c>
      <c r="E238" s="6" t="s">
        <v>718</v>
      </c>
      <c r="F238" s="6" t="s">
        <v>718</v>
      </c>
      <c r="G238" s="6">
        <v>500</v>
      </c>
    </row>
    <row r="239" spans="1:7" x14ac:dyDescent="0.15">
      <c r="A239" s="6" t="s">
        <v>719</v>
      </c>
      <c r="B239" s="6" t="s">
        <v>59</v>
      </c>
      <c r="C239" s="6" t="str">
        <f t="shared" si="3"/>
        <v>egs</v>
      </c>
      <c r="D239" s="7" t="s">
        <v>13</v>
      </c>
      <c r="E239" s="6" t="s">
        <v>720</v>
      </c>
      <c r="F239" s="6" t="s">
        <v>721</v>
      </c>
      <c r="G239" s="6">
        <v>500</v>
      </c>
    </row>
    <row r="240" spans="1:7" x14ac:dyDescent="0.15">
      <c r="A240" s="6" t="s">
        <v>722</v>
      </c>
      <c r="B240" s="6" t="s">
        <v>59</v>
      </c>
      <c r="C240" s="6" t="str">
        <f t="shared" si="3"/>
        <v>suflo_egs</v>
      </c>
      <c r="D240" s="7" t="s">
        <v>13</v>
      </c>
      <c r="E240" s="6" t="s">
        <v>723</v>
      </c>
      <c r="F240" s="6" t="s">
        <v>724</v>
      </c>
      <c r="G240" s="6">
        <v>500</v>
      </c>
    </row>
    <row r="241" spans="1:7" x14ac:dyDescent="0.15">
      <c r="A241" s="6" t="s">
        <v>725</v>
      </c>
      <c r="B241" s="6" t="s">
        <v>62</v>
      </c>
      <c r="C241" s="6" t="str">
        <f t="shared" si="3"/>
        <v>dsbu</v>
      </c>
      <c r="D241" s="7" t="s">
        <v>13</v>
      </c>
      <c r="E241" s="6" t="s">
        <v>726</v>
      </c>
      <c r="F241" s="6" t="s">
        <v>727</v>
      </c>
      <c r="G241" s="6">
        <v>500</v>
      </c>
    </row>
    <row r="242" spans="1:7" x14ac:dyDescent="0.15">
      <c r="A242" s="6" t="s">
        <v>728</v>
      </c>
      <c r="B242" s="6" t="s">
        <v>62</v>
      </c>
      <c r="C242" s="6" t="str">
        <f t="shared" si="3"/>
        <v>dsso</v>
      </c>
      <c r="D242" s="7" t="s">
        <v>13</v>
      </c>
      <c r="E242" s="6" t="s">
        <v>729</v>
      </c>
      <c r="F242" s="6" t="s">
        <v>730</v>
      </c>
      <c r="G242" s="6">
        <v>500</v>
      </c>
    </row>
    <row r="243" spans="1:7" x14ac:dyDescent="0.15">
      <c r="A243" s="6" t="s">
        <v>731</v>
      </c>
      <c r="B243" s="6" t="s">
        <v>64</v>
      </c>
      <c r="C243" s="6" t="str">
        <f t="shared" si="3"/>
        <v>amas</v>
      </c>
      <c r="D243" s="7" t="s">
        <v>13</v>
      </c>
      <c r="E243" s="6" t="s">
        <v>732</v>
      </c>
      <c r="F243" s="6" t="s">
        <v>733</v>
      </c>
      <c r="G243" s="6">
        <v>500</v>
      </c>
    </row>
    <row r="244" spans="1:7" x14ac:dyDescent="0.15">
      <c r="A244" s="6" t="s">
        <v>734</v>
      </c>
      <c r="B244" s="6" t="s">
        <v>64</v>
      </c>
      <c r="C244" s="6" t="str">
        <f t="shared" si="3"/>
        <v>bm_peg_3</v>
      </c>
      <c r="D244" s="7" t="s">
        <v>13</v>
      </c>
      <c r="E244" s="6" t="s">
        <v>735</v>
      </c>
      <c r="F244" s="6" t="s">
        <v>736</v>
      </c>
      <c r="G244" s="6">
        <v>500</v>
      </c>
    </row>
    <row r="245" spans="1:7" x14ac:dyDescent="0.15">
      <c r="A245" s="6" t="s">
        <v>737</v>
      </c>
      <c r="B245" s="6" t="s">
        <v>64</v>
      </c>
      <c r="C245" s="6" t="str">
        <f t="shared" si="3"/>
        <v>bmb</v>
      </c>
      <c r="D245" s="7" t="s">
        <v>13</v>
      </c>
      <c r="E245" s="6" t="s">
        <v>738</v>
      </c>
      <c r="F245" s="6" t="s">
        <v>739</v>
      </c>
      <c r="G245" s="6">
        <v>500</v>
      </c>
    </row>
    <row r="246" spans="1:7" x14ac:dyDescent="0.15">
      <c r="A246" s="6" t="s">
        <v>740</v>
      </c>
      <c r="B246" s="6" t="s">
        <v>64</v>
      </c>
      <c r="C246" s="6" t="str">
        <f t="shared" si="3"/>
        <v>bmh</v>
      </c>
      <c r="D246" s="7" t="s">
        <v>13</v>
      </c>
      <c r="E246" s="6" t="s">
        <v>741</v>
      </c>
      <c r="F246" s="6" t="s">
        <v>742</v>
      </c>
      <c r="G246" s="6">
        <v>500</v>
      </c>
    </row>
    <row r="247" spans="1:7" x14ac:dyDescent="0.15">
      <c r="A247" s="6" t="s">
        <v>743</v>
      </c>
      <c r="B247" s="6" t="s">
        <v>64</v>
      </c>
      <c r="C247" s="6" t="str">
        <f t="shared" si="3"/>
        <v>bmoe</v>
      </c>
      <c r="D247" s="7" t="s">
        <v>13</v>
      </c>
      <c r="E247" s="6" t="s">
        <v>744</v>
      </c>
      <c r="F247" s="6" t="s">
        <v>745</v>
      </c>
      <c r="G247" s="6">
        <v>500</v>
      </c>
    </row>
    <row r="248" spans="1:7" x14ac:dyDescent="0.15">
      <c r="A248" s="6" t="s">
        <v>746</v>
      </c>
      <c r="B248" s="6" t="s">
        <v>64</v>
      </c>
      <c r="C248" s="6" t="str">
        <f t="shared" si="3"/>
        <v>bmph</v>
      </c>
      <c r="D248" s="7" t="s">
        <v>13</v>
      </c>
      <c r="E248" s="6" t="s">
        <v>747</v>
      </c>
      <c r="F248" s="6" t="s">
        <v>748</v>
      </c>
      <c r="G248" s="6">
        <v>500</v>
      </c>
    </row>
    <row r="249" spans="1:7" x14ac:dyDescent="0.15">
      <c r="A249" s="6" t="s">
        <v>749</v>
      </c>
      <c r="B249" s="6" t="s">
        <v>64</v>
      </c>
      <c r="C249" s="6" t="str">
        <f t="shared" si="3"/>
        <v>bmps</v>
      </c>
      <c r="D249" s="7" t="s">
        <v>13</v>
      </c>
      <c r="E249" s="6" t="s">
        <v>750</v>
      </c>
      <c r="F249" s="6" t="s">
        <v>751</v>
      </c>
      <c r="G249" s="6">
        <v>500</v>
      </c>
    </row>
    <row r="250" spans="1:7" x14ac:dyDescent="0.15">
      <c r="A250" s="6" t="s">
        <v>752</v>
      </c>
      <c r="B250" s="6" t="s">
        <v>64</v>
      </c>
      <c r="C250" s="6" t="str">
        <f t="shared" si="3"/>
        <v>bs_peg_5</v>
      </c>
      <c r="D250" s="7" t="s">
        <v>13</v>
      </c>
      <c r="E250" s="6" t="s">
        <v>753</v>
      </c>
      <c r="F250" s="6" t="s">
        <v>754</v>
      </c>
      <c r="G250" s="6">
        <v>500</v>
      </c>
    </row>
    <row r="251" spans="1:7" x14ac:dyDescent="0.15">
      <c r="A251" s="6" t="s">
        <v>755</v>
      </c>
      <c r="B251" s="6" t="s">
        <v>64</v>
      </c>
      <c r="C251" s="6" t="str">
        <f t="shared" si="3"/>
        <v>bs_peg_9</v>
      </c>
      <c r="D251" s="7" t="s">
        <v>13</v>
      </c>
      <c r="E251" s="6" t="s">
        <v>756</v>
      </c>
      <c r="F251" s="6" t="s">
        <v>757</v>
      </c>
      <c r="G251" s="6">
        <v>500</v>
      </c>
    </row>
    <row r="252" spans="1:7" x14ac:dyDescent="0.15">
      <c r="A252" s="6" t="s">
        <v>758</v>
      </c>
      <c r="B252" s="6" t="s">
        <v>64</v>
      </c>
      <c r="C252" s="6" t="str">
        <f t="shared" si="3"/>
        <v>bs2g_d0</v>
      </c>
      <c r="D252" s="7" t="s">
        <v>13</v>
      </c>
      <c r="E252" s="6" t="s">
        <v>759</v>
      </c>
      <c r="F252" s="6" t="s">
        <v>760</v>
      </c>
      <c r="G252" s="6">
        <v>500</v>
      </c>
    </row>
    <row r="253" spans="1:7" x14ac:dyDescent="0.15">
      <c r="A253" s="6" t="s">
        <v>761</v>
      </c>
      <c r="B253" s="6" t="s">
        <v>64</v>
      </c>
      <c r="C253" s="6" t="str">
        <f t="shared" si="3"/>
        <v>bs3</v>
      </c>
      <c r="D253" s="7" t="s">
        <v>13</v>
      </c>
      <c r="E253" s="6" t="s">
        <v>762</v>
      </c>
      <c r="F253" s="6" t="s">
        <v>763</v>
      </c>
      <c r="G253" s="6">
        <v>500</v>
      </c>
    </row>
    <row r="254" spans="1:7" ht="10.5" customHeight="1" x14ac:dyDescent="0.15">
      <c r="A254" s="6" t="s">
        <v>764</v>
      </c>
      <c r="B254" s="6" t="s">
        <v>64</v>
      </c>
      <c r="C254" s="6" t="str">
        <f t="shared" si="3"/>
        <v>bs3_d0</v>
      </c>
      <c r="D254" s="7" t="s">
        <v>13</v>
      </c>
      <c r="E254" s="6" t="s">
        <v>765</v>
      </c>
      <c r="F254" s="6" t="s">
        <v>766</v>
      </c>
      <c r="G254" s="6">
        <v>500</v>
      </c>
    </row>
    <row r="255" spans="1:7" x14ac:dyDescent="0.15">
      <c r="A255" s="6" t="s">
        <v>767</v>
      </c>
      <c r="B255" s="6" t="s">
        <v>64</v>
      </c>
      <c r="C255" s="6" t="str">
        <f t="shared" si="3"/>
        <v>bs3_d4</v>
      </c>
      <c r="D255" s="7" t="s">
        <v>13</v>
      </c>
      <c r="E255" s="6" t="s">
        <v>768</v>
      </c>
      <c r="F255" s="6" t="s">
        <v>766</v>
      </c>
      <c r="G255" s="6">
        <v>500</v>
      </c>
    </row>
    <row r="256" spans="1:7" x14ac:dyDescent="0.15">
      <c r="A256" s="6" t="s">
        <v>769</v>
      </c>
      <c r="B256" s="6" t="s">
        <v>64</v>
      </c>
      <c r="C256" s="6" t="str">
        <f t="shared" si="3"/>
        <v>dmp</v>
      </c>
      <c r="D256" s="7" t="s">
        <v>13</v>
      </c>
      <c r="E256" s="6" t="s">
        <v>770</v>
      </c>
      <c r="F256" s="6" t="s">
        <v>771</v>
      </c>
      <c r="G256" s="6">
        <v>500</v>
      </c>
    </row>
    <row r="257" spans="1:7" x14ac:dyDescent="0.15">
      <c r="A257" s="6" t="s">
        <v>772</v>
      </c>
      <c r="B257" s="6" t="s">
        <v>64</v>
      </c>
      <c r="C257" s="6" t="str">
        <f t="shared" si="3"/>
        <v>dms</v>
      </c>
      <c r="D257" s="7" t="s">
        <v>13</v>
      </c>
      <c r="E257" s="6" t="s">
        <v>773</v>
      </c>
      <c r="F257" s="6" t="s">
        <v>774</v>
      </c>
      <c r="G257" s="6">
        <v>500</v>
      </c>
    </row>
    <row r="258" spans="1:7" x14ac:dyDescent="0.15">
      <c r="A258" s="6" t="s">
        <v>775</v>
      </c>
      <c r="B258" s="6" t="s">
        <v>64</v>
      </c>
      <c r="C258" s="6" t="str">
        <f t="shared" si="3"/>
        <v>dss</v>
      </c>
      <c r="D258" s="7" t="s">
        <v>13</v>
      </c>
      <c r="E258" s="6" t="s">
        <v>776</v>
      </c>
      <c r="F258" s="6" t="s">
        <v>777</v>
      </c>
      <c r="G258" s="6">
        <v>500</v>
      </c>
    </row>
    <row r="259" spans="1:7" x14ac:dyDescent="0.15">
      <c r="A259" s="6" t="s">
        <v>778</v>
      </c>
      <c r="B259" s="6" t="s">
        <v>64</v>
      </c>
      <c r="C259" s="6" t="str">
        <f t="shared" si="3"/>
        <v>edc</v>
      </c>
      <c r="D259" s="7" t="s">
        <v>13</v>
      </c>
      <c r="E259" s="6" t="s">
        <v>779</v>
      </c>
      <c r="F259" s="6" t="s">
        <v>780</v>
      </c>
      <c r="G259" s="6">
        <v>500</v>
      </c>
    </row>
    <row r="260" spans="1:7" x14ac:dyDescent="0.15">
      <c r="A260" s="6" t="s">
        <v>781</v>
      </c>
      <c r="B260" s="6" t="s">
        <v>64</v>
      </c>
      <c r="C260" s="6" t="str">
        <f t="shared" si="3"/>
        <v>emch</v>
      </c>
      <c r="D260" s="7" t="s">
        <v>13</v>
      </c>
      <c r="E260" s="6" t="s">
        <v>782</v>
      </c>
      <c r="F260" s="6" t="s">
        <v>783</v>
      </c>
      <c r="G260" s="6">
        <v>500</v>
      </c>
    </row>
    <row r="261" spans="1:7" x14ac:dyDescent="0.15">
      <c r="A261" s="6" t="s">
        <v>784</v>
      </c>
      <c r="B261" s="6" t="s">
        <v>64</v>
      </c>
      <c r="C261" s="6" t="str">
        <f t="shared" si="3"/>
        <v>emcs</v>
      </c>
      <c r="D261" s="7" t="s">
        <v>13</v>
      </c>
      <c r="E261" s="6" t="s">
        <v>785</v>
      </c>
      <c r="F261" s="6" t="s">
        <v>786</v>
      </c>
      <c r="G261" s="6">
        <v>500</v>
      </c>
    </row>
    <row r="262" spans="1:7" x14ac:dyDescent="0.15">
      <c r="A262" s="6" t="s">
        <v>787</v>
      </c>
      <c r="B262" s="6" t="s">
        <v>64</v>
      </c>
      <c r="C262" s="6" t="str">
        <f t="shared" ref="C262:C325" si="4">A262</f>
        <v>gmbs</v>
      </c>
      <c r="D262" s="7" t="s">
        <v>13</v>
      </c>
      <c r="E262" s="6" t="s">
        <v>788</v>
      </c>
      <c r="F262" s="6" t="s">
        <v>789</v>
      </c>
      <c r="G262" s="6">
        <v>500</v>
      </c>
    </row>
    <row r="263" spans="1:7" x14ac:dyDescent="0.15">
      <c r="A263" s="6" t="s">
        <v>790</v>
      </c>
      <c r="B263" s="6" t="s">
        <v>64</v>
      </c>
      <c r="C263" s="6" t="str">
        <f t="shared" si="4"/>
        <v>kmuh</v>
      </c>
      <c r="D263" s="7" t="s">
        <v>13</v>
      </c>
      <c r="E263" s="6" t="s">
        <v>791</v>
      </c>
      <c r="F263" s="6" t="s">
        <v>792</v>
      </c>
      <c r="G263" s="6">
        <v>500</v>
      </c>
    </row>
    <row r="264" spans="1:7" x14ac:dyDescent="0.15">
      <c r="A264" s="6" t="s">
        <v>793</v>
      </c>
      <c r="B264" s="6" t="s">
        <v>64</v>
      </c>
      <c r="C264" s="6" t="str">
        <f t="shared" si="4"/>
        <v>l_photo_methionine</v>
      </c>
      <c r="D264" s="7" t="s">
        <v>13</v>
      </c>
      <c r="E264" s="6" t="s">
        <v>794</v>
      </c>
      <c r="F264" s="6" t="s">
        <v>795</v>
      </c>
      <c r="G264" s="6">
        <v>500</v>
      </c>
    </row>
    <row r="265" spans="1:7" x14ac:dyDescent="0.15">
      <c r="A265" s="6" t="s">
        <v>796</v>
      </c>
      <c r="B265" s="6" t="s">
        <v>64</v>
      </c>
      <c r="C265" s="6" t="str">
        <f t="shared" si="4"/>
        <v>lc_smcc</v>
      </c>
      <c r="D265" s="7" t="s">
        <v>13</v>
      </c>
      <c r="E265" s="6" t="s">
        <v>797</v>
      </c>
      <c r="F265" s="6" t="s">
        <v>798</v>
      </c>
      <c r="G265" s="6">
        <v>500</v>
      </c>
    </row>
    <row r="266" spans="1:7" x14ac:dyDescent="0.15">
      <c r="A266" s="6" t="s">
        <v>799</v>
      </c>
      <c r="B266" s="6" t="s">
        <v>64</v>
      </c>
      <c r="C266" s="6" t="str">
        <f t="shared" si="4"/>
        <v>maleimide_peg4_dbco</v>
      </c>
      <c r="D266" s="7" t="s">
        <v>13</v>
      </c>
      <c r="E266" s="6" t="s">
        <v>800</v>
      </c>
      <c r="F266" s="6" t="s">
        <v>801</v>
      </c>
      <c r="G266" s="6">
        <v>500</v>
      </c>
    </row>
    <row r="267" spans="1:7" x14ac:dyDescent="0.15">
      <c r="A267" s="6" t="s">
        <v>802</v>
      </c>
      <c r="B267" s="6" t="s">
        <v>64</v>
      </c>
      <c r="C267" s="6" t="str">
        <f t="shared" si="4"/>
        <v>mpbh</v>
      </c>
      <c r="D267" s="7" t="s">
        <v>13</v>
      </c>
      <c r="E267" s="6" t="s">
        <v>803</v>
      </c>
      <c r="F267" s="6" t="s">
        <v>804</v>
      </c>
      <c r="G267" s="6">
        <v>500</v>
      </c>
    </row>
    <row r="268" spans="1:7" x14ac:dyDescent="0.15">
      <c r="A268" s="6" t="s">
        <v>805</v>
      </c>
      <c r="B268" s="6" t="s">
        <v>64</v>
      </c>
      <c r="C268" s="6" t="str">
        <f t="shared" si="4"/>
        <v>nhs</v>
      </c>
      <c r="D268" s="7" t="s">
        <v>13</v>
      </c>
      <c r="E268" s="6" t="s">
        <v>806</v>
      </c>
      <c r="F268" s="6" t="s">
        <v>807</v>
      </c>
      <c r="G268" s="6">
        <v>500</v>
      </c>
    </row>
    <row r="269" spans="1:7" x14ac:dyDescent="0.15">
      <c r="A269" s="6" t="s">
        <v>808</v>
      </c>
      <c r="B269" s="6" t="s">
        <v>64</v>
      </c>
      <c r="C269" s="6" t="str">
        <f t="shared" si="4"/>
        <v>nhs_azide</v>
      </c>
      <c r="D269" s="7" t="s">
        <v>13</v>
      </c>
      <c r="E269" s="6" t="s">
        <v>809</v>
      </c>
      <c r="F269" s="6" t="s">
        <v>810</v>
      </c>
      <c r="G269" s="6">
        <v>500</v>
      </c>
    </row>
    <row r="270" spans="1:7" x14ac:dyDescent="0.15">
      <c r="A270" s="6" t="s">
        <v>811</v>
      </c>
      <c r="B270" s="6" t="s">
        <v>64</v>
      </c>
      <c r="C270" s="6" t="str">
        <f t="shared" si="4"/>
        <v>nhs_peg4_azide</v>
      </c>
      <c r="D270" s="7" t="s">
        <v>13</v>
      </c>
      <c r="E270" s="6" t="s">
        <v>812</v>
      </c>
      <c r="F270" s="6" t="s">
        <v>813</v>
      </c>
      <c r="G270" s="6">
        <v>500</v>
      </c>
    </row>
    <row r="271" spans="1:7" x14ac:dyDescent="0.15">
      <c r="A271" s="6" t="s">
        <v>814</v>
      </c>
      <c r="B271" s="6" t="s">
        <v>64</v>
      </c>
      <c r="C271" s="6" t="str">
        <f t="shared" si="4"/>
        <v>nhs_phosphine</v>
      </c>
      <c r="D271" s="7" t="s">
        <v>13</v>
      </c>
      <c r="E271" s="6" t="s">
        <v>815</v>
      </c>
      <c r="F271" s="6" t="s">
        <v>816</v>
      </c>
      <c r="G271" s="6">
        <v>500</v>
      </c>
    </row>
    <row r="272" spans="1:7" x14ac:dyDescent="0.15">
      <c r="A272" s="6" t="s">
        <v>817</v>
      </c>
      <c r="B272" s="6" t="s">
        <v>64</v>
      </c>
      <c r="C272" s="6" t="str">
        <f t="shared" si="4"/>
        <v>pmpi</v>
      </c>
      <c r="D272" s="7" t="s">
        <v>13</v>
      </c>
      <c r="E272" s="6" t="s">
        <v>818</v>
      </c>
      <c r="F272" s="6" t="s">
        <v>819</v>
      </c>
      <c r="G272" s="6">
        <v>500</v>
      </c>
    </row>
    <row r="273" spans="1:7" x14ac:dyDescent="0.15">
      <c r="A273" s="6" t="s">
        <v>820</v>
      </c>
      <c r="B273" s="6" t="s">
        <v>64</v>
      </c>
      <c r="C273" s="6" t="str">
        <f t="shared" si="4"/>
        <v>sbap</v>
      </c>
      <c r="D273" s="7" t="s">
        <v>13</v>
      </c>
      <c r="E273" s="6" t="s">
        <v>821</v>
      </c>
      <c r="F273" s="6" t="s">
        <v>822</v>
      </c>
      <c r="G273" s="6">
        <v>500</v>
      </c>
    </row>
    <row r="274" spans="1:7" x14ac:dyDescent="0.15">
      <c r="A274" s="6" t="s">
        <v>823</v>
      </c>
      <c r="B274" s="6" t="s">
        <v>64</v>
      </c>
      <c r="C274" s="6" t="str">
        <f t="shared" si="4"/>
        <v>sda</v>
      </c>
      <c r="D274" s="7" t="s">
        <v>13</v>
      </c>
      <c r="E274" s="6" t="s">
        <v>824</v>
      </c>
      <c r="F274" s="6" t="s">
        <v>825</v>
      </c>
      <c r="G274" s="6">
        <v>500</v>
      </c>
    </row>
    <row r="275" spans="1:7" x14ac:dyDescent="0.15">
      <c r="A275" s="6" t="s">
        <v>826</v>
      </c>
      <c r="B275" s="6" t="s">
        <v>64</v>
      </c>
      <c r="C275" s="6" t="str">
        <f t="shared" si="4"/>
        <v>sia</v>
      </c>
      <c r="D275" s="7" t="s">
        <v>13</v>
      </c>
      <c r="E275" s="6" t="s">
        <v>827</v>
      </c>
      <c r="F275" s="6" t="s">
        <v>828</v>
      </c>
      <c r="G275" s="6">
        <v>500</v>
      </c>
    </row>
    <row r="276" spans="1:7" x14ac:dyDescent="0.15">
      <c r="A276" s="6" t="s">
        <v>829</v>
      </c>
      <c r="B276" s="6" t="s">
        <v>64</v>
      </c>
      <c r="C276" s="6" t="str">
        <f t="shared" si="4"/>
        <v>smpb</v>
      </c>
      <c r="D276" s="7" t="s">
        <v>13</v>
      </c>
      <c r="E276" s="6" t="s">
        <v>830</v>
      </c>
      <c r="F276" s="6" t="s">
        <v>831</v>
      </c>
      <c r="G276" s="6">
        <v>500</v>
      </c>
    </row>
    <row r="277" spans="1:7" x14ac:dyDescent="0.15">
      <c r="A277" s="6" t="s">
        <v>832</v>
      </c>
      <c r="B277" s="6" t="s">
        <v>64</v>
      </c>
      <c r="C277" s="6" t="str">
        <f t="shared" si="4"/>
        <v>smph</v>
      </c>
      <c r="D277" s="7" t="s">
        <v>13</v>
      </c>
      <c r="E277" s="6" t="s">
        <v>833</v>
      </c>
      <c r="F277" s="6" t="s">
        <v>834</v>
      </c>
      <c r="G277" s="6">
        <v>500</v>
      </c>
    </row>
    <row r="278" spans="1:7" x14ac:dyDescent="0.15">
      <c r="A278" s="6" t="s">
        <v>835</v>
      </c>
      <c r="B278" s="6" t="s">
        <v>64</v>
      </c>
      <c r="C278" s="6" t="str">
        <f t="shared" si="4"/>
        <v>spb</v>
      </c>
      <c r="D278" s="7" t="s">
        <v>13</v>
      </c>
      <c r="E278" s="6" t="s">
        <v>836</v>
      </c>
      <c r="F278" s="6" t="s">
        <v>837</v>
      </c>
      <c r="G278" s="6">
        <v>500</v>
      </c>
    </row>
    <row r="279" spans="1:7" x14ac:dyDescent="0.15">
      <c r="A279" s="6" t="s">
        <v>838</v>
      </c>
      <c r="B279" s="6" t="s">
        <v>64</v>
      </c>
      <c r="C279" s="6" t="str">
        <f t="shared" si="4"/>
        <v>sulfo_emcs</v>
      </c>
      <c r="D279" s="7" t="s">
        <v>13</v>
      </c>
      <c r="E279" s="6" t="s">
        <v>839</v>
      </c>
      <c r="F279" s="6" t="s">
        <v>840</v>
      </c>
      <c r="G279" s="6">
        <v>500</v>
      </c>
    </row>
    <row r="280" spans="1:7" x14ac:dyDescent="0.15">
      <c r="A280" s="6" t="s">
        <v>841</v>
      </c>
      <c r="B280" s="6" t="s">
        <v>64</v>
      </c>
      <c r="C280" s="6" t="str">
        <f t="shared" si="4"/>
        <v>sulfo_kmus</v>
      </c>
      <c r="D280" s="7" t="s">
        <v>13</v>
      </c>
      <c r="E280" s="6" t="s">
        <v>842</v>
      </c>
      <c r="F280" s="6" t="s">
        <v>843</v>
      </c>
      <c r="G280" s="6">
        <v>500</v>
      </c>
    </row>
    <row r="281" spans="1:7" x14ac:dyDescent="0.15">
      <c r="A281" s="6" t="s">
        <v>844</v>
      </c>
      <c r="B281" s="6" t="s">
        <v>64</v>
      </c>
      <c r="C281" s="6" t="str">
        <f t="shared" si="4"/>
        <v>sulfo_lc_sda</v>
      </c>
      <c r="D281" s="7" t="s">
        <v>13</v>
      </c>
      <c r="E281" s="6" t="s">
        <v>845</v>
      </c>
      <c r="F281" s="6" t="s">
        <v>846</v>
      </c>
      <c r="G281" s="6">
        <v>500</v>
      </c>
    </row>
    <row r="282" spans="1:7" x14ac:dyDescent="0.15">
      <c r="A282" s="6" t="s">
        <v>847</v>
      </c>
      <c r="B282" s="6" t="s">
        <v>64</v>
      </c>
      <c r="C282" s="6" t="str">
        <f t="shared" si="4"/>
        <v>sulfo_mbs</v>
      </c>
      <c r="D282" s="7" t="s">
        <v>13</v>
      </c>
      <c r="E282" s="6" t="s">
        <v>848</v>
      </c>
      <c r="F282" s="6" t="s">
        <v>849</v>
      </c>
      <c r="G282" s="6">
        <v>500</v>
      </c>
    </row>
    <row r="283" spans="1:7" x14ac:dyDescent="0.15">
      <c r="A283" s="6" t="s">
        <v>850</v>
      </c>
      <c r="B283" s="6" t="s">
        <v>64</v>
      </c>
      <c r="C283" s="6" t="str">
        <f t="shared" si="4"/>
        <v>sulfo_sda</v>
      </c>
      <c r="D283" s="7" t="s">
        <v>13</v>
      </c>
      <c r="E283" s="6" t="s">
        <v>851</v>
      </c>
      <c r="F283" s="6" t="s">
        <v>852</v>
      </c>
      <c r="G283" s="6">
        <v>500</v>
      </c>
    </row>
    <row r="284" spans="1:7" x14ac:dyDescent="0.15">
      <c r="A284" s="6" t="s">
        <v>853</v>
      </c>
      <c r="B284" s="6" t="s">
        <v>64</v>
      </c>
      <c r="C284" s="6" t="str">
        <f t="shared" si="4"/>
        <v>sulfo_siab</v>
      </c>
      <c r="D284" s="7" t="s">
        <v>13</v>
      </c>
      <c r="E284" s="6" t="s">
        <v>854</v>
      </c>
      <c r="F284" s="6" t="s">
        <v>855</v>
      </c>
      <c r="G284" s="6">
        <v>500</v>
      </c>
    </row>
    <row r="285" spans="1:7" x14ac:dyDescent="0.15">
      <c r="A285" s="6" t="s">
        <v>856</v>
      </c>
      <c r="B285" s="6" t="s">
        <v>64</v>
      </c>
      <c r="C285" s="6" t="str">
        <f t="shared" si="4"/>
        <v>sulfo_smcc</v>
      </c>
      <c r="D285" s="7" t="s">
        <v>13</v>
      </c>
      <c r="E285" s="6" t="s">
        <v>857</v>
      </c>
      <c r="F285" s="6" t="s">
        <v>858</v>
      </c>
      <c r="G285" s="6">
        <v>500</v>
      </c>
    </row>
    <row r="286" spans="1:7" x14ac:dyDescent="0.15">
      <c r="A286" s="6" t="s">
        <v>859</v>
      </c>
      <c r="B286" s="6" t="s">
        <v>64</v>
      </c>
      <c r="C286" s="6" t="str">
        <f t="shared" si="4"/>
        <v>sulfo_smpb</v>
      </c>
      <c r="D286" s="7" t="s">
        <v>13</v>
      </c>
      <c r="E286" s="6" t="s">
        <v>860</v>
      </c>
      <c r="F286" s="6" t="s">
        <v>861</v>
      </c>
      <c r="G286" s="6">
        <v>500</v>
      </c>
    </row>
    <row r="287" spans="1:7" x14ac:dyDescent="0.15">
      <c r="A287" s="6" t="s">
        <v>862</v>
      </c>
      <c r="B287" s="6" t="s">
        <v>64</v>
      </c>
      <c r="C287" s="6" t="str">
        <f t="shared" si="4"/>
        <v>tbdspp</v>
      </c>
      <c r="D287" s="7" t="s">
        <v>13</v>
      </c>
      <c r="E287" s="6" t="s">
        <v>863</v>
      </c>
      <c r="F287" s="6" t="s">
        <v>864</v>
      </c>
      <c r="G287" s="6">
        <v>500</v>
      </c>
    </row>
    <row r="288" spans="1:7" x14ac:dyDescent="0.15">
      <c r="A288" s="6" t="s">
        <v>865</v>
      </c>
      <c r="B288" s="6" t="s">
        <v>64</v>
      </c>
      <c r="C288" s="6" t="str">
        <f t="shared" si="4"/>
        <v>tfpester_peg12_dbco</v>
      </c>
      <c r="D288" s="7" t="s">
        <v>13</v>
      </c>
      <c r="E288" s="6" t="s">
        <v>866</v>
      </c>
      <c r="F288" s="6" t="s">
        <v>867</v>
      </c>
      <c r="G288" s="6">
        <v>500</v>
      </c>
    </row>
    <row r="289" spans="1:7" x14ac:dyDescent="0.15">
      <c r="A289" s="6" t="s">
        <v>868</v>
      </c>
      <c r="B289" s="6" t="s">
        <v>64</v>
      </c>
      <c r="C289" s="6" t="str">
        <f t="shared" si="4"/>
        <v>tfpester_peg4_dbco</v>
      </c>
      <c r="D289" s="7" t="s">
        <v>13</v>
      </c>
      <c r="E289" s="6" t="s">
        <v>869</v>
      </c>
      <c r="F289" s="6" t="s">
        <v>870</v>
      </c>
      <c r="G289" s="6">
        <v>500</v>
      </c>
    </row>
    <row r="290" spans="1:7" x14ac:dyDescent="0.15">
      <c r="A290" s="6" t="s">
        <v>871</v>
      </c>
      <c r="B290" s="6" t="s">
        <v>64</v>
      </c>
      <c r="C290" s="6" t="str">
        <f t="shared" si="4"/>
        <v>tmea</v>
      </c>
      <c r="D290" s="7" t="s">
        <v>13</v>
      </c>
      <c r="E290" s="6" t="s">
        <v>872</v>
      </c>
      <c r="F290" s="6" t="s">
        <v>873</v>
      </c>
      <c r="G290" s="6">
        <v>500</v>
      </c>
    </row>
    <row r="291" spans="1:7" x14ac:dyDescent="0.15">
      <c r="A291" s="6" t="s">
        <v>874</v>
      </c>
      <c r="B291" s="6" t="s">
        <v>64</v>
      </c>
      <c r="C291" s="6" t="str">
        <f t="shared" si="4"/>
        <v>tsat</v>
      </c>
      <c r="D291" s="7" t="s">
        <v>13</v>
      </c>
      <c r="E291" s="6" t="s">
        <v>875</v>
      </c>
      <c r="F291" s="6" t="s">
        <v>876</v>
      </c>
      <c r="G291" s="6">
        <v>500</v>
      </c>
    </row>
    <row r="292" spans="1:7" x14ac:dyDescent="0.15">
      <c r="A292" s="6" t="s">
        <v>877</v>
      </c>
      <c r="B292" s="6" t="s">
        <v>66</v>
      </c>
      <c r="C292" s="6" t="str">
        <f t="shared" si="4"/>
        <v>dsp</v>
      </c>
      <c r="D292" s="7" t="s">
        <v>13</v>
      </c>
      <c r="E292" s="6" t="s">
        <v>878</v>
      </c>
      <c r="F292" s="6" t="s">
        <v>879</v>
      </c>
      <c r="G292" s="6">
        <v>500</v>
      </c>
    </row>
    <row r="293" spans="1:7" x14ac:dyDescent="0.15">
      <c r="A293" s="6" t="s">
        <v>880</v>
      </c>
      <c r="B293" s="6" t="s">
        <v>66</v>
      </c>
      <c r="C293" s="6" t="str">
        <f t="shared" si="4"/>
        <v>dtbp</v>
      </c>
      <c r="D293" s="7" t="s">
        <v>13</v>
      </c>
      <c r="E293" s="6" t="s">
        <v>881</v>
      </c>
      <c r="F293" s="6" t="s">
        <v>882</v>
      </c>
      <c r="G293" s="6">
        <v>500</v>
      </c>
    </row>
    <row r="294" spans="1:7" x14ac:dyDescent="0.15">
      <c r="A294" s="6" t="s">
        <v>883</v>
      </c>
      <c r="B294" s="6" t="s">
        <v>66</v>
      </c>
      <c r="C294" s="6" t="str">
        <f t="shared" si="4"/>
        <v>dtme</v>
      </c>
      <c r="D294" s="7" t="s">
        <v>13</v>
      </c>
      <c r="E294" s="6" t="s">
        <v>884</v>
      </c>
      <c r="F294" s="6" t="s">
        <v>885</v>
      </c>
      <c r="G294" s="6">
        <v>500</v>
      </c>
    </row>
    <row r="295" spans="1:7" x14ac:dyDescent="0.15">
      <c r="A295" s="6" t="s">
        <v>886</v>
      </c>
      <c r="B295" s="6" t="s">
        <v>66</v>
      </c>
      <c r="C295" s="6" t="str">
        <f t="shared" si="4"/>
        <v>dtssp</v>
      </c>
      <c r="D295" s="7" t="s">
        <v>13</v>
      </c>
      <c r="E295" s="6" t="s">
        <v>887</v>
      </c>
      <c r="F295" s="6" t="s">
        <v>888</v>
      </c>
      <c r="G295" s="6">
        <v>500</v>
      </c>
    </row>
    <row r="296" spans="1:7" x14ac:dyDescent="0.15">
      <c r="A296" s="6" t="s">
        <v>889</v>
      </c>
      <c r="B296" s="6" t="s">
        <v>66</v>
      </c>
      <c r="C296" s="6" t="str">
        <f t="shared" si="4"/>
        <v>lc_spdp</v>
      </c>
      <c r="D296" s="7" t="s">
        <v>13</v>
      </c>
      <c r="E296" s="6" t="s">
        <v>890</v>
      </c>
      <c r="F296" s="6" t="s">
        <v>891</v>
      </c>
      <c r="G296" s="6">
        <v>500</v>
      </c>
    </row>
    <row r="297" spans="1:7" x14ac:dyDescent="0.15">
      <c r="A297" s="6" t="s">
        <v>892</v>
      </c>
      <c r="B297" s="6" t="s">
        <v>66</v>
      </c>
      <c r="C297" s="6" t="str">
        <f t="shared" si="4"/>
        <v>pdph</v>
      </c>
      <c r="D297" s="7" t="s">
        <v>13</v>
      </c>
      <c r="E297" s="6" t="s">
        <v>893</v>
      </c>
      <c r="F297" s="6" t="s">
        <v>894</v>
      </c>
      <c r="G297" s="6">
        <v>500</v>
      </c>
    </row>
    <row r="298" spans="1:7" x14ac:dyDescent="0.15">
      <c r="A298" s="6" t="s">
        <v>895</v>
      </c>
      <c r="B298" s="6" t="s">
        <v>66</v>
      </c>
      <c r="C298" s="6" t="str">
        <f t="shared" si="4"/>
        <v>peg12_spdp</v>
      </c>
      <c r="D298" s="7" t="s">
        <v>13</v>
      </c>
      <c r="E298" s="6" t="s">
        <v>896</v>
      </c>
      <c r="F298" s="6" t="s">
        <v>897</v>
      </c>
      <c r="G298" s="6">
        <v>500</v>
      </c>
    </row>
    <row r="299" spans="1:7" x14ac:dyDescent="0.15">
      <c r="A299" s="6" t="s">
        <v>898</v>
      </c>
      <c r="B299" s="6" t="s">
        <v>66</v>
      </c>
      <c r="C299" s="6" t="str">
        <f t="shared" si="4"/>
        <v>peg4_spdp</v>
      </c>
      <c r="D299" s="7" t="s">
        <v>13</v>
      </c>
      <c r="E299" s="6" t="s">
        <v>899</v>
      </c>
      <c r="F299" s="6" t="s">
        <v>900</v>
      </c>
      <c r="G299" s="6">
        <v>500</v>
      </c>
    </row>
    <row r="300" spans="1:7" x14ac:dyDescent="0.15">
      <c r="A300" s="6" t="s">
        <v>901</v>
      </c>
      <c r="B300" s="6" t="s">
        <v>66</v>
      </c>
      <c r="C300" s="6" t="str">
        <f t="shared" si="4"/>
        <v>sdad</v>
      </c>
      <c r="D300" s="7" t="s">
        <v>13</v>
      </c>
      <c r="E300" s="6" t="s">
        <v>902</v>
      </c>
      <c r="F300" s="6" t="s">
        <v>903</v>
      </c>
      <c r="G300" s="6">
        <v>500</v>
      </c>
    </row>
    <row r="301" spans="1:7" x14ac:dyDescent="0.15">
      <c r="A301" s="6" t="s">
        <v>904</v>
      </c>
      <c r="B301" s="6" t="s">
        <v>66</v>
      </c>
      <c r="C301" s="6" t="str">
        <f t="shared" si="4"/>
        <v>smcc</v>
      </c>
      <c r="D301" s="7" t="s">
        <v>13</v>
      </c>
      <c r="E301" s="6" t="s">
        <v>905</v>
      </c>
      <c r="F301" s="6" t="s">
        <v>906</v>
      </c>
      <c r="G301" s="6">
        <v>500</v>
      </c>
    </row>
    <row r="302" spans="1:7" x14ac:dyDescent="0.15">
      <c r="A302" s="6" t="s">
        <v>907</v>
      </c>
      <c r="B302" s="6" t="s">
        <v>66</v>
      </c>
      <c r="C302" s="6" t="str">
        <f t="shared" si="4"/>
        <v>smpt</v>
      </c>
      <c r="D302" s="7" t="s">
        <v>13</v>
      </c>
      <c r="E302" s="6" t="s">
        <v>908</v>
      </c>
      <c r="F302" s="6" t="s">
        <v>909</v>
      </c>
      <c r="G302" s="6">
        <v>500</v>
      </c>
    </row>
    <row r="303" spans="1:7" x14ac:dyDescent="0.15">
      <c r="A303" s="6" t="s">
        <v>910</v>
      </c>
      <c r="B303" s="6" t="s">
        <v>66</v>
      </c>
      <c r="C303" s="6" t="str">
        <f t="shared" si="4"/>
        <v>spdp</v>
      </c>
      <c r="D303" s="7" t="s">
        <v>13</v>
      </c>
      <c r="E303" s="6" t="s">
        <v>911</v>
      </c>
      <c r="F303" s="6" t="s">
        <v>912</v>
      </c>
      <c r="G303" s="6">
        <v>500</v>
      </c>
    </row>
    <row r="304" spans="1:7" x14ac:dyDescent="0.15">
      <c r="A304" s="6" t="s">
        <v>913</v>
      </c>
      <c r="B304" s="6" t="s">
        <v>66</v>
      </c>
      <c r="C304" s="6" t="str">
        <f t="shared" si="4"/>
        <v>sulfo_lc_spdp</v>
      </c>
      <c r="D304" s="7" t="s">
        <v>13</v>
      </c>
      <c r="E304" s="6" t="s">
        <v>914</v>
      </c>
      <c r="F304" s="6" t="s">
        <v>915</v>
      </c>
      <c r="G304" s="6">
        <v>500</v>
      </c>
    </row>
    <row r="305" spans="1:7" x14ac:dyDescent="0.15">
      <c r="A305" s="6" t="s">
        <v>916</v>
      </c>
      <c r="B305" s="6" t="s">
        <v>66</v>
      </c>
      <c r="C305" s="6" t="str">
        <f t="shared" si="4"/>
        <v>sulfo_sanpah</v>
      </c>
      <c r="D305" s="7" t="s">
        <v>13</v>
      </c>
      <c r="E305" s="6" t="s">
        <v>917</v>
      </c>
      <c r="F305" s="6" t="s">
        <v>918</v>
      </c>
      <c r="G305" s="6">
        <v>500</v>
      </c>
    </row>
    <row r="306" spans="1:7" x14ac:dyDescent="0.15">
      <c r="A306" s="6" t="s">
        <v>919</v>
      </c>
      <c r="B306" s="6" t="s">
        <v>66</v>
      </c>
      <c r="C306" s="6" t="str">
        <f t="shared" si="4"/>
        <v>sulfo_sdad</v>
      </c>
      <c r="D306" s="7" t="s">
        <v>13</v>
      </c>
      <c r="E306" s="6" t="s">
        <v>920</v>
      </c>
      <c r="F306" s="6" t="s">
        <v>921</v>
      </c>
      <c r="G306" s="6">
        <v>500</v>
      </c>
    </row>
    <row r="307" spans="1:7" x14ac:dyDescent="0.15">
      <c r="A307" s="6" t="s">
        <v>922</v>
      </c>
      <c r="B307" s="6" t="s">
        <v>923</v>
      </c>
      <c r="C307" s="6" t="str">
        <f t="shared" si="4"/>
        <v>database_orf_search</v>
      </c>
      <c r="D307" s="7" t="s">
        <v>13</v>
      </c>
      <c r="E307" s="6" t="s">
        <v>924</v>
      </c>
      <c r="F307" s="6" t="s">
        <v>925</v>
      </c>
      <c r="G307" s="6">
        <v>500</v>
      </c>
    </row>
    <row r="308" spans="1:7" x14ac:dyDescent="0.15">
      <c r="A308" s="6" t="s">
        <v>926</v>
      </c>
      <c r="B308" s="6" t="s">
        <v>923</v>
      </c>
      <c r="C308" s="6" t="str">
        <f t="shared" si="4"/>
        <v>database_search</v>
      </c>
      <c r="D308" s="7" t="s">
        <v>13</v>
      </c>
      <c r="E308" s="6" t="s">
        <v>927</v>
      </c>
      <c r="F308" s="6" t="s">
        <v>928</v>
      </c>
      <c r="G308" s="6">
        <v>500</v>
      </c>
    </row>
    <row r="309" spans="1:7" x14ac:dyDescent="0.15">
      <c r="A309" s="6" t="s">
        <v>929</v>
      </c>
      <c r="B309" s="6" t="s">
        <v>923</v>
      </c>
      <c r="C309" s="6" t="str">
        <f t="shared" si="4"/>
        <v>de_novo</v>
      </c>
      <c r="D309" s="7" t="s">
        <v>13</v>
      </c>
      <c r="E309" s="6" t="s">
        <v>930</v>
      </c>
      <c r="F309" s="6" t="s">
        <v>930</v>
      </c>
      <c r="G309" s="6">
        <v>500</v>
      </c>
    </row>
    <row r="310" spans="1:7" x14ac:dyDescent="0.15">
      <c r="A310" s="6" t="s">
        <v>931</v>
      </c>
      <c r="B310" s="6" t="s">
        <v>69</v>
      </c>
      <c r="C310" s="6" t="str">
        <f t="shared" si="4"/>
        <v>chaps</v>
      </c>
      <c r="D310" s="7" t="s">
        <v>13</v>
      </c>
      <c r="E310" s="6" t="s">
        <v>932</v>
      </c>
      <c r="F310" s="6" t="s">
        <v>933</v>
      </c>
      <c r="G310" s="6">
        <v>500</v>
      </c>
    </row>
    <row r="311" spans="1:7" x14ac:dyDescent="0.15">
      <c r="A311" s="6" t="s">
        <v>934</v>
      </c>
      <c r="B311" s="6" t="s">
        <v>69</v>
      </c>
      <c r="C311" s="6" t="str">
        <f t="shared" si="4"/>
        <v>dmm</v>
      </c>
      <c r="D311" s="7" t="s">
        <v>13</v>
      </c>
      <c r="E311" s="6" t="s">
        <v>935</v>
      </c>
      <c r="F311" s="6" t="s">
        <v>936</v>
      </c>
      <c r="G311" s="6">
        <v>500</v>
      </c>
    </row>
    <row r="312" spans="1:7" x14ac:dyDescent="0.15">
      <c r="A312" s="6" t="s">
        <v>937</v>
      </c>
      <c r="B312" s="6" t="s">
        <v>69</v>
      </c>
      <c r="C312" s="6" t="str">
        <f t="shared" si="4"/>
        <v>np40</v>
      </c>
      <c r="D312" s="7" t="s">
        <v>13</v>
      </c>
      <c r="E312" s="6" t="s">
        <v>938</v>
      </c>
      <c r="F312" s="6" t="s">
        <v>939</v>
      </c>
      <c r="G312" s="6">
        <v>500</v>
      </c>
    </row>
    <row r="313" spans="1:7" x14ac:dyDescent="0.15">
      <c r="A313" s="6" t="s">
        <v>940</v>
      </c>
      <c r="B313" s="6" t="s">
        <v>69</v>
      </c>
      <c r="C313" s="6" t="str">
        <f t="shared" si="4"/>
        <v>og</v>
      </c>
      <c r="D313" s="7" t="s">
        <v>13</v>
      </c>
      <c r="E313" s="6" t="s">
        <v>941</v>
      </c>
      <c r="F313" s="6" t="s">
        <v>942</v>
      </c>
      <c r="G313" s="6">
        <v>500</v>
      </c>
    </row>
    <row r="314" spans="1:7" x14ac:dyDescent="0.15">
      <c r="A314" s="6" t="s">
        <v>943</v>
      </c>
      <c r="B314" s="6" t="s">
        <v>69</v>
      </c>
      <c r="C314" s="6" t="str">
        <f t="shared" si="4"/>
        <v>otg</v>
      </c>
      <c r="D314" s="7" t="s">
        <v>13</v>
      </c>
      <c r="E314" s="6" t="s">
        <v>944</v>
      </c>
      <c r="F314" s="6" t="s">
        <v>945</v>
      </c>
      <c r="G314" s="6">
        <v>500</v>
      </c>
    </row>
    <row r="315" spans="1:7" x14ac:dyDescent="0.15">
      <c r="A315" s="6" t="s">
        <v>946</v>
      </c>
      <c r="B315" s="6" t="s">
        <v>69</v>
      </c>
      <c r="C315" s="6" t="str">
        <f t="shared" si="4"/>
        <v>sds</v>
      </c>
      <c r="D315" s="7" t="s">
        <v>13</v>
      </c>
      <c r="E315" s="6" t="s">
        <v>947</v>
      </c>
      <c r="F315" s="6" t="s">
        <v>948</v>
      </c>
      <c r="G315" s="6">
        <v>500</v>
      </c>
    </row>
    <row r="316" spans="1:7" x14ac:dyDescent="0.15">
      <c r="A316" s="6" t="s">
        <v>949</v>
      </c>
      <c r="B316" s="6" t="s">
        <v>69</v>
      </c>
      <c r="C316" s="6" t="str">
        <f t="shared" si="4"/>
        <v>tritonx100</v>
      </c>
      <c r="D316" s="7" t="s">
        <v>13</v>
      </c>
      <c r="E316" s="6" t="s">
        <v>950</v>
      </c>
      <c r="F316" s="6" t="s">
        <v>951</v>
      </c>
      <c r="G316" s="6">
        <v>500</v>
      </c>
    </row>
    <row r="317" spans="1:7" x14ac:dyDescent="0.15">
      <c r="A317" s="6" t="s">
        <v>952</v>
      </c>
      <c r="B317" s="6" t="s">
        <v>69</v>
      </c>
      <c r="C317" s="6" t="str">
        <f t="shared" si="4"/>
        <v>tween20</v>
      </c>
      <c r="D317" s="7" t="s">
        <v>13</v>
      </c>
      <c r="E317" s="6" t="s">
        <v>953</v>
      </c>
      <c r="F317" s="6" t="s">
        <v>954</v>
      </c>
      <c r="G317" s="6">
        <v>500</v>
      </c>
    </row>
    <row r="318" spans="1:7" x14ac:dyDescent="0.15">
      <c r="A318" s="6" t="s">
        <v>955</v>
      </c>
      <c r="B318" s="6" t="s">
        <v>69</v>
      </c>
      <c r="C318" s="6" t="str">
        <f t="shared" si="4"/>
        <v>tween80</v>
      </c>
      <c r="D318" s="7" t="s">
        <v>13</v>
      </c>
      <c r="E318" s="6" t="s">
        <v>956</v>
      </c>
      <c r="F318" s="6" t="s">
        <v>957</v>
      </c>
      <c r="G318" s="6">
        <v>500</v>
      </c>
    </row>
    <row r="319" spans="1:7" x14ac:dyDescent="0.15">
      <c r="A319" s="6">
        <v>1200</v>
      </c>
      <c r="B319" s="6" t="s">
        <v>73</v>
      </c>
      <c r="C319" s="6">
        <f t="shared" si="4"/>
        <v>1200</v>
      </c>
      <c r="D319" s="7" t="s">
        <v>13</v>
      </c>
      <c r="E319" s="6">
        <v>1200</v>
      </c>
      <c r="F319" s="7" t="s">
        <v>13</v>
      </c>
      <c r="G319" s="6">
        <v>500</v>
      </c>
    </row>
    <row r="320" spans="1:7" x14ac:dyDescent="0.15">
      <c r="A320" s="6">
        <v>800</v>
      </c>
      <c r="B320" s="6" t="s">
        <v>73</v>
      </c>
      <c r="C320" s="6">
        <f t="shared" si="4"/>
        <v>800</v>
      </c>
      <c r="D320" s="7" t="s">
        <v>13</v>
      </c>
      <c r="E320" s="6">
        <v>800</v>
      </c>
      <c r="F320" s="7" t="s">
        <v>13</v>
      </c>
      <c r="G320" s="6">
        <v>500</v>
      </c>
    </row>
    <row r="321" spans="1:7" x14ac:dyDescent="0.15">
      <c r="A321" s="6">
        <v>400</v>
      </c>
      <c r="B321" s="6" t="s">
        <v>75</v>
      </c>
      <c r="C321" s="6">
        <f t="shared" si="4"/>
        <v>400</v>
      </c>
      <c r="D321" s="7" t="s">
        <v>13</v>
      </c>
      <c r="E321" s="6">
        <v>400</v>
      </c>
      <c r="F321" s="7" t="s">
        <v>13</v>
      </c>
      <c r="G321" s="6">
        <v>500</v>
      </c>
    </row>
    <row r="322" spans="1:7" x14ac:dyDescent="0.15">
      <c r="A322" s="6">
        <v>30</v>
      </c>
      <c r="B322" s="6" t="s">
        <v>74</v>
      </c>
      <c r="C322" s="6">
        <f t="shared" si="4"/>
        <v>30</v>
      </c>
      <c r="D322" s="7" t="s">
        <v>13</v>
      </c>
      <c r="E322" s="6">
        <v>30</v>
      </c>
      <c r="F322" s="6" t="s">
        <v>958</v>
      </c>
      <c r="G322" s="6">
        <v>500</v>
      </c>
    </row>
    <row r="323" spans="1:7" x14ac:dyDescent="0.15">
      <c r="A323" s="6">
        <v>34</v>
      </c>
      <c r="B323" s="6" t="s">
        <v>74</v>
      </c>
      <c r="C323" s="6">
        <f t="shared" si="4"/>
        <v>34</v>
      </c>
      <c r="D323" s="7" t="s">
        <v>13</v>
      </c>
      <c r="E323" s="6">
        <v>30</v>
      </c>
      <c r="F323" s="6" t="s">
        <v>3120</v>
      </c>
      <c r="G323" s="6">
        <v>500</v>
      </c>
    </row>
    <row r="324" spans="1:7" x14ac:dyDescent="0.15">
      <c r="A324" s="6">
        <v>40</v>
      </c>
      <c r="B324" s="6" t="s">
        <v>74</v>
      </c>
      <c r="C324" s="6">
        <f t="shared" si="4"/>
        <v>40</v>
      </c>
      <c r="D324" s="7" t="s">
        <v>13</v>
      </c>
      <c r="E324" s="6">
        <v>40</v>
      </c>
      <c r="F324" s="6" t="s">
        <v>959</v>
      </c>
      <c r="G324" s="6">
        <v>500</v>
      </c>
    </row>
    <row r="325" spans="1:7" x14ac:dyDescent="0.15">
      <c r="A325" s="6" t="s">
        <v>960</v>
      </c>
      <c r="B325" s="6" t="s">
        <v>23</v>
      </c>
      <c r="C325" s="6" t="str">
        <f t="shared" si="4"/>
        <v>fasp</v>
      </c>
      <c r="D325" s="7" t="s">
        <v>13</v>
      </c>
      <c r="E325" s="6" t="s">
        <v>961</v>
      </c>
      <c r="F325" s="6" t="s">
        <v>962</v>
      </c>
      <c r="G325" s="6">
        <v>500</v>
      </c>
    </row>
    <row r="326" spans="1:7" x14ac:dyDescent="0.15">
      <c r="A326" s="6" t="s">
        <v>963</v>
      </c>
      <c r="B326" s="6" t="s">
        <v>23</v>
      </c>
      <c r="C326" s="6" t="str">
        <f t="shared" ref="C326:C392" si="5">A326</f>
        <v>ingel</v>
      </c>
      <c r="D326" s="7" t="s">
        <v>13</v>
      </c>
      <c r="E326" s="6" t="s">
        <v>964</v>
      </c>
      <c r="F326" s="6" t="s">
        <v>965</v>
      </c>
      <c r="G326" s="6">
        <v>500</v>
      </c>
    </row>
    <row r="327" spans="1:7" x14ac:dyDescent="0.15">
      <c r="A327" s="6" t="s">
        <v>966</v>
      </c>
      <c r="B327" s="6" t="s">
        <v>23</v>
      </c>
      <c r="C327" s="6" t="str">
        <f t="shared" si="5"/>
        <v>insol</v>
      </c>
      <c r="D327" s="7" t="s">
        <v>13</v>
      </c>
      <c r="E327" s="6" t="s">
        <v>967</v>
      </c>
      <c r="F327" s="6" t="s">
        <v>968</v>
      </c>
      <c r="G327" s="6">
        <v>500</v>
      </c>
    </row>
    <row r="328" spans="1:7" x14ac:dyDescent="0.15">
      <c r="A328" s="6" t="s">
        <v>969</v>
      </c>
      <c r="B328" s="6" t="s">
        <v>23</v>
      </c>
      <c r="C328" s="6" t="str">
        <f t="shared" si="5"/>
        <v>sp3</v>
      </c>
      <c r="D328" s="7" t="s">
        <v>13</v>
      </c>
      <c r="E328" s="6" t="s">
        <v>970</v>
      </c>
      <c r="F328" s="6" t="s">
        <v>971</v>
      </c>
      <c r="G328" s="6">
        <v>500</v>
      </c>
    </row>
    <row r="329" spans="1:7" x14ac:dyDescent="0.15">
      <c r="A329" s="6" t="s">
        <v>972</v>
      </c>
      <c r="B329" s="6" t="s">
        <v>77</v>
      </c>
      <c r="C329" s="6" t="str">
        <f t="shared" si="5"/>
        <v>23c</v>
      </c>
      <c r="D329" s="7" t="s">
        <v>13</v>
      </c>
      <c r="E329" s="6" t="s">
        <v>973</v>
      </c>
      <c r="F329" s="6" t="s">
        <v>974</v>
      </c>
      <c r="G329" s="6">
        <v>500</v>
      </c>
    </row>
    <row r="330" spans="1:7" x14ac:dyDescent="0.15">
      <c r="A330" s="6" t="s">
        <v>975</v>
      </c>
      <c r="B330" s="6" t="s">
        <v>77</v>
      </c>
      <c r="C330" s="6" t="str">
        <f t="shared" si="5"/>
        <v>37c</v>
      </c>
      <c r="D330" s="7" t="s">
        <v>13</v>
      </c>
      <c r="E330" s="6" t="s">
        <v>976</v>
      </c>
      <c r="F330" s="6" t="s">
        <v>977</v>
      </c>
      <c r="G330" s="6">
        <v>500</v>
      </c>
    </row>
    <row r="331" spans="1:7" x14ac:dyDescent="0.15">
      <c r="A331" s="6" t="s">
        <v>978</v>
      </c>
      <c r="B331" s="6" t="s">
        <v>78</v>
      </c>
      <c r="C331" s="6" t="str">
        <f t="shared" si="5"/>
        <v>12h</v>
      </c>
      <c r="D331" s="7" t="s">
        <v>13</v>
      </c>
      <c r="E331" s="6" t="s">
        <v>979</v>
      </c>
      <c r="F331" s="6" t="s">
        <v>980</v>
      </c>
      <c r="G331" s="6">
        <v>500</v>
      </c>
    </row>
    <row r="332" spans="1:7" x14ac:dyDescent="0.15">
      <c r="A332" s="6" t="s">
        <v>981</v>
      </c>
      <c r="B332" s="6" t="s">
        <v>78</v>
      </c>
      <c r="C332" s="6" t="str">
        <f t="shared" si="5"/>
        <v>16h</v>
      </c>
      <c r="D332" s="7" t="s">
        <v>13</v>
      </c>
      <c r="E332" s="6" t="s">
        <v>982</v>
      </c>
      <c r="F332" s="6" t="s">
        <v>983</v>
      </c>
      <c r="G332" s="6">
        <v>500</v>
      </c>
    </row>
    <row r="333" spans="1:7" x14ac:dyDescent="0.15">
      <c r="A333" s="6" t="s">
        <v>984</v>
      </c>
      <c r="B333" s="6" t="s">
        <v>78</v>
      </c>
      <c r="C333" s="6" t="str">
        <f t="shared" si="5"/>
        <v>8h</v>
      </c>
      <c r="D333" s="7" t="s">
        <v>13</v>
      </c>
      <c r="E333" s="6" t="s">
        <v>985</v>
      </c>
      <c r="F333" s="6" t="s">
        <v>986</v>
      </c>
      <c r="G333" s="6">
        <v>500</v>
      </c>
    </row>
    <row r="334" spans="1:7" x14ac:dyDescent="0.15">
      <c r="A334" s="6" t="s">
        <v>987</v>
      </c>
      <c r="B334" s="6" t="s">
        <v>79</v>
      </c>
      <c r="C334" s="6" t="str">
        <f t="shared" si="5"/>
        <v>384well_plate</v>
      </c>
      <c r="D334" s="7" t="s">
        <v>13</v>
      </c>
      <c r="E334" s="6" t="s">
        <v>988</v>
      </c>
      <c r="F334" s="6" t="s">
        <v>988</v>
      </c>
      <c r="G334" s="6">
        <v>500</v>
      </c>
    </row>
    <row r="335" spans="1:7" x14ac:dyDescent="0.15">
      <c r="A335" s="6" t="s">
        <v>989</v>
      </c>
      <c r="B335" s="6" t="s">
        <v>79</v>
      </c>
      <c r="C335" s="6" t="str">
        <f t="shared" si="5"/>
        <v>96well_plate</v>
      </c>
      <c r="D335" s="7" t="s">
        <v>13</v>
      </c>
      <c r="E335" s="6" t="s">
        <v>990</v>
      </c>
      <c r="F335" s="6" t="s">
        <v>991</v>
      </c>
      <c r="G335" s="6">
        <v>500</v>
      </c>
    </row>
    <row r="336" spans="1:7" x14ac:dyDescent="0.15">
      <c r="A336" s="6" t="s">
        <v>992</v>
      </c>
      <c r="B336" s="6" t="s">
        <v>79</v>
      </c>
      <c r="C336" s="6" t="str">
        <f t="shared" si="5"/>
        <v>onefive_ml_tube</v>
      </c>
      <c r="D336" s="7" t="s">
        <v>13</v>
      </c>
      <c r="E336" s="6" t="s">
        <v>993</v>
      </c>
      <c r="F336" s="6" t="s">
        <v>994</v>
      </c>
      <c r="G336" s="6">
        <v>500</v>
      </c>
    </row>
    <row r="337" spans="1:7" x14ac:dyDescent="0.15">
      <c r="A337" s="6" t="s">
        <v>995</v>
      </c>
      <c r="B337" s="6" t="s">
        <v>79</v>
      </c>
      <c r="C337" s="6" t="str">
        <f t="shared" si="5"/>
        <v>pcrstripe</v>
      </c>
      <c r="D337" s="7" t="s">
        <v>13</v>
      </c>
      <c r="E337" s="6" t="s">
        <v>996</v>
      </c>
      <c r="F337" s="6" t="s">
        <v>996</v>
      </c>
      <c r="G337" s="6">
        <v>500</v>
      </c>
    </row>
    <row r="338" spans="1:7" x14ac:dyDescent="0.15">
      <c r="A338" s="6" t="s">
        <v>997</v>
      </c>
      <c r="B338" s="6" t="s">
        <v>79</v>
      </c>
      <c r="C338" s="6" t="str">
        <f t="shared" si="5"/>
        <v>two_ml_tube</v>
      </c>
      <c r="D338" s="7" t="s">
        <v>13</v>
      </c>
      <c r="E338" s="6" t="s">
        <v>998</v>
      </c>
      <c r="F338" s="6" t="s">
        <v>999</v>
      </c>
      <c r="G338" s="6">
        <v>500</v>
      </c>
    </row>
    <row r="339" spans="1:7" x14ac:dyDescent="0.15">
      <c r="A339" s="6" t="s">
        <v>1000</v>
      </c>
      <c r="B339" s="6" t="s">
        <v>81</v>
      </c>
      <c r="C339" s="6" t="str">
        <f t="shared" si="5"/>
        <v>als</v>
      </c>
      <c r="D339" s="6" t="s">
        <v>1000</v>
      </c>
      <c r="E339" s="6" t="s">
        <v>1001</v>
      </c>
      <c r="F339" s="6" t="s">
        <v>1002</v>
      </c>
      <c r="G339" s="6">
        <v>500</v>
      </c>
    </row>
    <row r="340" spans="1:7" x14ac:dyDescent="0.15">
      <c r="A340" s="6" t="s">
        <v>1003</v>
      </c>
      <c r="B340" s="6" t="s">
        <v>81</v>
      </c>
      <c r="C340" s="6" t="str">
        <f t="shared" si="5"/>
        <v>alzheimer</v>
      </c>
      <c r="D340" s="6" t="s">
        <v>1003</v>
      </c>
      <c r="E340" s="6" t="s">
        <v>1004</v>
      </c>
      <c r="F340" s="6" t="s">
        <v>1005</v>
      </c>
      <c r="G340" s="6">
        <v>500</v>
      </c>
    </row>
    <row r="341" spans="1:7" x14ac:dyDescent="0.15">
      <c r="A341" s="6" t="s">
        <v>1006</v>
      </c>
      <c r="B341" s="6" t="s">
        <v>81</v>
      </c>
      <c r="C341" s="6" t="str">
        <f t="shared" si="5"/>
        <v>autoimmune</v>
      </c>
      <c r="D341" s="6" t="s">
        <v>1006</v>
      </c>
      <c r="E341" s="6" t="s">
        <v>1007</v>
      </c>
      <c r="F341" s="6" t="s">
        <v>1008</v>
      </c>
      <c r="G341" s="6">
        <v>500</v>
      </c>
    </row>
    <row r="342" spans="1:7" x14ac:dyDescent="0.15">
      <c r="A342" s="6" t="s">
        <v>1009</v>
      </c>
      <c r="B342" s="6" t="s">
        <v>81</v>
      </c>
      <c r="C342" s="6" t="str">
        <f t="shared" si="5"/>
        <v>cancer</v>
      </c>
      <c r="D342" s="6" t="s">
        <v>1009</v>
      </c>
      <c r="E342" s="6" t="s">
        <v>1010</v>
      </c>
      <c r="F342" s="6" t="s">
        <v>1011</v>
      </c>
      <c r="G342" s="6">
        <v>500</v>
      </c>
    </row>
    <row r="343" spans="1:7" x14ac:dyDescent="0.15">
      <c r="A343" s="6" t="s">
        <v>1012</v>
      </c>
      <c r="B343" s="6" t="s">
        <v>81</v>
      </c>
      <c r="C343" s="6" t="str">
        <f t="shared" si="5"/>
        <v>cardiovascular_diseases</v>
      </c>
      <c r="D343" s="6" t="s">
        <v>1013</v>
      </c>
      <c r="E343" s="6" t="s">
        <v>1014</v>
      </c>
      <c r="F343" s="6" t="s">
        <v>1015</v>
      </c>
      <c r="G343" s="6">
        <v>500</v>
      </c>
    </row>
    <row r="344" spans="1:7" x14ac:dyDescent="0.15">
      <c r="A344" s="6" t="s">
        <v>1016</v>
      </c>
      <c r="B344" s="6" t="s">
        <v>81</v>
      </c>
      <c r="C344" s="6" t="str">
        <f t="shared" si="5"/>
        <v>chronic_inflammation</v>
      </c>
      <c r="D344" s="6" t="s">
        <v>1017</v>
      </c>
      <c r="E344" s="6" t="s">
        <v>1018</v>
      </c>
      <c r="F344" s="6" t="s">
        <v>1019</v>
      </c>
      <c r="G344" s="6">
        <v>500</v>
      </c>
    </row>
    <row r="345" spans="1:7" x14ac:dyDescent="0.15">
      <c r="A345" s="6" t="s">
        <v>1020</v>
      </c>
      <c r="B345" s="6" t="s">
        <v>81</v>
      </c>
      <c r="C345" s="6" t="str">
        <f t="shared" si="5"/>
        <v>coeliac</v>
      </c>
      <c r="D345" s="6" t="s">
        <v>1020</v>
      </c>
      <c r="E345" s="6" t="s">
        <v>1021</v>
      </c>
      <c r="F345" s="6" t="s">
        <v>1022</v>
      </c>
      <c r="G345" s="6">
        <v>500</v>
      </c>
    </row>
    <row r="346" spans="1:7" x14ac:dyDescent="0.15">
      <c r="A346" s="6" t="s">
        <v>1023</v>
      </c>
      <c r="B346" s="6" t="s">
        <v>81</v>
      </c>
      <c r="C346" s="6" t="str">
        <f t="shared" si="5"/>
        <v>covid19</v>
      </c>
      <c r="D346" s="6" t="s">
        <v>1023</v>
      </c>
      <c r="E346" s="6" t="s">
        <v>1024</v>
      </c>
      <c r="F346" s="6" t="s">
        <v>1025</v>
      </c>
      <c r="G346" s="6">
        <v>500</v>
      </c>
    </row>
    <row r="347" spans="1:7" x14ac:dyDescent="0.15">
      <c r="A347" s="6" t="s">
        <v>1026</v>
      </c>
      <c r="B347" s="6" t="s">
        <v>81</v>
      </c>
      <c r="C347" s="6" t="str">
        <f t="shared" si="5"/>
        <v>dementia</v>
      </c>
      <c r="D347" s="6" t="s">
        <v>1026</v>
      </c>
      <c r="E347" s="6" t="s">
        <v>1027</v>
      </c>
      <c r="F347" s="6" t="s">
        <v>1027</v>
      </c>
      <c r="G347" s="6">
        <v>500</v>
      </c>
    </row>
    <row r="348" spans="1:7" x14ac:dyDescent="0.15">
      <c r="A348" s="6" t="s">
        <v>1028</v>
      </c>
      <c r="B348" s="6" t="s">
        <v>81</v>
      </c>
      <c r="C348" s="6" t="str">
        <f t="shared" si="5"/>
        <v>demyelinating</v>
      </c>
      <c r="D348" s="6" t="s">
        <v>1028</v>
      </c>
      <c r="E348" s="6" t="s">
        <v>1029</v>
      </c>
      <c r="F348" s="6" t="s">
        <v>1030</v>
      </c>
      <c r="G348" s="6">
        <v>500</v>
      </c>
    </row>
    <row r="349" spans="1:7" x14ac:dyDescent="0.15">
      <c r="A349" s="6" t="s">
        <v>1031</v>
      </c>
      <c r="B349" s="6" t="s">
        <v>81</v>
      </c>
      <c r="C349" s="6" t="str">
        <f t="shared" si="5"/>
        <v>diabetes</v>
      </c>
      <c r="D349" s="6" t="s">
        <v>1031</v>
      </c>
      <c r="E349" s="6" t="s">
        <v>1032</v>
      </c>
      <c r="F349" s="6" t="s">
        <v>1032</v>
      </c>
      <c r="G349" s="6">
        <v>500</v>
      </c>
    </row>
    <row r="350" spans="1:7" x14ac:dyDescent="0.15">
      <c r="A350" s="6" t="s">
        <v>1033</v>
      </c>
      <c r="B350" s="6" t="s">
        <v>81</v>
      </c>
      <c r="C350" s="6" t="str">
        <f t="shared" si="5"/>
        <v>glioblastoma</v>
      </c>
      <c r="D350" s="6" t="s">
        <v>1033</v>
      </c>
      <c r="E350" s="6" t="s">
        <v>1034</v>
      </c>
      <c r="F350" s="6" t="s">
        <v>1035</v>
      </c>
      <c r="G350" s="6">
        <v>500</v>
      </c>
    </row>
    <row r="351" spans="1:7" x14ac:dyDescent="0.15">
      <c r="A351" s="6" t="s">
        <v>1036</v>
      </c>
      <c r="B351" s="6" t="s">
        <v>81</v>
      </c>
      <c r="C351" s="6" t="str">
        <f t="shared" si="5"/>
        <v>hiv</v>
      </c>
      <c r="D351" s="6" t="s">
        <v>1036</v>
      </c>
      <c r="E351" s="6" t="s">
        <v>1037</v>
      </c>
      <c r="F351" s="6" t="s">
        <v>1038</v>
      </c>
      <c r="G351" s="6">
        <v>500</v>
      </c>
    </row>
    <row r="352" spans="1:7" x14ac:dyDescent="0.15">
      <c r="A352" s="6" t="s">
        <v>1039</v>
      </c>
      <c r="B352" s="6" t="s">
        <v>81</v>
      </c>
      <c r="C352" s="6" t="str">
        <f t="shared" si="5"/>
        <v>huntington</v>
      </c>
      <c r="D352" s="6" t="s">
        <v>1039</v>
      </c>
      <c r="E352" s="6" t="s">
        <v>1040</v>
      </c>
      <c r="F352" s="6" t="s">
        <v>1041</v>
      </c>
      <c r="G352" s="6">
        <v>500</v>
      </c>
    </row>
    <row r="353" spans="1:7" x14ac:dyDescent="0.15">
      <c r="A353" s="6" t="s">
        <v>1042</v>
      </c>
      <c r="B353" s="6" t="s">
        <v>81</v>
      </c>
      <c r="C353" s="6" t="str">
        <f t="shared" si="5"/>
        <v>ibd</v>
      </c>
      <c r="D353" s="6" t="s">
        <v>1042</v>
      </c>
      <c r="E353" s="6" t="s">
        <v>1043</v>
      </c>
      <c r="F353" s="6" t="s">
        <v>1044</v>
      </c>
      <c r="G353" s="6">
        <v>500</v>
      </c>
    </row>
    <row r="354" spans="1:7" x14ac:dyDescent="0.15">
      <c r="A354" s="6" t="s">
        <v>1045</v>
      </c>
      <c r="B354" s="6" t="s">
        <v>81</v>
      </c>
      <c r="C354" s="6" t="str">
        <f t="shared" si="5"/>
        <v>infection</v>
      </c>
      <c r="D354" s="6" t="s">
        <v>1045</v>
      </c>
      <c r="E354" s="6" t="s">
        <v>1046</v>
      </c>
      <c r="F354" s="6" t="s">
        <v>1047</v>
      </c>
      <c r="G354" s="6">
        <v>500</v>
      </c>
    </row>
    <row r="355" spans="1:7" x14ac:dyDescent="0.15">
      <c r="A355" s="6" t="s">
        <v>1048</v>
      </c>
      <c r="B355" s="6" t="s">
        <v>81</v>
      </c>
      <c r="C355" s="6" t="str">
        <f t="shared" si="5"/>
        <v>influenza</v>
      </c>
      <c r="D355" s="6" t="s">
        <v>1048</v>
      </c>
      <c r="E355" s="6" t="s">
        <v>1049</v>
      </c>
      <c r="F355" s="6" t="s">
        <v>1050</v>
      </c>
      <c r="G355" s="6">
        <v>500</v>
      </c>
    </row>
    <row r="356" spans="1:7" x14ac:dyDescent="0.15">
      <c r="A356" s="6" t="s">
        <v>1051</v>
      </c>
      <c r="B356" s="6" t="s">
        <v>81</v>
      </c>
      <c r="C356" s="6" t="str">
        <f t="shared" si="5"/>
        <v>leukemia</v>
      </c>
      <c r="D356" s="6" t="s">
        <v>1051</v>
      </c>
      <c r="E356" s="6" t="s">
        <v>564</v>
      </c>
      <c r="F356" s="6" t="s">
        <v>1052</v>
      </c>
      <c r="G356" s="6">
        <v>500</v>
      </c>
    </row>
    <row r="357" spans="1:7" x14ac:dyDescent="0.15">
      <c r="A357" s="6" t="s">
        <v>1053</v>
      </c>
      <c r="B357" s="6" t="s">
        <v>81</v>
      </c>
      <c r="C357" s="6" t="str">
        <f t="shared" si="5"/>
        <v>lymphoma</v>
      </c>
      <c r="D357" s="6" t="s">
        <v>1053</v>
      </c>
      <c r="E357" s="6" t="s">
        <v>1054</v>
      </c>
      <c r="F357" s="6" t="s">
        <v>1055</v>
      </c>
      <c r="G357" s="6">
        <v>500</v>
      </c>
    </row>
    <row r="358" spans="1:7" x14ac:dyDescent="0.15">
      <c r="A358" s="6" t="s">
        <v>1056</v>
      </c>
      <c r="B358" s="6" t="s">
        <v>81</v>
      </c>
      <c r="C358" s="6" t="str">
        <f t="shared" si="5"/>
        <v>malaria</v>
      </c>
      <c r="D358" s="6" t="s">
        <v>1056</v>
      </c>
      <c r="E358" s="6" t="s">
        <v>1057</v>
      </c>
      <c r="F358" s="6" t="s">
        <v>1058</v>
      </c>
      <c r="G358" s="6">
        <v>500</v>
      </c>
    </row>
    <row r="359" spans="1:7" x14ac:dyDescent="0.15">
      <c r="A359" s="6" t="s">
        <v>21</v>
      </c>
      <c r="B359" s="6" t="s">
        <v>81</v>
      </c>
      <c r="C359" s="6" t="str">
        <f t="shared" si="5"/>
        <v>ms</v>
      </c>
      <c r="D359" s="6" t="s">
        <v>21</v>
      </c>
      <c r="E359" s="6" t="s">
        <v>1059</v>
      </c>
      <c r="F359" s="6" t="s">
        <v>1060</v>
      </c>
      <c r="G359" s="6">
        <v>500</v>
      </c>
    </row>
    <row r="360" spans="1:7" x14ac:dyDescent="0.15">
      <c r="A360" s="6" t="s">
        <v>1061</v>
      </c>
      <c r="B360" s="6" t="s">
        <v>81</v>
      </c>
      <c r="C360" s="6" t="str">
        <f t="shared" si="5"/>
        <v>msa</v>
      </c>
      <c r="D360" s="6" t="s">
        <v>1061</v>
      </c>
      <c r="E360" s="6" t="s">
        <v>1062</v>
      </c>
      <c r="F360" s="6" t="s">
        <v>1063</v>
      </c>
      <c r="G360" s="6">
        <v>500</v>
      </c>
    </row>
    <row r="361" spans="1:7" x14ac:dyDescent="0.15">
      <c r="A361" s="6" t="s">
        <v>1064</v>
      </c>
      <c r="B361" s="6" t="s">
        <v>81</v>
      </c>
      <c r="C361" s="6" t="str">
        <f t="shared" si="5"/>
        <v>neurodegenerative</v>
      </c>
      <c r="D361" s="6" t="s">
        <v>1064</v>
      </c>
      <c r="E361" s="6" t="s">
        <v>1065</v>
      </c>
      <c r="F361" s="6" t="s">
        <v>1066</v>
      </c>
      <c r="G361" s="6">
        <v>500</v>
      </c>
    </row>
    <row r="362" spans="1:7" x14ac:dyDescent="0.15">
      <c r="A362" s="6" t="s">
        <v>1067</v>
      </c>
      <c r="B362" s="6" t="s">
        <v>81</v>
      </c>
      <c r="C362" s="6" t="str">
        <f t="shared" si="5"/>
        <v>parkinson</v>
      </c>
      <c r="D362" s="6" t="s">
        <v>1067</v>
      </c>
      <c r="E362" s="6" t="s">
        <v>1068</v>
      </c>
      <c r="F362" s="6" t="s">
        <v>1069</v>
      </c>
      <c r="G362" s="6">
        <v>500</v>
      </c>
    </row>
    <row r="363" spans="1:7" x14ac:dyDescent="0.15">
      <c r="A363" s="6" t="s">
        <v>1070</v>
      </c>
      <c r="B363" s="6" t="s">
        <v>81</v>
      </c>
      <c r="C363" s="6" t="str">
        <f t="shared" si="5"/>
        <v>prion</v>
      </c>
      <c r="D363" s="6" t="s">
        <v>1070</v>
      </c>
      <c r="E363" s="6" t="s">
        <v>1071</v>
      </c>
      <c r="F363" s="6" t="s">
        <v>1072</v>
      </c>
      <c r="G363" s="6">
        <v>500</v>
      </c>
    </row>
    <row r="364" spans="1:7" x14ac:dyDescent="0.15">
      <c r="A364" s="6" t="s">
        <v>1073</v>
      </c>
      <c r="B364" s="6" t="s">
        <v>81</v>
      </c>
      <c r="C364" s="6" t="str">
        <f t="shared" si="5"/>
        <v>rheumatoid</v>
      </c>
      <c r="D364" s="6" t="s">
        <v>1073</v>
      </c>
      <c r="E364" s="6" t="s">
        <v>1074</v>
      </c>
      <c r="F364" s="6" t="s">
        <v>1075</v>
      </c>
      <c r="G364" s="6">
        <v>500</v>
      </c>
    </row>
    <row r="365" spans="1:7" x14ac:dyDescent="0.15">
      <c r="A365" s="6" t="s">
        <v>1076</v>
      </c>
      <c r="B365" s="6" t="s">
        <v>81</v>
      </c>
      <c r="C365" s="6" t="str">
        <f t="shared" si="5"/>
        <v>stress</v>
      </c>
      <c r="D365" s="6" t="s">
        <v>1076</v>
      </c>
      <c r="E365" s="6" t="s">
        <v>1077</v>
      </c>
      <c r="F365" s="6" t="s">
        <v>1078</v>
      </c>
      <c r="G365" s="6">
        <v>500</v>
      </c>
    </row>
    <row r="366" spans="1:7" x14ac:dyDescent="0.15">
      <c r="A366" s="6" t="s">
        <v>1079</v>
      </c>
      <c r="B366" s="6" t="s">
        <v>81</v>
      </c>
      <c r="C366" s="6" t="str">
        <f t="shared" si="5"/>
        <v>stroke</v>
      </c>
      <c r="D366" s="6" t="s">
        <v>1079</v>
      </c>
      <c r="E366" s="6" t="s">
        <v>1080</v>
      </c>
      <c r="F366" s="6" t="s">
        <v>1081</v>
      </c>
      <c r="G366" s="6">
        <v>500</v>
      </c>
    </row>
    <row r="367" spans="1:7" x14ac:dyDescent="0.15">
      <c r="A367" s="6" t="s">
        <v>1082</v>
      </c>
      <c r="B367" s="6" t="s">
        <v>81</v>
      </c>
      <c r="C367" s="6" t="str">
        <f t="shared" si="5"/>
        <v>tuberculosis</v>
      </c>
      <c r="D367" s="6" t="s">
        <v>1082</v>
      </c>
      <c r="E367" s="6" t="s">
        <v>1083</v>
      </c>
      <c r="F367" s="6" t="s">
        <v>1084</v>
      </c>
      <c r="G367" s="6">
        <v>500</v>
      </c>
    </row>
    <row r="368" spans="1:7" x14ac:dyDescent="0.15">
      <c r="A368" s="6" t="s">
        <v>1085</v>
      </c>
      <c r="B368" s="6" t="s">
        <v>83</v>
      </c>
      <c r="C368" s="6" t="str">
        <f t="shared" si="5"/>
        <v>hypoxia</v>
      </c>
      <c r="D368" s="6" t="s">
        <v>1085</v>
      </c>
      <c r="E368" s="6" t="s">
        <v>1086</v>
      </c>
      <c r="F368" s="6" t="s">
        <v>1087</v>
      </c>
      <c r="G368" s="6">
        <v>500</v>
      </c>
    </row>
    <row r="369" spans="1:7" x14ac:dyDescent="0.15">
      <c r="A369" s="6" t="s">
        <v>1088</v>
      </c>
      <c r="B369" s="6" t="s">
        <v>83</v>
      </c>
      <c r="C369" s="6" t="str">
        <f t="shared" si="5"/>
        <v>normoxia</v>
      </c>
      <c r="D369" s="6" t="s">
        <v>1088</v>
      </c>
      <c r="E369" s="6" t="s">
        <v>1089</v>
      </c>
      <c r="F369" s="6" t="s">
        <v>1090</v>
      </c>
      <c r="G369" s="6">
        <v>500</v>
      </c>
    </row>
    <row r="370" spans="1:7" x14ac:dyDescent="0.15">
      <c r="A370" s="6" t="s">
        <v>1091</v>
      </c>
      <c r="B370" s="6" t="s">
        <v>85</v>
      </c>
      <c r="C370" s="6" t="str">
        <f t="shared" si="5"/>
        <v>acetylome</v>
      </c>
      <c r="D370" s="6" t="s">
        <v>1091</v>
      </c>
      <c r="E370" s="6" t="s">
        <v>1092</v>
      </c>
      <c r="F370" s="6" t="s">
        <v>1092</v>
      </c>
      <c r="G370" s="6">
        <v>500</v>
      </c>
    </row>
    <row r="371" spans="1:7" x14ac:dyDescent="0.15">
      <c r="A371" s="6" t="s">
        <v>1093</v>
      </c>
      <c r="B371" s="6" t="s">
        <v>85</v>
      </c>
      <c r="C371" s="6" t="str">
        <f t="shared" si="5"/>
        <v>dvp</v>
      </c>
      <c r="D371" s="6" t="s">
        <v>1093</v>
      </c>
      <c r="E371" s="6" t="s">
        <v>1094</v>
      </c>
      <c r="F371" s="6" t="s">
        <v>1095</v>
      </c>
      <c r="G371" s="6">
        <v>500</v>
      </c>
    </row>
    <row r="372" spans="1:7" x14ac:dyDescent="0.15">
      <c r="A372" s="6" t="s">
        <v>1096</v>
      </c>
      <c r="B372" s="6" t="s">
        <v>85</v>
      </c>
      <c r="C372" s="6" t="str">
        <f t="shared" si="5"/>
        <v>expression_proteome</v>
      </c>
      <c r="D372" s="6" t="s">
        <v>1097</v>
      </c>
      <c r="E372" s="6" t="s">
        <v>1098</v>
      </c>
      <c r="F372" s="6" t="s">
        <v>4123</v>
      </c>
      <c r="G372" s="6">
        <v>600</v>
      </c>
    </row>
    <row r="373" spans="1:7" x14ac:dyDescent="0.15">
      <c r="A373" s="6" t="s">
        <v>4125</v>
      </c>
      <c r="B373" s="6" t="s">
        <v>85</v>
      </c>
      <c r="C373" s="6" t="str">
        <f t="shared" si="5"/>
        <v>microscoop</v>
      </c>
      <c r="D373" s="6" t="s">
        <v>4125</v>
      </c>
      <c r="E373" s="6" t="s">
        <v>4126</v>
      </c>
      <c r="F373" s="6" t="s">
        <v>4127</v>
      </c>
      <c r="G373" s="6">
        <v>500</v>
      </c>
    </row>
    <row r="374" spans="1:7" x14ac:dyDescent="0.15">
      <c r="A374" s="6" t="s">
        <v>3115</v>
      </c>
      <c r="B374" s="6" t="s">
        <v>85</v>
      </c>
      <c r="C374" s="6" t="str">
        <f t="shared" si="5"/>
        <v>proximity</v>
      </c>
      <c r="D374" s="6" t="s">
        <v>3116</v>
      </c>
      <c r="E374" s="6" t="s">
        <v>3117</v>
      </c>
      <c r="F374" s="6" t="s">
        <v>3118</v>
      </c>
      <c r="G374" s="6">
        <v>500</v>
      </c>
    </row>
    <row r="375" spans="1:7" x14ac:dyDescent="0.15">
      <c r="A375" s="6" t="s">
        <v>1099</v>
      </c>
      <c r="B375" s="6" t="s">
        <v>85</v>
      </c>
      <c r="C375" s="6" t="str">
        <f t="shared" si="5"/>
        <v>interaction</v>
      </c>
      <c r="D375" s="6" t="s">
        <v>1099</v>
      </c>
      <c r="E375" s="6" t="s">
        <v>1100</v>
      </c>
      <c r="F375" s="6" t="s">
        <v>1100</v>
      </c>
      <c r="G375" s="6">
        <v>500</v>
      </c>
    </row>
    <row r="376" spans="1:7" x14ac:dyDescent="0.15">
      <c r="A376" s="6" t="s">
        <v>1101</v>
      </c>
      <c r="B376" s="6" t="s">
        <v>85</v>
      </c>
      <c r="C376" s="6" t="str">
        <f t="shared" si="5"/>
        <v>metrs</v>
      </c>
      <c r="D376" s="6" t="s">
        <v>1101</v>
      </c>
      <c r="E376" s="6" t="s">
        <v>1102</v>
      </c>
      <c r="F376" s="6" t="s">
        <v>1102</v>
      </c>
      <c r="G376" s="6">
        <v>500</v>
      </c>
    </row>
    <row r="377" spans="1:7" x14ac:dyDescent="0.15">
      <c r="A377" s="6" t="s">
        <v>1103</v>
      </c>
      <c r="B377" s="6" t="s">
        <v>85</v>
      </c>
      <c r="C377" s="6" t="str">
        <f t="shared" si="5"/>
        <v>neo_nterm_enrichment</v>
      </c>
      <c r="D377" s="6" t="s">
        <v>1104</v>
      </c>
      <c r="E377" s="6" t="s">
        <v>1105</v>
      </c>
      <c r="F377" s="6" t="s">
        <v>1105</v>
      </c>
      <c r="G377" s="6">
        <v>500</v>
      </c>
    </row>
    <row r="378" spans="1:7" x14ac:dyDescent="0.15">
      <c r="A378" s="6" t="s">
        <v>1106</v>
      </c>
      <c r="B378" s="6" t="s">
        <v>85</v>
      </c>
      <c r="C378" s="6" t="str">
        <f t="shared" si="5"/>
        <v>oxinome</v>
      </c>
      <c r="D378" s="6" t="s">
        <v>1106</v>
      </c>
      <c r="E378" s="6" t="s">
        <v>1107</v>
      </c>
      <c r="F378" s="6" t="s">
        <v>1107</v>
      </c>
      <c r="G378" s="6">
        <v>500</v>
      </c>
    </row>
    <row r="379" spans="1:7" x14ac:dyDescent="0.15">
      <c r="A379" s="6" t="s">
        <v>1108</v>
      </c>
      <c r="B379" s="6" t="s">
        <v>85</v>
      </c>
      <c r="C379" s="6" t="str">
        <f t="shared" si="5"/>
        <v>phosphoproteome</v>
      </c>
      <c r="D379" s="6" t="s">
        <v>1108</v>
      </c>
      <c r="E379" s="6" t="s">
        <v>1109</v>
      </c>
      <c r="F379" s="6" t="s">
        <v>1109</v>
      </c>
      <c r="G379" s="6">
        <v>500</v>
      </c>
    </row>
    <row r="380" spans="1:7" x14ac:dyDescent="0.15">
      <c r="A380" s="6" t="s">
        <v>1110</v>
      </c>
      <c r="B380" s="6" t="s">
        <v>85</v>
      </c>
      <c r="C380" s="6" t="str">
        <f t="shared" si="5"/>
        <v>pulse_silac</v>
      </c>
      <c r="D380" s="6" t="s">
        <v>1110</v>
      </c>
      <c r="E380" s="6" t="s">
        <v>1111</v>
      </c>
      <c r="F380" s="6" t="s">
        <v>1111</v>
      </c>
      <c r="G380" s="6">
        <v>500</v>
      </c>
    </row>
    <row r="381" spans="1:7" x14ac:dyDescent="0.15">
      <c r="A381" s="6" t="s">
        <v>1112</v>
      </c>
      <c r="B381" s="6" t="s">
        <v>85</v>
      </c>
      <c r="C381" s="6" t="str">
        <f t="shared" si="5"/>
        <v>secretome</v>
      </c>
      <c r="D381" s="6" t="s">
        <v>1112</v>
      </c>
      <c r="E381" s="6" t="s">
        <v>1113</v>
      </c>
      <c r="F381" s="6" t="s">
        <v>1113</v>
      </c>
      <c r="G381" s="6">
        <v>500</v>
      </c>
    </row>
    <row r="382" spans="1:7" x14ac:dyDescent="0.15">
      <c r="A382" s="6" t="s">
        <v>1114</v>
      </c>
      <c r="B382" s="6" t="s">
        <v>85</v>
      </c>
      <c r="C382" s="6" t="str">
        <f t="shared" si="5"/>
        <v>spatial</v>
      </c>
      <c r="D382" s="6" t="s">
        <v>1114</v>
      </c>
      <c r="E382" s="6" t="s">
        <v>1115</v>
      </c>
      <c r="F382" s="6" t="s">
        <v>1115</v>
      </c>
      <c r="G382" s="6">
        <v>500</v>
      </c>
    </row>
    <row r="383" spans="1:7" x14ac:dyDescent="0.15">
      <c r="A383" s="6" t="s">
        <v>1116</v>
      </c>
      <c r="B383" s="6" t="s">
        <v>85</v>
      </c>
      <c r="C383" s="6" t="str">
        <f t="shared" si="5"/>
        <v>ubiquitinome</v>
      </c>
      <c r="D383" s="6" t="s">
        <v>1116</v>
      </c>
      <c r="E383" s="6" t="s">
        <v>1117</v>
      </c>
      <c r="F383" s="6" t="s">
        <v>1117</v>
      </c>
      <c r="G383" s="6">
        <v>500</v>
      </c>
    </row>
    <row r="384" spans="1:7" x14ac:dyDescent="0.15">
      <c r="A384" s="6" t="s">
        <v>3098</v>
      </c>
      <c r="B384" s="6" t="s">
        <v>85</v>
      </c>
      <c r="C384" s="6" t="str">
        <f t="shared" si="5"/>
        <v>solub</v>
      </c>
      <c r="D384" s="6" t="s">
        <v>3099</v>
      </c>
      <c r="E384" s="6" t="s">
        <v>3100</v>
      </c>
      <c r="F384" s="6" t="s">
        <v>3101</v>
      </c>
      <c r="G384" s="6">
        <v>500</v>
      </c>
    </row>
    <row r="385" spans="1:7" x14ac:dyDescent="0.15">
      <c r="A385" s="6" t="s">
        <v>3195</v>
      </c>
      <c r="B385" s="6" t="s">
        <v>85</v>
      </c>
      <c r="C385" s="6" t="str">
        <f t="shared" si="5"/>
        <v>pisa</v>
      </c>
      <c r="D385" s="6" t="s">
        <v>3196</v>
      </c>
      <c r="E385" s="6" t="s">
        <v>3197</v>
      </c>
      <c r="F385" s="6" t="s">
        <v>3198</v>
      </c>
      <c r="G385" s="6">
        <v>500</v>
      </c>
    </row>
    <row r="386" spans="1:7" x14ac:dyDescent="0.15">
      <c r="A386" s="6" t="s">
        <v>3201</v>
      </c>
      <c r="B386" s="6" t="s">
        <v>3199</v>
      </c>
      <c r="C386" s="6" t="s">
        <v>3195</v>
      </c>
      <c r="D386" s="6" t="s">
        <v>3195</v>
      </c>
      <c r="E386" s="6" t="s">
        <v>3200</v>
      </c>
      <c r="F386" s="6" t="s">
        <v>3202</v>
      </c>
      <c r="G386" s="6">
        <v>500</v>
      </c>
    </row>
    <row r="387" spans="1:7" x14ac:dyDescent="0.15">
      <c r="A387" s="6" t="s">
        <v>1118</v>
      </c>
      <c r="B387" s="6" t="s">
        <v>91</v>
      </c>
      <c r="C387" s="6" t="str">
        <f t="shared" si="5"/>
        <v>100c</v>
      </c>
      <c r="D387" s="7" t="s">
        <v>13</v>
      </c>
      <c r="E387" s="6">
        <v>100</v>
      </c>
      <c r="F387" s="7" t="s">
        <v>13</v>
      </c>
      <c r="G387" s="6">
        <v>500</v>
      </c>
    </row>
    <row r="388" spans="1:7" x14ac:dyDescent="0.15">
      <c r="A388" s="6" t="s">
        <v>1119</v>
      </c>
      <c r="B388" s="6" t="s">
        <v>91</v>
      </c>
      <c r="C388" s="6" t="str">
        <f t="shared" si="5"/>
        <v>95c</v>
      </c>
      <c r="D388" s="7" t="s">
        <v>13</v>
      </c>
      <c r="E388" s="6">
        <v>95</v>
      </c>
      <c r="F388" s="7" t="s">
        <v>13</v>
      </c>
      <c r="G388" s="6">
        <v>500</v>
      </c>
    </row>
    <row r="389" spans="1:7" x14ac:dyDescent="0.15">
      <c r="A389" s="6" t="s">
        <v>1120</v>
      </c>
      <c r="B389" s="6" t="s">
        <v>91</v>
      </c>
      <c r="C389" s="6" t="str">
        <f t="shared" si="5"/>
        <v>96c</v>
      </c>
      <c r="D389" s="7" t="s">
        <v>13</v>
      </c>
      <c r="E389" s="6">
        <v>96</v>
      </c>
      <c r="F389" s="7" t="s">
        <v>13</v>
      </c>
      <c r="G389" s="6">
        <v>500</v>
      </c>
    </row>
    <row r="390" spans="1:7" x14ac:dyDescent="0.15">
      <c r="A390" s="6" t="s">
        <v>1121</v>
      </c>
      <c r="B390" s="6" t="s">
        <v>91</v>
      </c>
      <c r="C390" s="6" t="str">
        <f t="shared" si="5"/>
        <v>97c</v>
      </c>
      <c r="D390" s="7" t="s">
        <v>13</v>
      </c>
      <c r="E390" s="6">
        <v>97</v>
      </c>
      <c r="F390" s="7" t="s">
        <v>13</v>
      </c>
      <c r="G390" s="6">
        <v>500</v>
      </c>
    </row>
    <row r="391" spans="1:7" x14ac:dyDescent="0.15">
      <c r="A391" s="6" t="s">
        <v>1122</v>
      </c>
      <c r="B391" s="6" t="s">
        <v>91</v>
      </c>
      <c r="C391" s="6" t="str">
        <f t="shared" si="5"/>
        <v>98c</v>
      </c>
      <c r="D391" s="7" t="s">
        <v>13</v>
      </c>
      <c r="E391" s="6">
        <v>98</v>
      </c>
      <c r="F391" s="7" t="s">
        <v>13</v>
      </c>
      <c r="G391" s="6">
        <v>500</v>
      </c>
    </row>
    <row r="392" spans="1:7" x14ac:dyDescent="0.15">
      <c r="A392" s="6" t="s">
        <v>1123</v>
      </c>
      <c r="B392" s="6" t="s">
        <v>91</v>
      </c>
      <c r="C392" s="6" t="str">
        <f t="shared" si="5"/>
        <v>99c</v>
      </c>
      <c r="D392" s="7" t="s">
        <v>13</v>
      </c>
      <c r="E392" s="6">
        <v>99</v>
      </c>
      <c r="F392" s="7" t="s">
        <v>13</v>
      </c>
      <c r="G392" s="6">
        <v>500</v>
      </c>
    </row>
    <row r="393" spans="1:7" x14ac:dyDescent="0.15">
      <c r="A393" s="6" t="s">
        <v>1118</v>
      </c>
      <c r="B393" s="6" t="s">
        <v>93</v>
      </c>
      <c r="C393" s="6" t="str">
        <f t="shared" ref="C393:C454" si="6">A393</f>
        <v>100c</v>
      </c>
      <c r="D393" s="7" t="s">
        <v>13</v>
      </c>
      <c r="E393" s="6">
        <v>100</v>
      </c>
      <c r="F393" s="7" t="s">
        <v>13</v>
      </c>
      <c r="G393" s="6">
        <v>500</v>
      </c>
    </row>
    <row r="394" spans="1:7" x14ac:dyDescent="0.15">
      <c r="A394" s="6" t="s">
        <v>1119</v>
      </c>
      <c r="B394" s="6" t="s">
        <v>93</v>
      </c>
      <c r="C394" s="6" t="str">
        <f t="shared" si="6"/>
        <v>95c</v>
      </c>
      <c r="D394" s="7" t="s">
        <v>13</v>
      </c>
      <c r="E394" s="6">
        <v>95</v>
      </c>
      <c r="F394" s="7" t="s">
        <v>13</v>
      </c>
      <c r="G394" s="6">
        <v>500</v>
      </c>
    </row>
    <row r="395" spans="1:7" x14ac:dyDescent="0.15">
      <c r="A395" s="6" t="s">
        <v>1120</v>
      </c>
      <c r="B395" s="6" t="s">
        <v>93</v>
      </c>
      <c r="C395" s="6" t="str">
        <f t="shared" si="6"/>
        <v>96c</v>
      </c>
      <c r="D395" s="7" t="s">
        <v>13</v>
      </c>
      <c r="E395" s="6">
        <v>96</v>
      </c>
      <c r="F395" s="7" t="s">
        <v>13</v>
      </c>
      <c r="G395" s="6">
        <v>500</v>
      </c>
    </row>
    <row r="396" spans="1:7" x14ac:dyDescent="0.15">
      <c r="A396" s="6" t="s">
        <v>1121</v>
      </c>
      <c r="B396" s="6" t="s">
        <v>93</v>
      </c>
      <c r="C396" s="6" t="str">
        <f t="shared" si="6"/>
        <v>97c</v>
      </c>
      <c r="D396" s="7" t="s">
        <v>13</v>
      </c>
      <c r="E396" s="6">
        <v>97</v>
      </c>
      <c r="F396" s="7" t="s">
        <v>13</v>
      </c>
      <c r="G396" s="6">
        <v>500</v>
      </c>
    </row>
    <row r="397" spans="1:7" x14ac:dyDescent="0.15">
      <c r="A397" s="6" t="s">
        <v>1122</v>
      </c>
      <c r="B397" s="6" t="s">
        <v>93</v>
      </c>
      <c r="C397" s="6" t="str">
        <f t="shared" si="6"/>
        <v>98c</v>
      </c>
      <c r="D397" s="7" t="s">
        <v>13</v>
      </c>
      <c r="E397" s="6">
        <v>98</v>
      </c>
      <c r="F397" s="7" t="s">
        <v>13</v>
      </c>
      <c r="G397" s="6">
        <v>500</v>
      </c>
    </row>
    <row r="398" spans="1:7" x14ac:dyDescent="0.15">
      <c r="A398" s="6" t="s">
        <v>1123</v>
      </c>
      <c r="B398" s="6" t="s">
        <v>93</v>
      </c>
      <c r="C398" s="6" t="str">
        <f t="shared" si="6"/>
        <v>99c</v>
      </c>
      <c r="D398" s="7" t="s">
        <v>13</v>
      </c>
      <c r="E398" s="6">
        <v>99</v>
      </c>
      <c r="F398" s="7" t="s">
        <v>13</v>
      </c>
      <c r="G398" s="6">
        <v>500</v>
      </c>
    </row>
    <row r="399" spans="1:7" x14ac:dyDescent="0.15">
      <c r="A399" s="6" t="s">
        <v>1124</v>
      </c>
      <c r="B399" s="6" t="s">
        <v>1125</v>
      </c>
      <c r="C399" s="6" t="str">
        <f t="shared" si="6"/>
        <v>bal</v>
      </c>
      <c r="D399" s="7" t="s">
        <v>13</v>
      </c>
      <c r="E399" s="6" t="s">
        <v>1126</v>
      </c>
      <c r="F399" s="6" t="s">
        <v>1127</v>
      </c>
      <c r="G399" s="6">
        <v>500</v>
      </c>
    </row>
    <row r="400" spans="1:7" x14ac:dyDescent="0.15">
      <c r="A400" s="6" t="s">
        <v>1128</v>
      </c>
      <c r="B400" s="6" t="s">
        <v>1125</v>
      </c>
      <c r="C400" s="6" t="str">
        <f t="shared" si="6"/>
        <v>cerebrospinal</v>
      </c>
      <c r="D400" s="7" t="s">
        <v>13</v>
      </c>
      <c r="E400" s="6" t="s">
        <v>1129</v>
      </c>
      <c r="F400" s="6" t="s">
        <v>1130</v>
      </c>
      <c r="G400" s="6">
        <v>500</v>
      </c>
    </row>
    <row r="401" spans="1:7" x14ac:dyDescent="0.15">
      <c r="A401" s="6" t="s">
        <v>1131</v>
      </c>
      <c r="B401" s="6" t="s">
        <v>1125</v>
      </c>
      <c r="C401" s="6" t="str">
        <f t="shared" si="6"/>
        <v>feces</v>
      </c>
      <c r="D401" s="7" t="s">
        <v>13</v>
      </c>
      <c r="E401" s="6" t="s">
        <v>1132</v>
      </c>
      <c r="F401" s="6" t="s">
        <v>1133</v>
      </c>
      <c r="G401" s="6">
        <v>500</v>
      </c>
    </row>
    <row r="402" spans="1:7" x14ac:dyDescent="0.15">
      <c r="A402" s="6" t="s">
        <v>1134</v>
      </c>
      <c r="B402" s="6" t="s">
        <v>1125</v>
      </c>
      <c r="C402" s="6" t="str">
        <f t="shared" si="6"/>
        <v>interstitial</v>
      </c>
      <c r="D402" s="7" t="s">
        <v>13</v>
      </c>
      <c r="E402" s="6" t="s">
        <v>1135</v>
      </c>
      <c r="F402" s="6" t="s">
        <v>1136</v>
      </c>
      <c r="G402" s="6">
        <v>500</v>
      </c>
    </row>
    <row r="403" spans="1:7" x14ac:dyDescent="0.15">
      <c r="A403" s="6" t="s">
        <v>1137</v>
      </c>
      <c r="B403" s="6" t="s">
        <v>1125</v>
      </c>
      <c r="C403" s="6" t="str">
        <f t="shared" si="6"/>
        <v>lymph</v>
      </c>
      <c r="D403" s="7" t="s">
        <v>13</v>
      </c>
      <c r="E403" s="6" t="s">
        <v>1138</v>
      </c>
      <c r="F403" s="6" t="s">
        <v>1139</v>
      </c>
      <c r="G403" s="6">
        <v>500</v>
      </c>
    </row>
    <row r="404" spans="1:7" x14ac:dyDescent="0.15">
      <c r="A404" s="6" t="s">
        <v>1140</v>
      </c>
      <c r="B404" s="6" t="s">
        <v>1125</v>
      </c>
      <c r="C404" s="6" t="str">
        <f t="shared" si="6"/>
        <v>peritoneal</v>
      </c>
      <c r="D404" s="7" t="s">
        <v>13</v>
      </c>
      <c r="E404" s="6" t="s">
        <v>1141</v>
      </c>
      <c r="F404" s="6" t="s">
        <v>1142</v>
      </c>
      <c r="G404" s="6">
        <v>500</v>
      </c>
    </row>
    <row r="405" spans="1:7" x14ac:dyDescent="0.15">
      <c r="A405" s="6" t="s">
        <v>1143</v>
      </c>
      <c r="B405" s="6" t="s">
        <v>1125</v>
      </c>
      <c r="C405" s="6" t="str">
        <f t="shared" si="6"/>
        <v>plasma</v>
      </c>
      <c r="D405" s="7" t="s">
        <v>13</v>
      </c>
      <c r="E405" s="6" t="s">
        <v>1144</v>
      </c>
      <c r="F405" s="6" t="s">
        <v>1145</v>
      </c>
      <c r="G405" s="6">
        <v>500</v>
      </c>
    </row>
    <row r="406" spans="1:7" x14ac:dyDescent="0.15">
      <c r="A406" s="6" t="s">
        <v>1146</v>
      </c>
      <c r="B406" s="6" t="s">
        <v>1125</v>
      </c>
      <c r="C406" s="6" t="str">
        <f t="shared" si="6"/>
        <v>pleural</v>
      </c>
      <c r="D406" s="7" t="s">
        <v>13</v>
      </c>
      <c r="E406" s="6" t="s">
        <v>1147</v>
      </c>
      <c r="F406" s="6" t="s">
        <v>1148</v>
      </c>
      <c r="G406" s="6">
        <v>500</v>
      </c>
    </row>
    <row r="407" spans="1:7" x14ac:dyDescent="0.15">
      <c r="A407" s="6" t="s">
        <v>1149</v>
      </c>
      <c r="B407" s="6" t="s">
        <v>1125</v>
      </c>
      <c r="C407" s="6" t="str">
        <f t="shared" si="6"/>
        <v>saliva</v>
      </c>
      <c r="D407" s="7" t="s">
        <v>13</v>
      </c>
      <c r="E407" s="6" t="s">
        <v>1150</v>
      </c>
      <c r="F407" s="6" t="s">
        <v>1151</v>
      </c>
      <c r="G407" s="6">
        <v>500</v>
      </c>
    </row>
    <row r="408" spans="1:7" x14ac:dyDescent="0.15">
      <c r="A408" s="6" t="s">
        <v>1152</v>
      </c>
      <c r="B408" s="6" t="s">
        <v>1125</v>
      </c>
      <c r="C408" s="6" t="str">
        <f t="shared" si="6"/>
        <v>seminal</v>
      </c>
      <c r="D408" s="7" t="s">
        <v>13</v>
      </c>
      <c r="E408" s="6" t="s">
        <v>1153</v>
      </c>
      <c r="F408" s="6" t="s">
        <v>1154</v>
      </c>
      <c r="G408" s="6">
        <v>500</v>
      </c>
    </row>
    <row r="409" spans="1:7" x14ac:dyDescent="0.15">
      <c r="A409" s="6" t="s">
        <v>1155</v>
      </c>
      <c r="B409" s="6" t="s">
        <v>1125</v>
      </c>
      <c r="C409" s="6" t="str">
        <f t="shared" si="6"/>
        <v>serum</v>
      </c>
      <c r="D409" s="7" t="s">
        <v>13</v>
      </c>
      <c r="E409" s="6" t="s">
        <v>1156</v>
      </c>
      <c r="F409" s="6" t="s">
        <v>1157</v>
      </c>
      <c r="G409" s="6">
        <v>500</v>
      </c>
    </row>
    <row r="410" spans="1:7" x14ac:dyDescent="0.15">
      <c r="A410" s="6" t="s">
        <v>1158</v>
      </c>
      <c r="B410" s="6" t="s">
        <v>1125</v>
      </c>
      <c r="C410" s="6" t="str">
        <f t="shared" si="6"/>
        <v>urine</v>
      </c>
      <c r="D410" s="7" t="s">
        <v>13</v>
      </c>
      <c r="E410" s="6" t="s">
        <v>1159</v>
      </c>
      <c r="F410" s="6" t="s">
        <v>1160</v>
      </c>
      <c r="G410" s="6">
        <v>500</v>
      </c>
    </row>
    <row r="411" spans="1:7" x14ac:dyDescent="0.15">
      <c r="A411" s="6" t="s">
        <v>1161</v>
      </c>
      <c r="B411" s="6" t="s">
        <v>1162</v>
      </c>
      <c r="C411" s="6" t="str">
        <f t="shared" si="6"/>
        <v>01k</v>
      </c>
      <c r="D411" s="6" t="s">
        <v>1161</v>
      </c>
      <c r="E411" s="6" t="s">
        <v>1161</v>
      </c>
      <c r="F411" s="6" t="s">
        <v>1163</v>
      </c>
      <c r="G411" s="6">
        <v>500</v>
      </c>
    </row>
    <row r="412" spans="1:7" x14ac:dyDescent="0.15">
      <c r="A412" s="6" t="s">
        <v>1164</v>
      </c>
      <c r="B412" s="6" t="s">
        <v>1162</v>
      </c>
      <c r="C412" s="6" t="str">
        <f t="shared" si="6"/>
        <v>05k</v>
      </c>
      <c r="D412" s="6" t="s">
        <v>1164</v>
      </c>
      <c r="E412" s="6" t="s">
        <v>1164</v>
      </c>
      <c r="F412" s="6" t="s">
        <v>1165</v>
      </c>
      <c r="G412" s="6">
        <v>500</v>
      </c>
    </row>
    <row r="413" spans="1:7" x14ac:dyDescent="0.15">
      <c r="A413" s="6" t="s">
        <v>1166</v>
      </c>
      <c r="B413" s="6" t="s">
        <v>1162</v>
      </c>
      <c r="C413" s="6" t="str">
        <f t="shared" si="6"/>
        <v>12k</v>
      </c>
      <c r="D413" s="6" t="s">
        <v>1166</v>
      </c>
      <c r="E413" s="6" t="s">
        <v>1166</v>
      </c>
      <c r="F413" s="6" t="s">
        <v>1167</v>
      </c>
      <c r="G413" s="6">
        <v>500</v>
      </c>
    </row>
    <row r="414" spans="1:7" x14ac:dyDescent="0.15">
      <c r="A414" s="6" t="s">
        <v>1168</v>
      </c>
      <c r="B414" s="6" t="s">
        <v>1162</v>
      </c>
      <c r="C414" s="6" t="str">
        <f t="shared" si="6"/>
        <v>24k</v>
      </c>
      <c r="D414" s="6" t="s">
        <v>1168</v>
      </c>
      <c r="E414" s="6" t="s">
        <v>1168</v>
      </c>
      <c r="F414" s="6" t="s">
        <v>1169</v>
      </c>
      <c r="G414" s="6">
        <v>500</v>
      </c>
    </row>
    <row r="415" spans="1:7" x14ac:dyDescent="0.15">
      <c r="A415" s="6" t="s">
        <v>1170</v>
      </c>
      <c r="B415" s="6" t="s">
        <v>1162</v>
      </c>
      <c r="C415" s="6" t="str">
        <f t="shared" si="6"/>
        <v>79k</v>
      </c>
      <c r="D415" s="6" t="s">
        <v>1170</v>
      </c>
      <c r="E415" s="6" t="s">
        <v>1170</v>
      </c>
      <c r="F415" s="6" t="s">
        <v>1171</v>
      </c>
      <c r="G415" s="6">
        <v>500</v>
      </c>
    </row>
    <row r="416" spans="1:7" x14ac:dyDescent="0.15">
      <c r="A416" s="6" t="s">
        <v>1172</v>
      </c>
      <c r="B416" s="6" t="s">
        <v>1162</v>
      </c>
      <c r="C416" s="6" t="str">
        <f t="shared" si="6"/>
        <v>crude_mito</v>
      </c>
      <c r="D416" s="6" t="s">
        <v>1173</v>
      </c>
      <c r="E416" s="6" t="s">
        <v>1174</v>
      </c>
      <c r="F416" s="6" t="s">
        <v>1175</v>
      </c>
      <c r="G416" s="6">
        <v>500</v>
      </c>
    </row>
    <row r="417" spans="1:7" x14ac:dyDescent="0.15">
      <c r="A417" s="6" t="s">
        <v>1176</v>
      </c>
      <c r="B417" s="6" t="s">
        <v>1162</v>
      </c>
      <c r="C417" s="6" t="str">
        <f t="shared" si="6"/>
        <v>cytosolic</v>
      </c>
      <c r="D417" s="6" t="s">
        <v>1176</v>
      </c>
      <c r="E417" s="6" t="s">
        <v>1177</v>
      </c>
      <c r="F417" s="6" t="s">
        <v>1178</v>
      </c>
      <c r="G417" s="6">
        <v>500</v>
      </c>
    </row>
    <row r="418" spans="1:7" x14ac:dyDescent="0.15">
      <c r="A418" s="6" t="s">
        <v>1179</v>
      </c>
      <c r="B418" s="6" t="s">
        <v>1162</v>
      </c>
      <c r="C418" s="6" t="str">
        <f t="shared" si="6"/>
        <v>total</v>
      </c>
      <c r="D418" s="6" t="s">
        <v>1179</v>
      </c>
      <c r="E418" s="6" t="s">
        <v>1180</v>
      </c>
      <c r="F418" s="6" t="s">
        <v>1181</v>
      </c>
      <c r="G418" s="6">
        <v>500</v>
      </c>
    </row>
    <row r="419" spans="1:7" x14ac:dyDescent="0.15">
      <c r="A419" s="6" t="s">
        <v>3081</v>
      </c>
      <c r="B419" s="6" t="s">
        <v>1162</v>
      </c>
      <c r="C419" s="6" t="str">
        <f t="shared" si="6"/>
        <v>pellet</v>
      </c>
      <c r="D419" s="6" t="s">
        <v>3081</v>
      </c>
      <c r="E419" s="6" t="s">
        <v>3082</v>
      </c>
      <c r="F419" s="6" t="s">
        <v>3084</v>
      </c>
      <c r="G419" s="6">
        <v>500</v>
      </c>
    </row>
    <row r="420" spans="1:7" x14ac:dyDescent="0.15">
      <c r="A420" s="6" t="s">
        <v>2918</v>
      </c>
      <c r="B420" s="6" t="s">
        <v>1162</v>
      </c>
      <c r="C420" s="6" t="str">
        <f t="shared" si="6"/>
        <v>supernatant</v>
      </c>
      <c r="D420" s="6" t="s">
        <v>2918</v>
      </c>
      <c r="E420" s="6" t="s">
        <v>2919</v>
      </c>
      <c r="F420" s="6" t="s">
        <v>3083</v>
      </c>
      <c r="G420" s="6">
        <v>500</v>
      </c>
    </row>
    <row r="421" spans="1:7" x14ac:dyDescent="0.15">
      <c r="A421" s="6" t="s">
        <v>2877</v>
      </c>
      <c r="B421" s="6" t="s">
        <v>100</v>
      </c>
      <c r="C421" s="6" t="str">
        <f t="shared" si="6"/>
        <v>homologrecombination</v>
      </c>
      <c r="D421" s="6" t="s">
        <v>13</v>
      </c>
      <c r="E421" s="6" t="s">
        <v>2878</v>
      </c>
      <c r="F421" s="6" t="s">
        <v>2879</v>
      </c>
      <c r="G421" s="6">
        <v>500</v>
      </c>
    </row>
    <row r="422" spans="1:7" x14ac:dyDescent="0.15">
      <c r="A422" s="6" t="s">
        <v>1182</v>
      </c>
      <c r="B422" s="6" t="s">
        <v>100</v>
      </c>
      <c r="C422" s="6" t="str">
        <f t="shared" si="6"/>
        <v>biggybac</v>
      </c>
      <c r="D422" s="7" t="s">
        <v>13</v>
      </c>
      <c r="E422" s="6" t="s">
        <v>1183</v>
      </c>
      <c r="F422" s="6" t="s">
        <v>1184</v>
      </c>
      <c r="G422" s="6">
        <v>500</v>
      </c>
    </row>
    <row r="423" spans="1:7" x14ac:dyDescent="0.15">
      <c r="A423" s="6" t="s">
        <v>1185</v>
      </c>
      <c r="B423" s="6" t="s">
        <v>100</v>
      </c>
      <c r="C423" s="6" t="str">
        <f t="shared" si="6"/>
        <v>crispr</v>
      </c>
      <c r="D423" s="7" t="s">
        <v>13</v>
      </c>
      <c r="E423" s="6" t="s">
        <v>1186</v>
      </c>
      <c r="F423" s="6" t="s">
        <v>1187</v>
      </c>
      <c r="G423" s="6">
        <v>500</v>
      </c>
    </row>
    <row r="424" spans="1:7" x14ac:dyDescent="0.15">
      <c r="A424" s="6" t="s">
        <v>1188</v>
      </c>
      <c r="B424" s="6" t="s">
        <v>100</v>
      </c>
      <c r="C424" s="6" t="str">
        <f t="shared" si="6"/>
        <v>crispr_hdr</v>
      </c>
      <c r="D424" s="7" t="s">
        <v>13</v>
      </c>
      <c r="E424" s="6" t="s">
        <v>1189</v>
      </c>
      <c r="F424" s="6" t="s">
        <v>1190</v>
      </c>
      <c r="G424" s="6">
        <v>500</v>
      </c>
    </row>
    <row r="425" spans="1:7" x14ac:dyDescent="0.15">
      <c r="A425" s="6" t="s">
        <v>1191</v>
      </c>
      <c r="B425" s="6" t="s">
        <v>100</v>
      </c>
      <c r="C425" s="6" t="str">
        <f t="shared" si="6"/>
        <v>lentiviral</v>
      </c>
      <c r="D425" s="7" t="s">
        <v>13</v>
      </c>
      <c r="E425" s="6" t="s">
        <v>1192</v>
      </c>
      <c r="F425" s="6" t="s">
        <v>1193</v>
      </c>
      <c r="G425" s="6">
        <v>500</v>
      </c>
    </row>
    <row r="426" spans="1:7" x14ac:dyDescent="0.15">
      <c r="A426" s="6" t="s">
        <v>1194</v>
      </c>
      <c r="B426" s="6" t="s">
        <v>100</v>
      </c>
      <c r="C426" s="6" t="str">
        <f t="shared" si="6"/>
        <v>talen</v>
      </c>
      <c r="D426" s="7" t="s">
        <v>13</v>
      </c>
      <c r="E426" s="6" t="s">
        <v>1195</v>
      </c>
      <c r="F426" s="6" t="s">
        <v>1196</v>
      </c>
      <c r="G426" s="6">
        <v>500</v>
      </c>
    </row>
    <row r="427" spans="1:7" x14ac:dyDescent="0.15">
      <c r="A427" s="6" t="s">
        <v>1197</v>
      </c>
      <c r="B427" s="6" t="s">
        <v>100</v>
      </c>
      <c r="C427" s="6" t="str">
        <f t="shared" si="6"/>
        <v>zincfinger</v>
      </c>
      <c r="D427" s="7" t="s">
        <v>13</v>
      </c>
      <c r="E427" s="6" t="s">
        <v>1198</v>
      </c>
      <c r="F427" s="6" t="s">
        <v>1199</v>
      </c>
      <c r="G427" s="6">
        <v>500</v>
      </c>
    </row>
    <row r="428" spans="1:7" x14ac:dyDescent="0.15">
      <c r="A428" s="6" t="s">
        <v>1200</v>
      </c>
      <c r="B428" s="6" t="s">
        <v>104</v>
      </c>
      <c r="C428" s="6" t="str">
        <f t="shared" si="6"/>
        <v>deletion</v>
      </c>
      <c r="D428" s="7" t="s">
        <v>13</v>
      </c>
      <c r="E428" s="6" t="s">
        <v>1201</v>
      </c>
      <c r="F428" s="6" t="s">
        <v>1202</v>
      </c>
      <c r="G428" s="6">
        <v>500</v>
      </c>
    </row>
    <row r="429" spans="1:7" x14ac:dyDescent="0.15">
      <c r="A429" s="6" t="s">
        <v>1203</v>
      </c>
      <c r="B429" s="6" t="s">
        <v>104</v>
      </c>
      <c r="C429" s="6" t="str">
        <f t="shared" si="6"/>
        <v>inducible_expression</v>
      </c>
      <c r="D429" s="7" t="s">
        <v>13</v>
      </c>
      <c r="E429" s="6" t="s">
        <v>1204</v>
      </c>
      <c r="F429" s="6" t="s">
        <v>1205</v>
      </c>
      <c r="G429" s="6">
        <v>500</v>
      </c>
    </row>
    <row r="430" spans="1:7" x14ac:dyDescent="0.15">
      <c r="A430" s="6" t="s">
        <v>1206</v>
      </c>
      <c r="B430" s="6" t="s">
        <v>104</v>
      </c>
      <c r="C430" s="6" t="str">
        <f t="shared" si="6"/>
        <v>knockin</v>
      </c>
      <c r="D430" s="7" t="s">
        <v>13</v>
      </c>
      <c r="E430" s="6" t="s">
        <v>1207</v>
      </c>
      <c r="F430" s="6" t="s">
        <v>1208</v>
      </c>
      <c r="G430" s="6">
        <v>500</v>
      </c>
    </row>
    <row r="431" spans="1:7" x14ac:dyDescent="0.15">
      <c r="A431" s="6" t="s">
        <v>1209</v>
      </c>
      <c r="B431" s="6" t="s">
        <v>104</v>
      </c>
      <c r="C431" s="6" t="str">
        <f t="shared" si="6"/>
        <v>ko</v>
      </c>
      <c r="D431" s="7" t="s">
        <v>13</v>
      </c>
      <c r="E431" s="6" t="s">
        <v>1210</v>
      </c>
      <c r="F431" s="6" t="s">
        <v>1211</v>
      </c>
      <c r="G431" s="6">
        <v>500</v>
      </c>
    </row>
    <row r="432" spans="1:7" x14ac:dyDescent="0.15">
      <c r="A432" s="6" t="s">
        <v>1212</v>
      </c>
      <c r="B432" s="6" t="s">
        <v>104</v>
      </c>
      <c r="C432" s="6" t="str">
        <f t="shared" si="6"/>
        <v>stable_expression</v>
      </c>
      <c r="D432" s="7" t="s">
        <v>13</v>
      </c>
      <c r="E432" s="6" t="s">
        <v>1213</v>
      </c>
      <c r="F432" s="6" t="s">
        <v>1214</v>
      </c>
      <c r="G432" s="6">
        <v>500</v>
      </c>
    </row>
    <row r="433" spans="1:7" x14ac:dyDescent="0.15">
      <c r="A433" s="6" t="s">
        <v>3945</v>
      </c>
      <c r="B433" s="6" t="s">
        <v>101</v>
      </c>
      <c r="C433" s="6" t="str">
        <f t="shared" si="6"/>
        <v>hetero</v>
      </c>
      <c r="D433" s="7" t="s">
        <v>13</v>
      </c>
      <c r="E433" s="6" t="s">
        <v>1215</v>
      </c>
      <c r="F433" s="6" t="s">
        <v>1216</v>
      </c>
      <c r="G433" s="6">
        <v>500</v>
      </c>
    </row>
    <row r="434" spans="1:7" x14ac:dyDescent="0.15">
      <c r="A434" s="6" t="s">
        <v>3946</v>
      </c>
      <c r="B434" s="6" t="s">
        <v>101</v>
      </c>
      <c r="C434" s="6" t="str">
        <f t="shared" si="6"/>
        <v>homozygot</v>
      </c>
      <c r="D434" s="7" t="s">
        <v>13</v>
      </c>
      <c r="E434" s="6" t="s">
        <v>1217</v>
      </c>
      <c r="F434" s="6" t="s">
        <v>1218</v>
      </c>
      <c r="G434" s="6">
        <v>500</v>
      </c>
    </row>
    <row r="435" spans="1:7" x14ac:dyDescent="0.15">
      <c r="A435" s="6" t="s">
        <v>2608</v>
      </c>
      <c r="B435" s="6" t="s">
        <v>101</v>
      </c>
      <c r="C435" s="6" t="str">
        <f t="shared" si="6"/>
        <v>wt</v>
      </c>
      <c r="D435" s="7" t="s">
        <v>13</v>
      </c>
      <c r="E435" s="6" t="s">
        <v>2724</v>
      </c>
      <c r="F435" s="6" t="s">
        <v>2725</v>
      </c>
      <c r="G435" s="6">
        <v>500</v>
      </c>
    </row>
    <row r="436" spans="1:7" x14ac:dyDescent="0.15">
      <c r="A436" s="6" t="s">
        <v>2939</v>
      </c>
      <c r="B436" s="6" t="s">
        <v>101</v>
      </c>
      <c r="C436" s="6" t="str">
        <f t="shared" si="6"/>
        <v>hemi</v>
      </c>
      <c r="D436" s="7" t="s">
        <v>13</v>
      </c>
      <c r="E436" s="6" t="s">
        <v>2940</v>
      </c>
      <c r="F436" s="6" t="s">
        <v>2941</v>
      </c>
      <c r="G436" s="6">
        <v>500</v>
      </c>
    </row>
    <row r="437" spans="1:7" x14ac:dyDescent="0.15">
      <c r="A437" s="6" t="s">
        <v>2732</v>
      </c>
      <c r="B437" s="6" t="s">
        <v>101</v>
      </c>
      <c r="C437" s="6" t="str">
        <f t="shared" si="6"/>
        <v>unknown</v>
      </c>
      <c r="D437" s="7" t="s">
        <v>13</v>
      </c>
      <c r="E437" s="6" t="s">
        <v>2777</v>
      </c>
      <c r="F437" s="6" t="s">
        <v>2733</v>
      </c>
      <c r="G437" s="6">
        <v>500</v>
      </c>
    </row>
    <row r="438" spans="1:7" x14ac:dyDescent="0.15">
      <c r="A438" s="6" t="s">
        <v>2873</v>
      </c>
      <c r="B438" s="6" t="s">
        <v>2871</v>
      </c>
      <c r="C438" s="6" t="str">
        <f t="shared" si="6"/>
        <v>male</v>
      </c>
      <c r="D438" s="7" t="s">
        <v>13</v>
      </c>
      <c r="E438" s="6" t="s">
        <v>2874</v>
      </c>
      <c r="F438" s="6" t="s">
        <v>2874</v>
      </c>
      <c r="G438" s="6">
        <v>500</v>
      </c>
    </row>
    <row r="439" spans="1:7" x14ac:dyDescent="0.15">
      <c r="A439" s="6" t="s">
        <v>2875</v>
      </c>
      <c r="B439" s="6" t="s">
        <v>2871</v>
      </c>
      <c r="C439" s="6" t="str">
        <f t="shared" si="6"/>
        <v>female</v>
      </c>
      <c r="D439" s="7" t="s">
        <v>13</v>
      </c>
      <c r="E439" s="6" t="s">
        <v>2876</v>
      </c>
      <c r="F439" s="6" t="s">
        <v>2876</v>
      </c>
      <c r="G439" s="6">
        <v>500</v>
      </c>
    </row>
    <row r="440" spans="1:7" x14ac:dyDescent="0.15">
      <c r="A440" s="6" t="s">
        <v>3213</v>
      </c>
      <c r="B440" s="6" t="s">
        <v>3212</v>
      </c>
      <c r="C440" s="6" t="str">
        <f t="shared" si="6"/>
        <v>binary</v>
      </c>
      <c r="D440" s="7" t="s">
        <v>13</v>
      </c>
      <c r="E440" s="6" t="s">
        <v>3214</v>
      </c>
      <c r="F440" s="6" t="s">
        <v>3215</v>
      </c>
      <c r="G440" s="6">
        <v>500</v>
      </c>
    </row>
    <row r="441" spans="1:7" x14ac:dyDescent="0.15">
      <c r="A441" s="6" t="s">
        <v>1219</v>
      </c>
      <c r="B441" s="6" t="s">
        <v>107</v>
      </c>
      <c r="C441" s="6" t="str">
        <f t="shared" si="6"/>
        <v>14dia</v>
      </c>
      <c r="D441" s="7" t="s">
        <v>13</v>
      </c>
      <c r="E441" s="6">
        <v>14</v>
      </c>
      <c r="F441" s="6" t="s">
        <v>1220</v>
      </c>
      <c r="G441" s="6">
        <v>500</v>
      </c>
    </row>
    <row r="442" spans="1:7" x14ac:dyDescent="0.15">
      <c r="A442" s="6" t="s">
        <v>1221</v>
      </c>
      <c r="B442" s="6" t="s">
        <v>107</v>
      </c>
      <c r="C442" s="6" t="str">
        <f t="shared" si="6"/>
        <v>onepointfour</v>
      </c>
      <c r="D442" s="7" t="s">
        <v>13</v>
      </c>
      <c r="E442" s="6">
        <v>1.4</v>
      </c>
      <c r="F442" s="6" t="s">
        <v>1222</v>
      </c>
      <c r="G442" s="6">
        <v>500</v>
      </c>
    </row>
    <row r="443" spans="1:7" x14ac:dyDescent="0.15">
      <c r="A443" s="6" t="s">
        <v>1223</v>
      </c>
      <c r="B443" s="6" t="s">
        <v>108</v>
      </c>
      <c r="C443" s="6" t="str">
        <f t="shared" si="6"/>
        <v>esirna</v>
      </c>
      <c r="D443" s="6" t="s">
        <v>1223</v>
      </c>
      <c r="E443" s="6" t="s">
        <v>1224</v>
      </c>
      <c r="F443" s="6" t="s">
        <v>1225</v>
      </c>
      <c r="G443" s="6">
        <v>500</v>
      </c>
    </row>
    <row r="444" spans="1:7" x14ac:dyDescent="0.15">
      <c r="A444" s="6" t="s">
        <v>1226</v>
      </c>
      <c r="B444" s="6" t="s">
        <v>108</v>
      </c>
      <c r="C444" s="6" t="str">
        <f t="shared" si="6"/>
        <v>grna</v>
      </c>
      <c r="D444" s="6" t="s">
        <v>1226</v>
      </c>
      <c r="E444" s="6" t="s">
        <v>1227</v>
      </c>
      <c r="F444" s="6" t="s">
        <v>1228</v>
      </c>
      <c r="G444" s="6">
        <v>500</v>
      </c>
    </row>
    <row r="445" spans="1:7" x14ac:dyDescent="0.15">
      <c r="A445" s="6" t="s">
        <v>1229</v>
      </c>
      <c r="B445" s="6" t="s">
        <v>108</v>
      </c>
      <c r="C445" s="6" t="str">
        <f t="shared" si="6"/>
        <v>mirna</v>
      </c>
      <c r="D445" s="6" t="s">
        <v>1229</v>
      </c>
      <c r="E445" s="6" t="s">
        <v>1230</v>
      </c>
      <c r="F445" s="6" t="s">
        <v>1231</v>
      </c>
      <c r="G445" s="6">
        <v>500</v>
      </c>
    </row>
    <row r="446" spans="1:7" x14ac:dyDescent="0.15">
      <c r="A446" s="6" t="s">
        <v>1232</v>
      </c>
      <c r="B446" s="6" t="s">
        <v>108</v>
      </c>
      <c r="C446" s="6" t="str">
        <f t="shared" si="6"/>
        <v>shrna</v>
      </c>
      <c r="D446" s="6" t="s">
        <v>1232</v>
      </c>
      <c r="E446" s="6" t="s">
        <v>1233</v>
      </c>
      <c r="F446" s="6" t="s">
        <v>1234</v>
      </c>
      <c r="G446" s="6">
        <v>500</v>
      </c>
    </row>
    <row r="447" spans="1:7" x14ac:dyDescent="0.15">
      <c r="A447" s="6" t="s">
        <v>1235</v>
      </c>
      <c r="B447" s="6" t="s">
        <v>108</v>
      </c>
      <c r="C447" s="6" t="str">
        <f t="shared" si="6"/>
        <v>sirna</v>
      </c>
      <c r="D447" s="6" t="s">
        <v>1235</v>
      </c>
      <c r="E447" s="6" t="s">
        <v>1236</v>
      </c>
      <c r="F447" s="6" t="s">
        <v>1237</v>
      </c>
      <c r="G447" s="6">
        <v>500</v>
      </c>
    </row>
    <row r="448" spans="1:7" x14ac:dyDescent="0.15">
      <c r="A448" s="6" t="s">
        <v>3103</v>
      </c>
      <c r="B448" s="6" t="s">
        <v>111</v>
      </c>
      <c r="C448" s="6" t="str">
        <f t="shared" si="6"/>
        <v>185nlmin</v>
      </c>
      <c r="D448" s="7" t="s">
        <v>13</v>
      </c>
      <c r="E448" s="6">
        <v>185</v>
      </c>
      <c r="F448" s="6" t="s">
        <v>3102</v>
      </c>
      <c r="G448" s="6">
        <v>500</v>
      </c>
    </row>
    <row r="449" spans="1:7" x14ac:dyDescent="0.15">
      <c r="A449" s="6" t="s">
        <v>1238</v>
      </c>
      <c r="B449" s="6" t="s">
        <v>111</v>
      </c>
      <c r="C449" s="6" t="str">
        <f t="shared" si="6"/>
        <v>200nlmin</v>
      </c>
      <c r="D449" s="7" t="s">
        <v>13</v>
      </c>
      <c r="E449" s="6">
        <v>200</v>
      </c>
      <c r="F449" s="6" t="s">
        <v>1239</v>
      </c>
      <c r="G449" s="6">
        <v>500</v>
      </c>
    </row>
    <row r="450" spans="1:7" x14ac:dyDescent="0.15">
      <c r="A450" s="6" t="s">
        <v>1240</v>
      </c>
      <c r="B450" s="6" t="s">
        <v>111</v>
      </c>
      <c r="C450" s="6" t="str">
        <f t="shared" si="6"/>
        <v>250nlmin</v>
      </c>
      <c r="D450" s="7" t="s">
        <v>13</v>
      </c>
      <c r="E450" s="6">
        <v>250</v>
      </c>
      <c r="F450" s="6" t="s">
        <v>1241</v>
      </c>
      <c r="G450" s="6">
        <v>500</v>
      </c>
    </row>
    <row r="451" spans="1:7" x14ac:dyDescent="0.15">
      <c r="A451" s="6" t="s">
        <v>1242</v>
      </c>
      <c r="B451" s="6" t="s">
        <v>111</v>
      </c>
      <c r="C451" s="6" t="str">
        <f t="shared" si="6"/>
        <v>500nlmin</v>
      </c>
      <c r="D451" s="7" t="s">
        <v>13</v>
      </c>
      <c r="E451" s="6">
        <v>500</v>
      </c>
      <c r="F451" s="6" t="s">
        <v>1243</v>
      </c>
      <c r="G451" s="6">
        <v>500</v>
      </c>
    </row>
    <row r="452" spans="1:7" x14ac:dyDescent="0.15">
      <c r="A452" s="6" t="s">
        <v>1244</v>
      </c>
      <c r="B452" s="6" t="s">
        <v>4094</v>
      </c>
      <c r="C452" s="6" t="str">
        <f t="shared" si="6"/>
        <v>e1000</v>
      </c>
      <c r="D452" s="6" t="s">
        <v>1244</v>
      </c>
      <c r="E452" s="6" t="s">
        <v>1245</v>
      </c>
      <c r="F452" s="6" t="s">
        <v>1246</v>
      </c>
      <c r="G452" s="6">
        <v>500</v>
      </c>
    </row>
    <row r="453" spans="1:7" x14ac:dyDescent="0.15">
      <c r="A453" s="6" t="s">
        <v>1247</v>
      </c>
      <c r="B453" s="6" t="s">
        <v>4094</v>
      </c>
      <c r="C453" s="6" t="str">
        <f t="shared" si="6"/>
        <v>e1200</v>
      </c>
      <c r="D453" s="6" t="s">
        <v>1247</v>
      </c>
      <c r="E453" s="6" t="s">
        <v>1248</v>
      </c>
      <c r="F453" s="6" t="s">
        <v>1249</v>
      </c>
      <c r="G453" s="6">
        <v>500</v>
      </c>
    </row>
    <row r="454" spans="1:7" x14ac:dyDescent="0.15">
      <c r="A454" s="6" t="s">
        <v>1250</v>
      </c>
      <c r="B454" s="6" t="s">
        <v>4094</v>
      </c>
      <c r="C454" s="6" t="str">
        <f t="shared" si="6"/>
        <v>evosep</v>
      </c>
      <c r="D454" s="6" t="s">
        <v>1250</v>
      </c>
      <c r="E454" s="6" t="s">
        <v>1251</v>
      </c>
      <c r="F454" s="6" t="s">
        <v>1251</v>
      </c>
      <c r="G454" s="6">
        <v>500</v>
      </c>
    </row>
    <row r="455" spans="1:7" x14ac:dyDescent="0.15">
      <c r="A455" s="6" t="s">
        <v>1252</v>
      </c>
      <c r="B455" s="6" t="s">
        <v>4094</v>
      </c>
      <c r="C455" s="6" t="str">
        <f t="shared" ref="C455:C521" si="7">A455</f>
        <v>nanoelute</v>
      </c>
      <c r="D455" s="6" t="s">
        <v>1252</v>
      </c>
      <c r="E455" s="6" t="s">
        <v>1253</v>
      </c>
      <c r="F455" s="6" t="s">
        <v>1254</v>
      </c>
      <c r="G455" s="6">
        <v>500</v>
      </c>
    </row>
    <row r="456" spans="1:7" x14ac:dyDescent="0.15">
      <c r="A456" s="6" t="s">
        <v>1255</v>
      </c>
      <c r="B456" s="6" t="s">
        <v>4094</v>
      </c>
      <c r="C456" s="6" t="str">
        <f t="shared" si="7"/>
        <v>ultimate</v>
      </c>
      <c r="D456" s="6" t="s">
        <v>1255</v>
      </c>
      <c r="E456" s="6" t="s">
        <v>1256</v>
      </c>
      <c r="F456" s="6" t="s">
        <v>1257</v>
      </c>
      <c r="G456" s="6">
        <v>500</v>
      </c>
    </row>
    <row r="457" spans="1:7" x14ac:dyDescent="0.15">
      <c r="A457" s="6" t="s">
        <v>1258</v>
      </c>
      <c r="B457" s="6" t="s">
        <v>4094</v>
      </c>
      <c r="C457" s="6" t="str">
        <f t="shared" si="7"/>
        <v>vanquish</v>
      </c>
      <c r="D457" s="6" t="s">
        <v>1258</v>
      </c>
      <c r="E457" s="6" t="s">
        <v>1259</v>
      </c>
      <c r="F457" s="6" t="s">
        <v>1260</v>
      </c>
      <c r="G457" s="6">
        <v>500</v>
      </c>
    </row>
    <row r="458" spans="1:7" x14ac:dyDescent="0.15">
      <c r="A458" s="6" t="s">
        <v>2933</v>
      </c>
      <c r="B458" s="6" t="s">
        <v>4095</v>
      </c>
      <c r="C458" s="6" t="str">
        <f t="shared" si="7"/>
        <v>easy1200mpi</v>
      </c>
      <c r="D458" s="6" t="s">
        <v>13</v>
      </c>
      <c r="E458" s="6" t="s">
        <v>2934</v>
      </c>
      <c r="F458" s="6" t="s">
        <v>2935</v>
      </c>
      <c r="G458" s="6">
        <v>500</v>
      </c>
    </row>
    <row r="459" spans="1:7" x14ac:dyDescent="0.15">
      <c r="A459" s="6" t="s">
        <v>1261</v>
      </c>
      <c r="B459" s="6" t="s">
        <v>4095</v>
      </c>
      <c r="C459" s="6" t="str">
        <f t="shared" si="7"/>
        <v>easylc1</v>
      </c>
      <c r="D459" s="7" t="s">
        <v>13</v>
      </c>
      <c r="E459" s="6" t="s">
        <v>1262</v>
      </c>
      <c r="F459" s="6" t="s">
        <v>1262</v>
      </c>
      <c r="G459" s="6">
        <v>500</v>
      </c>
    </row>
    <row r="460" spans="1:7" x14ac:dyDescent="0.15">
      <c r="A460" s="6" t="s">
        <v>1263</v>
      </c>
      <c r="B460" s="6" t="s">
        <v>4095</v>
      </c>
      <c r="C460" s="6" t="str">
        <f t="shared" si="7"/>
        <v>easylc2</v>
      </c>
      <c r="D460" s="7" t="s">
        <v>13</v>
      </c>
      <c r="E460" s="6" t="s">
        <v>1264</v>
      </c>
      <c r="F460" s="6" t="s">
        <v>1264</v>
      </c>
      <c r="G460" s="6">
        <v>500</v>
      </c>
    </row>
    <row r="461" spans="1:7" x14ac:dyDescent="0.15">
      <c r="A461" s="6" t="s">
        <v>1265</v>
      </c>
      <c r="B461" s="6" t="s">
        <v>4095</v>
      </c>
      <c r="C461" s="6" t="str">
        <f t="shared" si="7"/>
        <v>evosep1</v>
      </c>
      <c r="D461" s="7" t="s">
        <v>13</v>
      </c>
      <c r="E461" s="6" t="s">
        <v>1266</v>
      </c>
      <c r="F461" s="6" t="s">
        <v>1267</v>
      </c>
      <c r="G461" s="6">
        <v>500</v>
      </c>
    </row>
    <row r="462" spans="1:7" x14ac:dyDescent="0.15">
      <c r="A462" s="6" t="s">
        <v>1268</v>
      </c>
      <c r="B462" s="6" t="s">
        <v>4095</v>
      </c>
      <c r="C462" s="6" t="str">
        <f t="shared" si="7"/>
        <v>vanquishneo1</v>
      </c>
      <c r="D462" s="7" t="s">
        <v>13</v>
      </c>
      <c r="E462" s="6" t="s">
        <v>1269</v>
      </c>
      <c r="F462" s="6" t="s">
        <v>1269</v>
      </c>
      <c r="G462" s="6">
        <v>500</v>
      </c>
    </row>
    <row r="463" spans="1:7" x14ac:dyDescent="0.15">
      <c r="A463" s="6" t="s">
        <v>1270</v>
      </c>
      <c r="B463" s="6" t="s">
        <v>113</v>
      </c>
      <c r="C463" s="6" t="str">
        <f t="shared" si="7"/>
        <v>bravo</v>
      </c>
      <c r="D463" s="6" t="s">
        <v>1270</v>
      </c>
      <c r="E463" s="6" t="s">
        <v>1271</v>
      </c>
      <c r="F463" s="6" t="s">
        <v>1272</v>
      </c>
      <c r="G463" s="6">
        <v>500</v>
      </c>
    </row>
    <row r="464" spans="1:7" x14ac:dyDescent="0.15">
      <c r="A464" s="6" t="s">
        <v>1273</v>
      </c>
      <c r="B464" s="6" t="s">
        <v>113</v>
      </c>
      <c r="C464" s="6" t="str">
        <f t="shared" si="7"/>
        <v>felix</v>
      </c>
      <c r="D464" s="6" t="s">
        <v>1273</v>
      </c>
      <c r="E464" s="6" t="s">
        <v>1274</v>
      </c>
      <c r="F464" s="6" t="s">
        <v>1275</v>
      </c>
      <c r="G464" s="6">
        <v>500</v>
      </c>
    </row>
    <row r="465" spans="1:7" x14ac:dyDescent="0.15">
      <c r="A465" s="6" t="s">
        <v>1276</v>
      </c>
      <c r="B465" s="6" t="s">
        <v>113</v>
      </c>
      <c r="C465" s="6" t="str">
        <f t="shared" si="7"/>
        <v>kingfisher</v>
      </c>
      <c r="D465" s="6" t="s">
        <v>1276</v>
      </c>
      <c r="E465" s="6" t="s">
        <v>1277</v>
      </c>
      <c r="F465" s="6" t="s">
        <v>1278</v>
      </c>
      <c r="G465" s="6">
        <v>500</v>
      </c>
    </row>
    <row r="466" spans="1:7" x14ac:dyDescent="0.15">
      <c r="A466" s="6" t="s">
        <v>1279</v>
      </c>
      <c r="B466" s="6" t="s">
        <v>113</v>
      </c>
      <c r="C466" s="6" t="str">
        <f t="shared" si="7"/>
        <v>microlabhamilton</v>
      </c>
      <c r="D466" s="6" t="s">
        <v>1279</v>
      </c>
      <c r="E466" s="6" t="s">
        <v>1280</v>
      </c>
      <c r="F466" s="6" t="s">
        <v>1281</v>
      </c>
      <c r="G466" s="6">
        <v>500</v>
      </c>
    </row>
    <row r="467" spans="1:7" x14ac:dyDescent="0.15">
      <c r="A467" s="6" t="s">
        <v>1282</v>
      </c>
      <c r="B467" s="6" t="s">
        <v>113</v>
      </c>
      <c r="C467" s="6" t="str">
        <f t="shared" si="7"/>
        <v>mosquitoHV</v>
      </c>
      <c r="D467" s="6" t="s">
        <v>1282</v>
      </c>
      <c r="E467" s="6" t="s">
        <v>1283</v>
      </c>
      <c r="F467" s="6" t="s">
        <v>1284</v>
      </c>
      <c r="G467" s="6">
        <v>500</v>
      </c>
    </row>
    <row r="468" spans="1:7" x14ac:dyDescent="0.15">
      <c r="A468" s="6" t="s">
        <v>1285</v>
      </c>
      <c r="B468" s="6" t="s">
        <v>113</v>
      </c>
      <c r="C468" s="6" t="str">
        <f t="shared" si="7"/>
        <v>mosquitoLV</v>
      </c>
      <c r="D468" s="6" t="s">
        <v>1285</v>
      </c>
      <c r="E468" s="6" t="s">
        <v>1286</v>
      </c>
      <c r="F468" s="6" t="s">
        <v>1287</v>
      </c>
      <c r="G468" s="6">
        <v>500</v>
      </c>
    </row>
    <row r="469" spans="1:7" x14ac:dyDescent="0.15">
      <c r="A469" s="6" t="s">
        <v>1288</v>
      </c>
      <c r="B469" s="6" t="s">
        <v>113</v>
      </c>
      <c r="C469" s="6" t="str">
        <f t="shared" si="7"/>
        <v>opentrons</v>
      </c>
      <c r="D469" s="6" t="s">
        <v>1288</v>
      </c>
      <c r="E469" s="6" t="s">
        <v>2772</v>
      </c>
      <c r="F469" s="6" t="s">
        <v>2772</v>
      </c>
      <c r="G469" s="6">
        <v>500</v>
      </c>
    </row>
    <row r="470" spans="1:7" x14ac:dyDescent="0.15">
      <c r="A470" s="6" t="s">
        <v>2936</v>
      </c>
      <c r="B470" s="6" t="s">
        <v>113</v>
      </c>
      <c r="C470" s="6" t="str">
        <f t="shared" si="7"/>
        <v>opentronsot2</v>
      </c>
      <c r="D470" s="6" t="s">
        <v>1288</v>
      </c>
      <c r="E470" s="6" t="s">
        <v>2773</v>
      </c>
      <c r="F470" s="6" t="s">
        <v>2773</v>
      </c>
      <c r="G470" s="6">
        <v>500</v>
      </c>
    </row>
    <row r="471" spans="1:7" x14ac:dyDescent="0.15">
      <c r="A471" s="6" t="s">
        <v>1290</v>
      </c>
      <c r="B471" s="6" t="s">
        <v>113</v>
      </c>
      <c r="C471" s="6" t="str">
        <f t="shared" si="7"/>
        <v>tecan</v>
      </c>
      <c r="D471" s="6" t="s">
        <v>1290</v>
      </c>
      <c r="E471" s="6" t="s">
        <v>1291</v>
      </c>
      <c r="F471" s="6" t="s">
        <v>1292</v>
      </c>
      <c r="G471" s="6">
        <v>500</v>
      </c>
    </row>
    <row r="472" spans="1:7" x14ac:dyDescent="0.15">
      <c r="A472" s="6" t="s">
        <v>273</v>
      </c>
      <c r="B472" s="6" t="s">
        <v>113</v>
      </c>
      <c r="C472" s="6" t="str">
        <f t="shared" si="7"/>
        <v>none</v>
      </c>
      <c r="D472" s="6" t="s">
        <v>3108</v>
      </c>
      <c r="E472" s="6" t="s">
        <v>3109</v>
      </c>
      <c r="F472" s="6" t="s">
        <v>3110</v>
      </c>
      <c r="G472" s="6">
        <v>500</v>
      </c>
    </row>
    <row r="473" spans="1:7" x14ac:dyDescent="0.15">
      <c r="A473" s="6" t="s">
        <v>1293</v>
      </c>
      <c r="B473" s="6" t="s">
        <v>115</v>
      </c>
      <c r="C473" s="6" t="str">
        <f t="shared" si="7"/>
        <v>one_sdc</v>
      </c>
      <c r="D473" s="7" t="s">
        <v>13</v>
      </c>
      <c r="E473" s="6" t="s">
        <v>1294</v>
      </c>
      <c r="F473" s="6" t="s">
        <v>1295</v>
      </c>
      <c r="G473" s="6">
        <v>500</v>
      </c>
    </row>
    <row r="474" spans="1:7" x14ac:dyDescent="0.15">
      <c r="A474" s="6" t="s">
        <v>946</v>
      </c>
      <c r="B474" s="6" t="s">
        <v>115</v>
      </c>
      <c r="C474" s="6" t="str">
        <f t="shared" si="7"/>
        <v>sds</v>
      </c>
      <c r="D474" s="7" t="s">
        <v>13</v>
      </c>
      <c r="E474" s="6" t="s">
        <v>1296</v>
      </c>
      <c r="F474" s="6" t="s">
        <v>1297</v>
      </c>
      <c r="G474" s="6">
        <v>500</v>
      </c>
    </row>
    <row r="475" spans="1:7" x14ac:dyDescent="0.15">
      <c r="A475" s="6" t="s">
        <v>1298</v>
      </c>
      <c r="B475" s="6" t="s">
        <v>115</v>
      </c>
      <c r="C475" s="6" t="str">
        <f t="shared" si="7"/>
        <v>two_sdc</v>
      </c>
      <c r="D475" s="7" t="s">
        <v>13</v>
      </c>
      <c r="E475" s="6" t="s">
        <v>1299</v>
      </c>
      <c r="F475" s="6" t="s">
        <v>1300</v>
      </c>
      <c r="G475" s="6">
        <v>500</v>
      </c>
    </row>
    <row r="476" spans="1:7" x14ac:dyDescent="0.15">
      <c r="A476" s="6" t="s">
        <v>1301</v>
      </c>
      <c r="B476" s="6" t="s">
        <v>115</v>
      </c>
      <c r="C476" s="6" t="str">
        <f t="shared" si="7"/>
        <v>urea</v>
      </c>
      <c r="D476" s="7" t="s">
        <v>13</v>
      </c>
      <c r="E476" s="6" t="s">
        <v>1302</v>
      </c>
      <c r="F476" s="6" t="s">
        <v>1303</v>
      </c>
      <c r="G476" s="6">
        <v>500</v>
      </c>
    </row>
    <row r="477" spans="1:7" x14ac:dyDescent="0.15">
      <c r="A477" s="6" t="s">
        <v>3091</v>
      </c>
      <c r="B477" s="6" t="s">
        <v>115</v>
      </c>
      <c r="C477" s="6" t="str">
        <f t="shared" si="7"/>
        <v>ripa</v>
      </c>
      <c r="D477" s="7" t="s">
        <v>13</v>
      </c>
      <c r="E477" s="6" t="s">
        <v>3092</v>
      </c>
      <c r="F477" s="6" t="s">
        <v>3093</v>
      </c>
      <c r="G477" s="6">
        <v>500</v>
      </c>
    </row>
    <row r="478" spans="1:7" x14ac:dyDescent="0.15">
      <c r="A478" s="6" t="s">
        <v>3094</v>
      </c>
      <c r="B478" s="6" t="s">
        <v>115</v>
      </c>
      <c r="C478" s="6" t="str">
        <f t="shared" si="7"/>
        <v>ripasds</v>
      </c>
      <c r="D478" s="7" t="s">
        <v>13</v>
      </c>
      <c r="E478" s="6" t="s">
        <v>3095</v>
      </c>
      <c r="F478" s="6" t="s">
        <v>3096</v>
      </c>
      <c r="G478" s="6">
        <v>500</v>
      </c>
    </row>
    <row r="479" spans="1:7" x14ac:dyDescent="0.15">
      <c r="A479" s="6" t="s">
        <v>2769</v>
      </c>
      <c r="B479" s="6" t="s">
        <v>70</v>
      </c>
      <c r="C479" s="6" t="str">
        <f t="shared" si="7"/>
        <v>chemical</v>
      </c>
      <c r="D479" s="7" t="s">
        <v>13</v>
      </c>
      <c r="E479" s="6" t="s">
        <v>2770</v>
      </c>
      <c r="F479" s="6" t="s">
        <v>2771</v>
      </c>
      <c r="G479" s="6">
        <v>500</v>
      </c>
    </row>
    <row r="480" spans="1:7" x14ac:dyDescent="0.15">
      <c r="A480" s="6" t="s">
        <v>2779</v>
      </c>
      <c r="B480" s="6" t="s">
        <v>70</v>
      </c>
      <c r="C480" s="6" t="str">
        <f t="shared" si="7"/>
        <v>sonicaton</v>
      </c>
      <c r="D480" s="7" t="s">
        <v>13</v>
      </c>
      <c r="E480" s="6" t="s">
        <v>2780</v>
      </c>
      <c r="F480" s="6" t="s">
        <v>2778</v>
      </c>
      <c r="G480" s="6">
        <v>500</v>
      </c>
    </row>
    <row r="481" spans="1:1008" x14ac:dyDescent="0.15">
      <c r="A481" s="6" t="s">
        <v>1304</v>
      </c>
      <c r="B481" s="6" t="s">
        <v>70</v>
      </c>
      <c r="C481" s="6" t="str">
        <f t="shared" si="7"/>
        <v>dounce</v>
      </c>
      <c r="D481" s="7" t="s">
        <v>13</v>
      </c>
      <c r="E481" s="6" t="s">
        <v>1305</v>
      </c>
      <c r="F481" s="6" t="s">
        <v>1306</v>
      </c>
      <c r="G481" s="6">
        <v>500</v>
      </c>
    </row>
    <row r="482" spans="1:1008" x14ac:dyDescent="0.15">
      <c r="A482" s="6" t="s">
        <v>1307</v>
      </c>
      <c r="B482" s="6" t="s">
        <v>70</v>
      </c>
      <c r="C482" s="6" t="str">
        <f t="shared" si="7"/>
        <v>motar_pestle</v>
      </c>
      <c r="D482" s="7" t="s">
        <v>13</v>
      </c>
      <c r="E482" s="6" t="s">
        <v>1308</v>
      </c>
      <c r="F482" s="6" t="s">
        <v>1309</v>
      </c>
      <c r="G482" s="6">
        <v>500</v>
      </c>
    </row>
    <row r="483" spans="1:1008" x14ac:dyDescent="0.15">
      <c r="A483" s="6" t="s">
        <v>1310</v>
      </c>
      <c r="B483" s="6" t="s">
        <v>70</v>
      </c>
      <c r="C483" s="6" t="str">
        <f t="shared" si="7"/>
        <v>paracyllus</v>
      </c>
      <c r="D483" s="7" t="s">
        <v>13</v>
      </c>
      <c r="E483" s="6" t="s">
        <v>1311</v>
      </c>
      <c r="F483" s="6" t="s">
        <v>1312</v>
      </c>
      <c r="G483" s="6">
        <v>500</v>
      </c>
    </row>
    <row r="484" spans="1:1008" ht="56" x14ac:dyDescent="0.15">
      <c r="A484" s="6" t="s">
        <v>2456</v>
      </c>
      <c r="B484" s="6" t="s">
        <v>3112</v>
      </c>
      <c r="C484" s="6" t="str">
        <f t="shared" si="7"/>
        <v>c57bl6j</v>
      </c>
      <c r="D484" s="7" t="s">
        <v>13</v>
      </c>
      <c r="E484" s="6" t="s">
        <v>3113</v>
      </c>
      <c r="F484" s="20" t="s">
        <v>3114</v>
      </c>
      <c r="G484" s="6">
        <v>500</v>
      </c>
      <c r="H484"/>
      <c r="I484"/>
      <c r="J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row>
    <row r="485" spans="1:1008" ht="14" x14ac:dyDescent="0.15">
      <c r="A485" s="6" t="s">
        <v>3236</v>
      </c>
      <c r="B485" s="6" t="s">
        <v>3112</v>
      </c>
      <c r="C485" s="6" t="str">
        <f t="shared" si="7"/>
        <v>c57bl6n</v>
      </c>
      <c r="D485" s="7" t="s">
        <v>13</v>
      </c>
      <c r="E485" s="6" t="s">
        <v>3237</v>
      </c>
      <c r="F485" s="20" t="s">
        <v>3238</v>
      </c>
      <c r="G485" s="6">
        <v>500</v>
      </c>
      <c r="H485"/>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71" x14ac:dyDescent="0.2">
      <c r="A486" s="6" t="s">
        <v>3239</v>
      </c>
      <c r="B486" s="6" t="s">
        <v>3112</v>
      </c>
      <c r="C486" s="6" t="s">
        <v>3239</v>
      </c>
      <c r="D486" s="7" t="s">
        <v>13</v>
      </c>
      <c r="E486" s="6" t="s">
        <v>3240</v>
      </c>
      <c r="F486" s="20" t="s">
        <v>3241</v>
      </c>
      <c r="G486" s="6">
        <v>500</v>
      </c>
      <c r="H486"/>
      <c r="I486" s="30"/>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127" x14ac:dyDescent="0.2">
      <c r="A487" s="6" t="s">
        <v>4093</v>
      </c>
      <c r="B487" s="6" t="s">
        <v>3112</v>
      </c>
      <c r="C487" s="6" t="s">
        <v>4093</v>
      </c>
      <c r="D487" s="7"/>
      <c r="E487" s="6" t="s">
        <v>4091</v>
      </c>
      <c r="F487" s="20" t="s">
        <v>4092</v>
      </c>
      <c r="H487"/>
      <c r="I487" s="30"/>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x14ac:dyDescent="0.15">
      <c r="A488" s="6" t="s">
        <v>1313</v>
      </c>
      <c r="B488" s="6" t="s">
        <v>118</v>
      </c>
      <c r="C488" s="6" t="str">
        <f t="shared" si="7"/>
        <v>arg0</v>
      </c>
      <c r="D488" s="7" t="s">
        <v>13</v>
      </c>
      <c r="E488" s="6" t="s">
        <v>1314</v>
      </c>
      <c r="F488" s="6" t="s">
        <v>1315</v>
      </c>
      <c r="G488" s="6">
        <v>500</v>
      </c>
    </row>
    <row r="489" spans="1:1008" x14ac:dyDescent="0.15">
      <c r="A489" s="6" t="s">
        <v>1316</v>
      </c>
      <c r="B489" s="6" t="s">
        <v>118</v>
      </c>
      <c r="C489" s="6" t="str">
        <f t="shared" si="7"/>
        <v>arg10</v>
      </c>
      <c r="D489" s="7" t="s">
        <v>13</v>
      </c>
      <c r="E489" s="6" t="s">
        <v>1317</v>
      </c>
      <c r="F489" s="6" t="s">
        <v>1318</v>
      </c>
      <c r="G489" s="6">
        <v>500</v>
      </c>
    </row>
    <row r="490" spans="1:1008" x14ac:dyDescent="0.15">
      <c r="A490" s="6" t="s">
        <v>1319</v>
      </c>
      <c r="B490" s="6" t="s">
        <v>118</v>
      </c>
      <c r="C490" s="6" t="str">
        <f t="shared" si="7"/>
        <v>arg6</v>
      </c>
      <c r="D490" s="7" t="s">
        <v>13</v>
      </c>
      <c r="E490" s="6" t="s">
        <v>1320</v>
      </c>
      <c r="F490" s="6" t="s">
        <v>1321</v>
      </c>
      <c r="G490" s="6">
        <v>500</v>
      </c>
    </row>
    <row r="491" spans="1:1008" x14ac:dyDescent="0.15">
      <c r="A491" s="6" t="s">
        <v>1322</v>
      </c>
      <c r="B491" s="6" t="s">
        <v>118</v>
      </c>
      <c r="C491" s="6" t="str">
        <f t="shared" si="7"/>
        <v>lys0</v>
      </c>
      <c r="D491" s="7" t="s">
        <v>13</v>
      </c>
      <c r="E491" s="6" t="s">
        <v>1323</v>
      </c>
      <c r="F491" s="7" t="s">
        <v>2858</v>
      </c>
      <c r="G491" s="6">
        <v>500</v>
      </c>
    </row>
    <row r="492" spans="1:1008" x14ac:dyDescent="0.15">
      <c r="A492" s="6" t="s">
        <v>1324</v>
      </c>
      <c r="B492" s="6" t="s">
        <v>118</v>
      </c>
      <c r="C492" s="6" t="str">
        <f t="shared" si="7"/>
        <v>lys4</v>
      </c>
      <c r="D492" s="7" t="s">
        <v>13</v>
      </c>
      <c r="E492" s="6" t="s">
        <v>1325</v>
      </c>
      <c r="F492" s="6" t="s">
        <v>1326</v>
      </c>
      <c r="G492" s="6">
        <v>500</v>
      </c>
    </row>
    <row r="493" spans="1:1008" x14ac:dyDescent="0.15">
      <c r="A493" s="6" t="s">
        <v>1327</v>
      </c>
      <c r="B493" s="6" t="s">
        <v>118</v>
      </c>
      <c r="C493" s="6" t="str">
        <f t="shared" si="7"/>
        <v>lys6</v>
      </c>
      <c r="D493" s="7" t="s">
        <v>13</v>
      </c>
      <c r="E493" s="6" t="s">
        <v>1328</v>
      </c>
      <c r="F493" s="6" t="s">
        <v>1329</v>
      </c>
      <c r="G493" s="6">
        <v>500</v>
      </c>
    </row>
    <row r="494" spans="1:1008" x14ac:dyDescent="0.15">
      <c r="A494" s="6" t="s">
        <v>1330</v>
      </c>
      <c r="B494" s="6" t="s">
        <v>118</v>
      </c>
      <c r="C494" s="6" t="str">
        <f t="shared" si="7"/>
        <v>lys8</v>
      </c>
      <c r="D494" s="7" t="s">
        <v>13</v>
      </c>
      <c r="E494" s="6" t="s">
        <v>1331</v>
      </c>
      <c r="F494" s="6" t="s">
        <v>1332</v>
      </c>
      <c r="G494" s="6">
        <v>500</v>
      </c>
    </row>
    <row r="495" spans="1:1008" x14ac:dyDescent="0.15">
      <c r="A495" s="6" t="s">
        <v>2860</v>
      </c>
      <c r="B495" s="6" t="s">
        <v>118</v>
      </c>
      <c r="C495" s="6" t="str">
        <f t="shared" si="7"/>
        <v>lys0arg0</v>
      </c>
      <c r="D495" s="7" t="s">
        <v>13</v>
      </c>
      <c r="E495" s="6" t="s">
        <v>2859</v>
      </c>
      <c r="F495" s="6" t="s">
        <v>2867</v>
      </c>
      <c r="G495" s="6">
        <v>500</v>
      </c>
    </row>
    <row r="496" spans="1:1008" x14ac:dyDescent="0.15">
      <c r="A496" s="6" t="s">
        <v>2861</v>
      </c>
      <c r="B496" s="6" t="s">
        <v>118</v>
      </c>
      <c r="C496" s="6" t="str">
        <f t="shared" si="7"/>
        <v>lys4arg6</v>
      </c>
      <c r="D496" s="7"/>
      <c r="E496" s="6" t="s">
        <v>2862</v>
      </c>
      <c r="F496" s="6" t="s">
        <v>2866</v>
      </c>
      <c r="G496" s="6">
        <v>500</v>
      </c>
    </row>
    <row r="497" spans="1:7" x14ac:dyDescent="0.15">
      <c r="A497" s="6" t="s">
        <v>2863</v>
      </c>
      <c r="B497" s="6" t="s">
        <v>118</v>
      </c>
      <c r="C497" s="6" t="str">
        <f t="shared" si="7"/>
        <v>lys8arg10</v>
      </c>
      <c r="D497" s="7"/>
      <c r="E497" s="6" t="s">
        <v>2864</v>
      </c>
      <c r="F497" s="6" t="s">
        <v>2865</v>
      </c>
      <c r="G497" s="6">
        <v>500</v>
      </c>
    </row>
    <row r="498" spans="1:7" x14ac:dyDescent="0.15">
      <c r="A498" s="6" t="s">
        <v>1333</v>
      </c>
      <c r="B498" s="6" t="s">
        <v>120</v>
      </c>
      <c r="C498" s="6" t="str">
        <f t="shared" si="7"/>
        <v>abc_transporters</v>
      </c>
      <c r="D498" s="7" t="s">
        <v>13</v>
      </c>
      <c r="E498" s="6" t="s">
        <v>1334</v>
      </c>
      <c r="F498" s="6" t="s">
        <v>1335</v>
      </c>
      <c r="G498" s="6">
        <v>500</v>
      </c>
    </row>
    <row r="499" spans="1:7" x14ac:dyDescent="0.15">
      <c r="A499" s="6" t="s">
        <v>1336</v>
      </c>
      <c r="B499" s="6" t="s">
        <v>120</v>
      </c>
      <c r="C499" s="6" t="str">
        <f t="shared" si="7"/>
        <v>amidoxime_reducing_complex</v>
      </c>
      <c r="D499" s="7" t="s">
        <v>13</v>
      </c>
      <c r="E499" s="6" t="s">
        <v>1337</v>
      </c>
      <c r="F499" s="6" t="s">
        <v>1338</v>
      </c>
      <c r="G499" s="6">
        <v>500</v>
      </c>
    </row>
    <row r="500" spans="1:7" x14ac:dyDescent="0.15">
      <c r="A500" s="6" t="s">
        <v>1339</v>
      </c>
      <c r="B500" s="6" t="s">
        <v>120</v>
      </c>
      <c r="C500" s="6" t="str">
        <f t="shared" si="7"/>
        <v>amino_acid_metabolism</v>
      </c>
      <c r="D500" s="7" t="s">
        <v>13</v>
      </c>
      <c r="E500" s="6" t="s">
        <v>1340</v>
      </c>
      <c r="F500" s="6" t="s">
        <v>1341</v>
      </c>
      <c r="G500" s="6">
        <v>500</v>
      </c>
    </row>
    <row r="501" spans="1:7" x14ac:dyDescent="0.15">
      <c r="A501" s="6" t="s">
        <v>1342</v>
      </c>
      <c r="B501" s="6" t="s">
        <v>120</v>
      </c>
      <c r="C501" s="6" t="str">
        <f t="shared" si="7"/>
        <v>apoptosis</v>
      </c>
      <c r="D501" s="7" t="s">
        <v>13</v>
      </c>
      <c r="E501" s="6" t="s">
        <v>1343</v>
      </c>
      <c r="F501" s="6" t="s">
        <v>1344</v>
      </c>
      <c r="G501" s="6">
        <v>500</v>
      </c>
    </row>
    <row r="502" spans="1:7" x14ac:dyDescent="0.15">
      <c r="A502" s="6" t="s">
        <v>1345</v>
      </c>
      <c r="B502" s="6" t="s">
        <v>120</v>
      </c>
      <c r="C502" s="6" t="str">
        <f t="shared" si="7"/>
        <v>autophagy</v>
      </c>
      <c r="D502" s="7" t="s">
        <v>13</v>
      </c>
      <c r="E502" s="6" t="s">
        <v>1346</v>
      </c>
      <c r="F502" s="6" t="s">
        <v>1347</v>
      </c>
      <c r="G502" s="6">
        <v>500</v>
      </c>
    </row>
    <row r="503" spans="1:7" x14ac:dyDescent="0.15">
      <c r="A503" s="6" t="s">
        <v>1348</v>
      </c>
      <c r="B503" s="6" t="s">
        <v>120</v>
      </c>
      <c r="C503" s="6" t="str">
        <f t="shared" si="7"/>
        <v>biotin_utilizing_proteins</v>
      </c>
      <c r="D503" s="7" t="s">
        <v>13</v>
      </c>
      <c r="E503" s="6" t="s">
        <v>1349</v>
      </c>
      <c r="F503" s="6" t="s">
        <v>1350</v>
      </c>
      <c r="G503" s="6">
        <v>500</v>
      </c>
    </row>
    <row r="504" spans="1:7" x14ac:dyDescent="0.15">
      <c r="A504" s="6" t="s">
        <v>1351</v>
      </c>
      <c r="B504" s="6" t="s">
        <v>120</v>
      </c>
      <c r="C504" s="6" t="str">
        <f t="shared" si="7"/>
        <v>branched_chain_amino_acid_dehydrogenase_complex</v>
      </c>
      <c r="D504" s="7" t="s">
        <v>13</v>
      </c>
      <c r="E504" s="6" t="s">
        <v>1352</v>
      </c>
      <c r="F504" s="6" t="s">
        <v>1353</v>
      </c>
      <c r="G504" s="6">
        <v>500</v>
      </c>
    </row>
    <row r="505" spans="1:7" x14ac:dyDescent="0.15">
      <c r="A505" s="6" t="s">
        <v>1354</v>
      </c>
      <c r="B505" s="6" t="s">
        <v>120</v>
      </c>
      <c r="C505" s="6" t="str">
        <f t="shared" si="7"/>
        <v>branched_chain_amino_acid_metabolism</v>
      </c>
      <c r="D505" s="7" t="s">
        <v>13</v>
      </c>
      <c r="E505" s="6" t="s">
        <v>1355</v>
      </c>
      <c r="F505" s="6" t="s">
        <v>1356</v>
      </c>
      <c r="G505" s="6">
        <v>500</v>
      </c>
    </row>
    <row r="506" spans="1:7" x14ac:dyDescent="0.15">
      <c r="A506" s="6" t="s">
        <v>1357</v>
      </c>
      <c r="B506" s="6" t="s">
        <v>120</v>
      </c>
      <c r="C506" s="6" t="str">
        <f t="shared" si="7"/>
        <v>calcium_cycle</v>
      </c>
      <c r="D506" s="7" t="s">
        <v>13</v>
      </c>
      <c r="E506" s="6" t="s">
        <v>1358</v>
      </c>
      <c r="F506" s="6" t="s">
        <v>1359</v>
      </c>
      <c r="G506" s="6">
        <v>500</v>
      </c>
    </row>
    <row r="507" spans="1:7" x14ac:dyDescent="0.15">
      <c r="A507" s="6" t="s">
        <v>1360</v>
      </c>
      <c r="B507" s="6" t="s">
        <v>120</v>
      </c>
      <c r="C507" s="6" t="str">
        <f t="shared" si="7"/>
        <v>calcium_homeostasis</v>
      </c>
      <c r="D507" s="7" t="s">
        <v>13</v>
      </c>
      <c r="E507" s="6" t="s">
        <v>1361</v>
      </c>
      <c r="F507" s="6" t="s">
        <v>1362</v>
      </c>
      <c r="G507" s="6">
        <v>500</v>
      </c>
    </row>
    <row r="508" spans="1:7" x14ac:dyDescent="0.15">
      <c r="A508" s="6" t="s">
        <v>1363</v>
      </c>
      <c r="B508" s="6" t="s">
        <v>120</v>
      </c>
      <c r="C508" s="6" t="str">
        <f t="shared" si="7"/>
        <v>calcium_uniporter</v>
      </c>
      <c r="D508" s="7" t="s">
        <v>13</v>
      </c>
      <c r="E508" s="6" t="s">
        <v>1364</v>
      </c>
      <c r="F508" s="6" t="s">
        <v>1365</v>
      </c>
      <c r="G508" s="6">
        <v>500</v>
      </c>
    </row>
    <row r="509" spans="1:7" x14ac:dyDescent="0.15">
      <c r="A509" s="6" t="s">
        <v>1366</v>
      </c>
      <c r="B509" s="6" t="s">
        <v>120</v>
      </c>
      <c r="C509" s="6" t="str">
        <f t="shared" si="7"/>
        <v>camp_pka_signaling</v>
      </c>
      <c r="D509" s="7" t="s">
        <v>13</v>
      </c>
      <c r="E509" s="6" t="s">
        <v>1367</v>
      </c>
      <c r="F509" s="6" t="s">
        <v>1368</v>
      </c>
      <c r="G509" s="6">
        <v>500</v>
      </c>
    </row>
    <row r="510" spans="1:7" x14ac:dyDescent="0.15">
      <c r="A510" s="6" t="s">
        <v>1369</v>
      </c>
      <c r="B510" s="6" t="s">
        <v>120</v>
      </c>
      <c r="C510" s="6" t="str">
        <f t="shared" si="7"/>
        <v>carbohydrate_metabolism</v>
      </c>
      <c r="D510" s="7" t="s">
        <v>13</v>
      </c>
      <c r="E510" s="6" t="s">
        <v>1370</v>
      </c>
      <c r="F510" s="6" t="s">
        <v>1371</v>
      </c>
      <c r="G510" s="6">
        <v>500</v>
      </c>
    </row>
    <row r="511" spans="1:7" x14ac:dyDescent="0.15">
      <c r="A511" s="6" t="s">
        <v>1372</v>
      </c>
      <c r="B511" s="6" t="s">
        <v>120</v>
      </c>
      <c r="C511" s="6" t="str">
        <f t="shared" si="7"/>
        <v>cardiolipin_synthesis</v>
      </c>
      <c r="D511" s="7" t="s">
        <v>13</v>
      </c>
      <c r="E511" s="6" t="s">
        <v>1373</v>
      </c>
      <c r="F511" s="6" t="s">
        <v>1374</v>
      </c>
      <c r="G511" s="6">
        <v>500</v>
      </c>
    </row>
    <row r="512" spans="1:7" x14ac:dyDescent="0.15">
      <c r="A512" s="6" t="s">
        <v>1375</v>
      </c>
      <c r="B512" s="6" t="s">
        <v>120</v>
      </c>
      <c r="C512" s="6" t="str">
        <f t="shared" si="7"/>
        <v>carnitine_shuttle</v>
      </c>
      <c r="D512" s="7" t="s">
        <v>13</v>
      </c>
      <c r="E512" s="6" t="s">
        <v>1376</v>
      </c>
      <c r="F512" s="6" t="s">
        <v>1377</v>
      </c>
      <c r="G512" s="6">
        <v>500</v>
      </c>
    </row>
    <row r="513" spans="1:7" x14ac:dyDescent="0.15">
      <c r="A513" s="6" t="s">
        <v>1378</v>
      </c>
      <c r="B513" s="6" t="s">
        <v>120</v>
      </c>
      <c r="C513" s="6" t="str">
        <f t="shared" si="7"/>
        <v>carnitine_synthesis_and_transport</v>
      </c>
      <c r="D513" s="7" t="s">
        <v>13</v>
      </c>
      <c r="E513" s="6" t="s">
        <v>1379</v>
      </c>
      <c r="F513" s="6" t="s">
        <v>1380</v>
      </c>
      <c r="G513" s="6">
        <v>500</v>
      </c>
    </row>
    <row r="514" spans="1:7" x14ac:dyDescent="0.15">
      <c r="A514" s="6" t="s">
        <v>1381</v>
      </c>
      <c r="B514" s="6" t="s">
        <v>120</v>
      </c>
      <c r="C514" s="6" t="str">
        <f t="shared" si="7"/>
        <v>catechol_metabolism</v>
      </c>
      <c r="D514" s="7" t="s">
        <v>13</v>
      </c>
      <c r="E514" s="6" t="s">
        <v>1382</v>
      </c>
      <c r="F514" s="6" t="s">
        <v>1383</v>
      </c>
      <c r="G514" s="6">
        <v>500</v>
      </c>
    </row>
    <row r="515" spans="1:7" x14ac:dyDescent="0.15">
      <c r="A515" s="6" t="s">
        <v>1384</v>
      </c>
      <c r="B515" s="6" t="s">
        <v>120</v>
      </c>
      <c r="C515" s="6" t="str">
        <f t="shared" si="7"/>
        <v>chaperones</v>
      </c>
      <c r="D515" s="7" t="s">
        <v>13</v>
      </c>
      <c r="E515" s="6" t="s">
        <v>1385</v>
      </c>
      <c r="F515" s="6" t="s">
        <v>1386</v>
      </c>
      <c r="G515" s="6">
        <v>500</v>
      </c>
    </row>
    <row r="516" spans="1:7" x14ac:dyDescent="0.15">
      <c r="A516" s="6" t="s">
        <v>1387</v>
      </c>
      <c r="B516" s="6" t="s">
        <v>120</v>
      </c>
      <c r="C516" s="6" t="str">
        <f t="shared" si="7"/>
        <v>cholesterol_associated</v>
      </c>
      <c r="D516" s="7" t="s">
        <v>13</v>
      </c>
      <c r="E516" s="6" t="s">
        <v>1388</v>
      </c>
      <c r="F516" s="6" t="s">
        <v>1389</v>
      </c>
      <c r="G516" s="6">
        <v>500</v>
      </c>
    </row>
    <row r="517" spans="1:7" x14ac:dyDescent="0.15">
      <c r="A517" s="6" t="s">
        <v>1390</v>
      </c>
      <c r="B517" s="6" t="s">
        <v>120</v>
      </c>
      <c r="C517" s="6" t="str">
        <f t="shared" si="7"/>
        <v>choline_and_betaine_metabolism</v>
      </c>
      <c r="D517" s="7" t="s">
        <v>13</v>
      </c>
      <c r="E517" s="6" t="s">
        <v>1391</v>
      </c>
      <c r="F517" s="6" t="s">
        <v>1392</v>
      </c>
      <c r="G517" s="6">
        <v>500</v>
      </c>
    </row>
    <row r="518" spans="1:7" x14ac:dyDescent="0.15">
      <c r="A518" s="6" t="s">
        <v>1393</v>
      </c>
      <c r="B518" s="6" t="s">
        <v>120</v>
      </c>
      <c r="C518" s="6" t="str">
        <f t="shared" si="7"/>
        <v>ci_assembly_factors</v>
      </c>
      <c r="D518" s="7" t="s">
        <v>13</v>
      </c>
      <c r="E518" s="6" t="s">
        <v>1394</v>
      </c>
      <c r="F518" s="6" t="s">
        <v>1395</v>
      </c>
      <c r="G518" s="6">
        <v>500</v>
      </c>
    </row>
    <row r="519" spans="1:7" x14ac:dyDescent="0.15">
      <c r="A519" s="6" t="s">
        <v>1396</v>
      </c>
      <c r="B519" s="6" t="s">
        <v>120</v>
      </c>
      <c r="C519" s="6" t="str">
        <f t="shared" si="7"/>
        <v>ci_subunits</v>
      </c>
      <c r="D519" s="7" t="s">
        <v>13</v>
      </c>
      <c r="E519" s="6" t="s">
        <v>1397</v>
      </c>
      <c r="F519" s="6" t="s">
        <v>1398</v>
      </c>
      <c r="G519" s="6">
        <v>500</v>
      </c>
    </row>
    <row r="520" spans="1:7" x14ac:dyDescent="0.15">
      <c r="A520" s="6" t="s">
        <v>1399</v>
      </c>
      <c r="B520" s="6" t="s">
        <v>120</v>
      </c>
      <c r="C520" s="6" t="str">
        <f t="shared" si="7"/>
        <v>cii_assembly_factors</v>
      </c>
      <c r="D520" s="7" t="s">
        <v>13</v>
      </c>
      <c r="E520" s="6" t="s">
        <v>1400</v>
      </c>
      <c r="F520" s="6" t="s">
        <v>1401</v>
      </c>
      <c r="G520" s="6">
        <v>500</v>
      </c>
    </row>
    <row r="521" spans="1:7" x14ac:dyDescent="0.15">
      <c r="A521" s="6" t="s">
        <v>1402</v>
      </c>
      <c r="B521" s="6" t="s">
        <v>120</v>
      </c>
      <c r="C521" s="6" t="str">
        <f t="shared" si="7"/>
        <v>cii_subunits</v>
      </c>
      <c r="D521" s="7" t="s">
        <v>13</v>
      </c>
      <c r="E521" s="6" t="s">
        <v>1403</v>
      </c>
      <c r="F521" s="6" t="s">
        <v>1404</v>
      </c>
      <c r="G521" s="6">
        <v>500</v>
      </c>
    </row>
    <row r="522" spans="1:7" x14ac:dyDescent="0.15">
      <c r="A522" s="6" t="s">
        <v>1405</v>
      </c>
      <c r="B522" s="6" t="s">
        <v>120</v>
      </c>
      <c r="C522" s="6" t="str">
        <f t="shared" ref="C522:C585" si="8">A522</f>
        <v>ciii_assembly_factors</v>
      </c>
      <c r="D522" s="7" t="s">
        <v>13</v>
      </c>
      <c r="E522" s="6" t="s">
        <v>1406</v>
      </c>
      <c r="F522" s="6" t="s">
        <v>1407</v>
      </c>
      <c r="G522" s="6">
        <v>500</v>
      </c>
    </row>
    <row r="523" spans="1:7" x14ac:dyDescent="0.15">
      <c r="A523" s="6" t="s">
        <v>1408</v>
      </c>
      <c r="B523" s="6" t="s">
        <v>120</v>
      </c>
      <c r="C523" s="6" t="str">
        <f t="shared" si="8"/>
        <v>ciii_subunits</v>
      </c>
      <c r="D523" s="7" t="s">
        <v>13</v>
      </c>
      <c r="E523" s="6" t="s">
        <v>1409</v>
      </c>
      <c r="F523" s="6" t="s">
        <v>1410</v>
      </c>
      <c r="G523" s="6">
        <v>500</v>
      </c>
    </row>
    <row r="524" spans="1:7" x14ac:dyDescent="0.15">
      <c r="A524" s="6" t="s">
        <v>1411</v>
      </c>
      <c r="B524" s="6" t="s">
        <v>120</v>
      </c>
      <c r="C524" s="6" t="str">
        <f t="shared" si="8"/>
        <v>civ_assembly_factors</v>
      </c>
      <c r="D524" s="7" t="s">
        <v>13</v>
      </c>
      <c r="E524" s="6" t="s">
        <v>1412</v>
      </c>
      <c r="F524" s="6" t="s">
        <v>1413</v>
      </c>
      <c r="G524" s="6">
        <v>500</v>
      </c>
    </row>
    <row r="525" spans="1:7" x14ac:dyDescent="0.15">
      <c r="A525" s="6" t="s">
        <v>1414</v>
      </c>
      <c r="B525" s="6" t="s">
        <v>120</v>
      </c>
      <c r="C525" s="6" t="str">
        <f t="shared" si="8"/>
        <v>civ_subunits</v>
      </c>
      <c r="D525" s="7" t="s">
        <v>13</v>
      </c>
      <c r="E525" s="6" t="s">
        <v>1415</v>
      </c>
      <c r="F525" s="6" t="s">
        <v>1416</v>
      </c>
      <c r="G525" s="6">
        <v>500</v>
      </c>
    </row>
    <row r="526" spans="1:7" x14ac:dyDescent="0.15">
      <c r="A526" s="6" t="s">
        <v>1417</v>
      </c>
      <c r="B526" s="6" t="s">
        <v>120</v>
      </c>
      <c r="C526" s="6" t="str">
        <f t="shared" si="8"/>
        <v>coenzyme_a_metabolism</v>
      </c>
      <c r="D526" s="7" t="s">
        <v>13</v>
      </c>
      <c r="E526" s="6" t="s">
        <v>1418</v>
      </c>
      <c r="F526" s="6" t="s">
        <v>1419</v>
      </c>
      <c r="G526" s="6">
        <v>500</v>
      </c>
    </row>
    <row r="527" spans="1:7" x14ac:dyDescent="0.15">
      <c r="A527" s="6" t="s">
        <v>1420</v>
      </c>
      <c r="B527" s="6" t="s">
        <v>120</v>
      </c>
      <c r="C527" s="6" t="str">
        <f t="shared" si="8"/>
        <v>coenzyme_q_metabolism</v>
      </c>
      <c r="D527" s="7" t="s">
        <v>13</v>
      </c>
      <c r="E527" s="6" t="s">
        <v>1421</v>
      </c>
      <c r="F527" s="6" t="s">
        <v>1422</v>
      </c>
      <c r="G527" s="6">
        <v>500</v>
      </c>
    </row>
    <row r="528" spans="1:7" x14ac:dyDescent="0.15">
      <c r="A528" s="6" t="s">
        <v>1423</v>
      </c>
      <c r="B528" s="6" t="s">
        <v>120</v>
      </c>
      <c r="C528" s="6" t="str">
        <f t="shared" si="8"/>
        <v>complex_i</v>
      </c>
      <c r="D528" s="7" t="s">
        <v>13</v>
      </c>
      <c r="E528" s="6" t="s">
        <v>1424</v>
      </c>
      <c r="F528" s="6" t="s">
        <v>1425</v>
      </c>
      <c r="G528" s="6">
        <v>500</v>
      </c>
    </row>
    <row r="529" spans="1:7" x14ac:dyDescent="0.15">
      <c r="A529" s="6" t="s">
        <v>1426</v>
      </c>
      <c r="B529" s="6" t="s">
        <v>120</v>
      </c>
      <c r="C529" s="6" t="str">
        <f t="shared" si="8"/>
        <v>complex_ii</v>
      </c>
      <c r="D529" s="7" t="s">
        <v>13</v>
      </c>
      <c r="E529" s="6" t="s">
        <v>1427</v>
      </c>
      <c r="F529" s="6" t="s">
        <v>1428</v>
      </c>
      <c r="G529" s="6">
        <v>500</v>
      </c>
    </row>
    <row r="530" spans="1:7" x14ac:dyDescent="0.15">
      <c r="A530" s="6" t="s">
        <v>1429</v>
      </c>
      <c r="B530" s="6" t="s">
        <v>120</v>
      </c>
      <c r="C530" s="6" t="str">
        <f t="shared" si="8"/>
        <v>complex_iii</v>
      </c>
      <c r="D530" s="7" t="s">
        <v>13</v>
      </c>
      <c r="E530" s="6" t="s">
        <v>1430</v>
      </c>
      <c r="F530" s="6" t="s">
        <v>1431</v>
      </c>
      <c r="G530" s="6">
        <v>500</v>
      </c>
    </row>
    <row r="531" spans="1:7" x14ac:dyDescent="0.15">
      <c r="A531" s="6" t="s">
        <v>1432</v>
      </c>
      <c r="B531" s="6" t="s">
        <v>120</v>
      </c>
      <c r="C531" s="6" t="str">
        <f t="shared" si="8"/>
        <v>complex_iv</v>
      </c>
      <c r="D531" s="7" t="s">
        <v>13</v>
      </c>
      <c r="E531" s="6" t="s">
        <v>1433</v>
      </c>
      <c r="F531" s="6" t="s">
        <v>1434</v>
      </c>
      <c r="G531" s="6">
        <v>500</v>
      </c>
    </row>
    <row r="532" spans="1:7" x14ac:dyDescent="0.15">
      <c r="A532" s="6" t="s">
        <v>1435</v>
      </c>
      <c r="B532" s="6" t="s">
        <v>120</v>
      </c>
      <c r="C532" s="6" t="str">
        <f t="shared" si="8"/>
        <v>complex_v</v>
      </c>
      <c r="D532" s="7" t="s">
        <v>13</v>
      </c>
      <c r="E532" s="6" t="s">
        <v>1436</v>
      </c>
      <c r="F532" s="6" t="s">
        <v>1437</v>
      </c>
      <c r="G532" s="6">
        <v>500</v>
      </c>
    </row>
    <row r="533" spans="1:7" x14ac:dyDescent="0.15">
      <c r="A533" s="6" t="s">
        <v>1438</v>
      </c>
      <c r="B533" s="6" t="s">
        <v>120</v>
      </c>
      <c r="C533" s="6" t="str">
        <f t="shared" si="8"/>
        <v>copper_metabolism</v>
      </c>
      <c r="D533" s="7" t="s">
        <v>13</v>
      </c>
      <c r="E533" s="6" t="s">
        <v>1439</v>
      </c>
      <c r="F533" s="6" t="s">
        <v>1440</v>
      </c>
      <c r="G533" s="6">
        <v>500</v>
      </c>
    </row>
    <row r="534" spans="1:7" x14ac:dyDescent="0.15">
      <c r="A534" s="6" t="s">
        <v>1441</v>
      </c>
      <c r="B534" s="6" t="s">
        <v>120</v>
      </c>
      <c r="C534" s="6" t="str">
        <f t="shared" si="8"/>
        <v>creatine_metabolism</v>
      </c>
      <c r="D534" s="7" t="s">
        <v>13</v>
      </c>
      <c r="E534" s="6" t="s">
        <v>1442</v>
      </c>
      <c r="F534" s="6" t="s">
        <v>1443</v>
      </c>
      <c r="G534" s="6">
        <v>500</v>
      </c>
    </row>
    <row r="535" spans="1:7" x14ac:dyDescent="0.15">
      <c r="A535" s="6" t="s">
        <v>1444</v>
      </c>
      <c r="B535" s="6" t="s">
        <v>120</v>
      </c>
      <c r="C535" s="6" t="str">
        <f t="shared" si="8"/>
        <v>cristae_formation</v>
      </c>
      <c r="D535" s="7" t="s">
        <v>13</v>
      </c>
      <c r="E535" s="6" t="s">
        <v>1445</v>
      </c>
      <c r="F535" s="6" t="s">
        <v>1446</v>
      </c>
      <c r="G535" s="6">
        <v>500</v>
      </c>
    </row>
    <row r="536" spans="1:7" x14ac:dyDescent="0.15">
      <c r="A536" s="6" t="s">
        <v>1447</v>
      </c>
      <c r="B536" s="6" t="s">
        <v>120</v>
      </c>
      <c r="C536" s="6" t="str">
        <f t="shared" si="8"/>
        <v>cv_assembly_factors</v>
      </c>
      <c r="D536" s="7" t="s">
        <v>13</v>
      </c>
      <c r="E536" s="6" t="s">
        <v>1448</v>
      </c>
      <c r="F536" s="6" t="s">
        <v>1449</v>
      </c>
      <c r="G536" s="6">
        <v>500</v>
      </c>
    </row>
    <row r="537" spans="1:7" x14ac:dyDescent="0.15">
      <c r="A537" s="6" t="s">
        <v>1450</v>
      </c>
      <c r="B537" s="6" t="s">
        <v>120</v>
      </c>
      <c r="C537" s="6" t="str">
        <f t="shared" si="8"/>
        <v>cv_subunits</v>
      </c>
      <c r="D537" s="7" t="s">
        <v>13</v>
      </c>
      <c r="E537" s="6" t="s">
        <v>1451</v>
      </c>
      <c r="F537" s="6" t="s">
        <v>1452</v>
      </c>
      <c r="G537" s="6">
        <v>500</v>
      </c>
    </row>
    <row r="538" spans="1:7" x14ac:dyDescent="0.15">
      <c r="A538" s="6" t="s">
        <v>1453</v>
      </c>
      <c r="B538" s="6" t="s">
        <v>120</v>
      </c>
      <c r="C538" s="6" t="str">
        <f t="shared" si="8"/>
        <v>cytochrome_c</v>
      </c>
      <c r="D538" s="7" t="s">
        <v>13</v>
      </c>
      <c r="E538" s="6" t="s">
        <v>1454</v>
      </c>
      <c r="F538" s="6" t="s">
        <v>1455</v>
      </c>
      <c r="G538" s="6">
        <v>500</v>
      </c>
    </row>
    <row r="539" spans="1:7" x14ac:dyDescent="0.15">
      <c r="A539" s="6" t="s">
        <v>1456</v>
      </c>
      <c r="B539" s="6" t="s">
        <v>120</v>
      </c>
      <c r="C539" s="6" t="str">
        <f t="shared" si="8"/>
        <v>cytochromes</v>
      </c>
      <c r="D539" s="7" t="s">
        <v>13</v>
      </c>
      <c r="E539" s="6" t="s">
        <v>1457</v>
      </c>
      <c r="F539" s="6" t="s">
        <v>1458</v>
      </c>
      <c r="G539" s="6">
        <v>500</v>
      </c>
    </row>
    <row r="540" spans="1:7" x14ac:dyDescent="0.15">
      <c r="A540" s="6" t="s">
        <v>1459</v>
      </c>
      <c r="B540" s="6" t="s">
        <v>120</v>
      </c>
      <c r="C540" s="6" t="str">
        <f t="shared" si="8"/>
        <v>detoxification</v>
      </c>
      <c r="D540" s="7" t="s">
        <v>13</v>
      </c>
      <c r="E540" s="6" t="s">
        <v>1460</v>
      </c>
      <c r="F540" s="6" t="s">
        <v>1461</v>
      </c>
      <c r="G540" s="6">
        <v>500</v>
      </c>
    </row>
    <row r="541" spans="1:7" x14ac:dyDescent="0.15">
      <c r="A541" s="6" t="s">
        <v>1462</v>
      </c>
      <c r="B541" s="6" t="s">
        <v>120</v>
      </c>
      <c r="C541" s="6" t="str">
        <f t="shared" si="8"/>
        <v>ef_hand_proteins</v>
      </c>
      <c r="D541" s="7" t="s">
        <v>13</v>
      </c>
      <c r="E541" s="6" t="s">
        <v>1463</v>
      </c>
      <c r="F541" s="6" t="s">
        <v>1464</v>
      </c>
      <c r="G541" s="6">
        <v>500</v>
      </c>
    </row>
    <row r="542" spans="1:7" x14ac:dyDescent="0.15">
      <c r="A542" s="6" t="s">
        <v>1465</v>
      </c>
      <c r="B542" s="6" t="s">
        <v>120</v>
      </c>
      <c r="C542" s="6" t="str">
        <f t="shared" si="8"/>
        <v>eicosanoid_metabolism</v>
      </c>
      <c r="D542" s="7" t="s">
        <v>13</v>
      </c>
      <c r="E542" s="6" t="s">
        <v>1466</v>
      </c>
      <c r="F542" s="6" t="s">
        <v>1467</v>
      </c>
      <c r="G542" s="6">
        <v>500</v>
      </c>
    </row>
    <row r="543" spans="1:7" x14ac:dyDescent="0.15">
      <c r="A543" s="6" t="s">
        <v>1468</v>
      </c>
      <c r="B543" s="6" t="s">
        <v>120</v>
      </c>
      <c r="C543" s="6" t="str">
        <f t="shared" si="8"/>
        <v>electron_carriers</v>
      </c>
      <c r="D543" s="7" t="s">
        <v>13</v>
      </c>
      <c r="E543" s="6" t="s">
        <v>1469</v>
      </c>
      <c r="F543" s="6" t="s">
        <v>1470</v>
      </c>
      <c r="G543" s="6">
        <v>500</v>
      </c>
    </row>
    <row r="544" spans="1:7" x14ac:dyDescent="0.15">
      <c r="A544" s="6" t="s">
        <v>1471</v>
      </c>
      <c r="B544" s="6" t="s">
        <v>120</v>
      </c>
      <c r="C544" s="6" t="str">
        <f t="shared" si="8"/>
        <v>fatty_acid_oxidation</v>
      </c>
      <c r="D544" s="7" t="s">
        <v>13</v>
      </c>
      <c r="E544" s="6" t="s">
        <v>1472</v>
      </c>
      <c r="F544" s="6" t="s">
        <v>1473</v>
      </c>
      <c r="G544" s="6">
        <v>500</v>
      </c>
    </row>
    <row r="545" spans="1:7" x14ac:dyDescent="0.15">
      <c r="A545" s="6" t="s">
        <v>1474</v>
      </c>
      <c r="B545" s="6" t="s">
        <v>120</v>
      </c>
      <c r="C545" s="6" t="str">
        <f t="shared" si="8"/>
        <v>fe_s_cluster_biosynthesis</v>
      </c>
      <c r="D545" s="7" t="s">
        <v>13</v>
      </c>
      <c r="E545" s="6" t="s">
        <v>1475</v>
      </c>
      <c r="F545" s="6" t="s">
        <v>1476</v>
      </c>
      <c r="G545" s="6">
        <v>500</v>
      </c>
    </row>
    <row r="546" spans="1:7" x14ac:dyDescent="0.15">
      <c r="A546" s="6" t="s">
        <v>1477</v>
      </c>
      <c r="B546" s="6" t="s">
        <v>120</v>
      </c>
      <c r="C546" s="6" t="str">
        <f t="shared" si="8"/>
        <v>fe_s_containing_proteins</v>
      </c>
      <c r="D546" s="7" t="s">
        <v>13</v>
      </c>
      <c r="E546" s="6" t="s">
        <v>1478</v>
      </c>
      <c r="F546" s="6" t="s">
        <v>1479</v>
      </c>
      <c r="G546" s="6">
        <v>500</v>
      </c>
    </row>
    <row r="547" spans="1:7" x14ac:dyDescent="0.15">
      <c r="A547" s="6" t="s">
        <v>1480</v>
      </c>
      <c r="B547" s="6" t="s">
        <v>120</v>
      </c>
      <c r="C547" s="6" t="str">
        <f t="shared" si="8"/>
        <v>fission</v>
      </c>
      <c r="D547" s="7" t="s">
        <v>13</v>
      </c>
      <c r="E547" s="6" t="s">
        <v>1481</v>
      </c>
      <c r="F547" s="6" t="s">
        <v>1482</v>
      </c>
      <c r="G547" s="6">
        <v>500</v>
      </c>
    </row>
    <row r="548" spans="1:7" x14ac:dyDescent="0.15">
      <c r="A548" s="6" t="s">
        <v>1483</v>
      </c>
      <c r="B548" s="6" t="s">
        <v>120</v>
      </c>
      <c r="C548" s="6" t="str">
        <f t="shared" si="8"/>
        <v>fmet_processing</v>
      </c>
      <c r="D548" s="7" t="s">
        <v>13</v>
      </c>
      <c r="E548" s="6" t="s">
        <v>1484</v>
      </c>
      <c r="F548" s="6" t="s">
        <v>1485</v>
      </c>
      <c r="G548" s="6">
        <v>500</v>
      </c>
    </row>
    <row r="549" spans="1:7" x14ac:dyDescent="0.15">
      <c r="A549" s="6" t="s">
        <v>1486</v>
      </c>
      <c r="B549" s="6" t="s">
        <v>120</v>
      </c>
      <c r="C549" s="6" t="str">
        <f t="shared" si="8"/>
        <v>folate_and_1_c_metabolism</v>
      </c>
      <c r="D549" s="7" t="s">
        <v>13</v>
      </c>
      <c r="E549" s="6" t="s">
        <v>1487</v>
      </c>
      <c r="F549" s="6" t="s">
        <v>1488</v>
      </c>
      <c r="G549" s="6">
        <v>500</v>
      </c>
    </row>
    <row r="550" spans="1:7" x14ac:dyDescent="0.15">
      <c r="A550" s="6" t="s">
        <v>1489</v>
      </c>
      <c r="B550" s="6" t="s">
        <v>120</v>
      </c>
      <c r="C550" s="6" t="str">
        <f t="shared" si="8"/>
        <v>fusion</v>
      </c>
      <c r="D550" s="7" t="s">
        <v>13</v>
      </c>
      <c r="E550" s="6" t="s">
        <v>1490</v>
      </c>
      <c r="F550" s="6" t="s">
        <v>1491</v>
      </c>
      <c r="G550" s="6">
        <v>500</v>
      </c>
    </row>
    <row r="551" spans="1:7" x14ac:dyDescent="0.15">
      <c r="A551" s="6" t="s">
        <v>1492</v>
      </c>
      <c r="B551" s="6" t="s">
        <v>120</v>
      </c>
      <c r="C551" s="6" t="str">
        <f t="shared" si="8"/>
        <v>gaba_metabolism</v>
      </c>
      <c r="D551" s="7" t="s">
        <v>13</v>
      </c>
      <c r="E551" s="6" t="s">
        <v>1493</v>
      </c>
      <c r="F551" s="6" t="s">
        <v>1494</v>
      </c>
      <c r="G551" s="6">
        <v>500</v>
      </c>
    </row>
    <row r="552" spans="1:7" x14ac:dyDescent="0.15">
      <c r="A552" s="6" t="s">
        <v>1495</v>
      </c>
      <c r="B552" s="6" t="s">
        <v>120</v>
      </c>
      <c r="C552" s="6" t="str">
        <f t="shared" si="8"/>
        <v>gluconeogenesis</v>
      </c>
      <c r="D552" s="7" t="s">
        <v>13</v>
      </c>
      <c r="E552" s="6" t="s">
        <v>1496</v>
      </c>
      <c r="F552" s="6" t="s">
        <v>1497</v>
      </c>
      <c r="G552" s="6">
        <v>500</v>
      </c>
    </row>
    <row r="553" spans="1:7" x14ac:dyDescent="0.15">
      <c r="A553" s="6" t="s">
        <v>1498</v>
      </c>
      <c r="B553" s="6" t="s">
        <v>120</v>
      </c>
      <c r="C553" s="6" t="str">
        <f t="shared" si="8"/>
        <v>glutamate_metabolism</v>
      </c>
      <c r="D553" s="7" t="s">
        <v>13</v>
      </c>
      <c r="E553" s="6" t="s">
        <v>1499</v>
      </c>
      <c r="F553" s="6" t="s">
        <v>1500</v>
      </c>
      <c r="G553" s="6">
        <v>500</v>
      </c>
    </row>
    <row r="554" spans="1:7" x14ac:dyDescent="0.15">
      <c r="A554" s="6" t="s">
        <v>1501</v>
      </c>
      <c r="B554" s="6" t="s">
        <v>120</v>
      </c>
      <c r="C554" s="6" t="str">
        <f t="shared" si="8"/>
        <v>glycerol_phosphate_shuttle</v>
      </c>
      <c r="D554" s="7" t="s">
        <v>13</v>
      </c>
      <c r="E554" s="6" t="s">
        <v>1502</v>
      </c>
      <c r="F554" s="6" t="s">
        <v>1503</v>
      </c>
      <c r="G554" s="6">
        <v>500</v>
      </c>
    </row>
    <row r="555" spans="1:7" x14ac:dyDescent="0.15">
      <c r="A555" s="6" t="s">
        <v>1504</v>
      </c>
      <c r="B555" s="6" t="s">
        <v>120</v>
      </c>
      <c r="C555" s="6" t="str">
        <f t="shared" si="8"/>
        <v>glycine_cleavage_system</v>
      </c>
      <c r="D555" s="7" t="s">
        <v>13</v>
      </c>
      <c r="E555" s="6" t="s">
        <v>1505</v>
      </c>
      <c r="F555" s="6" t="s">
        <v>1506</v>
      </c>
      <c r="G555" s="6">
        <v>500</v>
      </c>
    </row>
    <row r="556" spans="1:7" x14ac:dyDescent="0.15">
      <c r="A556" s="6" t="s">
        <v>1507</v>
      </c>
      <c r="B556" s="6" t="s">
        <v>120</v>
      </c>
      <c r="C556" s="6" t="str">
        <f t="shared" si="8"/>
        <v>glycine_metabolism</v>
      </c>
      <c r="D556" s="7" t="s">
        <v>13</v>
      </c>
      <c r="E556" s="6" t="s">
        <v>1508</v>
      </c>
      <c r="F556" s="6" t="s">
        <v>1509</v>
      </c>
      <c r="G556" s="6">
        <v>500</v>
      </c>
    </row>
    <row r="557" spans="1:7" x14ac:dyDescent="0.15">
      <c r="A557" s="6" t="s">
        <v>1510</v>
      </c>
      <c r="B557" s="6" t="s">
        <v>120</v>
      </c>
      <c r="C557" s="6" t="str">
        <f t="shared" si="8"/>
        <v>glyoxylate_metabolism</v>
      </c>
      <c r="D557" s="7" t="s">
        <v>13</v>
      </c>
      <c r="E557" s="6" t="s">
        <v>1511</v>
      </c>
      <c r="F557" s="6" t="s">
        <v>1512</v>
      </c>
      <c r="G557" s="6">
        <v>500</v>
      </c>
    </row>
    <row r="558" spans="1:7" x14ac:dyDescent="0.15">
      <c r="A558" s="6" t="s">
        <v>1513</v>
      </c>
      <c r="B558" s="6" t="s">
        <v>120</v>
      </c>
      <c r="C558" s="6" t="str">
        <f t="shared" si="8"/>
        <v>heme_containing_proteins</v>
      </c>
      <c r="D558" s="7" t="s">
        <v>13</v>
      </c>
      <c r="E558" s="6" t="s">
        <v>1514</v>
      </c>
      <c r="F558" s="6" t="s">
        <v>1515</v>
      </c>
      <c r="G558" s="6">
        <v>500</v>
      </c>
    </row>
    <row r="559" spans="1:7" x14ac:dyDescent="0.15">
      <c r="A559" s="6" t="s">
        <v>1516</v>
      </c>
      <c r="B559" s="6" t="s">
        <v>120</v>
      </c>
      <c r="C559" s="6" t="str">
        <f t="shared" si="8"/>
        <v>heme_synthesis_and_processing</v>
      </c>
      <c r="D559" s="7" t="s">
        <v>13</v>
      </c>
      <c r="E559" s="6" t="s">
        <v>1517</v>
      </c>
      <c r="F559" s="6" t="s">
        <v>1518</v>
      </c>
      <c r="G559" s="6">
        <v>500</v>
      </c>
    </row>
    <row r="560" spans="1:7" x14ac:dyDescent="0.15">
      <c r="A560" s="6" t="s">
        <v>1519</v>
      </c>
      <c r="B560" s="6" t="s">
        <v>120</v>
      </c>
      <c r="C560" s="6" t="str">
        <f t="shared" si="8"/>
        <v>immune_response</v>
      </c>
      <c r="D560" s="7" t="s">
        <v>13</v>
      </c>
      <c r="E560" s="6" t="s">
        <v>1520</v>
      </c>
      <c r="F560" s="6" t="s">
        <v>1521</v>
      </c>
      <c r="G560" s="6">
        <v>500</v>
      </c>
    </row>
    <row r="561" spans="1:7" x14ac:dyDescent="0.15">
      <c r="A561" s="6" t="s">
        <v>1522</v>
      </c>
      <c r="B561" s="6" t="s">
        <v>120</v>
      </c>
      <c r="C561" s="6" t="str">
        <f t="shared" si="8"/>
        <v>import_motor</v>
      </c>
      <c r="D561" s="7" t="s">
        <v>13</v>
      </c>
      <c r="E561" s="6" t="s">
        <v>1523</v>
      </c>
      <c r="F561" s="6" t="s">
        <v>1524</v>
      </c>
      <c r="G561" s="6">
        <v>500</v>
      </c>
    </row>
    <row r="562" spans="1:7" x14ac:dyDescent="0.15">
      <c r="A562" s="6" t="s">
        <v>1525</v>
      </c>
      <c r="B562" s="6" t="s">
        <v>120</v>
      </c>
      <c r="C562" s="6" t="str">
        <f t="shared" si="8"/>
        <v>intramitochondrial_membrane_interactions</v>
      </c>
      <c r="D562" s="7" t="s">
        <v>13</v>
      </c>
      <c r="E562" s="6" t="s">
        <v>1526</v>
      </c>
      <c r="F562" s="6" t="s">
        <v>1527</v>
      </c>
      <c r="G562" s="6">
        <v>500</v>
      </c>
    </row>
    <row r="563" spans="1:7" x14ac:dyDescent="0.15">
      <c r="A563" s="6" t="s">
        <v>1528</v>
      </c>
      <c r="B563" s="6" t="s">
        <v>120</v>
      </c>
      <c r="C563" s="6" t="str">
        <f t="shared" si="8"/>
        <v>iron_homeostasis</v>
      </c>
      <c r="D563" s="7" t="s">
        <v>13</v>
      </c>
      <c r="E563" s="6" t="s">
        <v>1529</v>
      </c>
      <c r="F563" s="6" t="s">
        <v>1530</v>
      </c>
      <c r="G563" s="6">
        <v>500</v>
      </c>
    </row>
    <row r="564" spans="1:7" x14ac:dyDescent="0.15">
      <c r="A564" s="6" t="s">
        <v>1531</v>
      </c>
      <c r="B564" s="6" t="s">
        <v>120</v>
      </c>
      <c r="C564" s="6" t="str">
        <f t="shared" si="8"/>
        <v>itaconate_metabolism</v>
      </c>
      <c r="D564" s="7" t="s">
        <v>13</v>
      </c>
      <c r="E564" s="6" t="s">
        <v>1532</v>
      </c>
      <c r="F564" s="6" t="s">
        <v>1533</v>
      </c>
      <c r="G564" s="6">
        <v>500</v>
      </c>
    </row>
    <row r="565" spans="1:7" x14ac:dyDescent="0.15">
      <c r="A565" s="6" t="s">
        <v>1534</v>
      </c>
      <c r="B565" s="6" t="s">
        <v>120</v>
      </c>
      <c r="C565" s="6" t="str">
        <f t="shared" si="8"/>
        <v>ketone_metabolism</v>
      </c>
      <c r="D565" s="7" t="s">
        <v>13</v>
      </c>
      <c r="E565" s="6" t="s">
        <v>1535</v>
      </c>
      <c r="F565" s="6" t="s">
        <v>1536</v>
      </c>
      <c r="G565" s="6">
        <v>500</v>
      </c>
    </row>
    <row r="566" spans="1:7" x14ac:dyDescent="0.15">
      <c r="A566" s="6" t="s">
        <v>1537</v>
      </c>
      <c r="B566" s="6" t="s">
        <v>120</v>
      </c>
      <c r="C566" s="6" t="str">
        <f t="shared" si="8"/>
        <v>kynurenine_metabolism</v>
      </c>
      <c r="D566" s="7" t="s">
        <v>13</v>
      </c>
      <c r="E566" s="6" t="s">
        <v>1538</v>
      </c>
      <c r="F566" s="6" t="s">
        <v>1539</v>
      </c>
      <c r="G566" s="6">
        <v>500</v>
      </c>
    </row>
    <row r="567" spans="1:7" x14ac:dyDescent="0.15">
      <c r="A567" s="6" t="s">
        <v>1540</v>
      </c>
      <c r="B567" s="6" t="s">
        <v>120</v>
      </c>
      <c r="C567" s="6" t="str">
        <f t="shared" si="8"/>
        <v>lipid_metabolism</v>
      </c>
      <c r="D567" s="7" t="s">
        <v>13</v>
      </c>
      <c r="E567" s="6" t="s">
        <v>1541</v>
      </c>
      <c r="F567" s="6" t="s">
        <v>1542</v>
      </c>
      <c r="G567" s="6">
        <v>500</v>
      </c>
    </row>
    <row r="568" spans="1:7" x14ac:dyDescent="0.15">
      <c r="A568" s="6" t="s">
        <v>1543</v>
      </c>
      <c r="B568" s="6" t="s">
        <v>120</v>
      </c>
      <c r="C568" s="6" t="str">
        <f t="shared" si="8"/>
        <v>lipoate_insertion</v>
      </c>
      <c r="D568" s="7" t="s">
        <v>13</v>
      </c>
      <c r="E568" s="6" t="s">
        <v>1544</v>
      </c>
      <c r="F568" s="6" t="s">
        <v>1545</v>
      </c>
      <c r="G568" s="6">
        <v>500</v>
      </c>
    </row>
    <row r="569" spans="1:7" x14ac:dyDescent="0.15">
      <c r="A569" s="6" t="s">
        <v>1546</v>
      </c>
      <c r="B569" s="6" t="s">
        <v>120</v>
      </c>
      <c r="C569" s="6" t="str">
        <f t="shared" si="8"/>
        <v>lysine_metabolism</v>
      </c>
      <c r="D569" s="7" t="s">
        <v>13</v>
      </c>
      <c r="E569" s="6" t="s">
        <v>1547</v>
      </c>
      <c r="F569" s="6" t="s">
        <v>1548</v>
      </c>
      <c r="G569" s="6">
        <v>500</v>
      </c>
    </row>
    <row r="570" spans="1:7" x14ac:dyDescent="0.15">
      <c r="A570" s="6" t="s">
        <v>1549</v>
      </c>
      <c r="B570" s="6" t="s">
        <v>120</v>
      </c>
      <c r="C570" s="6" t="str">
        <f t="shared" si="8"/>
        <v>malate_aspartate_shuttle</v>
      </c>
      <c r="D570" s="7" t="s">
        <v>13</v>
      </c>
      <c r="E570" s="6" t="s">
        <v>1550</v>
      </c>
      <c r="F570" s="6" t="s">
        <v>1551</v>
      </c>
      <c r="G570" s="6">
        <v>500</v>
      </c>
    </row>
    <row r="571" spans="1:7" x14ac:dyDescent="0.15">
      <c r="A571" s="6" t="s">
        <v>1552</v>
      </c>
      <c r="B571" s="6" t="s">
        <v>120</v>
      </c>
      <c r="C571" s="6" t="str">
        <f t="shared" si="8"/>
        <v>metabolism</v>
      </c>
      <c r="D571" s="7" t="s">
        <v>13</v>
      </c>
      <c r="E571" s="6" t="s">
        <v>1553</v>
      </c>
      <c r="F571" s="6" t="s">
        <v>1553</v>
      </c>
      <c r="G571" s="6">
        <v>500</v>
      </c>
    </row>
    <row r="572" spans="1:7" x14ac:dyDescent="0.15">
      <c r="A572" s="6" t="s">
        <v>1554</v>
      </c>
      <c r="B572" s="6" t="s">
        <v>120</v>
      </c>
      <c r="C572" s="6" t="str">
        <f t="shared" si="8"/>
        <v>metals_and_cofactors</v>
      </c>
      <c r="D572" s="7" t="s">
        <v>13</v>
      </c>
      <c r="E572" s="6" t="s">
        <v>1555</v>
      </c>
      <c r="F572" s="6" t="s">
        <v>1556</v>
      </c>
      <c r="G572" s="6">
        <v>500</v>
      </c>
    </row>
    <row r="573" spans="1:7" x14ac:dyDescent="0.15">
      <c r="A573" s="6" t="s">
        <v>1557</v>
      </c>
      <c r="B573" s="6" t="s">
        <v>120</v>
      </c>
      <c r="C573" s="6" t="str">
        <f t="shared" si="8"/>
        <v>mia40</v>
      </c>
      <c r="D573" s="7" t="s">
        <v>13</v>
      </c>
      <c r="E573" s="6" t="s">
        <v>1558</v>
      </c>
      <c r="F573" s="6" t="s">
        <v>1559</v>
      </c>
      <c r="G573" s="6">
        <v>500</v>
      </c>
    </row>
    <row r="574" spans="1:7" x14ac:dyDescent="0.15">
      <c r="A574" s="6" t="s">
        <v>1560</v>
      </c>
      <c r="B574" s="6" t="s">
        <v>120</v>
      </c>
      <c r="C574" s="6" t="str">
        <f t="shared" si="8"/>
        <v>micos_complex</v>
      </c>
      <c r="D574" s="7" t="s">
        <v>13</v>
      </c>
      <c r="E574" s="6" t="s">
        <v>1561</v>
      </c>
      <c r="F574" s="6" t="s">
        <v>1562</v>
      </c>
      <c r="G574" s="6">
        <v>500</v>
      </c>
    </row>
    <row r="575" spans="1:7" x14ac:dyDescent="0.15">
      <c r="A575" s="6" t="s">
        <v>1563</v>
      </c>
      <c r="B575" s="6" t="s">
        <v>120</v>
      </c>
      <c r="C575" s="6" t="str">
        <f t="shared" si="8"/>
        <v>mitochondrial_dynamics_and_surveillance</v>
      </c>
      <c r="D575" s="7" t="s">
        <v>13</v>
      </c>
      <c r="E575" s="6" t="s">
        <v>1564</v>
      </c>
      <c r="F575" s="6" t="s">
        <v>1564</v>
      </c>
      <c r="G575" s="6">
        <v>500</v>
      </c>
    </row>
    <row r="576" spans="1:7" x14ac:dyDescent="0.15">
      <c r="A576" s="6" t="s">
        <v>1565</v>
      </c>
      <c r="B576" s="6" t="s">
        <v>120</v>
      </c>
      <c r="C576" s="6" t="str">
        <f t="shared" si="8"/>
        <v>mitochondrial_permeability_transition_pore</v>
      </c>
      <c r="D576" s="7" t="s">
        <v>13</v>
      </c>
      <c r="E576" s="6" t="s">
        <v>1566</v>
      </c>
      <c r="F576" s="6" t="s">
        <v>1567</v>
      </c>
      <c r="G576" s="6">
        <v>500</v>
      </c>
    </row>
    <row r="577" spans="1:7" x14ac:dyDescent="0.15">
      <c r="A577" s="6" t="s">
        <v>1568</v>
      </c>
      <c r="B577" s="6" t="s">
        <v>120</v>
      </c>
      <c r="C577" s="6" t="str">
        <f t="shared" si="8"/>
        <v>mitochondrial_ribosome</v>
      </c>
      <c r="D577" s="7" t="s">
        <v>13</v>
      </c>
      <c r="E577" s="6" t="s">
        <v>1569</v>
      </c>
      <c r="F577" s="6" t="s">
        <v>1570</v>
      </c>
      <c r="G577" s="6">
        <v>500</v>
      </c>
    </row>
    <row r="578" spans="1:7" x14ac:dyDescent="0.15">
      <c r="A578" s="6" t="s">
        <v>1571</v>
      </c>
      <c r="B578" s="6" t="s">
        <v>120</v>
      </c>
      <c r="C578" s="6" t="str">
        <f t="shared" si="8"/>
        <v>mitochondrial_ribosome_assembly</v>
      </c>
      <c r="D578" s="7" t="s">
        <v>13</v>
      </c>
      <c r="E578" s="6" t="s">
        <v>1572</v>
      </c>
      <c r="F578" s="6" t="s">
        <v>1573</v>
      </c>
      <c r="G578" s="6">
        <v>500</v>
      </c>
    </row>
    <row r="579" spans="1:7" x14ac:dyDescent="0.15">
      <c r="A579" s="6" t="s">
        <v>1574</v>
      </c>
      <c r="B579" s="6" t="s">
        <v>120</v>
      </c>
      <c r="C579" s="6" t="str">
        <f t="shared" si="8"/>
        <v>mitophagy</v>
      </c>
      <c r="D579" s="7" t="s">
        <v>13</v>
      </c>
      <c r="E579" s="6" t="s">
        <v>1575</v>
      </c>
      <c r="F579" s="6" t="s">
        <v>1576</v>
      </c>
      <c r="G579" s="6">
        <v>500</v>
      </c>
    </row>
    <row r="580" spans="1:7" x14ac:dyDescent="0.15">
      <c r="A580" s="6" t="s">
        <v>1577</v>
      </c>
      <c r="B580" s="6" t="s">
        <v>120</v>
      </c>
      <c r="C580" s="6" t="str">
        <f t="shared" si="8"/>
        <v>molybdenum_cofactor_synthesis_and_proteins</v>
      </c>
      <c r="D580" s="7" t="s">
        <v>13</v>
      </c>
      <c r="E580" s="6" t="s">
        <v>1578</v>
      </c>
      <c r="F580" s="6" t="s">
        <v>1579</v>
      </c>
      <c r="G580" s="6">
        <v>500</v>
      </c>
    </row>
    <row r="581" spans="1:7" x14ac:dyDescent="0.15">
      <c r="A581" s="6" t="s">
        <v>1580</v>
      </c>
      <c r="B581" s="6" t="s">
        <v>120</v>
      </c>
      <c r="C581" s="6" t="str">
        <f t="shared" si="8"/>
        <v>mt_mrna_modifications</v>
      </c>
      <c r="D581" s="7" t="s">
        <v>13</v>
      </c>
      <c r="E581" s="6" t="s">
        <v>1581</v>
      </c>
      <c r="F581" s="6" t="s">
        <v>1582</v>
      </c>
      <c r="G581" s="6">
        <v>500</v>
      </c>
    </row>
    <row r="582" spans="1:7" x14ac:dyDescent="0.15">
      <c r="A582" s="6" t="s">
        <v>1583</v>
      </c>
      <c r="B582" s="6" t="s">
        <v>120</v>
      </c>
      <c r="C582" s="6" t="str">
        <f t="shared" si="8"/>
        <v>mt_rrna_modifications</v>
      </c>
      <c r="D582" s="7" t="s">
        <v>13</v>
      </c>
      <c r="E582" s="6" t="s">
        <v>1584</v>
      </c>
      <c r="F582" s="6" t="s">
        <v>1585</v>
      </c>
      <c r="G582" s="6">
        <v>500</v>
      </c>
    </row>
    <row r="583" spans="1:7" x14ac:dyDescent="0.15">
      <c r="A583" s="6" t="s">
        <v>1586</v>
      </c>
      <c r="B583" s="6" t="s">
        <v>120</v>
      </c>
      <c r="C583" s="6" t="str">
        <f t="shared" si="8"/>
        <v>mt_trna_modifications</v>
      </c>
      <c r="D583" s="7" t="s">
        <v>13</v>
      </c>
      <c r="E583" s="6" t="s">
        <v>1587</v>
      </c>
      <c r="F583" s="6" t="s">
        <v>1588</v>
      </c>
      <c r="G583" s="6">
        <v>500</v>
      </c>
    </row>
    <row r="584" spans="1:7" x14ac:dyDescent="0.15">
      <c r="A584" s="6" t="s">
        <v>1589</v>
      </c>
      <c r="B584" s="6" t="s">
        <v>120</v>
      </c>
      <c r="C584" s="6" t="str">
        <f t="shared" si="8"/>
        <v>mt_trna_synthetases</v>
      </c>
      <c r="D584" s="7" t="s">
        <v>13</v>
      </c>
      <c r="E584" s="6" t="s">
        <v>1590</v>
      </c>
      <c r="F584" s="6" t="s">
        <v>1591</v>
      </c>
      <c r="G584" s="6">
        <v>500</v>
      </c>
    </row>
    <row r="585" spans="1:7" x14ac:dyDescent="0.15">
      <c r="A585" s="6" t="s">
        <v>1592</v>
      </c>
      <c r="B585" s="6" t="s">
        <v>120</v>
      </c>
      <c r="C585" s="6" t="str">
        <f t="shared" si="8"/>
        <v>mtdna_maintenance</v>
      </c>
      <c r="D585" s="7" t="s">
        <v>13</v>
      </c>
      <c r="E585" s="6" t="s">
        <v>1593</v>
      </c>
      <c r="F585" s="6" t="s">
        <v>1594</v>
      </c>
      <c r="G585" s="6">
        <v>500</v>
      </c>
    </row>
    <row r="586" spans="1:7" x14ac:dyDescent="0.15">
      <c r="A586" s="6" t="s">
        <v>1595</v>
      </c>
      <c r="B586" s="6" t="s">
        <v>120</v>
      </c>
      <c r="C586" s="6" t="str">
        <f t="shared" ref="C586:C649" si="9">A586</f>
        <v>mtdna_modifications</v>
      </c>
      <c r="D586" s="7" t="s">
        <v>13</v>
      </c>
      <c r="E586" s="6" t="s">
        <v>1596</v>
      </c>
      <c r="F586" s="6" t="s">
        <v>1597</v>
      </c>
      <c r="G586" s="6">
        <v>500</v>
      </c>
    </row>
    <row r="587" spans="1:7" x14ac:dyDescent="0.15">
      <c r="A587" s="6" t="s">
        <v>1598</v>
      </c>
      <c r="B587" s="6" t="s">
        <v>120</v>
      </c>
      <c r="C587" s="6" t="str">
        <f t="shared" si="9"/>
        <v>mtdna_nucleoid</v>
      </c>
      <c r="D587" s="7" t="s">
        <v>13</v>
      </c>
      <c r="E587" s="6" t="s">
        <v>1599</v>
      </c>
      <c r="F587" s="6" t="s">
        <v>1600</v>
      </c>
      <c r="G587" s="6">
        <v>500</v>
      </c>
    </row>
    <row r="588" spans="1:7" x14ac:dyDescent="0.15">
      <c r="A588" s="6" t="s">
        <v>1601</v>
      </c>
      <c r="B588" s="6" t="s">
        <v>120</v>
      </c>
      <c r="C588" s="6" t="str">
        <f t="shared" si="9"/>
        <v>mtdna_repair</v>
      </c>
      <c r="D588" s="7" t="s">
        <v>13</v>
      </c>
      <c r="E588" s="6" t="s">
        <v>1602</v>
      </c>
      <c r="F588" s="6" t="s">
        <v>1603</v>
      </c>
      <c r="G588" s="6">
        <v>500</v>
      </c>
    </row>
    <row r="589" spans="1:7" x14ac:dyDescent="0.15">
      <c r="A589" s="6" t="s">
        <v>1604</v>
      </c>
      <c r="B589" s="6" t="s">
        <v>120</v>
      </c>
      <c r="C589" s="6" t="str">
        <f t="shared" si="9"/>
        <v>mtdna_replication</v>
      </c>
      <c r="D589" s="7" t="s">
        <v>13</v>
      </c>
      <c r="E589" s="6" t="s">
        <v>1605</v>
      </c>
      <c r="F589" s="6" t="s">
        <v>1606</v>
      </c>
      <c r="G589" s="6">
        <v>500</v>
      </c>
    </row>
    <row r="590" spans="1:7" x14ac:dyDescent="0.15">
      <c r="A590" s="6" t="s">
        <v>1607</v>
      </c>
      <c r="B590" s="6" t="s">
        <v>120</v>
      </c>
      <c r="C590" s="6" t="str">
        <f t="shared" si="9"/>
        <v>mtdna_stability_and_decay</v>
      </c>
      <c r="D590" s="7" t="s">
        <v>13</v>
      </c>
      <c r="E590" s="6" t="s">
        <v>1608</v>
      </c>
      <c r="F590" s="6" t="s">
        <v>1609</v>
      </c>
      <c r="G590" s="6">
        <v>500</v>
      </c>
    </row>
    <row r="591" spans="1:7" x14ac:dyDescent="0.15">
      <c r="A591" s="6" t="s">
        <v>1610</v>
      </c>
      <c r="B591" s="6" t="s">
        <v>120</v>
      </c>
      <c r="C591" s="6" t="str">
        <f t="shared" si="9"/>
        <v>mtrna_granules</v>
      </c>
      <c r="D591" s="7" t="s">
        <v>13</v>
      </c>
      <c r="E591" s="6" t="s">
        <v>1611</v>
      </c>
      <c r="F591" s="6" t="s">
        <v>1612</v>
      </c>
      <c r="G591" s="6">
        <v>500</v>
      </c>
    </row>
    <row r="592" spans="1:7" x14ac:dyDescent="0.15">
      <c r="A592" s="6" t="s">
        <v>1613</v>
      </c>
      <c r="B592" s="6" t="s">
        <v>120</v>
      </c>
      <c r="C592" s="6" t="str">
        <f t="shared" si="9"/>
        <v>mtrna_metabolism</v>
      </c>
      <c r="D592" s="7" t="s">
        <v>13</v>
      </c>
      <c r="E592" s="6" t="s">
        <v>1614</v>
      </c>
      <c r="F592" s="6" t="s">
        <v>1615</v>
      </c>
      <c r="G592" s="6">
        <v>500</v>
      </c>
    </row>
    <row r="593" spans="1:7" x14ac:dyDescent="0.15">
      <c r="A593" s="6" t="s">
        <v>1616</v>
      </c>
      <c r="B593" s="6" t="s">
        <v>120</v>
      </c>
      <c r="C593" s="6" t="str">
        <f t="shared" si="9"/>
        <v>mtrna_stability_and_decay</v>
      </c>
      <c r="D593" s="7" t="s">
        <v>13</v>
      </c>
      <c r="E593" s="6" t="s">
        <v>1617</v>
      </c>
      <c r="F593" s="6" t="s">
        <v>1618</v>
      </c>
      <c r="G593" s="6">
        <v>500</v>
      </c>
    </row>
    <row r="594" spans="1:7" x14ac:dyDescent="0.15">
      <c r="A594" s="6" t="s">
        <v>1619</v>
      </c>
      <c r="B594" s="6" t="s">
        <v>120</v>
      </c>
      <c r="C594" s="6" t="str">
        <f t="shared" si="9"/>
        <v>nad_biosynthesis_and_metabolism</v>
      </c>
      <c r="D594" s="7" t="s">
        <v>13</v>
      </c>
      <c r="E594" s="6" t="s">
        <v>1620</v>
      </c>
      <c r="F594" s="6" t="s">
        <v>1621</v>
      </c>
      <c r="G594" s="6">
        <v>500</v>
      </c>
    </row>
    <row r="595" spans="1:7" x14ac:dyDescent="0.15">
      <c r="A595" s="6" t="s">
        <v>1622</v>
      </c>
      <c r="B595" s="6" t="s">
        <v>120</v>
      </c>
      <c r="C595" s="6" t="str">
        <f t="shared" si="9"/>
        <v>nucleotide_import</v>
      </c>
      <c r="D595" s="7" t="s">
        <v>13</v>
      </c>
      <c r="E595" s="6" t="s">
        <v>1623</v>
      </c>
      <c r="F595" s="6" t="s">
        <v>1624</v>
      </c>
      <c r="G595" s="6">
        <v>500</v>
      </c>
    </row>
    <row r="596" spans="1:7" x14ac:dyDescent="0.15">
      <c r="A596" s="6" t="s">
        <v>1625</v>
      </c>
      <c r="B596" s="6" t="s">
        <v>120</v>
      </c>
      <c r="C596" s="6" t="str">
        <f t="shared" si="9"/>
        <v>nucleotide_metabolism</v>
      </c>
      <c r="D596" s="7" t="s">
        <v>13</v>
      </c>
      <c r="E596" s="6" t="s">
        <v>1626</v>
      </c>
      <c r="F596" s="6" t="s">
        <v>1627</v>
      </c>
      <c r="G596" s="6">
        <v>500</v>
      </c>
    </row>
    <row r="597" spans="1:7" x14ac:dyDescent="0.15">
      <c r="A597" s="6" t="s">
        <v>1628</v>
      </c>
      <c r="B597" s="6" t="s">
        <v>120</v>
      </c>
      <c r="C597" s="6" t="str">
        <f t="shared" si="9"/>
        <v>nucleotide_synthesis_and_processing</v>
      </c>
      <c r="D597" s="7" t="s">
        <v>13</v>
      </c>
      <c r="E597" s="6" t="s">
        <v>1629</v>
      </c>
      <c r="F597" s="6" t="s">
        <v>1630</v>
      </c>
      <c r="G597" s="6">
        <v>500</v>
      </c>
    </row>
    <row r="598" spans="1:7" x14ac:dyDescent="0.15">
      <c r="A598" s="6" t="s">
        <v>1631</v>
      </c>
      <c r="B598" s="6" t="s">
        <v>120</v>
      </c>
      <c r="C598" s="6" t="str">
        <f t="shared" si="9"/>
        <v>organelle_contact_sites</v>
      </c>
      <c r="D598" s="7" t="s">
        <v>13</v>
      </c>
      <c r="E598" s="6" t="s">
        <v>1632</v>
      </c>
      <c r="F598" s="6" t="s">
        <v>1633</v>
      </c>
      <c r="G598" s="6">
        <v>500</v>
      </c>
    </row>
    <row r="599" spans="1:7" x14ac:dyDescent="0.15">
      <c r="A599" s="6" t="s">
        <v>1634</v>
      </c>
      <c r="B599" s="6" t="s">
        <v>120</v>
      </c>
      <c r="C599" s="6" t="str">
        <f t="shared" si="9"/>
        <v>oxa</v>
      </c>
      <c r="D599" s="7" t="s">
        <v>13</v>
      </c>
      <c r="E599" s="6" t="s">
        <v>1635</v>
      </c>
      <c r="F599" s="6" t="s">
        <v>1636</v>
      </c>
      <c r="G599" s="6">
        <v>500</v>
      </c>
    </row>
    <row r="600" spans="1:7" x14ac:dyDescent="0.15">
      <c r="A600" s="6" t="s">
        <v>1637</v>
      </c>
      <c r="B600" s="6" t="s">
        <v>120</v>
      </c>
      <c r="C600" s="6" t="str">
        <f t="shared" si="9"/>
        <v>oxphos</v>
      </c>
      <c r="D600" s="7" t="s">
        <v>13</v>
      </c>
      <c r="E600" s="6" t="s">
        <v>1638</v>
      </c>
      <c r="F600" s="6" t="s">
        <v>1638</v>
      </c>
      <c r="G600" s="6">
        <v>500</v>
      </c>
    </row>
    <row r="601" spans="1:7" x14ac:dyDescent="0.15">
      <c r="A601" s="6" t="s">
        <v>1639</v>
      </c>
      <c r="B601" s="6" t="s">
        <v>120</v>
      </c>
      <c r="C601" s="6" t="str">
        <f t="shared" si="9"/>
        <v>oxphos_assembly_factors</v>
      </c>
      <c r="D601" s="7" t="s">
        <v>13</v>
      </c>
      <c r="E601" s="6" t="s">
        <v>1640</v>
      </c>
      <c r="F601" s="6" t="s">
        <v>1641</v>
      </c>
      <c r="G601" s="6">
        <v>500</v>
      </c>
    </row>
    <row r="602" spans="1:7" x14ac:dyDescent="0.15">
      <c r="A602" s="6" t="s">
        <v>1642</v>
      </c>
      <c r="B602" s="6" t="s">
        <v>120</v>
      </c>
      <c r="C602" s="6" t="str">
        <f t="shared" si="9"/>
        <v>oxphos_subunits</v>
      </c>
      <c r="D602" s="7" t="s">
        <v>13</v>
      </c>
      <c r="E602" s="6" t="s">
        <v>1643</v>
      </c>
      <c r="F602" s="6" t="s">
        <v>1644</v>
      </c>
      <c r="G602" s="6">
        <v>500</v>
      </c>
    </row>
    <row r="603" spans="1:7" x14ac:dyDescent="0.15">
      <c r="A603" s="6" t="s">
        <v>1645</v>
      </c>
      <c r="B603" s="6" t="s">
        <v>120</v>
      </c>
      <c r="C603" s="6" t="str">
        <f t="shared" si="9"/>
        <v>phospholipid_metabolism</v>
      </c>
      <c r="D603" s="7" t="s">
        <v>13</v>
      </c>
      <c r="E603" s="6" t="s">
        <v>1646</v>
      </c>
      <c r="F603" s="6" t="s">
        <v>1647</v>
      </c>
      <c r="G603" s="6">
        <v>500</v>
      </c>
    </row>
    <row r="604" spans="1:7" x14ac:dyDescent="0.15">
      <c r="A604" s="6" t="s">
        <v>1648</v>
      </c>
      <c r="B604" s="6" t="s">
        <v>120</v>
      </c>
      <c r="C604" s="6" t="str">
        <f t="shared" si="9"/>
        <v>polycistronic_mtrna_processing</v>
      </c>
      <c r="D604" s="7" t="s">
        <v>13</v>
      </c>
      <c r="E604" s="6" t="s">
        <v>1649</v>
      </c>
      <c r="F604" s="6" t="s">
        <v>1650</v>
      </c>
      <c r="G604" s="6">
        <v>500</v>
      </c>
    </row>
    <row r="605" spans="1:7" x14ac:dyDescent="0.15">
      <c r="A605" s="6" t="s">
        <v>1651</v>
      </c>
      <c r="B605" s="6" t="s">
        <v>120</v>
      </c>
      <c r="C605" s="6" t="str">
        <f t="shared" si="9"/>
        <v>preprotein_cleavage</v>
      </c>
      <c r="D605" s="7" t="s">
        <v>13</v>
      </c>
      <c r="E605" s="6" t="s">
        <v>1652</v>
      </c>
      <c r="F605" s="6" t="s">
        <v>1653</v>
      </c>
      <c r="G605" s="6">
        <v>500</v>
      </c>
    </row>
    <row r="606" spans="1:7" x14ac:dyDescent="0.15">
      <c r="A606" s="6" t="s">
        <v>1654</v>
      </c>
      <c r="B606" s="6" t="s">
        <v>120</v>
      </c>
      <c r="C606" s="6" t="str">
        <f t="shared" si="9"/>
        <v>proline_metabolism</v>
      </c>
      <c r="D606" s="7" t="s">
        <v>13</v>
      </c>
      <c r="E606" s="6" t="s">
        <v>1655</v>
      </c>
      <c r="F606" s="6" t="s">
        <v>1656</v>
      </c>
      <c r="G606" s="6">
        <v>500</v>
      </c>
    </row>
    <row r="607" spans="1:7" x14ac:dyDescent="0.15">
      <c r="A607" s="6" t="s">
        <v>1657</v>
      </c>
      <c r="B607" s="6" t="s">
        <v>120</v>
      </c>
      <c r="C607" s="6" t="str">
        <f t="shared" si="9"/>
        <v>propanoate_metabolism</v>
      </c>
      <c r="D607" s="7" t="s">
        <v>13</v>
      </c>
      <c r="E607" s="6" t="s">
        <v>1658</v>
      </c>
      <c r="F607" s="6" t="s">
        <v>1659</v>
      </c>
      <c r="G607" s="6">
        <v>500</v>
      </c>
    </row>
    <row r="608" spans="1:7" x14ac:dyDescent="0.15">
      <c r="A608" s="6" t="s">
        <v>1660</v>
      </c>
      <c r="B608" s="6" t="s">
        <v>120</v>
      </c>
      <c r="C608" s="6" t="str">
        <f t="shared" si="9"/>
        <v>proteases</v>
      </c>
      <c r="D608" s="7" t="s">
        <v>13</v>
      </c>
      <c r="E608" s="6" t="s">
        <v>1661</v>
      </c>
      <c r="F608" s="6" t="s">
        <v>1662</v>
      </c>
      <c r="G608" s="6">
        <v>500</v>
      </c>
    </row>
    <row r="609" spans="1:7" x14ac:dyDescent="0.15">
      <c r="A609" s="6" t="s">
        <v>1663</v>
      </c>
      <c r="B609" s="6" t="s">
        <v>120</v>
      </c>
      <c r="C609" s="6" t="str">
        <f t="shared" si="9"/>
        <v>protein_homeostasis</v>
      </c>
      <c r="D609" s="7" t="s">
        <v>13</v>
      </c>
      <c r="E609" s="6" t="s">
        <v>1664</v>
      </c>
      <c r="F609" s="6" t="s">
        <v>1665</v>
      </c>
      <c r="G609" s="6">
        <v>500</v>
      </c>
    </row>
    <row r="610" spans="1:7" x14ac:dyDescent="0.15">
      <c r="A610" s="6" t="s">
        <v>1666</v>
      </c>
      <c r="B610" s="6" t="s">
        <v>120</v>
      </c>
      <c r="C610" s="6" t="str">
        <f t="shared" si="9"/>
        <v>protein_import_and_sorting</v>
      </c>
      <c r="D610" s="7" t="s">
        <v>13</v>
      </c>
      <c r="E610" s="6" t="s">
        <v>1667</v>
      </c>
      <c r="F610" s="6" t="s">
        <v>1668</v>
      </c>
      <c r="G610" s="6">
        <v>500</v>
      </c>
    </row>
    <row r="611" spans="1:7" x14ac:dyDescent="0.15">
      <c r="A611" s="6" t="s">
        <v>1669</v>
      </c>
      <c r="B611" s="6" t="s">
        <v>120</v>
      </c>
      <c r="C611" s="6" t="str">
        <f t="shared" si="9"/>
        <v>pyruvate_metabolism</v>
      </c>
      <c r="D611" s="7" t="s">
        <v>13</v>
      </c>
      <c r="E611" s="6" t="s">
        <v>1670</v>
      </c>
      <c r="F611" s="6" t="s">
        <v>1671</v>
      </c>
      <c r="G611" s="6">
        <v>500</v>
      </c>
    </row>
    <row r="612" spans="1:7" x14ac:dyDescent="0.15">
      <c r="A612" s="6" t="s">
        <v>1672</v>
      </c>
      <c r="B612" s="6" t="s">
        <v>120</v>
      </c>
      <c r="C612" s="6" t="str">
        <f t="shared" si="9"/>
        <v>respirasome_assembly</v>
      </c>
      <c r="D612" s="7" t="s">
        <v>13</v>
      </c>
      <c r="E612" s="6" t="s">
        <v>1673</v>
      </c>
      <c r="F612" s="6" t="s">
        <v>1674</v>
      </c>
      <c r="G612" s="6">
        <v>500</v>
      </c>
    </row>
    <row r="613" spans="1:7" x14ac:dyDescent="0.15">
      <c r="A613" s="6" t="s">
        <v>1675</v>
      </c>
      <c r="B613" s="6" t="s">
        <v>120</v>
      </c>
      <c r="C613" s="6" t="str">
        <f t="shared" si="9"/>
        <v>ros_and_glutathione_metabolism</v>
      </c>
      <c r="D613" s="7" t="s">
        <v>13</v>
      </c>
      <c r="E613" s="6" t="s">
        <v>1676</v>
      </c>
      <c r="F613" s="6" t="s">
        <v>1677</v>
      </c>
      <c r="G613" s="6">
        <v>500</v>
      </c>
    </row>
    <row r="614" spans="1:7" x14ac:dyDescent="0.15">
      <c r="A614" s="6" t="s">
        <v>1678</v>
      </c>
      <c r="B614" s="6" t="s">
        <v>120</v>
      </c>
      <c r="C614" s="6" t="str">
        <f t="shared" si="9"/>
        <v>sam</v>
      </c>
      <c r="D614" s="7" t="s">
        <v>13</v>
      </c>
      <c r="E614" s="6" t="s">
        <v>1679</v>
      </c>
      <c r="F614" s="6" t="s">
        <v>1680</v>
      </c>
      <c r="G614" s="6">
        <v>500</v>
      </c>
    </row>
    <row r="615" spans="1:7" x14ac:dyDescent="0.15">
      <c r="A615" s="6" t="s">
        <v>1681</v>
      </c>
      <c r="B615" s="6" t="s">
        <v>120</v>
      </c>
      <c r="C615" s="6" t="str">
        <f t="shared" si="9"/>
        <v>selenoproteins</v>
      </c>
      <c r="D615" s="7" t="s">
        <v>13</v>
      </c>
      <c r="E615" s="6" t="s">
        <v>1682</v>
      </c>
      <c r="F615" s="6" t="s">
        <v>1683</v>
      </c>
      <c r="G615" s="6">
        <v>500</v>
      </c>
    </row>
    <row r="616" spans="1:7" x14ac:dyDescent="0.15">
      <c r="A616" s="6" t="s">
        <v>1684</v>
      </c>
      <c r="B616" s="6" t="s">
        <v>120</v>
      </c>
      <c r="C616" s="6" t="str">
        <f t="shared" si="9"/>
        <v>serine_metabolism</v>
      </c>
      <c r="D616" s="7" t="s">
        <v>13</v>
      </c>
      <c r="E616" s="6" t="s">
        <v>1685</v>
      </c>
      <c r="F616" s="6" t="s">
        <v>1686</v>
      </c>
      <c r="G616" s="6">
        <v>500</v>
      </c>
    </row>
    <row r="617" spans="1:7" x14ac:dyDescent="0.15">
      <c r="A617" s="6" t="s">
        <v>1687</v>
      </c>
      <c r="B617" s="6" t="s">
        <v>120</v>
      </c>
      <c r="C617" s="6" t="str">
        <f t="shared" si="9"/>
        <v>sideroflexins</v>
      </c>
      <c r="D617" s="7" t="s">
        <v>13</v>
      </c>
      <c r="E617" s="6" t="s">
        <v>1688</v>
      </c>
      <c r="F617" s="6" t="s">
        <v>1689</v>
      </c>
      <c r="G617" s="6">
        <v>500</v>
      </c>
    </row>
    <row r="618" spans="1:7" x14ac:dyDescent="0.15">
      <c r="A618" s="6" t="s">
        <v>1690</v>
      </c>
      <c r="B618" s="6" t="s">
        <v>120</v>
      </c>
      <c r="C618" s="6" t="str">
        <f t="shared" si="9"/>
        <v>signaling</v>
      </c>
      <c r="D618" s="7" t="s">
        <v>13</v>
      </c>
      <c r="E618" s="6" t="s">
        <v>1691</v>
      </c>
      <c r="F618" s="6" t="s">
        <v>1691</v>
      </c>
      <c r="G618" s="6">
        <v>500</v>
      </c>
    </row>
    <row r="619" spans="1:7" x14ac:dyDescent="0.15">
      <c r="A619" s="6" t="s">
        <v>1692</v>
      </c>
      <c r="B619" s="6" t="s">
        <v>120</v>
      </c>
      <c r="C619" s="6" t="str">
        <f t="shared" si="9"/>
        <v>slc25a_family</v>
      </c>
      <c r="D619" s="7" t="s">
        <v>13</v>
      </c>
      <c r="E619" s="6" t="s">
        <v>1693</v>
      </c>
      <c r="F619" s="6" t="s">
        <v>1694</v>
      </c>
      <c r="G619" s="6">
        <v>500</v>
      </c>
    </row>
    <row r="620" spans="1:7" x14ac:dyDescent="0.15">
      <c r="A620" s="6" t="s">
        <v>1695</v>
      </c>
      <c r="B620" s="6" t="s">
        <v>120</v>
      </c>
      <c r="C620" s="6" t="str">
        <f t="shared" si="9"/>
        <v>small_molecule_transport</v>
      </c>
      <c r="D620" s="7" t="s">
        <v>13</v>
      </c>
      <c r="E620" s="6" t="s">
        <v>1696</v>
      </c>
      <c r="F620" s="6" t="s">
        <v>1696</v>
      </c>
      <c r="G620" s="6">
        <v>500</v>
      </c>
    </row>
    <row r="621" spans="1:7" x14ac:dyDescent="0.15">
      <c r="A621" s="6" t="s">
        <v>1697</v>
      </c>
      <c r="B621" s="6" t="s">
        <v>120</v>
      </c>
      <c r="C621" s="6" t="str">
        <f t="shared" si="9"/>
        <v>sulfur_metabolism</v>
      </c>
      <c r="D621" s="7" t="s">
        <v>13</v>
      </c>
      <c r="E621" s="6" t="s">
        <v>1698</v>
      </c>
      <c r="F621" s="6" t="s">
        <v>1699</v>
      </c>
      <c r="G621" s="6">
        <v>500</v>
      </c>
    </row>
    <row r="622" spans="1:7" x14ac:dyDescent="0.15">
      <c r="A622" s="6" t="s">
        <v>1700</v>
      </c>
      <c r="B622" s="6" t="s">
        <v>120</v>
      </c>
      <c r="C622" s="6" t="str">
        <f t="shared" si="9"/>
        <v>tca_associated</v>
      </c>
      <c r="D622" s="7" t="s">
        <v>13</v>
      </c>
      <c r="E622" s="6" t="s">
        <v>1701</v>
      </c>
      <c r="F622" s="6" t="s">
        <v>1702</v>
      </c>
      <c r="G622" s="6">
        <v>500</v>
      </c>
    </row>
    <row r="623" spans="1:7" x14ac:dyDescent="0.15">
      <c r="A623" s="6" t="s">
        <v>1703</v>
      </c>
      <c r="B623" s="6" t="s">
        <v>120</v>
      </c>
      <c r="C623" s="6" t="str">
        <f t="shared" si="9"/>
        <v>tca_cycle</v>
      </c>
      <c r="D623" s="7" t="s">
        <v>13</v>
      </c>
      <c r="E623" s="6" t="s">
        <v>1704</v>
      </c>
      <c r="F623" s="6" t="s">
        <v>1705</v>
      </c>
      <c r="G623" s="6">
        <v>500</v>
      </c>
    </row>
    <row r="624" spans="1:7" x14ac:dyDescent="0.15">
      <c r="A624" s="6" t="s">
        <v>1706</v>
      </c>
      <c r="B624" s="6" t="s">
        <v>120</v>
      </c>
      <c r="C624" s="6" t="str">
        <f t="shared" si="9"/>
        <v>tetrahydrobiopterin_synthesis</v>
      </c>
      <c r="D624" s="7" t="s">
        <v>13</v>
      </c>
      <c r="E624" s="6" t="s">
        <v>1707</v>
      </c>
      <c r="F624" s="6" t="s">
        <v>1708</v>
      </c>
      <c r="G624" s="6">
        <v>500</v>
      </c>
    </row>
    <row r="625" spans="1:7" x14ac:dyDescent="0.15">
      <c r="A625" s="6" t="s">
        <v>1709</v>
      </c>
      <c r="B625" s="6" t="s">
        <v>120</v>
      </c>
      <c r="C625" s="6" t="str">
        <f t="shared" si="9"/>
        <v>tim22_carrier_pathway</v>
      </c>
      <c r="D625" s="7" t="s">
        <v>13</v>
      </c>
      <c r="E625" s="6" t="s">
        <v>1710</v>
      </c>
      <c r="F625" s="6" t="s">
        <v>1711</v>
      </c>
      <c r="G625" s="6">
        <v>500</v>
      </c>
    </row>
    <row r="626" spans="1:7" x14ac:dyDescent="0.15">
      <c r="A626" s="6" t="s">
        <v>1712</v>
      </c>
      <c r="B626" s="6" t="s">
        <v>120</v>
      </c>
      <c r="C626" s="6" t="str">
        <f t="shared" si="9"/>
        <v>tim23_presequence_pathway</v>
      </c>
      <c r="D626" s="7" t="s">
        <v>13</v>
      </c>
      <c r="E626" s="6" t="s">
        <v>1713</v>
      </c>
      <c r="F626" s="6" t="s">
        <v>1714</v>
      </c>
      <c r="G626" s="6">
        <v>500</v>
      </c>
    </row>
    <row r="627" spans="1:7" x14ac:dyDescent="0.15">
      <c r="A627" s="6" t="s">
        <v>1715</v>
      </c>
      <c r="B627" s="6" t="s">
        <v>120</v>
      </c>
      <c r="C627" s="6" t="str">
        <f t="shared" si="9"/>
        <v>tom</v>
      </c>
      <c r="D627" s="7" t="s">
        <v>13</v>
      </c>
      <c r="E627" s="6" t="s">
        <v>1716</v>
      </c>
      <c r="F627" s="6" t="s">
        <v>1717</v>
      </c>
      <c r="G627" s="6">
        <v>500</v>
      </c>
    </row>
    <row r="628" spans="1:7" x14ac:dyDescent="0.15">
      <c r="A628" s="6" t="s">
        <v>1718</v>
      </c>
      <c r="B628" s="6" t="s">
        <v>120</v>
      </c>
      <c r="C628" s="6" t="str">
        <f t="shared" si="9"/>
        <v>trafficking</v>
      </c>
      <c r="D628" s="7" t="s">
        <v>13</v>
      </c>
      <c r="E628" s="6" t="s">
        <v>1719</v>
      </c>
      <c r="F628" s="6" t="s">
        <v>1720</v>
      </c>
      <c r="G628" s="6">
        <v>500</v>
      </c>
    </row>
    <row r="629" spans="1:7" x14ac:dyDescent="0.15">
      <c r="A629" s="6" t="s">
        <v>1721</v>
      </c>
      <c r="B629" s="6" t="s">
        <v>120</v>
      </c>
      <c r="C629" s="6" t="str">
        <f t="shared" si="9"/>
        <v>transcription</v>
      </c>
      <c r="D629" s="7" t="s">
        <v>13</v>
      </c>
      <c r="E629" s="6" t="s">
        <v>1722</v>
      </c>
      <c r="F629" s="6" t="s">
        <v>1723</v>
      </c>
      <c r="G629" s="6">
        <v>500</v>
      </c>
    </row>
    <row r="630" spans="1:7" x14ac:dyDescent="0.15">
      <c r="A630" s="6" t="s">
        <v>1724</v>
      </c>
      <c r="B630" s="6" t="s">
        <v>120</v>
      </c>
      <c r="C630" s="6" t="str">
        <f t="shared" si="9"/>
        <v>translation</v>
      </c>
      <c r="D630" s="7" t="s">
        <v>13</v>
      </c>
      <c r="E630" s="6" t="s">
        <v>1725</v>
      </c>
      <c r="F630" s="6" t="s">
        <v>1726</v>
      </c>
      <c r="G630" s="6">
        <v>500</v>
      </c>
    </row>
    <row r="631" spans="1:7" x14ac:dyDescent="0.15">
      <c r="A631" s="6" t="s">
        <v>1727</v>
      </c>
      <c r="B631" s="6" t="s">
        <v>120</v>
      </c>
      <c r="C631" s="6" t="str">
        <f t="shared" si="9"/>
        <v>translation_factors</v>
      </c>
      <c r="D631" s="7" t="s">
        <v>13</v>
      </c>
      <c r="E631" s="6" t="s">
        <v>1728</v>
      </c>
      <c r="F631" s="6" t="s">
        <v>1729</v>
      </c>
      <c r="G631" s="6">
        <v>500</v>
      </c>
    </row>
    <row r="632" spans="1:7" x14ac:dyDescent="0.15">
      <c r="A632" s="6" t="s">
        <v>1730</v>
      </c>
      <c r="B632" s="6" t="s">
        <v>120</v>
      </c>
      <c r="C632" s="6" t="str">
        <f t="shared" si="9"/>
        <v>type_ii_fatty_acid_synthesis</v>
      </c>
      <c r="D632" s="7" t="s">
        <v>13</v>
      </c>
      <c r="E632" s="6" t="s">
        <v>1731</v>
      </c>
      <c r="F632" s="6" t="s">
        <v>1732</v>
      </c>
      <c r="G632" s="6">
        <v>500</v>
      </c>
    </row>
    <row r="633" spans="1:7" x14ac:dyDescent="0.15">
      <c r="A633" s="6" t="s">
        <v>1733</v>
      </c>
      <c r="B633" s="6" t="s">
        <v>120</v>
      </c>
      <c r="C633" s="6" t="str">
        <f t="shared" si="9"/>
        <v>urea_cycle</v>
      </c>
      <c r="D633" s="7" t="s">
        <v>13</v>
      </c>
      <c r="E633" s="6" t="s">
        <v>1734</v>
      </c>
      <c r="F633" s="6" t="s">
        <v>1735</v>
      </c>
      <c r="G633" s="6">
        <v>500</v>
      </c>
    </row>
    <row r="634" spans="1:7" x14ac:dyDescent="0.15">
      <c r="A634" s="6" t="s">
        <v>1736</v>
      </c>
      <c r="B634" s="6" t="s">
        <v>120</v>
      </c>
      <c r="C634" s="6" t="str">
        <f t="shared" si="9"/>
        <v>vitamin_a_metabolism</v>
      </c>
      <c r="D634" s="7" t="s">
        <v>13</v>
      </c>
      <c r="E634" s="6" t="s">
        <v>1737</v>
      </c>
      <c r="F634" s="6" t="s">
        <v>1738</v>
      </c>
      <c r="G634" s="6">
        <v>500</v>
      </c>
    </row>
    <row r="635" spans="1:7" x14ac:dyDescent="0.15">
      <c r="A635" s="6" t="s">
        <v>1739</v>
      </c>
      <c r="B635" s="6" t="s">
        <v>120</v>
      </c>
      <c r="C635" s="6" t="str">
        <f t="shared" si="9"/>
        <v>vitamin_b1_metabolism</v>
      </c>
      <c r="D635" s="7" t="s">
        <v>13</v>
      </c>
      <c r="E635" s="6" t="s">
        <v>1740</v>
      </c>
      <c r="F635" s="6" t="s">
        <v>1741</v>
      </c>
      <c r="G635" s="6">
        <v>500</v>
      </c>
    </row>
    <row r="636" spans="1:7" x14ac:dyDescent="0.15">
      <c r="A636" s="6" t="s">
        <v>1742</v>
      </c>
      <c r="B636" s="6" t="s">
        <v>120</v>
      </c>
      <c r="C636" s="6" t="str">
        <f t="shared" si="9"/>
        <v>vitamin_b12_metabolism</v>
      </c>
      <c r="D636" s="7" t="s">
        <v>13</v>
      </c>
      <c r="E636" s="6" t="s">
        <v>1743</v>
      </c>
      <c r="F636" s="6" t="s">
        <v>1744</v>
      </c>
      <c r="G636" s="6">
        <v>500</v>
      </c>
    </row>
    <row r="637" spans="1:7" x14ac:dyDescent="0.15">
      <c r="A637" s="6" t="s">
        <v>1745</v>
      </c>
      <c r="B637" s="6" t="s">
        <v>120</v>
      </c>
      <c r="C637" s="6" t="str">
        <f t="shared" si="9"/>
        <v>vitamin_b2_metabolism</v>
      </c>
      <c r="D637" s="7" t="s">
        <v>13</v>
      </c>
      <c r="E637" s="6" t="s">
        <v>1746</v>
      </c>
      <c r="F637" s="6" t="s">
        <v>1747</v>
      </c>
      <c r="G637" s="6">
        <v>500</v>
      </c>
    </row>
    <row r="638" spans="1:7" x14ac:dyDescent="0.15">
      <c r="A638" s="6" t="s">
        <v>1748</v>
      </c>
      <c r="B638" s="6" t="s">
        <v>120</v>
      </c>
      <c r="C638" s="6" t="str">
        <f t="shared" si="9"/>
        <v>vitamin_b6_metabolism</v>
      </c>
      <c r="D638" s="7" t="s">
        <v>13</v>
      </c>
      <c r="E638" s="6" t="s">
        <v>1749</v>
      </c>
      <c r="F638" s="6" t="s">
        <v>1750</v>
      </c>
      <c r="G638" s="6">
        <v>500</v>
      </c>
    </row>
    <row r="639" spans="1:7" x14ac:dyDescent="0.15">
      <c r="A639" s="6" t="s">
        <v>1751</v>
      </c>
      <c r="B639" s="6" t="s">
        <v>120</v>
      </c>
      <c r="C639" s="6" t="str">
        <f t="shared" si="9"/>
        <v>vitamin_c_metabolism</v>
      </c>
      <c r="D639" s="7" t="s">
        <v>13</v>
      </c>
      <c r="E639" s="6" t="s">
        <v>1752</v>
      </c>
      <c r="F639" s="6" t="s">
        <v>1753</v>
      </c>
      <c r="G639" s="6">
        <v>500</v>
      </c>
    </row>
    <row r="640" spans="1:7" x14ac:dyDescent="0.15">
      <c r="A640" s="6" t="s">
        <v>1754</v>
      </c>
      <c r="B640" s="6" t="s">
        <v>120</v>
      </c>
      <c r="C640" s="6" t="str">
        <f t="shared" si="9"/>
        <v>vitamin_d_metabolism</v>
      </c>
      <c r="D640" s="7" t="s">
        <v>13</v>
      </c>
      <c r="E640" s="6" t="s">
        <v>1755</v>
      </c>
      <c r="F640" s="6" t="s">
        <v>1756</v>
      </c>
      <c r="G640" s="6">
        <v>500</v>
      </c>
    </row>
    <row r="641" spans="1:7" x14ac:dyDescent="0.15">
      <c r="A641" s="6" t="s">
        <v>1757</v>
      </c>
      <c r="B641" s="6" t="s">
        <v>120</v>
      </c>
      <c r="C641" s="6" t="str">
        <f t="shared" si="9"/>
        <v>vitamin_metabolism</v>
      </c>
      <c r="D641" s="7" t="s">
        <v>13</v>
      </c>
      <c r="E641" s="6" t="s">
        <v>1758</v>
      </c>
      <c r="F641" s="6" t="s">
        <v>1759</v>
      </c>
      <c r="G641" s="6">
        <v>500</v>
      </c>
    </row>
    <row r="642" spans="1:7" x14ac:dyDescent="0.15">
      <c r="A642" s="6" t="s">
        <v>1760</v>
      </c>
      <c r="B642" s="6" t="s">
        <v>120</v>
      </c>
      <c r="C642" s="6" t="str">
        <f t="shared" si="9"/>
        <v>xenobiotic_metabolism</v>
      </c>
      <c r="D642" s="7" t="s">
        <v>13</v>
      </c>
      <c r="E642" s="6" t="s">
        <v>1761</v>
      </c>
      <c r="F642" s="6" t="s">
        <v>1762</v>
      </c>
      <c r="G642" s="6">
        <v>500</v>
      </c>
    </row>
    <row r="643" spans="1:7" x14ac:dyDescent="0.15">
      <c r="A643" s="6" t="s">
        <v>1763</v>
      </c>
      <c r="B643" s="6" t="s">
        <v>1764</v>
      </c>
      <c r="C643" s="6" t="str">
        <f t="shared" si="9"/>
        <v>arbitrary</v>
      </c>
      <c r="D643" s="7" t="s">
        <v>13</v>
      </c>
      <c r="E643" s="6" t="s">
        <v>1765</v>
      </c>
      <c r="F643" s="6" t="s">
        <v>1766</v>
      </c>
      <c r="G643" s="6">
        <v>500</v>
      </c>
    </row>
    <row r="644" spans="1:7" x14ac:dyDescent="0.15">
      <c r="A644" s="6" t="s">
        <v>1767</v>
      </c>
      <c r="B644" s="6" t="s">
        <v>1764</v>
      </c>
      <c r="C644" s="6" t="str">
        <f t="shared" si="9"/>
        <v>random</v>
      </c>
      <c r="D644" s="7" t="s">
        <v>13</v>
      </c>
      <c r="E644" s="6" t="s">
        <v>1768</v>
      </c>
      <c r="F644" s="6" t="s">
        <v>1766</v>
      </c>
      <c r="G644" s="6">
        <v>500</v>
      </c>
    </row>
    <row r="645" spans="1:7" x14ac:dyDescent="0.15">
      <c r="A645" s="6" t="s">
        <v>1769</v>
      </c>
      <c r="B645" s="6" t="s">
        <v>123</v>
      </c>
      <c r="C645" s="6" t="str">
        <f t="shared" si="9"/>
        <v>in_vitro</v>
      </c>
      <c r="D645" s="7" t="s">
        <v>13</v>
      </c>
      <c r="E645" s="6" t="s">
        <v>1770</v>
      </c>
      <c r="F645" s="6" t="s">
        <v>1771</v>
      </c>
      <c r="G645" s="6">
        <v>500</v>
      </c>
    </row>
    <row r="646" spans="1:7" x14ac:dyDescent="0.15">
      <c r="A646" s="6" t="s">
        <v>1772</v>
      </c>
      <c r="B646" s="6" t="s">
        <v>123</v>
      </c>
      <c r="C646" s="6" t="str">
        <f t="shared" si="9"/>
        <v>in_vivo</v>
      </c>
      <c r="D646" s="7" t="s">
        <v>13</v>
      </c>
      <c r="E646" s="6" t="s">
        <v>1773</v>
      </c>
      <c r="F646" s="6" t="s">
        <v>1774</v>
      </c>
      <c r="G646" s="6">
        <v>500</v>
      </c>
    </row>
    <row r="647" spans="1:7" s="5" customFormat="1" x14ac:dyDescent="0.15">
      <c r="A647" s="6" t="s">
        <v>1775</v>
      </c>
      <c r="B647" s="6" t="s">
        <v>123</v>
      </c>
      <c r="C647" s="6" t="str">
        <f t="shared" si="9"/>
        <v>xenografts</v>
      </c>
      <c r="D647" s="7" t="s">
        <v>13</v>
      </c>
      <c r="E647" s="6" t="s">
        <v>1775</v>
      </c>
      <c r="F647" s="6" t="s">
        <v>1776</v>
      </c>
      <c r="G647" s="6">
        <v>500</v>
      </c>
    </row>
    <row r="648" spans="1:7" s="5" customFormat="1" x14ac:dyDescent="0.15">
      <c r="A648" s="6" t="s">
        <v>2982</v>
      </c>
      <c r="B648" s="6" t="s">
        <v>2980</v>
      </c>
      <c r="C648" s="6" t="str">
        <f t="shared" si="9"/>
        <v>nestincre</v>
      </c>
      <c r="D648" s="6" t="s">
        <v>13</v>
      </c>
      <c r="E648" s="6" t="s">
        <v>2981</v>
      </c>
      <c r="F648" s="6" t="s">
        <v>2994</v>
      </c>
      <c r="G648" s="6">
        <v>500</v>
      </c>
    </row>
    <row r="649" spans="1:7" x14ac:dyDescent="0.15">
      <c r="A649" s="6" t="s">
        <v>2984</v>
      </c>
      <c r="B649" s="6" t="s">
        <v>2980</v>
      </c>
      <c r="C649" s="6" t="str">
        <f t="shared" si="9"/>
        <v>cmvcre</v>
      </c>
      <c r="D649" s="6" t="s">
        <v>13</v>
      </c>
      <c r="E649" s="6" t="s">
        <v>2983</v>
      </c>
      <c r="F649" s="6" t="s">
        <v>2993</v>
      </c>
      <c r="G649" s="6">
        <v>500</v>
      </c>
    </row>
    <row r="650" spans="1:7" x14ac:dyDescent="0.15">
      <c r="A650" s="6" t="s">
        <v>2987</v>
      </c>
      <c r="B650" s="6" t="s">
        <v>2980</v>
      </c>
      <c r="C650" s="6" t="str">
        <f t="shared" ref="C650:C713" si="10">A650</f>
        <v>myh6cre</v>
      </c>
      <c r="D650" s="6" t="s">
        <v>13</v>
      </c>
      <c r="E650" s="6" t="s">
        <v>2986</v>
      </c>
      <c r="F650" s="6" t="s">
        <v>2985</v>
      </c>
      <c r="G650" s="6">
        <v>500</v>
      </c>
    </row>
    <row r="651" spans="1:7" x14ac:dyDescent="0.15">
      <c r="A651" s="6" t="s">
        <v>2453</v>
      </c>
      <c r="B651" s="6" t="s">
        <v>2980</v>
      </c>
      <c r="C651" s="6" t="str">
        <f t="shared" si="10"/>
        <v>albcre</v>
      </c>
      <c r="D651" s="6" t="s">
        <v>13</v>
      </c>
      <c r="E651" s="6" t="s">
        <v>2988</v>
      </c>
      <c r="F651" s="6" t="s">
        <v>2992</v>
      </c>
      <c r="G651" s="6">
        <v>500</v>
      </c>
    </row>
    <row r="652" spans="1:7" x14ac:dyDescent="0.15">
      <c r="A652" s="6" t="s">
        <v>2989</v>
      </c>
      <c r="B652" s="6" t="s">
        <v>2980</v>
      </c>
      <c r="C652" s="6" t="str">
        <f t="shared" si="10"/>
        <v>ucpcre</v>
      </c>
      <c r="D652" s="6" t="s">
        <v>13</v>
      </c>
      <c r="E652" s="6" t="s">
        <v>2990</v>
      </c>
      <c r="F652" s="6" t="s">
        <v>2991</v>
      </c>
      <c r="G652" s="6">
        <v>500</v>
      </c>
    </row>
    <row r="653" spans="1:7" x14ac:dyDescent="0.15">
      <c r="A653" s="6" t="s">
        <v>2450</v>
      </c>
      <c r="B653" s="6" t="s">
        <v>2980</v>
      </c>
      <c r="C653" s="6" t="str">
        <f t="shared" si="10"/>
        <v>adipoqcre</v>
      </c>
      <c r="D653" s="6" t="s">
        <v>13</v>
      </c>
      <c r="E653" s="6" t="s">
        <v>2995</v>
      </c>
      <c r="F653" s="6" t="s">
        <v>2996</v>
      </c>
      <c r="G653" s="6">
        <v>500</v>
      </c>
    </row>
    <row r="654" spans="1:7" x14ac:dyDescent="0.15">
      <c r="A654" s="6" t="s">
        <v>3004</v>
      </c>
      <c r="B654" s="6" t="s">
        <v>2980</v>
      </c>
      <c r="C654" s="6" t="str">
        <f t="shared" si="10"/>
        <v>ckmmcre</v>
      </c>
      <c r="D654" s="6" t="s">
        <v>13</v>
      </c>
      <c r="E654" s="6" t="s">
        <v>3005</v>
      </c>
      <c r="F654" s="6" t="s">
        <v>3006</v>
      </c>
      <c r="G654" s="6">
        <v>500</v>
      </c>
    </row>
    <row r="655" spans="1:7" x14ac:dyDescent="0.15">
      <c r="A655" s="6" t="s">
        <v>1777</v>
      </c>
      <c r="B655" s="6" t="s">
        <v>3850</v>
      </c>
      <c r="C655" s="6" t="str">
        <f t="shared" si="10"/>
        <v>eclips</v>
      </c>
      <c r="D655" s="7" t="s">
        <v>13</v>
      </c>
      <c r="E655" s="6" t="s">
        <v>1778</v>
      </c>
      <c r="F655" s="6" t="s">
        <v>1778</v>
      </c>
      <c r="G655" s="6">
        <v>500</v>
      </c>
    </row>
    <row r="656" spans="1:7" x14ac:dyDescent="0.15">
      <c r="A656" s="6" t="s">
        <v>1779</v>
      </c>
      <c r="B656" s="6" t="s">
        <v>3850</v>
      </c>
      <c r="C656" s="6" t="str">
        <f t="shared" si="10"/>
        <v>exploris240</v>
      </c>
      <c r="D656" s="7" t="s">
        <v>13</v>
      </c>
      <c r="E656" s="6" t="s">
        <v>1780</v>
      </c>
      <c r="F656" s="6" t="s">
        <v>1781</v>
      </c>
      <c r="G656" s="6">
        <v>500</v>
      </c>
    </row>
    <row r="657" spans="1:7" x14ac:dyDescent="0.15">
      <c r="A657" s="6" t="s">
        <v>1782</v>
      </c>
      <c r="B657" s="6" t="s">
        <v>3850</v>
      </c>
      <c r="C657" s="6" t="str">
        <f t="shared" si="10"/>
        <v>exploris480</v>
      </c>
      <c r="D657" s="7" t="s">
        <v>13</v>
      </c>
      <c r="E657" s="6" t="s">
        <v>1783</v>
      </c>
      <c r="F657" s="6" t="s">
        <v>1784</v>
      </c>
      <c r="G657" s="6">
        <v>500</v>
      </c>
    </row>
    <row r="658" spans="1:7" x14ac:dyDescent="0.15">
      <c r="A658" s="6" t="s">
        <v>1785</v>
      </c>
      <c r="B658" s="6" t="s">
        <v>3850</v>
      </c>
      <c r="C658" s="6" t="str">
        <f t="shared" si="10"/>
        <v>qex</v>
      </c>
      <c r="D658" s="7" t="s">
        <v>13</v>
      </c>
      <c r="E658" s="6" t="s">
        <v>1786</v>
      </c>
      <c r="F658" s="6" t="s">
        <v>1787</v>
      </c>
      <c r="G658" s="6">
        <v>500</v>
      </c>
    </row>
    <row r="659" spans="1:7" x14ac:dyDescent="0.15">
      <c r="A659" s="6" t="s">
        <v>1788</v>
      </c>
      <c r="B659" s="6" t="s">
        <v>3850</v>
      </c>
      <c r="C659" s="6" t="str">
        <f t="shared" si="10"/>
        <v>qexplus</v>
      </c>
      <c r="D659" s="7" t="s">
        <v>13</v>
      </c>
      <c r="E659" s="6" t="s">
        <v>1789</v>
      </c>
      <c r="F659" s="6" t="s">
        <v>1790</v>
      </c>
      <c r="G659" s="6">
        <v>500</v>
      </c>
    </row>
    <row r="660" spans="1:7" x14ac:dyDescent="0.15">
      <c r="A660" s="6" t="s">
        <v>3076</v>
      </c>
      <c r="B660" s="6" t="s">
        <v>3850</v>
      </c>
      <c r="C660" s="6" t="str">
        <f t="shared" si="10"/>
        <v>tofpro2</v>
      </c>
      <c r="D660" s="7" t="s">
        <v>13</v>
      </c>
      <c r="E660" s="6" t="s">
        <v>3077</v>
      </c>
      <c r="F660" s="6" t="s">
        <v>3078</v>
      </c>
      <c r="G660" s="6">
        <v>500</v>
      </c>
    </row>
    <row r="661" spans="1:7" x14ac:dyDescent="0.15">
      <c r="A661" s="6" t="s">
        <v>1791</v>
      </c>
      <c r="B661" s="6" t="s">
        <v>3850</v>
      </c>
      <c r="C661" s="6" t="str">
        <f t="shared" si="10"/>
        <v>ttofhct</v>
      </c>
      <c r="D661" s="7" t="s">
        <v>13</v>
      </c>
      <c r="E661" s="6" t="s">
        <v>1792</v>
      </c>
      <c r="F661" s="6" t="s">
        <v>3079</v>
      </c>
      <c r="G661" s="6">
        <v>500</v>
      </c>
    </row>
    <row r="662" spans="1:7" x14ac:dyDescent="0.15">
      <c r="A662" s="6" t="s">
        <v>1793</v>
      </c>
      <c r="B662" s="6" t="s">
        <v>3850</v>
      </c>
      <c r="C662" s="6" t="str">
        <f t="shared" si="10"/>
        <v>ttofscp</v>
      </c>
      <c r="D662" s="7" t="s">
        <v>13</v>
      </c>
      <c r="E662" s="6" t="s">
        <v>1794</v>
      </c>
      <c r="F662" s="6" t="s">
        <v>3080</v>
      </c>
      <c r="G662" s="6">
        <v>500</v>
      </c>
    </row>
    <row r="663" spans="1:7" x14ac:dyDescent="0.15">
      <c r="A663" s="6" t="s">
        <v>1795</v>
      </c>
      <c r="B663" s="6" t="s">
        <v>89</v>
      </c>
      <c r="C663" s="6" t="str">
        <f t="shared" si="10"/>
        <v>faims</v>
      </c>
      <c r="D663" s="7" t="s">
        <v>13</v>
      </c>
      <c r="E663" s="6" t="s">
        <v>1796</v>
      </c>
      <c r="F663" s="6" t="s">
        <v>1797</v>
      </c>
      <c r="G663" s="6">
        <v>500</v>
      </c>
    </row>
    <row r="664" spans="1:7" x14ac:dyDescent="0.15">
      <c r="A664" s="6" t="s">
        <v>3169</v>
      </c>
      <c r="B664" s="6" t="s">
        <v>89</v>
      </c>
      <c r="C664" s="6" t="str">
        <f t="shared" si="10"/>
        <v>no_interface</v>
      </c>
      <c r="D664" s="7" t="s">
        <v>13</v>
      </c>
      <c r="E664" s="6" t="s">
        <v>1798</v>
      </c>
      <c r="F664" s="6" t="s">
        <v>1799</v>
      </c>
      <c r="G664" s="6">
        <v>500</v>
      </c>
    </row>
    <row r="665" spans="1:7" x14ac:dyDescent="0.15">
      <c r="A665" s="6" t="s">
        <v>1800</v>
      </c>
      <c r="B665" s="6" t="s">
        <v>34</v>
      </c>
      <c r="C665" s="6" t="str">
        <f t="shared" si="10"/>
        <v>easy_spray</v>
      </c>
      <c r="D665" s="7" t="s">
        <v>13</v>
      </c>
      <c r="E665" s="6" t="s">
        <v>1801</v>
      </c>
      <c r="F665" s="6" t="s">
        <v>1802</v>
      </c>
      <c r="G665" s="6">
        <v>500</v>
      </c>
    </row>
    <row r="666" spans="1:7" x14ac:dyDescent="0.15">
      <c r="A666" s="6" t="s">
        <v>1803</v>
      </c>
      <c r="B666" s="6" t="s">
        <v>34</v>
      </c>
      <c r="C666" s="6" t="str">
        <f t="shared" si="10"/>
        <v>flex</v>
      </c>
      <c r="D666" s="7" t="s">
        <v>13</v>
      </c>
      <c r="E666" s="6" t="s">
        <v>1804</v>
      </c>
      <c r="F666" s="6" t="s">
        <v>1805</v>
      </c>
      <c r="G666" s="6">
        <v>500</v>
      </c>
    </row>
    <row r="667" spans="1:7" x14ac:dyDescent="0.15">
      <c r="A667" s="6" t="s">
        <v>1806</v>
      </c>
      <c r="B667" s="6" t="s">
        <v>34</v>
      </c>
      <c r="C667" s="6" t="str">
        <f t="shared" si="10"/>
        <v>ion_max</v>
      </c>
      <c r="D667" s="7" t="s">
        <v>13</v>
      </c>
      <c r="E667" s="6" t="s">
        <v>1807</v>
      </c>
      <c r="F667" s="6" t="s">
        <v>1808</v>
      </c>
      <c r="G667" s="6">
        <v>500</v>
      </c>
    </row>
    <row r="668" spans="1:7" x14ac:dyDescent="0.15">
      <c r="A668" s="6" t="s">
        <v>3062</v>
      </c>
      <c r="B668" s="6" t="s">
        <v>34</v>
      </c>
      <c r="C668" s="6" t="str">
        <f t="shared" si="10"/>
        <v>captivespray</v>
      </c>
      <c r="D668" s="7" t="s">
        <v>3061</v>
      </c>
      <c r="E668" s="6" t="s">
        <v>3066</v>
      </c>
      <c r="F668" s="6" t="s">
        <v>3068</v>
      </c>
      <c r="G668" s="6">
        <v>500</v>
      </c>
    </row>
    <row r="669" spans="1:7" x14ac:dyDescent="0.15">
      <c r="A669" s="6" t="s">
        <v>3063</v>
      </c>
      <c r="B669" s="6" t="s">
        <v>34</v>
      </c>
      <c r="C669" s="6" t="str">
        <f t="shared" si="10"/>
        <v>captivespraytwo</v>
      </c>
      <c r="D669" s="7" t="s">
        <v>3064</v>
      </c>
      <c r="E669" s="6" t="s">
        <v>3065</v>
      </c>
      <c r="F669" s="6" t="s">
        <v>3067</v>
      </c>
      <c r="G669" s="6">
        <v>500</v>
      </c>
    </row>
    <row r="670" spans="1:7" x14ac:dyDescent="0.15">
      <c r="A670" s="6" t="s">
        <v>3069</v>
      </c>
      <c r="B670" s="6" t="s">
        <v>34</v>
      </c>
      <c r="C670" s="6" t="str">
        <f t="shared" si="10"/>
        <v>captiivespraypro</v>
      </c>
      <c r="D670" s="7" t="s">
        <v>3070</v>
      </c>
      <c r="E670" s="6" t="s">
        <v>3071</v>
      </c>
      <c r="F670" s="6" t="s">
        <v>3072</v>
      </c>
      <c r="G670" s="6">
        <v>500</v>
      </c>
    </row>
    <row r="671" spans="1:7" x14ac:dyDescent="0.15">
      <c r="A671" s="6" t="s">
        <v>1809</v>
      </c>
      <c r="B671" s="6" t="s">
        <v>19</v>
      </c>
      <c r="C671" s="6" t="str">
        <f t="shared" si="10"/>
        <v>e1</v>
      </c>
      <c r="D671" s="6" t="s">
        <v>1809</v>
      </c>
      <c r="E671" s="6" t="s">
        <v>1810</v>
      </c>
      <c r="F671" s="6" t="s">
        <v>1811</v>
      </c>
      <c r="G671" s="6">
        <v>500</v>
      </c>
    </row>
    <row r="672" spans="1:7" x14ac:dyDescent="0.15">
      <c r="A672" s="6" t="s">
        <v>1812</v>
      </c>
      <c r="B672" s="6" t="s">
        <v>19</v>
      </c>
      <c r="C672" s="6" t="str">
        <f t="shared" si="10"/>
        <v>e2</v>
      </c>
      <c r="D672" s="6" t="s">
        <v>1812</v>
      </c>
      <c r="E672" s="6" t="s">
        <v>1813</v>
      </c>
      <c r="F672" s="6" t="s">
        <v>1814</v>
      </c>
      <c r="G672" s="6">
        <v>500</v>
      </c>
    </row>
    <row r="673" spans="1:7" x14ac:dyDescent="0.15">
      <c r="A673" s="6" t="s">
        <v>1815</v>
      </c>
      <c r="B673" s="6" t="s">
        <v>19</v>
      </c>
      <c r="C673" s="6" t="str">
        <f t="shared" si="10"/>
        <v>expl480</v>
      </c>
      <c r="D673" s="6" t="s">
        <v>1815</v>
      </c>
      <c r="E673" s="6" t="s">
        <v>1816</v>
      </c>
      <c r="F673" s="6" t="s">
        <v>2932</v>
      </c>
      <c r="G673" s="6">
        <v>500</v>
      </c>
    </row>
    <row r="674" spans="1:7" x14ac:dyDescent="0.15">
      <c r="A674" s="6" t="s">
        <v>2929</v>
      </c>
      <c r="B674" s="6" t="s">
        <v>19</v>
      </c>
      <c r="C674" s="6" t="str">
        <f t="shared" si="10"/>
        <v>hfxage</v>
      </c>
      <c r="D674" s="6" t="s">
        <v>13</v>
      </c>
      <c r="E674" s="6" t="s">
        <v>2930</v>
      </c>
      <c r="F674" s="6" t="s">
        <v>2931</v>
      </c>
      <c r="G674" s="6">
        <v>500</v>
      </c>
    </row>
    <row r="675" spans="1:7" x14ac:dyDescent="0.15">
      <c r="A675" s="6" t="s">
        <v>1817</v>
      </c>
      <c r="B675" s="6" t="s">
        <v>19</v>
      </c>
      <c r="C675" s="6" t="str">
        <f t="shared" si="10"/>
        <v>ignarius</v>
      </c>
      <c r="D675" s="6" t="s">
        <v>1817</v>
      </c>
      <c r="E675" s="6" t="s">
        <v>1818</v>
      </c>
      <c r="F675" s="6" t="s">
        <v>1819</v>
      </c>
      <c r="G675" s="6">
        <v>500</v>
      </c>
    </row>
    <row r="676" spans="1:7" x14ac:dyDescent="0.15">
      <c r="A676" s="6" t="s">
        <v>1820</v>
      </c>
      <c r="B676" s="6" t="s">
        <v>19</v>
      </c>
      <c r="C676" s="6" t="str">
        <f t="shared" si="10"/>
        <v>timstof</v>
      </c>
      <c r="D676" s="6" t="s">
        <v>1820</v>
      </c>
      <c r="E676" s="6" t="s">
        <v>1821</v>
      </c>
      <c r="F676" s="6" t="s">
        <v>1822</v>
      </c>
      <c r="G676" s="6">
        <v>500</v>
      </c>
    </row>
    <row r="677" spans="1:7" x14ac:dyDescent="0.15">
      <c r="A677" s="6" t="s">
        <v>1823</v>
      </c>
      <c r="B677" s="6" t="s">
        <v>134</v>
      </c>
      <c r="C677" s="6" t="str">
        <f t="shared" si="10"/>
        <v>120000res</v>
      </c>
      <c r="D677" s="7" t="s">
        <v>13</v>
      </c>
      <c r="E677" s="6">
        <v>120000</v>
      </c>
      <c r="F677" s="6" t="s">
        <v>1824</v>
      </c>
      <c r="G677" s="6">
        <v>500</v>
      </c>
    </row>
    <row r="678" spans="1:7" x14ac:dyDescent="0.15">
      <c r="A678" s="6" t="s">
        <v>1825</v>
      </c>
      <c r="B678" s="6" t="s">
        <v>134</v>
      </c>
      <c r="C678" s="6" t="str">
        <f t="shared" si="10"/>
        <v>15000res</v>
      </c>
      <c r="D678" s="7" t="s">
        <v>13</v>
      </c>
      <c r="E678" s="6">
        <v>15000</v>
      </c>
      <c r="F678" s="6" t="s">
        <v>1824</v>
      </c>
      <c r="G678" s="6">
        <v>500</v>
      </c>
    </row>
    <row r="679" spans="1:7" x14ac:dyDescent="0.15">
      <c r="A679" s="6" t="s">
        <v>1826</v>
      </c>
      <c r="B679" s="6" t="s">
        <v>134</v>
      </c>
      <c r="C679" s="6" t="str">
        <f t="shared" si="10"/>
        <v>17500res</v>
      </c>
      <c r="D679" s="7" t="s">
        <v>13</v>
      </c>
      <c r="E679" s="6">
        <v>17500</v>
      </c>
      <c r="F679" s="6" t="s">
        <v>1827</v>
      </c>
      <c r="G679" s="6">
        <v>500</v>
      </c>
    </row>
    <row r="680" spans="1:7" x14ac:dyDescent="0.15">
      <c r="A680" s="6" t="s">
        <v>1828</v>
      </c>
      <c r="B680" s="6" t="s">
        <v>134</v>
      </c>
      <c r="C680" s="6" t="str">
        <f t="shared" si="10"/>
        <v>30000res</v>
      </c>
      <c r="D680" s="7" t="s">
        <v>13</v>
      </c>
      <c r="E680" s="6">
        <v>30000</v>
      </c>
      <c r="F680" s="6" t="s">
        <v>1824</v>
      </c>
      <c r="G680" s="6">
        <v>500</v>
      </c>
    </row>
    <row r="681" spans="1:7" x14ac:dyDescent="0.15">
      <c r="A681" s="6" t="s">
        <v>1829</v>
      </c>
      <c r="B681" s="6" t="s">
        <v>134</v>
      </c>
      <c r="C681" s="6" t="str">
        <f t="shared" si="10"/>
        <v>35000res</v>
      </c>
      <c r="D681" s="7" t="s">
        <v>13</v>
      </c>
      <c r="E681" s="6">
        <v>35000</v>
      </c>
      <c r="F681" s="6" t="s">
        <v>1827</v>
      </c>
      <c r="G681" s="6">
        <v>500</v>
      </c>
    </row>
    <row r="682" spans="1:7" x14ac:dyDescent="0.15">
      <c r="A682" s="6" t="s">
        <v>1830</v>
      </c>
      <c r="B682" s="6" t="s">
        <v>134</v>
      </c>
      <c r="C682" s="6" t="str">
        <f t="shared" si="10"/>
        <v>45000res</v>
      </c>
      <c r="D682" s="7" t="s">
        <v>13</v>
      </c>
      <c r="E682" s="6">
        <v>45000</v>
      </c>
      <c r="F682" s="6" t="s">
        <v>1824</v>
      </c>
      <c r="G682" s="6">
        <v>500</v>
      </c>
    </row>
    <row r="683" spans="1:7" x14ac:dyDescent="0.15">
      <c r="A683" s="6" t="s">
        <v>1831</v>
      </c>
      <c r="B683" s="6" t="s">
        <v>134</v>
      </c>
      <c r="C683" s="6" t="str">
        <f t="shared" si="10"/>
        <v>60000res</v>
      </c>
      <c r="D683" s="7" t="s">
        <v>13</v>
      </c>
      <c r="E683" s="6">
        <v>60000</v>
      </c>
      <c r="F683" s="6" t="s">
        <v>1824</v>
      </c>
      <c r="G683" s="6">
        <v>500</v>
      </c>
    </row>
    <row r="684" spans="1:7" x14ac:dyDescent="0.15">
      <c r="A684" s="6" t="s">
        <v>1832</v>
      </c>
      <c r="B684" s="6" t="s">
        <v>134</v>
      </c>
      <c r="C684" s="6" t="str">
        <f t="shared" si="10"/>
        <v>7500res</v>
      </c>
      <c r="D684" s="7" t="s">
        <v>13</v>
      </c>
      <c r="E684" s="6">
        <v>7500</v>
      </c>
      <c r="F684" s="6" t="s">
        <v>1824</v>
      </c>
      <c r="G684" s="6">
        <v>500</v>
      </c>
    </row>
    <row r="685" spans="1:7" x14ac:dyDescent="0.15">
      <c r="A685" s="6" t="s">
        <v>1833</v>
      </c>
      <c r="B685" s="6" t="s">
        <v>137</v>
      </c>
      <c r="C685" s="6" t="str">
        <f t="shared" si="10"/>
        <v>ab</v>
      </c>
      <c r="D685" s="7" t="s">
        <v>13</v>
      </c>
      <c r="E685" s="6" t="s">
        <v>1835</v>
      </c>
      <c r="F685" s="6" t="s">
        <v>1834</v>
      </c>
      <c r="G685" s="6">
        <v>500</v>
      </c>
    </row>
    <row r="686" spans="1:7" x14ac:dyDescent="0.15">
      <c r="A686" s="6" t="s">
        <v>1836</v>
      </c>
      <c r="B686" s="6" t="s">
        <v>137</v>
      </c>
      <c r="C686" s="6" t="str">
        <f t="shared" si="10"/>
        <v>al</v>
      </c>
      <c r="D686" s="7" t="s">
        <v>13</v>
      </c>
      <c r="E686" s="6" t="s">
        <v>1838</v>
      </c>
      <c r="F686" s="6" t="s">
        <v>1837</v>
      </c>
      <c r="G686" s="6">
        <v>500</v>
      </c>
    </row>
    <row r="687" spans="1:7" x14ac:dyDescent="0.15">
      <c r="A687" s="6" t="s">
        <v>1839</v>
      </c>
      <c r="B687" s="6" t="s">
        <v>137</v>
      </c>
      <c r="C687" s="6" t="str">
        <f t="shared" si="10"/>
        <v>am</v>
      </c>
      <c r="D687" s="7" t="s">
        <v>13</v>
      </c>
      <c r="E687" s="6" t="s">
        <v>1841</v>
      </c>
      <c r="F687" s="6" t="s">
        <v>1840</v>
      </c>
      <c r="G687" s="6">
        <v>500</v>
      </c>
    </row>
    <row r="688" spans="1:7" x14ac:dyDescent="0.15">
      <c r="A688" s="6" t="s">
        <v>1842</v>
      </c>
      <c r="B688" s="6" t="s">
        <v>137</v>
      </c>
      <c r="C688" s="6" t="str">
        <f t="shared" si="10"/>
        <v>an</v>
      </c>
      <c r="D688" s="7" t="s">
        <v>13</v>
      </c>
      <c r="E688" s="6" t="s">
        <v>1844</v>
      </c>
      <c r="F688" s="6" t="s">
        <v>1843</v>
      </c>
      <c r="G688" s="6">
        <v>500</v>
      </c>
    </row>
    <row r="689" spans="1:7" x14ac:dyDescent="0.15">
      <c r="A689" s="6" t="s">
        <v>1845</v>
      </c>
      <c r="B689" s="6" t="s">
        <v>137</v>
      </c>
      <c r="C689" s="6" t="str">
        <f t="shared" si="10"/>
        <v>bbl</v>
      </c>
      <c r="D689" s="7" t="s">
        <v>13</v>
      </c>
      <c r="E689" s="6" t="s">
        <v>1847</v>
      </c>
      <c r="F689" s="6" t="s">
        <v>1846</v>
      </c>
      <c r="G689" s="6">
        <v>500</v>
      </c>
    </row>
    <row r="690" spans="1:7" x14ac:dyDescent="0.15">
      <c r="A690" s="6" t="s">
        <v>1848</v>
      </c>
      <c r="B690" s="6" t="s">
        <v>137</v>
      </c>
      <c r="C690" s="6" t="str">
        <f t="shared" si="10"/>
        <v>bbs</v>
      </c>
      <c r="D690" s="7" t="s">
        <v>13</v>
      </c>
      <c r="E690" s="6" t="s">
        <v>1850</v>
      </c>
      <c r="F690" s="6" t="s">
        <v>1849</v>
      </c>
      <c r="G690" s="6">
        <v>500</v>
      </c>
    </row>
    <row r="691" spans="1:7" x14ac:dyDescent="0.15">
      <c r="A691" s="6" t="s">
        <v>1851</v>
      </c>
      <c r="B691" s="6" t="s">
        <v>137</v>
      </c>
      <c r="C691" s="6" t="str">
        <f t="shared" si="10"/>
        <v>bfa</v>
      </c>
      <c r="D691" s="7" t="s">
        <v>13</v>
      </c>
      <c r="E691" s="6" t="s">
        <v>1853</v>
      </c>
      <c r="F691" s="6" t="s">
        <v>1852</v>
      </c>
      <c r="G691" s="6">
        <v>500</v>
      </c>
    </row>
    <row r="692" spans="1:7" x14ac:dyDescent="0.15">
      <c r="A692" s="6" t="s">
        <v>1854</v>
      </c>
      <c r="B692" s="6" t="s">
        <v>137</v>
      </c>
      <c r="C692" s="6" t="str">
        <f t="shared" si="10"/>
        <v>bfp_ca</v>
      </c>
      <c r="D692" s="7" t="s">
        <v>13</v>
      </c>
      <c r="E692" s="6" t="s">
        <v>1856</v>
      </c>
      <c r="F692" s="6" t="s">
        <v>1855</v>
      </c>
      <c r="G692" s="6">
        <v>500</v>
      </c>
    </row>
    <row r="693" spans="1:7" x14ac:dyDescent="0.15">
      <c r="A693" s="6" t="s">
        <v>1857</v>
      </c>
      <c r="B693" s="6" t="s">
        <v>137</v>
      </c>
      <c r="C693" s="6" t="str">
        <f t="shared" si="10"/>
        <v>bfp_cr</v>
      </c>
      <c r="D693" s="7" t="s">
        <v>13</v>
      </c>
      <c r="E693" s="6" t="s">
        <v>1859</v>
      </c>
      <c r="F693" s="6" t="s">
        <v>1858</v>
      </c>
      <c r="G693" s="6">
        <v>500</v>
      </c>
    </row>
    <row r="694" spans="1:7" x14ac:dyDescent="0.15">
      <c r="A694" s="6" t="s">
        <v>1860</v>
      </c>
      <c r="B694" s="6" t="s">
        <v>137</v>
      </c>
      <c r="C694" s="6" t="str">
        <f t="shared" si="10"/>
        <v>bfp_mi</v>
      </c>
      <c r="D694" s="7" t="s">
        <v>13</v>
      </c>
      <c r="E694" s="6" t="s">
        <v>1862</v>
      </c>
      <c r="F694" s="6" t="s">
        <v>1861</v>
      </c>
      <c r="G694" s="6">
        <v>500</v>
      </c>
    </row>
    <row r="695" spans="1:7" x14ac:dyDescent="0.15">
      <c r="A695" s="6" t="s">
        <v>1863</v>
      </c>
      <c r="B695" s="6" t="s">
        <v>137</v>
      </c>
      <c r="C695" s="6" t="str">
        <f t="shared" si="10"/>
        <v>bra</v>
      </c>
      <c r="D695" s="7" t="s">
        <v>13</v>
      </c>
      <c r="E695" s="6" t="s">
        <v>1865</v>
      </c>
      <c r="F695" s="6" t="s">
        <v>1864</v>
      </c>
      <c r="G695" s="6">
        <v>500</v>
      </c>
    </row>
    <row r="696" spans="1:7" x14ac:dyDescent="0.15">
      <c r="A696" s="6" t="s">
        <v>1866</v>
      </c>
      <c r="B696" s="6" t="s">
        <v>137</v>
      </c>
      <c r="C696" s="6" t="str">
        <f t="shared" si="10"/>
        <v>cf</v>
      </c>
      <c r="D696" s="7" t="s">
        <v>13</v>
      </c>
      <c r="E696" s="6" t="s">
        <v>1868</v>
      </c>
      <c r="F696" s="6" t="s">
        <v>1867</v>
      </c>
      <c r="G696" s="6">
        <v>500</v>
      </c>
    </row>
    <row r="697" spans="1:7" x14ac:dyDescent="0.15">
      <c r="A697" s="6" t="s">
        <v>1869</v>
      </c>
      <c r="B697" s="6" t="s">
        <v>137</v>
      </c>
      <c r="C697" s="6" t="str">
        <f t="shared" si="10"/>
        <v>cor</v>
      </c>
      <c r="D697" s="7" t="s">
        <v>13</v>
      </c>
      <c r="E697" s="6" t="s">
        <v>1871</v>
      </c>
      <c r="F697" s="6" t="s">
        <v>1870</v>
      </c>
      <c r="G697" s="6">
        <v>500</v>
      </c>
    </row>
    <row r="698" spans="1:7" x14ac:dyDescent="0.15">
      <c r="A698" s="6" t="s">
        <v>1872</v>
      </c>
      <c r="B698" s="6" t="s">
        <v>137</v>
      </c>
      <c r="C698" s="6" t="str">
        <f t="shared" si="10"/>
        <v>ecrb</v>
      </c>
      <c r="D698" s="7" t="s">
        <v>13</v>
      </c>
      <c r="E698" s="6" t="s">
        <v>1874</v>
      </c>
      <c r="F698" s="6" t="s">
        <v>1873</v>
      </c>
      <c r="G698" s="6">
        <v>500</v>
      </c>
    </row>
    <row r="699" spans="1:7" x14ac:dyDescent="0.15">
      <c r="A699" s="6" t="s">
        <v>1875</v>
      </c>
      <c r="B699" s="6" t="s">
        <v>137</v>
      </c>
      <c r="C699" s="6" t="str">
        <f t="shared" si="10"/>
        <v>ecrl</v>
      </c>
      <c r="D699" s="7" t="s">
        <v>13</v>
      </c>
      <c r="E699" s="6" t="s">
        <v>1877</v>
      </c>
      <c r="F699" s="6" t="s">
        <v>1876</v>
      </c>
      <c r="G699" s="6">
        <v>500</v>
      </c>
    </row>
    <row r="700" spans="1:7" x14ac:dyDescent="0.15">
      <c r="A700" s="6" t="s">
        <v>1878</v>
      </c>
      <c r="B700" s="6" t="s">
        <v>137</v>
      </c>
      <c r="C700" s="6" t="str">
        <f t="shared" si="10"/>
        <v>ecu</v>
      </c>
      <c r="D700" s="7" t="s">
        <v>13</v>
      </c>
      <c r="E700" s="6" t="s">
        <v>1880</v>
      </c>
      <c r="F700" s="6" t="s">
        <v>1879</v>
      </c>
      <c r="G700" s="6">
        <v>500</v>
      </c>
    </row>
    <row r="701" spans="1:7" x14ac:dyDescent="0.15">
      <c r="A701" s="6" t="s">
        <v>1881</v>
      </c>
      <c r="B701" s="6" t="s">
        <v>137</v>
      </c>
      <c r="C701" s="6" t="str">
        <f t="shared" si="10"/>
        <v>edl</v>
      </c>
      <c r="D701" s="7" t="s">
        <v>13</v>
      </c>
      <c r="E701" s="6" t="s">
        <v>1883</v>
      </c>
      <c r="F701" s="6" t="s">
        <v>1882</v>
      </c>
      <c r="G701" s="6">
        <v>500</v>
      </c>
    </row>
    <row r="702" spans="1:7" x14ac:dyDescent="0.15">
      <c r="A702" s="6" t="s">
        <v>1884</v>
      </c>
      <c r="B702" s="6" t="s">
        <v>137</v>
      </c>
      <c r="C702" s="6" t="str">
        <f t="shared" si="10"/>
        <v>ehl</v>
      </c>
      <c r="D702" s="7" t="s">
        <v>13</v>
      </c>
      <c r="E702" s="6" t="s">
        <v>1886</v>
      </c>
      <c r="F702" s="6" t="s">
        <v>1885</v>
      </c>
      <c r="G702" s="6">
        <v>500</v>
      </c>
    </row>
    <row r="703" spans="1:7" x14ac:dyDescent="0.15">
      <c r="A703" s="6" t="s">
        <v>1887</v>
      </c>
      <c r="B703" s="6" t="s">
        <v>137</v>
      </c>
      <c r="C703" s="6" t="str">
        <f t="shared" si="10"/>
        <v>eip1</v>
      </c>
      <c r="D703" s="7" t="s">
        <v>13</v>
      </c>
      <c r="E703" s="6" t="s">
        <v>1889</v>
      </c>
      <c r="F703" s="6" t="s">
        <v>1888</v>
      </c>
      <c r="G703" s="6">
        <v>500</v>
      </c>
    </row>
    <row r="704" spans="1:7" x14ac:dyDescent="0.15">
      <c r="A704" s="6" t="s">
        <v>1890</v>
      </c>
      <c r="B704" s="6" t="s">
        <v>137</v>
      </c>
      <c r="C704" s="6" t="str">
        <f t="shared" si="10"/>
        <v>eip2</v>
      </c>
      <c r="D704" s="7" t="s">
        <v>13</v>
      </c>
      <c r="E704" s="6" t="s">
        <v>1892</v>
      </c>
      <c r="F704" s="6" t="s">
        <v>1891</v>
      </c>
      <c r="G704" s="6">
        <v>500</v>
      </c>
    </row>
    <row r="705" spans="1:7" x14ac:dyDescent="0.15">
      <c r="A705" s="6" t="s">
        <v>1893</v>
      </c>
      <c r="B705" s="6" t="s">
        <v>137</v>
      </c>
      <c r="C705" s="6" t="str">
        <f t="shared" si="10"/>
        <v>fcr</v>
      </c>
      <c r="D705" s="7" t="s">
        <v>13</v>
      </c>
      <c r="E705" s="6" t="s">
        <v>1895</v>
      </c>
      <c r="F705" s="6" t="s">
        <v>1894</v>
      </c>
      <c r="G705" s="6">
        <v>500</v>
      </c>
    </row>
    <row r="706" spans="1:7" x14ac:dyDescent="0.15">
      <c r="A706" s="6" t="s">
        <v>1896</v>
      </c>
      <c r="B706" s="6" t="s">
        <v>137</v>
      </c>
      <c r="C706" s="6" t="str">
        <f t="shared" si="10"/>
        <v>fcu</v>
      </c>
      <c r="D706" s="7" t="s">
        <v>13</v>
      </c>
      <c r="E706" s="6" t="s">
        <v>1898</v>
      </c>
      <c r="F706" s="6" t="s">
        <v>1897</v>
      </c>
      <c r="G706" s="6">
        <v>500</v>
      </c>
    </row>
    <row r="707" spans="1:7" x14ac:dyDescent="0.15">
      <c r="A707" s="6" t="s">
        <v>1899</v>
      </c>
      <c r="B707" s="6" t="s">
        <v>137</v>
      </c>
      <c r="C707" s="6" t="str">
        <f t="shared" si="10"/>
        <v>fdl</v>
      </c>
      <c r="D707" s="7" t="s">
        <v>13</v>
      </c>
      <c r="E707" s="6" t="s">
        <v>1901</v>
      </c>
      <c r="F707" s="6" t="s">
        <v>1900</v>
      </c>
      <c r="G707" s="6">
        <v>500</v>
      </c>
    </row>
    <row r="708" spans="1:7" x14ac:dyDescent="0.15">
      <c r="A708" s="6" t="s">
        <v>1902</v>
      </c>
      <c r="B708" s="6" t="s">
        <v>137</v>
      </c>
      <c r="C708" s="6" t="str">
        <f t="shared" si="10"/>
        <v>ga</v>
      </c>
      <c r="D708" s="7" t="s">
        <v>13</v>
      </c>
      <c r="E708" s="6" t="s">
        <v>1904</v>
      </c>
      <c r="F708" s="6" t="s">
        <v>1903</v>
      </c>
      <c r="G708" s="6">
        <v>500</v>
      </c>
    </row>
    <row r="709" spans="1:7" x14ac:dyDescent="0.15">
      <c r="A709" s="6" t="s">
        <v>1905</v>
      </c>
      <c r="B709" s="6" t="s">
        <v>137</v>
      </c>
      <c r="C709" s="6" t="str">
        <f t="shared" si="10"/>
        <v>gem</v>
      </c>
      <c r="D709" s="7" t="s">
        <v>13</v>
      </c>
      <c r="E709" s="6" t="s">
        <v>1907</v>
      </c>
      <c r="F709" s="6" t="s">
        <v>1906</v>
      </c>
      <c r="G709" s="6">
        <v>500</v>
      </c>
    </row>
    <row r="710" spans="1:7" x14ac:dyDescent="0.15">
      <c r="A710" s="6" t="s">
        <v>1908</v>
      </c>
      <c r="B710" s="6" t="s">
        <v>137</v>
      </c>
      <c r="C710" s="6" t="str">
        <f t="shared" si="10"/>
        <v>gm</v>
      </c>
      <c r="D710" s="7" t="s">
        <v>13</v>
      </c>
      <c r="E710" s="6" t="s">
        <v>1910</v>
      </c>
      <c r="F710" s="6" t="s">
        <v>1909</v>
      </c>
      <c r="G710" s="6">
        <v>500</v>
      </c>
    </row>
    <row r="711" spans="1:7" x14ac:dyDescent="0.15">
      <c r="A711" s="6" t="s">
        <v>1911</v>
      </c>
      <c r="B711" s="6" t="s">
        <v>137</v>
      </c>
      <c r="C711" s="6" t="str">
        <f t="shared" si="10"/>
        <v>gm_dr</v>
      </c>
      <c r="D711" s="7" t="s">
        <v>13</v>
      </c>
      <c r="E711" s="6" t="s">
        <v>1913</v>
      </c>
      <c r="F711" s="6" t="s">
        <v>1912</v>
      </c>
      <c r="G711" s="6">
        <v>500</v>
      </c>
    </row>
    <row r="712" spans="1:7" x14ac:dyDescent="0.15">
      <c r="A712" s="6" t="s">
        <v>1914</v>
      </c>
      <c r="B712" s="6" t="s">
        <v>137</v>
      </c>
      <c r="C712" s="6" t="str">
        <f t="shared" si="10"/>
        <v>gm_mi</v>
      </c>
      <c r="D712" s="7" t="s">
        <v>13</v>
      </c>
      <c r="E712" s="6" t="s">
        <v>1916</v>
      </c>
      <c r="F712" s="6" t="s">
        <v>1915</v>
      </c>
      <c r="G712" s="6">
        <v>500</v>
      </c>
    </row>
    <row r="713" spans="1:7" x14ac:dyDescent="0.15">
      <c r="A713" s="6" t="s">
        <v>1917</v>
      </c>
      <c r="B713" s="6" t="s">
        <v>137</v>
      </c>
      <c r="C713" s="6" t="str">
        <f t="shared" si="10"/>
        <v>gm_ve</v>
      </c>
      <c r="D713" s="7" t="s">
        <v>13</v>
      </c>
      <c r="E713" s="6" t="s">
        <v>1919</v>
      </c>
      <c r="F713" s="6" t="s">
        <v>1918</v>
      </c>
      <c r="G713" s="6">
        <v>500</v>
      </c>
    </row>
    <row r="714" spans="1:7" x14ac:dyDescent="0.15">
      <c r="A714" s="6" t="s">
        <v>1920</v>
      </c>
      <c r="B714" s="6" t="s">
        <v>137</v>
      </c>
      <c r="C714" s="6" t="str">
        <f t="shared" ref="C714:C777" si="11">A714</f>
        <v>gp</v>
      </c>
      <c r="D714" s="7" t="s">
        <v>13</v>
      </c>
      <c r="E714" s="6" t="s">
        <v>1922</v>
      </c>
      <c r="F714" s="6" t="s">
        <v>1921</v>
      </c>
      <c r="G714" s="6">
        <v>500</v>
      </c>
    </row>
    <row r="715" spans="1:7" x14ac:dyDescent="0.15">
      <c r="A715" s="6" t="s">
        <v>1923</v>
      </c>
      <c r="B715" s="6" t="s">
        <v>137</v>
      </c>
      <c r="C715" s="6" t="str">
        <f t="shared" si="11"/>
        <v>ili</v>
      </c>
      <c r="D715" s="7" t="s">
        <v>13</v>
      </c>
      <c r="E715" s="6" t="s">
        <v>1925</v>
      </c>
      <c r="F715" s="6" t="s">
        <v>1924</v>
      </c>
      <c r="G715" s="6">
        <v>500</v>
      </c>
    </row>
    <row r="716" spans="1:7" x14ac:dyDescent="0.15">
      <c r="A716" s="6" t="s">
        <v>1926</v>
      </c>
      <c r="B716" s="6" t="s">
        <v>137</v>
      </c>
      <c r="C716" s="6" t="str">
        <f t="shared" si="11"/>
        <v>lg</v>
      </c>
      <c r="D716" s="7" t="s">
        <v>13</v>
      </c>
      <c r="E716" s="6" t="s">
        <v>1928</v>
      </c>
      <c r="F716" s="6" t="s">
        <v>1927</v>
      </c>
      <c r="G716" s="6">
        <v>500</v>
      </c>
    </row>
    <row r="717" spans="1:7" x14ac:dyDescent="0.15">
      <c r="A717" s="6" t="s">
        <v>1929</v>
      </c>
      <c r="B717" s="6" t="s">
        <v>137</v>
      </c>
      <c r="C717" s="6" t="str">
        <f t="shared" si="11"/>
        <v>mg</v>
      </c>
      <c r="D717" s="7" t="s">
        <v>13</v>
      </c>
      <c r="E717" s="6" t="s">
        <v>1931</v>
      </c>
      <c r="F717" s="6" t="s">
        <v>1930</v>
      </c>
      <c r="G717" s="6">
        <v>500</v>
      </c>
    </row>
    <row r="718" spans="1:7" x14ac:dyDescent="0.15">
      <c r="A718" s="6" t="s">
        <v>1932</v>
      </c>
      <c r="B718" s="6" t="s">
        <v>137</v>
      </c>
      <c r="C718" s="6" t="str">
        <f t="shared" si="11"/>
        <v>oe</v>
      </c>
      <c r="D718" s="7" t="s">
        <v>13</v>
      </c>
      <c r="E718" s="6" t="s">
        <v>1934</v>
      </c>
      <c r="F718" s="6" t="s">
        <v>1933</v>
      </c>
      <c r="G718" s="6">
        <v>500</v>
      </c>
    </row>
    <row r="719" spans="1:7" x14ac:dyDescent="0.15">
      <c r="A719" s="6" t="s">
        <v>1935</v>
      </c>
      <c r="B719" s="6" t="s">
        <v>137</v>
      </c>
      <c r="C719" s="6" t="str">
        <f t="shared" si="11"/>
        <v>oi</v>
      </c>
      <c r="D719" s="7" t="s">
        <v>13</v>
      </c>
      <c r="E719" s="6" t="s">
        <v>1937</v>
      </c>
      <c r="F719" s="6" t="s">
        <v>1936</v>
      </c>
      <c r="G719" s="6">
        <v>500</v>
      </c>
    </row>
    <row r="720" spans="1:7" x14ac:dyDescent="0.15">
      <c r="A720" s="6" t="s">
        <v>1938</v>
      </c>
      <c r="B720" s="6" t="s">
        <v>137</v>
      </c>
      <c r="C720" s="6" t="str">
        <f t="shared" si="11"/>
        <v>pb</v>
      </c>
      <c r="D720" s="7" t="s">
        <v>13</v>
      </c>
      <c r="E720" s="6" t="s">
        <v>1940</v>
      </c>
      <c r="F720" s="6" t="s">
        <v>1939</v>
      </c>
      <c r="G720" s="6">
        <v>500</v>
      </c>
    </row>
    <row r="721" spans="1:7" x14ac:dyDescent="0.15">
      <c r="A721" s="6" t="s">
        <v>1941</v>
      </c>
      <c r="B721" s="6" t="s">
        <v>137</v>
      </c>
      <c r="C721" s="6" t="str">
        <f t="shared" si="11"/>
        <v>pdqa</v>
      </c>
      <c r="D721" s="7" t="s">
        <v>13</v>
      </c>
      <c r="E721" s="6" t="s">
        <v>1943</v>
      </c>
      <c r="F721" s="6" t="s">
        <v>1942</v>
      </c>
      <c r="G721" s="6">
        <v>500</v>
      </c>
    </row>
    <row r="722" spans="1:7" x14ac:dyDescent="0.15">
      <c r="A722" s="6" t="s">
        <v>1944</v>
      </c>
      <c r="B722" s="6" t="s">
        <v>137</v>
      </c>
      <c r="C722" s="6" t="str">
        <f t="shared" si="11"/>
        <v>pdqi</v>
      </c>
      <c r="D722" s="7" t="s">
        <v>13</v>
      </c>
      <c r="E722" s="6" t="s">
        <v>1946</v>
      </c>
      <c r="F722" s="6" t="s">
        <v>1945</v>
      </c>
      <c r="G722" s="6">
        <v>500</v>
      </c>
    </row>
    <row r="723" spans="1:7" x14ac:dyDescent="0.15">
      <c r="A723" s="6" t="s">
        <v>1947</v>
      </c>
      <c r="B723" s="6" t="s">
        <v>137</v>
      </c>
      <c r="C723" s="6" t="str">
        <f t="shared" si="11"/>
        <v>pect</v>
      </c>
      <c r="D723" s="7" t="s">
        <v>13</v>
      </c>
      <c r="E723" s="6" t="s">
        <v>1949</v>
      </c>
      <c r="F723" s="6" t="s">
        <v>1948</v>
      </c>
      <c r="G723" s="6">
        <v>500</v>
      </c>
    </row>
    <row r="724" spans="1:7" x14ac:dyDescent="0.15">
      <c r="A724" s="6" t="s">
        <v>1950</v>
      </c>
      <c r="B724" s="6" t="s">
        <v>137</v>
      </c>
      <c r="C724" s="6" t="str">
        <f t="shared" si="11"/>
        <v>pl</v>
      </c>
      <c r="D724" s="7" t="s">
        <v>13</v>
      </c>
      <c r="E724" s="6" t="s">
        <v>1952</v>
      </c>
      <c r="F724" s="6" t="s">
        <v>1951</v>
      </c>
      <c r="G724" s="6">
        <v>500</v>
      </c>
    </row>
    <row r="725" spans="1:7" x14ac:dyDescent="0.15">
      <c r="A725" s="6" t="s">
        <v>1953</v>
      </c>
      <c r="B725" s="6" t="s">
        <v>137</v>
      </c>
      <c r="C725" s="6" t="str">
        <f t="shared" si="11"/>
        <v>plant</v>
      </c>
      <c r="D725" s="7" t="s">
        <v>13</v>
      </c>
      <c r="E725" s="6" t="s">
        <v>1955</v>
      </c>
      <c r="F725" s="6" t="s">
        <v>1954</v>
      </c>
      <c r="G725" s="6">
        <v>500</v>
      </c>
    </row>
    <row r="726" spans="1:7" x14ac:dyDescent="0.15">
      <c r="A726" s="6" t="s">
        <v>1956</v>
      </c>
      <c r="B726" s="6" t="s">
        <v>137</v>
      </c>
      <c r="C726" s="6" t="str">
        <f t="shared" si="11"/>
        <v>plo</v>
      </c>
      <c r="D726" s="7" t="s">
        <v>13</v>
      </c>
      <c r="E726" s="6" t="s">
        <v>1958</v>
      </c>
      <c r="F726" s="6" t="s">
        <v>1957</v>
      </c>
      <c r="G726" s="6">
        <v>500</v>
      </c>
    </row>
    <row r="727" spans="1:7" x14ac:dyDescent="0.15">
      <c r="A727" s="6" t="s">
        <v>1959</v>
      </c>
      <c r="B727" s="6" t="s">
        <v>137</v>
      </c>
      <c r="C727" s="6" t="str">
        <f t="shared" si="11"/>
        <v>pma</v>
      </c>
      <c r="D727" s="7" t="s">
        <v>13</v>
      </c>
      <c r="E727" s="6" t="s">
        <v>1961</v>
      </c>
      <c r="F727" s="6" t="s">
        <v>1960</v>
      </c>
      <c r="G727" s="6">
        <v>500</v>
      </c>
    </row>
    <row r="728" spans="1:7" x14ac:dyDescent="0.15">
      <c r="A728" s="6" t="s">
        <v>1962</v>
      </c>
      <c r="B728" s="6" t="s">
        <v>137</v>
      </c>
      <c r="C728" s="6" t="str">
        <f t="shared" si="11"/>
        <v>pmi</v>
      </c>
      <c r="D728" s="7" t="s">
        <v>13</v>
      </c>
      <c r="E728" s="6" t="s">
        <v>1964</v>
      </c>
      <c r="F728" s="6" t="s">
        <v>1963</v>
      </c>
      <c r="G728" s="6">
        <v>500</v>
      </c>
    </row>
    <row r="729" spans="1:7" x14ac:dyDescent="0.15">
      <c r="A729" s="6" t="s">
        <v>1965</v>
      </c>
      <c r="B729" s="6" t="s">
        <v>137</v>
      </c>
      <c r="C729" s="6" t="str">
        <f t="shared" si="11"/>
        <v>pop</v>
      </c>
      <c r="D729" s="7" t="s">
        <v>13</v>
      </c>
      <c r="E729" s="6" t="s">
        <v>1967</v>
      </c>
      <c r="F729" s="6" t="s">
        <v>1966</v>
      </c>
      <c r="G729" s="6">
        <v>500</v>
      </c>
    </row>
    <row r="730" spans="1:7" x14ac:dyDescent="0.15">
      <c r="A730" s="6" t="s">
        <v>1968</v>
      </c>
      <c r="B730" s="6" t="s">
        <v>137</v>
      </c>
      <c r="C730" s="6" t="str">
        <f t="shared" si="11"/>
        <v>pt</v>
      </c>
      <c r="D730" s="7" t="s">
        <v>13</v>
      </c>
      <c r="E730" s="6" t="s">
        <v>1970</v>
      </c>
      <c r="F730" s="6" t="s">
        <v>1969</v>
      </c>
      <c r="G730" s="6">
        <v>500</v>
      </c>
    </row>
    <row r="731" spans="1:7" x14ac:dyDescent="0.15">
      <c r="A731" s="6" t="s">
        <v>1971</v>
      </c>
      <c r="B731" s="6" t="s">
        <v>137</v>
      </c>
      <c r="C731" s="6" t="str">
        <f t="shared" si="11"/>
        <v>pte</v>
      </c>
      <c r="D731" s="7" t="s">
        <v>13</v>
      </c>
      <c r="E731" s="6" t="s">
        <v>1973</v>
      </c>
      <c r="F731" s="6" t="s">
        <v>1972</v>
      </c>
      <c r="G731" s="6">
        <v>500</v>
      </c>
    </row>
    <row r="732" spans="1:7" x14ac:dyDescent="0.15">
      <c r="A732" s="6" t="s">
        <v>1974</v>
      </c>
      <c r="B732" s="6" t="s">
        <v>137</v>
      </c>
      <c r="C732" s="6" t="str">
        <f t="shared" si="11"/>
        <v>qf</v>
      </c>
      <c r="D732" s="7" t="s">
        <v>13</v>
      </c>
      <c r="E732" s="6" t="s">
        <v>1976</v>
      </c>
      <c r="F732" s="6" t="s">
        <v>1975</v>
      </c>
      <c r="G732" s="6">
        <v>500</v>
      </c>
    </row>
    <row r="733" spans="1:7" x14ac:dyDescent="0.15">
      <c r="A733" s="6" t="s">
        <v>1977</v>
      </c>
      <c r="B733" s="6" t="s">
        <v>137</v>
      </c>
      <c r="C733" s="6" t="str">
        <f t="shared" si="11"/>
        <v>rf</v>
      </c>
      <c r="D733" s="7" t="s">
        <v>13</v>
      </c>
      <c r="E733" s="6" t="s">
        <v>1979</v>
      </c>
      <c r="F733" s="6" t="s">
        <v>1978</v>
      </c>
      <c r="G733" s="6">
        <v>500</v>
      </c>
    </row>
    <row r="734" spans="1:7" x14ac:dyDescent="0.15">
      <c r="A734" s="6" t="s">
        <v>1980</v>
      </c>
      <c r="B734" s="6" t="s">
        <v>137</v>
      </c>
      <c r="C734" s="6" t="str">
        <f t="shared" si="11"/>
        <v>sm</v>
      </c>
      <c r="D734" s="7" t="s">
        <v>13</v>
      </c>
      <c r="E734" s="6" t="s">
        <v>1982</v>
      </c>
      <c r="F734" s="6" t="s">
        <v>1981</v>
      </c>
      <c r="G734" s="6">
        <v>500</v>
      </c>
    </row>
    <row r="735" spans="1:7" x14ac:dyDescent="0.15">
      <c r="A735" s="6" t="s">
        <v>1983</v>
      </c>
      <c r="B735" s="6" t="s">
        <v>137</v>
      </c>
      <c r="C735" s="6" t="str">
        <f t="shared" si="11"/>
        <v>sol</v>
      </c>
      <c r="D735" s="7" t="s">
        <v>13</v>
      </c>
      <c r="E735" s="6" t="s">
        <v>1985</v>
      </c>
      <c r="F735" s="6" t="s">
        <v>1984</v>
      </c>
      <c r="G735" s="6">
        <v>500</v>
      </c>
    </row>
    <row r="736" spans="1:7" x14ac:dyDescent="0.15">
      <c r="A736" s="6" t="s">
        <v>1986</v>
      </c>
      <c r="B736" s="6" t="s">
        <v>137</v>
      </c>
      <c r="C736" s="6" t="str">
        <f t="shared" si="11"/>
        <v>st</v>
      </c>
      <c r="D736" s="7" t="s">
        <v>13</v>
      </c>
      <c r="E736" s="6" t="s">
        <v>1988</v>
      </c>
      <c r="F736" s="6" t="s">
        <v>1987</v>
      </c>
      <c r="G736" s="6">
        <v>500</v>
      </c>
    </row>
    <row r="737" spans="1:7" x14ac:dyDescent="0.15">
      <c r="A737" s="6" t="s">
        <v>1989</v>
      </c>
      <c r="B737" s="6" t="s">
        <v>137</v>
      </c>
      <c r="C737" s="6" t="str">
        <f t="shared" si="11"/>
        <v>ta</v>
      </c>
      <c r="D737" s="7" t="s">
        <v>13</v>
      </c>
      <c r="E737" s="6" t="s">
        <v>1991</v>
      </c>
      <c r="F737" s="6" t="s">
        <v>1990</v>
      </c>
      <c r="G737" s="6">
        <v>500</v>
      </c>
    </row>
    <row r="738" spans="1:7" x14ac:dyDescent="0.15">
      <c r="A738" s="6" t="s">
        <v>1992</v>
      </c>
      <c r="B738" s="6" t="s">
        <v>137</v>
      </c>
      <c r="C738" s="6" t="str">
        <f t="shared" si="11"/>
        <v>tbl</v>
      </c>
      <c r="D738" s="7" t="s">
        <v>13</v>
      </c>
      <c r="E738" s="6" t="s">
        <v>1994</v>
      </c>
      <c r="F738" s="6" t="s">
        <v>1993</v>
      </c>
      <c r="G738" s="6">
        <v>500</v>
      </c>
    </row>
    <row r="739" spans="1:7" x14ac:dyDescent="0.15">
      <c r="A739" s="6" t="s">
        <v>1995</v>
      </c>
      <c r="B739" s="6" t="s">
        <v>137</v>
      </c>
      <c r="C739" s="6" t="str">
        <f t="shared" si="11"/>
        <v>tbm</v>
      </c>
      <c r="D739" s="7" t="s">
        <v>13</v>
      </c>
      <c r="E739" s="6" t="s">
        <v>1997</v>
      </c>
      <c r="F739" s="6" t="s">
        <v>1996</v>
      </c>
      <c r="G739" s="6">
        <v>500</v>
      </c>
    </row>
    <row r="740" spans="1:7" x14ac:dyDescent="0.15">
      <c r="A740" s="6" t="s">
        <v>1998</v>
      </c>
      <c r="B740" s="6" t="s">
        <v>137</v>
      </c>
      <c r="C740" s="6" t="str">
        <f t="shared" si="11"/>
        <v>tbo</v>
      </c>
      <c r="D740" s="7" t="s">
        <v>13</v>
      </c>
      <c r="E740" s="6" t="s">
        <v>2000</v>
      </c>
      <c r="F740" s="6" t="s">
        <v>1999</v>
      </c>
      <c r="G740" s="6">
        <v>500</v>
      </c>
    </row>
    <row r="741" spans="1:7" x14ac:dyDescent="0.15">
      <c r="A741" s="6" t="s">
        <v>2001</v>
      </c>
      <c r="B741" s="6" t="s">
        <v>137</v>
      </c>
      <c r="C741" s="6" t="str">
        <f t="shared" si="11"/>
        <v>tp</v>
      </c>
      <c r="D741" s="7" t="s">
        <v>13</v>
      </c>
      <c r="E741" s="6" t="s">
        <v>2003</v>
      </c>
      <c r="F741" s="6" t="s">
        <v>2002</v>
      </c>
      <c r="G741" s="6">
        <v>500</v>
      </c>
    </row>
    <row r="742" spans="1:7" x14ac:dyDescent="0.15">
      <c r="A742" s="6" t="s">
        <v>2004</v>
      </c>
      <c r="B742" s="6" t="s">
        <v>137</v>
      </c>
      <c r="C742" s="6" t="str">
        <f t="shared" si="11"/>
        <v>vi</v>
      </c>
      <c r="D742" s="7" t="s">
        <v>13</v>
      </c>
      <c r="E742" s="6" t="s">
        <v>2006</v>
      </c>
      <c r="F742" s="6" t="s">
        <v>2005</v>
      </c>
      <c r="G742" s="6">
        <v>500</v>
      </c>
    </row>
    <row r="743" spans="1:7" x14ac:dyDescent="0.15">
      <c r="A743" s="6" t="s">
        <v>2007</v>
      </c>
      <c r="B743" s="6" t="s">
        <v>137</v>
      </c>
      <c r="C743" s="6" t="str">
        <f t="shared" si="11"/>
        <v>vl</v>
      </c>
      <c r="D743" s="7" t="s">
        <v>13</v>
      </c>
      <c r="E743" s="6" t="s">
        <v>2009</v>
      </c>
      <c r="F743" s="6" t="s">
        <v>2008</v>
      </c>
      <c r="G743" s="6">
        <v>500</v>
      </c>
    </row>
    <row r="744" spans="1:7" x14ac:dyDescent="0.15">
      <c r="A744" s="6" t="s">
        <v>2010</v>
      </c>
      <c r="B744" s="6" t="s">
        <v>137</v>
      </c>
      <c r="C744" s="6" t="str">
        <f t="shared" si="11"/>
        <v>vm</v>
      </c>
      <c r="D744" s="7" t="s">
        <v>13</v>
      </c>
      <c r="E744" s="6" t="s">
        <v>2012</v>
      </c>
      <c r="F744" s="6" t="s">
        <v>2011</v>
      </c>
      <c r="G744" s="6">
        <v>500</v>
      </c>
    </row>
    <row r="745" spans="1:7" x14ac:dyDescent="0.15">
      <c r="A745" s="6" t="s">
        <v>2734</v>
      </c>
      <c r="B745" s="6" t="s">
        <v>137</v>
      </c>
      <c r="C745" s="6" t="str">
        <f t="shared" si="11"/>
        <v>quad</v>
      </c>
      <c r="D745" s="7" t="s">
        <v>13</v>
      </c>
      <c r="E745" s="6" t="s">
        <v>2736</v>
      </c>
      <c r="F745" s="6" t="s">
        <v>2735</v>
      </c>
      <c r="G745" s="6">
        <v>500</v>
      </c>
    </row>
    <row r="746" spans="1:7" x14ac:dyDescent="0.15">
      <c r="A746" s="6" t="s">
        <v>2013</v>
      </c>
      <c r="B746" s="6" t="s">
        <v>140</v>
      </c>
      <c r="C746" s="6" t="str">
        <f t="shared" si="11"/>
        <v>zirconium</v>
      </c>
      <c r="D746" s="7" t="s">
        <v>13</v>
      </c>
      <c r="E746" s="6" t="s">
        <v>2014</v>
      </c>
      <c r="F746" s="6" t="s">
        <v>2015</v>
      </c>
      <c r="G746" s="6">
        <v>500</v>
      </c>
    </row>
    <row r="747" spans="1:7" x14ac:dyDescent="0.15">
      <c r="A747" s="6" t="s">
        <v>2016</v>
      </c>
      <c r="B747" s="6" t="s">
        <v>141</v>
      </c>
      <c r="C747" s="6" t="str">
        <f t="shared" si="11"/>
        <v>bgpage</v>
      </c>
      <c r="D747" s="7" t="s">
        <v>13</v>
      </c>
      <c r="E747" s="6" t="s">
        <v>2017</v>
      </c>
      <c r="F747" s="6" t="s">
        <v>2018</v>
      </c>
      <c r="G747" s="6">
        <v>500</v>
      </c>
    </row>
    <row r="748" spans="1:7" x14ac:dyDescent="0.15">
      <c r="A748" s="6" t="s">
        <v>2019</v>
      </c>
      <c r="B748" s="6" t="s">
        <v>141</v>
      </c>
      <c r="C748" s="6" t="str">
        <f t="shared" si="11"/>
        <v>highph_hplc</v>
      </c>
      <c r="D748" s="7" t="s">
        <v>13</v>
      </c>
      <c r="E748" s="6" t="s">
        <v>2020</v>
      </c>
      <c r="F748" s="6" t="s">
        <v>2021</v>
      </c>
      <c r="G748" s="6">
        <v>500</v>
      </c>
    </row>
    <row r="749" spans="1:7" x14ac:dyDescent="0.15">
      <c r="A749" s="6" t="s">
        <v>2022</v>
      </c>
      <c r="B749" s="6" t="s">
        <v>141</v>
      </c>
      <c r="C749" s="6" t="str">
        <f t="shared" si="11"/>
        <v>highph_tip</v>
      </c>
      <c r="D749" s="7" t="s">
        <v>13</v>
      </c>
      <c r="E749" s="6" t="s">
        <v>2023</v>
      </c>
      <c r="F749" s="6" t="s">
        <v>2024</v>
      </c>
      <c r="G749" s="6">
        <v>500</v>
      </c>
    </row>
    <row r="750" spans="1:7" x14ac:dyDescent="0.15">
      <c r="A750" s="6" t="s">
        <v>2025</v>
      </c>
      <c r="B750" s="6" t="s">
        <v>141</v>
      </c>
      <c r="C750" s="6" t="str">
        <f t="shared" si="11"/>
        <v>sax</v>
      </c>
      <c r="D750" s="7" t="s">
        <v>13</v>
      </c>
      <c r="E750" s="6" t="s">
        <v>2026</v>
      </c>
      <c r="F750" s="6" t="s">
        <v>2027</v>
      </c>
      <c r="G750" s="6">
        <v>500</v>
      </c>
    </row>
    <row r="751" spans="1:7" x14ac:dyDescent="0.15">
      <c r="A751" s="6" t="s">
        <v>2028</v>
      </c>
      <c r="B751" s="6" t="s">
        <v>141</v>
      </c>
      <c r="C751" s="6" t="str">
        <f t="shared" si="11"/>
        <v>scx</v>
      </c>
      <c r="D751" s="7" t="s">
        <v>13</v>
      </c>
      <c r="E751" s="6" t="s">
        <v>2029</v>
      </c>
      <c r="F751" s="6" t="s">
        <v>2030</v>
      </c>
      <c r="G751" s="6">
        <v>500</v>
      </c>
    </row>
    <row r="752" spans="1:7" x14ac:dyDescent="0.15">
      <c r="A752" s="6" t="s">
        <v>2031</v>
      </c>
      <c r="B752" s="6" t="s">
        <v>141</v>
      </c>
      <c r="C752" s="6" t="str">
        <f t="shared" si="11"/>
        <v>sdspage</v>
      </c>
      <c r="D752" s="7" t="s">
        <v>13</v>
      </c>
      <c r="E752" s="6" t="s">
        <v>2032</v>
      </c>
      <c r="F752" s="6" t="s">
        <v>2033</v>
      </c>
      <c r="G752" s="6">
        <v>500</v>
      </c>
    </row>
    <row r="753" spans="1:7" x14ac:dyDescent="0.15">
      <c r="A753" s="6" t="s">
        <v>2034</v>
      </c>
      <c r="B753" s="6" t="s">
        <v>147</v>
      </c>
      <c r="C753" s="6" t="str">
        <f t="shared" si="11"/>
        <v>proteomics</v>
      </c>
      <c r="D753" s="7" t="s">
        <v>13</v>
      </c>
      <c r="E753" s="6" t="s">
        <v>2035</v>
      </c>
      <c r="F753" s="6" t="s">
        <v>2036</v>
      </c>
      <c r="G753" s="6">
        <v>500</v>
      </c>
    </row>
    <row r="754" spans="1:7" x14ac:dyDescent="0.15">
      <c r="A754" s="6" t="s">
        <v>2037</v>
      </c>
      <c r="B754" s="6" t="s">
        <v>138</v>
      </c>
      <c r="C754" s="6" t="str">
        <f t="shared" si="11"/>
        <v>appendix</v>
      </c>
      <c r="D754" s="6" t="s">
        <v>2037</v>
      </c>
      <c r="E754" s="6" t="s">
        <v>2038</v>
      </c>
      <c r="F754" s="6" t="s">
        <v>2038</v>
      </c>
      <c r="G754" s="6">
        <v>500</v>
      </c>
    </row>
    <row r="755" spans="1:7" x14ac:dyDescent="0.15">
      <c r="A755" s="6" t="s">
        <v>2039</v>
      </c>
      <c r="B755" s="6" t="s">
        <v>138</v>
      </c>
      <c r="C755" s="6" t="str">
        <f t="shared" si="11"/>
        <v>arteries</v>
      </c>
      <c r="D755" s="6" t="s">
        <v>2039</v>
      </c>
      <c r="E755" s="6" t="s">
        <v>2040</v>
      </c>
      <c r="F755" s="6" t="s">
        <v>2040</v>
      </c>
      <c r="G755" s="6">
        <v>500</v>
      </c>
    </row>
    <row r="756" spans="1:7" x14ac:dyDescent="0.15">
      <c r="A756" s="6" t="s">
        <v>2041</v>
      </c>
      <c r="B756" s="6" t="s">
        <v>138</v>
      </c>
      <c r="C756" s="6" t="str">
        <f t="shared" si="11"/>
        <v>bladder</v>
      </c>
      <c r="D756" s="6" t="s">
        <v>2041</v>
      </c>
      <c r="E756" s="6" t="s">
        <v>2042</v>
      </c>
      <c r="F756" s="6" t="s">
        <v>2042</v>
      </c>
      <c r="G756" s="6">
        <v>500</v>
      </c>
    </row>
    <row r="757" spans="1:7" x14ac:dyDescent="0.15">
      <c r="A757" s="6" t="s">
        <v>2043</v>
      </c>
      <c r="B757" s="6" t="s">
        <v>138</v>
      </c>
      <c r="C757" s="6" t="str">
        <f t="shared" si="11"/>
        <v>bone_marrow</v>
      </c>
      <c r="D757" s="6" t="s">
        <v>2043</v>
      </c>
      <c r="E757" s="6" t="s">
        <v>2044</v>
      </c>
      <c r="F757" s="6" t="s">
        <v>2044</v>
      </c>
      <c r="G757" s="6">
        <v>500</v>
      </c>
    </row>
    <row r="758" spans="1:7" x14ac:dyDescent="0.15">
      <c r="A758" s="6" t="s">
        <v>2045</v>
      </c>
      <c r="B758" s="6" t="s">
        <v>138</v>
      </c>
      <c r="C758" s="6" t="str">
        <f t="shared" si="11"/>
        <v>brain</v>
      </c>
      <c r="D758" s="6" t="s">
        <v>2045</v>
      </c>
      <c r="E758" s="6" t="s">
        <v>2046</v>
      </c>
      <c r="F758" s="6" t="s">
        <v>2046</v>
      </c>
      <c r="G758" s="6">
        <v>500</v>
      </c>
    </row>
    <row r="759" spans="1:7" x14ac:dyDescent="0.15">
      <c r="A759" s="6" t="s">
        <v>2047</v>
      </c>
      <c r="B759" s="6" t="s">
        <v>138</v>
      </c>
      <c r="C759" s="6" t="str">
        <f t="shared" si="11"/>
        <v>bronchi</v>
      </c>
      <c r="D759" s="6" t="s">
        <v>2047</v>
      </c>
      <c r="E759" s="6" t="s">
        <v>2048</v>
      </c>
      <c r="F759" s="6" t="s">
        <v>2048</v>
      </c>
      <c r="G759" s="6">
        <v>500</v>
      </c>
    </row>
    <row r="760" spans="1:7" x14ac:dyDescent="0.15">
      <c r="A760" s="6" t="s">
        <v>2049</v>
      </c>
      <c r="B760" s="6" t="s">
        <v>138</v>
      </c>
      <c r="C760" s="6" t="str">
        <f t="shared" si="11"/>
        <v>cecum</v>
      </c>
      <c r="D760" s="6" t="s">
        <v>2049</v>
      </c>
      <c r="E760" s="6" t="s">
        <v>2050</v>
      </c>
      <c r="F760" s="6" t="s">
        <v>2050</v>
      </c>
      <c r="G760" s="6">
        <v>500</v>
      </c>
    </row>
    <row r="761" spans="1:7" x14ac:dyDescent="0.15">
      <c r="A761" s="6" t="s">
        <v>2051</v>
      </c>
      <c r="B761" s="6" t="s">
        <v>138</v>
      </c>
      <c r="C761" s="6" t="str">
        <f t="shared" si="11"/>
        <v>cerebellum</v>
      </c>
      <c r="D761" s="6" t="s">
        <v>2051</v>
      </c>
      <c r="E761" s="6" t="s">
        <v>2052</v>
      </c>
      <c r="F761" s="6" t="s">
        <v>2052</v>
      </c>
      <c r="G761" s="6">
        <v>500</v>
      </c>
    </row>
    <row r="762" spans="1:7" x14ac:dyDescent="0.15">
      <c r="A762" s="6" t="s">
        <v>2053</v>
      </c>
      <c r="B762" s="6" t="s">
        <v>138</v>
      </c>
      <c r="C762" s="6" t="str">
        <f t="shared" si="11"/>
        <v>cerebrum</v>
      </c>
      <c r="D762" s="6" t="s">
        <v>2053</v>
      </c>
      <c r="E762" s="6" t="s">
        <v>2054</v>
      </c>
      <c r="F762" s="6" t="s">
        <v>2054</v>
      </c>
      <c r="G762" s="6">
        <v>500</v>
      </c>
    </row>
    <row r="763" spans="1:7" x14ac:dyDescent="0.15">
      <c r="A763" s="6" t="s">
        <v>2055</v>
      </c>
      <c r="B763" s="6" t="s">
        <v>138</v>
      </c>
      <c r="C763" s="6" t="str">
        <f t="shared" si="11"/>
        <v>ear</v>
      </c>
      <c r="D763" s="6" t="s">
        <v>2055</v>
      </c>
      <c r="E763" s="6" t="s">
        <v>2056</v>
      </c>
      <c r="F763" s="6" t="s">
        <v>2056</v>
      </c>
      <c r="G763" s="6">
        <v>500</v>
      </c>
    </row>
    <row r="764" spans="1:7" x14ac:dyDescent="0.15">
      <c r="A764" s="6" t="s">
        <v>2057</v>
      </c>
      <c r="B764" s="6" t="s">
        <v>138</v>
      </c>
      <c r="C764" s="6" t="str">
        <f t="shared" si="11"/>
        <v>esophagus</v>
      </c>
      <c r="D764" s="6" t="s">
        <v>2057</v>
      </c>
      <c r="E764" s="6" t="s">
        <v>2058</v>
      </c>
      <c r="F764" s="6" t="s">
        <v>2058</v>
      </c>
      <c r="G764" s="6">
        <v>500</v>
      </c>
    </row>
    <row r="765" spans="1:7" x14ac:dyDescent="0.15">
      <c r="A765" s="6" t="s">
        <v>2059</v>
      </c>
      <c r="B765" s="6" t="s">
        <v>138</v>
      </c>
      <c r="C765" s="6" t="str">
        <f t="shared" si="11"/>
        <v>eye</v>
      </c>
      <c r="D765" s="6" t="s">
        <v>2059</v>
      </c>
      <c r="E765" s="6" t="s">
        <v>2060</v>
      </c>
      <c r="F765" s="6" t="s">
        <v>2060</v>
      </c>
      <c r="G765" s="6">
        <v>500</v>
      </c>
    </row>
    <row r="766" spans="1:7" x14ac:dyDescent="0.15">
      <c r="A766" s="6" t="s">
        <v>2061</v>
      </c>
      <c r="B766" s="6" t="s">
        <v>138</v>
      </c>
      <c r="C766" s="6" t="str">
        <f t="shared" si="11"/>
        <v>gallbladder</v>
      </c>
      <c r="D766" s="6" t="s">
        <v>2061</v>
      </c>
      <c r="E766" s="6" t="s">
        <v>2062</v>
      </c>
      <c r="F766" s="6" t="s">
        <v>2062</v>
      </c>
      <c r="G766" s="6">
        <v>500</v>
      </c>
    </row>
    <row r="767" spans="1:7" x14ac:dyDescent="0.15">
      <c r="A767" s="6" t="s">
        <v>2063</v>
      </c>
      <c r="B767" s="6" t="s">
        <v>138</v>
      </c>
      <c r="C767" s="6" t="str">
        <f t="shared" si="11"/>
        <v>ganglia</v>
      </c>
      <c r="D767" s="6" t="s">
        <v>2063</v>
      </c>
      <c r="E767" s="6" t="s">
        <v>2064</v>
      </c>
      <c r="F767" s="6" t="s">
        <v>2064</v>
      </c>
      <c r="G767" s="6">
        <v>500</v>
      </c>
    </row>
    <row r="768" spans="1:7" x14ac:dyDescent="0.15">
      <c r="A768" s="6" t="s">
        <v>2065</v>
      </c>
      <c r="B768" s="6" t="s">
        <v>138</v>
      </c>
      <c r="C768" s="6" t="str">
        <f t="shared" si="11"/>
        <v>heart</v>
      </c>
      <c r="D768" s="6" t="s">
        <v>2065</v>
      </c>
      <c r="E768" s="6" t="s">
        <v>2066</v>
      </c>
      <c r="F768" s="6" t="s">
        <v>2066</v>
      </c>
      <c r="G768" s="6">
        <v>500</v>
      </c>
    </row>
    <row r="769" spans="1:7" x14ac:dyDescent="0.15">
      <c r="A769" s="6" t="s">
        <v>2067</v>
      </c>
      <c r="B769" s="6" t="s">
        <v>138</v>
      </c>
      <c r="C769" s="6" t="str">
        <f t="shared" si="11"/>
        <v>hypothalamus</v>
      </c>
      <c r="D769" s="6" t="s">
        <v>2067</v>
      </c>
      <c r="E769" s="6" t="s">
        <v>2068</v>
      </c>
      <c r="F769" s="6" t="s">
        <v>2068</v>
      </c>
      <c r="G769" s="6">
        <v>500</v>
      </c>
    </row>
    <row r="770" spans="1:7" x14ac:dyDescent="0.15">
      <c r="A770" s="6" t="s">
        <v>2069</v>
      </c>
      <c r="B770" s="6" t="s">
        <v>138</v>
      </c>
      <c r="C770" s="6" t="str">
        <f t="shared" si="11"/>
        <v>kidney</v>
      </c>
      <c r="D770" s="6" t="s">
        <v>2069</v>
      </c>
      <c r="E770" s="6" t="s">
        <v>2070</v>
      </c>
      <c r="F770" s="6" t="s">
        <v>2070</v>
      </c>
      <c r="G770" s="6">
        <v>500</v>
      </c>
    </row>
    <row r="771" spans="1:7" x14ac:dyDescent="0.15">
      <c r="A771" s="6" t="s">
        <v>2071</v>
      </c>
      <c r="B771" s="6" t="s">
        <v>138</v>
      </c>
      <c r="C771" s="6" t="str">
        <f t="shared" si="11"/>
        <v>large_intestine</v>
      </c>
      <c r="D771" s="6" t="s">
        <v>2072</v>
      </c>
      <c r="E771" s="6" t="s">
        <v>2073</v>
      </c>
      <c r="F771" s="6" t="s">
        <v>2074</v>
      </c>
      <c r="G771" s="6">
        <v>500</v>
      </c>
    </row>
    <row r="772" spans="1:7" x14ac:dyDescent="0.15">
      <c r="A772" s="6" t="s">
        <v>2075</v>
      </c>
      <c r="B772" s="6" t="s">
        <v>138</v>
      </c>
      <c r="C772" s="6" t="str">
        <f t="shared" si="11"/>
        <v>liver</v>
      </c>
      <c r="D772" s="6" t="s">
        <v>2075</v>
      </c>
      <c r="E772" s="6" t="s">
        <v>2076</v>
      </c>
      <c r="F772" s="6" t="s">
        <v>2076</v>
      </c>
      <c r="G772" s="6">
        <v>500</v>
      </c>
    </row>
    <row r="773" spans="1:7" x14ac:dyDescent="0.15">
      <c r="A773" s="6" t="s">
        <v>2077</v>
      </c>
      <c r="B773" s="6" t="s">
        <v>138</v>
      </c>
      <c r="C773" s="6" t="str">
        <f t="shared" si="11"/>
        <v>lung</v>
      </c>
      <c r="D773" s="6" t="s">
        <v>2077</v>
      </c>
      <c r="E773" s="6" t="s">
        <v>2078</v>
      </c>
      <c r="F773" s="6" t="s">
        <v>2078</v>
      </c>
      <c r="G773" s="6">
        <v>500</v>
      </c>
    </row>
    <row r="774" spans="1:7" x14ac:dyDescent="0.15">
      <c r="A774" s="6" t="s">
        <v>2079</v>
      </c>
      <c r="B774" s="6" t="s">
        <v>138</v>
      </c>
      <c r="C774" s="6" t="str">
        <f t="shared" si="11"/>
        <v>lymph_node</v>
      </c>
      <c r="D774" s="6" t="s">
        <v>1137</v>
      </c>
      <c r="E774" s="6" t="s">
        <v>2080</v>
      </c>
      <c r="F774" s="6" t="s">
        <v>2080</v>
      </c>
      <c r="G774" s="6">
        <v>500</v>
      </c>
    </row>
    <row r="775" spans="1:7" x14ac:dyDescent="0.15">
      <c r="A775" s="6" t="s">
        <v>2081</v>
      </c>
      <c r="B775" s="6" t="s">
        <v>138</v>
      </c>
      <c r="C775" s="6" t="str">
        <f t="shared" si="11"/>
        <v>medulla</v>
      </c>
      <c r="D775" s="6" t="s">
        <v>2081</v>
      </c>
      <c r="E775" s="6" t="s">
        <v>2082</v>
      </c>
      <c r="F775" s="6" t="s">
        <v>2082</v>
      </c>
      <c r="G775" s="6">
        <v>500</v>
      </c>
    </row>
    <row r="776" spans="1:7" x14ac:dyDescent="0.15">
      <c r="A776" s="6" t="s">
        <v>2083</v>
      </c>
      <c r="B776" s="6" t="s">
        <v>138</v>
      </c>
      <c r="C776" s="6" t="str">
        <f t="shared" si="11"/>
        <v>mesentery</v>
      </c>
      <c r="D776" s="6" t="s">
        <v>2083</v>
      </c>
      <c r="E776" s="6" t="s">
        <v>2084</v>
      </c>
      <c r="F776" s="6" t="s">
        <v>2084</v>
      </c>
      <c r="G776" s="6">
        <v>500</v>
      </c>
    </row>
    <row r="777" spans="1:7" x14ac:dyDescent="0.15">
      <c r="A777" s="6" t="s">
        <v>2085</v>
      </c>
      <c r="B777" s="6" t="s">
        <v>138</v>
      </c>
      <c r="C777" s="6" t="str">
        <f t="shared" si="11"/>
        <v>midbrain</v>
      </c>
      <c r="D777" s="6" t="s">
        <v>2085</v>
      </c>
      <c r="E777" s="6" t="s">
        <v>2086</v>
      </c>
      <c r="F777" s="6" t="s">
        <v>2086</v>
      </c>
      <c r="G777" s="6">
        <v>500</v>
      </c>
    </row>
    <row r="778" spans="1:7" x14ac:dyDescent="0.15">
      <c r="A778" s="6" t="s">
        <v>2087</v>
      </c>
      <c r="B778" s="6" t="s">
        <v>138</v>
      </c>
      <c r="C778" s="6" t="str">
        <f t="shared" ref="C778:C844" si="12">A778</f>
        <v>ovaries</v>
      </c>
      <c r="D778" s="6" t="s">
        <v>2087</v>
      </c>
      <c r="E778" s="6" t="s">
        <v>2088</v>
      </c>
      <c r="F778" s="6" t="s">
        <v>2088</v>
      </c>
      <c r="G778" s="6">
        <v>500</v>
      </c>
    </row>
    <row r="779" spans="1:7" x14ac:dyDescent="0.15">
      <c r="A779" s="6" t="s">
        <v>2089</v>
      </c>
      <c r="B779" s="6" t="s">
        <v>138</v>
      </c>
      <c r="C779" s="6" t="str">
        <f t="shared" si="12"/>
        <v>pancreas</v>
      </c>
      <c r="D779" s="6" t="s">
        <v>2089</v>
      </c>
      <c r="E779" s="6" t="s">
        <v>2090</v>
      </c>
      <c r="F779" s="6" t="s">
        <v>2090</v>
      </c>
      <c r="G779" s="6">
        <v>500</v>
      </c>
    </row>
    <row r="780" spans="1:7" x14ac:dyDescent="0.15">
      <c r="A780" s="6" t="s">
        <v>2091</v>
      </c>
      <c r="B780" s="6" t="s">
        <v>138</v>
      </c>
      <c r="C780" s="6" t="str">
        <f t="shared" si="12"/>
        <v>pons</v>
      </c>
      <c r="D780" s="6" t="s">
        <v>2091</v>
      </c>
      <c r="E780" s="6" t="s">
        <v>2092</v>
      </c>
      <c r="F780" s="6" t="s">
        <v>2092</v>
      </c>
      <c r="G780" s="6">
        <v>500</v>
      </c>
    </row>
    <row r="781" spans="1:7" x14ac:dyDescent="0.15">
      <c r="A781" s="6" t="s">
        <v>2093</v>
      </c>
      <c r="B781" s="6" t="s">
        <v>138</v>
      </c>
      <c r="C781" s="6" t="str">
        <f t="shared" si="12"/>
        <v>prostate</v>
      </c>
      <c r="D781" s="6" t="s">
        <v>2093</v>
      </c>
      <c r="E781" s="6" t="s">
        <v>2094</v>
      </c>
      <c r="F781" s="6" t="s">
        <v>2094</v>
      </c>
      <c r="G781" s="6">
        <v>500</v>
      </c>
    </row>
    <row r="782" spans="1:7" x14ac:dyDescent="0.15">
      <c r="A782" s="6" t="s">
        <v>2095</v>
      </c>
      <c r="B782" s="6" t="s">
        <v>138</v>
      </c>
      <c r="C782" s="6" t="str">
        <f t="shared" si="12"/>
        <v>rectum</v>
      </c>
      <c r="D782" s="6" t="s">
        <v>2095</v>
      </c>
      <c r="E782" s="6" t="s">
        <v>2096</v>
      </c>
      <c r="F782" s="6" t="s">
        <v>2096</v>
      </c>
      <c r="G782" s="6">
        <v>500</v>
      </c>
    </row>
    <row r="783" spans="1:7" x14ac:dyDescent="0.15">
      <c r="A783" s="6" t="s">
        <v>2097</v>
      </c>
      <c r="B783" s="6" t="s">
        <v>138</v>
      </c>
      <c r="C783" s="6" t="str">
        <f t="shared" si="12"/>
        <v>small_intestine</v>
      </c>
      <c r="D783" s="6" t="s">
        <v>2098</v>
      </c>
      <c r="E783" s="6" t="s">
        <v>2099</v>
      </c>
      <c r="F783" s="6" t="s">
        <v>2100</v>
      </c>
      <c r="G783" s="6">
        <v>500</v>
      </c>
    </row>
    <row r="784" spans="1:7" x14ac:dyDescent="0.15">
      <c r="A784" s="6" t="s">
        <v>2101</v>
      </c>
      <c r="B784" s="6" t="s">
        <v>138</v>
      </c>
      <c r="C784" s="6" t="str">
        <f t="shared" si="12"/>
        <v>spinal_cord</v>
      </c>
      <c r="D784" s="6" t="s">
        <v>2101</v>
      </c>
      <c r="E784" s="6" t="s">
        <v>2102</v>
      </c>
      <c r="F784" s="6" t="s">
        <v>2103</v>
      </c>
      <c r="G784" s="6">
        <v>500</v>
      </c>
    </row>
    <row r="785" spans="1:7" x14ac:dyDescent="0.15">
      <c r="A785" s="6" t="s">
        <v>2104</v>
      </c>
      <c r="B785" s="6" t="s">
        <v>138</v>
      </c>
      <c r="C785" s="6" t="str">
        <f t="shared" si="12"/>
        <v>spleen</v>
      </c>
      <c r="D785" s="6" t="s">
        <v>2104</v>
      </c>
      <c r="E785" s="6" t="s">
        <v>2105</v>
      </c>
      <c r="F785" s="6" t="s">
        <v>2105</v>
      </c>
      <c r="G785" s="6">
        <v>500</v>
      </c>
    </row>
    <row r="786" spans="1:7" x14ac:dyDescent="0.15">
      <c r="A786" s="6" t="s">
        <v>2106</v>
      </c>
      <c r="B786" s="6" t="s">
        <v>138</v>
      </c>
      <c r="C786" s="6" t="str">
        <f t="shared" si="12"/>
        <v>stomach</v>
      </c>
      <c r="D786" s="6" t="s">
        <v>2106</v>
      </c>
      <c r="E786" s="6" t="s">
        <v>2107</v>
      </c>
      <c r="F786" s="6" t="s">
        <v>2107</v>
      </c>
      <c r="G786" s="6">
        <v>500</v>
      </c>
    </row>
    <row r="787" spans="1:7" x14ac:dyDescent="0.15">
      <c r="A787" s="6" t="s">
        <v>2108</v>
      </c>
      <c r="B787" s="6" t="s">
        <v>138</v>
      </c>
      <c r="C787" s="6" t="str">
        <f t="shared" si="12"/>
        <v>testicles</v>
      </c>
      <c r="D787" s="6" t="s">
        <v>2108</v>
      </c>
      <c r="E787" s="6" t="s">
        <v>2109</v>
      </c>
      <c r="F787" s="6" t="s">
        <v>2109</v>
      </c>
      <c r="G787" s="6">
        <v>500</v>
      </c>
    </row>
    <row r="788" spans="1:7" x14ac:dyDescent="0.15">
      <c r="A788" s="6" t="s">
        <v>2110</v>
      </c>
      <c r="B788" s="6" t="s">
        <v>138</v>
      </c>
      <c r="C788" s="6" t="str">
        <f t="shared" si="12"/>
        <v>thalamus</v>
      </c>
      <c r="D788" s="6" t="s">
        <v>2110</v>
      </c>
      <c r="E788" s="6" t="s">
        <v>2111</v>
      </c>
      <c r="F788" s="6" t="s">
        <v>2111</v>
      </c>
      <c r="G788" s="6">
        <v>500</v>
      </c>
    </row>
    <row r="789" spans="1:7" x14ac:dyDescent="0.15">
      <c r="A789" s="6" t="s">
        <v>2112</v>
      </c>
      <c r="B789" s="6" t="s">
        <v>138</v>
      </c>
      <c r="C789" s="6" t="str">
        <f t="shared" si="12"/>
        <v>thymus</v>
      </c>
      <c r="D789" s="6" t="s">
        <v>2112</v>
      </c>
      <c r="E789" s="6" t="s">
        <v>2113</v>
      </c>
      <c r="F789" s="6" t="s">
        <v>2113</v>
      </c>
      <c r="G789" s="6">
        <v>500</v>
      </c>
    </row>
    <row r="790" spans="1:7" x14ac:dyDescent="0.15">
      <c r="A790" s="6" t="s">
        <v>2114</v>
      </c>
      <c r="B790" s="6" t="s">
        <v>138</v>
      </c>
      <c r="C790" s="6" t="str">
        <f t="shared" si="12"/>
        <v>tongue</v>
      </c>
      <c r="D790" s="6" t="s">
        <v>2114</v>
      </c>
      <c r="E790" s="6" t="s">
        <v>2115</v>
      </c>
      <c r="F790" s="6" t="s">
        <v>2115</v>
      </c>
      <c r="G790" s="6">
        <v>500</v>
      </c>
    </row>
    <row r="791" spans="1:7" x14ac:dyDescent="0.15">
      <c r="A791" s="6" t="s">
        <v>2116</v>
      </c>
      <c r="B791" s="6" t="s">
        <v>138</v>
      </c>
      <c r="C791" s="6" t="str">
        <f t="shared" si="12"/>
        <v>tonsils</v>
      </c>
      <c r="D791" s="6" t="s">
        <v>2116</v>
      </c>
      <c r="E791" s="6" t="s">
        <v>2117</v>
      </c>
      <c r="F791" s="6" t="s">
        <v>2117</v>
      </c>
      <c r="G791" s="6">
        <v>500</v>
      </c>
    </row>
    <row r="792" spans="1:7" x14ac:dyDescent="0.15">
      <c r="A792" s="6" t="s">
        <v>2118</v>
      </c>
      <c r="B792" s="6" t="s">
        <v>138</v>
      </c>
      <c r="C792" s="6" t="str">
        <f t="shared" si="12"/>
        <v>uterus</v>
      </c>
      <c r="D792" s="6" t="s">
        <v>2118</v>
      </c>
      <c r="E792" s="6" t="s">
        <v>2119</v>
      </c>
      <c r="F792" s="6" t="s">
        <v>2119</v>
      </c>
      <c r="G792" s="6">
        <v>500</v>
      </c>
    </row>
    <row r="793" spans="1:7" x14ac:dyDescent="0.15">
      <c r="A793" s="6" t="s">
        <v>2120</v>
      </c>
      <c r="B793" s="6" t="s">
        <v>138</v>
      </c>
      <c r="C793" s="6" t="str">
        <f t="shared" si="12"/>
        <v>veins</v>
      </c>
      <c r="D793" s="6" t="s">
        <v>2120</v>
      </c>
      <c r="E793" s="6" t="s">
        <v>2121</v>
      </c>
      <c r="F793" s="6" t="s">
        <v>2121</v>
      </c>
      <c r="G793" s="6">
        <v>500</v>
      </c>
    </row>
    <row r="794" spans="1:7" x14ac:dyDescent="0.15">
      <c r="A794" s="6" t="s">
        <v>4089</v>
      </c>
      <c r="B794" s="6" t="s">
        <v>138</v>
      </c>
      <c r="C794" s="6" t="str">
        <f t="shared" si="12"/>
        <v>skmuscle</v>
      </c>
      <c r="D794" s="6" t="s">
        <v>4090</v>
      </c>
      <c r="E794" s="6" t="s">
        <v>2737</v>
      </c>
      <c r="F794" s="6" t="s">
        <v>2737</v>
      </c>
    </row>
    <row r="795" spans="1:7" x14ac:dyDescent="0.15">
      <c r="A795" s="6" t="s">
        <v>2835</v>
      </c>
      <c r="B795" s="6" t="s">
        <v>150</v>
      </c>
      <c r="C795" s="6" t="str">
        <f t="shared" si="12"/>
        <v>controls</v>
      </c>
      <c r="D795" s="6" t="s">
        <v>2832</v>
      </c>
      <c r="E795" s="6" t="s">
        <v>2833</v>
      </c>
      <c r="F795" s="6" t="s">
        <v>2834</v>
      </c>
      <c r="G795" s="6">
        <v>500</v>
      </c>
    </row>
    <row r="796" spans="1:7" x14ac:dyDescent="0.15">
      <c r="A796" s="6" t="s">
        <v>2142</v>
      </c>
      <c r="B796" s="6" t="s">
        <v>2143</v>
      </c>
      <c r="C796" s="6" t="str">
        <f t="shared" si="12"/>
        <v>cardiovascular</v>
      </c>
      <c r="D796" s="7" t="s">
        <v>13</v>
      </c>
      <c r="E796" s="6" t="s">
        <v>2144</v>
      </c>
      <c r="F796" s="6" t="s">
        <v>2145</v>
      </c>
      <c r="G796" s="6">
        <v>500</v>
      </c>
    </row>
    <row r="797" spans="1:7" x14ac:dyDescent="0.15">
      <c r="A797" s="6" t="s">
        <v>2146</v>
      </c>
      <c r="B797" s="6" t="s">
        <v>2143</v>
      </c>
      <c r="C797" s="6" t="str">
        <f t="shared" si="12"/>
        <v>digestive</v>
      </c>
      <c r="D797" s="7" t="s">
        <v>13</v>
      </c>
      <c r="E797" s="6" t="s">
        <v>2147</v>
      </c>
      <c r="F797" s="6" t="s">
        <v>2148</v>
      </c>
      <c r="G797" s="6">
        <v>500</v>
      </c>
    </row>
    <row r="798" spans="1:7" x14ac:dyDescent="0.15">
      <c r="A798" s="6" t="s">
        <v>2149</v>
      </c>
      <c r="B798" s="6" t="s">
        <v>2143</v>
      </c>
      <c r="C798" s="6" t="str">
        <f t="shared" si="12"/>
        <v>endocrine</v>
      </c>
      <c r="D798" s="7" t="s">
        <v>13</v>
      </c>
      <c r="E798" s="6" t="s">
        <v>2150</v>
      </c>
      <c r="F798" s="6" t="s">
        <v>2151</v>
      </c>
      <c r="G798" s="6">
        <v>500</v>
      </c>
    </row>
    <row r="799" spans="1:7" x14ac:dyDescent="0.15">
      <c r="A799" s="6" t="s">
        <v>2152</v>
      </c>
      <c r="B799" s="6" t="s">
        <v>2143</v>
      </c>
      <c r="C799" s="6" t="str">
        <f t="shared" si="12"/>
        <v>excretory</v>
      </c>
      <c r="D799" s="7" t="s">
        <v>13</v>
      </c>
      <c r="E799" s="6" t="s">
        <v>2153</v>
      </c>
      <c r="F799" s="6" t="s">
        <v>2154</v>
      </c>
      <c r="G799" s="6">
        <v>500</v>
      </c>
    </row>
    <row r="800" spans="1:7" x14ac:dyDescent="0.15">
      <c r="A800" s="6" t="s">
        <v>2155</v>
      </c>
      <c r="B800" s="6" t="s">
        <v>2143</v>
      </c>
      <c r="C800" s="6" t="str">
        <f t="shared" si="12"/>
        <v>integumentary</v>
      </c>
      <c r="D800" s="7" t="s">
        <v>13</v>
      </c>
      <c r="E800" s="6" t="s">
        <v>2156</v>
      </c>
      <c r="F800" s="6" t="s">
        <v>2157</v>
      </c>
      <c r="G800" s="6">
        <v>500</v>
      </c>
    </row>
    <row r="801" spans="1:7" x14ac:dyDescent="0.15">
      <c r="A801" s="6" t="s">
        <v>2158</v>
      </c>
      <c r="B801" s="6" t="s">
        <v>2143</v>
      </c>
      <c r="C801" s="6" t="str">
        <f t="shared" si="12"/>
        <v>lymphatic</v>
      </c>
      <c r="D801" s="7" t="s">
        <v>13</v>
      </c>
      <c r="E801" s="6" t="s">
        <v>2159</v>
      </c>
      <c r="F801" s="6" t="s">
        <v>2160</v>
      </c>
      <c r="G801" s="6">
        <v>500</v>
      </c>
    </row>
    <row r="802" spans="1:7" x14ac:dyDescent="0.15">
      <c r="A802" s="6" t="s">
        <v>2161</v>
      </c>
      <c r="B802" s="6" t="s">
        <v>2143</v>
      </c>
      <c r="C802" s="6" t="str">
        <f t="shared" si="12"/>
        <v>muscular</v>
      </c>
      <c r="D802" s="7" t="s">
        <v>13</v>
      </c>
      <c r="E802" s="6" t="s">
        <v>2162</v>
      </c>
      <c r="F802" s="6" t="s">
        <v>2163</v>
      </c>
      <c r="G802" s="6">
        <v>500</v>
      </c>
    </row>
    <row r="803" spans="1:7" x14ac:dyDescent="0.15">
      <c r="A803" s="6" t="s">
        <v>2164</v>
      </c>
      <c r="B803" s="6" t="s">
        <v>2143</v>
      </c>
      <c r="C803" s="6" t="str">
        <f t="shared" si="12"/>
        <v>nervous_system</v>
      </c>
      <c r="D803" s="7" t="s">
        <v>13</v>
      </c>
      <c r="E803" s="6" t="s">
        <v>2165</v>
      </c>
      <c r="F803" s="6" t="s">
        <v>2166</v>
      </c>
      <c r="G803" s="6">
        <v>500</v>
      </c>
    </row>
    <row r="804" spans="1:7" x14ac:dyDescent="0.15">
      <c r="A804" s="6" t="s">
        <v>2167</v>
      </c>
      <c r="B804" s="6" t="s">
        <v>2143</v>
      </c>
      <c r="C804" s="6" t="str">
        <f t="shared" si="12"/>
        <v>reproductive</v>
      </c>
      <c r="D804" s="7" t="s">
        <v>13</v>
      </c>
      <c r="E804" s="6" t="s">
        <v>2168</v>
      </c>
      <c r="F804" s="6" t="s">
        <v>2169</v>
      </c>
      <c r="G804" s="6">
        <v>500</v>
      </c>
    </row>
    <row r="805" spans="1:7" x14ac:dyDescent="0.15">
      <c r="A805" s="6" t="s">
        <v>2170</v>
      </c>
      <c r="B805" s="6" t="s">
        <v>2143</v>
      </c>
      <c r="C805" s="6" t="str">
        <f t="shared" si="12"/>
        <v>respiratory</v>
      </c>
      <c r="D805" s="7" t="s">
        <v>13</v>
      </c>
      <c r="E805" s="6" t="s">
        <v>2171</v>
      </c>
      <c r="F805" s="6" t="s">
        <v>2172</v>
      </c>
      <c r="G805" s="6">
        <v>500</v>
      </c>
    </row>
    <row r="806" spans="1:7" x14ac:dyDescent="0.15">
      <c r="A806" s="6" t="s">
        <v>2173</v>
      </c>
      <c r="B806" s="6" t="s">
        <v>2143</v>
      </c>
      <c r="C806" s="6" t="str">
        <f t="shared" si="12"/>
        <v>skeletal</v>
      </c>
      <c r="D806" s="7" t="s">
        <v>13</v>
      </c>
      <c r="E806" s="6" t="s">
        <v>2174</v>
      </c>
      <c r="F806" s="6" t="s">
        <v>2175</v>
      </c>
      <c r="G806" s="6">
        <v>500</v>
      </c>
    </row>
    <row r="807" spans="1:7" x14ac:dyDescent="0.15">
      <c r="A807" s="6" t="s">
        <v>2176</v>
      </c>
      <c r="B807" s="6" t="s">
        <v>2143</v>
      </c>
      <c r="C807" s="6" t="str">
        <f t="shared" si="12"/>
        <v>urinary</v>
      </c>
      <c r="D807" s="7" t="s">
        <v>13</v>
      </c>
      <c r="E807" s="6" t="s">
        <v>2177</v>
      </c>
      <c r="F807" s="6" t="s">
        <v>2178</v>
      </c>
      <c r="G807" s="6">
        <v>500</v>
      </c>
    </row>
    <row r="808" spans="1:7" x14ac:dyDescent="0.15">
      <c r="A808" s="6" t="s">
        <v>2179</v>
      </c>
      <c r="B808" s="6" t="s">
        <v>152</v>
      </c>
      <c r="C808" s="6" t="str">
        <f t="shared" si="12"/>
        <v>intervalcardio</v>
      </c>
      <c r="D808" s="7" t="s">
        <v>13</v>
      </c>
      <c r="E808" s="6" t="s">
        <v>2180</v>
      </c>
      <c r="F808" s="6" t="s">
        <v>2181</v>
      </c>
      <c r="G808" s="6">
        <v>500</v>
      </c>
    </row>
    <row r="809" spans="1:7" x14ac:dyDescent="0.15">
      <c r="A809" s="6" t="s">
        <v>2182</v>
      </c>
      <c r="B809" s="6" t="s">
        <v>152</v>
      </c>
      <c r="C809" s="6" t="str">
        <f t="shared" si="12"/>
        <v>steadycardio</v>
      </c>
      <c r="D809" s="7" t="s">
        <v>13</v>
      </c>
      <c r="E809" s="6" t="s">
        <v>2754</v>
      </c>
      <c r="F809" s="6" t="s">
        <v>2183</v>
      </c>
      <c r="G809" s="6">
        <v>500</v>
      </c>
    </row>
    <row r="810" spans="1:7" x14ac:dyDescent="0.15">
      <c r="A810" s="6" t="s">
        <v>2184</v>
      </c>
      <c r="B810" s="6" t="s">
        <v>152</v>
      </c>
      <c r="C810" s="6" t="str">
        <f t="shared" si="12"/>
        <v>strength</v>
      </c>
      <c r="D810" s="7" t="s">
        <v>13</v>
      </c>
      <c r="E810" s="6" t="s">
        <v>2185</v>
      </c>
      <c r="F810" s="6" t="s">
        <v>2186</v>
      </c>
      <c r="G810" s="6">
        <v>500</v>
      </c>
    </row>
    <row r="811" spans="1:7" x14ac:dyDescent="0.15">
      <c r="A811" s="6" t="s">
        <v>2755</v>
      </c>
      <c r="B811" s="6" t="s">
        <v>152</v>
      </c>
      <c r="C811" s="6" t="str">
        <f t="shared" si="12"/>
        <v>hiit</v>
      </c>
      <c r="D811" s="7" t="s">
        <v>13</v>
      </c>
      <c r="E811" s="6" t="s">
        <v>2756</v>
      </c>
      <c r="F811" s="6" t="s">
        <v>2757</v>
      </c>
      <c r="G811" s="6">
        <v>500</v>
      </c>
    </row>
    <row r="812" spans="1:7" x14ac:dyDescent="0.15">
      <c r="A812" s="6" t="s">
        <v>2187</v>
      </c>
      <c r="B812" s="6" t="s">
        <v>154</v>
      </c>
      <c r="C812" s="6" t="str">
        <f t="shared" si="12"/>
        <v>argc</v>
      </c>
      <c r="D812" s="7" t="s">
        <v>13</v>
      </c>
      <c r="E812" s="6" t="s">
        <v>2188</v>
      </c>
      <c r="F812" s="6" t="s">
        <v>2189</v>
      </c>
      <c r="G812" s="6">
        <v>500</v>
      </c>
    </row>
    <row r="813" spans="1:7" x14ac:dyDescent="0.15">
      <c r="A813" s="6" t="s">
        <v>2190</v>
      </c>
      <c r="B813" s="6" t="s">
        <v>154</v>
      </c>
      <c r="C813" s="6" t="str">
        <f t="shared" si="12"/>
        <v>aspn</v>
      </c>
      <c r="D813" s="7" t="s">
        <v>13</v>
      </c>
      <c r="E813" s="6" t="s">
        <v>2191</v>
      </c>
      <c r="F813" s="6" t="s">
        <v>2192</v>
      </c>
      <c r="G813" s="6">
        <v>500</v>
      </c>
    </row>
    <row r="814" spans="1:7" x14ac:dyDescent="0.15">
      <c r="A814" s="6" t="s">
        <v>2193</v>
      </c>
      <c r="B814" s="6" t="s">
        <v>154</v>
      </c>
      <c r="C814" s="6" t="str">
        <f t="shared" si="12"/>
        <v>chymotrypsin</v>
      </c>
      <c r="D814" s="7" t="s">
        <v>13</v>
      </c>
      <c r="E814" s="6" t="s">
        <v>2194</v>
      </c>
      <c r="F814" s="6" t="s">
        <v>2195</v>
      </c>
      <c r="G814" s="6">
        <v>500</v>
      </c>
    </row>
    <row r="815" spans="1:7" x14ac:dyDescent="0.15">
      <c r="A815" s="6" t="s">
        <v>2196</v>
      </c>
      <c r="B815" s="6" t="s">
        <v>154</v>
      </c>
      <c r="C815" s="6" t="str">
        <f t="shared" si="12"/>
        <v>elastase</v>
      </c>
      <c r="D815" s="7" t="s">
        <v>13</v>
      </c>
      <c r="E815" s="6" t="s">
        <v>2197</v>
      </c>
      <c r="F815" s="6" t="s">
        <v>2198</v>
      </c>
      <c r="G815" s="6">
        <v>500</v>
      </c>
    </row>
    <row r="816" spans="1:7" x14ac:dyDescent="0.15">
      <c r="A816" s="6" t="s">
        <v>2199</v>
      </c>
      <c r="B816" s="6" t="s">
        <v>154</v>
      </c>
      <c r="C816" s="6" t="str">
        <f t="shared" si="12"/>
        <v>gluc</v>
      </c>
      <c r="D816" s="7" t="s">
        <v>13</v>
      </c>
      <c r="E816" s="6" t="s">
        <v>2200</v>
      </c>
      <c r="F816" s="6" t="s">
        <v>2201</v>
      </c>
      <c r="G816" s="6">
        <v>500</v>
      </c>
    </row>
    <row r="817" spans="1:7" x14ac:dyDescent="0.15">
      <c r="A817" s="6" t="s">
        <v>2202</v>
      </c>
      <c r="B817" s="6" t="s">
        <v>154</v>
      </c>
      <c r="C817" s="6" t="str">
        <f t="shared" si="12"/>
        <v>lysc</v>
      </c>
      <c r="D817" s="7" t="s">
        <v>13</v>
      </c>
      <c r="E817" s="6" t="s">
        <v>2203</v>
      </c>
      <c r="F817" s="6" t="s">
        <v>2204</v>
      </c>
      <c r="G817" s="6">
        <v>500</v>
      </c>
    </row>
    <row r="818" spans="1:7" x14ac:dyDescent="0.15">
      <c r="A818" s="6" t="s">
        <v>2205</v>
      </c>
      <c r="B818" s="6" t="s">
        <v>154</v>
      </c>
      <c r="C818" s="6" t="str">
        <f t="shared" si="12"/>
        <v>raspn</v>
      </c>
      <c r="D818" s="7" t="s">
        <v>13</v>
      </c>
      <c r="E818" s="6" t="s">
        <v>2206</v>
      </c>
      <c r="F818" s="6" t="s">
        <v>2207</v>
      </c>
      <c r="G818" s="6">
        <v>500</v>
      </c>
    </row>
    <row r="819" spans="1:7" x14ac:dyDescent="0.15">
      <c r="A819" s="6" t="s">
        <v>2208</v>
      </c>
      <c r="B819" s="6" t="s">
        <v>154</v>
      </c>
      <c r="C819" s="6" t="str">
        <f t="shared" si="12"/>
        <v>trypsin</v>
      </c>
      <c r="D819" s="7" t="s">
        <v>13</v>
      </c>
      <c r="E819" s="6" t="s">
        <v>2209</v>
      </c>
      <c r="F819" s="6" t="s">
        <v>2210</v>
      </c>
      <c r="G819" s="6">
        <v>500</v>
      </c>
    </row>
    <row r="820" spans="1:7" x14ac:dyDescent="0.15">
      <c r="A820" s="6" t="s">
        <v>2758</v>
      </c>
      <c r="B820" s="6" t="s">
        <v>156</v>
      </c>
      <c r="C820" s="6" t="str">
        <f t="shared" si="12"/>
        <v>apex</v>
      </c>
      <c r="D820" s="7" t="s">
        <v>13</v>
      </c>
      <c r="E820" s="6" t="s">
        <v>2759</v>
      </c>
      <c r="F820" s="6" t="s">
        <v>2760</v>
      </c>
      <c r="G820" s="6">
        <v>500</v>
      </c>
    </row>
    <row r="821" spans="1:7" x14ac:dyDescent="0.15">
      <c r="A821" s="6" t="s">
        <v>2761</v>
      </c>
      <c r="B821" s="6" t="s">
        <v>156</v>
      </c>
      <c r="C821" s="6" t="str">
        <f t="shared" si="12"/>
        <v>bioid</v>
      </c>
      <c r="D821" s="7" t="s">
        <v>13</v>
      </c>
      <c r="E821" s="6" t="s">
        <v>2762</v>
      </c>
      <c r="F821" s="6" t="s">
        <v>2763</v>
      </c>
      <c r="G821" s="6">
        <v>500</v>
      </c>
    </row>
    <row r="822" spans="1:7" x14ac:dyDescent="0.15">
      <c r="A822" s="6" t="s">
        <v>2764</v>
      </c>
      <c r="B822" s="6" t="s">
        <v>156</v>
      </c>
      <c r="C822" s="6" t="str">
        <f t="shared" si="12"/>
        <v>turboid</v>
      </c>
      <c r="D822" s="7" t="s">
        <v>13</v>
      </c>
      <c r="E822" s="6" t="s">
        <v>2765</v>
      </c>
      <c r="F822" s="6" t="s">
        <v>2766</v>
      </c>
      <c r="G822" s="6">
        <v>500</v>
      </c>
    </row>
    <row r="823" spans="1:7" x14ac:dyDescent="0.15">
      <c r="A823" s="6" t="s">
        <v>1200</v>
      </c>
      <c r="B823" s="6" t="s">
        <v>156</v>
      </c>
      <c r="C823" s="6" t="str">
        <f t="shared" si="12"/>
        <v>deletion</v>
      </c>
      <c r="D823" s="7" t="s">
        <v>13</v>
      </c>
      <c r="E823" s="6" t="s">
        <v>2211</v>
      </c>
      <c r="F823" s="6" t="s">
        <v>2212</v>
      </c>
      <c r="G823" s="6">
        <v>500</v>
      </c>
    </row>
    <row r="824" spans="1:7" x14ac:dyDescent="0.15">
      <c r="A824" s="6" t="s">
        <v>2213</v>
      </c>
      <c r="B824" s="6" t="s">
        <v>156</v>
      </c>
      <c r="C824" s="6" t="str">
        <f t="shared" si="12"/>
        <v>flag</v>
      </c>
      <c r="D824" s="7" t="s">
        <v>13</v>
      </c>
      <c r="E824" s="6" t="s">
        <v>2214</v>
      </c>
      <c r="F824" s="6" t="s">
        <v>2215</v>
      </c>
      <c r="G824" s="6">
        <v>500</v>
      </c>
    </row>
    <row r="825" spans="1:7" x14ac:dyDescent="0.15">
      <c r="A825" s="6" t="s">
        <v>2216</v>
      </c>
      <c r="B825" s="6" t="s">
        <v>4271</v>
      </c>
      <c r="C825" s="6" t="str">
        <f t="shared" si="12"/>
        <v>frameshift</v>
      </c>
      <c r="D825" s="7" t="s">
        <v>13</v>
      </c>
      <c r="E825" s="6" t="s">
        <v>2217</v>
      </c>
      <c r="F825" s="6" t="s">
        <v>2218</v>
      </c>
      <c r="G825" s="6">
        <v>500</v>
      </c>
    </row>
    <row r="826" spans="1:7" x14ac:dyDescent="0.15">
      <c r="A826" s="6" t="s">
        <v>4267</v>
      </c>
      <c r="B826" s="6" t="s">
        <v>4271</v>
      </c>
      <c r="C826" s="6" t="str">
        <f t="shared" ref="C826" si="13">A826</f>
        <v>premstop</v>
      </c>
      <c r="D826" s="7" t="s">
        <v>13</v>
      </c>
      <c r="E826" s="6" t="s">
        <v>4268</v>
      </c>
      <c r="F826" s="6" t="s">
        <v>4269</v>
      </c>
      <c r="G826" s="6">
        <v>500</v>
      </c>
    </row>
    <row r="827" spans="1:7" x14ac:dyDescent="0.15">
      <c r="A827" s="6" t="s">
        <v>2219</v>
      </c>
      <c r="B827" s="6" t="s">
        <v>156</v>
      </c>
      <c r="C827" s="6" t="str">
        <f t="shared" si="12"/>
        <v>gfp</v>
      </c>
      <c r="D827" s="7" t="s">
        <v>13</v>
      </c>
      <c r="E827" s="6" t="s">
        <v>2220</v>
      </c>
      <c r="F827" s="6" t="s">
        <v>2221</v>
      </c>
      <c r="G827" s="6">
        <v>500</v>
      </c>
    </row>
    <row r="828" spans="1:7" x14ac:dyDescent="0.15">
      <c r="A828" s="6" t="s">
        <v>2222</v>
      </c>
      <c r="B828" s="6" t="s">
        <v>156</v>
      </c>
      <c r="C828" s="6" t="str">
        <f t="shared" si="12"/>
        <v>ha</v>
      </c>
      <c r="D828" s="7" t="s">
        <v>13</v>
      </c>
      <c r="E828" s="6" t="s">
        <v>2223</v>
      </c>
      <c r="F828" s="6" t="s">
        <v>2224</v>
      </c>
      <c r="G828" s="6">
        <v>500</v>
      </c>
    </row>
    <row r="829" spans="1:7" x14ac:dyDescent="0.15">
      <c r="A829" s="6" t="s">
        <v>2225</v>
      </c>
      <c r="B829" s="6" t="s">
        <v>156</v>
      </c>
      <c r="C829" s="6" t="str">
        <f t="shared" si="12"/>
        <v>his</v>
      </c>
      <c r="D829" s="7" t="s">
        <v>13</v>
      </c>
      <c r="E829" s="6" t="s">
        <v>2226</v>
      </c>
      <c r="F829" s="6" t="s">
        <v>2227</v>
      </c>
      <c r="G829" s="6">
        <v>500</v>
      </c>
    </row>
    <row r="830" spans="1:7" x14ac:dyDescent="0.15">
      <c r="A830" s="6" t="s">
        <v>2228</v>
      </c>
      <c r="B830" s="6" t="s">
        <v>156</v>
      </c>
      <c r="C830" s="6" t="str">
        <f t="shared" si="12"/>
        <v>insertion</v>
      </c>
      <c r="D830" s="7" t="s">
        <v>13</v>
      </c>
      <c r="E830" s="6" t="s">
        <v>2229</v>
      </c>
      <c r="F830" s="6" t="s">
        <v>2230</v>
      </c>
      <c r="G830" s="6">
        <v>500</v>
      </c>
    </row>
    <row r="831" spans="1:7" x14ac:dyDescent="0.15">
      <c r="A831" s="6" t="s">
        <v>2231</v>
      </c>
      <c r="B831" s="6" t="s">
        <v>156</v>
      </c>
      <c r="C831" s="6" t="str">
        <f t="shared" si="12"/>
        <v>myc</v>
      </c>
      <c r="D831" s="7" t="s">
        <v>13</v>
      </c>
      <c r="E831" s="6" t="s">
        <v>2232</v>
      </c>
      <c r="F831" s="6" t="s">
        <v>2233</v>
      </c>
      <c r="G831" s="6">
        <v>500</v>
      </c>
    </row>
    <row r="832" spans="1:7" x14ac:dyDescent="0.15">
      <c r="A832" s="6" t="s">
        <v>2234</v>
      </c>
      <c r="B832" s="6" t="s">
        <v>156</v>
      </c>
      <c r="C832" s="6" t="str">
        <f t="shared" si="12"/>
        <v>pep86</v>
      </c>
      <c r="D832" s="7" t="s">
        <v>13</v>
      </c>
      <c r="E832" s="6" t="s">
        <v>2730</v>
      </c>
      <c r="F832" s="6" t="s">
        <v>2235</v>
      </c>
      <c r="G832" s="6">
        <v>500</v>
      </c>
    </row>
    <row r="833" spans="1:1008" x14ac:dyDescent="0.15">
      <c r="A833" s="6" t="s">
        <v>2236</v>
      </c>
      <c r="B833" s="6" t="s">
        <v>156</v>
      </c>
      <c r="C833" s="6" t="str">
        <f t="shared" si="12"/>
        <v>substitution</v>
      </c>
      <c r="D833" s="7" t="s">
        <v>13</v>
      </c>
      <c r="E833" s="6" t="s">
        <v>2237</v>
      </c>
      <c r="F833" s="6" t="s">
        <v>2238</v>
      </c>
      <c r="G833" s="6">
        <v>500</v>
      </c>
    </row>
    <row r="834" spans="1:1008" x14ac:dyDescent="0.15">
      <c r="A834" s="6" t="s">
        <v>2239</v>
      </c>
      <c r="B834" s="6" t="s">
        <v>156</v>
      </c>
      <c r="C834" s="6" t="str">
        <f t="shared" si="12"/>
        <v>truncation</v>
      </c>
      <c r="D834" s="7" t="s">
        <v>13</v>
      </c>
      <c r="E834" s="6" t="s">
        <v>2240</v>
      </c>
      <c r="F834" s="6" t="s">
        <v>2241</v>
      </c>
      <c r="G834" s="6">
        <v>500</v>
      </c>
    </row>
    <row r="835" spans="1:1008" x14ac:dyDescent="0.15">
      <c r="A835" s="6" t="s">
        <v>273</v>
      </c>
      <c r="B835" s="6" t="s">
        <v>156</v>
      </c>
      <c r="C835" s="6" t="str">
        <f t="shared" si="12"/>
        <v>none</v>
      </c>
      <c r="D835" s="7" t="s">
        <v>13</v>
      </c>
      <c r="E835" s="6" t="s">
        <v>1798</v>
      </c>
      <c r="F835" s="6" t="s">
        <v>2731</v>
      </c>
      <c r="G835" s="6">
        <v>500</v>
      </c>
    </row>
    <row r="836" spans="1:1008" x14ac:dyDescent="0.15">
      <c r="A836" s="6" t="s">
        <v>2242</v>
      </c>
      <c r="B836" s="6" t="s">
        <v>158</v>
      </c>
      <c r="C836" s="6" t="str">
        <f t="shared" si="12"/>
        <v>aa</v>
      </c>
      <c r="D836" s="7" t="s">
        <v>13</v>
      </c>
      <c r="E836" s="6" t="s">
        <v>2243</v>
      </c>
      <c r="F836" s="6" t="s">
        <v>2244</v>
      </c>
      <c r="G836" s="6">
        <v>500</v>
      </c>
    </row>
    <row r="837" spans="1:1008" x14ac:dyDescent="0.15">
      <c r="A837" s="6" t="s">
        <v>2245</v>
      </c>
      <c r="B837" s="6" t="s">
        <v>158</v>
      </c>
      <c r="C837" s="6" t="str">
        <f t="shared" si="12"/>
        <v>cterm</v>
      </c>
      <c r="D837" s="7" t="s">
        <v>13</v>
      </c>
      <c r="E837" s="6" t="s">
        <v>2246</v>
      </c>
      <c r="F837" s="6" t="s">
        <v>2247</v>
      </c>
      <c r="G837" s="6">
        <v>500</v>
      </c>
    </row>
    <row r="838" spans="1:1008" x14ac:dyDescent="0.15">
      <c r="A838" s="6" t="s">
        <v>2248</v>
      </c>
      <c r="B838" s="6" t="s">
        <v>158</v>
      </c>
      <c r="C838" s="6" t="str">
        <f t="shared" si="12"/>
        <v>nterm</v>
      </c>
      <c r="D838" s="7" t="s">
        <v>13</v>
      </c>
      <c r="E838" s="6" t="s">
        <v>2249</v>
      </c>
      <c r="F838" s="6" t="s">
        <v>2250</v>
      </c>
      <c r="G838" s="6">
        <v>500</v>
      </c>
    </row>
    <row r="839" spans="1:1008" x14ac:dyDescent="0.15">
      <c r="A839" s="6" t="s">
        <v>2251</v>
      </c>
      <c r="B839" s="6" t="s">
        <v>158</v>
      </c>
      <c r="C839" s="6" t="str">
        <f t="shared" si="12"/>
        <v>region</v>
      </c>
      <c r="D839" s="7" t="s">
        <v>13</v>
      </c>
      <c r="E839" s="6" t="s">
        <v>2252</v>
      </c>
      <c r="F839" s="6" t="s">
        <v>2253</v>
      </c>
      <c r="G839" s="6">
        <v>500</v>
      </c>
      <c r="H839"/>
      <c r="I839"/>
      <c r="J839"/>
      <c r="K839"/>
      <c r="L839"/>
      <c r="M839"/>
      <c r="N839"/>
      <c r="O839"/>
      <c r="P839"/>
      <c r="Q839"/>
      <c r="R839"/>
      <c r="S839"/>
      <c r="T839"/>
      <c r="U839"/>
      <c r="V839"/>
      <c r="W839"/>
      <c r="X839"/>
      <c r="Y839"/>
      <c r="Z839"/>
      <c r="AA839"/>
      <c r="AB839"/>
      <c r="AC839"/>
      <c r="AD839"/>
      <c r="AE839"/>
      <c r="AF839"/>
      <c r="AG839"/>
      <c r="AH839"/>
      <c r="AI839"/>
      <c r="AJ839"/>
      <c r="AK839"/>
      <c r="AL839"/>
      <c r="AM839"/>
      <c r="AN839"/>
      <c r="AO839"/>
      <c r="AP839"/>
      <c r="AQ839"/>
      <c r="AR839"/>
      <c r="AS839"/>
      <c r="AT839"/>
      <c r="AU839"/>
      <c r="AV839"/>
      <c r="AW839"/>
      <c r="AX839"/>
      <c r="AY839"/>
      <c r="AZ839"/>
      <c r="BA839"/>
      <c r="BB839"/>
      <c r="BC839"/>
      <c r="BD839"/>
      <c r="BE839"/>
      <c r="BF839"/>
      <c r="BG839"/>
      <c r="BH839"/>
      <c r="BI839"/>
      <c r="BJ839"/>
      <c r="BK839"/>
      <c r="BL839"/>
      <c r="BM839"/>
      <c r="BN839"/>
      <c r="BO839"/>
      <c r="BP839"/>
      <c r="BQ839"/>
      <c r="BR839"/>
      <c r="BS839"/>
      <c r="BT839"/>
      <c r="BU839"/>
      <c r="BV839"/>
      <c r="BW839"/>
      <c r="BX839"/>
      <c r="BY839"/>
      <c r="BZ839"/>
      <c r="CA839"/>
      <c r="CB839"/>
      <c r="CC839"/>
      <c r="CD839"/>
      <c r="CE839"/>
      <c r="CF839"/>
      <c r="CG839"/>
      <c r="CH839"/>
      <c r="CI839"/>
      <c r="CJ839"/>
      <c r="CK839"/>
      <c r="CL839"/>
      <c r="CM839"/>
      <c r="CN839"/>
      <c r="CO839"/>
      <c r="CP839"/>
      <c r="CQ839"/>
      <c r="CR839"/>
      <c r="CS839"/>
      <c r="CT839"/>
      <c r="CU839"/>
      <c r="CV839"/>
      <c r="CW839"/>
      <c r="CX839"/>
      <c r="CY839"/>
      <c r="CZ839"/>
      <c r="DA839"/>
      <c r="DB839"/>
      <c r="DC839"/>
      <c r="DD839"/>
      <c r="DE839"/>
      <c r="DF839"/>
      <c r="DG839"/>
      <c r="DH839"/>
      <c r="DI839"/>
      <c r="DJ839"/>
      <c r="DK839"/>
      <c r="DL839"/>
      <c r="DM839"/>
      <c r="DN839"/>
      <c r="DO839"/>
      <c r="DP839"/>
      <c r="DQ839"/>
      <c r="DR839"/>
      <c r="DS839"/>
      <c r="DT839"/>
      <c r="DU839"/>
      <c r="DV839"/>
      <c r="DW839"/>
      <c r="DX839"/>
      <c r="DY839"/>
      <c r="DZ839"/>
      <c r="EA839"/>
      <c r="EB839"/>
      <c r="EC839"/>
      <c r="ED839"/>
      <c r="EE839"/>
      <c r="EF839"/>
      <c r="EG839"/>
      <c r="EH839"/>
      <c r="EI839"/>
      <c r="EJ839"/>
      <c r="EK839"/>
      <c r="EL839"/>
      <c r="EM839"/>
      <c r="EN839"/>
      <c r="EO839"/>
      <c r="EP839"/>
      <c r="EQ839"/>
      <c r="ER839"/>
      <c r="ES839"/>
      <c r="ET839"/>
      <c r="EU839"/>
      <c r="EV839"/>
      <c r="EW839"/>
      <c r="EX839"/>
      <c r="EY839"/>
      <c r="EZ839"/>
      <c r="FA839"/>
      <c r="FB839"/>
      <c r="FC839"/>
      <c r="FD839"/>
      <c r="FE839"/>
      <c r="FF839"/>
      <c r="FG839"/>
      <c r="FH839"/>
      <c r="FI839"/>
      <c r="FJ839"/>
      <c r="FK839"/>
      <c r="FL839"/>
      <c r="FM839"/>
      <c r="FN839"/>
      <c r="FO839"/>
      <c r="FP839"/>
      <c r="FQ839"/>
      <c r="FR839"/>
      <c r="FS839"/>
      <c r="FT839"/>
      <c r="FU839"/>
      <c r="FV839"/>
      <c r="FW839"/>
      <c r="FX839"/>
      <c r="FY839"/>
      <c r="FZ839"/>
      <c r="GA839"/>
      <c r="GB839"/>
      <c r="GC839"/>
      <c r="GD839"/>
      <c r="GE839"/>
      <c r="GF839"/>
      <c r="GG839"/>
      <c r="GH839"/>
      <c r="GI839"/>
      <c r="GJ839"/>
      <c r="GK839"/>
      <c r="GL839"/>
      <c r="GM839"/>
      <c r="GN839"/>
      <c r="GO839"/>
      <c r="GP839"/>
      <c r="GQ839"/>
      <c r="GR839"/>
      <c r="GS839"/>
      <c r="GT839"/>
      <c r="GU839"/>
      <c r="GV839"/>
      <c r="GW839"/>
      <c r="GX839"/>
      <c r="GY839"/>
      <c r="GZ839"/>
      <c r="HA839"/>
      <c r="HB839"/>
      <c r="HC839"/>
      <c r="HD839"/>
      <c r="HE839"/>
      <c r="HF839"/>
      <c r="HG839"/>
      <c r="HH839"/>
      <c r="HI839"/>
      <c r="HJ839"/>
      <c r="HK839"/>
      <c r="HL839"/>
      <c r="HM839"/>
      <c r="HN839"/>
      <c r="HO839"/>
      <c r="HP839"/>
      <c r="HQ839"/>
      <c r="HR839"/>
      <c r="HS839"/>
      <c r="HT839"/>
      <c r="HU839"/>
      <c r="HV839"/>
      <c r="HW839"/>
      <c r="HX839"/>
      <c r="HY839"/>
      <c r="HZ839"/>
      <c r="IA839"/>
      <c r="IB839"/>
      <c r="IC839"/>
      <c r="ID839"/>
      <c r="IE839"/>
      <c r="IF839"/>
      <c r="IG839"/>
      <c r="IH839"/>
      <c r="II839"/>
      <c r="IJ839"/>
      <c r="IK839"/>
      <c r="IL839"/>
      <c r="IM839"/>
      <c r="IN839"/>
      <c r="IO839"/>
      <c r="IP839"/>
      <c r="IQ839"/>
      <c r="IR839"/>
      <c r="IS839"/>
      <c r="IT839"/>
      <c r="IU839"/>
      <c r="IV839"/>
      <c r="IW839"/>
      <c r="IX839"/>
      <c r="IY839"/>
      <c r="IZ839"/>
      <c r="JA839"/>
      <c r="JB839"/>
      <c r="JC839"/>
      <c r="JD839"/>
      <c r="JE839"/>
      <c r="JF839"/>
      <c r="JG839"/>
      <c r="JH839"/>
      <c r="JI839"/>
      <c r="JJ839"/>
      <c r="JK839"/>
      <c r="JL839"/>
      <c r="JM839"/>
      <c r="JN839"/>
      <c r="JO839"/>
      <c r="JP839"/>
      <c r="JQ839"/>
      <c r="JR839"/>
      <c r="JS839"/>
      <c r="JT839"/>
      <c r="JU839"/>
      <c r="JV839"/>
      <c r="JW839"/>
      <c r="JX839"/>
      <c r="JY839"/>
      <c r="JZ839"/>
      <c r="KA839"/>
      <c r="KB839"/>
      <c r="KC839"/>
      <c r="KD839"/>
      <c r="KE839"/>
      <c r="KF839"/>
      <c r="KG839"/>
      <c r="KH839"/>
      <c r="KI839"/>
      <c r="KJ839"/>
      <c r="KK839"/>
      <c r="KL839"/>
      <c r="KM839"/>
      <c r="KN839"/>
      <c r="KO839"/>
      <c r="KP839"/>
      <c r="KQ839"/>
      <c r="KR839"/>
      <c r="KS839"/>
      <c r="KT839"/>
      <c r="KU839"/>
      <c r="KV839"/>
      <c r="KW839"/>
      <c r="KX839"/>
      <c r="KY839"/>
      <c r="KZ839"/>
      <c r="LA839"/>
      <c r="LB839"/>
      <c r="LC839"/>
      <c r="LD839"/>
      <c r="LE839"/>
      <c r="LF839"/>
      <c r="LG839"/>
      <c r="LH839"/>
      <c r="LI839"/>
      <c r="LJ839"/>
      <c r="LK839"/>
      <c r="LL839"/>
      <c r="LM839"/>
      <c r="LN839"/>
      <c r="LO839"/>
      <c r="LP839"/>
      <c r="LQ839"/>
      <c r="LR839"/>
      <c r="LS839"/>
      <c r="LT839"/>
      <c r="LU839"/>
      <c r="LV839"/>
      <c r="LW839"/>
      <c r="LX839"/>
      <c r="LY839"/>
      <c r="LZ839"/>
      <c r="MA839"/>
      <c r="MB839"/>
      <c r="MC839"/>
      <c r="MD839"/>
      <c r="ME839"/>
      <c r="MF839"/>
      <c r="MG839"/>
      <c r="MH839"/>
      <c r="MI839"/>
      <c r="MJ839"/>
      <c r="MK839"/>
      <c r="ML839"/>
      <c r="MM839"/>
      <c r="MN839"/>
      <c r="MO839"/>
      <c r="MP839"/>
      <c r="MQ839"/>
      <c r="MR839"/>
      <c r="MS839"/>
      <c r="MT839"/>
      <c r="MU839"/>
      <c r="MV839"/>
      <c r="MW839"/>
      <c r="MX839"/>
      <c r="MY839"/>
      <c r="MZ839"/>
      <c r="NA839"/>
      <c r="NB839"/>
      <c r="NC839"/>
      <c r="ND839"/>
      <c r="NE839"/>
      <c r="NF839"/>
      <c r="NG839"/>
      <c r="NH839"/>
      <c r="NI839"/>
      <c r="NJ839"/>
      <c r="NK839"/>
      <c r="NL839"/>
      <c r="NM839"/>
      <c r="NN839"/>
      <c r="NO839"/>
      <c r="NP839"/>
      <c r="NQ839"/>
      <c r="NR839"/>
      <c r="NS839"/>
      <c r="NT839"/>
      <c r="NU839"/>
      <c r="NV839"/>
      <c r="NW839"/>
      <c r="NX839"/>
      <c r="NY839"/>
      <c r="NZ839"/>
      <c r="OA839"/>
      <c r="OB839"/>
      <c r="OC839"/>
      <c r="OD839"/>
      <c r="OE839"/>
      <c r="OF839"/>
      <c r="OG839"/>
      <c r="OH839"/>
      <c r="OI839"/>
      <c r="OJ839"/>
      <c r="OK839"/>
      <c r="OL839"/>
      <c r="OM839"/>
      <c r="ON839"/>
      <c r="OO839"/>
      <c r="OP839"/>
      <c r="OQ839"/>
      <c r="OR839"/>
      <c r="OS839"/>
      <c r="OT839"/>
      <c r="OU839"/>
      <c r="OV839"/>
      <c r="OW839"/>
      <c r="OX839"/>
      <c r="OY839"/>
      <c r="OZ839"/>
      <c r="PA839"/>
      <c r="PB839"/>
      <c r="PC839"/>
      <c r="PD839"/>
      <c r="PE839"/>
      <c r="PF839"/>
      <c r="PG839"/>
      <c r="PH839"/>
      <c r="PI839"/>
      <c r="PJ839"/>
      <c r="PK839"/>
      <c r="PL839"/>
      <c r="PM839"/>
      <c r="PN839"/>
      <c r="PO839"/>
      <c r="PP839"/>
      <c r="PQ839"/>
      <c r="PR839"/>
      <c r="PS839"/>
      <c r="PT839"/>
      <c r="PU839"/>
      <c r="PV839"/>
      <c r="PW839"/>
      <c r="PX839"/>
      <c r="PY839"/>
      <c r="PZ839"/>
      <c r="QA839"/>
      <c r="QB839"/>
      <c r="QC839"/>
      <c r="QD839"/>
      <c r="QE839"/>
      <c r="QF839"/>
      <c r="QG839"/>
      <c r="QH839"/>
      <c r="QI839"/>
      <c r="QJ839"/>
      <c r="QK839"/>
      <c r="QL839"/>
      <c r="QM839"/>
      <c r="QN839"/>
      <c r="QO839"/>
      <c r="QP839"/>
      <c r="QQ839"/>
      <c r="QR839"/>
      <c r="QS839"/>
      <c r="QT839"/>
      <c r="QU839"/>
      <c r="QV839"/>
      <c r="QW839"/>
      <c r="QX839"/>
      <c r="QY839"/>
      <c r="QZ839"/>
      <c r="RA839"/>
      <c r="RB839"/>
      <c r="RC839"/>
      <c r="RD839"/>
      <c r="RE839"/>
      <c r="RF839"/>
      <c r="RG839"/>
      <c r="RH839"/>
      <c r="RI839"/>
      <c r="RJ839"/>
      <c r="RK839"/>
      <c r="RL839"/>
      <c r="RM839"/>
      <c r="RN839"/>
      <c r="RO839"/>
      <c r="RP839"/>
      <c r="RQ839"/>
      <c r="RR839"/>
      <c r="RS839"/>
      <c r="RT839"/>
      <c r="RU839"/>
      <c r="RV839"/>
      <c r="RW839"/>
      <c r="RX839"/>
      <c r="RY839"/>
      <c r="RZ839"/>
      <c r="SA839"/>
      <c r="SB839"/>
      <c r="SC839"/>
      <c r="SD839"/>
      <c r="SE839"/>
      <c r="SF839"/>
      <c r="SG839"/>
      <c r="SH839"/>
      <c r="SI839"/>
      <c r="SJ839"/>
      <c r="SK839"/>
      <c r="SL839"/>
      <c r="SM839"/>
      <c r="SN839"/>
      <c r="SO839"/>
      <c r="SP839"/>
      <c r="SQ839"/>
      <c r="SR839"/>
      <c r="SS839"/>
      <c r="ST839"/>
      <c r="SU839"/>
      <c r="SV839"/>
      <c r="SW839"/>
      <c r="SX839"/>
      <c r="SY839"/>
      <c r="SZ839"/>
      <c r="TA839"/>
      <c r="TB839"/>
      <c r="TC839"/>
      <c r="TD839"/>
      <c r="TE839"/>
      <c r="TF839"/>
      <c r="TG839"/>
      <c r="TH839"/>
      <c r="TI839"/>
      <c r="TJ839"/>
      <c r="TK839"/>
      <c r="TL839"/>
      <c r="TM839"/>
      <c r="TN839"/>
      <c r="TO839"/>
      <c r="TP839"/>
      <c r="TQ839"/>
      <c r="TR839"/>
      <c r="TS839"/>
      <c r="TT839"/>
      <c r="TU839"/>
      <c r="TV839"/>
      <c r="TW839"/>
      <c r="TX839"/>
      <c r="TY839"/>
      <c r="TZ839"/>
      <c r="UA839"/>
      <c r="UB839"/>
      <c r="UC839"/>
      <c r="UD839"/>
      <c r="UE839"/>
      <c r="UF839"/>
      <c r="UG839"/>
      <c r="UH839"/>
      <c r="UI839"/>
      <c r="UJ839"/>
      <c r="UK839"/>
      <c r="UL839"/>
      <c r="UM839"/>
      <c r="UN839"/>
      <c r="UO839"/>
      <c r="UP839"/>
      <c r="UQ839"/>
      <c r="UR839"/>
      <c r="US839"/>
      <c r="UT839"/>
      <c r="UU839"/>
      <c r="UV839"/>
      <c r="UW839"/>
      <c r="UX839"/>
      <c r="UY839"/>
      <c r="UZ839"/>
      <c r="VA839"/>
      <c r="VB839"/>
      <c r="VC839"/>
      <c r="VD839"/>
      <c r="VE839"/>
      <c r="VF839"/>
      <c r="VG839"/>
      <c r="VH839"/>
      <c r="VI839"/>
      <c r="VJ839"/>
      <c r="VK839"/>
      <c r="VL839"/>
      <c r="VM839"/>
      <c r="VN839"/>
      <c r="VO839"/>
      <c r="VP839"/>
      <c r="VQ839"/>
      <c r="VR839"/>
      <c r="VS839"/>
      <c r="VT839"/>
      <c r="VU839"/>
      <c r="VV839"/>
      <c r="VW839"/>
      <c r="VX839"/>
      <c r="VY839"/>
      <c r="VZ839"/>
      <c r="WA839"/>
      <c r="WB839"/>
      <c r="WC839"/>
      <c r="WD839"/>
      <c r="WE839"/>
      <c r="WF839"/>
      <c r="WG839"/>
      <c r="WH839"/>
      <c r="WI839"/>
      <c r="WJ839"/>
      <c r="WK839"/>
      <c r="WL839"/>
      <c r="WM839"/>
      <c r="WN839"/>
      <c r="WO839"/>
      <c r="WP839"/>
      <c r="WQ839"/>
      <c r="WR839"/>
      <c r="WS839"/>
      <c r="WT839"/>
      <c r="WU839"/>
      <c r="WV839"/>
      <c r="WW839"/>
      <c r="WX839"/>
      <c r="WY839"/>
      <c r="WZ839"/>
      <c r="XA839"/>
      <c r="XB839"/>
      <c r="XC839"/>
      <c r="XD839"/>
      <c r="XE839"/>
      <c r="XF839"/>
      <c r="XG839"/>
      <c r="XH839"/>
      <c r="XI839"/>
      <c r="XJ839"/>
      <c r="XK839"/>
      <c r="XL839"/>
      <c r="XM839"/>
      <c r="XN839"/>
      <c r="XO839"/>
      <c r="XP839"/>
      <c r="XQ839"/>
      <c r="XR839"/>
      <c r="XS839"/>
      <c r="XT839"/>
      <c r="XU839"/>
      <c r="XV839"/>
      <c r="XW839"/>
      <c r="XX839"/>
      <c r="XY839"/>
      <c r="XZ839"/>
      <c r="YA839"/>
      <c r="YB839"/>
      <c r="YC839"/>
      <c r="YD839"/>
      <c r="YE839"/>
      <c r="YF839"/>
      <c r="YG839"/>
      <c r="YH839"/>
      <c r="YI839"/>
      <c r="YJ839"/>
      <c r="YK839"/>
      <c r="YL839"/>
      <c r="YM839"/>
      <c r="YN839"/>
      <c r="YO839"/>
      <c r="YP839"/>
      <c r="YQ839"/>
      <c r="YR839"/>
      <c r="YS839"/>
      <c r="YT839"/>
      <c r="YU839"/>
      <c r="YV839"/>
      <c r="YW839"/>
      <c r="YX839"/>
      <c r="YY839"/>
      <c r="YZ839"/>
      <c r="ZA839"/>
      <c r="ZB839"/>
      <c r="ZC839"/>
      <c r="ZD839"/>
      <c r="ZE839"/>
      <c r="ZF839"/>
      <c r="ZG839"/>
      <c r="ZH839"/>
      <c r="ZI839"/>
      <c r="ZJ839"/>
      <c r="ZK839"/>
      <c r="ZL839"/>
      <c r="ZM839"/>
      <c r="ZN839"/>
      <c r="ZO839"/>
      <c r="ZP839"/>
      <c r="ZQ839"/>
      <c r="ZR839"/>
      <c r="ZS839"/>
      <c r="ZT839"/>
      <c r="ZU839"/>
      <c r="ZV839"/>
      <c r="ZW839"/>
      <c r="ZX839"/>
      <c r="ZY839"/>
      <c r="ZZ839"/>
      <c r="AAA839"/>
      <c r="AAB839"/>
      <c r="AAC839"/>
      <c r="AAD839"/>
      <c r="AAE839"/>
      <c r="AAF839"/>
      <c r="AAG839"/>
      <c r="AAH839"/>
      <c r="AAI839"/>
      <c r="AAJ839"/>
      <c r="AAK839"/>
      <c r="AAL839"/>
      <c r="AAM839"/>
      <c r="AAN839"/>
      <c r="AAO839"/>
      <c r="AAP839"/>
      <c r="AAQ839"/>
      <c r="AAR839"/>
      <c r="AAS839"/>
      <c r="AAT839"/>
      <c r="AAU839"/>
      <c r="AAV839"/>
      <c r="AAW839"/>
      <c r="AAX839"/>
      <c r="AAY839"/>
      <c r="AAZ839"/>
      <c r="ABA839"/>
      <c r="ABB839"/>
      <c r="ABC839"/>
      <c r="ABD839"/>
      <c r="ABE839"/>
      <c r="ABF839"/>
      <c r="ABG839"/>
      <c r="ABH839"/>
      <c r="ABI839"/>
      <c r="ABJ839"/>
      <c r="ABK839"/>
      <c r="ABL839"/>
      <c r="ABM839"/>
      <c r="ABN839"/>
      <c r="ABO839"/>
      <c r="ABP839"/>
      <c r="ABQ839"/>
      <c r="ABR839"/>
      <c r="ABS839"/>
      <c r="ABT839"/>
      <c r="ABU839"/>
      <c r="ABV839"/>
      <c r="ABW839"/>
      <c r="ABX839"/>
      <c r="ABY839"/>
      <c r="ABZ839"/>
      <c r="ACA839"/>
      <c r="ACB839"/>
      <c r="ACC839"/>
      <c r="ACD839"/>
      <c r="ACE839"/>
      <c r="ACF839"/>
      <c r="ACG839"/>
      <c r="ACH839"/>
      <c r="ACI839"/>
      <c r="ACJ839"/>
      <c r="ACK839"/>
      <c r="ACL839"/>
      <c r="ACM839"/>
      <c r="ACN839"/>
      <c r="ACO839"/>
      <c r="ACP839"/>
      <c r="ACQ839"/>
      <c r="ACR839"/>
      <c r="ACS839"/>
      <c r="ACT839"/>
      <c r="ACU839"/>
      <c r="ACV839"/>
      <c r="ACW839"/>
      <c r="ACX839"/>
      <c r="ACY839"/>
      <c r="ACZ839"/>
      <c r="ADA839"/>
      <c r="ADB839"/>
      <c r="ADC839"/>
      <c r="ADD839"/>
      <c r="ADE839"/>
      <c r="ADF839"/>
      <c r="ADG839"/>
      <c r="ADH839"/>
      <c r="ADI839"/>
      <c r="ADJ839"/>
      <c r="ADK839"/>
      <c r="ADL839"/>
      <c r="ADM839"/>
      <c r="ADN839"/>
      <c r="ADO839"/>
      <c r="ADP839"/>
      <c r="ADQ839"/>
      <c r="ADR839"/>
      <c r="ADS839"/>
      <c r="ADT839"/>
      <c r="ADU839"/>
      <c r="ADV839"/>
      <c r="ADW839"/>
      <c r="ADX839"/>
      <c r="ADY839"/>
      <c r="ADZ839"/>
      <c r="AEA839"/>
      <c r="AEB839"/>
      <c r="AEC839"/>
      <c r="AED839"/>
      <c r="AEE839"/>
      <c r="AEF839"/>
      <c r="AEG839"/>
      <c r="AEH839"/>
      <c r="AEI839"/>
      <c r="AEJ839"/>
      <c r="AEK839"/>
      <c r="AEL839"/>
      <c r="AEM839"/>
      <c r="AEN839"/>
      <c r="AEO839"/>
      <c r="AEP839"/>
      <c r="AEQ839"/>
      <c r="AER839"/>
      <c r="AES839"/>
      <c r="AET839"/>
      <c r="AEU839"/>
      <c r="AEV839"/>
      <c r="AEW839"/>
      <c r="AEX839"/>
      <c r="AEY839"/>
      <c r="AEZ839"/>
      <c r="AFA839"/>
      <c r="AFB839"/>
      <c r="AFC839"/>
      <c r="AFD839"/>
      <c r="AFE839"/>
      <c r="AFF839"/>
      <c r="AFG839"/>
      <c r="AFH839"/>
      <c r="AFI839"/>
      <c r="AFJ839"/>
      <c r="AFK839"/>
      <c r="AFL839"/>
      <c r="AFM839"/>
      <c r="AFN839"/>
      <c r="AFO839"/>
      <c r="AFP839"/>
      <c r="AFQ839"/>
      <c r="AFR839"/>
      <c r="AFS839"/>
      <c r="AFT839"/>
      <c r="AFU839"/>
      <c r="AFV839"/>
      <c r="AFW839"/>
      <c r="AFX839"/>
      <c r="AFY839"/>
      <c r="AFZ839"/>
      <c r="AGA839"/>
      <c r="AGB839"/>
      <c r="AGC839"/>
      <c r="AGD839"/>
      <c r="AGE839"/>
      <c r="AGF839"/>
      <c r="AGG839"/>
      <c r="AGH839"/>
      <c r="AGI839"/>
      <c r="AGJ839"/>
      <c r="AGK839"/>
      <c r="AGL839"/>
      <c r="AGM839"/>
      <c r="AGN839"/>
      <c r="AGO839"/>
      <c r="AGP839"/>
      <c r="AGQ839"/>
      <c r="AGR839"/>
      <c r="AGS839"/>
      <c r="AGT839"/>
      <c r="AGU839"/>
      <c r="AGV839"/>
      <c r="AGW839"/>
      <c r="AGX839"/>
      <c r="AGY839"/>
      <c r="AGZ839"/>
      <c r="AHA839"/>
      <c r="AHB839"/>
      <c r="AHC839"/>
      <c r="AHD839"/>
      <c r="AHE839"/>
      <c r="AHF839"/>
      <c r="AHG839"/>
      <c r="AHH839"/>
      <c r="AHI839"/>
      <c r="AHJ839"/>
      <c r="AHK839"/>
      <c r="AHL839"/>
      <c r="AHM839"/>
      <c r="AHN839"/>
      <c r="AHO839"/>
      <c r="AHP839"/>
      <c r="AHQ839"/>
      <c r="AHR839"/>
      <c r="AHS839"/>
      <c r="AHT839"/>
      <c r="AHU839"/>
      <c r="AHV839"/>
      <c r="AHW839"/>
      <c r="AHX839"/>
      <c r="AHY839"/>
      <c r="AHZ839"/>
      <c r="AIA839"/>
      <c r="AIB839"/>
      <c r="AIC839"/>
      <c r="AID839"/>
      <c r="AIE839"/>
      <c r="AIF839"/>
      <c r="AIG839"/>
      <c r="AIH839"/>
      <c r="AII839"/>
      <c r="AIJ839"/>
      <c r="AIK839"/>
      <c r="AIL839"/>
      <c r="AIM839"/>
      <c r="AIN839"/>
      <c r="AIO839"/>
      <c r="AIP839"/>
      <c r="AIQ839"/>
      <c r="AIR839"/>
      <c r="AIS839"/>
      <c r="AIT839"/>
      <c r="AIU839"/>
      <c r="AIV839"/>
      <c r="AIW839"/>
      <c r="AIX839"/>
      <c r="AIY839"/>
      <c r="AIZ839"/>
      <c r="AJA839"/>
      <c r="AJB839"/>
      <c r="AJC839"/>
      <c r="AJD839"/>
      <c r="AJE839"/>
      <c r="AJF839"/>
      <c r="AJG839"/>
      <c r="AJH839"/>
      <c r="AJI839"/>
      <c r="AJJ839"/>
      <c r="AJK839"/>
      <c r="AJL839"/>
      <c r="AJM839"/>
      <c r="AJN839"/>
      <c r="AJO839"/>
      <c r="AJP839"/>
      <c r="AJQ839"/>
      <c r="AJR839"/>
      <c r="AJS839"/>
      <c r="AJT839"/>
      <c r="AJU839"/>
      <c r="AJV839"/>
      <c r="AJW839"/>
      <c r="AJX839"/>
      <c r="AJY839"/>
      <c r="AJZ839"/>
      <c r="AKA839"/>
      <c r="AKB839"/>
      <c r="AKC839"/>
      <c r="AKD839"/>
      <c r="AKE839"/>
      <c r="AKF839"/>
      <c r="AKG839"/>
      <c r="AKH839"/>
      <c r="AKI839"/>
      <c r="AKJ839"/>
      <c r="AKK839"/>
      <c r="AKL839"/>
      <c r="AKM839"/>
      <c r="AKN839"/>
      <c r="AKO839"/>
      <c r="AKP839"/>
      <c r="AKQ839"/>
      <c r="AKR839"/>
      <c r="AKS839"/>
      <c r="AKT839"/>
      <c r="AKU839"/>
      <c r="AKV839"/>
      <c r="AKW839"/>
      <c r="AKX839"/>
      <c r="AKY839"/>
      <c r="AKZ839"/>
      <c r="ALA839"/>
      <c r="ALB839"/>
      <c r="ALC839"/>
      <c r="ALD839"/>
      <c r="ALE839"/>
      <c r="ALF839"/>
      <c r="ALG839"/>
      <c r="ALH839"/>
      <c r="ALI839"/>
      <c r="ALJ839"/>
      <c r="ALK839"/>
      <c r="ALL839"/>
      <c r="ALM839"/>
      <c r="ALN839"/>
      <c r="ALO839"/>
      <c r="ALP839"/>
      <c r="ALQ839"/>
      <c r="ALR839"/>
      <c r="ALS839"/>
      <c r="ALT839"/>
    </row>
    <row r="840" spans="1:1008" x14ac:dyDescent="0.15">
      <c r="A840" s="6" t="s">
        <v>2883</v>
      </c>
      <c r="B840" s="6" t="s">
        <v>2881</v>
      </c>
      <c r="C840" s="6" t="str">
        <f t="shared" si="12"/>
        <v>antibody</v>
      </c>
      <c r="D840" s="7" t="s">
        <v>13</v>
      </c>
      <c r="E840" s="6" t="s">
        <v>2884</v>
      </c>
      <c r="F840" s="6" t="s">
        <v>2885</v>
      </c>
      <c r="G840" s="6">
        <v>500</v>
      </c>
      <c r="H840"/>
      <c r="I840"/>
      <c r="J840"/>
      <c r="K840"/>
      <c r="L840"/>
      <c r="M840"/>
      <c r="N840"/>
      <c r="O840"/>
      <c r="P840"/>
      <c r="Q840"/>
      <c r="R840"/>
      <c r="S840"/>
      <c r="T840"/>
      <c r="U840"/>
      <c r="V840"/>
      <c r="W840"/>
      <c r="X840"/>
      <c r="Y840"/>
      <c r="Z840"/>
      <c r="AA840"/>
      <c r="AB840"/>
      <c r="AC840"/>
      <c r="AD840"/>
      <c r="AE840"/>
      <c r="AF840"/>
      <c r="AG840"/>
      <c r="AH840"/>
      <c r="AI840"/>
      <c r="AJ840"/>
      <c r="AK840"/>
      <c r="AL840"/>
      <c r="AM840"/>
      <c r="AN840"/>
      <c r="AO840"/>
      <c r="AP840"/>
      <c r="AQ840"/>
      <c r="AR840"/>
      <c r="AS840"/>
      <c r="AT840"/>
      <c r="AU840"/>
      <c r="AV840"/>
      <c r="AW840"/>
      <c r="AX840"/>
      <c r="AY840"/>
      <c r="AZ840"/>
      <c r="BA840"/>
      <c r="BB840"/>
      <c r="BC840"/>
      <c r="BD840"/>
      <c r="BE840"/>
      <c r="BF840"/>
      <c r="BG840"/>
      <c r="BH840"/>
      <c r="BI840"/>
      <c r="BJ840"/>
      <c r="BK840"/>
      <c r="BL840"/>
      <c r="BM840"/>
      <c r="BN840"/>
      <c r="BO840"/>
      <c r="BP840"/>
      <c r="BQ840"/>
      <c r="BR840"/>
      <c r="BS840"/>
      <c r="BT840"/>
      <c r="BU840"/>
      <c r="BV840"/>
      <c r="BW840"/>
      <c r="BX840"/>
      <c r="BY840"/>
      <c r="BZ840"/>
      <c r="CA840"/>
      <c r="CB840"/>
      <c r="CC840"/>
      <c r="CD840"/>
      <c r="CE840"/>
      <c r="CF840"/>
      <c r="CG840"/>
      <c r="CH840"/>
      <c r="CI840"/>
      <c r="CJ840"/>
      <c r="CK840"/>
      <c r="CL840"/>
      <c r="CM840"/>
      <c r="CN840"/>
      <c r="CO840"/>
      <c r="CP840"/>
      <c r="CQ840"/>
      <c r="CR840"/>
      <c r="CS840"/>
      <c r="CT840"/>
      <c r="CU840"/>
      <c r="CV840"/>
      <c r="CW840"/>
      <c r="CX840"/>
      <c r="CY840"/>
      <c r="CZ840"/>
      <c r="DA840"/>
      <c r="DB840"/>
      <c r="DC840"/>
      <c r="DD840"/>
      <c r="DE840"/>
      <c r="DF840"/>
      <c r="DG840"/>
      <c r="DH840"/>
      <c r="DI840"/>
      <c r="DJ840"/>
      <c r="DK840"/>
      <c r="DL840"/>
      <c r="DM840"/>
      <c r="DN840"/>
      <c r="DO840"/>
      <c r="DP840"/>
      <c r="DQ840"/>
      <c r="DR840"/>
      <c r="DS840"/>
      <c r="DT840"/>
      <c r="DU840"/>
      <c r="DV840"/>
      <c r="DW840"/>
      <c r="DX840"/>
      <c r="DY840"/>
      <c r="DZ840"/>
      <c r="EA840"/>
      <c r="EB840"/>
      <c r="EC840"/>
      <c r="ED840"/>
      <c r="EE840"/>
      <c r="EF840"/>
      <c r="EG840"/>
      <c r="EH840"/>
      <c r="EI840"/>
      <c r="EJ840"/>
      <c r="EK840"/>
      <c r="EL840"/>
      <c r="EM840"/>
      <c r="EN840"/>
      <c r="EO840"/>
      <c r="EP840"/>
      <c r="EQ840"/>
      <c r="ER840"/>
      <c r="ES840"/>
      <c r="ET840"/>
      <c r="EU840"/>
      <c r="EV840"/>
      <c r="EW840"/>
      <c r="EX840"/>
      <c r="EY840"/>
      <c r="EZ840"/>
      <c r="FA840"/>
      <c r="FB840"/>
      <c r="FC840"/>
      <c r="FD840"/>
      <c r="FE840"/>
      <c r="FF840"/>
      <c r="FG840"/>
      <c r="FH840"/>
      <c r="FI840"/>
      <c r="FJ840"/>
      <c r="FK840"/>
      <c r="FL840"/>
      <c r="FM840"/>
      <c r="FN840"/>
      <c r="FO840"/>
      <c r="FP840"/>
      <c r="FQ840"/>
      <c r="FR840"/>
      <c r="FS840"/>
      <c r="FT840"/>
      <c r="FU840"/>
      <c r="FV840"/>
      <c r="FW840"/>
      <c r="FX840"/>
      <c r="FY840"/>
      <c r="FZ840"/>
      <c r="GA840"/>
      <c r="GB840"/>
      <c r="GC840"/>
      <c r="GD840"/>
      <c r="GE840"/>
      <c r="GF840"/>
      <c r="GG840"/>
      <c r="GH840"/>
      <c r="GI840"/>
      <c r="GJ840"/>
      <c r="GK840"/>
      <c r="GL840"/>
      <c r="GM840"/>
      <c r="GN840"/>
      <c r="GO840"/>
      <c r="GP840"/>
      <c r="GQ840"/>
      <c r="GR840"/>
      <c r="GS840"/>
      <c r="GT840"/>
      <c r="GU840"/>
      <c r="GV840"/>
      <c r="GW840"/>
      <c r="GX840"/>
      <c r="GY840"/>
      <c r="GZ840"/>
      <c r="HA840"/>
      <c r="HB840"/>
      <c r="HC840"/>
      <c r="HD840"/>
      <c r="HE840"/>
      <c r="HF840"/>
      <c r="HG840"/>
      <c r="HH840"/>
      <c r="HI840"/>
      <c r="HJ840"/>
      <c r="HK840"/>
      <c r="HL840"/>
      <c r="HM840"/>
      <c r="HN840"/>
      <c r="HO840"/>
      <c r="HP840"/>
      <c r="HQ840"/>
      <c r="HR840"/>
      <c r="HS840"/>
      <c r="HT840"/>
      <c r="HU840"/>
      <c r="HV840"/>
      <c r="HW840"/>
      <c r="HX840"/>
      <c r="HY840"/>
      <c r="HZ840"/>
      <c r="IA840"/>
      <c r="IB840"/>
      <c r="IC840"/>
      <c r="ID840"/>
      <c r="IE840"/>
      <c r="IF840"/>
      <c r="IG840"/>
      <c r="IH840"/>
      <c r="II840"/>
      <c r="IJ840"/>
      <c r="IK840"/>
      <c r="IL840"/>
      <c r="IM840"/>
      <c r="IN840"/>
      <c r="IO840"/>
      <c r="IP840"/>
      <c r="IQ840"/>
      <c r="IR840"/>
      <c r="IS840"/>
      <c r="IT840"/>
      <c r="IU840"/>
      <c r="IV840"/>
      <c r="IW840"/>
      <c r="IX840"/>
      <c r="IY840"/>
      <c r="IZ840"/>
      <c r="JA840"/>
      <c r="JB840"/>
      <c r="JC840"/>
      <c r="JD840"/>
      <c r="JE840"/>
      <c r="JF840"/>
      <c r="JG840"/>
      <c r="JH840"/>
      <c r="JI840"/>
      <c r="JJ840"/>
      <c r="JK840"/>
      <c r="JL840"/>
      <c r="JM840"/>
      <c r="JN840"/>
      <c r="JO840"/>
      <c r="JP840"/>
      <c r="JQ840"/>
      <c r="JR840"/>
      <c r="JS840"/>
      <c r="JT840"/>
      <c r="JU840"/>
      <c r="JV840"/>
      <c r="JW840"/>
      <c r="JX840"/>
      <c r="JY840"/>
      <c r="JZ840"/>
      <c r="KA840"/>
      <c r="KB840"/>
      <c r="KC840"/>
      <c r="KD840"/>
      <c r="KE840"/>
      <c r="KF840"/>
      <c r="KG840"/>
      <c r="KH840"/>
      <c r="KI840"/>
      <c r="KJ840"/>
      <c r="KK840"/>
      <c r="KL840"/>
      <c r="KM840"/>
      <c r="KN840"/>
      <c r="KO840"/>
      <c r="KP840"/>
      <c r="KQ840"/>
      <c r="KR840"/>
      <c r="KS840"/>
      <c r="KT840"/>
      <c r="KU840"/>
      <c r="KV840"/>
      <c r="KW840"/>
      <c r="KX840"/>
      <c r="KY840"/>
      <c r="KZ840"/>
      <c r="LA840"/>
      <c r="LB840"/>
      <c r="LC840"/>
      <c r="LD840"/>
      <c r="LE840"/>
      <c r="LF840"/>
      <c r="LG840"/>
      <c r="LH840"/>
      <c r="LI840"/>
      <c r="LJ840"/>
      <c r="LK840"/>
      <c r="LL840"/>
      <c r="LM840"/>
      <c r="LN840"/>
      <c r="LO840"/>
      <c r="LP840"/>
      <c r="LQ840"/>
      <c r="LR840"/>
      <c r="LS840"/>
      <c r="LT840"/>
      <c r="LU840"/>
      <c r="LV840"/>
      <c r="LW840"/>
      <c r="LX840"/>
      <c r="LY840"/>
      <c r="LZ840"/>
      <c r="MA840"/>
      <c r="MB840"/>
      <c r="MC840"/>
      <c r="MD840"/>
      <c r="ME840"/>
      <c r="MF840"/>
      <c r="MG840"/>
      <c r="MH840"/>
      <c r="MI840"/>
      <c r="MJ840"/>
      <c r="MK840"/>
      <c r="ML840"/>
      <c r="MM840"/>
      <c r="MN840"/>
      <c r="MO840"/>
      <c r="MP840"/>
      <c r="MQ840"/>
      <c r="MR840"/>
      <c r="MS840"/>
      <c r="MT840"/>
      <c r="MU840"/>
      <c r="MV840"/>
      <c r="MW840"/>
      <c r="MX840"/>
      <c r="MY840"/>
      <c r="MZ840"/>
      <c r="NA840"/>
      <c r="NB840"/>
      <c r="NC840"/>
      <c r="ND840"/>
      <c r="NE840"/>
      <c r="NF840"/>
      <c r="NG840"/>
      <c r="NH840"/>
      <c r="NI840"/>
      <c r="NJ840"/>
      <c r="NK840"/>
      <c r="NL840"/>
      <c r="NM840"/>
      <c r="NN840"/>
      <c r="NO840"/>
      <c r="NP840"/>
      <c r="NQ840"/>
      <c r="NR840"/>
      <c r="NS840"/>
      <c r="NT840"/>
      <c r="NU840"/>
      <c r="NV840"/>
      <c r="NW840"/>
      <c r="NX840"/>
      <c r="NY840"/>
      <c r="NZ840"/>
      <c r="OA840"/>
      <c r="OB840"/>
      <c r="OC840"/>
      <c r="OD840"/>
      <c r="OE840"/>
      <c r="OF840"/>
      <c r="OG840"/>
      <c r="OH840"/>
      <c r="OI840"/>
      <c r="OJ840"/>
      <c r="OK840"/>
      <c r="OL840"/>
      <c r="OM840"/>
      <c r="ON840"/>
      <c r="OO840"/>
      <c r="OP840"/>
      <c r="OQ840"/>
      <c r="OR840"/>
      <c r="OS840"/>
      <c r="OT840"/>
      <c r="OU840"/>
      <c r="OV840"/>
      <c r="OW840"/>
      <c r="OX840"/>
      <c r="OY840"/>
      <c r="OZ840"/>
      <c r="PA840"/>
      <c r="PB840"/>
      <c r="PC840"/>
      <c r="PD840"/>
      <c r="PE840"/>
      <c r="PF840"/>
      <c r="PG840"/>
      <c r="PH840"/>
      <c r="PI840"/>
      <c r="PJ840"/>
      <c r="PK840"/>
      <c r="PL840"/>
      <c r="PM840"/>
      <c r="PN840"/>
      <c r="PO840"/>
      <c r="PP840"/>
      <c r="PQ840"/>
      <c r="PR840"/>
      <c r="PS840"/>
      <c r="PT840"/>
      <c r="PU840"/>
      <c r="PV840"/>
      <c r="PW840"/>
      <c r="PX840"/>
      <c r="PY840"/>
      <c r="PZ840"/>
      <c r="QA840"/>
      <c r="QB840"/>
      <c r="QC840"/>
      <c r="QD840"/>
      <c r="QE840"/>
      <c r="QF840"/>
      <c r="QG840"/>
      <c r="QH840"/>
      <c r="QI840"/>
      <c r="QJ840"/>
      <c r="QK840"/>
      <c r="QL840"/>
      <c r="QM840"/>
      <c r="QN840"/>
      <c r="QO840"/>
      <c r="QP840"/>
      <c r="QQ840"/>
      <c r="QR840"/>
      <c r="QS840"/>
      <c r="QT840"/>
      <c r="QU840"/>
      <c r="QV840"/>
      <c r="QW840"/>
      <c r="QX840"/>
      <c r="QY840"/>
      <c r="QZ840"/>
      <c r="RA840"/>
      <c r="RB840"/>
      <c r="RC840"/>
      <c r="RD840"/>
      <c r="RE840"/>
      <c r="RF840"/>
      <c r="RG840"/>
      <c r="RH840"/>
      <c r="RI840"/>
      <c r="RJ840"/>
      <c r="RK840"/>
      <c r="RL840"/>
      <c r="RM840"/>
      <c r="RN840"/>
      <c r="RO840"/>
      <c r="RP840"/>
      <c r="RQ840"/>
      <c r="RR840"/>
      <c r="RS840"/>
      <c r="RT840"/>
      <c r="RU840"/>
      <c r="RV840"/>
      <c r="RW840"/>
      <c r="RX840"/>
      <c r="RY840"/>
      <c r="RZ840"/>
      <c r="SA840"/>
      <c r="SB840"/>
      <c r="SC840"/>
      <c r="SD840"/>
      <c r="SE840"/>
      <c r="SF840"/>
      <c r="SG840"/>
      <c r="SH840"/>
      <c r="SI840"/>
      <c r="SJ840"/>
      <c r="SK840"/>
      <c r="SL840"/>
      <c r="SM840"/>
      <c r="SN840"/>
      <c r="SO840"/>
      <c r="SP840"/>
      <c r="SQ840"/>
      <c r="SR840"/>
      <c r="SS840"/>
      <c r="ST840"/>
      <c r="SU840"/>
      <c r="SV840"/>
      <c r="SW840"/>
      <c r="SX840"/>
      <c r="SY840"/>
      <c r="SZ840"/>
      <c r="TA840"/>
      <c r="TB840"/>
      <c r="TC840"/>
      <c r="TD840"/>
      <c r="TE840"/>
      <c r="TF840"/>
      <c r="TG840"/>
      <c r="TH840"/>
      <c r="TI840"/>
      <c r="TJ840"/>
      <c r="TK840"/>
      <c r="TL840"/>
      <c r="TM840"/>
      <c r="TN840"/>
      <c r="TO840"/>
      <c r="TP840"/>
      <c r="TQ840"/>
      <c r="TR840"/>
      <c r="TS840"/>
      <c r="TT840"/>
      <c r="TU840"/>
      <c r="TV840"/>
      <c r="TW840"/>
      <c r="TX840"/>
      <c r="TY840"/>
      <c r="TZ840"/>
      <c r="UA840"/>
      <c r="UB840"/>
      <c r="UC840"/>
      <c r="UD840"/>
      <c r="UE840"/>
      <c r="UF840"/>
      <c r="UG840"/>
      <c r="UH840"/>
      <c r="UI840"/>
      <c r="UJ840"/>
      <c r="UK840"/>
      <c r="UL840"/>
      <c r="UM840"/>
      <c r="UN840"/>
      <c r="UO840"/>
      <c r="UP840"/>
      <c r="UQ840"/>
      <c r="UR840"/>
      <c r="US840"/>
      <c r="UT840"/>
      <c r="UU840"/>
      <c r="UV840"/>
      <c r="UW840"/>
      <c r="UX840"/>
      <c r="UY840"/>
      <c r="UZ840"/>
      <c r="VA840"/>
      <c r="VB840"/>
      <c r="VC840"/>
      <c r="VD840"/>
      <c r="VE840"/>
      <c r="VF840"/>
      <c r="VG840"/>
      <c r="VH840"/>
      <c r="VI840"/>
      <c r="VJ840"/>
      <c r="VK840"/>
      <c r="VL840"/>
      <c r="VM840"/>
      <c r="VN840"/>
      <c r="VO840"/>
      <c r="VP840"/>
      <c r="VQ840"/>
      <c r="VR840"/>
      <c r="VS840"/>
      <c r="VT840"/>
      <c r="VU840"/>
      <c r="VV840"/>
      <c r="VW840"/>
      <c r="VX840"/>
      <c r="VY840"/>
      <c r="VZ840"/>
      <c r="WA840"/>
      <c r="WB840"/>
      <c r="WC840"/>
      <c r="WD840"/>
      <c r="WE840"/>
      <c r="WF840"/>
      <c r="WG840"/>
      <c r="WH840"/>
      <c r="WI840"/>
      <c r="WJ840"/>
      <c r="WK840"/>
      <c r="WL840"/>
      <c r="WM840"/>
      <c r="WN840"/>
      <c r="WO840"/>
      <c r="WP840"/>
      <c r="WQ840"/>
      <c r="WR840"/>
      <c r="WS840"/>
      <c r="WT840"/>
      <c r="WU840"/>
      <c r="WV840"/>
      <c r="WW840"/>
      <c r="WX840"/>
      <c r="WY840"/>
      <c r="WZ840"/>
      <c r="XA840"/>
      <c r="XB840"/>
      <c r="XC840"/>
      <c r="XD840"/>
      <c r="XE840"/>
      <c r="XF840"/>
      <c r="XG840"/>
      <c r="XH840"/>
      <c r="XI840"/>
      <c r="XJ840"/>
      <c r="XK840"/>
      <c r="XL840"/>
      <c r="XM840"/>
      <c r="XN840"/>
      <c r="XO840"/>
      <c r="XP840"/>
      <c r="XQ840"/>
      <c r="XR840"/>
      <c r="XS840"/>
      <c r="XT840"/>
      <c r="XU840"/>
      <c r="XV840"/>
      <c r="XW840"/>
      <c r="XX840"/>
      <c r="XY840"/>
      <c r="XZ840"/>
      <c r="YA840"/>
      <c r="YB840"/>
      <c r="YC840"/>
      <c r="YD840"/>
      <c r="YE840"/>
      <c r="YF840"/>
      <c r="YG840"/>
      <c r="YH840"/>
      <c r="YI840"/>
      <c r="YJ840"/>
      <c r="YK840"/>
      <c r="YL840"/>
      <c r="YM840"/>
      <c r="YN840"/>
      <c r="YO840"/>
      <c r="YP840"/>
      <c r="YQ840"/>
      <c r="YR840"/>
      <c r="YS840"/>
      <c r="YT840"/>
      <c r="YU840"/>
      <c r="YV840"/>
      <c r="YW840"/>
      <c r="YX840"/>
      <c r="YY840"/>
      <c r="YZ840"/>
      <c r="ZA840"/>
      <c r="ZB840"/>
      <c r="ZC840"/>
      <c r="ZD840"/>
      <c r="ZE840"/>
      <c r="ZF840"/>
      <c r="ZG840"/>
      <c r="ZH840"/>
      <c r="ZI840"/>
      <c r="ZJ840"/>
      <c r="ZK840"/>
      <c r="ZL840"/>
      <c r="ZM840"/>
      <c r="ZN840"/>
      <c r="ZO840"/>
      <c r="ZP840"/>
      <c r="ZQ840"/>
      <c r="ZR840"/>
      <c r="ZS840"/>
      <c r="ZT840"/>
      <c r="ZU840"/>
      <c r="ZV840"/>
      <c r="ZW840"/>
      <c r="ZX840"/>
      <c r="ZY840"/>
      <c r="ZZ840"/>
      <c r="AAA840"/>
      <c r="AAB840"/>
      <c r="AAC840"/>
      <c r="AAD840"/>
      <c r="AAE840"/>
      <c r="AAF840"/>
      <c r="AAG840"/>
      <c r="AAH840"/>
      <c r="AAI840"/>
      <c r="AAJ840"/>
      <c r="AAK840"/>
      <c r="AAL840"/>
      <c r="AAM840"/>
      <c r="AAN840"/>
      <c r="AAO840"/>
      <c r="AAP840"/>
      <c r="AAQ840"/>
      <c r="AAR840"/>
      <c r="AAS840"/>
      <c r="AAT840"/>
      <c r="AAU840"/>
      <c r="AAV840"/>
      <c r="AAW840"/>
      <c r="AAX840"/>
      <c r="AAY840"/>
      <c r="AAZ840"/>
      <c r="ABA840"/>
      <c r="ABB840"/>
      <c r="ABC840"/>
      <c r="ABD840"/>
      <c r="ABE840"/>
      <c r="ABF840"/>
      <c r="ABG840"/>
      <c r="ABH840"/>
      <c r="ABI840"/>
      <c r="ABJ840"/>
      <c r="ABK840"/>
      <c r="ABL840"/>
      <c r="ABM840"/>
      <c r="ABN840"/>
      <c r="ABO840"/>
      <c r="ABP840"/>
      <c r="ABQ840"/>
      <c r="ABR840"/>
      <c r="ABS840"/>
      <c r="ABT840"/>
      <c r="ABU840"/>
      <c r="ABV840"/>
      <c r="ABW840"/>
      <c r="ABX840"/>
      <c r="ABY840"/>
      <c r="ABZ840"/>
      <c r="ACA840"/>
      <c r="ACB840"/>
      <c r="ACC840"/>
      <c r="ACD840"/>
      <c r="ACE840"/>
      <c r="ACF840"/>
      <c r="ACG840"/>
      <c r="ACH840"/>
      <c r="ACI840"/>
      <c r="ACJ840"/>
      <c r="ACK840"/>
      <c r="ACL840"/>
      <c r="ACM840"/>
      <c r="ACN840"/>
      <c r="ACO840"/>
      <c r="ACP840"/>
      <c r="ACQ840"/>
      <c r="ACR840"/>
      <c r="ACS840"/>
      <c r="ACT840"/>
      <c r="ACU840"/>
      <c r="ACV840"/>
      <c r="ACW840"/>
      <c r="ACX840"/>
      <c r="ACY840"/>
      <c r="ACZ840"/>
      <c r="ADA840"/>
      <c r="ADB840"/>
      <c r="ADC840"/>
      <c r="ADD840"/>
      <c r="ADE840"/>
      <c r="ADF840"/>
      <c r="ADG840"/>
      <c r="ADH840"/>
      <c r="ADI840"/>
      <c r="ADJ840"/>
      <c r="ADK840"/>
      <c r="ADL840"/>
      <c r="ADM840"/>
      <c r="ADN840"/>
      <c r="ADO840"/>
      <c r="ADP840"/>
      <c r="ADQ840"/>
      <c r="ADR840"/>
      <c r="ADS840"/>
      <c r="ADT840"/>
      <c r="ADU840"/>
      <c r="ADV840"/>
      <c r="ADW840"/>
      <c r="ADX840"/>
      <c r="ADY840"/>
      <c r="ADZ840"/>
      <c r="AEA840"/>
      <c r="AEB840"/>
      <c r="AEC840"/>
      <c r="AED840"/>
      <c r="AEE840"/>
      <c r="AEF840"/>
      <c r="AEG840"/>
      <c r="AEH840"/>
      <c r="AEI840"/>
      <c r="AEJ840"/>
      <c r="AEK840"/>
      <c r="AEL840"/>
      <c r="AEM840"/>
      <c r="AEN840"/>
      <c r="AEO840"/>
      <c r="AEP840"/>
      <c r="AEQ840"/>
      <c r="AER840"/>
      <c r="AES840"/>
      <c r="AET840"/>
      <c r="AEU840"/>
      <c r="AEV840"/>
      <c r="AEW840"/>
      <c r="AEX840"/>
      <c r="AEY840"/>
      <c r="AEZ840"/>
      <c r="AFA840"/>
      <c r="AFB840"/>
      <c r="AFC840"/>
      <c r="AFD840"/>
      <c r="AFE840"/>
      <c r="AFF840"/>
      <c r="AFG840"/>
      <c r="AFH840"/>
      <c r="AFI840"/>
      <c r="AFJ840"/>
      <c r="AFK840"/>
      <c r="AFL840"/>
      <c r="AFM840"/>
      <c r="AFN840"/>
      <c r="AFO840"/>
      <c r="AFP840"/>
      <c r="AFQ840"/>
      <c r="AFR840"/>
      <c r="AFS840"/>
      <c r="AFT840"/>
      <c r="AFU840"/>
      <c r="AFV840"/>
      <c r="AFW840"/>
      <c r="AFX840"/>
      <c r="AFY840"/>
      <c r="AFZ840"/>
      <c r="AGA840"/>
      <c r="AGB840"/>
      <c r="AGC840"/>
      <c r="AGD840"/>
      <c r="AGE840"/>
      <c r="AGF840"/>
      <c r="AGG840"/>
      <c r="AGH840"/>
      <c r="AGI840"/>
      <c r="AGJ840"/>
      <c r="AGK840"/>
      <c r="AGL840"/>
      <c r="AGM840"/>
      <c r="AGN840"/>
      <c r="AGO840"/>
      <c r="AGP840"/>
      <c r="AGQ840"/>
      <c r="AGR840"/>
      <c r="AGS840"/>
      <c r="AGT840"/>
      <c r="AGU840"/>
      <c r="AGV840"/>
      <c r="AGW840"/>
      <c r="AGX840"/>
      <c r="AGY840"/>
      <c r="AGZ840"/>
      <c r="AHA840"/>
      <c r="AHB840"/>
      <c r="AHC840"/>
      <c r="AHD840"/>
      <c r="AHE840"/>
      <c r="AHF840"/>
      <c r="AHG840"/>
      <c r="AHH840"/>
      <c r="AHI840"/>
      <c r="AHJ840"/>
      <c r="AHK840"/>
      <c r="AHL840"/>
      <c r="AHM840"/>
      <c r="AHN840"/>
      <c r="AHO840"/>
      <c r="AHP840"/>
      <c r="AHQ840"/>
      <c r="AHR840"/>
      <c r="AHS840"/>
      <c r="AHT840"/>
      <c r="AHU840"/>
      <c r="AHV840"/>
      <c r="AHW840"/>
      <c r="AHX840"/>
      <c r="AHY840"/>
      <c r="AHZ840"/>
      <c r="AIA840"/>
      <c r="AIB840"/>
      <c r="AIC840"/>
      <c r="AID840"/>
      <c r="AIE840"/>
      <c r="AIF840"/>
      <c r="AIG840"/>
      <c r="AIH840"/>
      <c r="AII840"/>
      <c r="AIJ840"/>
      <c r="AIK840"/>
      <c r="AIL840"/>
      <c r="AIM840"/>
      <c r="AIN840"/>
      <c r="AIO840"/>
      <c r="AIP840"/>
      <c r="AIQ840"/>
      <c r="AIR840"/>
      <c r="AIS840"/>
      <c r="AIT840"/>
      <c r="AIU840"/>
      <c r="AIV840"/>
      <c r="AIW840"/>
      <c r="AIX840"/>
      <c r="AIY840"/>
      <c r="AIZ840"/>
      <c r="AJA840"/>
      <c r="AJB840"/>
      <c r="AJC840"/>
      <c r="AJD840"/>
      <c r="AJE840"/>
      <c r="AJF840"/>
      <c r="AJG840"/>
      <c r="AJH840"/>
      <c r="AJI840"/>
      <c r="AJJ840"/>
      <c r="AJK840"/>
      <c r="AJL840"/>
      <c r="AJM840"/>
      <c r="AJN840"/>
      <c r="AJO840"/>
      <c r="AJP840"/>
      <c r="AJQ840"/>
      <c r="AJR840"/>
      <c r="AJS840"/>
      <c r="AJT840"/>
      <c r="AJU840"/>
      <c r="AJV840"/>
      <c r="AJW840"/>
      <c r="AJX840"/>
      <c r="AJY840"/>
      <c r="AJZ840"/>
      <c r="AKA840"/>
      <c r="AKB840"/>
      <c r="AKC840"/>
      <c r="AKD840"/>
      <c r="AKE840"/>
      <c r="AKF840"/>
      <c r="AKG840"/>
      <c r="AKH840"/>
      <c r="AKI840"/>
      <c r="AKJ840"/>
      <c r="AKK840"/>
      <c r="AKL840"/>
      <c r="AKM840"/>
      <c r="AKN840"/>
      <c r="AKO840"/>
      <c r="AKP840"/>
      <c r="AKQ840"/>
      <c r="AKR840"/>
      <c r="AKS840"/>
      <c r="AKT840"/>
      <c r="AKU840"/>
      <c r="AKV840"/>
      <c r="AKW840"/>
      <c r="AKX840"/>
      <c r="AKY840"/>
      <c r="AKZ840"/>
      <c r="ALA840"/>
      <c r="ALB840"/>
      <c r="ALC840"/>
      <c r="ALD840"/>
      <c r="ALE840"/>
      <c r="ALF840"/>
      <c r="ALG840"/>
      <c r="ALH840"/>
      <c r="ALI840"/>
      <c r="ALJ840"/>
      <c r="ALK840"/>
      <c r="ALL840"/>
      <c r="ALM840"/>
      <c r="ALN840"/>
      <c r="ALO840"/>
      <c r="ALP840"/>
      <c r="ALQ840"/>
      <c r="ALR840"/>
      <c r="ALS840"/>
      <c r="ALT840"/>
    </row>
    <row r="841" spans="1:1008" x14ac:dyDescent="0.15">
      <c r="A841" s="6" t="s">
        <v>2886</v>
      </c>
      <c r="B841" s="6" t="s">
        <v>2881</v>
      </c>
      <c r="C841" s="6" t="str">
        <f t="shared" si="12"/>
        <v>metal</v>
      </c>
      <c r="D841" s="7" t="s">
        <v>13</v>
      </c>
      <c r="E841" s="6" t="s">
        <v>2887</v>
      </c>
      <c r="F841" s="6" t="s">
        <v>2888</v>
      </c>
      <c r="G841" s="6">
        <v>500</v>
      </c>
      <c r="H841"/>
      <c r="I841"/>
      <c r="J841"/>
      <c r="K841"/>
      <c r="L841"/>
      <c r="M841"/>
      <c r="N841"/>
      <c r="O841"/>
      <c r="P841"/>
      <c r="Q841"/>
      <c r="R841"/>
      <c r="S841"/>
      <c r="T841"/>
      <c r="U841"/>
      <c r="V841"/>
      <c r="W841"/>
      <c r="X841"/>
      <c r="Y841"/>
      <c r="Z841"/>
      <c r="AA841"/>
      <c r="AB841"/>
      <c r="AC841"/>
      <c r="AD841"/>
      <c r="AE841"/>
      <c r="AF841"/>
      <c r="AG841"/>
      <c r="AH841"/>
      <c r="AI841"/>
      <c r="AJ841"/>
      <c r="AK841"/>
      <c r="AL841"/>
      <c r="AM841"/>
      <c r="AN841"/>
      <c r="AO841"/>
      <c r="AP841"/>
      <c r="AQ841"/>
      <c r="AR841"/>
      <c r="AS841"/>
      <c r="AT841"/>
      <c r="AU841"/>
      <c r="AV841"/>
      <c r="AW841"/>
      <c r="AX841"/>
      <c r="AY841"/>
      <c r="AZ841"/>
      <c r="BA841"/>
      <c r="BB841"/>
      <c r="BC841"/>
      <c r="BD841"/>
      <c r="BE841"/>
      <c r="BF841"/>
      <c r="BG841"/>
      <c r="BH841"/>
      <c r="BI841"/>
      <c r="BJ841"/>
      <c r="BK841"/>
      <c r="BL841"/>
      <c r="BM841"/>
      <c r="BN841"/>
      <c r="BO841"/>
      <c r="BP841"/>
      <c r="BQ841"/>
      <c r="BR841"/>
      <c r="BS841"/>
      <c r="BT841"/>
      <c r="BU841"/>
      <c r="BV841"/>
      <c r="BW841"/>
      <c r="BX841"/>
      <c r="BY841"/>
      <c r="BZ841"/>
      <c r="CA841"/>
      <c r="CB841"/>
      <c r="CC841"/>
      <c r="CD841"/>
      <c r="CE841"/>
      <c r="CF841"/>
      <c r="CG841"/>
      <c r="CH841"/>
      <c r="CI841"/>
      <c r="CJ841"/>
      <c r="CK841"/>
      <c r="CL841"/>
      <c r="CM841"/>
      <c r="CN841"/>
      <c r="CO841"/>
      <c r="CP841"/>
      <c r="CQ841"/>
      <c r="CR841"/>
      <c r="CS841"/>
      <c r="CT841"/>
      <c r="CU841"/>
      <c r="CV841"/>
      <c r="CW841"/>
      <c r="CX841"/>
      <c r="CY841"/>
      <c r="CZ841"/>
      <c r="DA841"/>
      <c r="DB841"/>
      <c r="DC841"/>
      <c r="DD841"/>
      <c r="DE841"/>
      <c r="DF841"/>
      <c r="DG841"/>
      <c r="DH841"/>
      <c r="DI841"/>
      <c r="DJ841"/>
      <c r="DK841"/>
      <c r="DL841"/>
      <c r="DM841"/>
      <c r="DN841"/>
      <c r="DO841"/>
      <c r="DP841"/>
      <c r="DQ841"/>
      <c r="DR841"/>
      <c r="DS841"/>
      <c r="DT841"/>
      <c r="DU841"/>
      <c r="DV841"/>
      <c r="DW841"/>
      <c r="DX841"/>
      <c r="DY841"/>
      <c r="DZ841"/>
      <c r="EA841"/>
      <c r="EB841"/>
      <c r="EC841"/>
      <c r="ED841"/>
      <c r="EE841"/>
      <c r="EF841"/>
      <c r="EG841"/>
      <c r="EH841"/>
      <c r="EI841"/>
      <c r="EJ841"/>
      <c r="EK841"/>
      <c r="EL841"/>
      <c r="EM841"/>
      <c r="EN841"/>
      <c r="EO841"/>
      <c r="EP841"/>
      <c r="EQ841"/>
      <c r="ER841"/>
      <c r="ES841"/>
      <c r="ET841"/>
      <c r="EU841"/>
      <c r="EV841"/>
      <c r="EW841"/>
      <c r="EX841"/>
      <c r="EY841"/>
      <c r="EZ841"/>
      <c r="FA841"/>
      <c r="FB841"/>
      <c r="FC841"/>
      <c r="FD841"/>
      <c r="FE841"/>
      <c r="FF841"/>
      <c r="FG841"/>
      <c r="FH841"/>
      <c r="FI841"/>
      <c r="FJ841"/>
      <c r="FK841"/>
      <c r="FL841"/>
      <c r="FM841"/>
      <c r="FN841"/>
      <c r="FO841"/>
      <c r="FP841"/>
      <c r="FQ841"/>
      <c r="FR841"/>
      <c r="FS841"/>
      <c r="FT841"/>
      <c r="FU841"/>
      <c r="FV841"/>
      <c r="FW841"/>
      <c r="FX841"/>
      <c r="FY841"/>
      <c r="FZ841"/>
      <c r="GA841"/>
      <c r="GB841"/>
      <c r="GC841"/>
      <c r="GD841"/>
      <c r="GE841"/>
      <c r="GF841"/>
      <c r="GG841"/>
      <c r="GH841"/>
      <c r="GI841"/>
      <c r="GJ841"/>
      <c r="GK841"/>
      <c r="GL841"/>
      <c r="GM841"/>
      <c r="GN841"/>
      <c r="GO841"/>
      <c r="GP841"/>
      <c r="GQ841"/>
      <c r="GR841"/>
      <c r="GS841"/>
      <c r="GT841"/>
      <c r="GU841"/>
      <c r="GV841"/>
      <c r="GW841"/>
      <c r="GX841"/>
      <c r="GY841"/>
      <c r="GZ841"/>
      <c r="HA841"/>
      <c r="HB841"/>
      <c r="HC841"/>
      <c r="HD841"/>
      <c r="HE841"/>
      <c r="HF841"/>
      <c r="HG841"/>
      <c r="HH841"/>
      <c r="HI841"/>
      <c r="HJ841"/>
      <c r="HK841"/>
      <c r="HL841"/>
      <c r="HM841"/>
      <c r="HN841"/>
      <c r="HO841"/>
      <c r="HP841"/>
      <c r="HQ841"/>
      <c r="HR841"/>
      <c r="HS841"/>
      <c r="HT841"/>
      <c r="HU841"/>
      <c r="HV841"/>
      <c r="HW841"/>
      <c r="HX841"/>
      <c r="HY841"/>
      <c r="HZ841"/>
      <c r="IA841"/>
      <c r="IB841"/>
      <c r="IC841"/>
      <c r="ID841"/>
      <c r="IE841"/>
      <c r="IF841"/>
      <c r="IG841"/>
      <c r="IH841"/>
      <c r="II841"/>
      <c r="IJ841"/>
      <c r="IK841"/>
      <c r="IL841"/>
      <c r="IM841"/>
      <c r="IN841"/>
      <c r="IO841"/>
      <c r="IP841"/>
      <c r="IQ841"/>
      <c r="IR841"/>
      <c r="IS841"/>
      <c r="IT841"/>
      <c r="IU841"/>
      <c r="IV841"/>
      <c r="IW841"/>
      <c r="IX841"/>
      <c r="IY841"/>
      <c r="IZ841"/>
      <c r="JA841"/>
      <c r="JB841"/>
      <c r="JC841"/>
      <c r="JD841"/>
      <c r="JE841"/>
      <c r="JF841"/>
      <c r="JG841"/>
      <c r="JH841"/>
      <c r="JI841"/>
      <c r="JJ841"/>
      <c r="JK841"/>
      <c r="JL841"/>
      <c r="JM841"/>
      <c r="JN841"/>
      <c r="JO841"/>
      <c r="JP841"/>
      <c r="JQ841"/>
      <c r="JR841"/>
      <c r="JS841"/>
      <c r="JT841"/>
      <c r="JU841"/>
      <c r="JV841"/>
      <c r="JW841"/>
      <c r="JX841"/>
      <c r="JY841"/>
      <c r="JZ841"/>
      <c r="KA841"/>
      <c r="KB841"/>
      <c r="KC841"/>
      <c r="KD841"/>
      <c r="KE841"/>
      <c r="KF841"/>
      <c r="KG841"/>
      <c r="KH841"/>
      <c r="KI841"/>
      <c r="KJ841"/>
      <c r="KK841"/>
      <c r="KL841"/>
      <c r="KM841"/>
      <c r="KN841"/>
      <c r="KO841"/>
      <c r="KP841"/>
      <c r="KQ841"/>
      <c r="KR841"/>
      <c r="KS841"/>
      <c r="KT841"/>
      <c r="KU841"/>
      <c r="KV841"/>
      <c r="KW841"/>
      <c r="KX841"/>
      <c r="KY841"/>
      <c r="KZ841"/>
      <c r="LA841"/>
      <c r="LB841"/>
      <c r="LC841"/>
      <c r="LD841"/>
      <c r="LE841"/>
      <c r="LF841"/>
      <c r="LG841"/>
      <c r="LH841"/>
      <c r="LI841"/>
      <c r="LJ841"/>
      <c r="LK841"/>
      <c r="LL841"/>
      <c r="LM841"/>
      <c r="LN841"/>
      <c r="LO841"/>
      <c r="LP841"/>
      <c r="LQ841"/>
      <c r="LR841"/>
      <c r="LS841"/>
      <c r="LT841"/>
      <c r="LU841"/>
      <c r="LV841"/>
      <c r="LW841"/>
      <c r="LX841"/>
      <c r="LY841"/>
      <c r="LZ841"/>
      <c r="MA841"/>
      <c r="MB841"/>
      <c r="MC841"/>
      <c r="MD841"/>
      <c r="ME841"/>
      <c r="MF841"/>
      <c r="MG841"/>
      <c r="MH841"/>
      <c r="MI841"/>
      <c r="MJ841"/>
      <c r="MK841"/>
      <c r="ML841"/>
      <c r="MM841"/>
      <c r="MN841"/>
      <c r="MO841"/>
      <c r="MP841"/>
      <c r="MQ841"/>
      <c r="MR841"/>
      <c r="MS841"/>
      <c r="MT841"/>
      <c r="MU841"/>
      <c r="MV841"/>
      <c r="MW841"/>
      <c r="MX841"/>
      <c r="MY841"/>
      <c r="MZ841"/>
      <c r="NA841"/>
      <c r="NB841"/>
      <c r="NC841"/>
      <c r="ND841"/>
      <c r="NE841"/>
      <c r="NF841"/>
      <c r="NG841"/>
      <c r="NH841"/>
      <c r="NI841"/>
      <c r="NJ841"/>
      <c r="NK841"/>
      <c r="NL841"/>
      <c r="NM841"/>
      <c r="NN841"/>
      <c r="NO841"/>
      <c r="NP841"/>
      <c r="NQ841"/>
      <c r="NR841"/>
      <c r="NS841"/>
      <c r="NT841"/>
      <c r="NU841"/>
      <c r="NV841"/>
      <c r="NW841"/>
      <c r="NX841"/>
      <c r="NY841"/>
      <c r="NZ841"/>
      <c r="OA841"/>
      <c r="OB841"/>
      <c r="OC841"/>
      <c r="OD841"/>
      <c r="OE841"/>
      <c r="OF841"/>
      <c r="OG841"/>
      <c r="OH841"/>
      <c r="OI841"/>
      <c r="OJ841"/>
      <c r="OK841"/>
      <c r="OL841"/>
      <c r="OM841"/>
      <c r="ON841"/>
      <c r="OO841"/>
      <c r="OP841"/>
      <c r="OQ841"/>
      <c r="OR841"/>
      <c r="OS841"/>
      <c r="OT841"/>
      <c r="OU841"/>
      <c r="OV841"/>
      <c r="OW841"/>
      <c r="OX841"/>
      <c r="OY841"/>
      <c r="OZ841"/>
      <c r="PA841"/>
      <c r="PB841"/>
      <c r="PC841"/>
      <c r="PD841"/>
      <c r="PE841"/>
      <c r="PF841"/>
      <c r="PG841"/>
      <c r="PH841"/>
      <c r="PI841"/>
      <c r="PJ841"/>
      <c r="PK841"/>
      <c r="PL841"/>
      <c r="PM841"/>
      <c r="PN841"/>
      <c r="PO841"/>
      <c r="PP841"/>
      <c r="PQ841"/>
      <c r="PR841"/>
      <c r="PS841"/>
      <c r="PT841"/>
      <c r="PU841"/>
      <c r="PV841"/>
      <c r="PW841"/>
      <c r="PX841"/>
      <c r="PY841"/>
      <c r="PZ841"/>
      <c r="QA841"/>
      <c r="QB841"/>
      <c r="QC841"/>
      <c r="QD841"/>
      <c r="QE841"/>
      <c r="QF841"/>
      <c r="QG841"/>
      <c r="QH841"/>
      <c r="QI841"/>
      <c r="QJ841"/>
      <c r="QK841"/>
      <c r="QL841"/>
      <c r="QM841"/>
      <c r="QN841"/>
      <c r="QO841"/>
      <c r="QP841"/>
      <c r="QQ841"/>
      <c r="QR841"/>
      <c r="QS841"/>
      <c r="QT841"/>
      <c r="QU841"/>
      <c r="QV841"/>
      <c r="QW841"/>
      <c r="QX841"/>
      <c r="QY841"/>
      <c r="QZ841"/>
      <c r="RA841"/>
      <c r="RB841"/>
      <c r="RC841"/>
      <c r="RD841"/>
      <c r="RE841"/>
      <c r="RF841"/>
      <c r="RG841"/>
      <c r="RH841"/>
      <c r="RI841"/>
      <c r="RJ841"/>
      <c r="RK841"/>
      <c r="RL841"/>
      <c r="RM841"/>
      <c r="RN841"/>
      <c r="RO841"/>
      <c r="RP841"/>
      <c r="RQ841"/>
      <c r="RR841"/>
      <c r="RS841"/>
      <c r="RT841"/>
      <c r="RU841"/>
      <c r="RV841"/>
      <c r="RW841"/>
      <c r="RX841"/>
      <c r="RY841"/>
      <c r="RZ841"/>
      <c r="SA841"/>
      <c r="SB841"/>
      <c r="SC841"/>
      <c r="SD841"/>
      <c r="SE841"/>
      <c r="SF841"/>
      <c r="SG841"/>
      <c r="SH841"/>
      <c r="SI841"/>
      <c r="SJ841"/>
      <c r="SK841"/>
      <c r="SL841"/>
      <c r="SM841"/>
      <c r="SN841"/>
      <c r="SO841"/>
      <c r="SP841"/>
      <c r="SQ841"/>
      <c r="SR841"/>
      <c r="SS841"/>
      <c r="ST841"/>
      <c r="SU841"/>
      <c r="SV841"/>
      <c r="SW841"/>
      <c r="SX841"/>
      <c r="SY841"/>
      <c r="SZ841"/>
      <c r="TA841"/>
      <c r="TB841"/>
      <c r="TC841"/>
      <c r="TD841"/>
      <c r="TE841"/>
      <c r="TF841"/>
      <c r="TG841"/>
      <c r="TH841"/>
      <c r="TI841"/>
      <c r="TJ841"/>
      <c r="TK841"/>
      <c r="TL841"/>
      <c r="TM841"/>
      <c r="TN841"/>
      <c r="TO841"/>
      <c r="TP841"/>
      <c r="TQ841"/>
      <c r="TR841"/>
      <c r="TS841"/>
      <c r="TT841"/>
      <c r="TU841"/>
      <c r="TV841"/>
      <c r="TW841"/>
      <c r="TX841"/>
      <c r="TY841"/>
      <c r="TZ841"/>
      <c r="UA841"/>
      <c r="UB841"/>
      <c r="UC841"/>
      <c r="UD841"/>
      <c r="UE841"/>
      <c r="UF841"/>
      <c r="UG841"/>
      <c r="UH841"/>
      <c r="UI841"/>
      <c r="UJ841"/>
      <c r="UK841"/>
      <c r="UL841"/>
      <c r="UM841"/>
      <c r="UN841"/>
      <c r="UO841"/>
      <c r="UP841"/>
      <c r="UQ841"/>
      <c r="UR841"/>
      <c r="US841"/>
      <c r="UT841"/>
      <c r="UU841"/>
      <c r="UV841"/>
      <c r="UW841"/>
      <c r="UX841"/>
      <c r="UY841"/>
      <c r="UZ841"/>
      <c r="VA841"/>
      <c r="VB841"/>
      <c r="VC841"/>
      <c r="VD841"/>
      <c r="VE841"/>
      <c r="VF841"/>
      <c r="VG841"/>
      <c r="VH841"/>
      <c r="VI841"/>
      <c r="VJ841"/>
      <c r="VK841"/>
      <c r="VL841"/>
      <c r="VM841"/>
      <c r="VN841"/>
      <c r="VO841"/>
      <c r="VP841"/>
      <c r="VQ841"/>
      <c r="VR841"/>
      <c r="VS841"/>
      <c r="VT841"/>
      <c r="VU841"/>
      <c r="VV841"/>
      <c r="VW841"/>
      <c r="VX841"/>
      <c r="VY841"/>
      <c r="VZ841"/>
      <c r="WA841"/>
      <c r="WB841"/>
      <c r="WC841"/>
      <c r="WD841"/>
      <c r="WE841"/>
      <c r="WF841"/>
      <c r="WG841"/>
      <c r="WH841"/>
      <c r="WI841"/>
      <c r="WJ841"/>
      <c r="WK841"/>
      <c r="WL841"/>
      <c r="WM841"/>
      <c r="WN841"/>
      <c r="WO841"/>
      <c r="WP841"/>
      <c r="WQ841"/>
      <c r="WR841"/>
      <c r="WS841"/>
      <c r="WT841"/>
      <c r="WU841"/>
      <c r="WV841"/>
      <c r="WW841"/>
      <c r="WX841"/>
      <c r="WY841"/>
      <c r="WZ841"/>
      <c r="XA841"/>
      <c r="XB841"/>
      <c r="XC841"/>
      <c r="XD841"/>
      <c r="XE841"/>
      <c r="XF841"/>
      <c r="XG841"/>
      <c r="XH841"/>
      <c r="XI841"/>
      <c r="XJ841"/>
      <c r="XK841"/>
      <c r="XL841"/>
      <c r="XM841"/>
      <c r="XN841"/>
      <c r="XO841"/>
      <c r="XP841"/>
      <c r="XQ841"/>
      <c r="XR841"/>
      <c r="XS841"/>
      <c r="XT841"/>
      <c r="XU841"/>
      <c r="XV841"/>
      <c r="XW841"/>
      <c r="XX841"/>
      <c r="XY841"/>
      <c r="XZ841"/>
      <c r="YA841"/>
      <c r="YB841"/>
      <c r="YC841"/>
      <c r="YD841"/>
      <c r="YE841"/>
      <c r="YF841"/>
      <c r="YG841"/>
      <c r="YH841"/>
      <c r="YI841"/>
      <c r="YJ841"/>
      <c r="YK841"/>
      <c r="YL841"/>
      <c r="YM841"/>
      <c r="YN841"/>
      <c r="YO841"/>
      <c r="YP841"/>
      <c r="YQ841"/>
      <c r="YR841"/>
      <c r="YS841"/>
      <c r="YT841"/>
      <c r="YU841"/>
      <c r="YV841"/>
      <c r="YW841"/>
      <c r="YX841"/>
      <c r="YY841"/>
      <c r="YZ841"/>
      <c r="ZA841"/>
      <c r="ZB841"/>
      <c r="ZC841"/>
      <c r="ZD841"/>
      <c r="ZE841"/>
      <c r="ZF841"/>
      <c r="ZG841"/>
      <c r="ZH841"/>
      <c r="ZI841"/>
      <c r="ZJ841"/>
      <c r="ZK841"/>
      <c r="ZL841"/>
      <c r="ZM841"/>
      <c r="ZN841"/>
      <c r="ZO841"/>
      <c r="ZP841"/>
      <c r="ZQ841"/>
      <c r="ZR841"/>
      <c r="ZS841"/>
      <c r="ZT841"/>
      <c r="ZU841"/>
      <c r="ZV841"/>
      <c r="ZW841"/>
      <c r="ZX841"/>
      <c r="ZY841"/>
      <c r="ZZ841"/>
      <c r="AAA841"/>
      <c r="AAB841"/>
      <c r="AAC841"/>
      <c r="AAD841"/>
      <c r="AAE841"/>
      <c r="AAF841"/>
      <c r="AAG841"/>
      <c r="AAH841"/>
      <c r="AAI841"/>
      <c r="AAJ841"/>
      <c r="AAK841"/>
      <c r="AAL841"/>
      <c r="AAM841"/>
      <c r="AAN841"/>
      <c r="AAO841"/>
      <c r="AAP841"/>
      <c r="AAQ841"/>
      <c r="AAR841"/>
      <c r="AAS841"/>
      <c r="AAT841"/>
      <c r="AAU841"/>
      <c r="AAV841"/>
      <c r="AAW841"/>
      <c r="AAX841"/>
      <c r="AAY841"/>
      <c r="AAZ841"/>
      <c r="ABA841"/>
      <c r="ABB841"/>
      <c r="ABC841"/>
      <c r="ABD841"/>
      <c r="ABE841"/>
      <c r="ABF841"/>
      <c r="ABG841"/>
      <c r="ABH841"/>
      <c r="ABI841"/>
      <c r="ABJ841"/>
      <c r="ABK841"/>
      <c r="ABL841"/>
      <c r="ABM841"/>
      <c r="ABN841"/>
      <c r="ABO841"/>
      <c r="ABP841"/>
      <c r="ABQ841"/>
      <c r="ABR841"/>
      <c r="ABS841"/>
      <c r="ABT841"/>
      <c r="ABU841"/>
      <c r="ABV841"/>
      <c r="ABW841"/>
      <c r="ABX841"/>
      <c r="ABY841"/>
      <c r="ABZ841"/>
      <c r="ACA841"/>
      <c r="ACB841"/>
      <c r="ACC841"/>
      <c r="ACD841"/>
      <c r="ACE841"/>
      <c r="ACF841"/>
      <c r="ACG841"/>
      <c r="ACH841"/>
      <c r="ACI841"/>
      <c r="ACJ841"/>
      <c r="ACK841"/>
      <c r="ACL841"/>
      <c r="ACM841"/>
      <c r="ACN841"/>
      <c r="ACO841"/>
      <c r="ACP841"/>
      <c r="ACQ841"/>
      <c r="ACR841"/>
      <c r="ACS841"/>
      <c r="ACT841"/>
      <c r="ACU841"/>
      <c r="ACV841"/>
      <c r="ACW841"/>
      <c r="ACX841"/>
      <c r="ACY841"/>
      <c r="ACZ841"/>
      <c r="ADA841"/>
      <c r="ADB841"/>
      <c r="ADC841"/>
      <c r="ADD841"/>
      <c r="ADE841"/>
      <c r="ADF841"/>
      <c r="ADG841"/>
      <c r="ADH841"/>
      <c r="ADI841"/>
      <c r="ADJ841"/>
      <c r="ADK841"/>
      <c r="ADL841"/>
      <c r="ADM841"/>
      <c r="ADN841"/>
      <c r="ADO841"/>
      <c r="ADP841"/>
      <c r="ADQ841"/>
      <c r="ADR841"/>
      <c r="ADS841"/>
      <c r="ADT841"/>
      <c r="ADU841"/>
      <c r="ADV841"/>
      <c r="ADW841"/>
      <c r="ADX841"/>
      <c r="ADY841"/>
      <c r="ADZ841"/>
      <c r="AEA841"/>
      <c r="AEB841"/>
      <c r="AEC841"/>
      <c r="AED841"/>
      <c r="AEE841"/>
      <c r="AEF841"/>
      <c r="AEG841"/>
      <c r="AEH841"/>
      <c r="AEI841"/>
      <c r="AEJ841"/>
      <c r="AEK841"/>
      <c r="AEL841"/>
      <c r="AEM841"/>
      <c r="AEN841"/>
      <c r="AEO841"/>
      <c r="AEP841"/>
      <c r="AEQ841"/>
      <c r="AER841"/>
      <c r="AES841"/>
      <c r="AET841"/>
      <c r="AEU841"/>
      <c r="AEV841"/>
      <c r="AEW841"/>
      <c r="AEX841"/>
      <c r="AEY841"/>
      <c r="AEZ841"/>
      <c r="AFA841"/>
      <c r="AFB841"/>
      <c r="AFC841"/>
      <c r="AFD841"/>
      <c r="AFE841"/>
      <c r="AFF841"/>
      <c r="AFG841"/>
      <c r="AFH841"/>
      <c r="AFI841"/>
      <c r="AFJ841"/>
      <c r="AFK841"/>
      <c r="AFL841"/>
      <c r="AFM841"/>
      <c r="AFN841"/>
      <c r="AFO841"/>
      <c r="AFP841"/>
      <c r="AFQ841"/>
      <c r="AFR841"/>
      <c r="AFS841"/>
      <c r="AFT841"/>
      <c r="AFU841"/>
      <c r="AFV841"/>
      <c r="AFW841"/>
      <c r="AFX841"/>
      <c r="AFY841"/>
      <c r="AFZ841"/>
      <c r="AGA841"/>
      <c r="AGB841"/>
      <c r="AGC841"/>
      <c r="AGD841"/>
      <c r="AGE841"/>
      <c r="AGF841"/>
      <c r="AGG841"/>
      <c r="AGH841"/>
      <c r="AGI841"/>
      <c r="AGJ841"/>
      <c r="AGK841"/>
      <c r="AGL841"/>
      <c r="AGM841"/>
      <c r="AGN841"/>
      <c r="AGO841"/>
      <c r="AGP841"/>
      <c r="AGQ841"/>
      <c r="AGR841"/>
      <c r="AGS841"/>
      <c r="AGT841"/>
      <c r="AGU841"/>
      <c r="AGV841"/>
      <c r="AGW841"/>
      <c r="AGX841"/>
      <c r="AGY841"/>
      <c r="AGZ841"/>
      <c r="AHA841"/>
      <c r="AHB841"/>
      <c r="AHC841"/>
      <c r="AHD841"/>
      <c r="AHE841"/>
      <c r="AHF841"/>
      <c r="AHG841"/>
      <c r="AHH841"/>
      <c r="AHI841"/>
      <c r="AHJ841"/>
      <c r="AHK841"/>
      <c r="AHL841"/>
      <c r="AHM841"/>
      <c r="AHN841"/>
      <c r="AHO841"/>
      <c r="AHP841"/>
      <c r="AHQ841"/>
      <c r="AHR841"/>
      <c r="AHS841"/>
      <c r="AHT841"/>
      <c r="AHU841"/>
      <c r="AHV841"/>
      <c r="AHW841"/>
      <c r="AHX841"/>
      <c r="AHY841"/>
      <c r="AHZ841"/>
      <c r="AIA841"/>
      <c r="AIB841"/>
      <c r="AIC841"/>
      <c r="AID841"/>
      <c r="AIE841"/>
      <c r="AIF841"/>
      <c r="AIG841"/>
      <c r="AIH841"/>
      <c r="AII841"/>
      <c r="AIJ841"/>
      <c r="AIK841"/>
      <c r="AIL841"/>
      <c r="AIM841"/>
      <c r="AIN841"/>
      <c r="AIO841"/>
      <c r="AIP841"/>
      <c r="AIQ841"/>
      <c r="AIR841"/>
      <c r="AIS841"/>
      <c r="AIT841"/>
      <c r="AIU841"/>
      <c r="AIV841"/>
      <c r="AIW841"/>
      <c r="AIX841"/>
      <c r="AIY841"/>
      <c r="AIZ841"/>
      <c r="AJA841"/>
      <c r="AJB841"/>
      <c r="AJC841"/>
      <c r="AJD841"/>
      <c r="AJE841"/>
      <c r="AJF841"/>
      <c r="AJG841"/>
      <c r="AJH841"/>
      <c r="AJI841"/>
      <c r="AJJ841"/>
      <c r="AJK841"/>
      <c r="AJL841"/>
      <c r="AJM841"/>
      <c r="AJN841"/>
      <c r="AJO841"/>
      <c r="AJP841"/>
      <c r="AJQ841"/>
      <c r="AJR841"/>
      <c r="AJS841"/>
      <c r="AJT841"/>
      <c r="AJU841"/>
      <c r="AJV841"/>
      <c r="AJW841"/>
      <c r="AJX841"/>
      <c r="AJY841"/>
      <c r="AJZ841"/>
      <c r="AKA841"/>
      <c r="AKB841"/>
      <c r="AKC841"/>
      <c r="AKD841"/>
      <c r="AKE841"/>
      <c r="AKF841"/>
      <c r="AKG841"/>
      <c r="AKH841"/>
      <c r="AKI841"/>
      <c r="AKJ841"/>
      <c r="AKK841"/>
      <c r="AKL841"/>
      <c r="AKM841"/>
      <c r="AKN841"/>
      <c r="AKO841"/>
      <c r="AKP841"/>
      <c r="AKQ841"/>
      <c r="AKR841"/>
      <c r="AKS841"/>
      <c r="AKT841"/>
      <c r="AKU841"/>
      <c r="AKV841"/>
      <c r="AKW841"/>
      <c r="AKX841"/>
      <c r="AKY841"/>
      <c r="AKZ841"/>
      <c r="ALA841"/>
      <c r="ALB841"/>
      <c r="ALC841"/>
      <c r="ALD841"/>
      <c r="ALE841"/>
      <c r="ALF841"/>
      <c r="ALG841"/>
      <c r="ALH841"/>
      <c r="ALI841"/>
      <c r="ALJ841"/>
      <c r="ALK841"/>
      <c r="ALL841"/>
      <c r="ALM841"/>
      <c r="ALN841"/>
      <c r="ALO841"/>
      <c r="ALP841"/>
      <c r="ALQ841"/>
      <c r="ALR841"/>
      <c r="ALS841"/>
      <c r="ALT841"/>
    </row>
    <row r="842" spans="1:1008" x14ac:dyDescent="0.15">
      <c r="A842" s="6" t="s">
        <v>2891</v>
      </c>
      <c r="B842" s="6" t="s">
        <v>2881</v>
      </c>
      <c r="C842" s="6" t="str">
        <f t="shared" si="12"/>
        <v>ionchromatography</v>
      </c>
      <c r="D842" s="7" t="s">
        <v>13</v>
      </c>
      <c r="E842" s="6" t="s">
        <v>2889</v>
      </c>
      <c r="F842" s="6" t="s">
        <v>2890</v>
      </c>
      <c r="G842" s="6">
        <v>500</v>
      </c>
    </row>
    <row r="843" spans="1:1008" x14ac:dyDescent="0.15">
      <c r="A843" s="6" t="s">
        <v>2254</v>
      </c>
      <c r="B843" s="6" t="s">
        <v>159</v>
      </c>
      <c r="C843" s="6" t="str">
        <f t="shared" si="12"/>
        <v>directlfq</v>
      </c>
      <c r="D843" s="7" t="s">
        <v>13</v>
      </c>
      <c r="E843" s="6" t="s">
        <v>2255</v>
      </c>
      <c r="F843" s="7" t="s">
        <v>13</v>
      </c>
      <c r="G843" s="6">
        <v>500</v>
      </c>
    </row>
    <row r="844" spans="1:1008" x14ac:dyDescent="0.15">
      <c r="A844" s="6" t="s">
        <v>3947</v>
      </c>
      <c r="B844" s="6" t="s">
        <v>159</v>
      </c>
      <c r="C844" s="6" t="str">
        <f t="shared" si="12"/>
        <v>ibaq</v>
      </c>
      <c r="D844" s="7" t="s">
        <v>13</v>
      </c>
      <c r="E844" s="6" t="s">
        <v>3948</v>
      </c>
      <c r="F844" s="7" t="s">
        <v>3949</v>
      </c>
      <c r="G844" s="6">
        <v>500</v>
      </c>
    </row>
    <row r="845" spans="1:1008" x14ac:dyDescent="0.15">
      <c r="A845" s="6" t="s">
        <v>2256</v>
      </c>
      <c r="B845" s="6" t="s">
        <v>159</v>
      </c>
      <c r="C845" s="6" t="str">
        <f t="shared" ref="C845:C912" si="14">A845</f>
        <v>maxlfq</v>
      </c>
      <c r="D845" s="7" t="s">
        <v>13</v>
      </c>
      <c r="E845" s="6" t="s">
        <v>2257</v>
      </c>
      <c r="F845" s="7" t="s">
        <v>13</v>
      </c>
      <c r="G845" s="6">
        <v>500</v>
      </c>
    </row>
    <row r="846" spans="1:1008" x14ac:dyDescent="0.15">
      <c r="A846" s="6" t="s">
        <v>2258</v>
      </c>
      <c r="B846" s="6" t="s">
        <v>159</v>
      </c>
      <c r="C846" s="6" t="str">
        <f t="shared" si="14"/>
        <v>speccount</v>
      </c>
      <c r="D846" s="7" t="s">
        <v>13</v>
      </c>
      <c r="E846" s="6" t="s">
        <v>2259</v>
      </c>
      <c r="F846" s="7" t="s">
        <v>13</v>
      </c>
      <c r="G846" s="6">
        <v>500</v>
      </c>
    </row>
    <row r="847" spans="1:1008" x14ac:dyDescent="0.15">
      <c r="A847" s="6" t="s">
        <v>2260</v>
      </c>
      <c r="B847" s="6" t="s">
        <v>160</v>
      </c>
      <c r="C847" s="6" t="str">
        <f t="shared" si="14"/>
        <v>isobaric</v>
      </c>
      <c r="D847" s="7" t="s">
        <v>13</v>
      </c>
      <c r="E847" s="6" t="s">
        <v>2260</v>
      </c>
      <c r="F847" s="6" t="s">
        <v>2261</v>
      </c>
      <c r="G847" s="6">
        <v>500</v>
      </c>
    </row>
    <row r="848" spans="1:1008" x14ac:dyDescent="0.15">
      <c r="A848" s="6" t="s">
        <v>2262</v>
      </c>
      <c r="B848" s="6" t="s">
        <v>160</v>
      </c>
      <c r="C848" s="6" t="str">
        <f t="shared" si="14"/>
        <v>istopic</v>
      </c>
      <c r="D848" s="7" t="s">
        <v>13</v>
      </c>
      <c r="E848" s="6" t="s">
        <v>2262</v>
      </c>
      <c r="F848" s="6" t="s">
        <v>2263</v>
      </c>
      <c r="G848" s="6">
        <v>500</v>
      </c>
    </row>
    <row r="849" spans="1:7" x14ac:dyDescent="0.15">
      <c r="A849" s="6" t="s">
        <v>2264</v>
      </c>
      <c r="B849" s="6" t="s">
        <v>160</v>
      </c>
      <c r="C849" s="6" t="str">
        <f t="shared" si="14"/>
        <v>label_free</v>
      </c>
      <c r="D849" s="7" t="s">
        <v>13</v>
      </c>
      <c r="E849" s="6" t="s">
        <v>2265</v>
      </c>
      <c r="F849" s="6" t="s">
        <v>2266</v>
      </c>
      <c r="G849" s="6">
        <v>500</v>
      </c>
    </row>
    <row r="850" spans="1:7" x14ac:dyDescent="0.15">
      <c r="A850" s="6" t="s">
        <v>2267</v>
      </c>
      <c r="B850" s="6" t="s">
        <v>160</v>
      </c>
      <c r="C850" s="6" t="str">
        <f t="shared" si="14"/>
        <v>silac</v>
      </c>
      <c r="D850" s="7" t="s">
        <v>13</v>
      </c>
      <c r="E850" s="6" t="s">
        <v>2267</v>
      </c>
      <c r="F850" s="6" t="s">
        <v>2268</v>
      </c>
      <c r="G850" s="6">
        <v>500</v>
      </c>
    </row>
    <row r="851" spans="1:7" x14ac:dyDescent="0.15">
      <c r="A851" s="6" t="s">
        <v>2269</v>
      </c>
      <c r="B851" s="6" t="s">
        <v>163</v>
      </c>
      <c r="C851" s="6" t="str">
        <f t="shared" si="14"/>
        <v>dtt</v>
      </c>
      <c r="D851" s="7" t="s">
        <v>13</v>
      </c>
      <c r="E851" s="6" t="s">
        <v>2270</v>
      </c>
      <c r="F851" s="6" t="s">
        <v>2271</v>
      </c>
      <c r="G851" s="6">
        <v>500</v>
      </c>
    </row>
    <row r="852" spans="1:7" x14ac:dyDescent="0.15">
      <c r="A852" s="6" t="s">
        <v>3168</v>
      </c>
      <c r="B852" s="6" t="s">
        <v>163</v>
      </c>
      <c r="C852" s="6" t="str">
        <f t="shared" si="14"/>
        <v>no_reduction</v>
      </c>
      <c r="D852" s="7" t="s">
        <v>13</v>
      </c>
      <c r="E852" s="6" t="s">
        <v>274</v>
      </c>
      <c r="F852" s="6" t="s">
        <v>2272</v>
      </c>
      <c r="G852" s="6">
        <v>500</v>
      </c>
    </row>
    <row r="853" spans="1:7" x14ac:dyDescent="0.15">
      <c r="A853" s="6" t="s">
        <v>2273</v>
      </c>
      <c r="B853" s="6" t="s">
        <v>163</v>
      </c>
      <c r="C853" s="6" t="str">
        <f t="shared" si="14"/>
        <v>tcep</v>
      </c>
      <c r="D853" s="7" t="s">
        <v>13</v>
      </c>
      <c r="E853" s="6" t="s">
        <v>2274</v>
      </c>
      <c r="F853" s="6" t="s">
        <v>2275</v>
      </c>
      <c r="G853" s="6">
        <v>500</v>
      </c>
    </row>
    <row r="854" spans="1:7" x14ac:dyDescent="0.15">
      <c r="A854" s="6" t="s">
        <v>1342</v>
      </c>
      <c r="B854" s="6" t="s">
        <v>2276</v>
      </c>
      <c r="C854" s="6" t="str">
        <f t="shared" si="14"/>
        <v>apoptosis</v>
      </c>
      <c r="D854" s="7" t="s">
        <v>13</v>
      </c>
      <c r="E854" s="6" t="s">
        <v>1343</v>
      </c>
      <c r="F854" s="6" t="s">
        <v>2277</v>
      </c>
      <c r="G854" s="6">
        <v>500</v>
      </c>
    </row>
    <row r="855" spans="1:7" x14ac:dyDescent="0.15">
      <c r="A855" s="6" t="s">
        <v>2278</v>
      </c>
      <c r="B855" s="6" t="s">
        <v>2276</v>
      </c>
      <c r="C855" s="6" t="str">
        <f t="shared" si="14"/>
        <v>autocrine</v>
      </c>
      <c r="D855" s="7" t="s">
        <v>13</v>
      </c>
      <c r="E855" s="6" t="s">
        <v>2279</v>
      </c>
      <c r="F855" s="6" t="s">
        <v>2280</v>
      </c>
      <c r="G855" s="6">
        <v>500</v>
      </c>
    </row>
    <row r="856" spans="1:7" x14ac:dyDescent="0.15">
      <c r="A856" s="6" t="s">
        <v>2281</v>
      </c>
      <c r="B856" s="6" t="s">
        <v>2276</v>
      </c>
      <c r="C856" s="6" t="str">
        <f t="shared" si="14"/>
        <v>complement</v>
      </c>
      <c r="D856" s="7" t="s">
        <v>13</v>
      </c>
      <c r="E856" s="6" t="s">
        <v>2282</v>
      </c>
      <c r="F856" s="6" t="s">
        <v>2283</v>
      </c>
      <c r="G856" s="6">
        <v>500</v>
      </c>
    </row>
    <row r="857" spans="1:7" x14ac:dyDescent="0.15">
      <c r="A857" s="6" t="s">
        <v>2284</v>
      </c>
      <c r="B857" s="6" t="s">
        <v>2276</v>
      </c>
      <c r="C857" s="6" t="str">
        <f t="shared" si="14"/>
        <v>cytokines</v>
      </c>
      <c r="D857" s="7" t="s">
        <v>13</v>
      </c>
      <c r="E857" s="6" t="s">
        <v>2285</v>
      </c>
      <c r="F857" s="6" t="s">
        <v>2286</v>
      </c>
      <c r="G857" s="6">
        <v>500</v>
      </c>
    </row>
    <row r="858" spans="1:7" x14ac:dyDescent="0.15">
      <c r="A858" s="6" t="s">
        <v>2287</v>
      </c>
      <c r="B858" s="6" t="s">
        <v>2276</v>
      </c>
      <c r="C858" s="6" t="str">
        <f t="shared" si="14"/>
        <v>inflammation</v>
      </c>
      <c r="D858" s="7" t="s">
        <v>13</v>
      </c>
      <c r="E858" s="6" t="s">
        <v>2288</v>
      </c>
      <c r="F858" s="6" t="s">
        <v>2289</v>
      </c>
      <c r="G858" s="6">
        <v>500</v>
      </c>
    </row>
    <row r="859" spans="1:7" x14ac:dyDescent="0.15">
      <c r="A859" s="6" t="s">
        <v>2290</v>
      </c>
      <c r="B859" s="6" t="s">
        <v>2276</v>
      </c>
      <c r="C859" s="6" t="str">
        <f t="shared" si="14"/>
        <v>insulin</v>
      </c>
      <c r="D859" s="7" t="s">
        <v>13</v>
      </c>
      <c r="E859" s="6" t="s">
        <v>2291</v>
      </c>
      <c r="F859" s="6" t="s">
        <v>2292</v>
      </c>
      <c r="G859" s="6">
        <v>500</v>
      </c>
    </row>
    <row r="860" spans="1:7" x14ac:dyDescent="0.15">
      <c r="A860" s="6" t="s">
        <v>2293</v>
      </c>
      <c r="B860" s="6" t="s">
        <v>2276</v>
      </c>
      <c r="C860" s="6" t="str">
        <f t="shared" si="14"/>
        <v>juxtacrine</v>
      </c>
      <c r="D860" s="7" t="s">
        <v>13</v>
      </c>
      <c r="E860" s="6" t="s">
        <v>2294</v>
      </c>
      <c r="F860" s="6" t="s">
        <v>2295</v>
      </c>
      <c r="G860" s="6">
        <v>500</v>
      </c>
    </row>
    <row r="861" spans="1:7" x14ac:dyDescent="0.15">
      <c r="A861" s="6" t="s">
        <v>2296</v>
      </c>
      <c r="B861" s="6" t="s">
        <v>2276</v>
      </c>
      <c r="C861" s="6" t="str">
        <f t="shared" si="14"/>
        <v>necrosis</v>
      </c>
      <c r="D861" s="7" t="s">
        <v>13</v>
      </c>
      <c r="E861" s="6" t="s">
        <v>2297</v>
      </c>
      <c r="F861" s="6" t="s">
        <v>2298</v>
      </c>
      <c r="G861" s="6">
        <v>500</v>
      </c>
    </row>
    <row r="862" spans="1:7" x14ac:dyDescent="0.15">
      <c r="A862" s="6" t="s">
        <v>2299</v>
      </c>
      <c r="B862" s="6" t="s">
        <v>2276</v>
      </c>
      <c r="C862" s="6" t="str">
        <f t="shared" si="14"/>
        <v>paracrine</v>
      </c>
      <c r="D862" s="7" t="s">
        <v>13</v>
      </c>
      <c r="E862" s="6" t="s">
        <v>2300</v>
      </c>
      <c r="F862" s="6" t="s">
        <v>2301</v>
      </c>
      <c r="G862" s="6">
        <v>500</v>
      </c>
    </row>
    <row r="863" spans="1:7" x14ac:dyDescent="0.15">
      <c r="A863" s="6" t="s">
        <v>1690</v>
      </c>
      <c r="B863" s="6" t="s">
        <v>2276</v>
      </c>
      <c r="C863" s="6" t="str">
        <f t="shared" si="14"/>
        <v>signaling</v>
      </c>
      <c r="D863" s="7" t="s">
        <v>13</v>
      </c>
      <c r="E863" s="6" t="s">
        <v>1691</v>
      </c>
      <c r="F863" s="6" t="s">
        <v>2302</v>
      </c>
      <c r="G863" s="6">
        <v>500</v>
      </c>
    </row>
    <row r="864" spans="1:7" x14ac:dyDescent="0.15">
      <c r="A864" s="6" t="s">
        <v>2303</v>
      </c>
      <c r="B864" s="6" t="s">
        <v>27</v>
      </c>
      <c r="C864" s="6" t="str">
        <f t="shared" si="14"/>
        <v>diann</v>
      </c>
      <c r="D864" s="7" t="s">
        <v>13</v>
      </c>
      <c r="E864" s="6" t="s">
        <v>2304</v>
      </c>
      <c r="F864" s="6" t="s">
        <v>2305</v>
      </c>
      <c r="G864" s="6">
        <v>500</v>
      </c>
    </row>
    <row r="865" spans="1:7" x14ac:dyDescent="0.15">
      <c r="A865" s="6" t="s">
        <v>2306</v>
      </c>
      <c r="B865" s="6" t="s">
        <v>27</v>
      </c>
      <c r="C865" s="6" t="str">
        <f t="shared" si="14"/>
        <v>maxquant</v>
      </c>
      <c r="D865" s="7" t="s">
        <v>13</v>
      </c>
      <c r="E865" s="6" t="s">
        <v>2307</v>
      </c>
      <c r="F865" s="6" t="s">
        <v>2308</v>
      </c>
      <c r="G865" s="6">
        <v>500</v>
      </c>
    </row>
    <row r="866" spans="1:7" x14ac:dyDescent="0.15">
      <c r="A866" s="6" t="s">
        <v>2309</v>
      </c>
      <c r="B866" s="6" t="s">
        <v>27</v>
      </c>
      <c r="C866" s="6" t="str">
        <f t="shared" si="14"/>
        <v>metamorpheus</v>
      </c>
      <c r="D866" s="7" t="s">
        <v>13</v>
      </c>
      <c r="E866" s="6" t="s">
        <v>2310</v>
      </c>
      <c r="F866" s="6" t="s">
        <v>2311</v>
      </c>
      <c r="G866" s="6">
        <v>500</v>
      </c>
    </row>
    <row r="867" spans="1:7" x14ac:dyDescent="0.15">
      <c r="A867" s="6" t="s">
        <v>2312</v>
      </c>
      <c r="B867" s="6" t="s">
        <v>27</v>
      </c>
      <c r="C867" s="6" t="str">
        <f t="shared" si="14"/>
        <v>minora</v>
      </c>
      <c r="D867" s="7" t="s">
        <v>13</v>
      </c>
      <c r="E867" s="6" t="s">
        <v>2313</v>
      </c>
      <c r="F867" s="6" t="s">
        <v>2314</v>
      </c>
      <c r="G867" s="6">
        <v>500</v>
      </c>
    </row>
    <row r="868" spans="1:7" x14ac:dyDescent="0.15">
      <c r="A868" s="6" t="s">
        <v>2315</v>
      </c>
      <c r="B868" s="6" t="s">
        <v>27</v>
      </c>
      <c r="C868" s="6" t="str">
        <f t="shared" si="14"/>
        <v>msfragger</v>
      </c>
      <c r="D868" s="7" t="s">
        <v>13</v>
      </c>
      <c r="E868" s="6" t="s">
        <v>2316</v>
      </c>
      <c r="F868" s="6" t="s">
        <v>2317</v>
      </c>
      <c r="G868" s="6">
        <v>500</v>
      </c>
    </row>
    <row r="869" spans="1:7" x14ac:dyDescent="0.15">
      <c r="A869" s="6" t="s">
        <v>2318</v>
      </c>
      <c r="B869" s="6" t="s">
        <v>27</v>
      </c>
      <c r="C869" s="6" t="str">
        <f t="shared" si="14"/>
        <v>msgf</v>
      </c>
      <c r="D869" s="7" t="s">
        <v>13</v>
      </c>
      <c r="E869" s="6" t="s">
        <v>2319</v>
      </c>
      <c r="F869" s="6" t="s">
        <v>2320</v>
      </c>
      <c r="G869" s="6">
        <v>500</v>
      </c>
    </row>
    <row r="870" spans="1:7" x14ac:dyDescent="0.15">
      <c r="A870" s="6" t="s">
        <v>2321</v>
      </c>
      <c r="B870" s="6" t="s">
        <v>27</v>
      </c>
      <c r="C870" s="6" t="str">
        <f t="shared" si="14"/>
        <v>spectronaut</v>
      </c>
      <c r="D870" s="7" t="s">
        <v>13</v>
      </c>
      <c r="E870" s="6" t="s">
        <v>2322</v>
      </c>
      <c r="F870" s="6" t="s">
        <v>2323</v>
      </c>
      <c r="G870" s="6">
        <v>500</v>
      </c>
    </row>
    <row r="871" spans="1:7" x14ac:dyDescent="0.15">
      <c r="A871" s="6" t="s">
        <v>2837</v>
      </c>
      <c r="B871" s="6" t="s">
        <v>2836</v>
      </c>
      <c r="C871" s="6" t="str">
        <f t="shared" si="14"/>
        <v>wc</v>
      </c>
      <c r="D871" s="7" t="s">
        <v>13</v>
      </c>
      <c r="E871" s="6" t="s">
        <v>2838</v>
      </c>
      <c r="F871" s="6" t="s">
        <v>2839</v>
      </c>
      <c r="G871" s="6">
        <v>500</v>
      </c>
    </row>
    <row r="872" spans="1:7" x14ac:dyDescent="0.15">
      <c r="A872" s="6" t="s">
        <v>2841</v>
      </c>
      <c r="B872" s="6" t="s">
        <v>2836</v>
      </c>
      <c r="C872" s="6" t="str">
        <f t="shared" si="14"/>
        <v>membrane</v>
      </c>
      <c r="D872" s="7" t="s">
        <v>13</v>
      </c>
      <c r="E872" s="6" t="s">
        <v>2842</v>
      </c>
      <c r="F872" s="6" t="s">
        <v>2843</v>
      </c>
      <c r="G872" s="6">
        <v>500</v>
      </c>
    </row>
    <row r="873" spans="1:7" x14ac:dyDescent="0.15">
      <c r="A873" s="6" t="s">
        <v>2840</v>
      </c>
      <c r="B873" s="6" t="s">
        <v>2836</v>
      </c>
      <c r="C873" s="6" t="str">
        <f t="shared" si="14"/>
        <v>mitochondria</v>
      </c>
      <c r="D873" s="7" t="s">
        <v>13</v>
      </c>
      <c r="E873" s="6" t="s">
        <v>2857</v>
      </c>
      <c r="F873" s="6" t="s">
        <v>2856</v>
      </c>
      <c r="G873" s="6">
        <v>500</v>
      </c>
    </row>
    <row r="874" spans="1:7" x14ac:dyDescent="0.15">
      <c r="A874" s="6" t="s">
        <v>2870</v>
      </c>
      <c r="B874" s="6" t="s">
        <v>2836</v>
      </c>
      <c r="C874" s="6" t="str">
        <f t="shared" si="14"/>
        <v>mitochondriapk</v>
      </c>
      <c r="D874" s="7" t="s">
        <v>13</v>
      </c>
      <c r="E874" s="6" t="s">
        <v>2868</v>
      </c>
      <c r="F874" s="6" t="s">
        <v>2869</v>
      </c>
      <c r="G874" s="6">
        <v>500</v>
      </c>
    </row>
    <row r="875" spans="1:7" x14ac:dyDescent="0.15">
      <c r="A875" s="6" t="s">
        <v>4133</v>
      </c>
      <c r="B875" s="6" t="s">
        <v>2836</v>
      </c>
      <c r="C875" s="6" t="str">
        <f t="shared" ref="C875" si="15">A875</f>
        <v>mitochondriace</v>
      </c>
      <c r="D875" s="7" t="s">
        <v>13</v>
      </c>
      <c r="E875" s="6" t="s">
        <v>4131</v>
      </c>
      <c r="F875" s="6" t="s">
        <v>4132</v>
      </c>
      <c r="G875" s="6">
        <v>500</v>
      </c>
    </row>
    <row r="876" spans="1:7" x14ac:dyDescent="0.15">
      <c r="A876" s="6" t="s">
        <v>2844</v>
      </c>
      <c r="B876" s="6" t="s">
        <v>2836</v>
      </c>
      <c r="C876" s="6" t="str">
        <f t="shared" si="14"/>
        <v>golgi</v>
      </c>
      <c r="D876" s="7" t="s">
        <v>13</v>
      </c>
      <c r="E876" s="6" t="s">
        <v>2845</v>
      </c>
      <c r="F876" s="6" t="s">
        <v>2846</v>
      </c>
      <c r="G876" s="6">
        <v>500</v>
      </c>
    </row>
    <row r="877" spans="1:7" x14ac:dyDescent="0.15">
      <c r="A877" s="6" t="s">
        <v>2847</v>
      </c>
      <c r="B877" s="6" t="s">
        <v>2836</v>
      </c>
      <c r="C877" s="6" t="str">
        <f t="shared" si="14"/>
        <v>plasmamembrane</v>
      </c>
      <c r="D877" s="7" t="s">
        <v>13</v>
      </c>
      <c r="E877" s="6" t="s">
        <v>2855</v>
      </c>
      <c r="F877" s="6" t="s">
        <v>2848</v>
      </c>
      <c r="G877" s="6">
        <v>500</v>
      </c>
    </row>
    <row r="878" spans="1:7" x14ac:dyDescent="0.15">
      <c r="A878" s="6" t="s">
        <v>2849</v>
      </c>
      <c r="B878" s="6" t="s">
        <v>2836</v>
      </c>
      <c r="C878" s="6" t="str">
        <f t="shared" si="14"/>
        <v>nucleus</v>
      </c>
      <c r="D878" s="7" t="s">
        <v>13</v>
      </c>
      <c r="E878" s="6" t="s">
        <v>2850</v>
      </c>
      <c r="F878" s="6" t="s">
        <v>2851</v>
      </c>
      <c r="G878" s="6">
        <v>500</v>
      </c>
    </row>
    <row r="879" spans="1:7" x14ac:dyDescent="0.15">
      <c r="A879" s="6" t="s">
        <v>2852</v>
      </c>
      <c r="B879" s="6" t="s">
        <v>2836</v>
      </c>
      <c r="C879" s="6" t="str">
        <f t="shared" si="14"/>
        <v>cytosol</v>
      </c>
      <c r="D879" s="7" t="s">
        <v>13</v>
      </c>
      <c r="E879" s="6" t="s">
        <v>2853</v>
      </c>
      <c r="F879" s="6" t="s">
        <v>2854</v>
      </c>
      <c r="G879" s="6">
        <v>500</v>
      </c>
    </row>
    <row r="880" spans="1:7" x14ac:dyDescent="0.15">
      <c r="A880" s="6" t="s">
        <v>4128</v>
      </c>
      <c r="B880" s="6" t="s">
        <v>2836</v>
      </c>
      <c r="C880" s="6" t="str">
        <f t="shared" si="14"/>
        <v>er</v>
      </c>
      <c r="D880" s="7" t="s">
        <v>13</v>
      </c>
      <c r="E880" s="6" t="s">
        <v>4130</v>
      </c>
      <c r="F880" s="6" t="s">
        <v>4129</v>
      </c>
      <c r="G880" s="6">
        <v>500</v>
      </c>
    </row>
    <row r="881" spans="1:7" x14ac:dyDescent="0.15">
      <c r="A881" s="6" t="s">
        <v>4138</v>
      </c>
      <c r="B881" s="6" t="s">
        <v>2836</v>
      </c>
      <c r="C881" s="6" t="str">
        <f t="shared" si="14"/>
        <v>ercesup</v>
      </c>
      <c r="D881" s="7" t="s">
        <v>13</v>
      </c>
      <c r="E881" s="6" t="s">
        <v>4134</v>
      </c>
      <c r="F881" s="6" t="s">
        <v>4136</v>
      </c>
      <c r="G881" s="6">
        <v>500</v>
      </c>
    </row>
    <row r="882" spans="1:7" x14ac:dyDescent="0.15">
      <c r="A882" s="6" t="s">
        <v>4139</v>
      </c>
      <c r="B882" s="6" t="s">
        <v>2836</v>
      </c>
      <c r="C882" s="6" t="str">
        <f t="shared" ref="C882" si="16">A882</f>
        <v>ercepellet</v>
      </c>
      <c r="D882" s="7" t="s">
        <v>13</v>
      </c>
      <c r="E882" s="6" t="s">
        <v>4135</v>
      </c>
      <c r="F882" s="6" t="s">
        <v>4137</v>
      </c>
      <c r="G882" s="6">
        <v>500</v>
      </c>
    </row>
    <row r="883" spans="1:7" x14ac:dyDescent="0.15">
      <c r="A883" s="6" t="s">
        <v>2324</v>
      </c>
      <c r="B883" s="6" t="s">
        <v>170</v>
      </c>
      <c r="C883" s="6" t="str">
        <f t="shared" si="14"/>
        <v>adipose</v>
      </c>
      <c r="D883" s="6" t="s">
        <v>2324</v>
      </c>
      <c r="E883" s="6" t="s">
        <v>2325</v>
      </c>
      <c r="F883" s="6" t="s">
        <v>2326</v>
      </c>
      <c r="G883" s="6">
        <v>500</v>
      </c>
    </row>
    <row r="884" spans="1:7" x14ac:dyDescent="0.15">
      <c r="A884" s="6" t="s">
        <v>2327</v>
      </c>
      <c r="B884" s="6" t="s">
        <v>170</v>
      </c>
      <c r="C884" s="6" t="str">
        <f t="shared" si="14"/>
        <v>areolar</v>
      </c>
      <c r="D884" s="6" t="s">
        <v>2327</v>
      </c>
      <c r="E884" s="6" t="s">
        <v>2328</v>
      </c>
      <c r="F884" s="6" t="s">
        <v>2329</v>
      </c>
      <c r="G884" s="6">
        <v>500</v>
      </c>
    </row>
    <row r="885" spans="1:7" x14ac:dyDescent="0.15">
      <c r="A885" s="6" t="s">
        <v>2330</v>
      </c>
      <c r="B885" s="6" t="s">
        <v>170</v>
      </c>
      <c r="C885" s="6" t="str">
        <f t="shared" si="14"/>
        <v>blood</v>
      </c>
      <c r="D885" s="6" t="s">
        <v>2330</v>
      </c>
      <c r="E885" s="6" t="s">
        <v>2331</v>
      </c>
      <c r="F885" s="6" t="s">
        <v>2331</v>
      </c>
      <c r="G885" s="6">
        <v>500</v>
      </c>
    </row>
    <row r="886" spans="1:7" x14ac:dyDescent="0.15">
      <c r="A886" s="6" t="s">
        <v>2332</v>
      </c>
      <c r="B886" s="6" t="s">
        <v>170</v>
      </c>
      <c r="C886" s="6" t="str">
        <f t="shared" si="14"/>
        <v>connective</v>
      </c>
      <c r="D886" s="6" t="s">
        <v>2332</v>
      </c>
      <c r="E886" s="6" t="s">
        <v>2333</v>
      </c>
      <c r="F886" s="6" t="s">
        <v>2334</v>
      </c>
      <c r="G886" s="6">
        <v>500</v>
      </c>
    </row>
    <row r="887" spans="1:7" x14ac:dyDescent="0.15">
      <c r="A887" s="6" t="s">
        <v>2335</v>
      </c>
      <c r="B887" s="6" t="s">
        <v>170</v>
      </c>
      <c r="C887" s="6" t="str">
        <f t="shared" si="14"/>
        <v>dermis</v>
      </c>
      <c r="D887" s="6" t="s">
        <v>2335</v>
      </c>
      <c r="E887" s="6" t="s">
        <v>2336</v>
      </c>
      <c r="F887" s="6" t="s">
        <v>2336</v>
      </c>
      <c r="G887" s="6">
        <v>500</v>
      </c>
    </row>
    <row r="888" spans="1:7" x14ac:dyDescent="0.15">
      <c r="A888" s="6" t="s">
        <v>2337</v>
      </c>
      <c r="B888" s="6" t="s">
        <v>170</v>
      </c>
      <c r="C888" s="6" t="str">
        <f t="shared" si="14"/>
        <v>epidermis</v>
      </c>
      <c r="D888" s="6" t="s">
        <v>2337</v>
      </c>
      <c r="E888" s="6" t="s">
        <v>2338</v>
      </c>
      <c r="F888" s="6" t="s">
        <v>2338</v>
      </c>
      <c r="G888" s="6">
        <v>500</v>
      </c>
    </row>
    <row r="889" spans="1:7" x14ac:dyDescent="0.15">
      <c r="A889" s="6" t="s">
        <v>2339</v>
      </c>
      <c r="B889" s="6" t="s">
        <v>170</v>
      </c>
      <c r="C889" s="6" t="str">
        <f t="shared" si="14"/>
        <v>epithelial</v>
      </c>
      <c r="D889" s="6" t="s">
        <v>2339</v>
      </c>
      <c r="E889" s="6" t="s">
        <v>2340</v>
      </c>
      <c r="F889" s="6" t="s">
        <v>2341</v>
      </c>
      <c r="G889" s="6">
        <v>500</v>
      </c>
    </row>
    <row r="890" spans="1:7" x14ac:dyDescent="0.15">
      <c r="A890" s="6" t="s">
        <v>2342</v>
      </c>
      <c r="B890" s="6" t="s">
        <v>170</v>
      </c>
      <c r="C890" s="6" t="str">
        <f t="shared" si="14"/>
        <v>hypodermis</v>
      </c>
      <c r="D890" s="6" t="s">
        <v>2342</v>
      </c>
      <c r="E890" s="6" t="s">
        <v>2343</v>
      </c>
      <c r="F890" s="6" t="s">
        <v>2343</v>
      </c>
      <c r="G890" s="6">
        <v>500</v>
      </c>
    </row>
    <row r="891" spans="1:7" x14ac:dyDescent="0.15">
      <c r="A891" s="6" t="s">
        <v>2344</v>
      </c>
      <c r="B891" s="6" t="s">
        <v>170</v>
      </c>
      <c r="C891" s="6" t="str">
        <f t="shared" si="14"/>
        <v>muscle</v>
      </c>
      <c r="D891" s="6" t="s">
        <v>2344</v>
      </c>
      <c r="E891" s="6" t="s">
        <v>2737</v>
      </c>
      <c r="F891" s="6" t="s">
        <v>2345</v>
      </c>
      <c r="G891" s="6">
        <v>500</v>
      </c>
    </row>
    <row r="892" spans="1:7" x14ac:dyDescent="0.15">
      <c r="A892" s="6" t="s">
        <v>2346</v>
      </c>
      <c r="B892" s="6" t="s">
        <v>170</v>
      </c>
      <c r="C892" s="6" t="str">
        <f t="shared" si="14"/>
        <v>nervous</v>
      </c>
      <c r="D892" s="6" t="s">
        <v>2346</v>
      </c>
      <c r="E892" s="6" t="s">
        <v>2165</v>
      </c>
      <c r="F892" s="6" t="s">
        <v>2347</v>
      </c>
      <c r="G892" s="6">
        <v>500</v>
      </c>
    </row>
    <row r="893" spans="1:7" x14ac:dyDescent="0.15">
      <c r="A893" s="6" t="s">
        <v>2348</v>
      </c>
      <c r="B893" s="6" t="s">
        <v>170</v>
      </c>
      <c r="C893" s="6" t="str">
        <f t="shared" si="14"/>
        <v>reticular</v>
      </c>
      <c r="D893" s="6" t="s">
        <v>2348</v>
      </c>
      <c r="E893" s="6" t="s">
        <v>2349</v>
      </c>
      <c r="F893" s="6" t="s">
        <v>2350</v>
      </c>
      <c r="G893" s="6">
        <v>500</v>
      </c>
    </row>
    <row r="894" spans="1:7" x14ac:dyDescent="0.15">
      <c r="A894" s="6" t="s">
        <v>2351</v>
      </c>
      <c r="B894" s="6" t="s">
        <v>170</v>
      </c>
      <c r="C894" s="6" t="str">
        <f t="shared" si="14"/>
        <v>stromal</v>
      </c>
      <c r="D894" s="6" t="s">
        <v>2351</v>
      </c>
      <c r="E894" s="6" t="s">
        <v>2352</v>
      </c>
      <c r="F894" s="6" t="s">
        <v>2353</v>
      </c>
      <c r="G894" s="6">
        <v>500</v>
      </c>
    </row>
    <row r="895" spans="1:7" x14ac:dyDescent="0.15">
      <c r="A895" s="6" t="s">
        <v>2354</v>
      </c>
      <c r="B895" s="6" t="s">
        <v>172</v>
      </c>
      <c r="C895" s="6" t="str">
        <f t="shared" si="14"/>
        <v>tmt10_126</v>
      </c>
      <c r="D895" s="7" t="s">
        <v>13</v>
      </c>
      <c r="E895" s="6">
        <v>126</v>
      </c>
      <c r="F895" s="7" t="s">
        <v>13</v>
      </c>
      <c r="G895" s="6">
        <v>500</v>
      </c>
    </row>
    <row r="896" spans="1:7" x14ac:dyDescent="0.15">
      <c r="A896" s="6" t="s">
        <v>2355</v>
      </c>
      <c r="B896" s="6" t="s">
        <v>172</v>
      </c>
      <c r="C896" s="6" t="str">
        <f t="shared" si="14"/>
        <v>tmt10_127C</v>
      </c>
      <c r="D896" s="7" t="s">
        <v>13</v>
      </c>
      <c r="E896" s="6" t="s">
        <v>2356</v>
      </c>
      <c r="F896" s="7" t="s">
        <v>13</v>
      </c>
      <c r="G896" s="6">
        <v>500</v>
      </c>
    </row>
    <row r="897" spans="1:7" x14ac:dyDescent="0.15">
      <c r="A897" s="6" t="s">
        <v>2357</v>
      </c>
      <c r="B897" s="6" t="s">
        <v>172</v>
      </c>
      <c r="C897" s="6" t="str">
        <f t="shared" si="14"/>
        <v>tmt10_127N</v>
      </c>
      <c r="D897" s="7" t="s">
        <v>13</v>
      </c>
      <c r="E897" s="6" t="s">
        <v>2358</v>
      </c>
      <c r="F897" s="7" t="s">
        <v>13</v>
      </c>
      <c r="G897" s="6">
        <v>500</v>
      </c>
    </row>
    <row r="898" spans="1:7" x14ac:dyDescent="0.15">
      <c r="A898" s="6" t="s">
        <v>2359</v>
      </c>
      <c r="B898" s="6" t="s">
        <v>172</v>
      </c>
      <c r="C898" s="6" t="str">
        <f t="shared" si="14"/>
        <v>tmt10_128C</v>
      </c>
      <c r="D898" s="7" t="s">
        <v>13</v>
      </c>
      <c r="E898" s="6" t="s">
        <v>2360</v>
      </c>
      <c r="F898" s="7" t="s">
        <v>13</v>
      </c>
      <c r="G898" s="6">
        <v>500</v>
      </c>
    </row>
    <row r="899" spans="1:7" x14ac:dyDescent="0.15">
      <c r="A899" s="6" t="s">
        <v>2361</v>
      </c>
      <c r="B899" s="6" t="s">
        <v>172</v>
      </c>
      <c r="C899" s="6" t="str">
        <f t="shared" si="14"/>
        <v>tmt10_128N</v>
      </c>
      <c r="D899" s="7" t="s">
        <v>13</v>
      </c>
      <c r="E899" s="6" t="s">
        <v>2362</v>
      </c>
      <c r="F899" s="7" t="s">
        <v>13</v>
      </c>
      <c r="G899" s="6">
        <v>500</v>
      </c>
    </row>
    <row r="900" spans="1:7" x14ac:dyDescent="0.15">
      <c r="A900" s="6" t="s">
        <v>2363</v>
      </c>
      <c r="B900" s="6" t="s">
        <v>172</v>
      </c>
      <c r="C900" s="6" t="str">
        <f t="shared" si="14"/>
        <v>tmt10_129C</v>
      </c>
      <c r="D900" s="7" t="s">
        <v>13</v>
      </c>
      <c r="E900" s="6" t="s">
        <v>2364</v>
      </c>
      <c r="F900" s="7" t="s">
        <v>13</v>
      </c>
      <c r="G900" s="6">
        <v>500</v>
      </c>
    </row>
    <row r="901" spans="1:7" x14ac:dyDescent="0.15">
      <c r="A901" s="6" t="s">
        <v>2365</v>
      </c>
      <c r="B901" s="6" t="s">
        <v>172</v>
      </c>
      <c r="C901" s="6" t="str">
        <f t="shared" si="14"/>
        <v>tmt10_129N</v>
      </c>
      <c r="D901" s="7" t="s">
        <v>13</v>
      </c>
      <c r="E901" s="6" t="s">
        <v>2366</v>
      </c>
      <c r="F901" s="7" t="s">
        <v>13</v>
      </c>
      <c r="G901" s="6">
        <v>500</v>
      </c>
    </row>
    <row r="902" spans="1:7" x14ac:dyDescent="0.15">
      <c r="A902" s="6" t="s">
        <v>2367</v>
      </c>
      <c r="B902" s="6" t="s">
        <v>172</v>
      </c>
      <c r="C902" s="6" t="str">
        <f t="shared" si="14"/>
        <v>tmt10_130C</v>
      </c>
      <c r="D902" s="7" t="s">
        <v>13</v>
      </c>
      <c r="E902" s="6" t="s">
        <v>2368</v>
      </c>
      <c r="F902" s="7" t="s">
        <v>13</v>
      </c>
      <c r="G902" s="6">
        <v>500</v>
      </c>
    </row>
    <row r="903" spans="1:7" x14ac:dyDescent="0.15">
      <c r="A903" s="6" t="s">
        <v>2369</v>
      </c>
      <c r="B903" s="6" t="s">
        <v>172</v>
      </c>
      <c r="C903" s="6" t="str">
        <f t="shared" si="14"/>
        <v>tmt10_130N</v>
      </c>
      <c r="D903" s="7" t="s">
        <v>13</v>
      </c>
      <c r="E903" s="6" t="s">
        <v>2370</v>
      </c>
      <c r="F903" s="7" t="s">
        <v>13</v>
      </c>
      <c r="G903" s="6">
        <v>500</v>
      </c>
    </row>
    <row r="904" spans="1:7" x14ac:dyDescent="0.15">
      <c r="A904" s="6" t="s">
        <v>2371</v>
      </c>
      <c r="B904" s="6" t="s">
        <v>172</v>
      </c>
      <c r="C904" s="6" t="str">
        <f t="shared" si="14"/>
        <v>tmt10_131</v>
      </c>
      <c r="D904" s="7" t="s">
        <v>13</v>
      </c>
      <c r="E904" s="6">
        <v>131</v>
      </c>
      <c r="F904" s="7" t="s">
        <v>13</v>
      </c>
      <c r="G904" s="6">
        <v>500</v>
      </c>
    </row>
    <row r="905" spans="1:7" x14ac:dyDescent="0.15">
      <c r="A905" s="6" t="s">
        <v>2372</v>
      </c>
      <c r="B905" s="6" t="s">
        <v>172</v>
      </c>
      <c r="C905" s="6" t="str">
        <f t="shared" si="14"/>
        <v>tmt11_126</v>
      </c>
      <c r="D905" s="7" t="s">
        <v>13</v>
      </c>
      <c r="E905" s="6">
        <v>126</v>
      </c>
      <c r="F905" s="7" t="s">
        <v>13</v>
      </c>
      <c r="G905" s="6">
        <v>500</v>
      </c>
    </row>
    <row r="906" spans="1:7" x14ac:dyDescent="0.15">
      <c r="A906" s="6" t="s">
        <v>2373</v>
      </c>
      <c r="B906" s="6" t="s">
        <v>172</v>
      </c>
      <c r="C906" s="6" t="str">
        <f t="shared" si="14"/>
        <v>tmt11_127C</v>
      </c>
      <c r="D906" s="7" t="s">
        <v>13</v>
      </c>
      <c r="E906" s="6" t="s">
        <v>2356</v>
      </c>
      <c r="F906" s="7" t="s">
        <v>13</v>
      </c>
      <c r="G906" s="6">
        <v>500</v>
      </c>
    </row>
    <row r="907" spans="1:7" x14ac:dyDescent="0.15">
      <c r="A907" s="6" t="s">
        <v>2374</v>
      </c>
      <c r="B907" s="6" t="s">
        <v>172</v>
      </c>
      <c r="C907" s="6" t="str">
        <f t="shared" si="14"/>
        <v>tmt11_127N</v>
      </c>
      <c r="D907" s="7" t="s">
        <v>13</v>
      </c>
      <c r="E907" s="6" t="s">
        <v>2358</v>
      </c>
      <c r="F907" s="7" t="s">
        <v>13</v>
      </c>
      <c r="G907" s="6">
        <v>500</v>
      </c>
    </row>
    <row r="908" spans="1:7" x14ac:dyDescent="0.15">
      <c r="A908" s="6" t="s">
        <v>2375</v>
      </c>
      <c r="B908" s="6" t="s">
        <v>172</v>
      </c>
      <c r="C908" s="6" t="str">
        <f t="shared" si="14"/>
        <v>tmt11_128C</v>
      </c>
      <c r="D908" s="7" t="s">
        <v>13</v>
      </c>
      <c r="E908" s="6" t="s">
        <v>2360</v>
      </c>
      <c r="F908" s="7" t="s">
        <v>13</v>
      </c>
      <c r="G908" s="6">
        <v>500</v>
      </c>
    </row>
    <row r="909" spans="1:7" x14ac:dyDescent="0.15">
      <c r="A909" s="6" t="s">
        <v>2376</v>
      </c>
      <c r="B909" s="6" t="s">
        <v>172</v>
      </c>
      <c r="C909" s="6" t="str">
        <f t="shared" si="14"/>
        <v>tmt11_128N</v>
      </c>
      <c r="D909" s="7" t="s">
        <v>13</v>
      </c>
      <c r="E909" s="6" t="s">
        <v>2362</v>
      </c>
      <c r="F909" s="7" t="s">
        <v>13</v>
      </c>
      <c r="G909" s="6">
        <v>500</v>
      </c>
    </row>
    <row r="910" spans="1:7" x14ac:dyDescent="0.15">
      <c r="A910" s="6" t="s">
        <v>2377</v>
      </c>
      <c r="B910" s="6" t="s">
        <v>172</v>
      </c>
      <c r="C910" s="6" t="str">
        <f t="shared" si="14"/>
        <v>tmt11_129C</v>
      </c>
      <c r="D910" s="7" t="s">
        <v>13</v>
      </c>
      <c r="E910" s="6" t="s">
        <v>2364</v>
      </c>
      <c r="F910" s="7" t="s">
        <v>13</v>
      </c>
      <c r="G910" s="6">
        <v>500</v>
      </c>
    </row>
    <row r="911" spans="1:7" x14ac:dyDescent="0.15">
      <c r="A911" s="6" t="s">
        <v>2378</v>
      </c>
      <c r="B911" s="6" t="s">
        <v>172</v>
      </c>
      <c r="C911" s="6" t="str">
        <f t="shared" si="14"/>
        <v>tmt11_129N</v>
      </c>
      <c r="D911" s="7" t="s">
        <v>13</v>
      </c>
      <c r="E911" s="6" t="s">
        <v>2366</v>
      </c>
      <c r="F911" s="7" t="s">
        <v>13</v>
      </c>
      <c r="G911" s="6">
        <v>500</v>
      </c>
    </row>
    <row r="912" spans="1:7" x14ac:dyDescent="0.15">
      <c r="A912" s="6" t="s">
        <v>2379</v>
      </c>
      <c r="B912" s="6" t="s">
        <v>172</v>
      </c>
      <c r="C912" s="6" t="str">
        <f t="shared" si="14"/>
        <v>tmt11_130C</v>
      </c>
      <c r="D912" s="7" t="s">
        <v>13</v>
      </c>
      <c r="E912" s="6" t="s">
        <v>2368</v>
      </c>
      <c r="F912" s="7" t="s">
        <v>13</v>
      </c>
      <c r="G912" s="6">
        <v>500</v>
      </c>
    </row>
    <row r="913" spans="1:7" x14ac:dyDescent="0.15">
      <c r="A913" s="6" t="s">
        <v>2380</v>
      </c>
      <c r="B913" s="6" t="s">
        <v>172</v>
      </c>
      <c r="C913" s="6" t="str">
        <f t="shared" ref="C913:C981" si="17">A913</f>
        <v>tmt11_130N</v>
      </c>
      <c r="D913" s="7" t="s">
        <v>13</v>
      </c>
      <c r="E913" s="6" t="s">
        <v>2370</v>
      </c>
      <c r="F913" s="7" t="s">
        <v>13</v>
      </c>
      <c r="G913" s="6">
        <v>500</v>
      </c>
    </row>
    <row r="914" spans="1:7" x14ac:dyDescent="0.15">
      <c r="A914" s="6" t="s">
        <v>2381</v>
      </c>
      <c r="B914" s="6" t="s">
        <v>172</v>
      </c>
      <c r="C914" s="6" t="str">
        <f t="shared" si="17"/>
        <v>tmt11_131C</v>
      </c>
      <c r="D914" s="7" t="s">
        <v>13</v>
      </c>
      <c r="E914" s="6" t="s">
        <v>2382</v>
      </c>
      <c r="F914" s="7" t="s">
        <v>13</v>
      </c>
      <c r="G914" s="6">
        <v>500</v>
      </c>
    </row>
    <row r="915" spans="1:7" x14ac:dyDescent="0.15">
      <c r="A915" s="6" t="s">
        <v>2383</v>
      </c>
      <c r="B915" s="6" t="s">
        <v>172</v>
      </c>
      <c r="C915" s="6" t="str">
        <f t="shared" si="17"/>
        <v>tmt11_131N</v>
      </c>
      <c r="D915" s="7" t="s">
        <v>13</v>
      </c>
      <c r="E915" s="6" t="s">
        <v>2384</v>
      </c>
      <c r="F915" s="7" t="s">
        <v>13</v>
      </c>
      <c r="G915" s="6">
        <v>500</v>
      </c>
    </row>
    <row r="916" spans="1:7" x14ac:dyDescent="0.15">
      <c r="A916" s="6" t="s">
        <v>2385</v>
      </c>
      <c r="B916" s="6" t="s">
        <v>172</v>
      </c>
      <c r="C916" s="6" t="str">
        <f t="shared" si="17"/>
        <v>tmt18_126</v>
      </c>
      <c r="D916" s="7" t="s">
        <v>13</v>
      </c>
      <c r="E916" s="6">
        <v>126</v>
      </c>
      <c r="F916" s="7" t="s">
        <v>13</v>
      </c>
      <c r="G916" s="6">
        <v>500</v>
      </c>
    </row>
    <row r="917" spans="1:7" x14ac:dyDescent="0.15">
      <c r="A917" s="6" t="s">
        <v>2386</v>
      </c>
      <c r="B917" s="6" t="s">
        <v>172</v>
      </c>
      <c r="C917" s="6" t="str">
        <f t="shared" si="17"/>
        <v>tmt18_127C</v>
      </c>
      <c r="D917" s="7" t="s">
        <v>13</v>
      </c>
      <c r="E917" s="6" t="s">
        <v>2356</v>
      </c>
      <c r="F917" s="7" t="s">
        <v>13</v>
      </c>
      <c r="G917" s="6">
        <v>500</v>
      </c>
    </row>
    <row r="918" spans="1:7" x14ac:dyDescent="0.15">
      <c r="A918" s="6" t="s">
        <v>2387</v>
      </c>
      <c r="B918" s="6" t="s">
        <v>172</v>
      </c>
      <c r="C918" s="6" t="str">
        <f t="shared" si="17"/>
        <v>tmt18_127N</v>
      </c>
      <c r="D918" s="7" t="s">
        <v>13</v>
      </c>
      <c r="E918" s="6" t="s">
        <v>2358</v>
      </c>
      <c r="F918" s="7" t="s">
        <v>13</v>
      </c>
      <c r="G918" s="6">
        <v>500</v>
      </c>
    </row>
    <row r="919" spans="1:7" x14ac:dyDescent="0.15">
      <c r="A919" s="6" t="s">
        <v>2388</v>
      </c>
      <c r="B919" s="6" t="s">
        <v>172</v>
      </c>
      <c r="C919" s="6" t="str">
        <f t="shared" si="17"/>
        <v>tmt18_128C</v>
      </c>
      <c r="D919" s="7" t="s">
        <v>13</v>
      </c>
      <c r="E919" s="6" t="s">
        <v>2360</v>
      </c>
      <c r="F919" s="7" t="s">
        <v>13</v>
      </c>
      <c r="G919" s="6">
        <v>500</v>
      </c>
    </row>
    <row r="920" spans="1:7" x14ac:dyDescent="0.15">
      <c r="A920" s="6" t="s">
        <v>2389</v>
      </c>
      <c r="B920" s="6" t="s">
        <v>172</v>
      </c>
      <c r="C920" s="6" t="str">
        <f t="shared" si="17"/>
        <v>tmt18_128N</v>
      </c>
      <c r="D920" s="7" t="s">
        <v>13</v>
      </c>
      <c r="E920" s="6" t="s">
        <v>2362</v>
      </c>
      <c r="F920" s="7" t="s">
        <v>13</v>
      </c>
      <c r="G920" s="6">
        <v>500</v>
      </c>
    </row>
    <row r="921" spans="1:7" x14ac:dyDescent="0.15">
      <c r="A921" s="6" t="s">
        <v>2390</v>
      </c>
      <c r="B921" s="6" t="s">
        <v>172</v>
      </c>
      <c r="C921" s="6" t="str">
        <f t="shared" si="17"/>
        <v>tmt18_129C</v>
      </c>
      <c r="D921" s="7" t="s">
        <v>13</v>
      </c>
      <c r="E921" s="6" t="s">
        <v>2364</v>
      </c>
      <c r="F921" s="7" t="s">
        <v>13</v>
      </c>
      <c r="G921" s="6">
        <v>500</v>
      </c>
    </row>
    <row r="922" spans="1:7" x14ac:dyDescent="0.15">
      <c r="A922" s="6" t="s">
        <v>2391</v>
      </c>
      <c r="B922" s="6" t="s">
        <v>172</v>
      </c>
      <c r="C922" s="6" t="str">
        <f t="shared" si="17"/>
        <v>tmt18_129N</v>
      </c>
      <c r="D922" s="7" t="s">
        <v>13</v>
      </c>
      <c r="E922" s="6" t="s">
        <v>2366</v>
      </c>
      <c r="F922" s="7" t="s">
        <v>13</v>
      </c>
      <c r="G922" s="6">
        <v>500</v>
      </c>
    </row>
    <row r="923" spans="1:7" x14ac:dyDescent="0.15">
      <c r="A923" s="6" t="s">
        <v>2392</v>
      </c>
      <c r="B923" s="6" t="s">
        <v>172</v>
      </c>
      <c r="C923" s="6" t="str">
        <f t="shared" si="17"/>
        <v>tmt18_130C</v>
      </c>
      <c r="D923" s="7" t="s">
        <v>13</v>
      </c>
      <c r="E923" s="6" t="s">
        <v>2368</v>
      </c>
      <c r="F923" s="7" t="s">
        <v>13</v>
      </c>
      <c r="G923" s="6">
        <v>500</v>
      </c>
    </row>
    <row r="924" spans="1:7" x14ac:dyDescent="0.15">
      <c r="A924" s="6" t="s">
        <v>2393</v>
      </c>
      <c r="B924" s="6" t="s">
        <v>172</v>
      </c>
      <c r="C924" s="6" t="str">
        <f t="shared" si="17"/>
        <v>tmt18_130N</v>
      </c>
      <c r="D924" s="7" t="s">
        <v>13</v>
      </c>
      <c r="E924" s="6" t="s">
        <v>2370</v>
      </c>
      <c r="F924" s="7" t="s">
        <v>13</v>
      </c>
      <c r="G924" s="6">
        <v>500</v>
      </c>
    </row>
    <row r="925" spans="1:7" x14ac:dyDescent="0.15">
      <c r="A925" s="6" t="s">
        <v>2394</v>
      </c>
      <c r="B925" s="6" t="s">
        <v>172</v>
      </c>
      <c r="C925" s="6" t="str">
        <f t="shared" si="17"/>
        <v>tmt18_131C</v>
      </c>
      <c r="D925" s="7" t="s">
        <v>13</v>
      </c>
      <c r="E925" s="6" t="s">
        <v>2382</v>
      </c>
      <c r="F925" s="7" t="s">
        <v>13</v>
      </c>
      <c r="G925" s="6">
        <v>500</v>
      </c>
    </row>
    <row r="926" spans="1:7" x14ac:dyDescent="0.15">
      <c r="A926" s="6" t="s">
        <v>2395</v>
      </c>
      <c r="B926" s="6" t="s">
        <v>172</v>
      </c>
      <c r="C926" s="6" t="str">
        <f t="shared" si="17"/>
        <v>tmt18_131N</v>
      </c>
      <c r="D926" s="7" t="s">
        <v>13</v>
      </c>
      <c r="E926" s="6" t="s">
        <v>2384</v>
      </c>
      <c r="F926" s="7" t="s">
        <v>13</v>
      </c>
      <c r="G926" s="6">
        <v>500</v>
      </c>
    </row>
    <row r="927" spans="1:7" x14ac:dyDescent="0.15">
      <c r="A927" s="6" t="s">
        <v>2396</v>
      </c>
      <c r="B927" s="6" t="s">
        <v>172</v>
      </c>
      <c r="C927" s="6" t="str">
        <f t="shared" si="17"/>
        <v>tmt18_132C</v>
      </c>
      <c r="D927" s="7" t="s">
        <v>13</v>
      </c>
      <c r="E927" s="6" t="s">
        <v>2397</v>
      </c>
      <c r="F927" s="7" t="s">
        <v>13</v>
      </c>
      <c r="G927" s="6">
        <v>500</v>
      </c>
    </row>
    <row r="928" spans="1:7" x14ac:dyDescent="0.15">
      <c r="A928" s="6" t="s">
        <v>2398</v>
      </c>
      <c r="B928" s="6" t="s">
        <v>172</v>
      </c>
      <c r="C928" s="6" t="str">
        <f t="shared" si="17"/>
        <v>tmt18_132N</v>
      </c>
      <c r="D928" s="7" t="s">
        <v>13</v>
      </c>
      <c r="E928" s="6" t="s">
        <v>2399</v>
      </c>
      <c r="F928" s="7" t="s">
        <v>13</v>
      </c>
      <c r="G928" s="6">
        <v>500</v>
      </c>
    </row>
    <row r="929" spans="1:7" x14ac:dyDescent="0.15">
      <c r="A929" s="6" t="s">
        <v>2400</v>
      </c>
      <c r="B929" s="6" t="s">
        <v>172</v>
      </c>
      <c r="C929" s="6" t="str">
        <f t="shared" si="17"/>
        <v>tmt18_133C</v>
      </c>
      <c r="D929" s="7" t="s">
        <v>13</v>
      </c>
      <c r="E929" s="6" t="s">
        <v>2401</v>
      </c>
      <c r="F929" s="7" t="s">
        <v>13</v>
      </c>
      <c r="G929" s="6">
        <v>500</v>
      </c>
    </row>
    <row r="930" spans="1:7" x14ac:dyDescent="0.15">
      <c r="A930" s="6" t="s">
        <v>2402</v>
      </c>
      <c r="B930" s="6" t="s">
        <v>172</v>
      </c>
      <c r="C930" s="6" t="str">
        <f t="shared" si="17"/>
        <v>tmt18_133N</v>
      </c>
      <c r="D930" s="7" t="s">
        <v>13</v>
      </c>
      <c r="E930" s="6" t="s">
        <v>2403</v>
      </c>
      <c r="F930" s="7" t="s">
        <v>13</v>
      </c>
      <c r="G930" s="6">
        <v>500</v>
      </c>
    </row>
    <row r="931" spans="1:7" x14ac:dyDescent="0.15">
      <c r="A931" s="6" t="s">
        <v>2404</v>
      </c>
      <c r="B931" s="6" t="s">
        <v>172</v>
      </c>
      <c r="C931" s="6" t="str">
        <f t="shared" si="17"/>
        <v>tmt18_134C</v>
      </c>
      <c r="D931" s="7" t="s">
        <v>13</v>
      </c>
      <c r="E931" s="6" t="s">
        <v>2405</v>
      </c>
      <c r="F931" s="7" t="s">
        <v>13</v>
      </c>
      <c r="G931" s="6">
        <v>500</v>
      </c>
    </row>
    <row r="932" spans="1:7" x14ac:dyDescent="0.15">
      <c r="A932" s="6" t="s">
        <v>2406</v>
      </c>
      <c r="B932" s="6" t="s">
        <v>172</v>
      </c>
      <c r="C932" s="6" t="str">
        <f t="shared" si="17"/>
        <v>tmt18_134N</v>
      </c>
      <c r="D932" s="7" t="s">
        <v>13</v>
      </c>
      <c r="E932" s="6" t="s">
        <v>2407</v>
      </c>
      <c r="F932" s="7" t="s">
        <v>13</v>
      </c>
      <c r="G932" s="6">
        <v>500</v>
      </c>
    </row>
    <row r="933" spans="1:7" x14ac:dyDescent="0.15">
      <c r="A933" s="6" t="s">
        <v>2408</v>
      </c>
      <c r="B933" s="6" t="s">
        <v>172</v>
      </c>
      <c r="C933" s="6" t="str">
        <f t="shared" si="17"/>
        <v>tmt18_135N</v>
      </c>
      <c r="D933" s="7" t="s">
        <v>13</v>
      </c>
      <c r="E933" s="6" t="s">
        <v>2409</v>
      </c>
      <c r="F933" s="7" t="s">
        <v>13</v>
      </c>
      <c r="G933" s="6">
        <v>500</v>
      </c>
    </row>
    <row r="934" spans="1:7" x14ac:dyDescent="0.15">
      <c r="A934" s="6" t="s">
        <v>2410</v>
      </c>
      <c r="B934" s="6" t="s">
        <v>172</v>
      </c>
      <c r="C934" s="6" t="str">
        <f t="shared" si="17"/>
        <v>tmt6_126</v>
      </c>
      <c r="D934" s="7" t="s">
        <v>13</v>
      </c>
      <c r="E934" s="6">
        <v>126</v>
      </c>
      <c r="F934" s="7" t="s">
        <v>13</v>
      </c>
      <c r="G934" s="6">
        <v>500</v>
      </c>
    </row>
    <row r="935" spans="1:7" x14ac:dyDescent="0.15">
      <c r="A935" s="6" t="s">
        <v>2411</v>
      </c>
      <c r="B935" s="6" t="s">
        <v>172</v>
      </c>
      <c r="C935" s="6" t="str">
        <f t="shared" si="17"/>
        <v>tmt6_127</v>
      </c>
      <c r="D935" s="7" t="s">
        <v>13</v>
      </c>
      <c r="E935" s="6">
        <v>127</v>
      </c>
      <c r="F935" s="7" t="s">
        <v>13</v>
      </c>
      <c r="G935" s="6">
        <v>500</v>
      </c>
    </row>
    <row r="936" spans="1:7" x14ac:dyDescent="0.15">
      <c r="A936" s="6" t="s">
        <v>2412</v>
      </c>
      <c r="B936" s="6" t="s">
        <v>172</v>
      </c>
      <c r="C936" s="6" t="str">
        <f t="shared" si="17"/>
        <v>tmt6_128</v>
      </c>
      <c r="D936" s="7" t="s">
        <v>13</v>
      </c>
      <c r="E936" s="6">
        <v>128</v>
      </c>
      <c r="F936" s="7" t="s">
        <v>13</v>
      </c>
      <c r="G936" s="6">
        <v>500</v>
      </c>
    </row>
    <row r="937" spans="1:7" x14ac:dyDescent="0.15">
      <c r="A937" s="6" t="s">
        <v>2413</v>
      </c>
      <c r="B937" s="6" t="s">
        <v>172</v>
      </c>
      <c r="C937" s="6" t="str">
        <f t="shared" si="17"/>
        <v>tmt6_129</v>
      </c>
      <c r="D937" s="7" t="s">
        <v>13</v>
      </c>
      <c r="E937" s="6">
        <v>129</v>
      </c>
      <c r="F937" s="7" t="s">
        <v>13</v>
      </c>
      <c r="G937" s="6">
        <v>500</v>
      </c>
    </row>
    <row r="938" spans="1:7" x14ac:dyDescent="0.15">
      <c r="A938" s="6" t="s">
        <v>2414</v>
      </c>
      <c r="B938" s="6" t="s">
        <v>172</v>
      </c>
      <c r="C938" s="6" t="str">
        <f t="shared" si="17"/>
        <v>tmt6_130</v>
      </c>
      <c r="D938" s="7" t="s">
        <v>13</v>
      </c>
      <c r="E938" s="6">
        <v>130</v>
      </c>
      <c r="F938" s="7" t="s">
        <v>13</v>
      </c>
      <c r="G938" s="6">
        <v>500</v>
      </c>
    </row>
    <row r="939" spans="1:7" x14ac:dyDescent="0.15">
      <c r="A939" s="6" t="s">
        <v>2415</v>
      </c>
      <c r="B939" s="6" t="s">
        <v>172</v>
      </c>
      <c r="C939" s="6" t="str">
        <f t="shared" si="17"/>
        <v>tmt6_131</v>
      </c>
      <c r="D939" s="7" t="s">
        <v>13</v>
      </c>
      <c r="E939" s="6">
        <v>131</v>
      </c>
      <c r="F939" s="7" t="s">
        <v>13</v>
      </c>
      <c r="G939" s="6">
        <v>500</v>
      </c>
    </row>
    <row r="940" spans="1:7" x14ac:dyDescent="0.15">
      <c r="A940" s="6" t="s">
        <v>2416</v>
      </c>
      <c r="B940" s="6" t="s">
        <v>179</v>
      </c>
      <c r="C940" s="6" t="str">
        <f t="shared" si="17"/>
        <v>biochem</v>
      </c>
      <c r="D940" s="7" t="s">
        <v>13</v>
      </c>
      <c r="E940" s="6" t="s">
        <v>2417</v>
      </c>
      <c r="F940" s="6" t="s">
        <v>2418</v>
      </c>
      <c r="G940" s="6">
        <v>500</v>
      </c>
    </row>
    <row r="941" spans="1:7" x14ac:dyDescent="0.15">
      <c r="A941" s="6" t="s">
        <v>2419</v>
      </c>
      <c r="B941" s="6" t="s">
        <v>179</v>
      </c>
      <c r="C941" s="6" t="str">
        <f t="shared" si="17"/>
        <v>cecad</v>
      </c>
      <c r="D941" s="7" t="s">
        <v>13</v>
      </c>
      <c r="E941" s="6" t="s">
        <v>2420</v>
      </c>
      <c r="F941" s="6" t="s">
        <v>2421</v>
      </c>
      <c r="G941" s="6">
        <v>500</v>
      </c>
    </row>
    <row r="942" spans="1:7" x14ac:dyDescent="0.15">
      <c r="A942" s="6" t="s">
        <v>2422</v>
      </c>
      <c r="B942" s="6" t="s">
        <v>179</v>
      </c>
      <c r="C942" s="6" t="str">
        <f t="shared" si="17"/>
        <v>mpiage</v>
      </c>
      <c r="D942" s="7" t="s">
        <v>13</v>
      </c>
      <c r="E942" s="6" t="s">
        <v>2423</v>
      </c>
      <c r="F942" s="6" t="s">
        <v>2424</v>
      </c>
      <c r="G942" s="6">
        <v>500</v>
      </c>
    </row>
    <row r="943" spans="1:7" x14ac:dyDescent="0.15">
      <c r="A943" s="6" t="s">
        <v>2425</v>
      </c>
      <c r="B943" s="6" t="s">
        <v>179</v>
      </c>
      <c r="C943" s="6" t="str">
        <f t="shared" si="17"/>
        <v>mpimetab</v>
      </c>
      <c r="D943" s="7" t="s">
        <v>13</v>
      </c>
      <c r="E943" s="6" t="s">
        <v>2426</v>
      </c>
      <c r="F943" s="6" t="s">
        <v>2427</v>
      </c>
      <c r="G943" s="6">
        <v>500</v>
      </c>
    </row>
    <row r="944" spans="1:7" x14ac:dyDescent="0.15">
      <c r="A944" s="6" t="s">
        <v>2976</v>
      </c>
      <c r="B944" s="6" t="s">
        <v>179</v>
      </c>
      <c r="C944" s="6" t="str">
        <f t="shared" si="17"/>
        <v>unibonn</v>
      </c>
      <c r="D944" s="7" t="s">
        <v>13</v>
      </c>
      <c r="E944" s="6" t="s">
        <v>2977</v>
      </c>
      <c r="F944" s="6" t="s">
        <v>2977</v>
      </c>
      <c r="G944" s="6">
        <v>500</v>
      </c>
    </row>
    <row r="945" spans="1:7" x14ac:dyDescent="0.15">
      <c r="A945" s="6" t="s">
        <v>2428</v>
      </c>
      <c r="B945" s="6" t="s">
        <v>183</v>
      </c>
      <c r="C945" s="6" t="str">
        <f t="shared" si="17"/>
        <v>mitoprotea</v>
      </c>
      <c r="D945" s="6" t="s">
        <v>13</v>
      </c>
      <c r="E945" s="6" t="s">
        <v>2429</v>
      </c>
      <c r="F945" s="6" t="s">
        <v>2430</v>
      </c>
      <c r="G945" s="6">
        <v>500</v>
      </c>
    </row>
    <row r="946" spans="1:7" x14ac:dyDescent="0.15">
      <c r="A946" s="6" t="s">
        <v>2431</v>
      </c>
      <c r="B946" s="6" t="s">
        <v>183</v>
      </c>
      <c r="C946" s="6" t="str">
        <f t="shared" si="17"/>
        <v>molageing</v>
      </c>
      <c r="D946" s="6" t="s">
        <v>13</v>
      </c>
      <c r="E946" s="6" t="s">
        <v>2432</v>
      </c>
      <c r="F946" s="6" t="s">
        <v>2433</v>
      </c>
      <c r="G946" s="6">
        <v>500</v>
      </c>
    </row>
    <row r="947" spans="1:7" x14ac:dyDescent="0.15">
      <c r="A947" s="6" t="s">
        <v>3075</v>
      </c>
      <c r="B947" s="6" t="s">
        <v>183</v>
      </c>
      <c r="C947" s="6" t="str">
        <f t="shared" si="17"/>
        <v>protfa</v>
      </c>
      <c r="D947" s="6" t="s">
        <v>13</v>
      </c>
      <c r="E947" s="6" t="s">
        <v>3074</v>
      </c>
      <c r="F947" s="6" t="s">
        <v>3073</v>
      </c>
      <c r="G947" s="6">
        <v>500</v>
      </c>
    </row>
    <row r="948" spans="1:7" x14ac:dyDescent="0.15">
      <c r="A948" s="6" t="s">
        <v>2788</v>
      </c>
      <c r="B948" s="6" t="s">
        <v>183</v>
      </c>
      <c r="C948" s="6" t="str">
        <f t="shared" si="17"/>
        <v>frezza</v>
      </c>
      <c r="D948" s="6" t="s">
        <v>13</v>
      </c>
      <c r="E948" s="6" t="s">
        <v>2789</v>
      </c>
      <c r="F948" s="6" t="s">
        <v>2790</v>
      </c>
      <c r="G948" s="6">
        <v>500</v>
      </c>
    </row>
    <row r="949" spans="1:7" x14ac:dyDescent="0.15">
      <c r="A949" s="6" t="s">
        <v>2791</v>
      </c>
      <c r="B949" s="6" t="s">
        <v>183</v>
      </c>
      <c r="C949" s="6" t="str">
        <f t="shared" si="17"/>
        <v>krueger</v>
      </c>
      <c r="D949" s="6" t="s">
        <v>13</v>
      </c>
      <c r="E949" s="6" t="s">
        <v>2792</v>
      </c>
      <c r="F949" s="6" t="s">
        <v>2793</v>
      </c>
      <c r="G949" s="6">
        <v>500</v>
      </c>
    </row>
    <row r="950" spans="1:7" x14ac:dyDescent="0.15">
      <c r="A950" s="6" t="s">
        <v>2794</v>
      </c>
      <c r="B950" s="6" t="s">
        <v>183</v>
      </c>
      <c r="C950" s="6" t="str">
        <f t="shared" si="17"/>
        <v>rugarli</v>
      </c>
      <c r="D950" s="6" t="s">
        <v>13</v>
      </c>
      <c r="E950" s="6" t="s">
        <v>2795</v>
      </c>
      <c r="F950" s="6" t="s">
        <v>2793</v>
      </c>
      <c r="G950" s="6">
        <v>500</v>
      </c>
    </row>
    <row r="951" spans="1:7" x14ac:dyDescent="0.15">
      <c r="A951" s="6" t="s">
        <v>2796</v>
      </c>
      <c r="B951" s="6" t="s">
        <v>183</v>
      </c>
      <c r="C951" s="6" t="str">
        <f t="shared" si="17"/>
        <v>trifunovic</v>
      </c>
      <c r="D951" s="6" t="s">
        <v>13</v>
      </c>
      <c r="E951" s="6" t="s">
        <v>2797</v>
      </c>
      <c r="F951" s="6" t="s">
        <v>2798</v>
      </c>
      <c r="G951" s="6">
        <v>500</v>
      </c>
    </row>
    <row r="952" spans="1:7" x14ac:dyDescent="0.15">
      <c r="A952" s="6" t="s">
        <v>2950</v>
      </c>
      <c r="B952" s="6" t="s">
        <v>183</v>
      </c>
      <c r="C952" s="6" t="str">
        <f t="shared" si="17"/>
        <v>bergmani</v>
      </c>
      <c r="D952" s="6" t="s">
        <v>13</v>
      </c>
      <c r="E952" s="6" t="s">
        <v>2958</v>
      </c>
      <c r="F952" s="6" t="s">
        <v>2968</v>
      </c>
      <c r="G952" s="6">
        <v>500</v>
      </c>
    </row>
    <row r="953" spans="1:7" x14ac:dyDescent="0.15">
      <c r="A953" s="6" t="s">
        <v>2951</v>
      </c>
      <c r="B953" s="6" t="s">
        <v>183</v>
      </c>
      <c r="C953" s="6" t="str">
        <f t="shared" si="17"/>
        <v>motori</v>
      </c>
      <c r="D953" s="6" t="s">
        <v>13</v>
      </c>
      <c r="E953" s="6" t="s">
        <v>2959</v>
      </c>
      <c r="F953" s="6" t="s">
        <v>2969</v>
      </c>
      <c r="G953" s="6">
        <v>500</v>
      </c>
    </row>
    <row r="954" spans="1:7" x14ac:dyDescent="0.15">
      <c r="A954" s="6" t="s">
        <v>2952</v>
      </c>
      <c r="B954" s="6" t="s">
        <v>183</v>
      </c>
      <c r="C954" s="6" t="str">
        <f t="shared" si="17"/>
        <v>becker</v>
      </c>
      <c r="D954" s="6" t="s">
        <v>13</v>
      </c>
      <c r="E954" s="6" t="s">
        <v>2960</v>
      </c>
      <c r="F954" s="6" t="s">
        <v>2975</v>
      </c>
      <c r="G954" s="6">
        <v>500</v>
      </c>
    </row>
    <row r="955" spans="1:7" x14ac:dyDescent="0.15">
      <c r="A955" s="6" t="s">
        <v>2953</v>
      </c>
      <c r="B955" s="6" t="s">
        <v>183</v>
      </c>
      <c r="C955" s="6" t="str">
        <f t="shared" si="17"/>
        <v>bruening</v>
      </c>
      <c r="D955" s="6" t="s">
        <v>13</v>
      </c>
      <c r="E955" s="6" t="s">
        <v>2973</v>
      </c>
      <c r="F955" s="6" t="s">
        <v>2972</v>
      </c>
      <c r="G955" s="6">
        <v>500</v>
      </c>
    </row>
    <row r="956" spans="1:7" x14ac:dyDescent="0.15">
      <c r="A956" s="6" t="s">
        <v>2962</v>
      </c>
      <c r="B956" s="6" t="s">
        <v>183</v>
      </c>
      <c r="C956" s="6" t="str">
        <f t="shared" si="17"/>
        <v>escobar</v>
      </c>
      <c r="D956" s="6" t="s">
        <v>13</v>
      </c>
      <c r="E956" s="6" t="s">
        <v>2961</v>
      </c>
      <c r="F956" s="6" t="s">
        <v>2970</v>
      </c>
      <c r="G956" s="6">
        <v>500</v>
      </c>
    </row>
    <row r="957" spans="1:7" x14ac:dyDescent="0.15">
      <c r="A957" s="6" t="s">
        <v>2825</v>
      </c>
      <c r="B957" s="6" t="s">
        <v>183</v>
      </c>
      <c r="C957" s="6" t="str">
        <f t="shared" si="17"/>
        <v>garcia</v>
      </c>
      <c r="D957" s="6" t="s">
        <v>13</v>
      </c>
      <c r="E957" s="6" t="s">
        <v>2826</v>
      </c>
      <c r="F957" s="6" t="s">
        <v>2971</v>
      </c>
      <c r="G957" s="6">
        <v>500</v>
      </c>
    </row>
    <row r="958" spans="1:7" x14ac:dyDescent="0.15">
      <c r="A958" s="6" t="s">
        <v>2954</v>
      </c>
      <c r="B958" s="6" t="s">
        <v>183</v>
      </c>
      <c r="C958" s="6" t="str">
        <f t="shared" si="17"/>
        <v>piano</v>
      </c>
      <c r="D958" s="6" t="s">
        <v>13</v>
      </c>
      <c r="E958" s="6" t="s">
        <v>2963</v>
      </c>
      <c r="F958" s="6" t="s">
        <v>2978</v>
      </c>
      <c r="G958" s="6">
        <v>500</v>
      </c>
    </row>
    <row r="959" spans="1:7" x14ac:dyDescent="0.15">
      <c r="A959" s="6" t="s">
        <v>2955</v>
      </c>
      <c r="B959" s="6" t="s">
        <v>183</v>
      </c>
      <c r="C959" s="6" t="str">
        <f t="shared" si="17"/>
        <v>schwarz</v>
      </c>
      <c r="D959" s="6" t="s">
        <v>13</v>
      </c>
      <c r="E959" s="6" t="s">
        <v>2964</v>
      </c>
      <c r="F959" s="6" t="s">
        <v>2974</v>
      </c>
      <c r="G959" s="6">
        <v>500</v>
      </c>
    </row>
    <row r="960" spans="1:7" x14ac:dyDescent="0.15">
      <c r="A960" s="6" t="s">
        <v>2956</v>
      </c>
      <c r="B960" s="6" t="s">
        <v>183</v>
      </c>
      <c r="C960" s="6" t="str">
        <f t="shared" si="17"/>
        <v>corrado</v>
      </c>
      <c r="D960" s="6" t="s">
        <v>13</v>
      </c>
      <c r="E960" s="6" t="s">
        <v>2965</v>
      </c>
      <c r="F960" s="6" t="s">
        <v>2979</v>
      </c>
      <c r="G960" s="6">
        <v>500</v>
      </c>
    </row>
    <row r="961" spans="1:7" x14ac:dyDescent="0.15">
      <c r="A961" s="6" t="s">
        <v>2957</v>
      </c>
      <c r="B961" s="6" t="s">
        <v>183</v>
      </c>
      <c r="C961" s="6" t="str">
        <f t="shared" si="17"/>
        <v>eming</v>
      </c>
      <c r="D961" s="6" t="s">
        <v>13</v>
      </c>
      <c r="E961" s="6" t="s">
        <v>2966</v>
      </c>
      <c r="F961" s="6" t="s">
        <v>2967</v>
      </c>
      <c r="G961" s="6">
        <v>500</v>
      </c>
    </row>
    <row r="962" spans="1:7" x14ac:dyDescent="0.15">
      <c r="A962" s="6" t="s">
        <v>2822</v>
      </c>
      <c r="B962" s="6" t="s">
        <v>183</v>
      </c>
      <c r="C962" s="6" t="str">
        <f t="shared" si="17"/>
        <v>hoppe</v>
      </c>
      <c r="D962" s="6" t="s">
        <v>13</v>
      </c>
      <c r="E962" s="6" t="s">
        <v>2823</v>
      </c>
      <c r="F962" s="6" t="s">
        <v>2824</v>
      </c>
      <c r="G962" s="6">
        <v>500</v>
      </c>
    </row>
    <row r="963" spans="1:7" x14ac:dyDescent="0.15">
      <c r="A963" s="6" t="s">
        <v>2825</v>
      </c>
      <c r="B963" s="6" t="s">
        <v>183</v>
      </c>
      <c r="C963" s="6" t="str">
        <f t="shared" si="17"/>
        <v>garcia</v>
      </c>
      <c r="D963" s="6" t="s">
        <v>13</v>
      </c>
      <c r="E963" s="6" t="s">
        <v>2826</v>
      </c>
      <c r="F963" s="6" t="s">
        <v>2824</v>
      </c>
      <c r="G963" s="6">
        <v>500</v>
      </c>
    </row>
    <row r="964" spans="1:7" x14ac:dyDescent="0.15">
      <c r="A964" s="6" t="s">
        <v>2827</v>
      </c>
      <c r="B964" s="6" t="s">
        <v>183</v>
      </c>
      <c r="C964" s="6" t="str">
        <f t="shared" si="17"/>
        <v>khaskar</v>
      </c>
      <c r="D964" s="6" t="s">
        <v>13</v>
      </c>
      <c r="E964" s="6" t="s">
        <v>2828</v>
      </c>
      <c r="F964" s="6" t="s">
        <v>2829</v>
      </c>
      <c r="G964" s="6">
        <v>500</v>
      </c>
    </row>
    <row r="965" spans="1:7" x14ac:dyDescent="0.15">
      <c r="A965" s="6" t="s">
        <v>2946</v>
      </c>
      <c r="B965" s="6" t="s">
        <v>183</v>
      </c>
      <c r="C965" s="6" t="str">
        <f t="shared" si="17"/>
        <v>riemer</v>
      </c>
      <c r="D965" s="6" t="s">
        <v>13</v>
      </c>
      <c r="E965" s="6" t="s">
        <v>2947</v>
      </c>
      <c r="F965" s="6" t="s">
        <v>2948</v>
      </c>
      <c r="G965" s="6">
        <v>500</v>
      </c>
    </row>
    <row r="966" spans="1:7" x14ac:dyDescent="0.15">
      <c r="A966" s="6" t="s">
        <v>2742</v>
      </c>
      <c r="B966" s="18" t="s">
        <v>2738</v>
      </c>
      <c r="C966" s="6" t="str">
        <f t="shared" si="17"/>
        <v>wd</v>
      </c>
      <c r="D966" s="6" t="s">
        <v>13</v>
      </c>
      <c r="E966" s="6" t="s">
        <v>2741</v>
      </c>
      <c r="F966" s="6" t="s">
        <v>2740</v>
      </c>
      <c r="G966" s="6">
        <v>500</v>
      </c>
    </row>
    <row r="967" spans="1:7" x14ac:dyDescent="0.15">
      <c r="A967" s="6" t="s">
        <v>2743</v>
      </c>
      <c r="B967" s="18" t="s">
        <v>2738</v>
      </c>
      <c r="C967" s="6" t="str">
        <f t="shared" si="17"/>
        <v>sd</v>
      </c>
      <c r="D967" s="6" t="s">
        <v>13</v>
      </c>
      <c r="E967" s="6" t="s">
        <v>2744</v>
      </c>
      <c r="G967" s="6">
        <v>500</v>
      </c>
    </row>
    <row r="968" spans="1:7" x14ac:dyDescent="0.15">
      <c r="A968" s="6" t="s">
        <v>2745</v>
      </c>
      <c r="B968" s="18" t="s">
        <v>2738</v>
      </c>
      <c r="C968" s="6" t="str">
        <f t="shared" si="17"/>
        <v>veg</v>
      </c>
      <c r="D968" s="6" t="s">
        <v>13</v>
      </c>
      <c r="E968" s="6" t="s">
        <v>2746</v>
      </c>
      <c r="F968" s="6" t="s">
        <v>2747</v>
      </c>
      <c r="G968" s="6">
        <v>500</v>
      </c>
    </row>
    <row r="969" spans="1:7" x14ac:dyDescent="0.15">
      <c r="A969" s="6" t="s">
        <v>2750</v>
      </c>
      <c r="B969" s="18" t="s">
        <v>2738</v>
      </c>
      <c r="C969" s="6" t="str">
        <f t="shared" si="17"/>
        <v>hg</v>
      </c>
      <c r="D969" s="6" t="s">
        <v>13</v>
      </c>
      <c r="E969" s="6" t="s">
        <v>2748</v>
      </c>
      <c r="F969" s="6" t="s">
        <v>2749</v>
      </c>
      <c r="G969" s="6">
        <v>500</v>
      </c>
    </row>
    <row r="970" spans="1:7" x14ac:dyDescent="0.15">
      <c r="A970" s="6" t="s">
        <v>2753</v>
      </c>
      <c r="B970" s="6" t="s">
        <v>2738</v>
      </c>
      <c r="C970" s="6" t="str">
        <f t="shared" si="17"/>
        <v>hfd</v>
      </c>
      <c r="D970" s="6" t="s">
        <v>13</v>
      </c>
      <c r="E970" s="6" t="s">
        <v>2751</v>
      </c>
      <c r="F970" s="6" t="s">
        <v>2752</v>
      </c>
      <c r="G970" s="6">
        <v>500</v>
      </c>
    </row>
    <row r="971" spans="1:7" x14ac:dyDescent="0.15">
      <c r="A971" s="6" t="s">
        <v>2488</v>
      </c>
      <c r="B971" s="6" t="s">
        <v>57</v>
      </c>
      <c r="C971" s="6" t="str">
        <f t="shared" si="17"/>
        <v>lps</v>
      </c>
      <c r="D971" s="6" t="s">
        <v>13</v>
      </c>
      <c r="E971" s="6" t="s">
        <v>2489</v>
      </c>
      <c r="F971" s="6" t="s">
        <v>2490</v>
      </c>
      <c r="G971" s="6">
        <v>500</v>
      </c>
    </row>
    <row r="972" spans="1:7" x14ac:dyDescent="0.15">
      <c r="A972" s="6" t="s">
        <v>2499</v>
      </c>
      <c r="B972" s="6" t="s">
        <v>57</v>
      </c>
      <c r="C972" s="6" t="str">
        <f t="shared" si="17"/>
        <v>r848</v>
      </c>
      <c r="D972" s="6" t="s">
        <v>13</v>
      </c>
      <c r="E972" s="6" t="s">
        <v>2500</v>
      </c>
      <c r="F972" s="6" t="s">
        <v>2893</v>
      </c>
      <c r="G972" s="6">
        <v>500</v>
      </c>
    </row>
    <row r="973" spans="1:7" x14ac:dyDescent="0.15">
      <c r="A973" s="6" t="s">
        <v>3134</v>
      </c>
      <c r="B973" s="6" t="s">
        <v>57</v>
      </c>
      <c r="C973" s="6" t="str">
        <f t="shared" si="17"/>
        <v>mitoblock10</v>
      </c>
      <c r="D973" s="6" t="s">
        <v>13</v>
      </c>
      <c r="E973" s="6" t="s">
        <v>3132</v>
      </c>
      <c r="F973" s="6" t="s">
        <v>3133</v>
      </c>
      <c r="G973" s="6">
        <v>500</v>
      </c>
    </row>
    <row r="974" spans="1:7" x14ac:dyDescent="0.15">
      <c r="A974" s="6" t="s">
        <v>3173</v>
      </c>
      <c r="B974" s="6" t="s">
        <v>57</v>
      </c>
      <c r="C974" s="6" t="str">
        <f t="shared" si="17"/>
        <v>ifng</v>
      </c>
      <c r="D974" s="6" t="s">
        <v>13</v>
      </c>
      <c r="E974" s="6" t="s">
        <v>3174</v>
      </c>
      <c r="F974" s="6" t="s">
        <v>3175</v>
      </c>
      <c r="G974" s="6">
        <v>500</v>
      </c>
    </row>
    <row r="975" spans="1:7" x14ac:dyDescent="0.15">
      <c r="A975" s="6" t="s">
        <v>3176</v>
      </c>
      <c r="B975" s="6" t="s">
        <v>57</v>
      </c>
      <c r="C975" s="6" t="str">
        <f t="shared" si="17"/>
        <v>il4</v>
      </c>
      <c r="D975" s="6" t="s">
        <v>13</v>
      </c>
      <c r="E975" s="6" t="s">
        <v>3177</v>
      </c>
      <c r="F975" s="6" t="s">
        <v>3178</v>
      </c>
      <c r="G975" s="6">
        <v>500</v>
      </c>
    </row>
    <row r="976" spans="1:7" x14ac:dyDescent="0.15">
      <c r="A976" s="6" t="s">
        <v>3179</v>
      </c>
      <c r="B976" s="6" t="s">
        <v>57</v>
      </c>
      <c r="C976" s="6" t="str">
        <f t="shared" si="17"/>
        <v>il13</v>
      </c>
      <c r="D976" s="6" t="s">
        <v>13</v>
      </c>
      <c r="E976" s="6" t="s">
        <v>3180</v>
      </c>
      <c r="F976" s="6" t="s">
        <v>3181</v>
      </c>
      <c r="G976" s="6">
        <v>500</v>
      </c>
    </row>
    <row r="977" spans="1:7" x14ac:dyDescent="0.15">
      <c r="A977" s="6" t="s">
        <v>3182</v>
      </c>
      <c r="B977" s="6" t="s">
        <v>57</v>
      </c>
      <c r="C977" s="6" t="str">
        <f t="shared" si="17"/>
        <v>asynlow</v>
      </c>
      <c r="D977" s="6" t="s">
        <v>13</v>
      </c>
      <c r="E977" s="6" t="s">
        <v>3183</v>
      </c>
      <c r="F977" s="6" t="s">
        <v>3186</v>
      </c>
      <c r="G977" s="6">
        <v>500</v>
      </c>
    </row>
    <row r="978" spans="1:7" x14ac:dyDescent="0.15">
      <c r="A978" s="6" t="s">
        <v>3184</v>
      </c>
      <c r="B978" s="6" t="s">
        <v>57</v>
      </c>
      <c r="C978" s="6" t="str">
        <f t="shared" si="17"/>
        <v>asynhigh</v>
      </c>
      <c r="D978" s="6" t="s">
        <v>13</v>
      </c>
      <c r="E978" s="6" t="s">
        <v>3185</v>
      </c>
      <c r="F978" s="6" t="s">
        <v>3187</v>
      </c>
      <c r="G978" s="6">
        <v>500</v>
      </c>
    </row>
    <row r="979" spans="1:7" x14ac:dyDescent="0.15">
      <c r="A979" s="6" t="s">
        <v>2894</v>
      </c>
      <c r="B979" s="6" t="s">
        <v>35</v>
      </c>
      <c r="C979" s="6" t="str">
        <f t="shared" si="17"/>
        <v>mdc</v>
      </c>
      <c r="D979" s="6" t="s">
        <v>13</v>
      </c>
      <c r="E979" s="6" t="s">
        <v>2915</v>
      </c>
      <c r="F979" s="6" t="s">
        <v>2914</v>
      </c>
      <c r="G979" s="6">
        <v>500</v>
      </c>
    </row>
    <row r="980" spans="1:7" x14ac:dyDescent="0.15">
      <c r="A980" s="6" t="s">
        <v>2895</v>
      </c>
      <c r="B980" s="6" t="s">
        <v>35</v>
      </c>
      <c r="C980" s="6" t="str">
        <f t="shared" si="17"/>
        <v>mtregs</v>
      </c>
      <c r="D980" s="6" t="s">
        <v>13</v>
      </c>
      <c r="E980" s="6" t="s">
        <v>2913</v>
      </c>
      <c r="F980" s="6" t="s">
        <v>2912</v>
      </c>
      <c r="G980" s="6">
        <v>500</v>
      </c>
    </row>
    <row r="981" spans="1:7" x14ac:dyDescent="0.15">
      <c r="A981" s="6" t="s">
        <v>2896</v>
      </c>
      <c r="B981" s="6" t="s">
        <v>35</v>
      </c>
      <c r="C981" s="6" t="str">
        <f t="shared" si="17"/>
        <v>pdc</v>
      </c>
      <c r="D981" s="6" t="s">
        <v>13</v>
      </c>
      <c r="E981" s="6" t="s">
        <v>2916</v>
      </c>
      <c r="F981" s="6" t="s">
        <v>2911</v>
      </c>
      <c r="G981" s="6">
        <v>500</v>
      </c>
    </row>
    <row r="982" spans="1:7" x14ac:dyDescent="0.15">
      <c r="A982" s="6" t="s">
        <v>2897</v>
      </c>
      <c r="B982" s="6" t="s">
        <v>35</v>
      </c>
      <c r="C982" s="6" t="str">
        <f t="shared" ref="C982:C1025" si="18">A982</f>
        <v>attregs</v>
      </c>
      <c r="D982" s="6" t="s">
        <v>13</v>
      </c>
      <c r="E982" s="6" t="s">
        <v>2910</v>
      </c>
      <c r="F982" s="6" t="s">
        <v>2917</v>
      </c>
      <c r="G982" s="6">
        <v>500</v>
      </c>
    </row>
    <row r="983" spans="1:7" x14ac:dyDescent="0.15">
      <c r="A983" s="6" t="s">
        <v>2898</v>
      </c>
      <c r="B983" s="6" t="s">
        <v>35</v>
      </c>
      <c r="C983" s="6" t="str">
        <f t="shared" si="18"/>
        <v>infdc</v>
      </c>
      <c r="D983" s="6" t="s">
        <v>13</v>
      </c>
      <c r="E983" s="6" t="s">
        <v>2909</v>
      </c>
      <c r="F983" s="6" t="s">
        <v>2908</v>
      </c>
      <c r="G983" s="6">
        <v>500</v>
      </c>
    </row>
    <row r="984" spans="1:7" x14ac:dyDescent="0.15">
      <c r="A984" s="6" t="s">
        <v>2899</v>
      </c>
      <c r="B984" s="6" t="s">
        <v>35</v>
      </c>
      <c r="C984" s="6" t="str">
        <f t="shared" si="18"/>
        <v>itgres</v>
      </c>
      <c r="D984" s="6" t="s">
        <v>13</v>
      </c>
      <c r="E984" s="6" t="s">
        <v>2907</v>
      </c>
      <c r="F984" s="6" t="s">
        <v>2906</v>
      </c>
      <c r="G984" s="6">
        <v>500</v>
      </c>
    </row>
    <row r="985" spans="1:7" x14ac:dyDescent="0.15">
      <c r="A985" s="6" t="s">
        <v>2900</v>
      </c>
      <c r="B985" s="6" t="s">
        <v>35</v>
      </c>
      <c r="C985" s="6" t="str">
        <f t="shared" si="18"/>
        <v>dendritic</v>
      </c>
      <c r="D985" s="6" t="s">
        <v>13</v>
      </c>
      <c r="E985" s="6" t="s">
        <v>2905</v>
      </c>
      <c r="F985" s="6" t="s">
        <v>2904</v>
      </c>
      <c r="G985" s="6">
        <v>500</v>
      </c>
    </row>
    <row r="986" spans="1:7" x14ac:dyDescent="0.15">
      <c r="A986" s="6" t="s">
        <v>2901</v>
      </c>
      <c r="B986" s="6" t="s">
        <v>35</v>
      </c>
      <c r="C986" s="6" t="str">
        <f t="shared" si="18"/>
        <v>ememcell</v>
      </c>
      <c r="D986" s="6" t="s">
        <v>13</v>
      </c>
      <c r="E986" s="6" t="s">
        <v>2903</v>
      </c>
      <c r="F986" s="6" t="s">
        <v>2902</v>
      </c>
      <c r="G986" s="6">
        <v>500</v>
      </c>
    </row>
    <row r="987" spans="1:7" x14ac:dyDescent="0.15">
      <c r="A987" s="6" t="s">
        <v>2918</v>
      </c>
      <c r="B987" s="6" t="s">
        <v>2836</v>
      </c>
      <c r="C987" s="6" t="str">
        <f t="shared" si="18"/>
        <v>supernatant</v>
      </c>
      <c r="D987" s="6" t="s">
        <v>13</v>
      </c>
      <c r="E987" s="6" t="s">
        <v>2919</v>
      </c>
      <c r="F987" s="6" t="s">
        <v>2920</v>
      </c>
      <c r="G987" s="6">
        <v>500</v>
      </c>
    </row>
    <row r="988" spans="1:7" x14ac:dyDescent="0.15">
      <c r="A988" s="6" t="s">
        <v>2922</v>
      </c>
      <c r="B988" s="6" t="s">
        <v>2921</v>
      </c>
      <c r="C988" s="6" t="str">
        <f t="shared" si="18"/>
        <v>leftatrium</v>
      </c>
      <c r="D988" s="6" t="s">
        <v>13</v>
      </c>
      <c r="E988" s="6" t="s">
        <v>2923</v>
      </c>
      <c r="F988" s="6" t="s">
        <v>2924</v>
      </c>
      <c r="G988" s="6">
        <v>500</v>
      </c>
    </row>
    <row r="989" spans="1:7" x14ac:dyDescent="0.15">
      <c r="A989" s="6" t="s">
        <v>2925</v>
      </c>
      <c r="B989" s="6" t="s">
        <v>2921</v>
      </c>
      <c r="C989" s="6" t="str">
        <f t="shared" si="18"/>
        <v>rightatrium</v>
      </c>
      <c r="D989" s="6" t="s">
        <v>13</v>
      </c>
      <c r="E989" s="6" t="s">
        <v>2926</v>
      </c>
      <c r="F989" s="6" t="s">
        <v>2927</v>
      </c>
      <c r="G989" s="6">
        <v>500</v>
      </c>
    </row>
    <row r="990" spans="1:7" x14ac:dyDescent="0.15">
      <c r="A990" s="6" t="s">
        <v>2944</v>
      </c>
      <c r="B990" s="6" t="s">
        <v>2921</v>
      </c>
      <c r="C990" s="6" t="str">
        <f t="shared" si="18"/>
        <v>leftventri</v>
      </c>
      <c r="D990" s="6" t="s">
        <v>13</v>
      </c>
      <c r="E990" s="6" t="s">
        <v>2942</v>
      </c>
      <c r="F990" s="6" t="s">
        <v>2928</v>
      </c>
      <c r="G990" s="6">
        <v>500</v>
      </c>
    </row>
    <row r="991" spans="1:7" x14ac:dyDescent="0.15">
      <c r="A991" s="6" t="s">
        <v>2945</v>
      </c>
      <c r="B991" s="6" t="s">
        <v>2921</v>
      </c>
      <c r="C991" s="6" t="str">
        <f t="shared" si="18"/>
        <v>rightventri</v>
      </c>
      <c r="D991" s="6" t="s">
        <v>13</v>
      </c>
      <c r="E991" s="6" t="s">
        <v>2943</v>
      </c>
      <c r="F991" s="6" t="s">
        <v>2928</v>
      </c>
      <c r="G991" s="6">
        <v>500</v>
      </c>
    </row>
    <row r="992" spans="1:7" x14ac:dyDescent="0.15">
      <c r="A992" s="6" t="s">
        <v>3011</v>
      </c>
      <c r="B992" s="6" t="s">
        <v>3009</v>
      </c>
      <c r="C992" s="6" t="str">
        <f t="shared" si="18"/>
        <v>type1</v>
      </c>
      <c r="D992" s="6" t="s">
        <v>13</v>
      </c>
      <c r="E992" s="6" t="s">
        <v>3029</v>
      </c>
      <c r="F992" s="6" t="s">
        <v>3034</v>
      </c>
      <c r="G992" s="6">
        <v>500</v>
      </c>
    </row>
    <row r="993" spans="1:7" x14ac:dyDescent="0.15">
      <c r="A993" s="6" t="s">
        <v>3012</v>
      </c>
      <c r="B993" s="6" t="s">
        <v>3009</v>
      </c>
      <c r="C993" s="6" t="str">
        <f t="shared" si="18"/>
        <v>type2a</v>
      </c>
      <c r="D993" s="6" t="s">
        <v>13</v>
      </c>
      <c r="E993" s="6" t="s">
        <v>3030</v>
      </c>
      <c r="F993" s="6" t="s">
        <v>3035</v>
      </c>
      <c r="G993" s="6">
        <v>500</v>
      </c>
    </row>
    <row r="994" spans="1:7" x14ac:dyDescent="0.15">
      <c r="A994" s="6" t="s">
        <v>3013</v>
      </c>
      <c r="B994" s="6" t="s">
        <v>3009</v>
      </c>
      <c r="C994" s="6" t="str">
        <f t="shared" si="18"/>
        <v>type2b</v>
      </c>
      <c r="D994" s="6" t="s">
        <v>13</v>
      </c>
      <c r="E994" s="6" t="s">
        <v>3031</v>
      </c>
      <c r="F994" s="6" t="s">
        <v>3036</v>
      </c>
      <c r="G994" s="6">
        <v>500</v>
      </c>
    </row>
    <row r="995" spans="1:7" x14ac:dyDescent="0.15">
      <c r="A995" s="6" t="s">
        <v>3014</v>
      </c>
      <c r="B995" s="6" t="s">
        <v>3009</v>
      </c>
      <c r="C995" s="6" t="str">
        <f t="shared" si="18"/>
        <v>type2x</v>
      </c>
      <c r="D995" s="6" t="s">
        <v>13</v>
      </c>
      <c r="E995" s="6" t="s">
        <v>3032</v>
      </c>
      <c r="F995" s="6" t="s">
        <v>3037</v>
      </c>
      <c r="G995" s="6">
        <v>500</v>
      </c>
    </row>
    <row r="996" spans="1:7" x14ac:dyDescent="0.15">
      <c r="A996" s="6" t="s">
        <v>3015</v>
      </c>
      <c r="B996" s="6" t="s">
        <v>3009</v>
      </c>
      <c r="C996" s="6" t="str">
        <f t="shared" si="18"/>
        <v>type2d</v>
      </c>
      <c r="D996" s="6" t="s">
        <v>13</v>
      </c>
      <c r="E996" s="6" t="s">
        <v>3033</v>
      </c>
      <c r="F996" s="6" t="s">
        <v>3016</v>
      </c>
      <c r="G996" s="6">
        <v>500</v>
      </c>
    </row>
    <row r="997" spans="1:7" x14ac:dyDescent="0.15">
      <c r="A997" s="6" t="s">
        <v>3017</v>
      </c>
      <c r="B997" s="6" t="s">
        <v>3009</v>
      </c>
      <c r="C997" s="6" t="str">
        <f t="shared" si="18"/>
        <v>mixedt12a</v>
      </c>
      <c r="D997" s="6" t="s">
        <v>13</v>
      </c>
      <c r="E997" s="6" t="s">
        <v>3018</v>
      </c>
      <c r="F997" s="6" t="s">
        <v>3039</v>
      </c>
      <c r="G997" s="6">
        <v>500</v>
      </c>
    </row>
    <row r="998" spans="1:7" x14ac:dyDescent="0.15">
      <c r="A998" s="6" t="s">
        <v>3019</v>
      </c>
      <c r="B998" s="6" t="s">
        <v>3009</v>
      </c>
      <c r="C998" s="6" t="str">
        <f t="shared" si="18"/>
        <v>mixedt12x</v>
      </c>
      <c r="D998" s="6" t="s">
        <v>13</v>
      </c>
      <c r="E998" s="6" t="s">
        <v>3020</v>
      </c>
      <c r="F998" s="6" t="s">
        <v>3038</v>
      </c>
      <c r="G998" s="6">
        <v>500</v>
      </c>
    </row>
    <row r="999" spans="1:7" x14ac:dyDescent="0.15">
      <c r="A999" s="6" t="s">
        <v>3021</v>
      </c>
      <c r="B999" s="6" t="s">
        <v>3009</v>
      </c>
      <c r="C999" s="6" t="str">
        <f t="shared" si="18"/>
        <v>mixedt1tb</v>
      </c>
      <c r="D999" s="6" t="s">
        <v>13</v>
      </c>
      <c r="E999" s="6" t="s">
        <v>3022</v>
      </c>
      <c r="F999" s="6" t="s">
        <v>3040</v>
      </c>
      <c r="G999" s="6">
        <v>500</v>
      </c>
    </row>
    <row r="1000" spans="1:7" x14ac:dyDescent="0.15">
      <c r="A1000" s="6" t="s">
        <v>3023</v>
      </c>
      <c r="B1000" s="6" t="s">
        <v>3009</v>
      </c>
      <c r="C1000" s="6" t="str">
        <f t="shared" si="18"/>
        <v>mixed2a2b</v>
      </c>
      <c r="D1000" s="6" t="s">
        <v>13</v>
      </c>
      <c r="E1000" s="6" t="s">
        <v>3024</v>
      </c>
      <c r="F1000" s="6" t="s">
        <v>3041</v>
      </c>
      <c r="G1000" s="6">
        <v>500</v>
      </c>
    </row>
    <row r="1001" spans="1:7" x14ac:dyDescent="0.15">
      <c r="A1001" s="6" t="s">
        <v>3025</v>
      </c>
      <c r="B1001" s="6" t="s">
        <v>3009</v>
      </c>
      <c r="C1001" s="6" t="str">
        <f t="shared" si="18"/>
        <v>mixed2a2x</v>
      </c>
      <c r="D1001" s="6" t="s">
        <v>13</v>
      </c>
      <c r="E1001" s="6" t="s">
        <v>3026</v>
      </c>
      <c r="F1001" s="6" t="s">
        <v>3042</v>
      </c>
      <c r="G1001" s="6">
        <v>500</v>
      </c>
    </row>
    <row r="1002" spans="1:7" x14ac:dyDescent="0.15">
      <c r="A1002" s="6" t="s">
        <v>3027</v>
      </c>
      <c r="B1002" s="6" t="s">
        <v>3009</v>
      </c>
      <c r="C1002" s="6" t="str">
        <f t="shared" si="18"/>
        <v>mixed2b2x</v>
      </c>
      <c r="D1002" s="6" t="s">
        <v>13</v>
      </c>
      <c r="E1002" s="6" t="s">
        <v>3028</v>
      </c>
      <c r="F1002" s="6" t="s">
        <v>3043</v>
      </c>
      <c r="G1002" s="6">
        <v>500</v>
      </c>
    </row>
    <row r="1003" spans="1:7" x14ac:dyDescent="0.15">
      <c r="A1003" s="6" t="s">
        <v>3146</v>
      </c>
      <c r="B1003" s="6" t="s">
        <v>3087</v>
      </c>
      <c r="C1003" s="6" t="str">
        <f t="shared" si="18"/>
        <v>sol_pellet</v>
      </c>
      <c r="D1003" s="6" t="s">
        <v>13</v>
      </c>
      <c r="E1003" s="6" t="s">
        <v>3082</v>
      </c>
      <c r="F1003" s="6" t="s">
        <v>3088</v>
      </c>
      <c r="G1003" s="6">
        <v>500</v>
      </c>
    </row>
    <row r="1004" spans="1:7" x14ac:dyDescent="0.15">
      <c r="A1004" s="6" t="s">
        <v>3145</v>
      </c>
      <c r="B1004" s="6" t="s">
        <v>3087</v>
      </c>
      <c r="C1004" s="6" t="str">
        <f t="shared" si="18"/>
        <v>sol_total</v>
      </c>
      <c r="D1004" s="6" t="s">
        <v>13</v>
      </c>
      <c r="E1004" s="6" t="s">
        <v>1180</v>
      </c>
      <c r="F1004" s="6" t="s">
        <v>3089</v>
      </c>
      <c r="G1004" s="6">
        <v>500</v>
      </c>
    </row>
    <row r="1005" spans="1:7" x14ac:dyDescent="0.15">
      <c r="A1005" s="6" t="s">
        <v>3147</v>
      </c>
      <c r="B1005" s="6" t="s">
        <v>3087</v>
      </c>
      <c r="C1005" s="6" t="str">
        <f t="shared" si="18"/>
        <v>sol_supernatant</v>
      </c>
      <c r="D1005" s="6" t="s">
        <v>13</v>
      </c>
      <c r="E1005" s="6" t="s">
        <v>2919</v>
      </c>
      <c r="F1005" s="6" t="s">
        <v>3090</v>
      </c>
      <c r="G1005" s="6">
        <v>500</v>
      </c>
    </row>
    <row r="1006" spans="1:7" x14ac:dyDescent="0.15">
      <c r="A1006" s="6">
        <v>275</v>
      </c>
      <c r="B1006" s="6" t="s">
        <v>33</v>
      </c>
      <c r="C1006" s="6">
        <f t="shared" si="18"/>
        <v>275</v>
      </c>
      <c r="D1006" s="6" t="s">
        <v>13</v>
      </c>
      <c r="E1006" s="6">
        <v>275</v>
      </c>
      <c r="F1006" s="6" t="s">
        <v>13</v>
      </c>
      <c r="G1006" s="6">
        <v>500</v>
      </c>
    </row>
    <row r="1007" spans="1:7" x14ac:dyDescent="0.15">
      <c r="A1007" s="6">
        <v>320</v>
      </c>
      <c r="B1007" s="6" t="s">
        <v>33</v>
      </c>
      <c r="C1007" s="6">
        <f t="shared" si="18"/>
        <v>320</v>
      </c>
      <c r="D1007" s="6" t="s">
        <v>13</v>
      </c>
      <c r="E1007" s="6">
        <v>320</v>
      </c>
      <c r="F1007" s="6" t="s">
        <v>13</v>
      </c>
      <c r="G1007" s="6">
        <v>500</v>
      </c>
    </row>
    <row r="1008" spans="1:7" x14ac:dyDescent="0.15">
      <c r="A1008" s="6">
        <v>-45</v>
      </c>
      <c r="B1008" s="6" t="s">
        <v>88</v>
      </c>
      <c r="C1008" s="6">
        <f t="shared" si="18"/>
        <v>-45</v>
      </c>
      <c r="D1008" s="6" t="s">
        <v>13</v>
      </c>
      <c r="E1008" s="6">
        <v>-45</v>
      </c>
      <c r="F1008" s="6" t="s">
        <v>13</v>
      </c>
      <c r="G1008" s="6">
        <v>500</v>
      </c>
    </row>
    <row r="1009" spans="1:7" x14ac:dyDescent="0.15">
      <c r="A1009" s="6" t="s">
        <v>3123</v>
      </c>
      <c r="B1009" s="6" t="s">
        <v>3122</v>
      </c>
      <c r="C1009" s="6" t="str">
        <f t="shared" si="18"/>
        <v>input</v>
      </c>
      <c r="D1009" s="6" t="s">
        <v>13</v>
      </c>
      <c r="E1009" s="6" t="s">
        <v>3124</v>
      </c>
      <c r="F1009" t="s">
        <v>3125</v>
      </c>
      <c r="G1009" s="6">
        <v>500</v>
      </c>
    </row>
    <row r="1010" spans="1:7" x14ac:dyDescent="0.15">
      <c r="A1010" s="6" t="s">
        <v>3129</v>
      </c>
      <c r="B1010" s="6" t="s">
        <v>3122</v>
      </c>
      <c r="C1010" s="6" t="str">
        <f t="shared" si="18"/>
        <v>elution</v>
      </c>
      <c r="D1010" s="6" t="s">
        <v>13</v>
      </c>
      <c r="E1010" s="6" t="s">
        <v>3126</v>
      </c>
      <c r="F1010" s="6" t="s">
        <v>3131</v>
      </c>
      <c r="G1010" s="6">
        <v>500</v>
      </c>
    </row>
    <row r="1011" spans="1:7" x14ac:dyDescent="0.15">
      <c r="A1011" s="6" t="s">
        <v>3128</v>
      </c>
      <c r="B1011" s="6" t="s">
        <v>3122</v>
      </c>
      <c r="C1011" s="6" t="str">
        <f t="shared" si="18"/>
        <v>wash</v>
      </c>
      <c r="D1011" s="6" t="s">
        <v>13</v>
      </c>
      <c r="E1011" s="6" t="s">
        <v>3127</v>
      </c>
      <c r="F1011" s="6" t="s">
        <v>3130</v>
      </c>
      <c r="G1011" s="6">
        <v>500</v>
      </c>
    </row>
    <row r="1012" spans="1:7" ht="16" x14ac:dyDescent="0.2">
      <c r="A1012" s="6" t="s">
        <v>3136</v>
      </c>
      <c r="B1012" s="28" t="s">
        <v>3138</v>
      </c>
      <c r="C1012" s="6" t="str">
        <f t="shared" si="18"/>
        <v>fbs</v>
      </c>
      <c r="D1012" s="6" t="s">
        <v>13</v>
      </c>
      <c r="E1012" s="6" t="s">
        <v>3139</v>
      </c>
      <c r="F1012" s="21" t="s">
        <v>3142</v>
      </c>
      <c r="G1012" s="6">
        <v>500</v>
      </c>
    </row>
    <row r="1013" spans="1:7" ht="16" x14ac:dyDescent="0.2">
      <c r="A1013" s="6" t="s">
        <v>3137</v>
      </c>
      <c r="B1013" s="28" t="s">
        <v>3138</v>
      </c>
      <c r="C1013" s="6" t="str">
        <f t="shared" si="18"/>
        <v>nofbs</v>
      </c>
      <c r="D1013" s="6" t="s">
        <v>13</v>
      </c>
      <c r="E1013" s="6" t="s">
        <v>3140</v>
      </c>
      <c r="F1013" s="6" t="s">
        <v>3141</v>
      </c>
      <c r="G1013" s="6">
        <v>500</v>
      </c>
    </row>
    <row r="1014" spans="1:7" x14ac:dyDescent="0.15">
      <c r="A1014" s="6" t="s">
        <v>3148</v>
      </c>
      <c r="B1014" s="6" t="s">
        <v>3144</v>
      </c>
      <c r="C1014" s="6" t="str">
        <f t="shared" si="18"/>
        <v>embryo</v>
      </c>
      <c r="D1014" s="6" t="s">
        <v>13</v>
      </c>
      <c r="E1014" s="6" t="s">
        <v>3153</v>
      </c>
      <c r="F1014" s="6" t="s">
        <v>3152</v>
      </c>
      <c r="G1014" s="6">
        <v>500</v>
      </c>
    </row>
    <row r="1015" spans="1:7" x14ac:dyDescent="0.15">
      <c r="A1015" s="6" t="s">
        <v>3149</v>
      </c>
      <c r="B1015" s="6" t="s">
        <v>3144</v>
      </c>
      <c r="C1015" s="6" t="str">
        <f t="shared" si="18"/>
        <v>young</v>
      </c>
      <c r="D1015" s="6" t="s">
        <v>13</v>
      </c>
      <c r="E1015" s="6" t="s">
        <v>3154</v>
      </c>
      <c r="F1015" s="6" t="s">
        <v>3157</v>
      </c>
      <c r="G1015" s="6">
        <v>500</v>
      </c>
    </row>
    <row r="1016" spans="1:7" x14ac:dyDescent="0.15">
      <c r="A1016" s="6" t="s">
        <v>3150</v>
      </c>
      <c r="B1016" s="6" t="s">
        <v>3144</v>
      </c>
      <c r="C1016" s="6" t="str">
        <f t="shared" si="18"/>
        <v>adult</v>
      </c>
      <c r="D1016" s="6" t="s">
        <v>13</v>
      </c>
      <c r="E1016" s="6" t="s">
        <v>3155</v>
      </c>
      <c r="F1016" s="6" t="s">
        <v>3159</v>
      </c>
      <c r="G1016" s="6">
        <v>500</v>
      </c>
    </row>
    <row r="1017" spans="1:7" x14ac:dyDescent="0.15">
      <c r="A1017" s="6" t="s">
        <v>3151</v>
      </c>
      <c r="B1017" s="6" t="s">
        <v>3144</v>
      </c>
      <c r="C1017" s="6" t="str">
        <f t="shared" si="18"/>
        <v>old</v>
      </c>
      <c r="D1017" s="6" t="s">
        <v>13</v>
      </c>
      <c r="E1017" s="6" t="s">
        <v>3156</v>
      </c>
      <c r="F1017" s="6" t="s">
        <v>3158</v>
      </c>
      <c r="G1017" s="6">
        <v>500</v>
      </c>
    </row>
    <row r="1018" spans="1:7" x14ac:dyDescent="0.15">
      <c r="A1018" s="6" t="s">
        <v>3162</v>
      </c>
      <c r="B1018" s="6" t="s">
        <v>3160</v>
      </c>
      <c r="C1018" s="6" t="str">
        <f t="shared" si="18"/>
        <v>qc_hela</v>
      </c>
      <c r="D1018" s="6" t="s">
        <v>13</v>
      </c>
      <c r="E1018" s="6" t="s">
        <v>3163</v>
      </c>
      <c r="F1018" s="6" t="s">
        <v>3164</v>
      </c>
      <c r="G1018" s="6">
        <v>500</v>
      </c>
    </row>
    <row r="1019" spans="1:7" x14ac:dyDescent="0.15">
      <c r="A1019" s="6" t="s">
        <v>3165</v>
      </c>
      <c r="B1019" s="6" t="s">
        <v>3160</v>
      </c>
      <c r="C1019" s="6" t="str">
        <f t="shared" si="18"/>
        <v>qc_base</v>
      </c>
      <c r="D1019" s="6" t="s">
        <v>13</v>
      </c>
      <c r="E1019" s="6" t="s">
        <v>3166</v>
      </c>
      <c r="F1019" s="6" t="s">
        <v>3167</v>
      </c>
      <c r="G1019" s="6">
        <v>500</v>
      </c>
    </row>
    <row r="1020" spans="1:7" x14ac:dyDescent="0.15">
      <c r="A1020" s="6" t="s">
        <v>3217</v>
      </c>
      <c r="B1020" s="6" t="s">
        <v>2768</v>
      </c>
      <c r="C1020" s="6" t="str">
        <f t="shared" si="18"/>
        <v>endog</v>
      </c>
      <c r="D1020" s="6" t="s">
        <v>13</v>
      </c>
      <c r="E1020" s="6" t="s">
        <v>3218</v>
      </c>
      <c r="F1020" s="6" t="s">
        <v>3219</v>
      </c>
      <c r="G1020" s="6">
        <v>500</v>
      </c>
    </row>
    <row r="1021" spans="1:7" x14ac:dyDescent="0.15">
      <c r="A1021" s="6" t="s">
        <v>2213</v>
      </c>
      <c r="B1021" s="6" t="s">
        <v>2768</v>
      </c>
      <c r="C1021" s="6" t="str">
        <f t="shared" si="18"/>
        <v>flag</v>
      </c>
      <c r="D1021" s="6" t="s">
        <v>13</v>
      </c>
      <c r="E1021" s="6" t="s">
        <v>3222</v>
      </c>
      <c r="F1021" s="6" t="s">
        <v>3220</v>
      </c>
      <c r="G1021" s="6">
        <v>500</v>
      </c>
    </row>
    <row r="1022" spans="1:7" x14ac:dyDescent="0.15">
      <c r="A1022" s="6" t="s">
        <v>3221</v>
      </c>
      <c r="B1022" s="6" t="s">
        <v>2768</v>
      </c>
      <c r="C1022" s="6" t="str">
        <f t="shared" si="18"/>
        <v>GST</v>
      </c>
      <c r="D1022" s="6" t="s">
        <v>13</v>
      </c>
      <c r="E1022" s="6" t="s">
        <v>3221</v>
      </c>
      <c r="F1022" s="6" t="s">
        <v>3223</v>
      </c>
      <c r="G1022" s="6">
        <v>500</v>
      </c>
    </row>
    <row r="1023" spans="1:7" x14ac:dyDescent="0.15">
      <c r="A1023" s="6" t="s">
        <v>3226</v>
      </c>
      <c r="B1023" s="29" t="s">
        <v>3225</v>
      </c>
      <c r="C1023" s="6" t="str">
        <f t="shared" si="18"/>
        <v>column_length</v>
      </c>
      <c r="D1023" s="6" t="s">
        <v>13</v>
      </c>
      <c r="E1023" s="6" t="s">
        <v>3228</v>
      </c>
      <c r="F1023" s="6" t="s">
        <v>3234</v>
      </c>
      <c r="G1023" s="6">
        <v>500</v>
      </c>
    </row>
    <row r="1024" spans="1:7" x14ac:dyDescent="0.15">
      <c r="A1024" s="6" t="s">
        <v>3233</v>
      </c>
      <c r="B1024" s="29" t="s">
        <v>3225</v>
      </c>
      <c r="C1024" s="6" t="str">
        <f t="shared" si="18"/>
        <v>column_inner_diameter</v>
      </c>
      <c r="D1024" s="6" t="s">
        <v>13</v>
      </c>
      <c r="E1024" s="6" t="s">
        <v>3229</v>
      </c>
      <c r="F1024" s="6" t="s">
        <v>3231</v>
      </c>
      <c r="G1024" s="6">
        <v>500</v>
      </c>
    </row>
    <row r="1025" spans="1:7" x14ac:dyDescent="0.15">
      <c r="A1025" s="6" t="s">
        <v>3227</v>
      </c>
      <c r="B1025" s="29" t="s">
        <v>3225</v>
      </c>
      <c r="C1025" s="6" t="str">
        <f t="shared" si="18"/>
        <v>column_outer_diameter</v>
      </c>
      <c r="D1025" s="6" t="s">
        <v>13</v>
      </c>
      <c r="E1025" s="6" t="s">
        <v>3230</v>
      </c>
      <c r="F1025" s="6" t="s">
        <v>3232</v>
      </c>
      <c r="G1025" s="6">
        <v>500</v>
      </c>
    </row>
    <row r="1026" spans="1:7" ht="16" x14ac:dyDescent="0.2">
      <c r="A1026" t="s">
        <v>3428</v>
      </c>
      <c r="B1026" s="28" t="s">
        <v>3242</v>
      </c>
      <c r="C1026" t="s">
        <v>3428</v>
      </c>
      <c r="D1026" s="6" t="s">
        <v>13</v>
      </c>
      <c r="E1026" s="6" t="s">
        <v>3244</v>
      </c>
      <c r="F1026" s="6" t="s">
        <v>3429</v>
      </c>
      <c r="G1026" s="6">
        <v>500</v>
      </c>
    </row>
    <row r="1027" spans="1:7" ht="16" x14ac:dyDescent="0.2">
      <c r="A1027" t="s">
        <v>3430</v>
      </c>
      <c r="B1027" s="28" t="s">
        <v>3242</v>
      </c>
      <c r="C1027" t="s">
        <v>3430</v>
      </c>
      <c r="D1027" s="6" t="s">
        <v>13</v>
      </c>
      <c r="E1027" s="6" t="s">
        <v>3245</v>
      </c>
      <c r="F1027" s="6" t="s">
        <v>3431</v>
      </c>
      <c r="G1027" s="6">
        <v>500</v>
      </c>
    </row>
    <row r="1028" spans="1:7" ht="16" x14ac:dyDescent="0.2">
      <c r="A1028" t="s">
        <v>3432</v>
      </c>
      <c r="B1028" s="28" t="s">
        <v>3242</v>
      </c>
      <c r="C1028" t="s">
        <v>3432</v>
      </c>
      <c r="D1028" s="6" t="s">
        <v>13</v>
      </c>
      <c r="E1028" s="6" t="s">
        <v>3246</v>
      </c>
      <c r="F1028" s="6" t="s">
        <v>3433</v>
      </c>
      <c r="G1028" s="6">
        <v>500</v>
      </c>
    </row>
    <row r="1029" spans="1:7" ht="16" x14ac:dyDescent="0.2">
      <c r="A1029" t="s">
        <v>3434</v>
      </c>
      <c r="B1029" s="28" t="s">
        <v>3242</v>
      </c>
      <c r="C1029" t="s">
        <v>3434</v>
      </c>
      <c r="D1029" s="6" t="s">
        <v>13</v>
      </c>
      <c r="E1029" s="6" t="s">
        <v>3247</v>
      </c>
      <c r="F1029" s="6" t="s">
        <v>3435</v>
      </c>
      <c r="G1029" s="6">
        <v>500</v>
      </c>
    </row>
    <row r="1030" spans="1:7" ht="16" x14ac:dyDescent="0.2">
      <c r="A1030" t="s">
        <v>3436</v>
      </c>
      <c r="B1030" s="28" t="s">
        <v>3242</v>
      </c>
      <c r="C1030" t="s">
        <v>3436</v>
      </c>
      <c r="D1030" s="6" t="s">
        <v>13</v>
      </c>
      <c r="E1030" s="6" t="s">
        <v>3248</v>
      </c>
      <c r="F1030" s="6" t="s">
        <v>3437</v>
      </c>
      <c r="G1030" s="6">
        <v>500</v>
      </c>
    </row>
    <row r="1031" spans="1:7" ht="16" x14ac:dyDescent="0.2">
      <c r="A1031" t="s">
        <v>3438</v>
      </c>
      <c r="B1031" s="28" t="s">
        <v>3242</v>
      </c>
      <c r="C1031" t="s">
        <v>3438</v>
      </c>
      <c r="D1031" s="6" t="s">
        <v>13</v>
      </c>
      <c r="E1031" s="6" t="s">
        <v>3249</v>
      </c>
      <c r="F1031" s="6" t="s">
        <v>3439</v>
      </c>
      <c r="G1031" s="6">
        <v>500</v>
      </c>
    </row>
    <row r="1032" spans="1:7" ht="16" x14ac:dyDescent="0.2">
      <c r="A1032" t="s">
        <v>3440</v>
      </c>
      <c r="B1032" s="28" t="s">
        <v>3242</v>
      </c>
      <c r="C1032" t="s">
        <v>3440</v>
      </c>
      <c r="D1032" s="6" t="s">
        <v>13</v>
      </c>
      <c r="E1032" s="6" t="s">
        <v>3250</v>
      </c>
      <c r="F1032" s="6" t="s">
        <v>3441</v>
      </c>
      <c r="G1032" s="6">
        <v>500</v>
      </c>
    </row>
    <row r="1033" spans="1:7" ht="16" x14ac:dyDescent="0.2">
      <c r="A1033" t="s">
        <v>3442</v>
      </c>
      <c r="B1033" s="28" t="s">
        <v>3242</v>
      </c>
      <c r="C1033" t="s">
        <v>3442</v>
      </c>
      <c r="D1033" s="6" t="s">
        <v>13</v>
      </c>
      <c r="E1033" s="6" t="s">
        <v>3251</v>
      </c>
      <c r="F1033" s="6" t="s">
        <v>3443</v>
      </c>
      <c r="G1033" s="6">
        <v>500</v>
      </c>
    </row>
    <row r="1034" spans="1:7" ht="16" x14ac:dyDescent="0.2">
      <c r="A1034" t="s">
        <v>3444</v>
      </c>
      <c r="B1034" s="28" t="s">
        <v>3242</v>
      </c>
      <c r="C1034" t="s">
        <v>3444</v>
      </c>
      <c r="D1034" s="6" t="s">
        <v>13</v>
      </c>
      <c r="E1034" s="6" t="s">
        <v>3252</v>
      </c>
      <c r="F1034" s="6" t="s">
        <v>3445</v>
      </c>
      <c r="G1034" s="6">
        <v>500</v>
      </c>
    </row>
    <row r="1035" spans="1:7" ht="16" x14ac:dyDescent="0.2">
      <c r="A1035" t="s">
        <v>3446</v>
      </c>
      <c r="B1035" s="28" t="s">
        <v>3242</v>
      </c>
      <c r="C1035" t="s">
        <v>3446</v>
      </c>
      <c r="D1035" s="6" t="s">
        <v>13</v>
      </c>
      <c r="E1035" s="6" t="s">
        <v>3253</v>
      </c>
      <c r="F1035" s="6" t="s">
        <v>3447</v>
      </c>
      <c r="G1035" s="6">
        <v>500</v>
      </c>
    </row>
    <row r="1036" spans="1:7" ht="16" x14ac:dyDescent="0.2">
      <c r="A1036" t="s">
        <v>3448</v>
      </c>
      <c r="B1036" s="28" t="s">
        <v>3242</v>
      </c>
      <c r="C1036" t="s">
        <v>3448</v>
      </c>
      <c r="D1036" s="6" t="s">
        <v>13</v>
      </c>
      <c r="E1036" s="6" t="s">
        <v>3254</v>
      </c>
      <c r="F1036" s="6" t="s">
        <v>3449</v>
      </c>
      <c r="G1036" s="6">
        <v>500</v>
      </c>
    </row>
    <row r="1037" spans="1:7" ht="16" x14ac:dyDescent="0.2">
      <c r="A1037" t="s">
        <v>3450</v>
      </c>
      <c r="B1037" s="28" t="s">
        <v>3242</v>
      </c>
      <c r="C1037" t="s">
        <v>3450</v>
      </c>
      <c r="D1037" s="6" t="s">
        <v>13</v>
      </c>
      <c r="E1037" s="6" t="s">
        <v>3255</v>
      </c>
      <c r="F1037" s="6" t="s">
        <v>3451</v>
      </c>
      <c r="G1037" s="6">
        <v>500</v>
      </c>
    </row>
    <row r="1038" spans="1:7" ht="16" x14ac:dyDescent="0.2">
      <c r="A1038" t="s">
        <v>3452</v>
      </c>
      <c r="B1038" s="28" t="s">
        <v>3242</v>
      </c>
      <c r="C1038" t="s">
        <v>3452</v>
      </c>
      <c r="D1038" s="6" t="s">
        <v>13</v>
      </c>
      <c r="E1038" s="6" t="s">
        <v>3256</v>
      </c>
      <c r="F1038" s="6" t="s">
        <v>3453</v>
      </c>
      <c r="G1038" s="6">
        <v>500</v>
      </c>
    </row>
    <row r="1039" spans="1:7" ht="16" x14ac:dyDescent="0.2">
      <c r="A1039" t="s">
        <v>3454</v>
      </c>
      <c r="B1039" s="28" t="s">
        <v>3242</v>
      </c>
      <c r="C1039" t="s">
        <v>3454</v>
      </c>
      <c r="D1039" s="6" t="s">
        <v>13</v>
      </c>
      <c r="E1039" s="6" t="s">
        <v>3257</v>
      </c>
      <c r="F1039" s="6" t="s">
        <v>3455</v>
      </c>
      <c r="G1039" s="6">
        <v>500</v>
      </c>
    </row>
    <row r="1040" spans="1:7" ht="16" x14ac:dyDescent="0.2">
      <c r="A1040" t="s">
        <v>3456</v>
      </c>
      <c r="B1040" s="28" t="s">
        <v>3242</v>
      </c>
      <c r="C1040" t="s">
        <v>3456</v>
      </c>
      <c r="D1040" s="6" t="s">
        <v>13</v>
      </c>
      <c r="E1040" s="6" t="s">
        <v>3258</v>
      </c>
      <c r="F1040" s="6" t="s">
        <v>3457</v>
      </c>
      <c r="G1040" s="6">
        <v>500</v>
      </c>
    </row>
    <row r="1041" spans="1:7" ht="16" x14ac:dyDescent="0.2">
      <c r="A1041" t="s">
        <v>3458</v>
      </c>
      <c r="B1041" s="28" t="s">
        <v>3242</v>
      </c>
      <c r="C1041" t="s">
        <v>3458</v>
      </c>
      <c r="D1041" s="6" t="s">
        <v>13</v>
      </c>
      <c r="E1041" s="6" t="s">
        <v>3259</v>
      </c>
      <c r="F1041" s="6" t="s">
        <v>3459</v>
      </c>
      <c r="G1041" s="6">
        <v>500</v>
      </c>
    </row>
    <row r="1042" spans="1:7" ht="16" x14ac:dyDescent="0.2">
      <c r="A1042" t="s">
        <v>3460</v>
      </c>
      <c r="B1042" s="28" t="s">
        <v>3242</v>
      </c>
      <c r="C1042" t="s">
        <v>3460</v>
      </c>
      <c r="D1042" s="6" t="s">
        <v>13</v>
      </c>
      <c r="E1042" s="6" t="s">
        <v>3260</v>
      </c>
      <c r="F1042" s="6" t="s">
        <v>3461</v>
      </c>
      <c r="G1042" s="6">
        <v>500</v>
      </c>
    </row>
    <row r="1043" spans="1:7" ht="16" x14ac:dyDescent="0.2">
      <c r="A1043" t="s">
        <v>3462</v>
      </c>
      <c r="B1043" s="28" t="s">
        <v>3242</v>
      </c>
      <c r="C1043" t="s">
        <v>3462</v>
      </c>
      <c r="D1043" s="6" t="s">
        <v>13</v>
      </c>
      <c r="E1043" s="6" t="s">
        <v>3261</v>
      </c>
      <c r="F1043" s="6" t="s">
        <v>3463</v>
      </c>
      <c r="G1043" s="6">
        <v>500</v>
      </c>
    </row>
    <row r="1044" spans="1:7" ht="16" x14ac:dyDescent="0.2">
      <c r="A1044" t="s">
        <v>3464</v>
      </c>
      <c r="B1044" s="28" t="s">
        <v>3242</v>
      </c>
      <c r="C1044" t="s">
        <v>3464</v>
      </c>
      <c r="D1044" s="6" t="s">
        <v>13</v>
      </c>
      <c r="E1044" s="6" t="s">
        <v>3262</v>
      </c>
      <c r="F1044" s="6" t="s">
        <v>3465</v>
      </c>
      <c r="G1044" s="6">
        <v>500</v>
      </c>
    </row>
    <row r="1045" spans="1:7" ht="16" x14ac:dyDescent="0.2">
      <c r="A1045" t="s">
        <v>3466</v>
      </c>
      <c r="B1045" s="28" t="s">
        <v>3242</v>
      </c>
      <c r="C1045" t="s">
        <v>3466</v>
      </c>
      <c r="D1045" s="6" t="s">
        <v>13</v>
      </c>
      <c r="E1045" s="6" t="s">
        <v>3263</v>
      </c>
      <c r="F1045" s="6" t="s">
        <v>3467</v>
      </c>
      <c r="G1045" s="6">
        <v>500</v>
      </c>
    </row>
    <row r="1046" spans="1:7" ht="16" x14ac:dyDescent="0.2">
      <c r="A1046" t="s">
        <v>3468</v>
      </c>
      <c r="B1046" s="28" t="s">
        <v>3242</v>
      </c>
      <c r="C1046" t="s">
        <v>3468</v>
      </c>
      <c r="D1046" s="6" t="s">
        <v>13</v>
      </c>
      <c r="E1046" s="6" t="s">
        <v>3264</v>
      </c>
      <c r="F1046" s="6" t="s">
        <v>3469</v>
      </c>
      <c r="G1046" s="6">
        <v>500</v>
      </c>
    </row>
    <row r="1047" spans="1:7" ht="16" x14ac:dyDescent="0.2">
      <c r="A1047" t="s">
        <v>3470</v>
      </c>
      <c r="B1047" s="28" t="s">
        <v>3242</v>
      </c>
      <c r="C1047" t="s">
        <v>3470</v>
      </c>
      <c r="D1047" s="6" t="s">
        <v>13</v>
      </c>
      <c r="E1047" s="6" t="s">
        <v>3265</v>
      </c>
      <c r="F1047" s="6" t="s">
        <v>3471</v>
      </c>
      <c r="G1047" s="6">
        <v>500</v>
      </c>
    </row>
    <row r="1048" spans="1:7" ht="16" x14ac:dyDescent="0.2">
      <c r="A1048" t="s">
        <v>3472</v>
      </c>
      <c r="B1048" s="28" t="s">
        <v>3242</v>
      </c>
      <c r="C1048" t="s">
        <v>3472</v>
      </c>
      <c r="D1048" s="6" t="s">
        <v>13</v>
      </c>
      <c r="E1048" s="6" t="s">
        <v>3266</v>
      </c>
      <c r="F1048" s="6" t="s">
        <v>3473</v>
      </c>
      <c r="G1048" s="6">
        <v>500</v>
      </c>
    </row>
    <row r="1049" spans="1:7" ht="16" x14ac:dyDescent="0.2">
      <c r="A1049" t="s">
        <v>3474</v>
      </c>
      <c r="B1049" s="28" t="s">
        <v>3242</v>
      </c>
      <c r="C1049" t="s">
        <v>3474</v>
      </c>
      <c r="D1049" s="6" t="s">
        <v>13</v>
      </c>
      <c r="E1049" s="6" t="s">
        <v>3267</v>
      </c>
      <c r="F1049" s="6" t="s">
        <v>3475</v>
      </c>
      <c r="G1049" s="6">
        <v>500</v>
      </c>
    </row>
    <row r="1050" spans="1:7" ht="16" x14ac:dyDescent="0.2">
      <c r="A1050" t="s">
        <v>3476</v>
      </c>
      <c r="B1050" s="28" t="s">
        <v>3242</v>
      </c>
      <c r="C1050" t="s">
        <v>3476</v>
      </c>
      <c r="D1050" s="6" t="s">
        <v>13</v>
      </c>
      <c r="E1050" s="6" t="s">
        <v>3268</v>
      </c>
      <c r="F1050" s="6" t="s">
        <v>3477</v>
      </c>
      <c r="G1050" s="6">
        <v>500</v>
      </c>
    </row>
    <row r="1051" spans="1:7" ht="16" x14ac:dyDescent="0.2">
      <c r="A1051" t="s">
        <v>3478</v>
      </c>
      <c r="B1051" s="28" t="s">
        <v>3242</v>
      </c>
      <c r="C1051" t="s">
        <v>3478</v>
      </c>
      <c r="D1051" s="6" t="s">
        <v>13</v>
      </c>
      <c r="E1051" s="6" t="s">
        <v>3269</v>
      </c>
      <c r="F1051" s="6" t="s">
        <v>3479</v>
      </c>
      <c r="G1051" s="6">
        <v>500</v>
      </c>
    </row>
    <row r="1052" spans="1:7" ht="16" x14ac:dyDescent="0.2">
      <c r="A1052" t="s">
        <v>3480</v>
      </c>
      <c r="B1052" s="28" t="s">
        <v>3242</v>
      </c>
      <c r="C1052" t="s">
        <v>3480</v>
      </c>
      <c r="D1052" s="6" t="s">
        <v>13</v>
      </c>
      <c r="E1052" s="6" t="s">
        <v>3270</v>
      </c>
      <c r="F1052" s="6" t="s">
        <v>3481</v>
      </c>
      <c r="G1052" s="6">
        <v>500</v>
      </c>
    </row>
    <row r="1053" spans="1:7" ht="16" x14ac:dyDescent="0.2">
      <c r="A1053" t="s">
        <v>3482</v>
      </c>
      <c r="B1053" s="28" t="s">
        <v>3242</v>
      </c>
      <c r="C1053" t="s">
        <v>3482</v>
      </c>
      <c r="D1053" s="6" t="s">
        <v>13</v>
      </c>
      <c r="E1053" s="6" t="s">
        <v>3271</v>
      </c>
      <c r="F1053" s="6" t="s">
        <v>3483</v>
      </c>
      <c r="G1053" s="6">
        <v>500</v>
      </c>
    </row>
    <row r="1054" spans="1:7" ht="16" x14ac:dyDescent="0.2">
      <c r="A1054" t="s">
        <v>3484</v>
      </c>
      <c r="B1054" s="28" t="s">
        <v>3242</v>
      </c>
      <c r="C1054" t="s">
        <v>3484</v>
      </c>
      <c r="D1054" s="6" t="s">
        <v>13</v>
      </c>
      <c r="E1054" s="6" t="s">
        <v>3272</v>
      </c>
      <c r="F1054" s="6" t="s">
        <v>3485</v>
      </c>
      <c r="G1054" s="6">
        <v>500</v>
      </c>
    </row>
    <row r="1055" spans="1:7" ht="16" x14ac:dyDescent="0.2">
      <c r="A1055" t="s">
        <v>3486</v>
      </c>
      <c r="B1055" s="28" t="s">
        <v>3242</v>
      </c>
      <c r="C1055" t="s">
        <v>3486</v>
      </c>
      <c r="D1055" s="6" t="s">
        <v>13</v>
      </c>
      <c r="E1055" s="6" t="s">
        <v>3273</v>
      </c>
      <c r="F1055" s="6" t="s">
        <v>3487</v>
      </c>
      <c r="G1055" s="6">
        <v>500</v>
      </c>
    </row>
    <row r="1056" spans="1:7" ht="16" x14ac:dyDescent="0.2">
      <c r="A1056" t="s">
        <v>3488</v>
      </c>
      <c r="B1056" s="28" t="s">
        <v>3242</v>
      </c>
      <c r="C1056" t="s">
        <v>3488</v>
      </c>
      <c r="D1056" s="6" t="s">
        <v>13</v>
      </c>
      <c r="E1056" s="6" t="s">
        <v>3274</v>
      </c>
      <c r="F1056" s="6" t="s">
        <v>3489</v>
      </c>
      <c r="G1056" s="6">
        <v>500</v>
      </c>
    </row>
    <row r="1057" spans="1:7" ht="16" x14ac:dyDescent="0.2">
      <c r="A1057" t="s">
        <v>3490</v>
      </c>
      <c r="B1057" s="28" t="s">
        <v>3242</v>
      </c>
      <c r="C1057" t="s">
        <v>3490</v>
      </c>
      <c r="D1057" s="6" t="s">
        <v>13</v>
      </c>
      <c r="E1057" s="6" t="s">
        <v>3275</v>
      </c>
      <c r="F1057" s="6" t="s">
        <v>3491</v>
      </c>
      <c r="G1057" s="6">
        <v>500</v>
      </c>
    </row>
    <row r="1058" spans="1:7" ht="16" x14ac:dyDescent="0.2">
      <c r="A1058" t="s">
        <v>3492</v>
      </c>
      <c r="B1058" s="28" t="s">
        <v>3242</v>
      </c>
      <c r="C1058" t="s">
        <v>3492</v>
      </c>
      <c r="D1058" s="6" t="s">
        <v>13</v>
      </c>
      <c r="E1058" s="6" t="s">
        <v>3276</v>
      </c>
      <c r="F1058" s="6" t="s">
        <v>3493</v>
      </c>
      <c r="G1058" s="6">
        <v>500</v>
      </c>
    </row>
    <row r="1059" spans="1:7" ht="16" x14ac:dyDescent="0.2">
      <c r="A1059" t="s">
        <v>3494</v>
      </c>
      <c r="B1059" s="28" t="s">
        <v>3242</v>
      </c>
      <c r="C1059" t="s">
        <v>3494</v>
      </c>
      <c r="D1059" s="6" t="s">
        <v>13</v>
      </c>
      <c r="E1059" s="6" t="s">
        <v>3277</v>
      </c>
      <c r="F1059" s="6" t="s">
        <v>3495</v>
      </c>
      <c r="G1059" s="6">
        <v>500</v>
      </c>
    </row>
    <row r="1060" spans="1:7" ht="16" x14ac:dyDescent="0.2">
      <c r="A1060" t="s">
        <v>3496</v>
      </c>
      <c r="B1060" s="28" t="s">
        <v>3242</v>
      </c>
      <c r="C1060" t="s">
        <v>3496</v>
      </c>
      <c r="D1060" s="6" t="s">
        <v>13</v>
      </c>
      <c r="E1060" s="6" t="s">
        <v>3278</v>
      </c>
      <c r="F1060" s="6" t="s">
        <v>3497</v>
      </c>
      <c r="G1060" s="6">
        <v>500</v>
      </c>
    </row>
    <row r="1061" spans="1:7" ht="16" x14ac:dyDescent="0.2">
      <c r="A1061" t="s">
        <v>3498</v>
      </c>
      <c r="B1061" s="28" t="s">
        <v>3242</v>
      </c>
      <c r="C1061" t="s">
        <v>3498</v>
      </c>
      <c r="D1061" s="6" t="s">
        <v>13</v>
      </c>
      <c r="E1061" s="6" t="s">
        <v>3279</v>
      </c>
      <c r="F1061" s="6" t="s">
        <v>3499</v>
      </c>
      <c r="G1061" s="6">
        <v>500</v>
      </c>
    </row>
    <row r="1062" spans="1:7" ht="16" x14ac:dyDescent="0.2">
      <c r="A1062" t="s">
        <v>3500</v>
      </c>
      <c r="B1062" s="28" t="s">
        <v>3242</v>
      </c>
      <c r="C1062" t="s">
        <v>3500</v>
      </c>
      <c r="D1062" s="6" t="s">
        <v>13</v>
      </c>
      <c r="E1062" s="6" t="s">
        <v>3280</v>
      </c>
      <c r="F1062" s="6" t="s">
        <v>3501</v>
      </c>
      <c r="G1062" s="6">
        <v>500</v>
      </c>
    </row>
    <row r="1063" spans="1:7" ht="16" x14ac:dyDescent="0.2">
      <c r="A1063" t="s">
        <v>3502</v>
      </c>
      <c r="B1063" s="28" t="s">
        <v>3242</v>
      </c>
      <c r="C1063" t="s">
        <v>3502</v>
      </c>
      <c r="D1063" s="6" t="s">
        <v>13</v>
      </c>
      <c r="E1063" s="6" t="s">
        <v>3281</v>
      </c>
      <c r="F1063" s="6" t="s">
        <v>3503</v>
      </c>
      <c r="G1063" s="6">
        <v>500</v>
      </c>
    </row>
    <row r="1064" spans="1:7" ht="16" x14ac:dyDescent="0.2">
      <c r="A1064" t="s">
        <v>3504</v>
      </c>
      <c r="B1064" s="28" t="s">
        <v>3242</v>
      </c>
      <c r="C1064" t="s">
        <v>3504</v>
      </c>
      <c r="D1064" s="6" t="s">
        <v>13</v>
      </c>
      <c r="E1064" s="6" t="s">
        <v>3282</v>
      </c>
      <c r="F1064" s="6" t="s">
        <v>3505</v>
      </c>
      <c r="G1064" s="6">
        <v>500</v>
      </c>
    </row>
    <row r="1065" spans="1:7" ht="16" x14ac:dyDescent="0.2">
      <c r="A1065" t="s">
        <v>3506</v>
      </c>
      <c r="B1065" s="28" t="s">
        <v>3242</v>
      </c>
      <c r="C1065" t="s">
        <v>3506</v>
      </c>
      <c r="D1065" s="6" t="s">
        <v>13</v>
      </c>
      <c r="E1065" s="6" t="s">
        <v>3283</v>
      </c>
      <c r="F1065" s="6" t="s">
        <v>3507</v>
      </c>
      <c r="G1065" s="6">
        <v>500</v>
      </c>
    </row>
    <row r="1066" spans="1:7" ht="16" x14ac:dyDescent="0.2">
      <c r="A1066" t="s">
        <v>3508</v>
      </c>
      <c r="B1066" s="28" t="s">
        <v>3242</v>
      </c>
      <c r="C1066" t="s">
        <v>3508</v>
      </c>
      <c r="D1066" s="6" t="s">
        <v>13</v>
      </c>
      <c r="E1066" s="6" t="s">
        <v>3284</v>
      </c>
      <c r="F1066" s="6" t="s">
        <v>3509</v>
      </c>
      <c r="G1066" s="6">
        <v>500</v>
      </c>
    </row>
    <row r="1067" spans="1:7" ht="16" x14ac:dyDescent="0.2">
      <c r="A1067" t="s">
        <v>3510</v>
      </c>
      <c r="B1067" s="28" t="s">
        <v>3242</v>
      </c>
      <c r="C1067" t="s">
        <v>3510</v>
      </c>
      <c r="D1067" s="6" t="s">
        <v>13</v>
      </c>
      <c r="E1067" s="6" t="s">
        <v>3285</v>
      </c>
      <c r="F1067" s="6" t="s">
        <v>3511</v>
      </c>
      <c r="G1067" s="6">
        <v>500</v>
      </c>
    </row>
    <row r="1068" spans="1:7" ht="16" x14ac:dyDescent="0.2">
      <c r="A1068" t="s">
        <v>3512</v>
      </c>
      <c r="B1068" s="28" t="s">
        <v>3242</v>
      </c>
      <c r="C1068" t="s">
        <v>3512</v>
      </c>
      <c r="D1068" s="6" t="s">
        <v>13</v>
      </c>
      <c r="E1068" s="6" t="s">
        <v>3286</v>
      </c>
      <c r="F1068" s="6" t="s">
        <v>3513</v>
      </c>
      <c r="G1068" s="6">
        <v>500</v>
      </c>
    </row>
    <row r="1069" spans="1:7" ht="16" x14ac:dyDescent="0.2">
      <c r="A1069" t="s">
        <v>3514</v>
      </c>
      <c r="B1069" s="28" t="s">
        <v>3242</v>
      </c>
      <c r="C1069" t="s">
        <v>3514</v>
      </c>
      <c r="D1069" s="6" t="s">
        <v>13</v>
      </c>
      <c r="E1069" s="6" t="s">
        <v>3287</v>
      </c>
      <c r="F1069" s="6" t="s">
        <v>3515</v>
      </c>
      <c r="G1069" s="6">
        <v>500</v>
      </c>
    </row>
    <row r="1070" spans="1:7" ht="16" x14ac:dyDescent="0.2">
      <c r="A1070" t="s">
        <v>3516</v>
      </c>
      <c r="B1070" s="28" t="s">
        <v>3242</v>
      </c>
      <c r="C1070" t="s">
        <v>3516</v>
      </c>
      <c r="D1070" s="6" t="s">
        <v>13</v>
      </c>
      <c r="E1070" s="6" t="s">
        <v>3288</v>
      </c>
      <c r="F1070" s="6" t="s">
        <v>3517</v>
      </c>
      <c r="G1070" s="6">
        <v>500</v>
      </c>
    </row>
    <row r="1071" spans="1:7" ht="16" x14ac:dyDescent="0.2">
      <c r="A1071" t="s">
        <v>3518</v>
      </c>
      <c r="B1071" s="28" t="s">
        <v>3242</v>
      </c>
      <c r="C1071" t="s">
        <v>3518</v>
      </c>
      <c r="D1071" s="6" t="s">
        <v>13</v>
      </c>
      <c r="E1071" s="6" t="s">
        <v>3289</v>
      </c>
      <c r="F1071" s="6" t="s">
        <v>3519</v>
      </c>
      <c r="G1071" s="6">
        <v>500</v>
      </c>
    </row>
    <row r="1072" spans="1:7" ht="16" x14ac:dyDescent="0.2">
      <c r="A1072" t="s">
        <v>3520</v>
      </c>
      <c r="B1072" s="28" t="s">
        <v>3242</v>
      </c>
      <c r="C1072" t="s">
        <v>3520</v>
      </c>
      <c r="D1072" s="6" t="s">
        <v>13</v>
      </c>
      <c r="E1072" s="6" t="s">
        <v>3290</v>
      </c>
      <c r="F1072" s="6" t="s">
        <v>3521</v>
      </c>
      <c r="G1072" s="6">
        <v>500</v>
      </c>
    </row>
    <row r="1073" spans="1:7" ht="16" x14ac:dyDescent="0.2">
      <c r="A1073" t="s">
        <v>3522</v>
      </c>
      <c r="B1073" s="28" t="s">
        <v>3242</v>
      </c>
      <c r="C1073" t="s">
        <v>3522</v>
      </c>
      <c r="D1073" s="6" t="s">
        <v>13</v>
      </c>
      <c r="E1073" s="6" t="s">
        <v>3291</v>
      </c>
      <c r="F1073" s="6" t="s">
        <v>3523</v>
      </c>
      <c r="G1073" s="6">
        <v>500</v>
      </c>
    </row>
    <row r="1074" spans="1:7" ht="16" x14ac:dyDescent="0.2">
      <c r="A1074" t="s">
        <v>3524</v>
      </c>
      <c r="B1074" s="28" t="s">
        <v>3242</v>
      </c>
      <c r="C1074" t="s">
        <v>3524</v>
      </c>
      <c r="D1074" s="6" t="s">
        <v>13</v>
      </c>
      <c r="E1074" s="6" t="s">
        <v>3292</v>
      </c>
      <c r="F1074" s="6" t="s">
        <v>3525</v>
      </c>
      <c r="G1074" s="6">
        <v>500</v>
      </c>
    </row>
    <row r="1075" spans="1:7" ht="16" x14ac:dyDescent="0.2">
      <c r="A1075" t="s">
        <v>3526</v>
      </c>
      <c r="B1075" s="28" t="s">
        <v>3242</v>
      </c>
      <c r="C1075" t="s">
        <v>3526</v>
      </c>
      <c r="D1075" s="6" t="s">
        <v>13</v>
      </c>
      <c r="E1075" s="6" t="s">
        <v>3293</v>
      </c>
      <c r="F1075" s="6" t="s">
        <v>3527</v>
      </c>
      <c r="G1075" s="6">
        <v>500</v>
      </c>
    </row>
    <row r="1076" spans="1:7" ht="16" x14ac:dyDescent="0.2">
      <c r="A1076" t="s">
        <v>3528</v>
      </c>
      <c r="B1076" s="28" t="s">
        <v>3242</v>
      </c>
      <c r="C1076" t="s">
        <v>3528</v>
      </c>
      <c r="D1076" s="6" t="s">
        <v>13</v>
      </c>
      <c r="E1076" s="6" t="s">
        <v>3294</v>
      </c>
      <c r="F1076" s="6" t="s">
        <v>3529</v>
      </c>
      <c r="G1076" s="6">
        <v>500</v>
      </c>
    </row>
    <row r="1077" spans="1:7" ht="16" x14ac:dyDescent="0.2">
      <c r="A1077" t="s">
        <v>3530</v>
      </c>
      <c r="B1077" s="28" t="s">
        <v>3242</v>
      </c>
      <c r="C1077" t="s">
        <v>3530</v>
      </c>
      <c r="D1077" s="6" t="s">
        <v>13</v>
      </c>
      <c r="E1077" s="6" t="s">
        <v>3295</v>
      </c>
      <c r="F1077" s="6" t="s">
        <v>3531</v>
      </c>
      <c r="G1077" s="6">
        <v>500</v>
      </c>
    </row>
    <row r="1078" spans="1:7" ht="16" x14ac:dyDescent="0.2">
      <c r="A1078" t="s">
        <v>3532</v>
      </c>
      <c r="B1078" s="28" t="s">
        <v>3242</v>
      </c>
      <c r="C1078" t="s">
        <v>3532</v>
      </c>
      <c r="D1078" s="6" t="s">
        <v>13</v>
      </c>
      <c r="E1078" s="6" t="s">
        <v>3296</v>
      </c>
      <c r="F1078" s="6" t="s">
        <v>3533</v>
      </c>
      <c r="G1078" s="6">
        <v>500</v>
      </c>
    </row>
    <row r="1079" spans="1:7" ht="16" x14ac:dyDescent="0.2">
      <c r="A1079" t="s">
        <v>3534</v>
      </c>
      <c r="B1079" s="28" t="s">
        <v>3242</v>
      </c>
      <c r="C1079" t="s">
        <v>3534</v>
      </c>
      <c r="D1079" s="6" t="s">
        <v>13</v>
      </c>
      <c r="E1079" s="6" t="s">
        <v>3535</v>
      </c>
      <c r="F1079" s="6" t="s">
        <v>3536</v>
      </c>
      <c r="G1079" s="6">
        <v>500</v>
      </c>
    </row>
    <row r="1080" spans="1:7" ht="16" x14ac:dyDescent="0.2">
      <c r="A1080" t="s">
        <v>3537</v>
      </c>
      <c r="B1080" s="28" t="s">
        <v>3242</v>
      </c>
      <c r="C1080" t="s">
        <v>3537</v>
      </c>
      <c r="D1080" s="6" t="s">
        <v>13</v>
      </c>
      <c r="E1080" s="6" t="s">
        <v>3538</v>
      </c>
      <c r="F1080" s="6" t="s">
        <v>3539</v>
      </c>
      <c r="G1080" s="6">
        <v>500</v>
      </c>
    </row>
    <row r="1081" spans="1:7" ht="16" x14ac:dyDescent="0.2">
      <c r="A1081" t="s">
        <v>3540</v>
      </c>
      <c r="B1081" s="28" t="s">
        <v>3242</v>
      </c>
      <c r="C1081" t="s">
        <v>3540</v>
      </c>
      <c r="D1081" s="6" t="s">
        <v>13</v>
      </c>
      <c r="E1081" s="6" t="s">
        <v>3297</v>
      </c>
      <c r="F1081" s="6" t="s">
        <v>3541</v>
      </c>
      <c r="G1081" s="6">
        <v>500</v>
      </c>
    </row>
    <row r="1082" spans="1:7" ht="16" x14ac:dyDescent="0.2">
      <c r="A1082" t="s">
        <v>3542</v>
      </c>
      <c r="B1082" s="28" t="s">
        <v>3242</v>
      </c>
      <c r="C1082" t="s">
        <v>3542</v>
      </c>
      <c r="D1082" s="6" t="s">
        <v>13</v>
      </c>
      <c r="E1082" s="6" t="s">
        <v>3298</v>
      </c>
      <c r="F1082" s="6" t="s">
        <v>3543</v>
      </c>
      <c r="G1082" s="6">
        <v>500</v>
      </c>
    </row>
    <row r="1083" spans="1:7" ht="16" x14ac:dyDescent="0.2">
      <c r="A1083" t="s">
        <v>3544</v>
      </c>
      <c r="B1083" s="28" t="s">
        <v>3242</v>
      </c>
      <c r="C1083" t="s">
        <v>3544</v>
      </c>
      <c r="D1083" s="6" t="s">
        <v>13</v>
      </c>
      <c r="E1083" s="6" t="s">
        <v>3299</v>
      </c>
      <c r="F1083" s="6" t="s">
        <v>3545</v>
      </c>
      <c r="G1083" s="6">
        <v>500</v>
      </c>
    </row>
    <row r="1084" spans="1:7" ht="16" x14ac:dyDescent="0.2">
      <c r="A1084" t="s">
        <v>3546</v>
      </c>
      <c r="B1084" s="28" t="s">
        <v>3242</v>
      </c>
      <c r="C1084" t="s">
        <v>3546</v>
      </c>
      <c r="D1084" s="6" t="s">
        <v>13</v>
      </c>
      <c r="E1084" s="6" t="s">
        <v>3300</v>
      </c>
      <c r="F1084" s="6" t="s">
        <v>3547</v>
      </c>
      <c r="G1084" s="6">
        <v>500</v>
      </c>
    </row>
    <row r="1085" spans="1:7" ht="16" x14ac:dyDescent="0.2">
      <c r="A1085" t="s">
        <v>3548</v>
      </c>
      <c r="B1085" s="28" t="s">
        <v>3242</v>
      </c>
      <c r="C1085" t="s">
        <v>3548</v>
      </c>
      <c r="D1085" s="6" t="s">
        <v>13</v>
      </c>
      <c r="E1085" s="6" t="s">
        <v>3301</v>
      </c>
      <c r="F1085" s="6" t="s">
        <v>3549</v>
      </c>
      <c r="G1085" s="6">
        <v>500</v>
      </c>
    </row>
    <row r="1086" spans="1:7" ht="16" x14ac:dyDescent="0.2">
      <c r="A1086" t="s">
        <v>3550</v>
      </c>
      <c r="B1086" s="28" t="s">
        <v>3242</v>
      </c>
      <c r="C1086" t="s">
        <v>3550</v>
      </c>
      <c r="D1086" s="6" t="s">
        <v>13</v>
      </c>
      <c r="E1086" s="6" t="s">
        <v>3302</v>
      </c>
      <c r="F1086" s="6" t="s">
        <v>3551</v>
      </c>
      <c r="G1086" s="6">
        <v>500</v>
      </c>
    </row>
    <row r="1087" spans="1:7" ht="16" x14ac:dyDescent="0.2">
      <c r="A1087" t="s">
        <v>3552</v>
      </c>
      <c r="B1087" s="28" t="s">
        <v>3242</v>
      </c>
      <c r="C1087" t="s">
        <v>3552</v>
      </c>
      <c r="D1087" s="6" t="s">
        <v>13</v>
      </c>
      <c r="E1087" s="6" t="s">
        <v>3303</v>
      </c>
      <c r="F1087" s="6" t="s">
        <v>3553</v>
      </c>
      <c r="G1087" s="6">
        <v>500</v>
      </c>
    </row>
    <row r="1088" spans="1:7" ht="16" x14ac:dyDescent="0.2">
      <c r="A1088" t="s">
        <v>3554</v>
      </c>
      <c r="B1088" s="28" t="s">
        <v>3242</v>
      </c>
      <c r="C1088" t="s">
        <v>3554</v>
      </c>
      <c r="D1088" s="6" t="s">
        <v>13</v>
      </c>
      <c r="E1088" s="6" t="s">
        <v>3555</v>
      </c>
      <c r="F1088" s="6" t="s">
        <v>3556</v>
      </c>
      <c r="G1088" s="6">
        <v>500</v>
      </c>
    </row>
    <row r="1089" spans="1:7" ht="16" x14ac:dyDescent="0.2">
      <c r="A1089" t="s">
        <v>3557</v>
      </c>
      <c r="B1089" s="28" t="s">
        <v>3242</v>
      </c>
      <c r="C1089" t="s">
        <v>3557</v>
      </c>
      <c r="D1089" s="6" t="s">
        <v>13</v>
      </c>
      <c r="E1089" s="6" t="s">
        <v>3558</v>
      </c>
      <c r="F1089" s="6" t="s">
        <v>3559</v>
      </c>
      <c r="G1089" s="6">
        <v>500</v>
      </c>
    </row>
    <row r="1090" spans="1:7" ht="16" x14ac:dyDescent="0.2">
      <c r="A1090" t="s">
        <v>3560</v>
      </c>
      <c r="B1090" s="28" t="s">
        <v>3242</v>
      </c>
      <c r="C1090" t="s">
        <v>3560</v>
      </c>
      <c r="D1090" s="6" t="s">
        <v>13</v>
      </c>
      <c r="E1090" s="6" t="s">
        <v>3558</v>
      </c>
      <c r="F1090" s="6" t="s">
        <v>3561</v>
      </c>
      <c r="G1090" s="6">
        <v>500</v>
      </c>
    </row>
    <row r="1091" spans="1:7" ht="16" x14ac:dyDescent="0.2">
      <c r="A1091" t="s">
        <v>3562</v>
      </c>
      <c r="B1091" s="28" t="s">
        <v>3242</v>
      </c>
      <c r="C1091" t="s">
        <v>3562</v>
      </c>
      <c r="D1091" s="6" t="s">
        <v>13</v>
      </c>
      <c r="E1091" s="6" t="s">
        <v>3304</v>
      </c>
      <c r="F1091" s="6" t="s">
        <v>3563</v>
      </c>
      <c r="G1091" s="6">
        <v>500</v>
      </c>
    </row>
    <row r="1092" spans="1:7" ht="16" x14ac:dyDescent="0.2">
      <c r="A1092" t="s">
        <v>3564</v>
      </c>
      <c r="B1092" s="28" t="s">
        <v>3242</v>
      </c>
      <c r="C1092" t="s">
        <v>3564</v>
      </c>
      <c r="D1092" s="6" t="s">
        <v>13</v>
      </c>
      <c r="E1092" s="6" t="s">
        <v>3305</v>
      </c>
      <c r="F1092" s="6" t="s">
        <v>3565</v>
      </c>
      <c r="G1092" s="6">
        <v>500</v>
      </c>
    </row>
    <row r="1093" spans="1:7" ht="16" x14ac:dyDescent="0.2">
      <c r="A1093" t="s">
        <v>3566</v>
      </c>
      <c r="B1093" s="28" t="s">
        <v>3242</v>
      </c>
      <c r="C1093" t="s">
        <v>3566</v>
      </c>
      <c r="D1093" s="6" t="s">
        <v>13</v>
      </c>
      <c r="E1093" s="6" t="s">
        <v>3306</v>
      </c>
      <c r="F1093" s="6" t="s">
        <v>3567</v>
      </c>
      <c r="G1093" s="6">
        <v>500</v>
      </c>
    </row>
    <row r="1094" spans="1:7" ht="16" x14ac:dyDescent="0.2">
      <c r="A1094" t="s">
        <v>3568</v>
      </c>
      <c r="B1094" s="28" t="s">
        <v>3242</v>
      </c>
      <c r="C1094" t="s">
        <v>3568</v>
      </c>
      <c r="D1094" s="6" t="s">
        <v>13</v>
      </c>
      <c r="E1094" s="6" t="s">
        <v>3307</v>
      </c>
      <c r="F1094" s="6" t="s">
        <v>3569</v>
      </c>
      <c r="G1094" s="6">
        <v>500</v>
      </c>
    </row>
    <row r="1095" spans="1:7" ht="16" x14ac:dyDescent="0.2">
      <c r="A1095" t="s">
        <v>3570</v>
      </c>
      <c r="B1095" s="28" t="s">
        <v>3242</v>
      </c>
      <c r="C1095" t="s">
        <v>3570</v>
      </c>
      <c r="D1095" s="6" t="s">
        <v>13</v>
      </c>
      <c r="E1095" s="6" t="s">
        <v>3308</v>
      </c>
      <c r="F1095" s="6" t="s">
        <v>3571</v>
      </c>
      <c r="G1095" s="6">
        <v>500</v>
      </c>
    </row>
    <row r="1096" spans="1:7" ht="16" x14ac:dyDescent="0.2">
      <c r="A1096" t="s">
        <v>3572</v>
      </c>
      <c r="B1096" s="28" t="s">
        <v>3242</v>
      </c>
      <c r="C1096" t="s">
        <v>3572</v>
      </c>
      <c r="D1096" s="6" t="s">
        <v>13</v>
      </c>
      <c r="E1096" s="6" t="s">
        <v>3309</v>
      </c>
      <c r="F1096" s="6" t="s">
        <v>3573</v>
      </c>
      <c r="G1096" s="6">
        <v>500</v>
      </c>
    </row>
    <row r="1097" spans="1:7" ht="16" x14ac:dyDescent="0.2">
      <c r="A1097" t="s">
        <v>3574</v>
      </c>
      <c r="B1097" s="28" t="s">
        <v>3242</v>
      </c>
      <c r="C1097" t="s">
        <v>3574</v>
      </c>
      <c r="D1097" s="6" t="s">
        <v>13</v>
      </c>
      <c r="E1097" s="6" t="s">
        <v>3310</v>
      </c>
      <c r="F1097" s="6" t="s">
        <v>3575</v>
      </c>
      <c r="G1097" s="6">
        <v>500</v>
      </c>
    </row>
    <row r="1098" spans="1:7" ht="16" x14ac:dyDescent="0.2">
      <c r="A1098" t="s">
        <v>3576</v>
      </c>
      <c r="B1098" s="28" t="s">
        <v>3242</v>
      </c>
      <c r="C1098" t="s">
        <v>3576</v>
      </c>
      <c r="D1098" s="6" t="s">
        <v>13</v>
      </c>
      <c r="E1098" s="6" t="s">
        <v>3311</v>
      </c>
      <c r="F1098" s="6" t="s">
        <v>3577</v>
      </c>
      <c r="G1098" s="6">
        <v>500</v>
      </c>
    </row>
    <row r="1099" spans="1:7" ht="16" x14ac:dyDescent="0.2">
      <c r="A1099" t="s">
        <v>3578</v>
      </c>
      <c r="B1099" s="28" t="s">
        <v>3242</v>
      </c>
      <c r="C1099" t="s">
        <v>3578</v>
      </c>
      <c r="D1099" s="6" t="s">
        <v>13</v>
      </c>
      <c r="E1099" s="6" t="s">
        <v>3312</v>
      </c>
      <c r="F1099" s="6" t="s">
        <v>3579</v>
      </c>
      <c r="G1099" s="6">
        <v>500</v>
      </c>
    </row>
    <row r="1100" spans="1:7" ht="16" x14ac:dyDescent="0.2">
      <c r="A1100" t="s">
        <v>3580</v>
      </c>
      <c r="B1100" s="28" t="s">
        <v>3242</v>
      </c>
      <c r="C1100" t="s">
        <v>3580</v>
      </c>
      <c r="D1100" s="6" t="s">
        <v>13</v>
      </c>
      <c r="E1100" s="6" t="s">
        <v>3313</v>
      </c>
      <c r="F1100" s="6" t="s">
        <v>3581</v>
      </c>
      <c r="G1100" s="6">
        <v>500</v>
      </c>
    </row>
    <row r="1101" spans="1:7" ht="16" x14ac:dyDescent="0.2">
      <c r="A1101" t="s">
        <v>3582</v>
      </c>
      <c r="B1101" s="28" t="s">
        <v>3242</v>
      </c>
      <c r="C1101" t="s">
        <v>3582</v>
      </c>
      <c r="D1101" s="6" t="s">
        <v>13</v>
      </c>
      <c r="E1101" s="6" t="s">
        <v>3314</v>
      </c>
      <c r="F1101" s="6" t="s">
        <v>3583</v>
      </c>
      <c r="G1101" s="6">
        <v>500</v>
      </c>
    </row>
    <row r="1102" spans="1:7" ht="16" x14ac:dyDescent="0.2">
      <c r="A1102" t="s">
        <v>3584</v>
      </c>
      <c r="B1102" s="28" t="s">
        <v>3242</v>
      </c>
      <c r="C1102" t="s">
        <v>3584</v>
      </c>
      <c r="D1102" s="6" t="s">
        <v>13</v>
      </c>
      <c r="E1102" s="6" t="s">
        <v>3315</v>
      </c>
      <c r="F1102" s="6" t="s">
        <v>3585</v>
      </c>
      <c r="G1102" s="6">
        <v>500</v>
      </c>
    </row>
    <row r="1103" spans="1:7" ht="16" x14ac:dyDescent="0.2">
      <c r="A1103" t="s">
        <v>3586</v>
      </c>
      <c r="B1103" s="28" t="s">
        <v>3242</v>
      </c>
      <c r="C1103" t="s">
        <v>3586</v>
      </c>
      <c r="D1103" s="6" t="s">
        <v>13</v>
      </c>
      <c r="E1103" s="6" t="s">
        <v>3316</v>
      </c>
      <c r="F1103" s="6" t="s">
        <v>3587</v>
      </c>
      <c r="G1103" s="6">
        <v>500</v>
      </c>
    </row>
    <row r="1104" spans="1:7" ht="16" x14ac:dyDescent="0.2">
      <c r="A1104" t="s">
        <v>3588</v>
      </c>
      <c r="B1104" s="28" t="s">
        <v>3242</v>
      </c>
      <c r="C1104" t="s">
        <v>3588</v>
      </c>
      <c r="D1104" s="6" t="s">
        <v>13</v>
      </c>
      <c r="E1104" s="6" t="s">
        <v>3317</v>
      </c>
      <c r="F1104" s="6" t="s">
        <v>3589</v>
      </c>
      <c r="G1104" s="6">
        <v>500</v>
      </c>
    </row>
    <row r="1105" spans="1:7" ht="16" x14ac:dyDescent="0.2">
      <c r="A1105" t="s">
        <v>3590</v>
      </c>
      <c r="B1105" s="28" t="s">
        <v>3242</v>
      </c>
      <c r="C1105" t="s">
        <v>3590</v>
      </c>
      <c r="D1105" s="6" t="s">
        <v>13</v>
      </c>
      <c r="E1105" s="6" t="s">
        <v>3318</v>
      </c>
      <c r="F1105" s="6" t="s">
        <v>3591</v>
      </c>
      <c r="G1105" s="6">
        <v>500</v>
      </c>
    </row>
    <row r="1106" spans="1:7" ht="16" x14ac:dyDescent="0.2">
      <c r="A1106" t="s">
        <v>3592</v>
      </c>
      <c r="B1106" s="28" t="s">
        <v>3242</v>
      </c>
      <c r="C1106" t="s">
        <v>3592</v>
      </c>
      <c r="D1106" s="6" t="s">
        <v>13</v>
      </c>
      <c r="E1106" s="6" t="s">
        <v>3319</v>
      </c>
      <c r="F1106" s="6" t="s">
        <v>3593</v>
      </c>
      <c r="G1106" s="6">
        <v>500</v>
      </c>
    </row>
    <row r="1107" spans="1:7" ht="16" x14ac:dyDescent="0.2">
      <c r="A1107" t="s">
        <v>3594</v>
      </c>
      <c r="B1107" s="28" t="s">
        <v>3242</v>
      </c>
      <c r="C1107" t="s">
        <v>3594</v>
      </c>
      <c r="D1107" s="6" t="s">
        <v>13</v>
      </c>
      <c r="E1107" s="6" t="s">
        <v>3320</v>
      </c>
      <c r="F1107" s="6" t="s">
        <v>3595</v>
      </c>
      <c r="G1107" s="6">
        <v>500</v>
      </c>
    </row>
    <row r="1108" spans="1:7" ht="16" x14ac:dyDescent="0.2">
      <c r="A1108" t="s">
        <v>3596</v>
      </c>
      <c r="B1108" s="28" t="s">
        <v>3242</v>
      </c>
      <c r="C1108" t="s">
        <v>3596</v>
      </c>
      <c r="D1108" s="6" t="s">
        <v>13</v>
      </c>
      <c r="E1108" s="6" t="s">
        <v>3838</v>
      </c>
      <c r="F1108" s="6" t="s">
        <v>3839</v>
      </c>
      <c r="G1108" s="6">
        <v>500</v>
      </c>
    </row>
    <row r="1109" spans="1:7" ht="16" x14ac:dyDescent="0.2">
      <c r="A1109" t="s">
        <v>3597</v>
      </c>
      <c r="B1109" s="28" t="s">
        <v>3242</v>
      </c>
      <c r="C1109" t="s">
        <v>3597</v>
      </c>
      <c r="D1109" s="6" t="s">
        <v>13</v>
      </c>
      <c r="E1109" s="6" t="s">
        <v>3321</v>
      </c>
      <c r="F1109" s="6" t="s">
        <v>3598</v>
      </c>
      <c r="G1109" s="6">
        <v>500</v>
      </c>
    </row>
    <row r="1110" spans="1:7" ht="16" x14ac:dyDescent="0.2">
      <c r="A1110" t="s">
        <v>3599</v>
      </c>
      <c r="B1110" s="28" t="s">
        <v>3242</v>
      </c>
      <c r="C1110" t="s">
        <v>3599</v>
      </c>
      <c r="D1110" s="6" t="s">
        <v>13</v>
      </c>
      <c r="E1110" s="6" t="s">
        <v>3322</v>
      </c>
      <c r="F1110" s="6" t="s">
        <v>3600</v>
      </c>
      <c r="G1110" s="6">
        <v>500</v>
      </c>
    </row>
    <row r="1111" spans="1:7" ht="16" x14ac:dyDescent="0.2">
      <c r="A1111" t="s">
        <v>3601</v>
      </c>
      <c r="B1111" s="28" t="s">
        <v>3242</v>
      </c>
      <c r="C1111" t="s">
        <v>3601</v>
      </c>
      <c r="D1111" s="6" t="s">
        <v>13</v>
      </c>
      <c r="E1111" s="6" t="s">
        <v>3323</v>
      </c>
      <c r="F1111" s="6" t="s">
        <v>3602</v>
      </c>
      <c r="G1111" s="6">
        <v>500</v>
      </c>
    </row>
    <row r="1112" spans="1:7" ht="16" x14ac:dyDescent="0.2">
      <c r="A1112" t="s">
        <v>3603</v>
      </c>
      <c r="B1112" s="28" t="s">
        <v>3242</v>
      </c>
      <c r="C1112" t="s">
        <v>3603</v>
      </c>
      <c r="D1112" s="6" t="s">
        <v>13</v>
      </c>
      <c r="E1112" s="6" t="s">
        <v>3324</v>
      </c>
      <c r="F1112" s="6" t="s">
        <v>3604</v>
      </c>
      <c r="G1112" s="6">
        <v>500</v>
      </c>
    </row>
    <row r="1113" spans="1:7" ht="16" x14ac:dyDescent="0.2">
      <c r="A1113" t="s">
        <v>3605</v>
      </c>
      <c r="B1113" s="28" t="s">
        <v>3242</v>
      </c>
      <c r="C1113" t="s">
        <v>3605</v>
      </c>
      <c r="D1113" s="6" t="s">
        <v>13</v>
      </c>
      <c r="E1113" s="6" t="s">
        <v>3325</v>
      </c>
      <c r="F1113" s="6" t="s">
        <v>3606</v>
      </c>
      <c r="G1113" s="6">
        <v>500</v>
      </c>
    </row>
    <row r="1114" spans="1:7" ht="16" x14ac:dyDescent="0.2">
      <c r="A1114" t="s">
        <v>3607</v>
      </c>
      <c r="B1114" s="28" t="s">
        <v>3242</v>
      </c>
      <c r="C1114" t="s">
        <v>3607</v>
      </c>
      <c r="D1114" s="6" t="s">
        <v>13</v>
      </c>
      <c r="E1114" s="6" t="s">
        <v>3608</v>
      </c>
      <c r="F1114" s="6" t="s">
        <v>3609</v>
      </c>
      <c r="G1114" s="6">
        <v>500</v>
      </c>
    </row>
    <row r="1115" spans="1:7" ht="16" x14ac:dyDescent="0.2">
      <c r="A1115" t="s">
        <v>3610</v>
      </c>
      <c r="B1115" s="28" t="s">
        <v>3242</v>
      </c>
      <c r="C1115" t="s">
        <v>3610</v>
      </c>
      <c r="D1115" s="6" t="s">
        <v>13</v>
      </c>
      <c r="E1115" s="6" t="s">
        <v>3611</v>
      </c>
      <c r="F1115" s="6" t="s">
        <v>3612</v>
      </c>
      <c r="G1115" s="6">
        <v>500</v>
      </c>
    </row>
    <row r="1116" spans="1:7" ht="16" x14ac:dyDescent="0.2">
      <c r="A1116" t="s">
        <v>3613</v>
      </c>
      <c r="B1116" s="28" t="s">
        <v>3242</v>
      </c>
      <c r="C1116" t="s">
        <v>3613</v>
      </c>
      <c r="D1116" s="6" t="s">
        <v>13</v>
      </c>
      <c r="E1116" s="6" t="s">
        <v>3326</v>
      </c>
      <c r="F1116" s="6" t="s">
        <v>3614</v>
      </c>
      <c r="G1116" s="6">
        <v>500</v>
      </c>
    </row>
    <row r="1117" spans="1:7" ht="16" x14ac:dyDescent="0.2">
      <c r="A1117" t="s">
        <v>3615</v>
      </c>
      <c r="B1117" s="28" t="s">
        <v>3242</v>
      </c>
      <c r="C1117" t="s">
        <v>3615</v>
      </c>
      <c r="D1117" s="6" t="s">
        <v>13</v>
      </c>
      <c r="E1117" s="6" t="s">
        <v>3327</v>
      </c>
      <c r="F1117" s="6" t="s">
        <v>3616</v>
      </c>
      <c r="G1117" s="6">
        <v>500</v>
      </c>
    </row>
    <row r="1118" spans="1:7" ht="16" x14ac:dyDescent="0.2">
      <c r="A1118" t="s">
        <v>3617</v>
      </c>
      <c r="B1118" s="28" t="s">
        <v>3242</v>
      </c>
      <c r="C1118" t="s">
        <v>3617</v>
      </c>
      <c r="D1118" s="6" t="s">
        <v>13</v>
      </c>
      <c r="E1118" s="6" t="s">
        <v>3328</v>
      </c>
      <c r="F1118" s="6" t="s">
        <v>3618</v>
      </c>
      <c r="G1118" s="6">
        <v>500</v>
      </c>
    </row>
    <row r="1119" spans="1:7" ht="16" x14ac:dyDescent="0.2">
      <c r="A1119" t="s">
        <v>3619</v>
      </c>
      <c r="B1119" s="28" t="s">
        <v>3242</v>
      </c>
      <c r="C1119" t="s">
        <v>3619</v>
      </c>
      <c r="D1119" s="6" t="s">
        <v>13</v>
      </c>
      <c r="E1119" s="6" t="s">
        <v>3329</v>
      </c>
      <c r="F1119" s="6" t="s">
        <v>3620</v>
      </c>
      <c r="G1119" s="6">
        <v>500</v>
      </c>
    </row>
    <row r="1120" spans="1:7" ht="16" x14ac:dyDescent="0.2">
      <c r="A1120" t="s">
        <v>3621</v>
      </c>
      <c r="B1120" s="28" t="s">
        <v>3242</v>
      </c>
      <c r="C1120" t="s">
        <v>3621</v>
      </c>
      <c r="D1120" s="6" t="s">
        <v>13</v>
      </c>
      <c r="E1120" s="6" t="s">
        <v>3330</v>
      </c>
      <c r="F1120" s="6" t="s">
        <v>3622</v>
      </c>
      <c r="G1120" s="6">
        <v>500</v>
      </c>
    </row>
    <row r="1121" spans="1:7" ht="16" x14ac:dyDescent="0.2">
      <c r="A1121" t="s">
        <v>3623</v>
      </c>
      <c r="B1121" s="28" t="s">
        <v>3242</v>
      </c>
      <c r="C1121" t="s">
        <v>3623</v>
      </c>
      <c r="D1121" s="6" t="s">
        <v>13</v>
      </c>
      <c r="E1121" s="6" t="s">
        <v>3331</v>
      </c>
      <c r="F1121" s="6" t="s">
        <v>3624</v>
      </c>
      <c r="G1121" s="6">
        <v>500</v>
      </c>
    </row>
    <row r="1122" spans="1:7" ht="16" x14ac:dyDescent="0.2">
      <c r="A1122" t="s">
        <v>3625</v>
      </c>
      <c r="B1122" s="28" t="s">
        <v>3242</v>
      </c>
      <c r="C1122" t="s">
        <v>3625</v>
      </c>
      <c r="D1122" s="6" t="s">
        <v>13</v>
      </c>
      <c r="E1122" s="6" t="s">
        <v>3332</v>
      </c>
      <c r="F1122" s="6" t="s">
        <v>3626</v>
      </c>
      <c r="G1122" s="6">
        <v>500</v>
      </c>
    </row>
    <row r="1123" spans="1:7" ht="16" x14ac:dyDescent="0.2">
      <c r="A1123" t="s">
        <v>3627</v>
      </c>
      <c r="B1123" s="28" t="s">
        <v>3242</v>
      </c>
      <c r="C1123" t="s">
        <v>3627</v>
      </c>
      <c r="D1123" s="6" t="s">
        <v>13</v>
      </c>
      <c r="E1123" s="6" t="s">
        <v>3628</v>
      </c>
      <c r="F1123" s="6" t="s">
        <v>3629</v>
      </c>
      <c r="G1123" s="6">
        <v>500</v>
      </c>
    </row>
    <row r="1124" spans="1:7" ht="16" x14ac:dyDescent="0.2">
      <c r="A1124" t="s">
        <v>3630</v>
      </c>
      <c r="B1124" s="28" t="s">
        <v>3242</v>
      </c>
      <c r="C1124" t="s">
        <v>3630</v>
      </c>
      <c r="D1124" s="6" t="s">
        <v>13</v>
      </c>
      <c r="E1124" s="6" t="s">
        <v>3333</v>
      </c>
      <c r="F1124" s="6" t="s">
        <v>3631</v>
      </c>
      <c r="G1124" s="6">
        <v>500</v>
      </c>
    </row>
    <row r="1125" spans="1:7" ht="16" x14ac:dyDescent="0.2">
      <c r="A1125" t="s">
        <v>3632</v>
      </c>
      <c r="B1125" s="28" t="s">
        <v>3242</v>
      </c>
      <c r="C1125" t="s">
        <v>3632</v>
      </c>
      <c r="D1125" s="6" t="s">
        <v>13</v>
      </c>
      <c r="E1125" s="6" t="s">
        <v>3334</v>
      </c>
      <c r="F1125" s="6" t="s">
        <v>3633</v>
      </c>
      <c r="G1125" s="6">
        <v>500</v>
      </c>
    </row>
    <row r="1126" spans="1:7" ht="16" x14ac:dyDescent="0.2">
      <c r="A1126" t="s">
        <v>3634</v>
      </c>
      <c r="B1126" s="28" t="s">
        <v>3242</v>
      </c>
      <c r="C1126" t="s">
        <v>3634</v>
      </c>
      <c r="D1126" s="6" t="s">
        <v>13</v>
      </c>
      <c r="E1126" s="6" t="s">
        <v>3335</v>
      </c>
      <c r="F1126" s="6" t="s">
        <v>3635</v>
      </c>
      <c r="G1126" s="6">
        <v>500</v>
      </c>
    </row>
    <row r="1127" spans="1:7" ht="16" x14ac:dyDescent="0.2">
      <c r="A1127" t="s">
        <v>3636</v>
      </c>
      <c r="B1127" s="28" t="s">
        <v>3242</v>
      </c>
      <c r="C1127" t="s">
        <v>3636</v>
      </c>
      <c r="D1127" s="6" t="s">
        <v>13</v>
      </c>
      <c r="E1127" s="6" t="s">
        <v>3336</v>
      </c>
      <c r="F1127" s="6" t="s">
        <v>3637</v>
      </c>
      <c r="G1127" s="6">
        <v>500</v>
      </c>
    </row>
    <row r="1128" spans="1:7" ht="16" x14ac:dyDescent="0.2">
      <c r="A1128" t="s">
        <v>3638</v>
      </c>
      <c r="B1128" s="28" t="s">
        <v>3242</v>
      </c>
      <c r="C1128" t="s">
        <v>3638</v>
      </c>
      <c r="D1128" s="6" t="s">
        <v>13</v>
      </c>
      <c r="E1128" s="6" t="s">
        <v>3337</v>
      </c>
      <c r="F1128" s="6" t="s">
        <v>3639</v>
      </c>
      <c r="G1128" s="6">
        <v>500</v>
      </c>
    </row>
    <row r="1129" spans="1:7" ht="16" x14ac:dyDescent="0.2">
      <c r="A1129" t="s">
        <v>3640</v>
      </c>
      <c r="B1129" s="28" t="s">
        <v>3242</v>
      </c>
      <c r="C1129" t="s">
        <v>3640</v>
      </c>
      <c r="D1129" s="6" t="s">
        <v>13</v>
      </c>
      <c r="E1129" s="6" t="s">
        <v>3338</v>
      </c>
      <c r="F1129" s="6" t="s">
        <v>3641</v>
      </c>
      <c r="G1129" s="6">
        <v>500</v>
      </c>
    </row>
    <row r="1130" spans="1:7" ht="16" x14ac:dyDescent="0.2">
      <c r="A1130" t="s">
        <v>3642</v>
      </c>
      <c r="B1130" s="28" t="s">
        <v>3242</v>
      </c>
      <c r="C1130" t="s">
        <v>3642</v>
      </c>
      <c r="D1130" s="6" t="s">
        <v>13</v>
      </c>
      <c r="E1130" s="6" t="s">
        <v>3339</v>
      </c>
      <c r="F1130" s="6" t="s">
        <v>3643</v>
      </c>
      <c r="G1130" s="6">
        <v>500</v>
      </c>
    </row>
    <row r="1131" spans="1:7" ht="16" x14ac:dyDescent="0.2">
      <c r="A1131" t="s">
        <v>3644</v>
      </c>
      <c r="B1131" s="28" t="s">
        <v>3242</v>
      </c>
      <c r="C1131" t="s">
        <v>3644</v>
      </c>
      <c r="D1131" s="6" t="s">
        <v>13</v>
      </c>
      <c r="E1131" s="6" t="s">
        <v>3340</v>
      </c>
      <c r="F1131" s="6" t="s">
        <v>3645</v>
      </c>
      <c r="G1131" s="6">
        <v>500</v>
      </c>
    </row>
    <row r="1132" spans="1:7" ht="16" x14ac:dyDescent="0.2">
      <c r="A1132" t="s">
        <v>3646</v>
      </c>
      <c r="B1132" s="28" t="s">
        <v>3242</v>
      </c>
      <c r="C1132" t="s">
        <v>3646</v>
      </c>
      <c r="D1132" s="6" t="s">
        <v>13</v>
      </c>
      <c r="E1132" s="6" t="s">
        <v>3341</v>
      </c>
      <c r="F1132" s="6" t="s">
        <v>3647</v>
      </c>
      <c r="G1132" s="6">
        <v>500</v>
      </c>
    </row>
    <row r="1133" spans="1:7" ht="16" x14ac:dyDescent="0.2">
      <c r="A1133" t="s">
        <v>3648</v>
      </c>
      <c r="B1133" s="28" t="s">
        <v>3242</v>
      </c>
      <c r="C1133" t="s">
        <v>3648</v>
      </c>
      <c r="D1133" s="6" t="s">
        <v>13</v>
      </c>
      <c r="E1133" s="6" t="s">
        <v>3342</v>
      </c>
      <c r="F1133" s="6" t="s">
        <v>3649</v>
      </c>
      <c r="G1133" s="6">
        <v>500</v>
      </c>
    </row>
    <row r="1134" spans="1:7" ht="16" x14ac:dyDescent="0.2">
      <c r="A1134" t="s">
        <v>3650</v>
      </c>
      <c r="B1134" s="28" t="s">
        <v>3242</v>
      </c>
      <c r="C1134" t="s">
        <v>3650</v>
      </c>
      <c r="D1134" s="6" t="s">
        <v>13</v>
      </c>
      <c r="E1134" s="6" t="s">
        <v>3343</v>
      </c>
      <c r="F1134" s="6" t="s">
        <v>3651</v>
      </c>
      <c r="G1134" s="6">
        <v>500</v>
      </c>
    </row>
    <row r="1135" spans="1:7" ht="16" x14ac:dyDescent="0.2">
      <c r="A1135" t="s">
        <v>3652</v>
      </c>
      <c r="B1135" s="28" t="s">
        <v>3242</v>
      </c>
      <c r="C1135" t="s">
        <v>3652</v>
      </c>
      <c r="D1135" s="6" t="s">
        <v>13</v>
      </c>
      <c r="E1135" s="6" t="s">
        <v>3344</v>
      </c>
      <c r="F1135" s="6" t="s">
        <v>3653</v>
      </c>
      <c r="G1135" s="6">
        <v>500</v>
      </c>
    </row>
    <row r="1136" spans="1:7" ht="16" x14ac:dyDescent="0.2">
      <c r="A1136" t="s">
        <v>3654</v>
      </c>
      <c r="B1136" s="28" t="s">
        <v>3242</v>
      </c>
      <c r="C1136" t="s">
        <v>3654</v>
      </c>
      <c r="D1136" s="6" t="s">
        <v>13</v>
      </c>
      <c r="E1136" s="6" t="s">
        <v>3345</v>
      </c>
      <c r="F1136" s="6" t="s">
        <v>3655</v>
      </c>
      <c r="G1136" s="6">
        <v>500</v>
      </c>
    </row>
    <row r="1137" spans="1:7" ht="16" x14ac:dyDescent="0.2">
      <c r="A1137" t="s">
        <v>3656</v>
      </c>
      <c r="B1137" s="28" t="s">
        <v>3242</v>
      </c>
      <c r="C1137" t="s">
        <v>3656</v>
      </c>
      <c r="D1137" s="6" t="s">
        <v>13</v>
      </c>
      <c r="E1137" s="6" t="s">
        <v>3346</v>
      </c>
      <c r="F1137" s="6" t="s">
        <v>3657</v>
      </c>
      <c r="G1137" s="6">
        <v>500</v>
      </c>
    </row>
    <row r="1138" spans="1:7" ht="16" x14ac:dyDescent="0.2">
      <c r="A1138" t="s">
        <v>3658</v>
      </c>
      <c r="B1138" s="28" t="s">
        <v>3242</v>
      </c>
      <c r="C1138" t="s">
        <v>3658</v>
      </c>
      <c r="D1138" s="6" t="s">
        <v>13</v>
      </c>
      <c r="E1138" s="6" t="s">
        <v>3347</v>
      </c>
      <c r="F1138" s="6" t="s">
        <v>3659</v>
      </c>
      <c r="G1138" s="6">
        <v>500</v>
      </c>
    </row>
    <row r="1139" spans="1:7" ht="16" x14ac:dyDescent="0.2">
      <c r="A1139" t="s">
        <v>3660</v>
      </c>
      <c r="B1139" s="28" t="s">
        <v>3242</v>
      </c>
      <c r="C1139" t="s">
        <v>3660</v>
      </c>
      <c r="D1139" s="6" t="s">
        <v>13</v>
      </c>
      <c r="E1139" s="6" t="s">
        <v>3348</v>
      </c>
      <c r="F1139" s="6" t="s">
        <v>3661</v>
      </c>
      <c r="G1139" s="6">
        <v>500</v>
      </c>
    </row>
    <row r="1140" spans="1:7" ht="16" x14ac:dyDescent="0.2">
      <c r="A1140" t="s">
        <v>3662</v>
      </c>
      <c r="B1140" s="28" t="s">
        <v>3242</v>
      </c>
      <c r="C1140" t="s">
        <v>3662</v>
      </c>
      <c r="D1140" s="6" t="s">
        <v>13</v>
      </c>
      <c r="E1140" s="6" t="s">
        <v>3349</v>
      </c>
      <c r="F1140" s="6" t="s">
        <v>3663</v>
      </c>
      <c r="G1140" s="6">
        <v>500</v>
      </c>
    </row>
    <row r="1141" spans="1:7" ht="16" x14ac:dyDescent="0.2">
      <c r="A1141" t="s">
        <v>3664</v>
      </c>
      <c r="B1141" s="28" t="s">
        <v>3242</v>
      </c>
      <c r="C1141" t="s">
        <v>3664</v>
      </c>
      <c r="D1141" s="6" t="s">
        <v>13</v>
      </c>
      <c r="E1141" s="6" t="s">
        <v>3350</v>
      </c>
      <c r="F1141" s="6" t="s">
        <v>3665</v>
      </c>
      <c r="G1141" s="6">
        <v>500</v>
      </c>
    </row>
    <row r="1142" spans="1:7" ht="16" x14ac:dyDescent="0.2">
      <c r="A1142" t="s">
        <v>3666</v>
      </c>
      <c r="B1142" s="28" t="s">
        <v>3242</v>
      </c>
      <c r="C1142" t="s">
        <v>3666</v>
      </c>
      <c r="D1142" s="6" t="s">
        <v>13</v>
      </c>
      <c r="E1142" s="6" t="s">
        <v>3351</v>
      </c>
      <c r="F1142" s="6" t="s">
        <v>3667</v>
      </c>
      <c r="G1142" s="6">
        <v>500</v>
      </c>
    </row>
    <row r="1143" spans="1:7" ht="16" x14ac:dyDescent="0.2">
      <c r="A1143" t="s">
        <v>3668</v>
      </c>
      <c r="B1143" s="28" t="s">
        <v>3242</v>
      </c>
      <c r="C1143" t="s">
        <v>3668</v>
      </c>
      <c r="D1143" s="6" t="s">
        <v>13</v>
      </c>
      <c r="E1143" s="6" t="s">
        <v>3352</v>
      </c>
      <c r="F1143" s="6" t="s">
        <v>3669</v>
      </c>
      <c r="G1143" s="6">
        <v>500</v>
      </c>
    </row>
    <row r="1144" spans="1:7" ht="16" x14ac:dyDescent="0.2">
      <c r="A1144" t="s">
        <v>3670</v>
      </c>
      <c r="B1144" s="28" t="s">
        <v>3242</v>
      </c>
      <c r="C1144" t="s">
        <v>3670</v>
      </c>
      <c r="D1144" s="6" t="s">
        <v>13</v>
      </c>
      <c r="E1144" s="6" t="s">
        <v>3671</v>
      </c>
      <c r="F1144" s="6" t="s">
        <v>3672</v>
      </c>
      <c r="G1144" s="6">
        <v>500</v>
      </c>
    </row>
    <row r="1145" spans="1:7" ht="16" x14ac:dyDescent="0.2">
      <c r="A1145" t="s">
        <v>3673</v>
      </c>
      <c r="B1145" s="28" t="s">
        <v>3242</v>
      </c>
      <c r="C1145" t="s">
        <v>3673</v>
      </c>
      <c r="D1145" s="6" t="s">
        <v>13</v>
      </c>
      <c r="E1145" s="6" t="s">
        <v>3353</v>
      </c>
      <c r="F1145" s="6" t="s">
        <v>3674</v>
      </c>
      <c r="G1145" s="6">
        <v>500</v>
      </c>
    </row>
    <row r="1146" spans="1:7" ht="16" x14ac:dyDescent="0.2">
      <c r="A1146" t="s">
        <v>3675</v>
      </c>
      <c r="B1146" s="28" t="s">
        <v>3242</v>
      </c>
      <c r="C1146" t="s">
        <v>3675</v>
      </c>
      <c r="D1146" s="6" t="s">
        <v>13</v>
      </c>
      <c r="E1146" s="6" t="s">
        <v>3354</v>
      </c>
      <c r="F1146" s="6" t="s">
        <v>3676</v>
      </c>
      <c r="G1146" s="6">
        <v>500</v>
      </c>
    </row>
    <row r="1147" spans="1:7" ht="16" x14ac:dyDescent="0.2">
      <c r="A1147" t="s">
        <v>3677</v>
      </c>
      <c r="B1147" s="28" t="s">
        <v>3242</v>
      </c>
      <c r="C1147" t="s">
        <v>3677</v>
      </c>
      <c r="D1147" s="6" t="s">
        <v>13</v>
      </c>
      <c r="E1147" s="6" t="s">
        <v>3355</v>
      </c>
      <c r="F1147" s="6" t="s">
        <v>3678</v>
      </c>
      <c r="G1147" s="6">
        <v>500</v>
      </c>
    </row>
    <row r="1148" spans="1:7" ht="16" x14ac:dyDescent="0.2">
      <c r="A1148" t="s">
        <v>3679</v>
      </c>
      <c r="B1148" s="28" t="s">
        <v>3242</v>
      </c>
      <c r="C1148" t="s">
        <v>3679</v>
      </c>
      <c r="D1148" s="6" t="s">
        <v>13</v>
      </c>
      <c r="E1148" s="6" t="s">
        <v>3680</v>
      </c>
      <c r="F1148" s="6" t="s">
        <v>3681</v>
      </c>
      <c r="G1148" s="6">
        <v>500</v>
      </c>
    </row>
    <row r="1149" spans="1:7" ht="16" x14ac:dyDescent="0.2">
      <c r="A1149" t="s">
        <v>3682</v>
      </c>
      <c r="B1149" s="28" t="s">
        <v>3242</v>
      </c>
      <c r="C1149" t="s">
        <v>3682</v>
      </c>
      <c r="D1149" s="6" t="s">
        <v>13</v>
      </c>
      <c r="E1149" s="6" t="s">
        <v>3356</v>
      </c>
      <c r="F1149" s="6" t="s">
        <v>3683</v>
      </c>
      <c r="G1149" s="6">
        <v>500</v>
      </c>
    </row>
    <row r="1150" spans="1:7" ht="16" x14ac:dyDescent="0.2">
      <c r="A1150" t="s">
        <v>3684</v>
      </c>
      <c r="B1150" s="28" t="s">
        <v>3242</v>
      </c>
      <c r="C1150" t="s">
        <v>3684</v>
      </c>
      <c r="D1150" s="6" t="s">
        <v>13</v>
      </c>
      <c r="E1150" s="6" t="s">
        <v>3357</v>
      </c>
      <c r="F1150" s="6" t="s">
        <v>3685</v>
      </c>
      <c r="G1150" s="6">
        <v>500</v>
      </c>
    </row>
    <row r="1151" spans="1:7" ht="16" x14ac:dyDescent="0.2">
      <c r="A1151" t="s">
        <v>3686</v>
      </c>
      <c r="B1151" s="28" t="s">
        <v>3242</v>
      </c>
      <c r="C1151" t="s">
        <v>3686</v>
      </c>
      <c r="D1151" s="6" t="s">
        <v>13</v>
      </c>
      <c r="E1151" s="6" t="s">
        <v>3358</v>
      </c>
      <c r="F1151" s="6" t="s">
        <v>3687</v>
      </c>
      <c r="G1151" s="6">
        <v>500</v>
      </c>
    </row>
    <row r="1152" spans="1:7" ht="16" x14ac:dyDescent="0.2">
      <c r="A1152" t="s">
        <v>3688</v>
      </c>
      <c r="B1152" s="28" t="s">
        <v>3242</v>
      </c>
      <c r="C1152" t="s">
        <v>3688</v>
      </c>
      <c r="D1152" s="6" t="s">
        <v>13</v>
      </c>
      <c r="E1152" s="6" t="s">
        <v>3359</v>
      </c>
      <c r="F1152" s="6" t="s">
        <v>3689</v>
      </c>
      <c r="G1152" s="6">
        <v>500</v>
      </c>
    </row>
    <row r="1153" spans="1:7" ht="16" x14ac:dyDescent="0.2">
      <c r="A1153" t="s">
        <v>3690</v>
      </c>
      <c r="B1153" s="28" t="s">
        <v>3242</v>
      </c>
      <c r="C1153" t="s">
        <v>3690</v>
      </c>
      <c r="D1153" s="6" t="s">
        <v>13</v>
      </c>
      <c r="E1153" s="6" t="s">
        <v>3360</v>
      </c>
      <c r="F1153" s="6" t="s">
        <v>3691</v>
      </c>
      <c r="G1153" s="6">
        <v>500</v>
      </c>
    </row>
    <row r="1154" spans="1:7" ht="16" x14ac:dyDescent="0.2">
      <c r="A1154" t="s">
        <v>3692</v>
      </c>
      <c r="B1154" s="28" t="s">
        <v>3242</v>
      </c>
      <c r="C1154" t="s">
        <v>3692</v>
      </c>
      <c r="D1154" s="6" t="s">
        <v>13</v>
      </c>
      <c r="E1154" s="6" t="s">
        <v>3361</v>
      </c>
      <c r="F1154" s="6" t="s">
        <v>3693</v>
      </c>
      <c r="G1154" s="6">
        <v>500</v>
      </c>
    </row>
    <row r="1155" spans="1:7" ht="16" x14ac:dyDescent="0.2">
      <c r="A1155" t="s">
        <v>3694</v>
      </c>
      <c r="B1155" s="28" t="s">
        <v>3242</v>
      </c>
      <c r="C1155" t="s">
        <v>3694</v>
      </c>
      <c r="D1155" s="6" t="s">
        <v>13</v>
      </c>
      <c r="E1155" s="6" t="s">
        <v>3362</v>
      </c>
      <c r="F1155" s="6" t="s">
        <v>3695</v>
      </c>
      <c r="G1155" s="6">
        <v>500</v>
      </c>
    </row>
    <row r="1156" spans="1:7" ht="16" x14ac:dyDescent="0.2">
      <c r="A1156" t="s">
        <v>3696</v>
      </c>
      <c r="B1156" s="28" t="s">
        <v>3242</v>
      </c>
      <c r="C1156" t="s">
        <v>3696</v>
      </c>
      <c r="D1156" s="6" t="s">
        <v>13</v>
      </c>
      <c r="E1156" s="6" t="s">
        <v>3363</v>
      </c>
      <c r="F1156" s="6" t="s">
        <v>3697</v>
      </c>
      <c r="G1156" s="6">
        <v>500</v>
      </c>
    </row>
    <row r="1157" spans="1:7" ht="16" x14ac:dyDescent="0.2">
      <c r="A1157" t="s">
        <v>3698</v>
      </c>
      <c r="B1157" s="28" t="s">
        <v>3242</v>
      </c>
      <c r="C1157" t="s">
        <v>3698</v>
      </c>
      <c r="D1157" s="6" t="s">
        <v>13</v>
      </c>
      <c r="E1157" s="6" t="s">
        <v>3364</v>
      </c>
      <c r="F1157" s="6" t="s">
        <v>3699</v>
      </c>
      <c r="G1157" s="6">
        <v>500</v>
      </c>
    </row>
    <row r="1158" spans="1:7" ht="16" x14ac:dyDescent="0.2">
      <c r="A1158" t="s">
        <v>3700</v>
      </c>
      <c r="B1158" s="28" t="s">
        <v>3242</v>
      </c>
      <c r="C1158" t="s">
        <v>3700</v>
      </c>
      <c r="D1158" s="6" t="s">
        <v>13</v>
      </c>
      <c r="E1158" s="6" t="s">
        <v>3365</v>
      </c>
      <c r="F1158" s="6" t="s">
        <v>3701</v>
      </c>
      <c r="G1158" s="6">
        <v>500</v>
      </c>
    </row>
    <row r="1159" spans="1:7" ht="16" x14ac:dyDescent="0.2">
      <c r="A1159" t="s">
        <v>3702</v>
      </c>
      <c r="B1159" s="28" t="s">
        <v>3242</v>
      </c>
      <c r="C1159" t="s">
        <v>3702</v>
      </c>
      <c r="D1159" s="6" t="s">
        <v>13</v>
      </c>
      <c r="E1159" s="6" t="s">
        <v>3366</v>
      </c>
      <c r="F1159" s="6" t="s">
        <v>3703</v>
      </c>
      <c r="G1159" s="6">
        <v>500</v>
      </c>
    </row>
    <row r="1160" spans="1:7" ht="16" x14ac:dyDescent="0.2">
      <c r="A1160" t="s">
        <v>3704</v>
      </c>
      <c r="B1160" s="28" t="s">
        <v>3242</v>
      </c>
      <c r="C1160" t="s">
        <v>3704</v>
      </c>
      <c r="D1160" s="6" t="s">
        <v>13</v>
      </c>
      <c r="E1160" s="6" t="s">
        <v>3367</v>
      </c>
      <c r="F1160" s="6" t="s">
        <v>3705</v>
      </c>
      <c r="G1160" s="6">
        <v>500</v>
      </c>
    </row>
    <row r="1161" spans="1:7" ht="16" x14ac:dyDescent="0.2">
      <c r="A1161" t="s">
        <v>3706</v>
      </c>
      <c r="B1161" s="28" t="s">
        <v>3242</v>
      </c>
      <c r="C1161" t="s">
        <v>3706</v>
      </c>
      <c r="D1161" s="6" t="s">
        <v>13</v>
      </c>
      <c r="E1161" s="6" t="s">
        <v>3368</v>
      </c>
      <c r="F1161" s="6" t="s">
        <v>3707</v>
      </c>
      <c r="G1161" s="6">
        <v>500</v>
      </c>
    </row>
    <row r="1162" spans="1:7" ht="16" x14ac:dyDescent="0.2">
      <c r="A1162" t="s">
        <v>3708</v>
      </c>
      <c r="B1162" s="28" t="s">
        <v>3242</v>
      </c>
      <c r="C1162" t="s">
        <v>3708</v>
      </c>
      <c r="D1162" s="6" t="s">
        <v>13</v>
      </c>
      <c r="E1162" s="6" t="s">
        <v>3369</v>
      </c>
      <c r="F1162" s="6" t="s">
        <v>3709</v>
      </c>
      <c r="G1162" s="6">
        <v>500</v>
      </c>
    </row>
    <row r="1163" spans="1:7" ht="16" x14ac:dyDescent="0.2">
      <c r="A1163" t="s">
        <v>3710</v>
      </c>
      <c r="B1163" s="28" t="s">
        <v>3242</v>
      </c>
      <c r="C1163" t="s">
        <v>3710</v>
      </c>
      <c r="D1163" s="6" t="s">
        <v>13</v>
      </c>
      <c r="E1163" s="6" t="s">
        <v>3370</v>
      </c>
      <c r="F1163" s="6" t="s">
        <v>3711</v>
      </c>
      <c r="G1163" s="6">
        <v>500</v>
      </c>
    </row>
    <row r="1164" spans="1:7" ht="16" x14ac:dyDescent="0.2">
      <c r="A1164" t="s">
        <v>3712</v>
      </c>
      <c r="B1164" s="28" t="s">
        <v>3242</v>
      </c>
      <c r="C1164" t="s">
        <v>3712</v>
      </c>
      <c r="D1164" s="6" t="s">
        <v>13</v>
      </c>
      <c r="E1164" s="6" t="s">
        <v>3371</v>
      </c>
      <c r="F1164" s="6" t="s">
        <v>3713</v>
      </c>
      <c r="G1164" s="6">
        <v>500</v>
      </c>
    </row>
    <row r="1165" spans="1:7" ht="16" x14ac:dyDescent="0.2">
      <c r="A1165" t="s">
        <v>3714</v>
      </c>
      <c r="B1165" s="28" t="s">
        <v>3242</v>
      </c>
      <c r="C1165" t="s">
        <v>3714</v>
      </c>
      <c r="D1165" s="6" t="s">
        <v>13</v>
      </c>
      <c r="E1165" s="6" t="s">
        <v>3372</v>
      </c>
      <c r="F1165" s="6" t="s">
        <v>3715</v>
      </c>
      <c r="G1165" s="6">
        <v>500</v>
      </c>
    </row>
    <row r="1166" spans="1:7" ht="16" x14ac:dyDescent="0.2">
      <c r="A1166" t="s">
        <v>3716</v>
      </c>
      <c r="B1166" s="28" t="s">
        <v>3242</v>
      </c>
      <c r="C1166" t="s">
        <v>3716</v>
      </c>
      <c r="D1166" s="6" t="s">
        <v>13</v>
      </c>
      <c r="E1166" s="6" t="s">
        <v>3373</v>
      </c>
      <c r="F1166" s="6" t="s">
        <v>3717</v>
      </c>
      <c r="G1166" s="6">
        <v>500</v>
      </c>
    </row>
    <row r="1167" spans="1:7" ht="16" x14ac:dyDescent="0.2">
      <c r="A1167" t="s">
        <v>3718</v>
      </c>
      <c r="B1167" s="28" t="s">
        <v>3242</v>
      </c>
      <c r="C1167" t="s">
        <v>3718</v>
      </c>
      <c r="D1167" s="6" t="s">
        <v>13</v>
      </c>
      <c r="E1167" s="6" t="s">
        <v>3374</v>
      </c>
      <c r="F1167" s="6" t="s">
        <v>3719</v>
      </c>
      <c r="G1167" s="6">
        <v>500</v>
      </c>
    </row>
    <row r="1168" spans="1:7" ht="16" x14ac:dyDescent="0.2">
      <c r="A1168" t="s">
        <v>3720</v>
      </c>
      <c r="B1168" s="28" t="s">
        <v>3242</v>
      </c>
      <c r="C1168" t="s">
        <v>3720</v>
      </c>
      <c r="D1168" s="6" t="s">
        <v>13</v>
      </c>
      <c r="E1168" s="6" t="s">
        <v>3375</v>
      </c>
      <c r="F1168" s="6" t="s">
        <v>3721</v>
      </c>
      <c r="G1168" s="6">
        <v>500</v>
      </c>
    </row>
    <row r="1169" spans="1:7" ht="16" x14ac:dyDescent="0.2">
      <c r="A1169" t="s">
        <v>3722</v>
      </c>
      <c r="B1169" s="28" t="s">
        <v>3242</v>
      </c>
      <c r="C1169" t="s">
        <v>3722</v>
      </c>
      <c r="D1169" s="6" t="s">
        <v>13</v>
      </c>
      <c r="E1169" s="6" t="s">
        <v>3376</v>
      </c>
      <c r="F1169" s="6" t="s">
        <v>3723</v>
      </c>
      <c r="G1169" s="6">
        <v>500</v>
      </c>
    </row>
    <row r="1170" spans="1:7" ht="16" x14ac:dyDescent="0.2">
      <c r="A1170" t="s">
        <v>3724</v>
      </c>
      <c r="B1170" s="28" t="s">
        <v>3242</v>
      </c>
      <c r="C1170" t="s">
        <v>3724</v>
      </c>
      <c r="D1170" s="6" t="s">
        <v>13</v>
      </c>
      <c r="E1170" s="6" t="s">
        <v>3377</v>
      </c>
      <c r="F1170" s="6" t="s">
        <v>3725</v>
      </c>
      <c r="G1170" s="6">
        <v>500</v>
      </c>
    </row>
    <row r="1171" spans="1:7" ht="16" x14ac:dyDescent="0.2">
      <c r="A1171" t="s">
        <v>3726</v>
      </c>
      <c r="B1171" s="28" t="s">
        <v>3242</v>
      </c>
      <c r="C1171" t="s">
        <v>3726</v>
      </c>
      <c r="D1171" s="6" t="s">
        <v>13</v>
      </c>
      <c r="E1171" s="6" t="s">
        <v>3378</v>
      </c>
      <c r="F1171" s="6" t="s">
        <v>3727</v>
      </c>
      <c r="G1171" s="6">
        <v>500</v>
      </c>
    </row>
    <row r="1172" spans="1:7" ht="16" x14ac:dyDescent="0.2">
      <c r="A1172" t="s">
        <v>3728</v>
      </c>
      <c r="B1172" s="28" t="s">
        <v>3242</v>
      </c>
      <c r="C1172" t="s">
        <v>3728</v>
      </c>
      <c r="D1172" s="6" t="s">
        <v>13</v>
      </c>
      <c r="E1172" s="6" t="s">
        <v>3379</v>
      </c>
      <c r="F1172" s="6" t="s">
        <v>3729</v>
      </c>
      <c r="G1172" s="6">
        <v>500</v>
      </c>
    </row>
    <row r="1173" spans="1:7" ht="16" x14ac:dyDescent="0.2">
      <c r="A1173" t="s">
        <v>3730</v>
      </c>
      <c r="B1173" s="28" t="s">
        <v>3242</v>
      </c>
      <c r="C1173" t="s">
        <v>3730</v>
      </c>
      <c r="D1173" s="6" t="s">
        <v>13</v>
      </c>
      <c r="E1173" s="6" t="s">
        <v>3380</v>
      </c>
      <c r="F1173" s="6" t="s">
        <v>3731</v>
      </c>
      <c r="G1173" s="6">
        <v>500</v>
      </c>
    </row>
    <row r="1174" spans="1:7" ht="16" x14ac:dyDescent="0.2">
      <c r="A1174" t="s">
        <v>3732</v>
      </c>
      <c r="B1174" s="28" t="s">
        <v>3242</v>
      </c>
      <c r="C1174" t="s">
        <v>3732</v>
      </c>
      <c r="D1174" s="6" t="s">
        <v>13</v>
      </c>
      <c r="E1174" s="6" t="s">
        <v>3381</v>
      </c>
      <c r="F1174" s="6" t="s">
        <v>3733</v>
      </c>
      <c r="G1174" s="6">
        <v>500</v>
      </c>
    </row>
    <row r="1175" spans="1:7" ht="16" x14ac:dyDescent="0.2">
      <c r="A1175" t="s">
        <v>3734</v>
      </c>
      <c r="B1175" s="28" t="s">
        <v>3242</v>
      </c>
      <c r="C1175" t="s">
        <v>3734</v>
      </c>
      <c r="D1175" s="6" t="s">
        <v>13</v>
      </c>
      <c r="E1175" s="6" t="s">
        <v>3382</v>
      </c>
      <c r="F1175" s="6" t="s">
        <v>3735</v>
      </c>
      <c r="G1175" s="6">
        <v>500</v>
      </c>
    </row>
    <row r="1176" spans="1:7" ht="16" x14ac:dyDescent="0.2">
      <c r="A1176" t="s">
        <v>3736</v>
      </c>
      <c r="B1176" s="28" t="s">
        <v>3242</v>
      </c>
      <c r="C1176" t="s">
        <v>3736</v>
      </c>
      <c r="D1176" s="6" t="s">
        <v>13</v>
      </c>
      <c r="E1176" s="6" t="s">
        <v>3383</v>
      </c>
      <c r="F1176" s="6" t="s">
        <v>3737</v>
      </c>
      <c r="G1176" s="6">
        <v>500</v>
      </c>
    </row>
    <row r="1177" spans="1:7" ht="16" x14ac:dyDescent="0.2">
      <c r="A1177" t="s">
        <v>3738</v>
      </c>
      <c r="B1177" s="28" t="s">
        <v>3242</v>
      </c>
      <c r="C1177" t="s">
        <v>3738</v>
      </c>
      <c r="D1177" s="6" t="s">
        <v>13</v>
      </c>
      <c r="E1177" s="6" t="s">
        <v>3384</v>
      </c>
      <c r="F1177" s="6" t="s">
        <v>3739</v>
      </c>
      <c r="G1177" s="6">
        <v>500</v>
      </c>
    </row>
    <row r="1178" spans="1:7" ht="16" x14ac:dyDescent="0.2">
      <c r="A1178" t="s">
        <v>3740</v>
      </c>
      <c r="B1178" s="28" t="s">
        <v>3242</v>
      </c>
      <c r="C1178" t="s">
        <v>3740</v>
      </c>
      <c r="D1178" s="6" t="s">
        <v>13</v>
      </c>
      <c r="E1178" s="6" t="s">
        <v>3385</v>
      </c>
      <c r="F1178" s="6" t="s">
        <v>3741</v>
      </c>
      <c r="G1178" s="6">
        <v>500</v>
      </c>
    </row>
    <row r="1179" spans="1:7" ht="16" x14ac:dyDescent="0.2">
      <c r="A1179" t="s">
        <v>3742</v>
      </c>
      <c r="B1179" s="28" t="s">
        <v>3242</v>
      </c>
      <c r="C1179" t="s">
        <v>3742</v>
      </c>
      <c r="D1179" s="6" t="s">
        <v>13</v>
      </c>
      <c r="E1179" s="6" t="s">
        <v>3386</v>
      </c>
      <c r="F1179" s="6" t="s">
        <v>3743</v>
      </c>
      <c r="G1179" s="6">
        <v>500</v>
      </c>
    </row>
    <row r="1180" spans="1:7" ht="16" x14ac:dyDescent="0.2">
      <c r="A1180" t="s">
        <v>3744</v>
      </c>
      <c r="B1180" s="28" t="s">
        <v>3242</v>
      </c>
      <c r="C1180" t="s">
        <v>3744</v>
      </c>
      <c r="D1180" s="6" t="s">
        <v>13</v>
      </c>
      <c r="E1180" s="6" t="s">
        <v>3387</v>
      </c>
      <c r="F1180" s="6" t="s">
        <v>3745</v>
      </c>
      <c r="G1180" s="6">
        <v>500</v>
      </c>
    </row>
    <row r="1181" spans="1:7" ht="16" x14ac:dyDescent="0.2">
      <c r="A1181" t="s">
        <v>3746</v>
      </c>
      <c r="B1181" s="28" t="s">
        <v>3242</v>
      </c>
      <c r="C1181" t="s">
        <v>3746</v>
      </c>
      <c r="D1181" s="6" t="s">
        <v>13</v>
      </c>
      <c r="E1181" s="6" t="s">
        <v>3388</v>
      </c>
      <c r="F1181" s="6" t="s">
        <v>3747</v>
      </c>
      <c r="G1181" s="6">
        <v>500</v>
      </c>
    </row>
    <row r="1182" spans="1:7" ht="16" x14ac:dyDescent="0.2">
      <c r="A1182" t="s">
        <v>3748</v>
      </c>
      <c r="B1182" s="28" t="s">
        <v>3242</v>
      </c>
      <c r="C1182" t="s">
        <v>3748</v>
      </c>
      <c r="D1182" s="6" t="s">
        <v>13</v>
      </c>
      <c r="E1182" s="6" t="s">
        <v>3749</v>
      </c>
      <c r="F1182" s="6" t="s">
        <v>3750</v>
      </c>
      <c r="G1182" s="6">
        <v>500</v>
      </c>
    </row>
    <row r="1183" spans="1:7" ht="16" x14ac:dyDescent="0.2">
      <c r="A1183" t="s">
        <v>3751</v>
      </c>
      <c r="B1183" s="28" t="s">
        <v>3242</v>
      </c>
      <c r="C1183" t="s">
        <v>3751</v>
      </c>
      <c r="D1183" s="6" t="s">
        <v>13</v>
      </c>
      <c r="E1183" s="6" t="s">
        <v>3389</v>
      </c>
      <c r="F1183" s="6" t="s">
        <v>3752</v>
      </c>
      <c r="G1183" s="6">
        <v>500</v>
      </c>
    </row>
    <row r="1184" spans="1:7" ht="16" x14ac:dyDescent="0.2">
      <c r="A1184" t="s">
        <v>3753</v>
      </c>
      <c r="B1184" s="28" t="s">
        <v>3242</v>
      </c>
      <c r="C1184" t="s">
        <v>3753</v>
      </c>
      <c r="D1184" s="6" t="s">
        <v>13</v>
      </c>
      <c r="E1184" s="6" t="s">
        <v>3754</v>
      </c>
      <c r="F1184" s="6" t="s">
        <v>3755</v>
      </c>
      <c r="G1184" s="6">
        <v>500</v>
      </c>
    </row>
    <row r="1185" spans="1:7" ht="16" x14ac:dyDescent="0.2">
      <c r="A1185" t="s">
        <v>3756</v>
      </c>
      <c r="B1185" s="28" t="s">
        <v>3242</v>
      </c>
      <c r="C1185" t="s">
        <v>3756</v>
      </c>
      <c r="D1185" s="6" t="s">
        <v>13</v>
      </c>
      <c r="E1185" s="6" t="s">
        <v>3390</v>
      </c>
      <c r="F1185" s="6" t="s">
        <v>3757</v>
      </c>
      <c r="G1185" s="6">
        <v>500</v>
      </c>
    </row>
    <row r="1186" spans="1:7" ht="16" x14ac:dyDescent="0.2">
      <c r="A1186" t="s">
        <v>3758</v>
      </c>
      <c r="B1186" s="28" t="s">
        <v>3242</v>
      </c>
      <c r="C1186" t="s">
        <v>3758</v>
      </c>
      <c r="D1186" s="6" t="s">
        <v>13</v>
      </c>
      <c r="E1186" s="6" t="s">
        <v>3759</v>
      </c>
      <c r="F1186" s="6" t="s">
        <v>3760</v>
      </c>
      <c r="G1186" s="6">
        <v>500</v>
      </c>
    </row>
    <row r="1187" spans="1:7" ht="16" x14ac:dyDescent="0.2">
      <c r="A1187" t="s">
        <v>3761</v>
      </c>
      <c r="B1187" s="28" t="s">
        <v>3242</v>
      </c>
      <c r="C1187" t="s">
        <v>3761</v>
      </c>
      <c r="D1187" s="6" t="s">
        <v>13</v>
      </c>
      <c r="E1187" s="6" t="s">
        <v>3762</v>
      </c>
      <c r="F1187" s="6" t="s">
        <v>3763</v>
      </c>
      <c r="G1187" s="6">
        <v>500</v>
      </c>
    </row>
    <row r="1188" spans="1:7" ht="16" x14ac:dyDescent="0.2">
      <c r="A1188" t="s">
        <v>3764</v>
      </c>
      <c r="B1188" s="28" t="s">
        <v>3242</v>
      </c>
      <c r="C1188" t="s">
        <v>3764</v>
      </c>
      <c r="D1188" s="6" t="s">
        <v>13</v>
      </c>
      <c r="E1188" s="6" t="s">
        <v>3391</v>
      </c>
      <c r="F1188" s="6" t="s">
        <v>3765</v>
      </c>
      <c r="G1188" s="6">
        <v>500</v>
      </c>
    </row>
    <row r="1189" spans="1:7" ht="16" x14ac:dyDescent="0.2">
      <c r="A1189" t="s">
        <v>3766</v>
      </c>
      <c r="B1189" s="28" t="s">
        <v>3242</v>
      </c>
      <c r="C1189" t="s">
        <v>3766</v>
      </c>
      <c r="D1189" s="6" t="s">
        <v>13</v>
      </c>
      <c r="E1189" s="6" t="s">
        <v>3392</v>
      </c>
      <c r="F1189" s="6" t="s">
        <v>3767</v>
      </c>
      <c r="G1189" s="6">
        <v>500</v>
      </c>
    </row>
    <row r="1190" spans="1:7" ht="16" x14ac:dyDescent="0.2">
      <c r="A1190" t="s">
        <v>3768</v>
      </c>
      <c r="B1190" s="28" t="s">
        <v>3242</v>
      </c>
      <c r="C1190" t="s">
        <v>3768</v>
      </c>
      <c r="D1190" s="6" t="s">
        <v>13</v>
      </c>
      <c r="E1190" s="6" t="s">
        <v>3393</v>
      </c>
      <c r="F1190" s="6" t="s">
        <v>3769</v>
      </c>
      <c r="G1190" s="6">
        <v>500</v>
      </c>
    </row>
    <row r="1191" spans="1:7" ht="16" x14ac:dyDescent="0.2">
      <c r="A1191" t="s">
        <v>3770</v>
      </c>
      <c r="B1191" s="28" t="s">
        <v>3242</v>
      </c>
      <c r="C1191" t="s">
        <v>3770</v>
      </c>
      <c r="D1191" s="6" t="s">
        <v>13</v>
      </c>
      <c r="E1191" s="6" t="s">
        <v>3394</v>
      </c>
      <c r="F1191" s="6" t="s">
        <v>3771</v>
      </c>
      <c r="G1191" s="6">
        <v>500</v>
      </c>
    </row>
    <row r="1192" spans="1:7" ht="16" x14ac:dyDescent="0.2">
      <c r="A1192" t="s">
        <v>3772</v>
      </c>
      <c r="B1192" s="28" t="s">
        <v>3242</v>
      </c>
      <c r="C1192" t="s">
        <v>3772</v>
      </c>
      <c r="D1192" s="6" t="s">
        <v>13</v>
      </c>
      <c r="E1192" s="6" t="s">
        <v>3395</v>
      </c>
      <c r="F1192" s="6" t="s">
        <v>3773</v>
      </c>
      <c r="G1192" s="6">
        <v>500</v>
      </c>
    </row>
    <row r="1193" spans="1:7" ht="16" x14ac:dyDescent="0.2">
      <c r="A1193" t="s">
        <v>3774</v>
      </c>
      <c r="B1193" s="28" t="s">
        <v>3242</v>
      </c>
      <c r="C1193" t="s">
        <v>3774</v>
      </c>
      <c r="D1193" s="6" t="s">
        <v>13</v>
      </c>
      <c r="E1193" s="6" t="s">
        <v>3396</v>
      </c>
      <c r="F1193" s="6" t="s">
        <v>3775</v>
      </c>
      <c r="G1193" s="6">
        <v>500</v>
      </c>
    </row>
    <row r="1194" spans="1:7" ht="16" x14ac:dyDescent="0.2">
      <c r="A1194" t="s">
        <v>3776</v>
      </c>
      <c r="B1194" s="28" t="s">
        <v>3242</v>
      </c>
      <c r="C1194" t="s">
        <v>3776</v>
      </c>
      <c r="D1194" s="6" t="s">
        <v>13</v>
      </c>
      <c r="E1194" s="6" t="s">
        <v>3397</v>
      </c>
      <c r="F1194" s="6" t="s">
        <v>3777</v>
      </c>
      <c r="G1194" s="6">
        <v>500</v>
      </c>
    </row>
    <row r="1195" spans="1:7" ht="16" x14ac:dyDescent="0.2">
      <c r="A1195" t="s">
        <v>3778</v>
      </c>
      <c r="B1195" s="28" t="s">
        <v>3242</v>
      </c>
      <c r="C1195" t="s">
        <v>3778</v>
      </c>
      <c r="D1195" s="6" t="s">
        <v>13</v>
      </c>
      <c r="E1195" s="6" t="s">
        <v>3398</v>
      </c>
      <c r="F1195" s="6" t="s">
        <v>3779</v>
      </c>
      <c r="G1195" s="6">
        <v>500</v>
      </c>
    </row>
    <row r="1196" spans="1:7" ht="16" x14ac:dyDescent="0.2">
      <c r="A1196" t="s">
        <v>3780</v>
      </c>
      <c r="B1196" s="28" t="s">
        <v>3242</v>
      </c>
      <c r="C1196" t="s">
        <v>3780</v>
      </c>
      <c r="D1196" s="6" t="s">
        <v>13</v>
      </c>
      <c r="E1196" s="6" t="s">
        <v>3399</v>
      </c>
      <c r="F1196" s="6" t="s">
        <v>3781</v>
      </c>
      <c r="G1196" s="6">
        <v>500</v>
      </c>
    </row>
    <row r="1197" spans="1:7" ht="16" x14ac:dyDescent="0.2">
      <c r="A1197" t="s">
        <v>3782</v>
      </c>
      <c r="B1197" s="28" t="s">
        <v>3242</v>
      </c>
      <c r="C1197" t="s">
        <v>3782</v>
      </c>
      <c r="D1197" s="6" t="s">
        <v>13</v>
      </c>
      <c r="E1197" s="6" t="s">
        <v>3400</v>
      </c>
      <c r="F1197" s="6" t="s">
        <v>3783</v>
      </c>
      <c r="G1197" s="6">
        <v>500</v>
      </c>
    </row>
    <row r="1198" spans="1:7" ht="16" x14ac:dyDescent="0.2">
      <c r="A1198" t="s">
        <v>3784</v>
      </c>
      <c r="B1198" s="28" t="s">
        <v>3242</v>
      </c>
      <c r="C1198" t="s">
        <v>3784</v>
      </c>
      <c r="D1198" s="6" t="s">
        <v>13</v>
      </c>
      <c r="E1198" s="6" t="s">
        <v>3401</v>
      </c>
      <c r="F1198" s="6" t="s">
        <v>3785</v>
      </c>
      <c r="G1198" s="6">
        <v>500</v>
      </c>
    </row>
    <row r="1199" spans="1:7" ht="16" x14ac:dyDescent="0.2">
      <c r="A1199" t="s">
        <v>3786</v>
      </c>
      <c r="B1199" s="28" t="s">
        <v>3242</v>
      </c>
      <c r="C1199" t="s">
        <v>3786</v>
      </c>
      <c r="D1199" s="6" t="s">
        <v>13</v>
      </c>
      <c r="E1199" s="6" t="s">
        <v>3402</v>
      </c>
      <c r="F1199" s="6" t="s">
        <v>3787</v>
      </c>
      <c r="G1199" s="6">
        <v>500</v>
      </c>
    </row>
    <row r="1200" spans="1:7" ht="16" x14ac:dyDescent="0.2">
      <c r="A1200" t="s">
        <v>3788</v>
      </c>
      <c r="B1200" s="28" t="s">
        <v>3242</v>
      </c>
      <c r="C1200" t="s">
        <v>3788</v>
      </c>
      <c r="D1200" s="6" t="s">
        <v>13</v>
      </c>
      <c r="E1200" s="6" t="s">
        <v>3403</v>
      </c>
      <c r="F1200" s="6" t="s">
        <v>3789</v>
      </c>
      <c r="G1200" s="6">
        <v>500</v>
      </c>
    </row>
    <row r="1201" spans="1:7" ht="16" x14ac:dyDescent="0.2">
      <c r="A1201" t="s">
        <v>3790</v>
      </c>
      <c r="B1201" s="28" t="s">
        <v>3242</v>
      </c>
      <c r="C1201" t="s">
        <v>3790</v>
      </c>
      <c r="D1201" s="6" t="s">
        <v>13</v>
      </c>
      <c r="E1201" s="6" t="s">
        <v>3404</v>
      </c>
      <c r="F1201" s="6" t="s">
        <v>3791</v>
      </c>
      <c r="G1201" s="6">
        <v>500</v>
      </c>
    </row>
    <row r="1202" spans="1:7" ht="16" x14ac:dyDescent="0.2">
      <c r="A1202" t="s">
        <v>3792</v>
      </c>
      <c r="B1202" s="28" t="s">
        <v>3242</v>
      </c>
      <c r="C1202" t="s">
        <v>3792</v>
      </c>
      <c r="D1202" s="6" t="s">
        <v>13</v>
      </c>
      <c r="E1202" s="6" t="s">
        <v>3405</v>
      </c>
      <c r="F1202" s="6" t="s">
        <v>3793</v>
      </c>
      <c r="G1202" s="6">
        <v>500</v>
      </c>
    </row>
    <row r="1203" spans="1:7" ht="16" x14ac:dyDescent="0.2">
      <c r="A1203" t="s">
        <v>3794</v>
      </c>
      <c r="B1203" s="28" t="s">
        <v>3242</v>
      </c>
      <c r="C1203" t="s">
        <v>3794</v>
      </c>
      <c r="D1203" s="6" t="s">
        <v>13</v>
      </c>
      <c r="E1203" s="6" t="s">
        <v>3406</v>
      </c>
      <c r="F1203" s="6" t="s">
        <v>3795</v>
      </c>
      <c r="G1203" s="6">
        <v>500</v>
      </c>
    </row>
    <row r="1204" spans="1:7" ht="16" x14ac:dyDescent="0.2">
      <c r="A1204" t="s">
        <v>3796</v>
      </c>
      <c r="B1204" s="28" t="s">
        <v>3242</v>
      </c>
      <c r="C1204" t="s">
        <v>3796</v>
      </c>
      <c r="D1204" s="6" t="s">
        <v>13</v>
      </c>
      <c r="E1204" s="6" t="s">
        <v>3407</v>
      </c>
      <c r="F1204" s="6" t="s">
        <v>3797</v>
      </c>
      <c r="G1204" s="6">
        <v>500</v>
      </c>
    </row>
    <row r="1205" spans="1:7" ht="16" x14ac:dyDescent="0.2">
      <c r="A1205" t="s">
        <v>3798</v>
      </c>
      <c r="B1205" s="28" t="s">
        <v>3242</v>
      </c>
      <c r="C1205" t="s">
        <v>3798</v>
      </c>
      <c r="D1205" s="6" t="s">
        <v>13</v>
      </c>
      <c r="E1205" s="6" t="s">
        <v>3408</v>
      </c>
      <c r="F1205" s="6" t="s">
        <v>3799</v>
      </c>
      <c r="G1205" s="6">
        <v>500</v>
      </c>
    </row>
    <row r="1206" spans="1:7" ht="16" x14ac:dyDescent="0.2">
      <c r="A1206" t="s">
        <v>3800</v>
      </c>
      <c r="B1206" s="28" t="s">
        <v>3242</v>
      </c>
      <c r="C1206" t="s">
        <v>3800</v>
      </c>
      <c r="D1206" s="6" t="s">
        <v>13</v>
      </c>
      <c r="E1206" s="6" t="s">
        <v>3409</v>
      </c>
      <c r="F1206" s="6" t="s">
        <v>3801</v>
      </c>
      <c r="G1206" s="6">
        <v>500</v>
      </c>
    </row>
    <row r="1207" spans="1:7" ht="16" x14ac:dyDescent="0.2">
      <c r="A1207" t="s">
        <v>3802</v>
      </c>
      <c r="B1207" s="28" t="s">
        <v>3242</v>
      </c>
      <c r="C1207" t="s">
        <v>3802</v>
      </c>
      <c r="D1207" s="6" t="s">
        <v>13</v>
      </c>
      <c r="E1207" s="6" t="s">
        <v>3410</v>
      </c>
      <c r="F1207" s="6" t="s">
        <v>3803</v>
      </c>
      <c r="G1207" s="6">
        <v>500</v>
      </c>
    </row>
    <row r="1208" spans="1:7" ht="16" x14ac:dyDescent="0.2">
      <c r="A1208" t="s">
        <v>3804</v>
      </c>
      <c r="B1208" s="28" t="s">
        <v>3242</v>
      </c>
      <c r="C1208" t="s">
        <v>3804</v>
      </c>
      <c r="D1208" s="6" t="s">
        <v>13</v>
      </c>
      <c r="E1208" s="6" t="s">
        <v>3411</v>
      </c>
      <c r="F1208" s="6" t="s">
        <v>3805</v>
      </c>
      <c r="G1208" s="6">
        <v>500</v>
      </c>
    </row>
    <row r="1209" spans="1:7" ht="16" x14ac:dyDescent="0.2">
      <c r="A1209" t="s">
        <v>3806</v>
      </c>
      <c r="B1209" s="28" t="s">
        <v>3242</v>
      </c>
      <c r="C1209" t="s">
        <v>3806</v>
      </c>
      <c r="D1209" s="6" t="s">
        <v>13</v>
      </c>
      <c r="E1209" s="6" t="s">
        <v>3412</v>
      </c>
      <c r="F1209" s="6" t="s">
        <v>3807</v>
      </c>
      <c r="G1209" s="6">
        <v>500</v>
      </c>
    </row>
    <row r="1210" spans="1:7" ht="16" x14ac:dyDescent="0.2">
      <c r="A1210" t="s">
        <v>3808</v>
      </c>
      <c r="B1210" s="28" t="s">
        <v>3242</v>
      </c>
      <c r="C1210" t="s">
        <v>3808</v>
      </c>
      <c r="D1210" s="6" t="s">
        <v>13</v>
      </c>
      <c r="E1210" s="6" t="s">
        <v>3413</v>
      </c>
      <c r="F1210" s="6" t="s">
        <v>3809</v>
      </c>
      <c r="G1210" s="6">
        <v>500</v>
      </c>
    </row>
    <row r="1211" spans="1:7" ht="16" x14ac:dyDescent="0.2">
      <c r="A1211" t="s">
        <v>3810</v>
      </c>
      <c r="B1211" s="28" t="s">
        <v>3242</v>
      </c>
      <c r="C1211" t="s">
        <v>3810</v>
      </c>
      <c r="D1211" s="6" t="s">
        <v>13</v>
      </c>
      <c r="E1211" s="6" t="s">
        <v>3414</v>
      </c>
      <c r="F1211" s="6" t="s">
        <v>3811</v>
      </c>
      <c r="G1211" s="6">
        <v>500</v>
      </c>
    </row>
    <row r="1212" spans="1:7" ht="16" x14ac:dyDescent="0.2">
      <c r="A1212" t="s">
        <v>3812</v>
      </c>
      <c r="B1212" s="28" t="s">
        <v>3242</v>
      </c>
      <c r="C1212" t="s">
        <v>3812</v>
      </c>
      <c r="D1212" s="6" t="s">
        <v>13</v>
      </c>
      <c r="E1212" s="6" t="s">
        <v>3415</v>
      </c>
      <c r="F1212" s="6" t="s">
        <v>3813</v>
      </c>
      <c r="G1212" s="6">
        <v>500</v>
      </c>
    </row>
    <row r="1213" spans="1:7" ht="16" x14ac:dyDescent="0.2">
      <c r="A1213" t="s">
        <v>3814</v>
      </c>
      <c r="B1213" s="28" t="s">
        <v>3242</v>
      </c>
      <c r="C1213" t="s">
        <v>3814</v>
      </c>
      <c r="D1213" s="6" t="s">
        <v>13</v>
      </c>
      <c r="E1213" s="6" t="s">
        <v>3416</v>
      </c>
      <c r="F1213" s="6" t="s">
        <v>3815</v>
      </c>
      <c r="G1213" s="6">
        <v>500</v>
      </c>
    </row>
    <row r="1214" spans="1:7" ht="16" x14ac:dyDescent="0.2">
      <c r="A1214" t="s">
        <v>3816</v>
      </c>
      <c r="B1214" s="28" t="s">
        <v>3242</v>
      </c>
      <c r="C1214" t="s">
        <v>3816</v>
      </c>
      <c r="D1214" s="6" t="s">
        <v>13</v>
      </c>
      <c r="E1214" s="6" t="s">
        <v>3417</v>
      </c>
      <c r="F1214" s="6" t="s">
        <v>3817</v>
      </c>
      <c r="G1214" s="6">
        <v>500</v>
      </c>
    </row>
    <row r="1215" spans="1:7" ht="16" x14ac:dyDescent="0.2">
      <c r="A1215" t="s">
        <v>3818</v>
      </c>
      <c r="B1215" s="28" t="s">
        <v>3242</v>
      </c>
      <c r="C1215" t="s">
        <v>3818</v>
      </c>
      <c r="D1215" s="6" t="s">
        <v>13</v>
      </c>
      <c r="E1215" s="6" t="s">
        <v>3418</v>
      </c>
      <c r="F1215" s="6" t="s">
        <v>3819</v>
      </c>
      <c r="G1215" s="6">
        <v>500</v>
      </c>
    </row>
    <row r="1216" spans="1:7" ht="16" x14ac:dyDescent="0.2">
      <c r="A1216" t="s">
        <v>3820</v>
      </c>
      <c r="B1216" s="28" t="s">
        <v>3242</v>
      </c>
      <c r="C1216" t="s">
        <v>3820</v>
      </c>
      <c r="D1216" s="6" t="s">
        <v>13</v>
      </c>
      <c r="E1216" s="6" t="s">
        <v>3419</v>
      </c>
      <c r="F1216" s="6" t="s">
        <v>3821</v>
      </c>
      <c r="G1216" s="6">
        <v>500</v>
      </c>
    </row>
    <row r="1217" spans="1:7" ht="16" x14ac:dyDescent="0.2">
      <c r="A1217" t="s">
        <v>3822</v>
      </c>
      <c r="B1217" s="28" t="s">
        <v>3242</v>
      </c>
      <c r="C1217" t="s">
        <v>3822</v>
      </c>
      <c r="D1217" s="6" t="s">
        <v>13</v>
      </c>
      <c r="E1217" s="6" t="s">
        <v>3420</v>
      </c>
      <c r="F1217" s="6" t="s">
        <v>3823</v>
      </c>
      <c r="G1217" s="6">
        <v>500</v>
      </c>
    </row>
    <row r="1218" spans="1:7" ht="16" x14ac:dyDescent="0.2">
      <c r="A1218" t="s">
        <v>3824</v>
      </c>
      <c r="B1218" s="28" t="s">
        <v>3242</v>
      </c>
      <c r="C1218" t="s">
        <v>3824</v>
      </c>
      <c r="D1218" s="6" t="s">
        <v>13</v>
      </c>
      <c r="E1218" s="6" t="s">
        <v>3421</v>
      </c>
      <c r="F1218" s="6" t="s">
        <v>3825</v>
      </c>
      <c r="G1218" s="6">
        <v>500</v>
      </c>
    </row>
    <row r="1219" spans="1:7" ht="16" x14ac:dyDescent="0.2">
      <c r="A1219" t="s">
        <v>3826</v>
      </c>
      <c r="B1219" s="28" t="s">
        <v>3242</v>
      </c>
      <c r="C1219" t="s">
        <v>3826</v>
      </c>
      <c r="D1219" s="6" t="s">
        <v>13</v>
      </c>
      <c r="E1219" s="6" t="s">
        <v>3422</v>
      </c>
      <c r="F1219" s="6" t="s">
        <v>3827</v>
      </c>
      <c r="G1219" s="6">
        <v>500</v>
      </c>
    </row>
    <row r="1220" spans="1:7" ht="16" x14ac:dyDescent="0.2">
      <c r="A1220" t="s">
        <v>3828</v>
      </c>
      <c r="B1220" s="28" t="s">
        <v>3242</v>
      </c>
      <c r="C1220" t="s">
        <v>3828</v>
      </c>
      <c r="D1220" s="6" t="s">
        <v>13</v>
      </c>
      <c r="E1220" s="6" t="s">
        <v>3423</v>
      </c>
      <c r="F1220" s="6" t="s">
        <v>3829</v>
      </c>
      <c r="G1220" s="6">
        <v>500</v>
      </c>
    </row>
    <row r="1221" spans="1:7" ht="16" x14ac:dyDescent="0.2">
      <c r="A1221" t="s">
        <v>3830</v>
      </c>
      <c r="B1221" s="28" t="s">
        <v>3242</v>
      </c>
      <c r="C1221" t="s">
        <v>3830</v>
      </c>
      <c r="D1221" s="6" t="s">
        <v>13</v>
      </c>
      <c r="E1221" s="6" t="s">
        <v>3424</v>
      </c>
      <c r="F1221" s="6" t="s">
        <v>3831</v>
      </c>
      <c r="G1221" s="6">
        <v>500</v>
      </c>
    </row>
    <row r="1222" spans="1:7" ht="16" x14ac:dyDescent="0.2">
      <c r="A1222" t="s">
        <v>3832</v>
      </c>
      <c r="B1222" s="28" t="s">
        <v>3242</v>
      </c>
      <c r="C1222" t="s">
        <v>3832</v>
      </c>
      <c r="D1222" s="6" t="s">
        <v>13</v>
      </c>
      <c r="E1222" s="6" t="s">
        <v>3425</v>
      </c>
      <c r="F1222" s="6" t="s">
        <v>3833</v>
      </c>
      <c r="G1222" s="6">
        <v>500</v>
      </c>
    </row>
    <row r="1223" spans="1:7" ht="16" x14ac:dyDescent="0.2">
      <c r="A1223" t="s">
        <v>3834</v>
      </c>
      <c r="B1223" s="28" t="s">
        <v>3242</v>
      </c>
      <c r="C1223" t="s">
        <v>3834</v>
      </c>
      <c r="D1223" s="6" t="s">
        <v>13</v>
      </c>
      <c r="E1223" s="6" t="s">
        <v>3426</v>
      </c>
      <c r="F1223" s="6" t="s">
        <v>3835</v>
      </c>
      <c r="G1223" s="6">
        <v>500</v>
      </c>
    </row>
    <row r="1224" spans="1:7" ht="16" x14ac:dyDescent="0.2">
      <c r="A1224" t="s">
        <v>3836</v>
      </c>
      <c r="B1224" s="28" t="s">
        <v>3242</v>
      </c>
      <c r="C1224" t="s">
        <v>3836</v>
      </c>
      <c r="D1224" s="6" t="s">
        <v>13</v>
      </c>
      <c r="E1224" s="6" t="s">
        <v>3427</v>
      </c>
      <c r="F1224" s="6" t="s">
        <v>3837</v>
      </c>
      <c r="G1224" s="6">
        <v>500</v>
      </c>
    </row>
    <row r="1225" spans="1:7" x14ac:dyDescent="0.15">
      <c r="A1225" s="6" t="s">
        <v>109</v>
      </c>
      <c r="B1225" s="29" t="s">
        <v>3840</v>
      </c>
      <c r="C1225" s="6" t="s">
        <v>109</v>
      </c>
      <c r="D1225" s="6" t="s">
        <v>13</v>
      </c>
      <c r="E1225" s="6" t="s">
        <v>3844</v>
      </c>
      <c r="F1225" s="6" t="s">
        <v>3845</v>
      </c>
      <c r="G1225" s="6">
        <v>500</v>
      </c>
    </row>
    <row r="1226" spans="1:7" x14ac:dyDescent="0.15">
      <c r="A1226" s="6" t="s">
        <v>3843</v>
      </c>
      <c r="B1226" s="29" t="s">
        <v>3840</v>
      </c>
      <c r="C1226" s="6" t="s">
        <v>3843</v>
      </c>
      <c r="D1226" s="6" t="s">
        <v>13</v>
      </c>
      <c r="E1226" s="6" t="s">
        <v>1933</v>
      </c>
      <c r="F1226" s="6" t="s">
        <v>3846</v>
      </c>
      <c r="G1226" s="6">
        <v>500</v>
      </c>
    </row>
    <row r="1227" spans="1:7" x14ac:dyDescent="0.15">
      <c r="A1227" s="6" t="s">
        <v>3847</v>
      </c>
      <c r="B1227" s="6" t="s">
        <v>57</v>
      </c>
      <c r="C1227" s="6" t="s">
        <v>3847</v>
      </c>
      <c r="D1227" s="6" t="s">
        <v>13</v>
      </c>
      <c r="E1227" s="6" t="s">
        <v>3848</v>
      </c>
      <c r="F1227" s="6" t="s">
        <v>3849</v>
      </c>
      <c r="G1227" s="6">
        <v>500</v>
      </c>
    </row>
    <row r="1228" spans="1:7" x14ac:dyDescent="0.15">
      <c r="A1228" s="6" t="s">
        <v>3911</v>
      </c>
      <c r="B1228" s="6" t="s">
        <v>3942</v>
      </c>
      <c r="C1228" s="6" t="s">
        <v>3911</v>
      </c>
      <c r="D1228" s="6" t="s">
        <v>13</v>
      </c>
      <c r="E1228" s="6" t="s">
        <v>3852</v>
      </c>
      <c r="F1228" s="6" t="s">
        <v>3853</v>
      </c>
      <c r="G1228" s="6">
        <v>500</v>
      </c>
    </row>
    <row r="1229" spans="1:7" x14ac:dyDescent="0.15">
      <c r="A1229" s="6" t="s">
        <v>3912</v>
      </c>
      <c r="B1229" s="6" t="s">
        <v>3942</v>
      </c>
      <c r="C1229" s="6" t="s">
        <v>3912</v>
      </c>
      <c r="D1229" s="6" t="s">
        <v>13</v>
      </c>
      <c r="E1229" s="6" t="s">
        <v>3854</v>
      </c>
      <c r="F1229" s="6" t="s">
        <v>3855</v>
      </c>
      <c r="G1229" s="6">
        <v>500</v>
      </c>
    </row>
    <row r="1230" spans="1:7" x14ac:dyDescent="0.15">
      <c r="A1230" s="6" t="s">
        <v>3913</v>
      </c>
      <c r="B1230" s="6" t="s">
        <v>3942</v>
      </c>
      <c r="C1230" s="6" t="s">
        <v>3913</v>
      </c>
      <c r="D1230" s="6" t="s">
        <v>13</v>
      </c>
      <c r="E1230" s="6" t="s">
        <v>3856</v>
      </c>
      <c r="F1230" s="6" t="s">
        <v>3857</v>
      </c>
      <c r="G1230" s="6">
        <v>500</v>
      </c>
    </row>
    <row r="1231" spans="1:7" x14ac:dyDescent="0.15">
      <c r="A1231" s="6" t="s">
        <v>3921</v>
      </c>
      <c r="B1231" s="6" t="s">
        <v>3942</v>
      </c>
      <c r="C1231" s="6" t="s">
        <v>3921</v>
      </c>
      <c r="D1231" s="6" t="s">
        <v>13</v>
      </c>
      <c r="E1231" s="6" t="s">
        <v>3858</v>
      </c>
      <c r="F1231" s="6" t="s">
        <v>3859</v>
      </c>
      <c r="G1231" s="6">
        <v>500</v>
      </c>
    </row>
    <row r="1232" spans="1:7" x14ac:dyDescent="0.15">
      <c r="A1232" s="6" t="s">
        <v>3914</v>
      </c>
      <c r="B1232" s="6" t="s">
        <v>3942</v>
      </c>
      <c r="C1232" s="6" t="s">
        <v>3914</v>
      </c>
      <c r="D1232" s="6" t="s">
        <v>13</v>
      </c>
      <c r="E1232" s="6" t="s">
        <v>3860</v>
      </c>
      <c r="F1232" s="6" t="s">
        <v>3861</v>
      </c>
      <c r="G1232" s="6">
        <v>500</v>
      </c>
    </row>
    <row r="1233" spans="1:7" x14ac:dyDescent="0.15">
      <c r="A1233" s="6" t="s">
        <v>3915</v>
      </c>
      <c r="B1233" s="6" t="s">
        <v>3942</v>
      </c>
      <c r="C1233" s="6" t="s">
        <v>3915</v>
      </c>
      <c r="D1233" s="6" t="s">
        <v>13</v>
      </c>
      <c r="E1233" s="6" t="s">
        <v>3862</v>
      </c>
      <c r="F1233" s="6" t="s">
        <v>3863</v>
      </c>
      <c r="G1233" s="6">
        <v>500</v>
      </c>
    </row>
    <row r="1234" spans="1:7" x14ac:dyDescent="0.15">
      <c r="A1234" s="6" t="s">
        <v>3916</v>
      </c>
      <c r="B1234" s="6" t="s">
        <v>3942</v>
      </c>
      <c r="C1234" s="6" t="s">
        <v>3916</v>
      </c>
      <c r="D1234" s="6" t="s">
        <v>13</v>
      </c>
      <c r="E1234" s="6" t="s">
        <v>3864</v>
      </c>
      <c r="F1234" s="6" t="s">
        <v>3865</v>
      </c>
      <c r="G1234" s="6">
        <v>500</v>
      </c>
    </row>
    <row r="1235" spans="1:7" x14ac:dyDescent="0.15">
      <c r="A1235" s="6" t="s">
        <v>3917</v>
      </c>
      <c r="B1235" s="6" t="s">
        <v>3942</v>
      </c>
      <c r="C1235" s="6" t="s">
        <v>3917</v>
      </c>
      <c r="D1235" s="6" t="s">
        <v>13</v>
      </c>
      <c r="E1235" s="6" t="s">
        <v>3866</v>
      </c>
      <c r="F1235" s="6" t="s">
        <v>3867</v>
      </c>
      <c r="G1235" s="6">
        <v>500</v>
      </c>
    </row>
    <row r="1236" spans="1:7" x14ac:dyDescent="0.15">
      <c r="A1236" s="6" t="s">
        <v>3918</v>
      </c>
      <c r="B1236" s="6" t="s">
        <v>3942</v>
      </c>
      <c r="C1236" s="6" t="s">
        <v>3918</v>
      </c>
      <c r="D1236" s="6" t="s">
        <v>13</v>
      </c>
      <c r="E1236" s="6" t="s">
        <v>3868</v>
      </c>
      <c r="F1236" s="6" t="s">
        <v>3869</v>
      </c>
      <c r="G1236" s="6">
        <v>500</v>
      </c>
    </row>
    <row r="1237" spans="1:7" x14ac:dyDescent="0.15">
      <c r="A1237" s="6" t="s">
        <v>3919</v>
      </c>
      <c r="B1237" s="6" t="s">
        <v>3942</v>
      </c>
      <c r="C1237" s="6" t="s">
        <v>3919</v>
      </c>
      <c r="D1237" s="6" t="s">
        <v>13</v>
      </c>
      <c r="E1237" s="6" t="s">
        <v>3870</v>
      </c>
      <c r="F1237" s="6" t="s">
        <v>3871</v>
      </c>
      <c r="G1237" s="6">
        <v>500</v>
      </c>
    </row>
    <row r="1238" spans="1:7" x14ac:dyDescent="0.15">
      <c r="A1238" s="6" t="s">
        <v>3920</v>
      </c>
      <c r="B1238" s="6" t="s">
        <v>3942</v>
      </c>
      <c r="C1238" s="6" t="s">
        <v>3920</v>
      </c>
      <c r="D1238" s="6" t="s">
        <v>13</v>
      </c>
      <c r="E1238" s="6" t="s">
        <v>3872</v>
      </c>
      <c r="F1238" s="6" t="s">
        <v>3873</v>
      </c>
      <c r="G1238" s="6">
        <v>500</v>
      </c>
    </row>
    <row r="1239" spans="1:7" x14ac:dyDescent="0.15">
      <c r="A1239" s="6" t="s">
        <v>3922</v>
      </c>
      <c r="B1239" s="6" t="s">
        <v>3942</v>
      </c>
      <c r="C1239" s="6" t="s">
        <v>3922</v>
      </c>
      <c r="D1239" s="6" t="s">
        <v>13</v>
      </c>
      <c r="E1239" s="6" t="s">
        <v>3874</v>
      </c>
      <c r="F1239" s="6" t="s">
        <v>3875</v>
      </c>
      <c r="G1239" s="6">
        <v>500</v>
      </c>
    </row>
    <row r="1240" spans="1:7" x14ac:dyDescent="0.15">
      <c r="A1240" s="6" t="s">
        <v>3923</v>
      </c>
      <c r="B1240" s="6" t="s">
        <v>3942</v>
      </c>
      <c r="C1240" s="6" t="s">
        <v>3923</v>
      </c>
      <c r="D1240" s="6" t="s">
        <v>13</v>
      </c>
      <c r="E1240" s="6" t="s">
        <v>3876</v>
      </c>
      <c r="F1240" s="6" t="s">
        <v>3877</v>
      </c>
      <c r="G1240" s="6">
        <v>500</v>
      </c>
    </row>
    <row r="1241" spans="1:7" x14ac:dyDescent="0.15">
      <c r="A1241" s="6" t="s">
        <v>3924</v>
      </c>
      <c r="B1241" s="6" t="s">
        <v>3942</v>
      </c>
      <c r="C1241" s="6" t="s">
        <v>3924</v>
      </c>
      <c r="D1241" s="6" t="s">
        <v>13</v>
      </c>
      <c r="E1241" s="6" t="s">
        <v>3878</v>
      </c>
      <c r="F1241" s="6" t="s">
        <v>3879</v>
      </c>
      <c r="G1241" s="6">
        <v>500</v>
      </c>
    </row>
    <row r="1242" spans="1:7" x14ac:dyDescent="0.15">
      <c r="A1242" s="6" t="s">
        <v>3925</v>
      </c>
      <c r="B1242" s="6" t="s">
        <v>3942</v>
      </c>
      <c r="C1242" s="6" t="s">
        <v>3925</v>
      </c>
      <c r="D1242" s="6" t="s">
        <v>13</v>
      </c>
      <c r="E1242" s="6" t="s">
        <v>3880</v>
      </c>
      <c r="F1242" s="6" t="s">
        <v>3881</v>
      </c>
      <c r="G1242" s="6">
        <v>500</v>
      </c>
    </row>
    <row r="1243" spans="1:7" x14ac:dyDescent="0.15">
      <c r="A1243" s="6" t="s">
        <v>3926</v>
      </c>
      <c r="B1243" s="6" t="s">
        <v>3942</v>
      </c>
      <c r="C1243" s="6" t="s">
        <v>3926</v>
      </c>
      <c r="D1243" s="6" t="s">
        <v>13</v>
      </c>
      <c r="E1243" s="6" t="s">
        <v>3882</v>
      </c>
      <c r="F1243" s="6" t="s">
        <v>3883</v>
      </c>
      <c r="G1243" s="6">
        <v>500</v>
      </c>
    </row>
    <row r="1244" spans="1:7" x14ac:dyDescent="0.15">
      <c r="A1244" s="6" t="s">
        <v>3927</v>
      </c>
      <c r="B1244" s="6" t="s">
        <v>3942</v>
      </c>
      <c r="C1244" s="6" t="s">
        <v>3927</v>
      </c>
      <c r="D1244" s="6" t="s">
        <v>13</v>
      </c>
      <c r="E1244" s="6" t="s">
        <v>3884</v>
      </c>
      <c r="F1244" s="6" t="s">
        <v>3885</v>
      </c>
      <c r="G1244" s="6">
        <v>500</v>
      </c>
    </row>
    <row r="1245" spans="1:7" x14ac:dyDescent="0.15">
      <c r="A1245" s="6" t="s">
        <v>3928</v>
      </c>
      <c r="B1245" s="6" t="s">
        <v>3942</v>
      </c>
      <c r="C1245" s="6" t="s">
        <v>3928</v>
      </c>
      <c r="D1245" s="6" t="s">
        <v>13</v>
      </c>
      <c r="E1245" s="6" t="s">
        <v>3886</v>
      </c>
      <c r="F1245" s="6" t="s">
        <v>3887</v>
      </c>
      <c r="G1245" s="6">
        <v>500</v>
      </c>
    </row>
    <row r="1246" spans="1:7" x14ac:dyDescent="0.15">
      <c r="A1246" s="6" t="s">
        <v>3929</v>
      </c>
      <c r="B1246" s="6" t="s">
        <v>3942</v>
      </c>
      <c r="C1246" s="6" t="s">
        <v>3929</v>
      </c>
      <c r="D1246" s="6" t="s">
        <v>13</v>
      </c>
      <c r="E1246" s="6" t="s">
        <v>3888</v>
      </c>
      <c r="F1246" s="6" t="s">
        <v>3889</v>
      </c>
      <c r="G1246" s="6">
        <v>500</v>
      </c>
    </row>
    <row r="1247" spans="1:7" x14ac:dyDescent="0.15">
      <c r="A1247" s="6" t="s">
        <v>3930</v>
      </c>
      <c r="B1247" s="6" t="s">
        <v>3942</v>
      </c>
      <c r="C1247" s="6" t="s">
        <v>3930</v>
      </c>
      <c r="D1247" s="6" t="s">
        <v>13</v>
      </c>
      <c r="E1247" s="6" t="s">
        <v>3890</v>
      </c>
      <c r="F1247" s="6" t="s">
        <v>3891</v>
      </c>
      <c r="G1247" s="6">
        <v>500</v>
      </c>
    </row>
    <row r="1248" spans="1:7" x14ac:dyDescent="0.15">
      <c r="A1248" s="6" t="s">
        <v>3931</v>
      </c>
      <c r="B1248" s="6" t="s">
        <v>3942</v>
      </c>
      <c r="C1248" s="6" t="s">
        <v>3931</v>
      </c>
      <c r="D1248" s="6" t="s">
        <v>13</v>
      </c>
      <c r="E1248" s="6" t="s">
        <v>3892</v>
      </c>
      <c r="F1248" s="6" t="s">
        <v>3893</v>
      </c>
      <c r="G1248" s="6">
        <v>500</v>
      </c>
    </row>
    <row r="1249" spans="1:7" x14ac:dyDescent="0.15">
      <c r="A1249" s="6" t="s">
        <v>3932</v>
      </c>
      <c r="B1249" s="6" t="s">
        <v>3942</v>
      </c>
      <c r="C1249" s="6" t="s">
        <v>3932</v>
      </c>
      <c r="D1249" s="6" t="s">
        <v>13</v>
      </c>
      <c r="E1249" s="6" t="s">
        <v>3894</v>
      </c>
      <c r="F1249" s="6" t="s">
        <v>3895</v>
      </c>
      <c r="G1249" s="6">
        <v>500</v>
      </c>
    </row>
    <row r="1250" spans="1:7" x14ac:dyDescent="0.15">
      <c r="A1250" s="6" t="s">
        <v>3933</v>
      </c>
      <c r="B1250" s="6" t="s">
        <v>3942</v>
      </c>
      <c r="C1250" s="6" t="s">
        <v>3933</v>
      </c>
      <c r="D1250" s="6" t="s">
        <v>13</v>
      </c>
      <c r="E1250" s="6" t="s">
        <v>3896</v>
      </c>
      <c r="F1250" s="6" t="s">
        <v>3897</v>
      </c>
      <c r="G1250" s="6">
        <v>500</v>
      </c>
    </row>
    <row r="1251" spans="1:7" x14ac:dyDescent="0.15">
      <c r="A1251" s="6" t="s">
        <v>3934</v>
      </c>
      <c r="B1251" s="6" t="s">
        <v>3942</v>
      </c>
      <c r="C1251" s="6" t="s">
        <v>3934</v>
      </c>
      <c r="D1251" s="6" t="s">
        <v>13</v>
      </c>
      <c r="E1251" s="6" t="s">
        <v>3898</v>
      </c>
      <c r="F1251" s="6" t="s">
        <v>3899</v>
      </c>
      <c r="G1251" s="6">
        <v>500</v>
      </c>
    </row>
    <row r="1252" spans="1:7" x14ac:dyDescent="0.15">
      <c r="A1252" s="6" t="s">
        <v>3935</v>
      </c>
      <c r="B1252" s="6" t="s">
        <v>3942</v>
      </c>
      <c r="C1252" s="6" t="s">
        <v>3935</v>
      </c>
      <c r="D1252" s="6" t="s">
        <v>13</v>
      </c>
      <c r="E1252" s="6" t="s">
        <v>3900</v>
      </c>
      <c r="F1252" s="6" t="s">
        <v>3901</v>
      </c>
      <c r="G1252" s="6">
        <v>500</v>
      </c>
    </row>
    <row r="1253" spans="1:7" x14ac:dyDescent="0.15">
      <c r="A1253" s="6" t="s">
        <v>3936</v>
      </c>
      <c r="B1253" s="6" t="s">
        <v>3942</v>
      </c>
      <c r="C1253" s="6" t="s">
        <v>3936</v>
      </c>
      <c r="D1253" s="6" t="s">
        <v>13</v>
      </c>
      <c r="E1253" s="6" t="s">
        <v>3902</v>
      </c>
      <c r="F1253" s="6" t="s">
        <v>3903</v>
      </c>
      <c r="G1253" s="6">
        <v>500</v>
      </c>
    </row>
    <row r="1254" spans="1:7" x14ac:dyDescent="0.15">
      <c r="A1254" s="6" t="s">
        <v>3937</v>
      </c>
      <c r="B1254" s="6" t="s">
        <v>3942</v>
      </c>
      <c r="C1254" s="6" t="s">
        <v>3937</v>
      </c>
      <c r="D1254" s="6" t="s">
        <v>13</v>
      </c>
      <c r="E1254" s="6" t="s">
        <v>3904</v>
      </c>
      <c r="F1254" s="6" t="s">
        <v>3905</v>
      </c>
      <c r="G1254" s="6">
        <v>500</v>
      </c>
    </row>
    <row r="1255" spans="1:7" x14ac:dyDescent="0.15">
      <c r="A1255" s="6" t="s">
        <v>3938</v>
      </c>
      <c r="B1255" s="6" t="s">
        <v>3942</v>
      </c>
      <c r="C1255" s="6" t="s">
        <v>3938</v>
      </c>
      <c r="D1255" s="6" t="s">
        <v>13</v>
      </c>
      <c r="E1255" s="6" t="s">
        <v>3939</v>
      </c>
      <c r="F1255" s="6" t="s">
        <v>3906</v>
      </c>
      <c r="G1255" s="6">
        <v>500</v>
      </c>
    </row>
    <row r="1256" spans="1:7" x14ac:dyDescent="0.15">
      <c r="A1256" s="6" t="s">
        <v>3940</v>
      </c>
      <c r="B1256" s="6" t="s">
        <v>3942</v>
      </c>
      <c r="C1256" s="6" t="s">
        <v>3940</v>
      </c>
      <c r="D1256" s="6" t="s">
        <v>13</v>
      </c>
      <c r="E1256" s="6" t="s">
        <v>3907</v>
      </c>
      <c r="F1256" s="6" t="s">
        <v>3908</v>
      </c>
      <c r="G1256" s="6">
        <v>500</v>
      </c>
    </row>
    <row r="1257" spans="1:7" x14ac:dyDescent="0.15">
      <c r="A1257" s="6" t="s">
        <v>3941</v>
      </c>
      <c r="B1257" s="6" t="s">
        <v>3942</v>
      </c>
      <c r="C1257" s="6" t="s">
        <v>3941</v>
      </c>
      <c r="D1257" s="6" t="s">
        <v>13</v>
      </c>
      <c r="E1257" s="6" t="s">
        <v>3909</v>
      </c>
      <c r="F1257" s="6" t="s">
        <v>3910</v>
      </c>
      <c r="G1257" s="6">
        <v>500</v>
      </c>
    </row>
    <row r="1258" spans="1:7" x14ac:dyDescent="0.15">
      <c r="A1258" s="6" t="s">
        <v>3952</v>
      </c>
      <c r="B1258" s="6" t="s">
        <v>3950</v>
      </c>
      <c r="C1258" s="6" t="s">
        <v>3952</v>
      </c>
      <c r="D1258" s="6" t="s">
        <v>3952</v>
      </c>
      <c r="E1258" s="6" t="s">
        <v>3953</v>
      </c>
      <c r="F1258" s="6" t="s">
        <v>3954</v>
      </c>
      <c r="G1258" s="6">
        <v>500</v>
      </c>
    </row>
    <row r="1259" spans="1:7" x14ac:dyDescent="0.15">
      <c r="A1259" s="6" t="s">
        <v>3955</v>
      </c>
      <c r="B1259" s="6" t="s">
        <v>3950</v>
      </c>
      <c r="C1259" s="6" t="s">
        <v>3955</v>
      </c>
      <c r="D1259" s="6" t="s">
        <v>3956</v>
      </c>
      <c r="E1259" s="6" t="s">
        <v>3957</v>
      </c>
      <c r="F1259" s="6" t="s">
        <v>3958</v>
      </c>
      <c r="G1259" s="6">
        <v>500</v>
      </c>
    </row>
    <row r="1260" spans="1:7" x14ac:dyDescent="0.15">
      <c r="A1260" s="6" t="s">
        <v>3959</v>
      </c>
      <c r="B1260" s="6" t="s">
        <v>3950</v>
      </c>
      <c r="C1260" s="6" t="s">
        <v>3959</v>
      </c>
      <c r="D1260" s="6" t="s">
        <v>3959</v>
      </c>
      <c r="E1260" s="6" t="s">
        <v>3960</v>
      </c>
      <c r="F1260" s="6" t="s">
        <v>3961</v>
      </c>
      <c r="G1260" s="6">
        <v>500</v>
      </c>
    </row>
    <row r="1261" spans="1:7" x14ac:dyDescent="0.15">
      <c r="A1261" t="s">
        <v>4108</v>
      </c>
      <c r="B1261" s="27" t="s">
        <v>4060</v>
      </c>
      <c r="C1261" t="s">
        <v>4108</v>
      </c>
      <c r="D1261" s="6" t="s">
        <v>13</v>
      </c>
      <c r="E1261" t="s">
        <v>3972</v>
      </c>
      <c r="F1261" t="s">
        <v>3973</v>
      </c>
      <c r="G1261">
        <v>500</v>
      </c>
    </row>
    <row r="1262" spans="1:7" x14ac:dyDescent="0.15">
      <c r="A1262" t="s">
        <v>4109</v>
      </c>
      <c r="B1262" s="27" t="s">
        <v>4060</v>
      </c>
      <c r="C1262" t="s">
        <v>4109</v>
      </c>
      <c r="D1262" s="6" t="s">
        <v>13</v>
      </c>
      <c r="E1262" t="s">
        <v>3974</v>
      </c>
      <c r="F1262" t="s">
        <v>3975</v>
      </c>
      <c r="G1262">
        <v>500</v>
      </c>
    </row>
    <row r="1263" spans="1:7" x14ac:dyDescent="0.15">
      <c r="A1263" t="s">
        <v>4110</v>
      </c>
      <c r="B1263" s="27" t="s">
        <v>4060</v>
      </c>
      <c r="C1263" t="s">
        <v>4110</v>
      </c>
      <c r="D1263" s="6" t="s">
        <v>13</v>
      </c>
      <c r="E1263" t="s">
        <v>4111</v>
      </c>
      <c r="F1263" t="s">
        <v>3976</v>
      </c>
      <c r="G1263">
        <v>500</v>
      </c>
    </row>
    <row r="1264" spans="1:7" x14ac:dyDescent="0.15">
      <c r="A1264" t="s">
        <v>3977</v>
      </c>
      <c r="B1264" s="6" t="s">
        <v>4060</v>
      </c>
      <c r="C1264" t="s">
        <v>3977</v>
      </c>
      <c r="D1264" s="6" t="s">
        <v>13</v>
      </c>
      <c r="E1264" t="s">
        <v>3977</v>
      </c>
      <c r="F1264" t="s">
        <v>3978</v>
      </c>
      <c r="G1264">
        <v>500</v>
      </c>
    </row>
    <row r="1265" spans="1:1008" x14ac:dyDescent="0.15">
      <c r="A1265" t="s">
        <v>4100</v>
      </c>
      <c r="B1265" s="6" t="s">
        <v>4060</v>
      </c>
      <c r="C1265" t="s">
        <v>3979</v>
      </c>
      <c r="D1265" s="6" t="s">
        <v>13</v>
      </c>
      <c r="E1265" t="s">
        <v>3979</v>
      </c>
      <c r="F1265" t="s">
        <v>3980</v>
      </c>
      <c r="G1265">
        <v>600</v>
      </c>
    </row>
    <row r="1266" spans="1:1008" x14ac:dyDescent="0.15">
      <c r="A1266" t="s">
        <v>4099</v>
      </c>
      <c r="B1266" s="6" t="s">
        <v>4060</v>
      </c>
      <c r="C1266" t="s">
        <v>3981</v>
      </c>
      <c r="D1266" s="6" t="s">
        <v>13</v>
      </c>
      <c r="E1266" t="s">
        <v>3981</v>
      </c>
      <c r="F1266" t="s">
        <v>3982</v>
      </c>
      <c r="G1266">
        <v>450</v>
      </c>
    </row>
    <row r="1267" spans="1:1008" x14ac:dyDescent="0.15">
      <c r="A1267" t="s">
        <v>4101</v>
      </c>
      <c r="B1267" s="6" t="s">
        <v>4061</v>
      </c>
      <c r="C1267" t="s">
        <v>4101</v>
      </c>
      <c r="D1267" s="6" t="s">
        <v>13</v>
      </c>
      <c r="E1267" t="s">
        <v>3984</v>
      </c>
      <c r="F1267" t="s">
        <v>3985</v>
      </c>
      <c r="G1267">
        <v>500</v>
      </c>
    </row>
    <row r="1268" spans="1:1008" x14ac:dyDescent="0.15">
      <c r="A1268" t="s">
        <v>4102</v>
      </c>
      <c r="B1268" s="6" t="s">
        <v>4061</v>
      </c>
      <c r="C1268" t="s">
        <v>4102</v>
      </c>
      <c r="D1268" s="6" t="s">
        <v>13</v>
      </c>
      <c r="E1268" t="s">
        <v>3986</v>
      </c>
      <c r="F1268" t="s">
        <v>3987</v>
      </c>
      <c r="G1268">
        <v>550</v>
      </c>
    </row>
    <row r="1269" spans="1:1008" x14ac:dyDescent="0.15">
      <c r="A1269" t="s">
        <v>4103</v>
      </c>
      <c r="B1269" s="6" t="s">
        <v>4061</v>
      </c>
      <c r="C1269" t="s">
        <v>4103</v>
      </c>
      <c r="D1269" s="6" t="s">
        <v>13</v>
      </c>
      <c r="E1269" t="s">
        <v>3988</v>
      </c>
      <c r="F1269" t="s">
        <v>3989</v>
      </c>
      <c r="G1269">
        <v>500</v>
      </c>
    </row>
    <row r="1270" spans="1:1008" x14ac:dyDescent="0.15">
      <c r="A1270" t="s">
        <v>3991</v>
      </c>
      <c r="B1270" s="6" t="s">
        <v>4062</v>
      </c>
      <c r="C1270" t="s">
        <v>3991</v>
      </c>
      <c r="D1270" s="6" t="s">
        <v>13</v>
      </c>
      <c r="E1270" t="s">
        <v>3991</v>
      </c>
      <c r="F1270" t="s">
        <v>3992</v>
      </c>
      <c r="G1270">
        <v>550</v>
      </c>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x14ac:dyDescent="0.15">
      <c r="A1271" t="s">
        <v>3993</v>
      </c>
      <c r="B1271" s="6" t="s">
        <v>4062</v>
      </c>
      <c r="C1271" t="s">
        <v>3993</v>
      </c>
      <c r="D1271" s="6" t="s">
        <v>13</v>
      </c>
      <c r="E1271" t="s">
        <v>3993</v>
      </c>
      <c r="F1271" t="s">
        <v>3994</v>
      </c>
      <c r="G1271">
        <v>500</v>
      </c>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x14ac:dyDescent="0.15">
      <c r="A1272" t="s">
        <v>3995</v>
      </c>
      <c r="B1272" s="6" t="s">
        <v>4062</v>
      </c>
      <c r="C1272" t="s">
        <v>3995</v>
      </c>
      <c r="D1272" s="6" t="s">
        <v>13</v>
      </c>
      <c r="E1272" t="s">
        <v>3995</v>
      </c>
      <c r="F1272" t="s">
        <v>3996</v>
      </c>
      <c r="G1272">
        <v>650</v>
      </c>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x14ac:dyDescent="0.15">
      <c r="A1273" t="s">
        <v>3997</v>
      </c>
      <c r="B1273" s="6" t="s">
        <v>4062</v>
      </c>
      <c r="C1273" t="s">
        <v>3997</v>
      </c>
      <c r="D1273" s="6" t="s">
        <v>13</v>
      </c>
      <c r="E1273" t="s">
        <v>3997</v>
      </c>
      <c r="F1273" t="s">
        <v>3998</v>
      </c>
      <c r="G1273">
        <v>600</v>
      </c>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x14ac:dyDescent="0.15">
      <c r="A1274" t="s">
        <v>3999</v>
      </c>
      <c r="B1274" s="6" t="s">
        <v>4062</v>
      </c>
      <c r="C1274" t="s">
        <v>3999</v>
      </c>
      <c r="D1274" s="6" t="s">
        <v>13</v>
      </c>
      <c r="E1274" t="s">
        <v>3999</v>
      </c>
      <c r="F1274" t="s">
        <v>4000</v>
      </c>
      <c r="G1274">
        <v>580</v>
      </c>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x14ac:dyDescent="0.15">
      <c r="A1275" t="s">
        <v>4001</v>
      </c>
      <c r="B1275" s="6" t="s">
        <v>4062</v>
      </c>
      <c r="C1275" t="s">
        <v>4001</v>
      </c>
      <c r="D1275" s="6" t="s">
        <v>13</v>
      </c>
      <c r="E1275" t="s">
        <v>4001</v>
      </c>
      <c r="F1275" t="s">
        <v>4002</v>
      </c>
      <c r="G1275">
        <v>500</v>
      </c>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x14ac:dyDescent="0.15">
      <c r="A1276" t="s">
        <v>4003</v>
      </c>
      <c r="B1276" s="6" t="s">
        <v>4064</v>
      </c>
      <c r="C1276" t="s">
        <v>4003</v>
      </c>
      <c r="D1276" s="6" t="s">
        <v>13</v>
      </c>
      <c r="E1276" t="s">
        <v>4003</v>
      </c>
      <c r="F1276" t="s">
        <v>4004</v>
      </c>
      <c r="G1276">
        <v>500</v>
      </c>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x14ac:dyDescent="0.15">
      <c r="A1277" t="s">
        <v>4005</v>
      </c>
      <c r="B1277" s="6" t="s">
        <v>4064</v>
      </c>
      <c r="C1277" t="s">
        <v>4005</v>
      </c>
      <c r="D1277" s="6" t="s">
        <v>13</v>
      </c>
      <c r="E1277" t="s">
        <v>4005</v>
      </c>
      <c r="F1277" t="s">
        <v>4006</v>
      </c>
      <c r="G1277">
        <v>500</v>
      </c>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x14ac:dyDescent="0.15">
      <c r="A1278" t="s">
        <v>4007</v>
      </c>
      <c r="B1278" s="6" t="s">
        <v>4064</v>
      </c>
      <c r="C1278" t="s">
        <v>4007</v>
      </c>
      <c r="D1278" s="6" t="s">
        <v>13</v>
      </c>
      <c r="E1278" t="s">
        <v>4007</v>
      </c>
      <c r="F1278" t="s">
        <v>4008</v>
      </c>
      <c r="G1278">
        <v>550</v>
      </c>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x14ac:dyDescent="0.15">
      <c r="A1279" t="s">
        <v>4009</v>
      </c>
      <c r="B1279" s="6" t="s">
        <v>4064</v>
      </c>
      <c r="C1279" t="s">
        <v>4009</v>
      </c>
      <c r="D1279" s="6" t="s">
        <v>13</v>
      </c>
      <c r="E1279" t="s">
        <v>4009</v>
      </c>
      <c r="F1279" t="s">
        <v>4010</v>
      </c>
      <c r="G1279">
        <v>500</v>
      </c>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x14ac:dyDescent="0.15">
      <c r="A1280" t="s">
        <v>4011</v>
      </c>
      <c r="B1280" s="6" t="s">
        <v>4065</v>
      </c>
      <c r="C1280" t="s">
        <v>4122</v>
      </c>
      <c r="D1280" s="6" t="s">
        <v>13</v>
      </c>
      <c r="E1280" t="s">
        <v>4122</v>
      </c>
      <c r="F1280" t="s">
        <v>4012</v>
      </c>
      <c r="G1280">
        <v>500</v>
      </c>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x14ac:dyDescent="0.15">
      <c r="A1281" t="s">
        <v>4072</v>
      </c>
      <c r="B1281" s="6" t="s">
        <v>4065</v>
      </c>
      <c r="C1281" t="s">
        <v>4072</v>
      </c>
      <c r="D1281" s="6" t="s">
        <v>13</v>
      </c>
      <c r="E1281" t="s">
        <v>4073</v>
      </c>
      <c r="F1281" s="6" t="s">
        <v>4074</v>
      </c>
      <c r="G1281">
        <v>500</v>
      </c>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x14ac:dyDescent="0.15">
      <c r="A1282" t="s">
        <v>4013</v>
      </c>
      <c r="B1282" s="6" t="s">
        <v>3967</v>
      </c>
      <c r="C1282" t="s">
        <v>4013</v>
      </c>
      <c r="D1282" s="6" t="s">
        <v>13</v>
      </c>
      <c r="E1282" t="s">
        <v>4013</v>
      </c>
      <c r="F1282" t="s">
        <v>4014</v>
      </c>
      <c r="G1282">
        <v>500</v>
      </c>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x14ac:dyDescent="0.15">
      <c r="A1283" t="s">
        <v>4104</v>
      </c>
      <c r="B1283" s="6" t="s">
        <v>3967</v>
      </c>
      <c r="C1283" t="s">
        <v>4015</v>
      </c>
      <c r="D1283" s="6" t="s">
        <v>13</v>
      </c>
      <c r="E1283" t="s">
        <v>4015</v>
      </c>
      <c r="F1283" t="s">
        <v>4016</v>
      </c>
      <c r="G1283">
        <v>700</v>
      </c>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x14ac:dyDescent="0.15">
      <c r="A1284" t="s">
        <v>4018</v>
      </c>
      <c r="B1284" s="6" t="s">
        <v>3965</v>
      </c>
      <c r="C1284" t="s">
        <v>4018</v>
      </c>
      <c r="D1284" s="6" t="s">
        <v>13</v>
      </c>
      <c r="E1284" t="s">
        <v>4018</v>
      </c>
      <c r="F1284" t="s">
        <v>4019</v>
      </c>
      <c r="G1284">
        <v>500</v>
      </c>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x14ac:dyDescent="0.15">
      <c r="A1285" t="s">
        <v>4020</v>
      </c>
      <c r="B1285" s="6" t="s">
        <v>3965</v>
      </c>
      <c r="C1285" t="s">
        <v>4020</v>
      </c>
      <c r="D1285" s="6" t="s">
        <v>13</v>
      </c>
      <c r="E1285" t="s">
        <v>4020</v>
      </c>
      <c r="F1285" t="s">
        <v>4021</v>
      </c>
      <c r="G1285">
        <v>550</v>
      </c>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x14ac:dyDescent="0.15">
      <c r="A1286" t="s">
        <v>4022</v>
      </c>
      <c r="B1286" s="6" t="s">
        <v>3970</v>
      </c>
      <c r="C1286" t="s">
        <v>4022</v>
      </c>
      <c r="D1286" s="6" t="s">
        <v>13</v>
      </c>
      <c r="E1286" t="s">
        <v>4022</v>
      </c>
      <c r="F1286" t="s">
        <v>4023</v>
      </c>
      <c r="G1286">
        <v>500</v>
      </c>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x14ac:dyDescent="0.15">
      <c r="A1287" t="s">
        <v>4024</v>
      </c>
      <c r="B1287" s="6" t="s">
        <v>3970</v>
      </c>
      <c r="C1287" t="s">
        <v>4024</v>
      </c>
      <c r="D1287" s="6" t="s">
        <v>13</v>
      </c>
      <c r="E1287" t="s">
        <v>4024</v>
      </c>
      <c r="F1287" t="s">
        <v>4025</v>
      </c>
      <c r="G1287">
        <v>700</v>
      </c>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x14ac:dyDescent="0.15">
      <c r="A1288" t="s">
        <v>4026</v>
      </c>
      <c r="B1288" s="6" t="s">
        <v>3970</v>
      </c>
      <c r="C1288" t="s">
        <v>4026</v>
      </c>
      <c r="D1288" s="6" t="s">
        <v>13</v>
      </c>
      <c r="E1288" t="s">
        <v>4026</v>
      </c>
      <c r="F1288" t="s">
        <v>4027</v>
      </c>
      <c r="G1288">
        <v>800</v>
      </c>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x14ac:dyDescent="0.15">
      <c r="A1289" t="s">
        <v>4028</v>
      </c>
      <c r="B1289" s="6" t="s">
        <v>3970</v>
      </c>
      <c r="C1289" t="s">
        <v>4028</v>
      </c>
      <c r="D1289" s="6" t="s">
        <v>13</v>
      </c>
      <c r="E1289" t="s">
        <v>4028</v>
      </c>
      <c r="F1289" t="s">
        <v>4029</v>
      </c>
      <c r="G1289">
        <v>500</v>
      </c>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x14ac:dyDescent="0.15">
      <c r="A1290" t="s">
        <v>2242</v>
      </c>
      <c r="B1290" s="6" t="s">
        <v>3970</v>
      </c>
      <c r="C1290" t="s">
        <v>2242</v>
      </c>
      <c r="D1290" s="6" t="s">
        <v>13</v>
      </c>
      <c r="E1290" t="s">
        <v>2242</v>
      </c>
      <c r="F1290" t="s">
        <v>4030</v>
      </c>
      <c r="G1290">
        <v>500</v>
      </c>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x14ac:dyDescent="0.15">
      <c r="A1291" t="s">
        <v>4058</v>
      </c>
      <c r="B1291" s="6" t="s">
        <v>3970</v>
      </c>
      <c r="C1291" t="s">
        <v>4058</v>
      </c>
      <c r="D1291" s="6" t="s">
        <v>13</v>
      </c>
      <c r="E1291" t="s">
        <v>4058</v>
      </c>
      <c r="F1291" t="s">
        <v>4059</v>
      </c>
      <c r="G1291">
        <v>500</v>
      </c>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x14ac:dyDescent="0.15">
      <c r="A1292" t="s">
        <v>4032</v>
      </c>
      <c r="B1292" s="6" t="s">
        <v>4066</v>
      </c>
      <c r="C1292" t="s">
        <v>4032</v>
      </c>
      <c r="D1292" s="6" t="s">
        <v>13</v>
      </c>
      <c r="E1292" t="s">
        <v>4032</v>
      </c>
      <c r="F1292" t="s">
        <v>4033</v>
      </c>
      <c r="G1292">
        <v>500</v>
      </c>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x14ac:dyDescent="0.15">
      <c r="A1293" t="s">
        <v>4034</v>
      </c>
      <c r="B1293" s="6" t="s">
        <v>4066</v>
      </c>
      <c r="C1293" t="s">
        <v>4034</v>
      </c>
      <c r="D1293" s="6" t="s">
        <v>13</v>
      </c>
      <c r="E1293" t="s">
        <v>4034</v>
      </c>
      <c r="F1293" t="s">
        <v>4035</v>
      </c>
      <c r="G1293">
        <v>600</v>
      </c>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x14ac:dyDescent="0.15">
      <c r="A1294" t="s">
        <v>4036</v>
      </c>
      <c r="B1294" s="6" t="s">
        <v>4066</v>
      </c>
      <c r="C1294" t="s">
        <v>4036</v>
      </c>
      <c r="D1294" s="6" t="s">
        <v>13</v>
      </c>
      <c r="E1294" t="s">
        <v>4036</v>
      </c>
      <c r="F1294" t="s">
        <v>4037</v>
      </c>
      <c r="G1294">
        <v>550</v>
      </c>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x14ac:dyDescent="0.15">
      <c r="A1295" t="s">
        <v>4038</v>
      </c>
      <c r="B1295" s="6" t="s">
        <v>4067</v>
      </c>
      <c r="C1295" t="s">
        <v>4038</v>
      </c>
      <c r="D1295" s="6" t="s">
        <v>13</v>
      </c>
      <c r="E1295" t="s">
        <v>4038</v>
      </c>
      <c r="F1295" t="s">
        <v>4039</v>
      </c>
      <c r="G1295">
        <v>550</v>
      </c>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x14ac:dyDescent="0.15">
      <c r="A1296" t="s">
        <v>4040</v>
      </c>
      <c r="B1296" s="6" t="s">
        <v>4067</v>
      </c>
      <c r="C1296" t="s">
        <v>4040</v>
      </c>
      <c r="D1296" s="6" t="s">
        <v>13</v>
      </c>
      <c r="E1296" t="s">
        <v>4040</v>
      </c>
      <c r="F1296" t="s">
        <v>4041</v>
      </c>
      <c r="G1296">
        <v>500</v>
      </c>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x14ac:dyDescent="0.15">
      <c r="A1297" t="s">
        <v>4112</v>
      </c>
      <c r="B1297" s="6" t="s">
        <v>4067</v>
      </c>
      <c r="C1297" t="s">
        <v>4112</v>
      </c>
      <c r="D1297" s="6" t="s">
        <v>13</v>
      </c>
      <c r="E1297" t="s">
        <v>4042</v>
      </c>
      <c r="F1297" t="s">
        <v>4043</v>
      </c>
      <c r="G1297">
        <v>520</v>
      </c>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x14ac:dyDescent="0.15">
      <c r="A1298" t="s">
        <v>4113</v>
      </c>
      <c r="B1298" s="6" t="s">
        <v>4067</v>
      </c>
      <c r="C1298" t="s">
        <v>4113</v>
      </c>
      <c r="D1298" s="6" t="s">
        <v>13</v>
      </c>
      <c r="E1298" t="s">
        <v>4044</v>
      </c>
      <c r="F1298" t="s">
        <v>4045</v>
      </c>
      <c r="G1298">
        <v>500</v>
      </c>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x14ac:dyDescent="0.15">
      <c r="A1299" t="s">
        <v>4099</v>
      </c>
      <c r="B1299" s="6" t="s">
        <v>1162</v>
      </c>
      <c r="C1299" t="s">
        <v>4099</v>
      </c>
      <c r="D1299" s="6" t="s">
        <v>13</v>
      </c>
      <c r="E1299" t="s">
        <v>3981</v>
      </c>
      <c r="F1299" t="s">
        <v>3982</v>
      </c>
      <c r="G1299">
        <v>600</v>
      </c>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x14ac:dyDescent="0.15">
      <c r="A1300" t="s">
        <v>4105</v>
      </c>
      <c r="B1300" s="6" t="s">
        <v>1162</v>
      </c>
      <c r="C1300" t="s">
        <v>4105</v>
      </c>
      <c r="D1300" s="6" t="s">
        <v>13</v>
      </c>
      <c r="E1300" t="s">
        <v>4047</v>
      </c>
      <c r="F1300" t="s">
        <v>4048</v>
      </c>
      <c r="G1300">
        <v>500</v>
      </c>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x14ac:dyDescent="0.15">
      <c r="A1301" t="s">
        <v>4106</v>
      </c>
      <c r="B1301" s="6" t="s">
        <v>1162</v>
      </c>
      <c r="C1301" t="s">
        <v>4106</v>
      </c>
      <c r="D1301" s="6" t="s">
        <v>13</v>
      </c>
      <c r="E1301" t="s">
        <v>4107</v>
      </c>
      <c r="F1301" t="s">
        <v>4049</v>
      </c>
      <c r="G1301">
        <v>550</v>
      </c>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x14ac:dyDescent="0.15">
      <c r="A1302" t="s">
        <v>4051</v>
      </c>
      <c r="B1302" s="6" t="s">
        <v>4068</v>
      </c>
      <c r="C1302" t="s">
        <v>4051</v>
      </c>
      <c r="D1302" s="6" t="s">
        <v>13</v>
      </c>
      <c r="E1302" t="s">
        <v>4051</v>
      </c>
      <c r="F1302" t="s">
        <v>4052</v>
      </c>
      <c r="G1302">
        <v>500</v>
      </c>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x14ac:dyDescent="0.15">
      <c r="A1303" t="s">
        <v>3993</v>
      </c>
      <c r="B1303" s="6" t="s">
        <v>4069</v>
      </c>
      <c r="C1303" t="s">
        <v>3993</v>
      </c>
      <c r="D1303" s="6" t="s">
        <v>13</v>
      </c>
      <c r="E1303" t="s">
        <v>3993</v>
      </c>
      <c r="F1303" t="s">
        <v>3994</v>
      </c>
      <c r="G1303">
        <v>500</v>
      </c>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x14ac:dyDescent="0.15">
      <c r="A1304" t="s">
        <v>3995</v>
      </c>
      <c r="B1304" s="6" t="s">
        <v>4069</v>
      </c>
      <c r="C1304" t="s">
        <v>3995</v>
      </c>
      <c r="D1304" s="6" t="s">
        <v>13</v>
      </c>
      <c r="E1304" t="s">
        <v>3995</v>
      </c>
      <c r="F1304" t="s">
        <v>3996</v>
      </c>
      <c r="G1304">
        <v>200</v>
      </c>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x14ac:dyDescent="0.15">
      <c r="A1305" t="s">
        <v>3999</v>
      </c>
      <c r="B1305" s="6" t="s">
        <v>4069</v>
      </c>
      <c r="C1305" t="s">
        <v>3999</v>
      </c>
      <c r="D1305" s="6" t="s">
        <v>13</v>
      </c>
      <c r="E1305" t="s">
        <v>3999</v>
      </c>
      <c r="F1305" t="s">
        <v>4000</v>
      </c>
      <c r="G1305">
        <v>750</v>
      </c>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x14ac:dyDescent="0.15">
      <c r="A1306" t="s">
        <v>4001</v>
      </c>
      <c r="B1306" s="6" t="s">
        <v>4069</v>
      </c>
      <c r="C1306" t="s">
        <v>4001</v>
      </c>
      <c r="D1306" s="6" t="s">
        <v>13</v>
      </c>
      <c r="E1306" t="s">
        <v>4001</v>
      </c>
      <c r="F1306" t="s">
        <v>4002</v>
      </c>
      <c r="G1306">
        <v>600</v>
      </c>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x14ac:dyDescent="0.15">
      <c r="A1307" t="s">
        <v>2242</v>
      </c>
      <c r="B1307" s="6" t="s">
        <v>4070</v>
      </c>
      <c r="C1307" t="s">
        <v>2242</v>
      </c>
      <c r="D1307" s="6" t="s">
        <v>13</v>
      </c>
      <c r="E1307" t="s">
        <v>2242</v>
      </c>
      <c r="F1307" t="s">
        <v>4055</v>
      </c>
      <c r="G1307">
        <v>600</v>
      </c>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x14ac:dyDescent="0.15">
      <c r="A1308" t="s">
        <v>4056</v>
      </c>
      <c r="B1308" s="6" t="s">
        <v>4070</v>
      </c>
      <c r="C1308" t="s">
        <v>4056</v>
      </c>
      <c r="D1308" s="6" t="s">
        <v>13</v>
      </c>
      <c r="E1308" t="s">
        <v>4056</v>
      </c>
      <c r="F1308" t="s">
        <v>4057</v>
      </c>
      <c r="G1308">
        <v>550</v>
      </c>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x14ac:dyDescent="0.15">
      <c r="A1309" t="s">
        <v>2245</v>
      </c>
      <c r="B1309" s="6" t="s">
        <v>4070</v>
      </c>
      <c r="C1309" t="s">
        <v>2245</v>
      </c>
      <c r="D1309" s="6" t="s">
        <v>13</v>
      </c>
      <c r="E1309" t="s">
        <v>2245</v>
      </c>
      <c r="F1309" t="s">
        <v>2246</v>
      </c>
      <c r="G1309">
        <v>650</v>
      </c>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x14ac:dyDescent="0.15">
      <c r="A1310" t="s">
        <v>2248</v>
      </c>
      <c r="B1310" s="6" t="s">
        <v>4070</v>
      </c>
      <c r="C1310" t="s">
        <v>2248</v>
      </c>
      <c r="D1310" s="6" t="s">
        <v>13</v>
      </c>
      <c r="E1310" t="s">
        <v>2248</v>
      </c>
      <c r="F1310" t="s">
        <v>2249</v>
      </c>
      <c r="G1310">
        <v>700</v>
      </c>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x14ac:dyDescent="0.15">
      <c r="A1311" s="6" t="s">
        <v>4077</v>
      </c>
      <c r="B1311" t="s">
        <v>4076</v>
      </c>
      <c r="C1311" s="6" t="s">
        <v>4077</v>
      </c>
      <c r="D1311" s="6" t="s">
        <v>13</v>
      </c>
      <c r="E1311" s="6" t="s">
        <v>4079</v>
      </c>
      <c r="F1311" s="6" t="s">
        <v>4080</v>
      </c>
      <c r="G1311" s="6">
        <v>750</v>
      </c>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x14ac:dyDescent="0.15">
      <c r="A1312" s="6" t="s">
        <v>4078</v>
      </c>
      <c r="B1312" t="s">
        <v>4076</v>
      </c>
      <c r="C1312" s="6" t="s">
        <v>4078</v>
      </c>
      <c r="E1312" s="6" t="s">
        <v>174</v>
      </c>
      <c r="F1312" s="6" t="s">
        <v>4081</v>
      </c>
      <c r="G1312" s="6">
        <v>500</v>
      </c>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x14ac:dyDescent="0.15">
      <c r="A1313" t="s">
        <v>4024</v>
      </c>
      <c r="B1313" s="6" t="s">
        <v>4140</v>
      </c>
      <c r="C1313" t="s">
        <v>4024</v>
      </c>
      <c r="D1313" s="6" t="s">
        <v>13</v>
      </c>
      <c r="E1313" t="s">
        <v>4024</v>
      </c>
      <c r="F1313" t="s">
        <v>4025</v>
      </c>
      <c r="G1313">
        <v>700</v>
      </c>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x14ac:dyDescent="0.15">
      <c r="A1314" t="s">
        <v>4026</v>
      </c>
      <c r="B1314" s="6" t="s">
        <v>4140</v>
      </c>
      <c r="C1314" t="s">
        <v>4026</v>
      </c>
      <c r="D1314" s="6" t="s">
        <v>13</v>
      </c>
      <c r="E1314" t="s">
        <v>4026</v>
      </c>
      <c r="F1314" t="s">
        <v>4027</v>
      </c>
      <c r="G1314">
        <v>800</v>
      </c>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x14ac:dyDescent="0.15">
      <c r="A1315" t="s">
        <v>4028</v>
      </c>
      <c r="B1315" s="6" t="s">
        <v>4140</v>
      </c>
      <c r="C1315" t="s">
        <v>4028</v>
      </c>
      <c r="D1315" s="6" t="s">
        <v>13</v>
      </c>
      <c r="E1315" t="s">
        <v>4028</v>
      </c>
      <c r="F1315" t="s">
        <v>4029</v>
      </c>
      <c r="G1315">
        <v>500</v>
      </c>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x14ac:dyDescent="0.15">
      <c r="A1316" t="s">
        <v>4024</v>
      </c>
      <c r="B1316" s="6" t="s">
        <v>4142</v>
      </c>
      <c r="C1316" t="s">
        <v>4024</v>
      </c>
      <c r="D1316" s="6" t="s">
        <v>13</v>
      </c>
      <c r="E1316" t="s">
        <v>4024</v>
      </c>
      <c r="F1316" t="s">
        <v>4025</v>
      </c>
      <c r="G1316">
        <v>700</v>
      </c>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x14ac:dyDescent="0.15">
      <c r="A1317" t="s">
        <v>4026</v>
      </c>
      <c r="B1317" s="6" t="s">
        <v>4142</v>
      </c>
      <c r="C1317" t="s">
        <v>4026</v>
      </c>
      <c r="D1317" s="6" t="s">
        <v>13</v>
      </c>
      <c r="E1317" t="s">
        <v>4026</v>
      </c>
      <c r="F1317" t="s">
        <v>4027</v>
      </c>
      <c r="G1317">
        <v>800</v>
      </c>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x14ac:dyDescent="0.15">
      <c r="A1318" t="s">
        <v>4028</v>
      </c>
      <c r="B1318" s="6" t="s">
        <v>4142</v>
      </c>
      <c r="C1318" t="s">
        <v>4028</v>
      </c>
      <c r="D1318" s="6" t="s">
        <v>13</v>
      </c>
      <c r="E1318" t="s">
        <v>4028</v>
      </c>
      <c r="F1318" t="s">
        <v>4029</v>
      </c>
      <c r="G1318">
        <v>500</v>
      </c>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c r="AT1318"/>
      <c r="AU1318"/>
      <c r="AV1318"/>
      <c r="AW1318"/>
      <c r="AX1318"/>
      <c r="AY1318"/>
      <c r="AZ1318"/>
      <c r="BA1318"/>
      <c r="BB1318"/>
      <c r="BC1318"/>
      <c r="BD1318"/>
      <c r="BE1318"/>
      <c r="BF1318"/>
      <c r="BG1318"/>
      <c r="BH1318"/>
      <c r="BI1318"/>
      <c r="BJ1318"/>
      <c r="BK1318"/>
      <c r="BL1318"/>
      <c r="BM1318"/>
      <c r="BN1318"/>
      <c r="BO1318"/>
      <c r="BP1318"/>
      <c r="BQ1318"/>
      <c r="BR1318"/>
      <c r="BS1318"/>
      <c r="BT1318"/>
      <c r="BU1318"/>
      <c r="BV1318"/>
      <c r="BW1318"/>
      <c r="BX1318"/>
      <c r="BY1318"/>
      <c r="BZ1318"/>
      <c r="CA1318"/>
      <c r="CB1318"/>
      <c r="CC1318"/>
      <c r="CD1318"/>
      <c r="CE1318"/>
      <c r="CF1318"/>
      <c r="CG1318"/>
      <c r="CH1318"/>
      <c r="CI1318"/>
      <c r="CJ1318"/>
      <c r="CK1318"/>
      <c r="CL1318"/>
      <c r="CM1318"/>
      <c r="CN1318"/>
      <c r="CO1318"/>
      <c r="CP1318"/>
      <c r="CQ1318"/>
      <c r="CR1318"/>
      <c r="CS1318"/>
      <c r="CT1318"/>
      <c r="CU1318"/>
      <c r="CV1318"/>
      <c r="CW1318"/>
      <c r="CX1318"/>
      <c r="CY1318"/>
      <c r="CZ1318"/>
      <c r="DA1318"/>
      <c r="DB1318"/>
      <c r="DC1318"/>
      <c r="DD1318"/>
      <c r="DE1318"/>
      <c r="DF1318"/>
      <c r="DG1318"/>
      <c r="DH1318"/>
      <c r="DI1318"/>
      <c r="DJ1318"/>
      <c r="DK1318"/>
      <c r="DL1318"/>
      <c r="DM1318"/>
      <c r="DN1318"/>
      <c r="DO1318"/>
      <c r="DP1318"/>
      <c r="DQ1318"/>
      <c r="DR1318"/>
      <c r="DS1318"/>
      <c r="DT1318"/>
      <c r="DU1318"/>
      <c r="DV1318"/>
      <c r="DW1318"/>
      <c r="DX1318"/>
      <c r="DY1318"/>
      <c r="DZ1318"/>
      <c r="EA1318"/>
      <c r="EB1318"/>
      <c r="EC1318"/>
      <c r="ED1318"/>
      <c r="EE1318"/>
      <c r="EF1318"/>
      <c r="EG1318"/>
      <c r="EH1318"/>
      <c r="EI1318"/>
      <c r="EJ1318"/>
      <c r="EK1318"/>
      <c r="EL1318"/>
      <c r="EM1318"/>
      <c r="EN1318"/>
      <c r="EO1318"/>
      <c r="EP1318"/>
      <c r="EQ1318"/>
      <c r="ER1318"/>
      <c r="ES1318"/>
      <c r="ET1318"/>
      <c r="EU1318"/>
      <c r="EV1318"/>
      <c r="EW1318"/>
      <c r="EX1318"/>
      <c r="EY1318"/>
      <c r="EZ1318"/>
      <c r="FA1318"/>
      <c r="FB1318"/>
      <c r="FC1318"/>
      <c r="FD1318"/>
      <c r="FE1318"/>
      <c r="FF1318"/>
      <c r="FG1318"/>
      <c r="FH1318"/>
      <c r="FI1318"/>
      <c r="FJ1318"/>
      <c r="FK1318"/>
      <c r="FL1318"/>
      <c r="FM1318"/>
      <c r="FN1318"/>
      <c r="FO1318"/>
      <c r="FP1318"/>
      <c r="FQ1318"/>
      <c r="FR1318"/>
      <c r="FS1318"/>
      <c r="FT1318"/>
      <c r="FU1318"/>
      <c r="FV1318"/>
      <c r="FW1318"/>
      <c r="FX1318"/>
      <c r="FY1318"/>
      <c r="FZ1318"/>
      <c r="GA1318"/>
      <c r="GB1318"/>
      <c r="GC1318"/>
      <c r="GD1318"/>
      <c r="GE1318"/>
      <c r="GF1318"/>
      <c r="GG1318"/>
      <c r="GH1318"/>
      <c r="GI1318"/>
      <c r="GJ1318"/>
      <c r="GK1318"/>
      <c r="GL1318"/>
      <c r="GM1318"/>
      <c r="GN1318"/>
      <c r="GO1318"/>
      <c r="GP1318"/>
      <c r="GQ1318"/>
      <c r="GR1318"/>
      <c r="GS1318"/>
      <c r="GT1318"/>
      <c r="GU1318"/>
      <c r="GV1318"/>
      <c r="GW1318"/>
      <c r="GX1318"/>
      <c r="GY1318"/>
      <c r="GZ1318"/>
      <c r="HA1318"/>
      <c r="HB1318"/>
      <c r="HC1318"/>
      <c r="HD1318"/>
      <c r="HE1318"/>
      <c r="HF1318"/>
      <c r="HG1318"/>
      <c r="HH1318"/>
      <c r="HI1318"/>
      <c r="HJ1318"/>
      <c r="HK1318"/>
      <c r="HL1318"/>
      <c r="HM1318"/>
      <c r="HN1318"/>
      <c r="HO1318"/>
      <c r="HP1318"/>
      <c r="HQ1318"/>
      <c r="HR1318"/>
      <c r="HS1318"/>
      <c r="HT1318"/>
      <c r="HU1318"/>
      <c r="HV1318"/>
      <c r="HW1318"/>
      <c r="HX1318"/>
      <c r="HY1318"/>
      <c r="HZ1318"/>
      <c r="IA1318"/>
      <c r="IB1318"/>
      <c r="IC1318"/>
      <c r="ID1318"/>
      <c r="IE1318"/>
      <c r="IF1318"/>
      <c r="IG1318"/>
      <c r="IH1318"/>
      <c r="II1318"/>
      <c r="IJ1318"/>
      <c r="IK1318"/>
      <c r="IL1318"/>
      <c r="IM1318"/>
      <c r="IN1318"/>
      <c r="IO1318"/>
      <c r="IP1318"/>
      <c r="IQ1318"/>
      <c r="IR1318"/>
      <c r="IS1318"/>
      <c r="IT1318"/>
      <c r="IU1318"/>
      <c r="IV1318"/>
      <c r="IW1318"/>
      <c r="IX1318"/>
      <c r="IY1318"/>
      <c r="IZ1318"/>
      <c r="JA1318"/>
      <c r="JB1318"/>
      <c r="JC1318"/>
      <c r="JD1318"/>
      <c r="JE1318"/>
      <c r="JF1318"/>
      <c r="JG1318"/>
      <c r="JH1318"/>
      <c r="JI1318"/>
      <c r="JJ1318"/>
      <c r="JK1318"/>
      <c r="JL1318"/>
      <c r="JM1318"/>
      <c r="JN1318"/>
      <c r="JO1318"/>
      <c r="JP1318"/>
      <c r="JQ1318"/>
      <c r="JR1318"/>
      <c r="JS1318"/>
      <c r="JT1318"/>
      <c r="JU1318"/>
      <c r="JV1318"/>
      <c r="JW1318"/>
      <c r="JX1318"/>
      <c r="JY1318"/>
      <c r="JZ1318"/>
      <c r="KA1318"/>
      <c r="KB1318"/>
      <c r="KC1318"/>
      <c r="KD1318"/>
      <c r="KE1318"/>
      <c r="KF1318"/>
      <c r="KG1318"/>
      <c r="KH1318"/>
      <c r="KI1318"/>
      <c r="KJ1318"/>
      <c r="KK1318"/>
      <c r="KL1318"/>
      <c r="KM1318"/>
      <c r="KN1318"/>
      <c r="KO1318"/>
      <c r="KP1318"/>
      <c r="KQ1318"/>
      <c r="KR1318"/>
      <c r="KS1318"/>
      <c r="KT1318"/>
      <c r="KU1318"/>
      <c r="KV1318"/>
      <c r="KW1318"/>
      <c r="KX1318"/>
      <c r="KY1318"/>
      <c r="KZ1318"/>
      <c r="LA1318"/>
      <c r="LB1318"/>
      <c r="LC1318"/>
      <c r="LD1318"/>
      <c r="LE1318"/>
      <c r="LF1318"/>
      <c r="LG1318"/>
      <c r="LH1318"/>
      <c r="LI1318"/>
      <c r="LJ1318"/>
      <c r="LK1318"/>
      <c r="LL1318"/>
      <c r="LM1318"/>
      <c r="LN1318"/>
      <c r="LO1318"/>
      <c r="LP1318"/>
      <c r="LQ1318"/>
      <c r="LR1318"/>
      <c r="LS1318"/>
      <c r="LT1318"/>
      <c r="LU1318"/>
      <c r="LV1318"/>
      <c r="LW1318"/>
      <c r="LX1318"/>
      <c r="LY1318"/>
      <c r="LZ1318"/>
      <c r="MA1318"/>
      <c r="MB1318"/>
      <c r="MC1318"/>
      <c r="MD1318"/>
      <c r="ME1318"/>
      <c r="MF1318"/>
      <c r="MG1318"/>
      <c r="MH1318"/>
      <c r="MI1318"/>
      <c r="MJ1318"/>
      <c r="MK1318"/>
      <c r="ML1318"/>
      <c r="MM1318"/>
      <c r="MN1318"/>
      <c r="MO1318"/>
      <c r="MP1318"/>
      <c r="MQ1318"/>
      <c r="MR1318"/>
      <c r="MS1318"/>
      <c r="MT1318"/>
      <c r="MU1318"/>
      <c r="MV1318"/>
      <c r="MW1318"/>
      <c r="MX1318"/>
      <c r="MY1318"/>
      <c r="MZ1318"/>
      <c r="NA1318"/>
      <c r="NB1318"/>
      <c r="NC1318"/>
      <c r="ND1318"/>
      <c r="NE1318"/>
      <c r="NF1318"/>
      <c r="NG1318"/>
      <c r="NH1318"/>
      <c r="NI1318"/>
      <c r="NJ1318"/>
      <c r="NK1318"/>
      <c r="NL1318"/>
      <c r="NM1318"/>
      <c r="NN1318"/>
      <c r="NO1318"/>
      <c r="NP1318"/>
      <c r="NQ1318"/>
      <c r="NR1318"/>
      <c r="NS1318"/>
      <c r="NT1318"/>
      <c r="NU1318"/>
      <c r="NV1318"/>
      <c r="NW1318"/>
      <c r="NX1318"/>
      <c r="NY1318"/>
      <c r="NZ1318"/>
      <c r="OA1318"/>
      <c r="OB1318"/>
      <c r="OC1318"/>
      <c r="OD1318"/>
      <c r="OE1318"/>
      <c r="OF1318"/>
      <c r="OG1318"/>
      <c r="OH1318"/>
      <c r="OI1318"/>
      <c r="OJ1318"/>
      <c r="OK1318"/>
      <c r="OL1318"/>
      <c r="OM1318"/>
      <c r="ON1318"/>
      <c r="OO1318"/>
      <c r="OP1318"/>
      <c r="OQ1318"/>
      <c r="OR1318"/>
      <c r="OS1318"/>
      <c r="OT1318"/>
      <c r="OU1318"/>
      <c r="OV1318"/>
      <c r="OW1318"/>
      <c r="OX1318"/>
      <c r="OY1318"/>
      <c r="OZ1318"/>
      <c r="PA1318"/>
      <c r="PB1318"/>
      <c r="PC1318"/>
      <c r="PD1318"/>
      <c r="PE1318"/>
      <c r="PF1318"/>
      <c r="PG1318"/>
      <c r="PH1318"/>
      <c r="PI1318"/>
      <c r="PJ1318"/>
      <c r="PK1318"/>
      <c r="PL1318"/>
      <c r="PM1318"/>
      <c r="PN1318"/>
      <c r="PO1318"/>
      <c r="PP1318"/>
      <c r="PQ1318"/>
      <c r="PR1318"/>
      <c r="PS1318"/>
      <c r="PT1318"/>
      <c r="PU1318"/>
      <c r="PV1318"/>
      <c r="PW1318"/>
      <c r="PX1318"/>
      <c r="PY1318"/>
      <c r="PZ1318"/>
      <c r="QA1318"/>
      <c r="QB1318"/>
      <c r="QC1318"/>
      <c r="QD1318"/>
      <c r="QE1318"/>
      <c r="QF1318"/>
      <c r="QG1318"/>
      <c r="QH1318"/>
      <c r="QI1318"/>
      <c r="QJ1318"/>
      <c r="QK1318"/>
      <c r="QL1318"/>
      <c r="QM1318"/>
      <c r="QN1318"/>
      <c r="QO1318"/>
      <c r="QP1318"/>
      <c r="QQ1318"/>
      <c r="QR1318"/>
      <c r="QS1318"/>
      <c r="QT1318"/>
      <c r="QU1318"/>
      <c r="QV1318"/>
      <c r="QW1318"/>
      <c r="QX1318"/>
      <c r="QY1318"/>
      <c r="QZ1318"/>
      <c r="RA1318"/>
      <c r="RB1318"/>
      <c r="RC1318"/>
      <c r="RD1318"/>
      <c r="RE1318"/>
      <c r="RF1318"/>
      <c r="RG1318"/>
      <c r="RH1318"/>
      <c r="RI1318"/>
      <c r="RJ1318"/>
      <c r="RK1318"/>
      <c r="RL1318"/>
      <c r="RM1318"/>
      <c r="RN1318"/>
      <c r="RO1318"/>
      <c r="RP1318"/>
      <c r="RQ1318"/>
      <c r="RR1318"/>
      <c r="RS1318"/>
      <c r="RT1318"/>
      <c r="RU1318"/>
      <c r="RV1318"/>
      <c r="RW1318"/>
      <c r="RX1318"/>
      <c r="RY1318"/>
      <c r="RZ1318"/>
      <c r="SA1318"/>
      <c r="SB1318"/>
      <c r="SC1318"/>
      <c r="SD1318"/>
      <c r="SE1318"/>
      <c r="SF1318"/>
      <c r="SG1318"/>
      <c r="SH1318"/>
      <c r="SI1318"/>
      <c r="SJ1318"/>
      <c r="SK1318"/>
      <c r="SL1318"/>
      <c r="SM1318"/>
      <c r="SN1318"/>
      <c r="SO1318"/>
      <c r="SP1318"/>
      <c r="SQ1318"/>
      <c r="SR1318"/>
      <c r="SS1318"/>
      <c r="ST1318"/>
      <c r="SU1318"/>
      <c r="SV1318"/>
      <c r="SW1318"/>
      <c r="SX1318"/>
      <c r="SY1318"/>
      <c r="SZ1318"/>
      <c r="TA1318"/>
      <c r="TB1318"/>
      <c r="TC1318"/>
      <c r="TD1318"/>
      <c r="TE1318"/>
      <c r="TF1318"/>
      <c r="TG1318"/>
      <c r="TH1318"/>
      <c r="TI1318"/>
      <c r="TJ1318"/>
      <c r="TK1318"/>
      <c r="TL1318"/>
      <c r="TM1318"/>
      <c r="TN1318"/>
      <c r="TO1318"/>
      <c r="TP1318"/>
      <c r="TQ1318"/>
      <c r="TR1318"/>
      <c r="TS1318"/>
      <c r="TT1318"/>
      <c r="TU1318"/>
      <c r="TV1318"/>
      <c r="TW1318"/>
      <c r="TX1318"/>
      <c r="TY1318"/>
      <c r="TZ1318"/>
      <c r="UA1318"/>
      <c r="UB1318"/>
      <c r="UC1318"/>
      <c r="UD1318"/>
      <c r="UE1318"/>
      <c r="UF1318"/>
      <c r="UG1318"/>
      <c r="UH1318"/>
      <c r="UI1318"/>
      <c r="UJ1318"/>
      <c r="UK1318"/>
      <c r="UL1318"/>
      <c r="UM1318"/>
      <c r="UN1318"/>
      <c r="UO1318"/>
      <c r="UP1318"/>
      <c r="UQ1318"/>
      <c r="UR1318"/>
      <c r="US1318"/>
      <c r="UT1318"/>
      <c r="UU1318"/>
      <c r="UV1318"/>
      <c r="UW1318"/>
      <c r="UX1318"/>
      <c r="UY1318"/>
      <c r="UZ1318"/>
      <c r="VA1318"/>
      <c r="VB1318"/>
      <c r="VC1318"/>
      <c r="VD1318"/>
      <c r="VE1318"/>
      <c r="VF1318"/>
      <c r="VG1318"/>
      <c r="VH1318"/>
      <c r="VI1318"/>
      <c r="VJ1318"/>
      <c r="VK1318"/>
      <c r="VL1318"/>
      <c r="VM1318"/>
      <c r="VN1318"/>
      <c r="VO1318"/>
      <c r="VP1318"/>
      <c r="VQ1318"/>
      <c r="VR1318"/>
      <c r="VS1318"/>
      <c r="VT1318"/>
      <c r="VU1318"/>
      <c r="VV1318"/>
      <c r="VW1318"/>
      <c r="VX1318"/>
      <c r="VY1318"/>
      <c r="VZ1318"/>
      <c r="WA1318"/>
      <c r="WB1318"/>
      <c r="WC1318"/>
      <c r="WD1318"/>
      <c r="WE1318"/>
      <c r="WF1318"/>
      <c r="WG1318"/>
      <c r="WH1318"/>
      <c r="WI1318"/>
      <c r="WJ1318"/>
      <c r="WK1318"/>
      <c r="WL1318"/>
      <c r="WM1318"/>
      <c r="WN1318"/>
      <c r="WO1318"/>
      <c r="WP1318"/>
      <c r="WQ1318"/>
      <c r="WR1318"/>
      <c r="WS1318"/>
      <c r="WT1318"/>
      <c r="WU1318"/>
      <c r="WV1318"/>
      <c r="WW1318"/>
      <c r="WX1318"/>
      <c r="WY1318"/>
      <c r="WZ1318"/>
      <c r="XA1318"/>
      <c r="XB1318"/>
      <c r="XC1318"/>
      <c r="XD1318"/>
      <c r="XE1318"/>
      <c r="XF1318"/>
      <c r="XG1318"/>
      <c r="XH1318"/>
      <c r="XI1318"/>
      <c r="XJ1318"/>
      <c r="XK1318"/>
      <c r="XL1318"/>
      <c r="XM1318"/>
      <c r="XN1318"/>
      <c r="XO1318"/>
      <c r="XP1318"/>
      <c r="XQ1318"/>
      <c r="XR1318"/>
      <c r="XS1318"/>
      <c r="XT1318"/>
      <c r="XU1318"/>
      <c r="XV1318"/>
      <c r="XW1318"/>
      <c r="XX1318"/>
      <c r="XY1318"/>
      <c r="XZ1318"/>
      <c r="YA1318"/>
      <c r="YB1318"/>
      <c r="YC1318"/>
      <c r="YD1318"/>
      <c r="YE1318"/>
      <c r="YF1318"/>
      <c r="YG1318"/>
      <c r="YH1318"/>
      <c r="YI1318"/>
      <c r="YJ1318"/>
      <c r="YK1318"/>
      <c r="YL1318"/>
      <c r="YM1318"/>
      <c r="YN1318"/>
      <c r="YO1318"/>
      <c r="YP1318"/>
      <c r="YQ1318"/>
      <c r="YR1318"/>
      <c r="YS1318"/>
      <c r="YT1318"/>
      <c r="YU1318"/>
      <c r="YV1318"/>
      <c r="YW1318"/>
      <c r="YX1318"/>
      <c r="YY1318"/>
      <c r="YZ1318"/>
      <c r="ZA1318"/>
      <c r="ZB1318"/>
      <c r="ZC1318"/>
      <c r="ZD1318"/>
      <c r="ZE1318"/>
      <c r="ZF1318"/>
      <c r="ZG1318"/>
      <c r="ZH1318"/>
      <c r="ZI1318"/>
      <c r="ZJ1318"/>
      <c r="ZK1318"/>
      <c r="ZL1318"/>
      <c r="ZM1318"/>
      <c r="ZN1318"/>
      <c r="ZO1318"/>
      <c r="ZP1318"/>
      <c r="ZQ1318"/>
      <c r="ZR1318"/>
      <c r="ZS1318"/>
      <c r="ZT1318"/>
      <c r="ZU1318"/>
      <c r="ZV1318"/>
      <c r="ZW1318"/>
      <c r="ZX1318"/>
      <c r="ZY1318"/>
      <c r="ZZ1318"/>
      <c r="AAA1318"/>
      <c r="AAB1318"/>
      <c r="AAC1318"/>
      <c r="AAD1318"/>
      <c r="AAE1318"/>
      <c r="AAF1318"/>
      <c r="AAG1318"/>
      <c r="AAH1318"/>
      <c r="AAI1318"/>
      <c r="AAJ1318"/>
      <c r="AAK1318"/>
      <c r="AAL1318"/>
      <c r="AAM1318"/>
      <c r="AAN1318"/>
      <c r="AAO1318"/>
      <c r="AAP1318"/>
      <c r="AAQ1318"/>
      <c r="AAR1318"/>
      <c r="AAS1318"/>
      <c r="AAT1318"/>
      <c r="AAU1318"/>
      <c r="AAV1318"/>
      <c r="AAW1318"/>
      <c r="AAX1318"/>
      <c r="AAY1318"/>
      <c r="AAZ1318"/>
      <c r="ABA1318"/>
      <c r="ABB1318"/>
      <c r="ABC1318"/>
      <c r="ABD1318"/>
      <c r="ABE1318"/>
      <c r="ABF1318"/>
      <c r="ABG1318"/>
      <c r="ABH1318"/>
      <c r="ABI1318"/>
      <c r="ABJ1318"/>
      <c r="ABK1318"/>
      <c r="ABL1318"/>
      <c r="ABM1318"/>
      <c r="ABN1318"/>
      <c r="ABO1318"/>
      <c r="ABP1318"/>
      <c r="ABQ1318"/>
      <c r="ABR1318"/>
      <c r="ABS1318"/>
      <c r="ABT1318"/>
      <c r="ABU1318"/>
      <c r="ABV1318"/>
      <c r="ABW1318"/>
      <c r="ABX1318"/>
      <c r="ABY1318"/>
      <c r="ABZ1318"/>
      <c r="ACA1318"/>
      <c r="ACB1318"/>
      <c r="ACC1318"/>
      <c r="ACD1318"/>
      <c r="ACE1318"/>
      <c r="ACF1318"/>
      <c r="ACG1318"/>
      <c r="ACH1318"/>
      <c r="ACI1318"/>
      <c r="ACJ1318"/>
      <c r="ACK1318"/>
      <c r="ACL1318"/>
      <c r="ACM1318"/>
      <c r="ACN1318"/>
      <c r="ACO1318"/>
      <c r="ACP1318"/>
      <c r="ACQ1318"/>
      <c r="ACR1318"/>
      <c r="ACS1318"/>
      <c r="ACT1318"/>
      <c r="ACU1318"/>
      <c r="ACV1318"/>
      <c r="ACW1318"/>
      <c r="ACX1318"/>
      <c r="ACY1318"/>
      <c r="ACZ1318"/>
      <c r="ADA1318"/>
      <c r="ADB1318"/>
      <c r="ADC1318"/>
      <c r="ADD1318"/>
      <c r="ADE1318"/>
      <c r="ADF1318"/>
      <c r="ADG1318"/>
      <c r="ADH1318"/>
      <c r="ADI1318"/>
      <c r="ADJ1318"/>
      <c r="ADK1318"/>
      <c r="ADL1318"/>
      <c r="ADM1318"/>
      <c r="ADN1318"/>
      <c r="ADO1318"/>
      <c r="ADP1318"/>
      <c r="ADQ1318"/>
      <c r="ADR1318"/>
      <c r="ADS1318"/>
      <c r="ADT1318"/>
      <c r="ADU1318"/>
      <c r="ADV1318"/>
      <c r="ADW1318"/>
      <c r="ADX1318"/>
      <c r="ADY1318"/>
      <c r="ADZ1318"/>
      <c r="AEA1318"/>
      <c r="AEB1318"/>
      <c r="AEC1318"/>
      <c r="AED1318"/>
      <c r="AEE1318"/>
      <c r="AEF1318"/>
      <c r="AEG1318"/>
      <c r="AEH1318"/>
      <c r="AEI1318"/>
      <c r="AEJ1318"/>
      <c r="AEK1318"/>
      <c r="AEL1318"/>
      <c r="AEM1318"/>
      <c r="AEN1318"/>
      <c r="AEO1318"/>
      <c r="AEP1318"/>
      <c r="AEQ1318"/>
      <c r="AER1318"/>
      <c r="AES1318"/>
      <c r="AET1318"/>
      <c r="AEU1318"/>
      <c r="AEV1318"/>
      <c r="AEW1318"/>
      <c r="AEX1318"/>
      <c r="AEY1318"/>
      <c r="AEZ1318"/>
      <c r="AFA1318"/>
      <c r="AFB1318"/>
      <c r="AFC1318"/>
      <c r="AFD1318"/>
      <c r="AFE1318"/>
      <c r="AFF1318"/>
      <c r="AFG1318"/>
      <c r="AFH1318"/>
      <c r="AFI1318"/>
      <c r="AFJ1318"/>
      <c r="AFK1318"/>
      <c r="AFL1318"/>
      <c r="AFM1318"/>
      <c r="AFN1318"/>
      <c r="AFO1318"/>
      <c r="AFP1318"/>
      <c r="AFQ1318"/>
      <c r="AFR1318"/>
      <c r="AFS1318"/>
      <c r="AFT1318"/>
      <c r="AFU1318"/>
      <c r="AFV1318"/>
      <c r="AFW1318"/>
      <c r="AFX1318"/>
      <c r="AFY1318"/>
      <c r="AFZ1318"/>
      <c r="AGA1318"/>
      <c r="AGB1318"/>
      <c r="AGC1318"/>
      <c r="AGD1318"/>
      <c r="AGE1318"/>
      <c r="AGF1318"/>
      <c r="AGG1318"/>
      <c r="AGH1318"/>
      <c r="AGI1318"/>
      <c r="AGJ1318"/>
      <c r="AGK1318"/>
      <c r="AGL1318"/>
      <c r="AGM1318"/>
      <c r="AGN1318"/>
      <c r="AGO1318"/>
      <c r="AGP1318"/>
      <c r="AGQ1318"/>
      <c r="AGR1318"/>
      <c r="AGS1318"/>
      <c r="AGT1318"/>
      <c r="AGU1318"/>
      <c r="AGV1318"/>
      <c r="AGW1318"/>
      <c r="AGX1318"/>
      <c r="AGY1318"/>
      <c r="AGZ1318"/>
      <c r="AHA1318"/>
      <c r="AHB1318"/>
      <c r="AHC1318"/>
      <c r="AHD1318"/>
      <c r="AHE1318"/>
      <c r="AHF1318"/>
      <c r="AHG1318"/>
      <c r="AHH1318"/>
      <c r="AHI1318"/>
      <c r="AHJ1318"/>
      <c r="AHK1318"/>
      <c r="AHL1318"/>
      <c r="AHM1318"/>
      <c r="AHN1318"/>
      <c r="AHO1318"/>
      <c r="AHP1318"/>
      <c r="AHQ1318"/>
      <c r="AHR1318"/>
      <c r="AHS1318"/>
      <c r="AHT1318"/>
      <c r="AHU1318"/>
      <c r="AHV1318"/>
      <c r="AHW1318"/>
      <c r="AHX1318"/>
      <c r="AHY1318"/>
      <c r="AHZ1318"/>
      <c r="AIA1318"/>
      <c r="AIB1318"/>
      <c r="AIC1318"/>
      <c r="AID1318"/>
      <c r="AIE1318"/>
      <c r="AIF1318"/>
      <c r="AIG1318"/>
      <c r="AIH1318"/>
      <c r="AII1318"/>
      <c r="AIJ1318"/>
      <c r="AIK1318"/>
      <c r="AIL1318"/>
      <c r="AIM1318"/>
      <c r="AIN1318"/>
      <c r="AIO1318"/>
      <c r="AIP1318"/>
      <c r="AIQ1318"/>
      <c r="AIR1318"/>
      <c r="AIS1318"/>
      <c r="AIT1318"/>
      <c r="AIU1318"/>
      <c r="AIV1318"/>
      <c r="AIW1318"/>
      <c r="AIX1318"/>
      <c r="AIY1318"/>
      <c r="AIZ1318"/>
      <c r="AJA1318"/>
      <c r="AJB1318"/>
      <c r="AJC1318"/>
      <c r="AJD1318"/>
      <c r="AJE1318"/>
      <c r="AJF1318"/>
      <c r="AJG1318"/>
      <c r="AJH1318"/>
      <c r="AJI1318"/>
      <c r="AJJ1318"/>
      <c r="AJK1318"/>
      <c r="AJL1318"/>
      <c r="AJM1318"/>
      <c r="AJN1318"/>
      <c r="AJO1318"/>
      <c r="AJP1318"/>
      <c r="AJQ1318"/>
      <c r="AJR1318"/>
      <c r="AJS1318"/>
      <c r="AJT1318"/>
      <c r="AJU1318"/>
      <c r="AJV1318"/>
      <c r="AJW1318"/>
      <c r="AJX1318"/>
      <c r="AJY1318"/>
      <c r="AJZ1318"/>
      <c r="AKA1318"/>
      <c r="AKB1318"/>
      <c r="AKC1318"/>
      <c r="AKD1318"/>
      <c r="AKE1318"/>
      <c r="AKF1318"/>
      <c r="AKG1318"/>
      <c r="AKH1318"/>
      <c r="AKI1318"/>
      <c r="AKJ1318"/>
      <c r="AKK1318"/>
      <c r="AKL1318"/>
      <c r="AKM1318"/>
      <c r="AKN1318"/>
      <c r="AKO1318"/>
      <c r="AKP1318"/>
      <c r="AKQ1318"/>
      <c r="AKR1318"/>
      <c r="AKS1318"/>
      <c r="AKT1318"/>
      <c r="AKU1318"/>
      <c r="AKV1318"/>
      <c r="AKW1318"/>
      <c r="AKX1318"/>
      <c r="AKY1318"/>
      <c r="AKZ1318"/>
      <c r="ALA1318"/>
      <c r="ALB1318"/>
      <c r="ALC1318"/>
      <c r="ALD1318"/>
      <c r="ALE1318"/>
      <c r="ALF1318"/>
      <c r="ALG1318"/>
      <c r="ALH1318"/>
      <c r="ALI1318"/>
      <c r="ALJ1318"/>
      <c r="ALK1318"/>
      <c r="ALL1318"/>
      <c r="ALM1318"/>
      <c r="ALN1318"/>
      <c r="ALO1318"/>
      <c r="ALP1318"/>
      <c r="ALQ1318"/>
      <c r="ALR1318"/>
      <c r="ALS1318"/>
      <c r="ALT1318"/>
    </row>
    <row r="1319" spans="1:1008" x14ac:dyDescent="0.15">
      <c r="A1319" s="6" t="s">
        <v>4151</v>
      </c>
      <c r="B1319" s="6" t="s">
        <v>4148</v>
      </c>
      <c r="C1319" s="6" t="s">
        <v>4151</v>
      </c>
      <c r="D1319" s="6" t="s">
        <v>13</v>
      </c>
      <c r="E1319" s="6" t="s">
        <v>4153</v>
      </c>
      <c r="F1319" s="6" t="s">
        <v>4152</v>
      </c>
      <c r="G1319" s="6">
        <v>600</v>
      </c>
    </row>
    <row r="1320" spans="1:1008" x14ac:dyDescent="0.15">
      <c r="A1320" t="s">
        <v>4024</v>
      </c>
      <c r="B1320" s="6" t="s">
        <v>4147</v>
      </c>
      <c r="C1320" t="s">
        <v>4024</v>
      </c>
      <c r="D1320" s="6" t="s">
        <v>13</v>
      </c>
      <c r="E1320" t="s">
        <v>4024</v>
      </c>
      <c r="F1320" t="s">
        <v>4025</v>
      </c>
      <c r="G1320">
        <v>700</v>
      </c>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c r="AT1320"/>
      <c r="AU1320"/>
      <c r="AV1320"/>
      <c r="AW1320"/>
      <c r="AX1320"/>
      <c r="AY1320"/>
      <c r="AZ1320"/>
      <c r="BA1320"/>
      <c r="BB1320"/>
      <c r="BC1320"/>
      <c r="BD1320"/>
      <c r="BE1320"/>
      <c r="BF1320"/>
      <c r="BG1320"/>
      <c r="BH1320"/>
      <c r="BI1320"/>
      <c r="BJ1320"/>
      <c r="BK1320"/>
      <c r="BL1320"/>
      <c r="BM1320"/>
      <c r="BN1320"/>
      <c r="BO1320"/>
      <c r="BP1320"/>
      <c r="BQ1320"/>
      <c r="BR1320"/>
      <c r="BS1320"/>
      <c r="BT1320"/>
      <c r="BU1320"/>
      <c r="BV1320"/>
      <c r="BW1320"/>
      <c r="BX1320"/>
      <c r="BY1320"/>
      <c r="BZ1320"/>
      <c r="CA1320"/>
      <c r="CB1320"/>
      <c r="CC1320"/>
      <c r="CD1320"/>
      <c r="CE1320"/>
      <c r="CF1320"/>
      <c r="CG1320"/>
      <c r="CH1320"/>
      <c r="CI1320"/>
      <c r="CJ1320"/>
      <c r="CK1320"/>
      <c r="CL1320"/>
      <c r="CM1320"/>
      <c r="CN1320"/>
      <c r="CO1320"/>
      <c r="CP1320"/>
      <c r="CQ1320"/>
      <c r="CR1320"/>
      <c r="CS1320"/>
      <c r="CT1320"/>
      <c r="CU1320"/>
      <c r="CV1320"/>
      <c r="CW1320"/>
      <c r="CX1320"/>
      <c r="CY1320"/>
      <c r="CZ1320"/>
      <c r="DA1320"/>
      <c r="DB1320"/>
      <c r="DC1320"/>
      <c r="DD1320"/>
      <c r="DE1320"/>
      <c r="DF1320"/>
      <c r="DG1320"/>
      <c r="DH1320"/>
      <c r="DI1320"/>
      <c r="DJ1320"/>
      <c r="DK1320"/>
      <c r="DL1320"/>
      <c r="DM1320"/>
      <c r="DN1320"/>
      <c r="DO1320"/>
      <c r="DP1320"/>
      <c r="DQ1320"/>
      <c r="DR1320"/>
      <c r="DS1320"/>
      <c r="DT1320"/>
      <c r="DU1320"/>
      <c r="DV1320"/>
      <c r="DW1320"/>
      <c r="DX1320"/>
      <c r="DY1320"/>
      <c r="DZ1320"/>
      <c r="EA1320"/>
      <c r="EB1320"/>
      <c r="EC1320"/>
      <c r="ED1320"/>
      <c r="EE1320"/>
      <c r="EF1320"/>
      <c r="EG1320"/>
      <c r="EH1320"/>
      <c r="EI1320"/>
      <c r="EJ1320"/>
      <c r="EK1320"/>
      <c r="EL1320"/>
      <c r="EM1320"/>
      <c r="EN1320"/>
      <c r="EO1320"/>
      <c r="EP1320"/>
      <c r="EQ1320"/>
      <c r="ER1320"/>
      <c r="ES1320"/>
      <c r="ET1320"/>
      <c r="EU1320"/>
      <c r="EV1320"/>
      <c r="EW1320"/>
      <c r="EX1320"/>
      <c r="EY1320"/>
      <c r="EZ1320"/>
      <c r="FA1320"/>
      <c r="FB1320"/>
      <c r="FC1320"/>
      <c r="FD1320"/>
      <c r="FE1320"/>
      <c r="FF1320"/>
      <c r="FG1320"/>
      <c r="FH1320"/>
      <c r="FI1320"/>
      <c r="FJ1320"/>
      <c r="FK1320"/>
      <c r="FL1320"/>
      <c r="FM1320"/>
      <c r="FN1320"/>
      <c r="FO1320"/>
      <c r="FP1320"/>
      <c r="FQ1320"/>
      <c r="FR1320"/>
      <c r="FS1320"/>
      <c r="FT1320"/>
      <c r="FU1320"/>
      <c r="FV1320"/>
      <c r="FW1320"/>
      <c r="FX1320"/>
      <c r="FY1320"/>
      <c r="FZ1320"/>
      <c r="GA1320"/>
      <c r="GB1320"/>
      <c r="GC1320"/>
      <c r="GD1320"/>
      <c r="GE1320"/>
      <c r="GF1320"/>
      <c r="GG1320"/>
      <c r="GH1320"/>
      <c r="GI1320"/>
      <c r="GJ1320"/>
      <c r="GK1320"/>
      <c r="GL1320"/>
      <c r="GM1320"/>
      <c r="GN1320"/>
      <c r="GO1320"/>
      <c r="GP1320"/>
      <c r="GQ1320"/>
      <c r="GR1320"/>
      <c r="GS1320"/>
      <c r="GT1320"/>
      <c r="GU1320"/>
      <c r="GV1320"/>
      <c r="GW1320"/>
      <c r="GX1320"/>
      <c r="GY1320"/>
      <c r="GZ1320"/>
      <c r="HA1320"/>
      <c r="HB1320"/>
      <c r="HC1320"/>
      <c r="HD1320"/>
      <c r="HE1320"/>
      <c r="HF1320"/>
      <c r="HG1320"/>
      <c r="HH1320"/>
      <c r="HI1320"/>
      <c r="HJ1320"/>
      <c r="HK1320"/>
      <c r="HL1320"/>
      <c r="HM1320"/>
      <c r="HN1320"/>
      <c r="HO1320"/>
      <c r="HP1320"/>
      <c r="HQ1320"/>
      <c r="HR1320"/>
      <c r="HS1320"/>
      <c r="HT1320"/>
      <c r="HU1320"/>
      <c r="HV1320"/>
      <c r="HW1320"/>
      <c r="HX1320"/>
      <c r="HY1320"/>
      <c r="HZ1320"/>
      <c r="IA1320"/>
      <c r="IB1320"/>
      <c r="IC1320"/>
      <c r="ID1320"/>
      <c r="IE1320"/>
      <c r="IF1320"/>
      <c r="IG1320"/>
      <c r="IH1320"/>
      <c r="II1320"/>
      <c r="IJ1320"/>
      <c r="IK1320"/>
      <c r="IL1320"/>
      <c r="IM1320"/>
      <c r="IN1320"/>
      <c r="IO1320"/>
      <c r="IP1320"/>
      <c r="IQ1320"/>
      <c r="IR1320"/>
      <c r="IS1320"/>
      <c r="IT1320"/>
      <c r="IU1320"/>
      <c r="IV1320"/>
      <c r="IW1320"/>
      <c r="IX1320"/>
      <c r="IY1320"/>
      <c r="IZ1320"/>
      <c r="JA1320"/>
      <c r="JB1320"/>
      <c r="JC1320"/>
      <c r="JD1320"/>
      <c r="JE1320"/>
      <c r="JF1320"/>
      <c r="JG1320"/>
      <c r="JH1320"/>
      <c r="JI1320"/>
      <c r="JJ1320"/>
      <c r="JK1320"/>
      <c r="JL1320"/>
      <c r="JM1320"/>
      <c r="JN1320"/>
      <c r="JO1320"/>
      <c r="JP1320"/>
      <c r="JQ1320"/>
      <c r="JR1320"/>
      <c r="JS1320"/>
      <c r="JT1320"/>
      <c r="JU1320"/>
      <c r="JV1320"/>
      <c r="JW1320"/>
      <c r="JX1320"/>
      <c r="JY1320"/>
      <c r="JZ1320"/>
      <c r="KA1320"/>
      <c r="KB1320"/>
      <c r="KC1320"/>
      <c r="KD1320"/>
      <c r="KE1320"/>
      <c r="KF1320"/>
      <c r="KG1320"/>
      <c r="KH1320"/>
      <c r="KI1320"/>
      <c r="KJ1320"/>
      <c r="KK1320"/>
      <c r="KL1320"/>
      <c r="KM1320"/>
      <c r="KN1320"/>
      <c r="KO1320"/>
      <c r="KP1320"/>
      <c r="KQ1320"/>
      <c r="KR1320"/>
      <c r="KS1320"/>
      <c r="KT1320"/>
      <c r="KU1320"/>
      <c r="KV1320"/>
      <c r="KW1320"/>
      <c r="KX1320"/>
      <c r="KY1320"/>
      <c r="KZ1320"/>
      <c r="LA1320"/>
      <c r="LB1320"/>
      <c r="LC1320"/>
      <c r="LD1320"/>
      <c r="LE1320"/>
      <c r="LF1320"/>
      <c r="LG1320"/>
      <c r="LH1320"/>
      <c r="LI1320"/>
      <c r="LJ1320"/>
      <c r="LK1320"/>
      <c r="LL1320"/>
      <c r="LM1320"/>
      <c r="LN1320"/>
      <c r="LO1320"/>
      <c r="LP1320"/>
      <c r="LQ1320"/>
      <c r="LR1320"/>
      <c r="LS1320"/>
      <c r="LT1320"/>
      <c r="LU1320"/>
      <c r="LV1320"/>
      <c r="LW1320"/>
      <c r="LX1320"/>
      <c r="LY1320"/>
      <c r="LZ1320"/>
      <c r="MA1320"/>
      <c r="MB1320"/>
      <c r="MC1320"/>
      <c r="MD1320"/>
      <c r="ME1320"/>
      <c r="MF1320"/>
      <c r="MG1320"/>
      <c r="MH1320"/>
      <c r="MI1320"/>
      <c r="MJ1320"/>
      <c r="MK1320"/>
      <c r="ML1320"/>
      <c r="MM1320"/>
      <c r="MN1320"/>
      <c r="MO1320"/>
      <c r="MP1320"/>
      <c r="MQ1320"/>
      <c r="MR1320"/>
      <c r="MS1320"/>
      <c r="MT1320"/>
      <c r="MU1320"/>
      <c r="MV1320"/>
      <c r="MW1320"/>
      <c r="MX1320"/>
      <c r="MY1320"/>
      <c r="MZ1320"/>
      <c r="NA1320"/>
      <c r="NB1320"/>
      <c r="NC1320"/>
      <c r="ND1320"/>
      <c r="NE1320"/>
      <c r="NF1320"/>
      <c r="NG1320"/>
      <c r="NH1320"/>
      <c r="NI1320"/>
      <c r="NJ1320"/>
      <c r="NK1320"/>
      <c r="NL1320"/>
      <c r="NM1320"/>
      <c r="NN1320"/>
      <c r="NO1320"/>
      <c r="NP1320"/>
      <c r="NQ1320"/>
      <c r="NR1320"/>
      <c r="NS1320"/>
      <c r="NT1320"/>
      <c r="NU1320"/>
      <c r="NV1320"/>
      <c r="NW1320"/>
      <c r="NX1320"/>
      <c r="NY1320"/>
      <c r="NZ1320"/>
      <c r="OA1320"/>
      <c r="OB1320"/>
      <c r="OC1320"/>
      <c r="OD1320"/>
      <c r="OE1320"/>
      <c r="OF1320"/>
      <c r="OG1320"/>
      <c r="OH1320"/>
      <c r="OI1320"/>
      <c r="OJ1320"/>
      <c r="OK1320"/>
      <c r="OL1320"/>
      <c r="OM1320"/>
      <c r="ON1320"/>
      <c r="OO1320"/>
      <c r="OP1320"/>
      <c r="OQ1320"/>
      <c r="OR1320"/>
      <c r="OS1320"/>
      <c r="OT1320"/>
      <c r="OU1320"/>
      <c r="OV1320"/>
      <c r="OW1320"/>
      <c r="OX1320"/>
      <c r="OY1320"/>
      <c r="OZ1320"/>
      <c r="PA1320"/>
      <c r="PB1320"/>
      <c r="PC1320"/>
      <c r="PD1320"/>
      <c r="PE1320"/>
      <c r="PF1320"/>
      <c r="PG1320"/>
      <c r="PH1320"/>
      <c r="PI1320"/>
      <c r="PJ1320"/>
      <c r="PK1320"/>
      <c r="PL1320"/>
      <c r="PM1320"/>
      <c r="PN1320"/>
      <c r="PO1320"/>
      <c r="PP1320"/>
      <c r="PQ1320"/>
      <c r="PR1320"/>
      <c r="PS1320"/>
      <c r="PT1320"/>
      <c r="PU1320"/>
      <c r="PV1320"/>
      <c r="PW1320"/>
      <c r="PX1320"/>
      <c r="PY1320"/>
      <c r="PZ1320"/>
      <c r="QA1320"/>
      <c r="QB1320"/>
      <c r="QC1320"/>
      <c r="QD1320"/>
      <c r="QE1320"/>
      <c r="QF1320"/>
      <c r="QG1320"/>
      <c r="QH1320"/>
      <c r="QI1320"/>
      <c r="QJ1320"/>
      <c r="QK1320"/>
      <c r="QL1320"/>
      <c r="QM1320"/>
      <c r="QN1320"/>
      <c r="QO1320"/>
      <c r="QP1320"/>
      <c r="QQ1320"/>
      <c r="QR1320"/>
      <c r="QS1320"/>
      <c r="QT1320"/>
      <c r="QU1320"/>
      <c r="QV1320"/>
      <c r="QW1320"/>
      <c r="QX1320"/>
      <c r="QY1320"/>
      <c r="QZ1320"/>
      <c r="RA1320"/>
      <c r="RB1320"/>
      <c r="RC1320"/>
      <c r="RD1320"/>
      <c r="RE1320"/>
      <c r="RF1320"/>
      <c r="RG1320"/>
      <c r="RH1320"/>
      <c r="RI1320"/>
      <c r="RJ1320"/>
      <c r="RK1320"/>
      <c r="RL1320"/>
      <c r="RM1320"/>
      <c r="RN1320"/>
      <c r="RO1320"/>
      <c r="RP1320"/>
      <c r="RQ1320"/>
      <c r="RR1320"/>
      <c r="RS1320"/>
      <c r="RT1320"/>
      <c r="RU1320"/>
      <c r="RV1320"/>
      <c r="RW1320"/>
      <c r="RX1320"/>
      <c r="RY1320"/>
      <c r="RZ1320"/>
      <c r="SA1320"/>
      <c r="SB1320"/>
      <c r="SC1320"/>
      <c r="SD1320"/>
      <c r="SE1320"/>
      <c r="SF1320"/>
      <c r="SG1320"/>
      <c r="SH1320"/>
      <c r="SI1320"/>
      <c r="SJ1320"/>
      <c r="SK1320"/>
      <c r="SL1320"/>
      <c r="SM1320"/>
      <c r="SN1320"/>
      <c r="SO1320"/>
      <c r="SP1320"/>
      <c r="SQ1320"/>
      <c r="SR1320"/>
      <c r="SS1320"/>
      <c r="ST1320"/>
      <c r="SU1320"/>
      <c r="SV1320"/>
      <c r="SW1320"/>
      <c r="SX1320"/>
      <c r="SY1320"/>
      <c r="SZ1320"/>
      <c r="TA1320"/>
      <c r="TB1320"/>
      <c r="TC1320"/>
      <c r="TD1320"/>
      <c r="TE1320"/>
      <c r="TF1320"/>
      <c r="TG1320"/>
      <c r="TH1320"/>
      <c r="TI1320"/>
      <c r="TJ1320"/>
      <c r="TK1320"/>
      <c r="TL1320"/>
      <c r="TM1320"/>
      <c r="TN1320"/>
      <c r="TO1320"/>
      <c r="TP1320"/>
      <c r="TQ1320"/>
      <c r="TR1320"/>
      <c r="TS1320"/>
      <c r="TT1320"/>
      <c r="TU1320"/>
      <c r="TV1320"/>
      <c r="TW1320"/>
      <c r="TX1320"/>
      <c r="TY1320"/>
      <c r="TZ1320"/>
      <c r="UA1320"/>
      <c r="UB1320"/>
      <c r="UC1320"/>
      <c r="UD1320"/>
      <c r="UE1320"/>
      <c r="UF1320"/>
      <c r="UG1320"/>
      <c r="UH1320"/>
      <c r="UI1320"/>
      <c r="UJ1320"/>
      <c r="UK1320"/>
      <c r="UL1320"/>
      <c r="UM1320"/>
      <c r="UN1320"/>
      <c r="UO1320"/>
      <c r="UP1320"/>
      <c r="UQ1320"/>
      <c r="UR1320"/>
      <c r="US1320"/>
      <c r="UT1320"/>
      <c r="UU1320"/>
      <c r="UV1320"/>
      <c r="UW1320"/>
      <c r="UX1320"/>
      <c r="UY1320"/>
      <c r="UZ1320"/>
      <c r="VA1320"/>
      <c r="VB1320"/>
      <c r="VC1320"/>
      <c r="VD1320"/>
      <c r="VE1320"/>
      <c r="VF1320"/>
      <c r="VG1320"/>
      <c r="VH1320"/>
      <c r="VI1320"/>
      <c r="VJ1320"/>
      <c r="VK1320"/>
      <c r="VL1320"/>
      <c r="VM1320"/>
      <c r="VN1320"/>
      <c r="VO1320"/>
      <c r="VP1320"/>
      <c r="VQ1320"/>
      <c r="VR1320"/>
      <c r="VS1320"/>
      <c r="VT1320"/>
      <c r="VU1320"/>
      <c r="VV1320"/>
      <c r="VW1320"/>
      <c r="VX1320"/>
      <c r="VY1320"/>
      <c r="VZ1320"/>
      <c r="WA1320"/>
      <c r="WB1320"/>
      <c r="WC1320"/>
      <c r="WD1320"/>
      <c r="WE1320"/>
      <c r="WF1320"/>
      <c r="WG1320"/>
      <c r="WH1320"/>
      <c r="WI1320"/>
      <c r="WJ1320"/>
      <c r="WK1320"/>
      <c r="WL1320"/>
      <c r="WM1320"/>
      <c r="WN1320"/>
      <c r="WO1320"/>
      <c r="WP1320"/>
      <c r="WQ1320"/>
      <c r="WR1320"/>
      <c r="WS1320"/>
      <c r="WT1320"/>
      <c r="WU1320"/>
      <c r="WV1320"/>
      <c r="WW1320"/>
      <c r="WX1320"/>
      <c r="WY1320"/>
      <c r="WZ1320"/>
      <c r="XA1320"/>
      <c r="XB1320"/>
      <c r="XC1320"/>
      <c r="XD1320"/>
      <c r="XE1320"/>
      <c r="XF1320"/>
      <c r="XG1320"/>
      <c r="XH1320"/>
      <c r="XI1320"/>
      <c r="XJ1320"/>
      <c r="XK1320"/>
      <c r="XL1320"/>
      <c r="XM1320"/>
      <c r="XN1320"/>
      <c r="XO1320"/>
      <c r="XP1320"/>
      <c r="XQ1320"/>
      <c r="XR1320"/>
      <c r="XS1320"/>
      <c r="XT1320"/>
      <c r="XU1320"/>
      <c r="XV1320"/>
      <c r="XW1320"/>
      <c r="XX1320"/>
      <c r="XY1320"/>
      <c r="XZ1320"/>
      <c r="YA1320"/>
      <c r="YB1320"/>
      <c r="YC1320"/>
      <c r="YD1320"/>
      <c r="YE1320"/>
      <c r="YF1320"/>
      <c r="YG1320"/>
      <c r="YH1320"/>
      <c r="YI1320"/>
      <c r="YJ1320"/>
      <c r="YK1320"/>
      <c r="YL1320"/>
      <c r="YM1320"/>
      <c r="YN1320"/>
      <c r="YO1320"/>
      <c r="YP1320"/>
      <c r="YQ1320"/>
      <c r="YR1320"/>
      <c r="YS1320"/>
      <c r="YT1320"/>
      <c r="YU1320"/>
      <c r="YV1320"/>
      <c r="YW1320"/>
      <c r="YX1320"/>
      <c r="YY1320"/>
      <c r="YZ1320"/>
      <c r="ZA1320"/>
      <c r="ZB1320"/>
      <c r="ZC1320"/>
      <c r="ZD1320"/>
      <c r="ZE1320"/>
      <c r="ZF1320"/>
      <c r="ZG1320"/>
      <c r="ZH1320"/>
      <c r="ZI1320"/>
      <c r="ZJ1320"/>
      <c r="ZK1320"/>
      <c r="ZL1320"/>
      <c r="ZM1320"/>
      <c r="ZN1320"/>
      <c r="ZO1320"/>
      <c r="ZP1320"/>
      <c r="ZQ1320"/>
      <c r="ZR1320"/>
      <c r="ZS1320"/>
      <c r="ZT1320"/>
      <c r="ZU1320"/>
      <c r="ZV1320"/>
      <c r="ZW1320"/>
      <c r="ZX1320"/>
      <c r="ZY1320"/>
      <c r="ZZ1320"/>
      <c r="AAA1320"/>
      <c r="AAB1320"/>
      <c r="AAC1320"/>
      <c r="AAD1320"/>
      <c r="AAE1320"/>
      <c r="AAF1320"/>
      <c r="AAG1320"/>
      <c r="AAH1320"/>
      <c r="AAI1320"/>
      <c r="AAJ1320"/>
      <c r="AAK1320"/>
      <c r="AAL1320"/>
      <c r="AAM1320"/>
      <c r="AAN1320"/>
      <c r="AAO1320"/>
      <c r="AAP1320"/>
      <c r="AAQ1320"/>
      <c r="AAR1320"/>
      <c r="AAS1320"/>
      <c r="AAT1320"/>
      <c r="AAU1320"/>
      <c r="AAV1320"/>
      <c r="AAW1320"/>
      <c r="AAX1320"/>
      <c r="AAY1320"/>
      <c r="AAZ1320"/>
      <c r="ABA1320"/>
      <c r="ABB1320"/>
      <c r="ABC1320"/>
      <c r="ABD1320"/>
      <c r="ABE1320"/>
      <c r="ABF1320"/>
      <c r="ABG1320"/>
      <c r="ABH1320"/>
      <c r="ABI1320"/>
      <c r="ABJ1320"/>
      <c r="ABK1320"/>
      <c r="ABL1320"/>
      <c r="ABM1320"/>
      <c r="ABN1320"/>
      <c r="ABO1320"/>
      <c r="ABP1320"/>
      <c r="ABQ1320"/>
      <c r="ABR1320"/>
      <c r="ABS1320"/>
      <c r="ABT1320"/>
      <c r="ABU1320"/>
      <c r="ABV1320"/>
      <c r="ABW1320"/>
      <c r="ABX1320"/>
      <c r="ABY1320"/>
      <c r="ABZ1320"/>
      <c r="ACA1320"/>
      <c r="ACB1320"/>
      <c r="ACC1320"/>
      <c r="ACD1320"/>
      <c r="ACE1320"/>
      <c r="ACF1320"/>
      <c r="ACG1320"/>
      <c r="ACH1320"/>
      <c r="ACI1320"/>
      <c r="ACJ1320"/>
      <c r="ACK1320"/>
      <c r="ACL1320"/>
      <c r="ACM1320"/>
      <c r="ACN1320"/>
      <c r="ACO1320"/>
      <c r="ACP1320"/>
      <c r="ACQ1320"/>
      <c r="ACR1320"/>
      <c r="ACS1320"/>
      <c r="ACT1320"/>
      <c r="ACU1320"/>
      <c r="ACV1320"/>
      <c r="ACW1320"/>
      <c r="ACX1320"/>
      <c r="ACY1320"/>
      <c r="ACZ1320"/>
      <c r="ADA1320"/>
      <c r="ADB1320"/>
      <c r="ADC1320"/>
      <c r="ADD1320"/>
      <c r="ADE1320"/>
      <c r="ADF1320"/>
      <c r="ADG1320"/>
      <c r="ADH1320"/>
      <c r="ADI1320"/>
      <c r="ADJ1320"/>
      <c r="ADK1320"/>
      <c r="ADL1320"/>
      <c r="ADM1320"/>
      <c r="ADN1320"/>
      <c r="ADO1320"/>
      <c r="ADP1320"/>
      <c r="ADQ1320"/>
      <c r="ADR1320"/>
      <c r="ADS1320"/>
      <c r="ADT1320"/>
      <c r="ADU1320"/>
      <c r="ADV1320"/>
      <c r="ADW1320"/>
      <c r="ADX1320"/>
      <c r="ADY1320"/>
      <c r="ADZ1320"/>
      <c r="AEA1320"/>
      <c r="AEB1320"/>
      <c r="AEC1320"/>
      <c r="AED1320"/>
      <c r="AEE1320"/>
      <c r="AEF1320"/>
      <c r="AEG1320"/>
      <c r="AEH1320"/>
      <c r="AEI1320"/>
      <c r="AEJ1320"/>
      <c r="AEK1320"/>
      <c r="AEL1320"/>
      <c r="AEM1320"/>
      <c r="AEN1320"/>
      <c r="AEO1320"/>
      <c r="AEP1320"/>
      <c r="AEQ1320"/>
      <c r="AER1320"/>
      <c r="AES1320"/>
      <c r="AET1320"/>
      <c r="AEU1320"/>
      <c r="AEV1320"/>
      <c r="AEW1320"/>
      <c r="AEX1320"/>
      <c r="AEY1320"/>
      <c r="AEZ1320"/>
      <c r="AFA1320"/>
      <c r="AFB1320"/>
      <c r="AFC1320"/>
      <c r="AFD1320"/>
      <c r="AFE1320"/>
      <c r="AFF1320"/>
      <c r="AFG1320"/>
      <c r="AFH1320"/>
      <c r="AFI1320"/>
      <c r="AFJ1320"/>
      <c r="AFK1320"/>
      <c r="AFL1320"/>
      <c r="AFM1320"/>
      <c r="AFN1320"/>
      <c r="AFO1320"/>
      <c r="AFP1320"/>
      <c r="AFQ1320"/>
      <c r="AFR1320"/>
      <c r="AFS1320"/>
      <c r="AFT1320"/>
      <c r="AFU1320"/>
      <c r="AFV1320"/>
      <c r="AFW1320"/>
      <c r="AFX1320"/>
      <c r="AFY1320"/>
      <c r="AFZ1320"/>
      <c r="AGA1320"/>
      <c r="AGB1320"/>
      <c r="AGC1320"/>
      <c r="AGD1320"/>
      <c r="AGE1320"/>
      <c r="AGF1320"/>
      <c r="AGG1320"/>
      <c r="AGH1320"/>
      <c r="AGI1320"/>
      <c r="AGJ1320"/>
      <c r="AGK1320"/>
      <c r="AGL1320"/>
      <c r="AGM1320"/>
      <c r="AGN1320"/>
      <c r="AGO1320"/>
      <c r="AGP1320"/>
      <c r="AGQ1320"/>
      <c r="AGR1320"/>
      <c r="AGS1320"/>
      <c r="AGT1320"/>
      <c r="AGU1320"/>
      <c r="AGV1320"/>
      <c r="AGW1320"/>
      <c r="AGX1320"/>
      <c r="AGY1320"/>
      <c r="AGZ1320"/>
      <c r="AHA1320"/>
      <c r="AHB1320"/>
      <c r="AHC1320"/>
      <c r="AHD1320"/>
      <c r="AHE1320"/>
      <c r="AHF1320"/>
      <c r="AHG1320"/>
      <c r="AHH1320"/>
      <c r="AHI1320"/>
      <c r="AHJ1320"/>
      <c r="AHK1320"/>
      <c r="AHL1320"/>
      <c r="AHM1320"/>
      <c r="AHN1320"/>
      <c r="AHO1320"/>
      <c r="AHP1320"/>
      <c r="AHQ1320"/>
      <c r="AHR1320"/>
      <c r="AHS1320"/>
      <c r="AHT1320"/>
      <c r="AHU1320"/>
      <c r="AHV1320"/>
      <c r="AHW1320"/>
      <c r="AHX1320"/>
      <c r="AHY1320"/>
      <c r="AHZ1320"/>
      <c r="AIA1320"/>
      <c r="AIB1320"/>
      <c r="AIC1320"/>
      <c r="AID1320"/>
      <c r="AIE1320"/>
      <c r="AIF1320"/>
      <c r="AIG1320"/>
      <c r="AIH1320"/>
      <c r="AII1320"/>
      <c r="AIJ1320"/>
      <c r="AIK1320"/>
      <c r="AIL1320"/>
      <c r="AIM1320"/>
      <c r="AIN1320"/>
      <c r="AIO1320"/>
      <c r="AIP1320"/>
      <c r="AIQ1320"/>
      <c r="AIR1320"/>
      <c r="AIS1320"/>
      <c r="AIT1320"/>
      <c r="AIU1320"/>
      <c r="AIV1320"/>
      <c r="AIW1320"/>
      <c r="AIX1320"/>
      <c r="AIY1320"/>
      <c r="AIZ1320"/>
      <c r="AJA1320"/>
      <c r="AJB1320"/>
      <c r="AJC1320"/>
      <c r="AJD1320"/>
      <c r="AJE1320"/>
      <c r="AJF1320"/>
      <c r="AJG1320"/>
      <c r="AJH1320"/>
      <c r="AJI1320"/>
      <c r="AJJ1320"/>
      <c r="AJK1320"/>
      <c r="AJL1320"/>
      <c r="AJM1320"/>
      <c r="AJN1320"/>
      <c r="AJO1320"/>
      <c r="AJP1320"/>
      <c r="AJQ1320"/>
      <c r="AJR1320"/>
      <c r="AJS1320"/>
      <c r="AJT1320"/>
      <c r="AJU1320"/>
      <c r="AJV1320"/>
      <c r="AJW1320"/>
      <c r="AJX1320"/>
      <c r="AJY1320"/>
      <c r="AJZ1320"/>
      <c r="AKA1320"/>
      <c r="AKB1320"/>
      <c r="AKC1320"/>
      <c r="AKD1320"/>
      <c r="AKE1320"/>
      <c r="AKF1320"/>
      <c r="AKG1320"/>
      <c r="AKH1320"/>
      <c r="AKI1320"/>
      <c r="AKJ1320"/>
      <c r="AKK1320"/>
      <c r="AKL1320"/>
      <c r="AKM1320"/>
      <c r="AKN1320"/>
      <c r="AKO1320"/>
      <c r="AKP1320"/>
      <c r="AKQ1320"/>
      <c r="AKR1320"/>
      <c r="AKS1320"/>
      <c r="AKT1320"/>
      <c r="AKU1320"/>
      <c r="AKV1320"/>
      <c r="AKW1320"/>
      <c r="AKX1320"/>
      <c r="AKY1320"/>
      <c r="AKZ1320"/>
      <c r="ALA1320"/>
      <c r="ALB1320"/>
      <c r="ALC1320"/>
      <c r="ALD1320"/>
      <c r="ALE1320"/>
      <c r="ALF1320"/>
      <c r="ALG1320"/>
      <c r="ALH1320"/>
      <c r="ALI1320"/>
      <c r="ALJ1320"/>
      <c r="ALK1320"/>
      <c r="ALL1320"/>
      <c r="ALM1320"/>
      <c r="ALN1320"/>
      <c r="ALO1320"/>
      <c r="ALP1320"/>
      <c r="ALQ1320"/>
      <c r="ALR1320"/>
      <c r="ALS1320"/>
      <c r="ALT1320"/>
    </row>
    <row r="1321" spans="1:1008" x14ac:dyDescent="0.15">
      <c r="A1321" s="6" t="s">
        <v>4160</v>
      </c>
      <c r="B1321" s="6" t="s">
        <v>4155</v>
      </c>
      <c r="C1321" s="6" t="s">
        <v>4160</v>
      </c>
      <c r="D1321" s="6" t="s">
        <v>13</v>
      </c>
      <c r="E1321" s="6" t="s">
        <v>4159</v>
      </c>
      <c r="F1321" s="6" t="s">
        <v>4158</v>
      </c>
      <c r="G1321" s="6">
        <v>500</v>
      </c>
    </row>
    <row r="1322" spans="1:1008" x14ac:dyDescent="0.15">
      <c r="A1322" s="6" t="s">
        <v>4171</v>
      </c>
      <c r="B1322" s="6" t="s">
        <v>4162</v>
      </c>
      <c r="C1322" s="6" t="s">
        <v>4163</v>
      </c>
      <c r="D1322" s="6" t="s">
        <v>13</v>
      </c>
      <c r="E1322" s="6" t="s">
        <v>4163</v>
      </c>
      <c r="F1322" s="6" t="s">
        <v>4164</v>
      </c>
      <c r="G1322" s="6">
        <v>600</v>
      </c>
    </row>
    <row r="1323" spans="1:1008" x14ac:dyDescent="0.15">
      <c r="A1323" s="6" t="s">
        <v>4172</v>
      </c>
      <c r="B1323" s="6" t="s">
        <v>4162</v>
      </c>
      <c r="C1323" s="6" t="s">
        <v>4165</v>
      </c>
      <c r="D1323" s="6" t="s">
        <v>13</v>
      </c>
      <c r="E1323" s="6" t="s">
        <v>4165</v>
      </c>
      <c r="F1323" s="6" t="s">
        <v>4166</v>
      </c>
      <c r="G1323" s="6">
        <v>600</v>
      </c>
    </row>
    <row r="1324" spans="1:1008" x14ac:dyDescent="0.15">
      <c r="A1324" s="6" t="s">
        <v>4173</v>
      </c>
      <c r="B1324" s="6" t="s">
        <v>4162</v>
      </c>
      <c r="C1324" s="6" t="s">
        <v>4167</v>
      </c>
      <c r="D1324" s="6" t="s">
        <v>13</v>
      </c>
      <c r="E1324" s="6" t="s">
        <v>4167</v>
      </c>
      <c r="F1324" s="6" t="s">
        <v>4168</v>
      </c>
      <c r="G1324" s="6">
        <v>500</v>
      </c>
    </row>
    <row r="1325" spans="1:1008" x14ac:dyDescent="0.15">
      <c r="A1325" s="6" t="s">
        <v>4174</v>
      </c>
      <c r="B1325" s="6" t="s">
        <v>4162</v>
      </c>
      <c r="C1325" s="6" t="s">
        <v>4169</v>
      </c>
      <c r="D1325" s="6" t="s">
        <v>13</v>
      </c>
      <c r="E1325" s="6" t="s">
        <v>4169</v>
      </c>
      <c r="F1325" s="6" t="s">
        <v>4170</v>
      </c>
      <c r="G1325" s="6">
        <v>500</v>
      </c>
    </row>
    <row r="1326" spans="1:1008" x14ac:dyDescent="0.15">
      <c r="A1326" s="6" t="s">
        <v>4181</v>
      </c>
      <c r="B1326" s="6" t="s">
        <v>4177</v>
      </c>
      <c r="C1326" s="6" t="s">
        <v>4183</v>
      </c>
      <c r="D1326" s="6" t="s">
        <v>13</v>
      </c>
      <c r="E1326" s="6" t="s">
        <v>4183</v>
      </c>
      <c r="F1326" s="6" t="s">
        <v>4185</v>
      </c>
      <c r="G1326" s="6">
        <v>500</v>
      </c>
    </row>
    <row r="1327" spans="1:1008" x14ac:dyDescent="0.15">
      <c r="A1327" s="6" t="s">
        <v>4182</v>
      </c>
      <c r="B1327" s="6" t="s">
        <v>4177</v>
      </c>
      <c r="C1327" s="6" t="s">
        <v>4184</v>
      </c>
      <c r="D1327" s="6" t="s">
        <v>13</v>
      </c>
      <c r="E1327" s="6" t="s">
        <v>4184</v>
      </c>
      <c r="F1327" s="6" t="s">
        <v>4186</v>
      </c>
      <c r="G1327" s="6">
        <v>500</v>
      </c>
    </row>
    <row r="1328" spans="1:1008" x14ac:dyDescent="0.15">
      <c r="A1328" s="6" t="s">
        <v>2242</v>
      </c>
      <c r="B1328" t="s">
        <v>4189</v>
      </c>
      <c r="C1328" s="6" t="s">
        <v>2242</v>
      </c>
      <c r="D1328" s="6" t="s">
        <v>13</v>
      </c>
      <c r="E1328" s="6" t="s">
        <v>4200</v>
      </c>
      <c r="F1328" s="6" t="s">
        <v>4201</v>
      </c>
      <c r="G1328" s="6">
        <v>500</v>
      </c>
    </row>
    <row r="1329" spans="1:7" x14ac:dyDescent="0.15">
      <c r="A1329" s="6" t="s">
        <v>2242</v>
      </c>
      <c r="B1329" t="s">
        <v>4190</v>
      </c>
      <c r="C1329" s="6" t="s">
        <v>2242</v>
      </c>
      <c r="D1329" s="6" t="s">
        <v>13</v>
      </c>
      <c r="E1329" s="6" t="s">
        <v>4200</v>
      </c>
      <c r="F1329" s="6" t="s">
        <v>4201</v>
      </c>
      <c r="G1329" s="6">
        <v>500</v>
      </c>
    </row>
    <row r="1330" spans="1:7" x14ac:dyDescent="0.15">
      <c r="A1330" s="6" t="s">
        <v>2242</v>
      </c>
      <c r="B1330" t="s">
        <v>4193</v>
      </c>
      <c r="C1330" s="6" t="s">
        <v>2242</v>
      </c>
      <c r="D1330" s="6" t="s">
        <v>13</v>
      </c>
      <c r="E1330" s="6" t="s">
        <v>4200</v>
      </c>
      <c r="F1330" s="6" t="s">
        <v>4202</v>
      </c>
      <c r="G1330" s="6">
        <v>500</v>
      </c>
    </row>
    <row r="1331" spans="1:7" x14ac:dyDescent="0.15">
      <c r="A1331" s="6" t="s">
        <v>2242</v>
      </c>
      <c r="B1331" t="s">
        <v>4188</v>
      </c>
      <c r="C1331" s="6" t="s">
        <v>2242</v>
      </c>
      <c r="D1331" s="6" t="s">
        <v>13</v>
      </c>
      <c r="E1331" s="6" t="s">
        <v>4200</v>
      </c>
      <c r="F1331" s="6" t="s">
        <v>4201</v>
      </c>
      <c r="G1331" s="6">
        <v>500</v>
      </c>
    </row>
    <row r="1332" spans="1:7" x14ac:dyDescent="0.15">
      <c r="A1332" s="6" t="s">
        <v>4206</v>
      </c>
      <c r="B1332" t="s">
        <v>4203</v>
      </c>
      <c r="C1332" s="6" t="s">
        <v>4206</v>
      </c>
      <c r="D1332" s="6" t="s">
        <v>13</v>
      </c>
      <c r="E1332" s="6" t="s">
        <v>4212</v>
      </c>
      <c r="F1332" s="6" t="s">
        <v>4216</v>
      </c>
      <c r="G1332" s="6">
        <v>500</v>
      </c>
    </row>
    <row r="1333" spans="1:7" x14ac:dyDescent="0.15">
      <c r="A1333" s="6" t="s">
        <v>4207</v>
      </c>
      <c r="B1333" t="s">
        <v>4203</v>
      </c>
      <c r="C1333" s="6" t="s">
        <v>4207</v>
      </c>
      <c r="D1333" s="6" t="s">
        <v>13</v>
      </c>
      <c r="E1333" s="6" t="s">
        <v>4213</v>
      </c>
      <c r="F1333" s="6" t="s">
        <v>4217</v>
      </c>
      <c r="G1333" s="6">
        <v>500</v>
      </c>
    </row>
    <row r="1334" spans="1:7" x14ac:dyDescent="0.15">
      <c r="A1334" s="6" t="s">
        <v>4209</v>
      </c>
      <c r="B1334" t="s">
        <v>4203</v>
      </c>
      <c r="C1334" s="6" t="s">
        <v>4209</v>
      </c>
      <c r="D1334" s="6" t="s">
        <v>13</v>
      </c>
      <c r="E1334" s="6" t="s">
        <v>4208</v>
      </c>
      <c r="F1334" s="6" t="s">
        <v>4218</v>
      </c>
      <c r="G1334" s="6">
        <v>650</v>
      </c>
    </row>
    <row r="1335" spans="1:7" x14ac:dyDescent="0.15">
      <c r="A1335" s="6" t="s">
        <v>4210</v>
      </c>
      <c r="B1335" t="s">
        <v>4203</v>
      </c>
      <c r="C1335" s="6" t="s">
        <v>4210</v>
      </c>
      <c r="D1335" s="6" t="s">
        <v>13</v>
      </c>
      <c r="E1335" s="6" t="s">
        <v>4214</v>
      </c>
      <c r="F1335" s="6" t="s">
        <v>4219</v>
      </c>
      <c r="G1335" s="6">
        <v>500</v>
      </c>
    </row>
    <row r="1336" spans="1:7" x14ac:dyDescent="0.15">
      <c r="A1336" s="6" t="s">
        <v>4211</v>
      </c>
      <c r="B1336" t="s">
        <v>4203</v>
      </c>
      <c r="C1336" s="6" t="s">
        <v>4211</v>
      </c>
      <c r="D1336" s="6" t="s">
        <v>13</v>
      </c>
      <c r="E1336" s="6" t="s">
        <v>4215</v>
      </c>
      <c r="F1336" s="6" t="s">
        <v>4220</v>
      </c>
      <c r="G1336" s="6">
        <v>500</v>
      </c>
    </row>
    <row r="1337" spans="1:7" x14ac:dyDescent="0.15">
      <c r="A1337" s="6" t="s">
        <v>4221</v>
      </c>
      <c r="B1337" t="s">
        <v>4203</v>
      </c>
      <c r="C1337" s="6" t="s">
        <v>4221</v>
      </c>
      <c r="D1337" s="6" t="s">
        <v>13</v>
      </c>
      <c r="E1337" s="6" t="s">
        <v>4223</v>
      </c>
      <c r="F1337" s="6" t="s">
        <v>4225</v>
      </c>
      <c r="G1337" s="6">
        <v>500</v>
      </c>
    </row>
    <row r="1338" spans="1:7" x14ac:dyDescent="0.15">
      <c r="A1338" s="6" t="s">
        <v>4222</v>
      </c>
      <c r="B1338" t="s">
        <v>4203</v>
      </c>
      <c r="C1338" s="6" t="s">
        <v>4222</v>
      </c>
      <c r="D1338" s="6" t="s">
        <v>13</v>
      </c>
      <c r="E1338" s="6" t="s">
        <v>4224</v>
      </c>
      <c r="F1338" s="6" t="s">
        <v>4226</v>
      </c>
      <c r="G1338" s="6">
        <v>500</v>
      </c>
    </row>
    <row r="1339" spans="1:7" x14ac:dyDescent="0.15">
      <c r="A1339" s="6" t="s">
        <v>4234</v>
      </c>
      <c r="B1339" t="s">
        <v>4231</v>
      </c>
      <c r="C1339" s="6" t="s">
        <v>4234</v>
      </c>
      <c r="D1339" s="6" t="s">
        <v>13</v>
      </c>
      <c r="E1339" s="6" t="s">
        <v>4234</v>
      </c>
      <c r="F1339" s="6" t="s">
        <v>4249</v>
      </c>
      <c r="G1339" s="6">
        <v>500</v>
      </c>
    </row>
    <row r="1340" spans="1:7" x14ac:dyDescent="0.15">
      <c r="A1340" s="6" t="s">
        <v>4235</v>
      </c>
      <c r="B1340" t="s">
        <v>4231</v>
      </c>
      <c r="C1340" s="6" t="s">
        <v>4235</v>
      </c>
      <c r="D1340" s="6" t="s">
        <v>13</v>
      </c>
      <c r="E1340" s="6" t="s">
        <v>4235</v>
      </c>
      <c r="F1340" s="6" t="s">
        <v>4250</v>
      </c>
      <c r="G1340" s="6">
        <v>500</v>
      </c>
    </row>
    <row r="1341" spans="1:7" x14ac:dyDescent="0.15">
      <c r="A1341" s="6" t="s">
        <v>4236</v>
      </c>
      <c r="B1341" t="s">
        <v>4231</v>
      </c>
      <c r="C1341" s="6" t="s">
        <v>4236</v>
      </c>
      <c r="D1341" s="6" t="s">
        <v>13</v>
      </c>
      <c r="E1341" s="6" t="s">
        <v>4236</v>
      </c>
      <c r="F1341" s="6" t="s">
        <v>4251</v>
      </c>
      <c r="G1341" s="6">
        <v>500</v>
      </c>
    </row>
    <row r="1342" spans="1:7" x14ac:dyDescent="0.15">
      <c r="A1342" s="6" t="s">
        <v>4237</v>
      </c>
      <c r="B1342" t="s">
        <v>4231</v>
      </c>
      <c r="C1342" s="6" t="s">
        <v>4237</v>
      </c>
      <c r="D1342" s="6" t="s">
        <v>13</v>
      </c>
      <c r="E1342" s="6" t="s">
        <v>4237</v>
      </c>
      <c r="F1342" s="6" t="s">
        <v>4252</v>
      </c>
      <c r="G1342" s="6">
        <v>500</v>
      </c>
    </row>
    <row r="1343" spans="1:7" x14ac:dyDescent="0.15">
      <c r="A1343" s="6" t="s">
        <v>667</v>
      </c>
      <c r="B1343" t="s">
        <v>4231</v>
      </c>
      <c r="C1343" s="6" t="s">
        <v>667</v>
      </c>
      <c r="D1343" s="6" t="s">
        <v>13</v>
      </c>
      <c r="E1343" s="6" t="s">
        <v>667</v>
      </c>
      <c r="F1343" s="6" t="s">
        <v>4253</v>
      </c>
      <c r="G1343" s="6">
        <v>500</v>
      </c>
    </row>
    <row r="1344" spans="1:7" x14ac:dyDescent="0.15">
      <c r="A1344" s="6" t="s">
        <v>4238</v>
      </c>
      <c r="B1344" t="s">
        <v>4231</v>
      </c>
      <c r="C1344" s="6" t="s">
        <v>4238</v>
      </c>
      <c r="D1344" s="6" t="s">
        <v>13</v>
      </c>
      <c r="E1344" s="6" t="s">
        <v>4238</v>
      </c>
      <c r="F1344" s="6" t="s">
        <v>4254</v>
      </c>
      <c r="G1344" s="6">
        <v>500</v>
      </c>
    </row>
    <row r="1345" spans="1:7" x14ac:dyDescent="0.15">
      <c r="A1345" s="6" t="s">
        <v>4239</v>
      </c>
      <c r="B1345" t="s">
        <v>4231</v>
      </c>
      <c r="C1345" s="6" t="s">
        <v>4239</v>
      </c>
      <c r="D1345" s="6" t="s">
        <v>13</v>
      </c>
      <c r="E1345" s="6" t="s">
        <v>4239</v>
      </c>
      <c r="F1345" s="6" t="s">
        <v>4255</v>
      </c>
      <c r="G1345" s="6">
        <v>500</v>
      </c>
    </row>
    <row r="1346" spans="1:7" x14ac:dyDescent="0.15">
      <c r="A1346" s="6" t="s">
        <v>4240</v>
      </c>
      <c r="B1346" t="s">
        <v>4231</v>
      </c>
      <c r="C1346" s="6" t="s">
        <v>4240</v>
      </c>
      <c r="D1346" s="6" t="s">
        <v>13</v>
      </c>
      <c r="E1346" s="6" t="s">
        <v>4240</v>
      </c>
      <c r="F1346" s="6" t="s">
        <v>4256</v>
      </c>
      <c r="G1346" s="6">
        <v>500</v>
      </c>
    </row>
    <row r="1347" spans="1:7" x14ac:dyDescent="0.15">
      <c r="A1347" s="6" t="s">
        <v>4241</v>
      </c>
      <c r="B1347" t="s">
        <v>4231</v>
      </c>
      <c r="C1347" s="6" t="s">
        <v>4241</v>
      </c>
      <c r="D1347" s="6" t="s">
        <v>13</v>
      </c>
      <c r="E1347" s="6" t="s">
        <v>4241</v>
      </c>
      <c r="F1347" s="6" t="s">
        <v>4257</v>
      </c>
      <c r="G1347" s="6">
        <v>500</v>
      </c>
    </row>
    <row r="1348" spans="1:7" x14ac:dyDescent="0.15">
      <c r="A1348" s="6" t="s">
        <v>4242</v>
      </c>
      <c r="B1348" t="s">
        <v>4231</v>
      </c>
      <c r="C1348" s="6" t="s">
        <v>4242</v>
      </c>
      <c r="D1348" s="6" t="s">
        <v>13</v>
      </c>
      <c r="E1348" s="6" t="s">
        <v>4242</v>
      </c>
      <c r="F1348" s="6" t="s">
        <v>4258</v>
      </c>
      <c r="G1348" s="6">
        <v>500</v>
      </c>
    </row>
    <row r="1349" spans="1:7" x14ac:dyDescent="0.15">
      <c r="A1349" s="6" t="s">
        <v>4243</v>
      </c>
      <c r="B1349" t="s">
        <v>4231</v>
      </c>
      <c r="C1349" s="6" t="s">
        <v>4243</v>
      </c>
      <c r="D1349" s="6" t="s">
        <v>13</v>
      </c>
      <c r="E1349" s="6" t="s">
        <v>4243</v>
      </c>
      <c r="F1349" s="6" t="s">
        <v>4259</v>
      </c>
      <c r="G1349" s="6">
        <v>500</v>
      </c>
    </row>
    <row r="1350" spans="1:7" x14ac:dyDescent="0.15">
      <c r="A1350" s="6" t="s">
        <v>4244</v>
      </c>
      <c r="B1350" t="s">
        <v>4231</v>
      </c>
      <c r="C1350" s="6" t="s">
        <v>4244</v>
      </c>
      <c r="D1350" s="6" t="s">
        <v>13</v>
      </c>
      <c r="E1350" s="6" t="s">
        <v>4244</v>
      </c>
      <c r="F1350" s="6" t="s">
        <v>4260</v>
      </c>
      <c r="G1350" s="6">
        <v>500</v>
      </c>
    </row>
    <row r="1351" spans="1:7" x14ac:dyDescent="0.15">
      <c r="A1351" s="6" t="s">
        <v>4245</v>
      </c>
      <c r="B1351" t="s">
        <v>4231</v>
      </c>
      <c r="C1351" s="6" t="s">
        <v>4245</v>
      </c>
      <c r="D1351" s="6" t="s">
        <v>13</v>
      </c>
      <c r="E1351" s="6" t="s">
        <v>4245</v>
      </c>
      <c r="F1351" s="6" t="s">
        <v>4261</v>
      </c>
      <c r="G1351" s="6">
        <v>500</v>
      </c>
    </row>
    <row r="1352" spans="1:7" x14ac:dyDescent="0.15">
      <c r="A1352" s="6" t="s">
        <v>4246</v>
      </c>
      <c r="B1352" t="s">
        <v>4231</v>
      </c>
      <c r="C1352" s="6" t="s">
        <v>4246</v>
      </c>
      <c r="D1352" s="6" t="s">
        <v>13</v>
      </c>
      <c r="E1352" s="6" t="s">
        <v>4246</v>
      </c>
      <c r="F1352" s="6" t="s">
        <v>4262</v>
      </c>
      <c r="G1352" s="6">
        <v>500</v>
      </c>
    </row>
    <row r="1353" spans="1:7" x14ac:dyDescent="0.15">
      <c r="A1353" s="6" t="s">
        <v>4247</v>
      </c>
      <c r="B1353" t="s">
        <v>4231</v>
      </c>
      <c r="C1353" s="6" t="s">
        <v>4247</v>
      </c>
      <c r="D1353" s="6" t="s">
        <v>13</v>
      </c>
      <c r="E1353" s="6" t="s">
        <v>4247</v>
      </c>
      <c r="F1353" s="6" t="s">
        <v>4263</v>
      </c>
      <c r="G1353" s="6">
        <v>500</v>
      </c>
    </row>
    <row r="1354" spans="1:7" x14ac:dyDescent="0.15">
      <c r="A1354" s="6" t="s">
        <v>4248</v>
      </c>
      <c r="B1354" t="s">
        <v>4231</v>
      </c>
      <c r="C1354" s="6" t="s">
        <v>4248</v>
      </c>
      <c r="D1354" s="6" t="s">
        <v>13</v>
      </c>
      <c r="E1354" s="6" t="s">
        <v>4248</v>
      </c>
      <c r="F1354" s="6" t="s">
        <v>4264</v>
      </c>
      <c r="G1354" s="6">
        <v>600</v>
      </c>
    </row>
    <row r="1355" spans="1:7" x14ac:dyDescent="0.15">
      <c r="A1355" s="6" t="s">
        <v>1833</v>
      </c>
      <c r="B1355" t="s">
        <v>4293</v>
      </c>
      <c r="C1355" s="6" t="s">
        <v>1833</v>
      </c>
      <c r="D1355" s="6" t="s">
        <v>13</v>
      </c>
      <c r="E1355" s="6" t="s">
        <v>2884</v>
      </c>
      <c r="F1355" s="6" t="s">
        <v>4296</v>
      </c>
      <c r="G1355" s="6">
        <v>600</v>
      </c>
    </row>
    <row r="1356" spans="1:7" x14ac:dyDescent="0.15">
      <c r="A1356" s="6" t="s">
        <v>4295</v>
      </c>
      <c r="B1356" t="s">
        <v>4293</v>
      </c>
      <c r="C1356" s="6" t="s">
        <v>0</v>
      </c>
      <c r="D1356" s="6" t="s">
        <v>13</v>
      </c>
      <c r="E1356" s="6" t="s">
        <v>4297</v>
      </c>
      <c r="F1356" s="6" t="s">
        <v>4298</v>
      </c>
      <c r="G1356" s="6">
        <v>550</v>
      </c>
    </row>
    <row r="1357" spans="1:7" x14ac:dyDescent="0.15">
      <c r="A1357" s="6" t="s">
        <v>4288</v>
      </c>
      <c r="B1357" t="s">
        <v>30</v>
      </c>
      <c r="C1357" s="6" t="s">
        <v>4288</v>
      </c>
      <c r="D1357" s="6" t="s">
        <v>13</v>
      </c>
      <c r="E1357" s="6" t="s">
        <v>3229</v>
      </c>
      <c r="F1357" s="6" t="s">
        <v>4290</v>
      </c>
      <c r="G1357" s="6">
        <v>500</v>
      </c>
    </row>
    <row r="1358" spans="1:7" x14ac:dyDescent="0.15">
      <c r="A1358" s="6" t="s">
        <v>4289</v>
      </c>
      <c r="B1358" t="s">
        <v>30</v>
      </c>
      <c r="C1358" s="6" t="s">
        <v>4289</v>
      </c>
      <c r="D1358" s="6" t="s">
        <v>13</v>
      </c>
      <c r="E1358" s="6" t="s">
        <v>4291</v>
      </c>
      <c r="F1358" s="6" t="s">
        <v>4292</v>
      </c>
      <c r="G1358" s="6">
        <v>450</v>
      </c>
    </row>
    <row r="1359" spans="1:7" x14ac:dyDescent="0.15">
      <c r="A1359" s="6" t="str">
        <f>LOWER(C1359)</f>
        <v>hematoxylin</v>
      </c>
      <c r="B1359" t="s">
        <v>4299</v>
      </c>
      <c r="C1359" s="6" t="s">
        <v>4359</v>
      </c>
      <c r="D1359" s="6" t="s">
        <v>13</v>
      </c>
      <c r="E1359" s="6" t="s">
        <v>4301</v>
      </c>
      <c r="F1359" s="6" t="s">
        <v>4302</v>
      </c>
      <c r="G1359" s="6">
        <v>500</v>
      </c>
    </row>
    <row r="1360" spans="1:7" x14ac:dyDescent="0.15">
      <c r="A1360" s="6" t="str">
        <f t="shared" ref="A1360:C1387" si="19">LOWER(C1360)</f>
        <v>eosin</v>
      </c>
      <c r="B1360" t="s">
        <v>4299</v>
      </c>
      <c r="C1360" s="6" t="s">
        <v>4360</v>
      </c>
      <c r="D1360" s="6" t="s">
        <v>13</v>
      </c>
      <c r="E1360" s="6" t="s">
        <v>4303</v>
      </c>
      <c r="F1360" s="6" t="s">
        <v>4304</v>
      </c>
      <c r="G1360" s="6">
        <v>500</v>
      </c>
    </row>
    <row r="1361" spans="1:7" x14ac:dyDescent="0.15">
      <c r="A1361" s="6" t="str">
        <f t="shared" si="19"/>
        <v>dapi</v>
      </c>
      <c r="B1361" t="s">
        <v>4299</v>
      </c>
      <c r="C1361" s="6" t="s">
        <v>4361</v>
      </c>
      <c r="D1361" s="6" t="s">
        <v>13</v>
      </c>
      <c r="E1361" s="6" t="s">
        <v>4305</v>
      </c>
      <c r="F1361" s="6" t="s">
        <v>4306</v>
      </c>
      <c r="G1361" s="6">
        <v>500</v>
      </c>
    </row>
    <row r="1362" spans="1:7" x14ac:dyDescent="0.15">
      <c r="A1362" s="6" t="str">
        <f t="shared" si="19"/>
        <v>hoechst33342</v>
      </c>
      <c r="B1362" t="s">
        <v>4299</v>
      </c>
      <c r="C1362" s="6" t="s">
        <v>4366</v>
      </c>
      <c r="D1362" s="6" t="s">
        <v>13</v>
      </c>
      <c r="E1362" s="6" t="s">
        <v>4307</v>
      </c>
      <c r="F1362" s="6" t="s">
        <v>4308</v>
      </c>
      <c r="G1362" s="6">
        <v>500</v>
      </c>
    </row>
    <row r="1363" spans="1:7" x14ac:dyDescent="0.15">
      <c r="A1363" s="6" t="str">
        <f t="shared" si="19"/>
        <v>propidium_iodide</v>
      </c>
      <c r="B1363" t="s">
        <v>4299</v>
      </c>
      <c r="C1363" s="6" t="s">
        <v>4367</v>
      </c>
      <c r="D1363" s="6" t="s">
        <v>13</v>
      </c>
      <c r="E1363" s="6" t="s">
        <v>4309</v>
      </c>
      <c r="F1363" s="6" t="s">
        <v>4310</v>
      </c>
      <c r="G1363" s="6">
        <v>500</v>
      </c>
    </row>
    <row r="1364" spans="1:7" x14ac:dyDescent="0.15">
      <c r="A1364" s="6" t="str">
        <f t="shared" si="19"/>
        <v>acridine_orange</v>
      </c>
      <c r="B1364" t="s">
        <v>4299</v>
      </c>
      <c r="C1364" s="6" t="s">
        <v>4368</v>
      </c>
      <c r="D1364" s="6" t="s">
        <v>13</v>
      </c>
      <c r="E1364" s="6" t="s">
        <v>4311</v>
      </c>
      <c r="F1364" s="6" t="s">
        <v>4312</v>
      </c>
      <c r="G1364" s="6">
        <v>500</v>
      </c>
    </row>
    <row r="1365" spans="1:7" x14ac:dyDescent="0.15">
      <c r="A1365" s="6" t="str">
        <f t="shared" si="19"/>
        <v>crystal_violet</v>
      </c>
      <c r="B1365" t="s">
        <v>4299</v>
      </c>
      <c r="C1365" s="6" t="s">
        <v>4369</v>
      </c>
      <c r="D1365" s="6" t="s">
        <v>13</v>
      </c>
      <c r="E1365" s="6" t="s">
        <v>4313</v>
      </c>
      <c r="F1365" s="6" t="s">
        <v>4314</v>
      </c>
      <c r="G1365" s="6">
        <v>500</v>
      </c>
    </row>
    <row r="1366" spans="1:7" x14ac:dyDescent="0.15">
      <c r="A1366" s="6" t="str">
        <f t="shared" si="19"/>
        <v>safranin</v>
      </c>
      <c r="B1366" t="s">
        <v>4299</v>
      </c>
      <c r="C1366" s="6" t="s">
        <v>4362</v>
      </c>
      <c r="D1366" s="6" t="s">
        <v>13</v>
      </c>
      <c r="E1366" s="6" t="s">
        <v>4315</v>
      </c>
      <c r="F1366" s="6" t="s">
        <v>4316</v>
      </c>
      <c r="G1366" s="6">
        <v>500</v>
      </c>
    </row>
    <row r="1367" spans="1:7" x14ac:dyDescent="0.15">
      <c r="A1367" s="6" t="str">
        <f t="shared" si="19"/>
        <v>methylene_blue</v>
      </c>
      <c r="B1367" t="s">
        <v>4299</v>
      </c>
      <c r="C1367" s="6" t="s">
        <v>4370</v>
      </c>
      <c r="D1367" s="6" t="s">
        <v>13</v>
      </c>
      <c r="E1367" s="6" t="s">
        <v>4317</v>
      </c>
      <c r="F1367" s="6" t="s">
        <v>4318</v>
      </c>
      <c r="G1367" s="6">
        <v>500</v>
      </c>
    </row>
    <row r="1368" spans="1:7" x14ac:dyDescent="0.15">
      <c r="A1368" s="6" t="str">
        <f t="shared" si="19"/>
        <v>malachite_green</v>
      </c>
      <c r="B1368" t="s">
        <v>4299</v>
      </c>
      <c r="C1368" s="6" t="s">
        <v>4371</v>
      </c>
      <c r="D1368" s="6" t="s">
        <v>13</v>
      </c>
      <c r="E1368" s="6" t="s">
        <v>4319</v>
      </c>
      <c r="F1368" s="6" t="s">
        <v>4320</v>
      </c>
      <c r="G1368" s="6">
        <v>500</v>
      </c>
    </row>
    <row r="1369" spans="1:7" x14ac:dyDescent="0.15">
      <c r="A1369" s="6" t="str">
        <f t="shared" si="19"/>
        <v>nigrosin</v>
      </c>
      <c r="B1369" t="s">
        <v>4299</v>
      </c>
      <c r="C1369" s="6" t="s">
        <v>4363</v>
      </c>
      <c r="D1369" s="6" t="s">
        <v>13</v>
      </c>
      <c r="E1369" s="6" t="s">
        <v>4321</v>
      </c>
      <c r="F1369" s="6" t="s">
        <v>4322</v>
      </c>
      <c r="G1369" s="6">
        <v>500</v>
      </c>
    </row>
    <row r="1370" spans="1:7" x14ac:dyDescent="0.15">
      <c r="A1370" s="6" t="str">
        <f t="shared" si="19"/>
        <v>india_ink</v>
      </c>
      <c r="B1370" t="s">
        <v>4299</v>
      </c>
      <c r="C1370" s="6" t="s">
        <v>4372</v>
      </c>
      <c r="D1370" s="6" t="s">
        <v>13</v>
      </c>
      <c r="E1370" s="6" t="s">
        <v>4323</v>
      </c>
      <c r="F1370" s="6" t="s">
        <v>4324</v>
      </c>
      <c r="G1370" s="6">
        <v>500</v>
      </c>
    </row>
    <row r="1371" spans="1:7" x14ac:dyDescent="0.15">
      <c r="A1371" s="6" t="str">
        <f t="shared" si="19"/>
        <v>calcofluor_white</v>
      </c>
      <c r="B1371" t="s">
        <v>4299</v>
      </c>
      <c r="C1371" s="6" t="s">
        <v>4373</v>
      </c>
      <c r="D1371" s="6" t="s">
        <v>13</v>
      </c>
      <c r="E1371" s="6" t="s">
        <v>4325</v>
      </c>
      <c r="F1371" s="6" t="s">
        <v>4326</v>
      </c>
      <c r="G1371" s="6">
        <v>500</v>
      </c>
    </row>
    <row r="1372" spans="1:7" x14ac:dyDescent="0.15">
      <c r="A1372" s="6" t="str">
        <f t="shared" si="19"/>
        <v>rhodamine</v>
      </c>
      <c r="B1372" t="s">
        <v>4299</v>
      </c>
      <c r="C1372" s="6" t="s">
        <v>4364</v>
      </c>
      <c r="D1372" s="6" t="s">
        <v>13</v>
      </c>
      <c r="E1372" s="6" t="s">
        <v>4327</v>
      </c>
      <c r="F1372" s="6" t="s">
        <v>4328</v>
      </c>
      <c r="G1372" s="6">
        <v>500</v>
      </c>
    </row>
    <row r="1373" spans="1:7" x14ac:dyDescent="0.15">
      <c r="A1373" s="6" t="str">
        <f t="shared" si="19"/>
        <v>fluorescein</v>
      </c>
      <c r="B1373" t="s">
        <v>4299</v>
      </c>
      <c r="C1373" s="6" t="s">
        <v>4365</v>
      </c>
      <c r="D1373" s="6" t="s">
        <v>13</v>
      </c>
      <c r="E1373" s="6" t="s">
        <v>4329</v>
      </c>
      <c r="F1373" s="6" t="s">
        <v>4330</v>
      </c>
      <c r="G1373" s="6">
        <v>500</v>
      </c>
    </row>
    <row r="1374" spans="1:7" x14ac:dyDescent="0.15">
      <c r="A1374" s="6" t="str">
        <f t="shared" si="19"/>
        <v>congo_red</v>
      </c>
      <c r="B1374" t="s">
        <v>4299</v>
      </c>
      <c r="C1374" s="6" t="s">
        <v>4374</v>
      </c>
      <c r="D1374" s="6" t="s">
        <v>13</v>
      </c>
      <c r="E1374" s="6" t="s">
        <v>4331</v>
      </c>
      <c r="F1374" s="6" t="s">
        <v>4332</v>
      </c>
      <c r="G1374" s="6">
        <v>500</v>
      </c>
    </row>
    <row r="1375" spans="1:7" x14ac:dyDescent="0.15">
      <c r="A1375" s="6" t="str">
        <f t="shared" si="19"/>
        <v>oil_red_o</v>
      </c>
      <c r="B1375" t="s">
        <v>4299</v>
      </c>
      <c r="C1375" s="6" t="s">
        <v>4375</v>
      </c>
      <c r="D1375" s="6" t="s">
        <v>13</v>
      </c>
      <c r="E1375" s="6" t="s">
        <v>4333</v>
      </c>
      <c r="F1375" s="6" t="s">
        <v>4334</v>
      </c>
      <c r="G1375" s="6">
        <v>500</v>
      </c>
    </row>
    <row r="1376" spans="1:7" x14ac:dyDescent="0.15">
      <c r="A1376" s="6" t="str">
        <f t="shared" si="19"/>
        <v>sudan_black_b</v>
      </c>
      <c r="B1376" t="s">
        <v>4299</v>
      </c>
      <c r="C1376" s="6" t="s">
        <v>4376</v>
      </c>
      <c r="D1376" s="6" t="s">
        <v>13</v>
      </c>
      <c r="E1376" s="6" t="s">
        <v>4335</v>
      </c>
      <c r="F1376" s="6" t="s">
        <v>4336</v>
      </c>
      <c r="G1376" s="6">
        <v>500</v>
      </c>
    </row>
    <row r="1377" spans="1:7" x14ac:dyDescent="0.15">
      <c r="A1377" s="6" t="str">
        <f t="shared" si="19"/>
        <v>janus_green_b</v>
      </c>
      <c r="B1377" t="s">
        <v>4299</v>
      </c>
      <c r="C1377" s="6" t="s">
        <v>4377</v>
      </c>
      <c r="D1377" s="6" t="s">
        <v>13</v>
      </c>
      <c r="E1377" s="6" t="s">
        <v>4337</v>
      </c>
      <c r="F1377" s="6" t="s">
        <v>4338</v>
      </c>
      <c r="G1377" s="6">
        <v>500</v>
      </c>
    </row>
    <row r="1378" spans="1:7" x14ac:dyDescent="0.15">
      <c r="A1378" s="6" t="str">
        <f t="shared" si="19"/>
        <v>neutral_red</v>
      </c>
      <c r="B1378" t="s">
        <v>4299</v>
      </c>
      <c r="C1378" s="6" t="s">
        <v>4378</v>
      </c>
      <c r="D1378" s="6" t="s">
        <v>13</v>
      </c>
      <c r="E1378" s="6" t="s">
        <v>4339</v>
      </c>
      <c r="F1378" s="6" t="s">
        <v>4340</v>
      </c>
      <c r="G1378" s="6">
        <v>500</v>
      </c>
    </row>
    <row r="1379" spans="1:7" x14ac:dyDescent="0.15">
      <c r="A1379" s="6" t="str">
        <f t="shared" si="19"/>
        <v>trypan_blue</v>
      </c>
      <c r="B1379" t="s">
        <v>4299</v>
      </c>
      <c r="C1379" s="6" t="s">
        <v>4379</v>
      </c>
      <c r="D1379" s="6" t="s">
        <v>13</v>
      </c>
      <c r="E1379" s="6" t="s">
        <v>4341</v>
      </c>
      <c r="F1379" s="6" t="s">
        <v>4342</v>
      </c>
      <c r="G1379" s="6">
        <v>500</v>
      </c>
    </row>
    <row r="1380" spans="1:7" x14ac:dyDescent="0.15">
      <c r="A1380" s="6" t="str">
        <f t="shared" si="19"/>
        <v>toluidine_blue</v>
      </c>
      <c r="B1380" t="s">
        <v>4299</v>
      </c>
      <c r="C1380" s="6" t="s">
        <v>4380</v>
      </c>
      <c r="D1380" s="6" t="s">
        <v>13</v>
      </c>
      <c r="E1380" s="6" t="s">
        <v>4343</v>
      </c>
      <c r="F1380" s="6" t="s">
        <v>4344</v>
      </c>
      <c r="G1380" s="6">
        <v>500</v>
      </c>
    </row>
    <row r="1381" spans="1:7" x14ac:dyDescent="0.15">
      <c r="A1381" s="6" t="str">
        <f t="shared" si="19"/>
        <v>silver_stain</v>
      </c>
      <c r="B1381" t="s">
        <v>4299</v>
      </c>
      <c r="C1381" s="6" t="s">
        <v>4381</v>
      </c>
      <c r="D1381" s="6" t="s">
        <v>13</v>
      </c>
      <c r="E1381" s="6" t="s">
        <v>4345</v>
      </c>
      <c r="F1381" s="6" t="s">
        <v>4346</v>
      </c>
      <c r="G1381" s="6">
        <v>500</v>
      </c>
    </row>
    <row r="1382" spans="1:7" x14ac:dyDescent="0.15">
      <c r="A1382" s="6" t="str">
        <f t="shared" si="19"/>
        <v>auramine_o</v>
      </c>
      <c r="B1382" t="s">
        <v>4299</v>
      </c>
      <c r="C1382" s="6" t="s">
        <v>4382</v>
      </c>
      <c r="D1382" s="6" t="s">
        <v>13</v>
      </c>
      <c r="E1382" s="6" t="s">
        <v>4347</v>
      </c>
      <c r="F1382" s="6" t="s">
        <v>4348</v>
      </c>
      <c r="G1382" s="6">
        <v>500</v>
      </c>
    </row>
    <row r="1383" spans="1:7" x14ac:dyDescent="0.15">
      <c r="A1383" s="6" t="str">
        <f t="shared" si="19"/>
        <v>giemsa_stain</v>
      </c>
      <c r="B1383" t="s">
        <v>4299</v>
      </c>
      <c r="C1383" s="6" t="s">
        <v>4383</v>
      </c>
      <c r="D1383" s="6" t="s">
        <v>13</v>
      </c>
      <c r="E1383" s="6" t="s">
        <v>4349</v>
      </c>
      <c r="F1383" s="6" t="s">
        <v>4350</v>
      </c>
      <c r="G1383" s="6">
        <v>500</v>
      </c>
    </row>
    <row r="1384" spans="1:7" x14ac:dyDescent="0.15">
      <c r="A1384" s="6" t="str">
        <f t="shared" si="19"/>
        <v>wright_stain</v>
      </c>
      <c r="B1384" t="s">
        <v>4299</v>
      </c>
      <c r="C1384" s="6" t="s">
        <v>4384</v>
      </c>
      <c r="D1384" s="6" t="s">
        <v>13</v>
      </c>
      <c r="E1384" s="6" t="s">
        <v>4351</v>
      </c>
      <c r="F1384" s="6" t="s">
        <v>4352</v>
      </c>
      <c r="G1384" s="6">
        <v>500</v>
      </c>
    </row>
    <row r="1385" spans="1:7" x14ac:dyDescent="0.15">
      <c r="A1385" s="6" t="str">
        <f t="shared" si="19"/>
        <v>periodic_acid-schiff</v>
      </c>
      <c r="B1385" t="s">
        <v>4299</v>
      </c>
      <c r="C1385" s="6" t="s">
        <v>4385</v>
      </c>
      <c r="D1385" s="6" t="s">
        <v>13</v>
      </c>
      <c r="E1385" s="6" t="s">
        <v>4353</v>
      </c>
      <c r="F1385" s="6" t="s">
        <v>4354</v>
      </c>
      <c r="G1385" s="6">
        <v>500</v>
      </c>
    </row>
    <row r="1386" spans="1:7" x14ac:dyDescent="0.15">
      <c r="A1386" s="6" t="str">
        <f t="shared" si="19"/>
        <v>alcian_blue</v>
      </c>
      <c r="B1386" t="s">
        <v>4299</v>
      </c>
      <c r="C1386" s="6" t="s">
        <v>4386</v>
      </c>
      <c r="D1386" s="6" t="s">
        <v>13</v>
      </c>
      <c r="E1386" s="6" t="s">
        <v>4355</v>
      </c>
      <c r="F1386" s="6" t="s">
        <v>4356</v>
      </c>
      <c r="G1386" s="6">
        <v>500</v>
      </c>
    </row>
    <row r="1387" spans="1:7" x14ac:dyDescent="0.15">
      <c r="A1387" s="6" t="str">
        <f t="shared" si="19"/>
        <v>massons_trichrome</v>
      </c>
      <c r="B1387" t="s">
        <v>4299</v>
      </c>
      <c r="C1387" s="6" t="s">
        <v>4387</v>
      </c>
      <c r="D1387" s="6" t="s">
        <v>13</v>
      </c>
      <c r="E1387" s="6" t="s">
        <v>4357</v>
      </c>
      <c r="F1387" s="6" t="s">
        <v>4358</v>
      </c>
      <c r="G1387" s="6">
        <v>500</v>
      </c>
    </row>
    <row r="1388" spans="1:7" x14ac:dyDescent="0.15">
      <c r="A1388" s="6" t="s">
        <v>4394</v>
      </c>
      <c r="B1388" t="s">
        <v>4392</v>
      </c>
      <c r="C1388" s="6" t="s">
        <v>4394</v>
      </c>
      <c r="D1388" s="6" t="s">
        <v>13</v>
      </c>
      <c r="E1388" s="6" t="s">
        <v>4395</v>
      </c>
      <c r="F1388" s="6" t="s">
        <v>4396</v>
      </c>
      <c r="G1388" s="6">
        <v>450</v>
      </c>
    </row>
    <row r="1389" spans="1:7" x14ac:dyDescent="0.15">
      <c r="A1389" s="6" t="s">
        <v>4099</v>
      </c>
      <c r="B1389" t="s">
        <v>4392</v>
      </c>
      <c r="C1389" s="6" t="s">
        <v>4099</v>
      </c>
      <c r="D1389" s="6" t="s">
        <v>13</v>
      </c>
      <c r="E1389" s="6" t="s">
        <v>3981</v>
      </c>
      <c r="F1389" s="6" t="s">
        <v>4397</v>
      </c>
      <c r="G1389" s="6">
        <v>500</v>
      </c>
    </row>
    <row r="1390" spans="1:7" x14ac:dyDescent="0.15">
      <c r="A1390" s="6" t="s">
        <v>4099</v>
      </c>
      <c r="B1390" t="s">
        <v>4388</v>
      </c>
      <c r="C1390" s="6" t="s">
        <v>4099</v>
      </c>
      <c r="D1390" s="6" t="s">
        <v>13</v>
      </c>
      <c r="E1390" s="6" t="s">
        <v>3981</v>
      </c>
      <c r="F1390" s="6" t="s">
        <v>4398</v>
      </c>
      <c r="G1390" s="6">
        <v>500</v>
      </c>
    </row>
    <row r="1391" spans="1:7" x14ac:dyDescent="0.15">
      <c r="A1391" s="6" t="s">
        <v>21</v>
      </c>
      <c r="B1391" s="6" t="s">
        <v>4390</v>
      </c>
      <c r="C1391" s="6" t="s">
        <v>21</v>
      </c>
      <c r="D1391" s="6" t="s">
        <v>13</v>
      </c>
      <c r="E1391" s="6" t="s">
        <v>21</v>
      </c>
      <c r="F1391" s="6" t="s">
        <v>4399</v>
      </c>
      <c r="G1391" s="6">
        <v>700</v>
      </c>
    </row>
    <row r="1392" spans="1:7" x14ac:dyDescent="0.15">
      <c r="A1392" s="6" t="s">
        <v>3991</v>
      </c>
      <c r="B1392" s="6" t="s">
        <v>4390</v>
      </c>
      <c r="C1392" s="6" t="s">
        <v>3991</v>
      </c>
      <c r="D1392" s="6" t="s">
        <v>13</v>
      </c>
      <c r="E1392" s="6" t="s">
        <v>3991</v>
      </c>
      <c r="F1392" s="6" t="s">
        <v>4400</v>
      </c>
      <c r="G1392" s="6">
        <v>540</v>
      </c>
    </row>
    <row r="1393" spans="1:7" x14ac:dyDescent="0.15">
      <c r="A1393" s="6" t="s">
        <v>4401</v>
      </c>
      <c r="B1393" s="6" t="s">
        <v>4390</v>
      </c>
      <c r="C1393" s="6" t="s">
        <v>4401</v>
      </c>
      <c r="D1393" s="6" t="s">
        <v>13</v>
      </c>
      <c r="E1393" s="6" t="s">
        <v>4401</v>
      </c>
      <c r="F1393" s="6" t="s">
        <v>4402</v>
      </c>
      <c r="G1393" s="6">
        <v>500</v>
      </c>
    </row>
  </sheetData>
  <conditionalFormatting sqref="F9:F187 F189:F197 F199:F340 E250 F342:F350">
    <cfRule type="cellIs" dxfId="3" priority="2" operator="equal">
      <formula>INDIRECT(ADDRESS(ROW()-1,COLUMN()))</formula>
    </cfRule>
  </conditionalFormatting>
  <conditionalFormatting sqref="F38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x14ac:dyDescent="0.15"/>
  <sheetData>
    <row r="1" spans="1:1" x14ac:dyDescent="0.15">
      <c r="A1" s="27" t="s">
        <v>4060</v>
      </c>
    </row>
    <row r="2" spans="1:1" x14ac:dyDescent="0.15">
      <c r="A2" s="6" t="s">
        <v>4061</v>
      </c>
    </row>
    <row r="3" spans="1:1" x14ac:dyDescent="0.15">
      <c r="A3" s="6" t="s">
        <v>4062</v>
      </c>
    </row>
    <row r="4" spans="1:1" x14ac:dyDescent="0.15">
      <c r="A4" s="6" t="s">
        <v>4063</v>
      </c>
    </row>
    <row r="5" spans="1:1" x14ac:dyDescent="0.15">
      <c r="A5" s="6" t="s">
        <v>4064</v>
      </c>
    </row>
    <row r="6" spans="1:1" x14ac:dyDescent="0.15">
      <c r="A6" s="6" t="s">
        <v>4065</v>
      </c>
    </row>
    <row r="7" spans="1:1" x14ac:dyDescent="0.15">
      <c r="A7" s="6" t="s">
        <v>3967</v>
      </c>
    </row>
    <row r="8" spans="1:1" x14ac:dyDescent="0.15">
      <c r="A8" s="6" t="s">
        <v>3965</v>
      </c>
    </row>
    <row r="9" spans="1:1" x14ac:dyDescent="0.15">
      <c r="A9" s="6" t="s">
        <v>3970</v>
      </c>
    </row>
    <row r="10" spans="1:1" x14ac:dyDescent="0.15">
      <c r="A10" s="6" t="s">
        <v>4066</v>
      </c>
    </row>
    <row r="11" spans="1:1" x14ac:dyDescent="0.15">
      <c r="A11" s="6" t="s">
        <v>4067</v>
      </c>
    </row>
    <row r="12" spans="1:1" x14ac:dyDescent="0.15">
      <c r="A12" s="6" t="s">
        <v>1162</v>
      </c>
    </row>
    <row r="13" spans="1:1" x14ac:dyDescent="0.15">
      <c r="A13" s="6" t="s">
        <v>4068</v>
      </c>
    </row>
    <row r="14" spans="1:1" x14ac:dyDescent="0.15">
      <c r="A14" s="6" t="s">
        <v>4069</v>
      </c>
    </row>
    <row r="15" spans="1:1" x14ac:dyDescent="0.15">
      <c r="A15" s="6" t="s">
        <v>4070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6" t="s">
        <v>2122</v>
      </c>
      <c r="B2" s="6" t="s">
        <v>150</v>
      </c>
      <c r="C2" s="6" t="str">
        <f>B2&amp;":"&amp;A2</f>
        <v>att_organism:UP000000589</v>
      </c>
      <c r="D2" s="6" t="s">
        <v>2123</v>
      </c>
      <c r="E2" s="6" t="s">
        <v>2124</v>
      </c>
      <c r="F2" s="6" t="s">
        <v>2125</v>
      </c>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6"/>
      <c r="CM2" s="6"/>
      <c r="CN2" s="6"/>
      <c r="CO2" s="6"/>
      <c r="CP2" s="6"/>
      <c r="CQ2" s="6"/>
      <c r="CR2" s="6"/>
      <c r="CS2" s="6"/>
      <c r="CT2" s="6"/>
      <c r="CU2" s="6"/>
      <c r="CV2" s="6"/>
      <c r="CW2" s="6"/>
      <c r="CX2" s="6"/>
      <c r="CY2" s="6"/>
      <c r="CZ2" s="6"/>
      <c r="DA2" s="6"/>
      <c r="DB2" s="6"/>
      <c r="DC2" s="6"/>
      <c r="DD2" s="6"/>
      <c r="DE2" s="6"/>
      <c r="DF2" s="6"/>
      <c r="DG2" s="6"/>
      <c r="DH2" s="6"/>
      <c r="DI2" s="6"/>
      <c r="DJ2" s="6"/>
      <c r="DK2" s="6"/>
      <c r="DL2" s="6"/>
      <c r="DM2" s="6"/>
      <c r="DN2" s="6"/>
      <c r="DO2" s="6"/>
      <c r="DP2" s="6"/>
      <c r="DQ2" s="6"/>
      <c r="DR2" s="6"/>
      <c r="DS2" s="6"/>
      <c r="DT2" s="6"/>
      <c r="DU2" s="6"/>
      <c r="DV2" s="6"/>
      <c r="DW2" s="6"/>
      <c r="DX2" s="6"/>
      <c r="DY2" s="6"/>
      <c r="DZ2" s="6"/>
      <c r="EA2" s="6"/>
      <c r="EB2" s="6"/>
      <c r="EC2" s="6"/>
      <c r="ED2" s="6"/>
      <c r="EE2" s="6"/>
      <c r="EF2" s="6"/>
      <c r="EG2" s="6"/>
      <c r="EH2" s="6"/>
      <c r="EI2" s="6"/>
      <c r="EJ2" s="6"/>
      <c r="EK2" s="6"/>
      <c r="EL2" s="6"/>
      <c r="EM2" s="6"/>
      <c r="EN2" s="6"/>
      <c r="EO2" s="6"/>
      <c r="EP2" s="6"/>
      <c r="EQ2" s="6"/>
      <c r="ER2" s="6"/>
      <c r="ES2" s="6"/>
      <c r="ET2" s="6"/>
      <c r="EU2" s="6"/>
      <c r="EV2" s="6"/>
      <c r="EW2" s="6"/>
      <c r="EX2" s="6"/>
      <c r="EY2" s="6"/>
      <c r="EZ2" s="6"/>
      <c r="FA2" s="6"/>
      <c r="FB2" s="6"/>
      <c r="FC2" s="6"/>
      <c r="FD2" s="6"/>
      <c r="FE2" s="6"/>
      <c r="FF2" s="6"/>
      <c r="FG2" s="6"/>
      <c r="FH2" s="6"/>
      <c r="FI2" s="6"/>
      <c r="FJ2" s="6"/>
      <c r="FK2" s="6"/>
      <c r="FL2" s="6"/>
      <c r="FM2" s="6"/>
      <c r="FN2" s="6"/>
      <c r="FO2" s="6"/>
      <c r="FP2" s="6"/>
      <c r="FQ2" s="6"/>
      <c r="FR2" s="6"/>
      <c r="FS2" s="6"/>
      <c r="FT2" s="6"/>
      <c r="FU2" s="6"/>
      <c r="FV2" s="6"/>
      <c r="FW2" s="6"/>
      <c r="FX2" s="6"/>
      <c r="FY2" s="6"/>
      <c r="FZ2" s="6"/>
      <c r="GA2" s="6"/>
      <c r="GB2" s="6"/>
      <c r="GC2" s="6"/>
      <c r="GD2" s="6"/>
      <c r="GE2" s="6"/>
      <c r="GF2" s="6"/>
      <c r="GG2" s="6"/>
      <c r="GH2" s="6"/>
      <c r="GI2" s="6"/>
      <c r="GJ2" s="6"/>
      <c r="GK2" s="6"/>
      <c r="GL2" s="6"/>
      <c r="GM2" s="6"/>
      <c r="GN2" s="6"/>
      <c r="GO2" s="6"/>
      <c r="GP2" s="6"/>
      <c r="GQ2" s="6"/>
      <c r="GR2" s="6"/>
      <c r="GS2" s="6"/>
      <c r="GT2" s="6"/>
      <c r="GU2" s="6"/>
      <c r="GV2" s="6"/>
      <c r="GW2" s="6"/>
      <c r="GX2" s="6"/>
      <c r="GY2" s="6"/>
      <c r="GZ2" s="6"/>
      <c r="HA2" s="6"/>
      <c r="HB2" s="6"/>
      <c r="HC2" s="6"/>
      <c r="HD2" s="6"/>
      <c r="HE2" s="6"/>
      <c r="HF2" s="6"/>
      <c r="HG2" s="6"/>
      <c r="HH2" s="6"/>
      <c r="HI2" s="6"/>
      <c r="HJ2" s="6"/>
      <c r="HK2" s="6"/>
      <c r="HL2" s="6"/>
      <c r="HM2" s="6"/>
      <c r="HN2" s="6"/>
      <c r="HO2" s="6"/>
      <c r="HP2" s="6"/>
      <c r="HQ2" s="6"/>
      <c r="HR2" s="6"/>
      <c r="HS2" s="6"/>
      <c r="HT2" s="6"/>
      <c r="HU2" s="6"/>
      <c r="HV2" s="6"/>
      <c r="HW2" s="6"/>
      <c r="HX2" s="6"/>
      <c r="HY2" s="6"/>
      <c r="HZ2" s="6"/>
      <c r="IA2" s="6"/>
      <c r="IB2" s="6"/>
      <c r="IC2" s="6"/>
      <c r="ID2" s="6"/>
      <c r="IE2" s="6"/>
      <c r="IF2" s="6"/>
      <c r="IG2" s="6"/>
      <c r="IH2" s="6"/>
      <c r="II2" s="6"/>
      <c r="IJ2" s="6"/>
      <c r="IK2" s="6"/>
      <c r="IL2" s="6"/>
      <c r="IM2" s="6"/>
      <c r="IN2" s="6"/>
      <c r="IO2" s="6"/>
      <c r="IP2" s="6"/>
      <c r="IQ2" s="6"/>
      <c r="IR2" s="6"/>
      <c r="IS2" s="6"/>
      <c r="IT2" s="6"/>
      <c r="IU2" s="6"/>
      <c r="IV2" s="6"/>
      <c r="IW2" s="6"/>
      <c r="IX2" s="6"/>
      <c r="IY2" s="6"/>
      <c r="IZ2" s="6"/>
      <c r="JA2" s="6"/>
      <c r="JB2" s="6"/>
      <c r="JC2" s="6"/>
      <c r="JD2" s="6"/>
      <c r="JE2" s="6"/>
      <c r="JF2" s="6"/>
      <c r="JG2" s="6"/>
      <c r="JH2" s="6"/>
      <c r="JI2" s="6"/>
      <c r="JJ2" s="6"/>
      <c r="JK2" s="6"/>
      <c r="JL2" s="6"/>
      <c r="JM2" s="6"/>
      <c r="JN2" s="6"/>
      <c r="JO2" s="6"/>
      <c r="JP2" s="6"/>
      <c r="JQ2" s="6"/>
      <c r="JR2" s="6"/>
      <c r="JS2" s="6"/>
      <c r="JT2" s="6"/>
      <c r="JU2" s="6"/>
      <c r="JV2" s="6"/>
      <c r="JW2" s="6"/>
      <c r="JX2" s="6"/>
      <c r="JY2" s="6"/>
      <c r="JZ2" s="6"/>
      <c r="KA2" s="6"/>
      <c r="KB2" s="6"/>
      <c r="KC2" s="6"/>
      <c r="KD2" s="6"/>
      <c r="KE2" s="6"/>
      <c r="KF2" s="6"/>
      <c r="KG2" s="6"/>
      <c r="KH2" s="6"/>
      <c r="KI2" s="6"/>
      <c r="KJ2" s="6"/>
      <c r="KK2" s="6"/>
      <c r="KL2" s="6"/>
      <c r="KM2" s="6"/>
      <c r="KN2" s="6"/>
      <c r="KO2" s="6"/>
      <c r="KP2" s="6"/>
      <c r="KQ2" s="6"/>
      <c r="KR2" s="6"/>
      <c r="KS2" s="6"/>
      <c r="KT2" s="6"/>
      <c r="KU2" s="6"/>
      <c r="KV2" s="6"/>
      <c r="KW2" s="6"/>
      <c r="KX2" s="6"/>
      <c r="KY2" s="6"/>
      <c r="KZ2" s="6"/>
      <c r="LA2" s="6"/>
      <c r="LB2" s="6"/>
      <c r="LC2" s="6"/>
      <c r="LD2" s="6"/>
      <c r="LE2" s="6"/>
      <c r="LF2" s="6"/>
      <c r="LG2" s="6"/>
      <c r="LH2" s="6"/>
      <c r="LI2" s="6"/>
      <c r="LJ2" s="6"/>
      <c r="LK2" s="6"/>
      <c r="LL2" s="6"/>
      <c r="LM2" s="6"/>
      <c r="LN2" s="6"/>
      <c r="LO2" s="6"/>
      <c r="LP2" s="6"/>
      <c r="LQ2" s="6"/>
      <c r="LR2" s="6"/>
      <c r="LS2" s="6"/>
      <c r="LT2" s="6"/>
      <c r="LU2" s="6"/>
      <c r="LV2" s="6"/>
      <c r="LW2" s="6"/>
      <c r="LX2" s="6"/>
      <c r="LY2" s="6"/>
      <c r="LZ2" s="6"/>
      <c r="MA2" s="6"/>
      <c r="MB2" s="6"/>
      <c r="MC2" s="6"/>
      <c r="MD2" s="6"/>
      <c r="ME2" s="6"/>
      <c r="MF2" s="6"/>
      <c r="MG2" s="6"/>
      <c r="MH2" s="6"/>
      <c r="MI2" s="6"/>
      <c r="MJ2" s="6"/>
      <c r="MK2" s="6"/>
      <c r="ML2" s="6"/>
      <c r="MM2" s="6"/>
      <c r="MN2" s="6"/>
      <c r="MO2" s="6"/>
      <c r="MP2" s="6"/>
      <c r="MQ2" s="6"/>
      <c r="MR2" s="6"/>
      <c r="MS2" s="6"/>
      <c r="MT2" s="6"/>
      <c r="MU2" s="6"/>
      <c r="MV2" s="6"/>
      <c r="MW2" s="6"/>
      <c r="MX2" s="6"/>
      <c r="MY2" s="6"/>
      <c r="MZ2" s="6"/>
      <c r="NA2" s="6"/>
      <c r="NB2" s="6"/>
      <c r="NC2" s="6"/>
      <c r="ND2" s="6"/>
      <c r="NE2" s="6"/>
      <c r="NF2" s="6"/>
      <c r="NG2" s="6"/>
      <c r="NH2" s="6"/>
      <c r="NI2" s="6"/>
      <c r="NJ2" s="6"/>
      <c r="NK2" s="6"/>
      <c r="NL2" s="6"/>
      <c r="NM2" s="6"/>
      <c r="NN2" s="6"/>
      <c r="NO2" s="6"/>
      <c r="NP2" s="6"/>
      <c r="NQ2" s="6"/>
      <c r="NR2" s="6"/>
      <c r="NS2" s="6"/>
      <c r="NT2" s="6"/>
      <c r="NU2" s="6"/>
      <c r="NV2" s="6"/>
      <c r="NW2" s="6"/>
      <c r="NX2" s="6"/>
      <c r="NY2" s="6"/>
      <c r="NZ2" s="6"/>
      <c r="OA2" s="6"/>
      <c r="OB2" s="6"/>
      <c r="OC2" s="6"/>
      <c r="OD2" s="6"/>
      <c r="OE2" s="6"/>
      <c r="OF2" s="6"/>
      <c r="OG2" s="6"/>
      <c r="OH2" s="6"/>
      <c r="OI2" s="6"/>
      <c r="OJ2" s="6"/>
      <c r="OK2" s="6"/>
      <c r="OL2" s="6"/>
      <c r="OM2" s="6"/>
      <c r="ON2" s="6"/>
      <c r="OO2" s="6"/>
      <c r="OP2" s="6"/>
      <c r="OQ2" s="6"/>
      <c r="OR2" s="6"/>
      <c r="OS2" s="6"/>
      <c r="OT2" s="6"/>
      <c r="OU2" s="6"/>
      <c r="OV2" s="6"/>
      <c r="OW2" s="6"/>
      <c r="OX2" s="6"/>
      <c r="OY2" s="6"/>
      <c r="OZ2" s="6"/>
      <c r="PA2" s="6"/>
      <c r="PB2" s="6"/>
      <c r="PC2" s="6"/>
      <c r="PD2" s="6"/>
      <c r="PE2" s="6"/>
      <c r="PF2" s="6"/>
      <c r="PG2" s="6"/>
      <c r="PH2" s="6"/>
      <c r="PI2" s="6"/>
      <c r="PJ2" s="6"/>
      <c r="PK2" s="6"/>
      <c r="PL2" s="6"/>
      <c r="PM2" s="6"/>
      <c r="PN2" s="6"/>
      <c r="PO2" s="6"/>
      <c r="PP2" s="6"/>
      <c r="PQ2" s="6"/>
      <c r="PR2" s="6"/>
      <c r="PS2" s="6"/>
      <c r="PT2" s="6"/>
      <c r="PU2" s="6"/>
      <c r="PV2" s="6"/>
      <c r="PW2" s="6"/>
      <c r="PX2" s="6"/>
      <c r="PY2" s="6"/>
      <c r="PZ2" s="6"/>
      <c r="QA2" s="6"/>
      <c r="QB2" s="6"/>
      <c r="QC2" s="6"/>
      <c r="QD2" s="6"/>
      <c r="QE2" s="6"/>
      <c r="QF2" s="6"/>
      <c r="QG2" s="6"/>
      <c r="QH2" s="6"/>
      <c r="QI2" s="6"/>
      <c r="QJ2" s="6"/>
      <c r="QK2" s="6"/>
      <c r="QL2" s="6"/>
      <c r="QM2" s="6"/>
      <c r="QN2" s="6"/>
      <c r="QO2" s="6"/>
      <c r="QP2" s="6"/>
      <c r="QQ2" s="6"/>
      <c r="QR2" s="6"/>
      <c r="QS2" s="6"/>
      <c r="QT2" s="6"/>
      <c r="QU2" s="6"/>
      <c r="QV2" s="6"/>
      <c r="QW2" s="6"/>
      <c r="QX2" s="6"/>
      <c r="QY2" s="6"/>
      <c r="QZ2" s="6"/>
      <c r="RA2" s="6"/>
      <c r="RB2" s="6"/>
      <c r="RC2" s="6"/>
      <c r="RD2" s="6"/>
      <c r="RE2" s="6"/>
      <c r="RF2" s="6"/>
      <c r="RG2" s="6"/>
      <c r="RH2" s="6"/>
      <c r="RI2" s="6"/>
      <c r="RJ2" s="6"/>
      <c r="RK2" s="6"/>
      <c r="RL2" s="6"/>
      <c r="RM2" s="6"/>
      <c r="RN2" s="6"/>
      <c r="RO2" s="6"/>
      <c r="RP2" s="6"/>
      <c r="RQ2" s="6"/>
      <c r="RR2" s="6"/>
      <c r="RS2" s="6"/>
      <c r="RT2" s="6"/>
      <c r="RU2" s="6"/>
      <c r="RV2" s="6"/>
      <c r="RW2" s="6"/>
      <c r="RX2" s="6"/>
      <c r="RY2" s="6"/>
      <c r="RZ2" s="6"/>
      <c r="SA2" s="6"/>
      <c r="SB2" s="6"/>
      <c r="SC2" s="6"/>
      <c r="SD2" s="6"/>
      <c r="SE2" s="6"/>
      <c r="SF2" s="6"/>
      <c r="SG2" s="6"/>
      <c r="SH2" s="6"/>
      <c r="SI2" s="6"/>
      <c r="SJ2" s="6"/>
      <c r="SK2" s="6"/>
      <c r="SL2" s="6"/>
      <c r="SM2" s="6"/>
      <c r="SN2" s="6"/>
      <c r="SO2" s="6"/>
      <c r="SP2" s="6"/>
      <c r="SQ2" s="6"/>
      <c r="SR2" s="6"/>
      <c r="SS2" s="6"/>
      <c r="ST2" s="6"/>
      <c r="SU2" s="6"/>
      <c r="SV2" s="6"/>
      <c r="SW2" s="6"/>
      <c r="SX2" s="6"/>
      <c r="SY2" s="6"/>
      <c r="SZ2" s="6"/>
      <c r="TA2" s="6"/>
      <c r="TB2" s="6"/>
      <c r="TC2" s="6"/>
      <c r="TD2" s="6"/>
      <c r="TE2" s="6"/>
      <c r="TF2" s="6"/>
      <c r="TG2" s="6"/>
      <c r="TH2" s="6"/>
      <c r="TI2" s="6"/>
      <c r="TJ2" s="6"/>
      <c r="TK2" s="6"/>
      <c r="TL2" s="6"/>
      <c r="TM2" s="6"/>
      <c r="TN2" s="6"/>
      <c r="TO2" s="6"/>
      <c r="TP2" s="6"/>
      <c r="TQ2" s="6"/>
      <c r="TR2" s="6"/>
      <c r="TS2" s="6"/>
      <c r="TT2" s="6"/>
      <c r="TU2" s="6"/>
      <c r="TV2" s="6"/>
      <c r="TW2" s="6"/>
      <c r="TX2" s="6"/>
      <c r="TY2" s="6"/>
      <c r="TZ2" s="6"/>
      <c r="UA2" s="6"/>
      <c r="UB2" s="6"/>
      <c r="UC2" s="6"/>
      <c r="UD2" s="6"/>
      <c r="UE2" s="6"/>
      <c r="UF2" s="6"/>
      <c r="UG2" s="6"/>
      <c r="UH2" s="6"/>
      <c r="UI2" s="6"/>
      <c r="UJ2" s="6"/>
      <c r="UK2" s="6"/>
      <c r="UL2" s="6"/>
      <c r="UM2" s="6"/>
      <c r="UN2" s="6"/>
      <c r="UO2" s="6"/>
      <c r="UP2" s="6"/>
      <c r="UQ2" s="6"/>
      <c r="UR2" s="6"/>
      <c r="US2" s="6"/>
      <c r="UT2" s="6"/>
      <c r="UU2" s="6"/>
      <c r="UV2" s="6"/>
      <c r="UW2" s="6"/>
      <c r="UX2" s="6"/>
      <c r="UY2" s="6"/>
      <c r="UZ2" s="6"/>
      <c r="VA2" s="6"/>
      <c r="VB2" s="6"/>
      <c r="VC2" s="6"/>
      <c r="VD2" s="6"/>
      <c r="VE2" s="6"/>
      <c r="VF2" s="6"/>
      <c r="VG2" s="6"/>
      <c r="VH2" s="6"/>
      <c r="VI2" s="6"/>
      <c r="VJ2" s="6"/>
      <c r="VK2" s="6"/>
      <c r="VL2" s="6"/>
      <c r="VM2" s="6"/>
      <c r="VN2" s="6"/>
      <c r="VO2" s="6"/>
      <c r="VP2" s="6"/>
      <c r="VQ2" s="6"/>
      <c r="VR2" s="6"/>
      <c r="VS2" s="6"/>
      <c r="VT2" s="6"/>
      <c r="VU2" s="6"/>
      <c r="VV2" s="6"/>
      <c r="VW2" s="6"/>
      <c r="VX2" s="6"/>
      <c r="VY2" s="6"/>
      <c r="VZ2" s="6"/>
      <c r="WA2" s="6"/>
      <c r="WB2" s="6"/>
      <c r="WC2" s="6"/>
      <c r="WD2" s="6"/>
      <c r="WE2" s="6"/>
      <c r="WF2" s="6"/>
      <c r="WG2" s="6"/>
      <c r="WH2" s="6"/>
      <c r="WI2" s="6"/>
      <c r="WJ2" s="6"/>
      <c r="WK2" s="6"/>
      <c r="WL2" s="6"/>
      <c r="WM2" s="6"/>
      <c r="WN2" s="6"/>
      <c r="WO2" s="6"/>
      <c r="WP2" s="6"/>
      <c r="WQ2" s="6"/>
      <c r="WR2" s="6"/>
      <c r="WS2" s="6"/>
      <c r="WT2" s="6"/>
      <c r="WU2" s="6"/>
      <c r="WV2" s="6"/>
      <c r="WW2" s="6"/>
      <c r="WX2" s="6"/>
      <c r="WY2" s="6"/>
      <c r="WZ2" s="6"/>
      <c r="XA2" s="6"/>
      <c r="XB2" s="6"/>
      <c r="XC2" s="6"/>
      <c r="XD2" s="6"/>
      <c r="XE2" s="6"/>
      <c r="XF2" s="6"/>
      <c r="XG2" s="6"/>
      <c r="XH2" s="6"/>
      <c r="XI2" s="6"/>
      <c r="XJ2" s="6"/>
      <c r="XK2" s="6"/>
      <c r="XL2" s="6"/>
      <c r="XM2" s="6"/>
      <c r="XN2" s="6"/>
      <c r="XO2" s="6"/>
      <c r="XP2" s="6"/>
      <c r="XQ2" s="6"/>
      <c r="XR2" s="6"/>
      <c r="XS2" s="6"/>
      <c r="XT2" s="6"/>
      <c r="XU2" s="6"/>
      <c r="XV2" s="6"/>
      <c r="XW2" s="6"/>
      <c r="XX2" s="6"/>
      <c r="XY2" s="6"/>
      <c r="XZ2" s="6"/>
      <c r="YA2" s="6"/>
      <c r="YB2" s="6"/>
      <c r="YC2" s="6"/>
      <c r="YD2" s="6"/>
      <c r="YE2" s="6"/>
      <c r="YF2" s="6"/>
      <c r="YG2" s="6"/>
      <c r="YH2" s="6"/>
      <c r="YI2" s="6"/>
      <c r="YJ2" s="6"/>
      <c r="YK2" s="6"/>
      <c r="YL2" s="6"/>
      <c r="YM2" s="6"/>
      <c r="YN2" s="6"/>
      <c r="YO2" s="6"/>
      <c r="YP2" s="6"/>
      <c r="YQ2" s="6"/>
      <c r="YR2" s="6"/>
      <c r="YS2" s="6"/>
      <c r="YT2" s="6"/>
      <c r="YU2" s="6"/>
      <c r="YV2" s="6"/>
      <c r="YW2" s="6"/>
      <c r="YX2" s="6"/>
      <c r="YY2" s="6"/>
      <c r="YZ2" s="6"/>
      <c r="ZA2" s="6"/>
      <c r="ZB2" s="6"/>
      <c r="ZC2" s="6"/>
      <c r="ZD2" s="6"/>
      <c r="ZE2" s="6"/>
      <c r="ZF2" s="6"/>
      <c r="ZG2" s="6"/>
      <c r="ZH2" s="6"/>
      <c r="ZI2" s="6"/>
      <c r="ZJ2" s="6"/>
      <c r="ZK2" s="6"/>
      <c r="ZL2" s="6"/>
      <c r="ZM2" s="6"/>
      <c r="ZN2" s="6"/>
      <c r="ZO2" s="6"/>
      <c r="ZP2" s="6"/>
      <c r="ZQ2" s="6"/>
      <c r="ZR2" s="6"/>
      <c r="ZS2" s="6"/>
      <c r="ZT2" s="6"/>
      <c r="ZU2" s="6"/>
      <c r="ZV2" s="6"/>
      <c r="ZW2" s="6"/>
      <c r="ZX2" s="6"/>
      <c r="ZY2" s="6"/>
      <c r="ZZ2" s="6"/>
      <c r="AAA2" s="6"/>
      <c r="AAB2" s="6"/>
      <c r="AAC2" s="6"/>
      <c r="AAD2" s="6"/>
      <c r="AAE2" s="6"/>
      <c r="AAF2" s="6"/>
      <c r="AAG2" s="6"/>
      <c r="AAH2" s="6"/>
      <c r="AAI2" s="6"/>
      <c r="AAJ2" s="6"/>
      <c r="AAK2" s="6"/>
      <c r="AAL2" s="6"/>
      <c r="AAM2" s="6"/>
      <c r="AAN2" s="6"/>
      <c r="AAO2" s="6"/>
      <c r="AAP2" s="6"/>
      <c r="AAQ2" s="6"/>
      <c r="AAR2" s="6"/>
      <c r="AAS2" s="6"/>
      <c r="AAT2" s="6"/>
      <c r="AAU2" s="6"/>
      <c r="AAV2" s="6"/>
      <c r="AAW2" s="6"/>
      <c r="AAX2" s="6"/>
      <c r="AAY2" s="6"/>
      <c r="AAZ2" s="6"/>
      <c r="ABA2" s="6"/>
      <c r="ABB2" s="6"/>
      <c r="ABC2" s="6"/>
      <c r="ABD2" s="6"/>
      <c r="ABE2" s="6"/>
      <c r="ABF2" s="6"/>
      <c r="ABG2" s="6"/>
      <c r="ABH2" s="6"/>
      <c r="ABI2" s="6"/>
      <c r="ABJ2" s="6"/>
      <c r="ABK2" s="6"/>
      <c r="ABL2" s="6"/>
      <c r="ABM2" s="6"/>
      <c r="ABN2" s="6"/>
      <c r="ABO2" s="6"/>
      <c r="ABP2" s="6"/>
      <c r="ABQ2" s="6"/>
      <c r="ABR2" s="6"/>
      <c r="ABS2" s="6"/>
      <c r="ABT2" s="6"/>
      <c r="ABU2" s="6"/>
      <c r="ABV2" s="6"/>
      <c r="ABW2" s="6"/>
      <c r="ABX2" s="6"/>
      <c r="ABY2" s="6"/>
      <c r="ABZ2" s="6"/>
      <c r="ACA2" s="6"/>
      <c r="ACB2" s="6"/>
      <c r="ACC2" s="6"/>
      <c r="ACD2" s="6"/>
      <c r="ACE2" s="6"/>
      <c r="ACF2" s="6"/>
      <c r="ACG2" s="6"/>
      <c r="ACH2" s="6"/>
      <c r="ACI2" s="6"/>
      <c r="ACJ2" s="6"/>
      <c r="ACK2" s="6"/>
      <c r="ACL2" s="6"/>
      <c r="ACM2" s="6"/>
      <c r="ACN2" s="6"/>
      <c r="ACO2" s="6"/>
      <c r="ACP2" s="6"/>
      <c r="ACQ2" s="6"/>
      <c r="ACR2" s="6"/>
      <c r="ACS2" s="6"/>
      <c r="ACT2" s="6"/>
      <c r="ACU2" s="6"/>
      <c r="ACV2" s="6"/>
      <c r="ACW2" s="6"/>
      <c r="ACX2" s="6"/>
      <c r="ACY2" s="6"/>
      <c r="ACZ2" s="6"/>
      <c r="ADA2" s="6"/>
      <c r="ADB2" s="6"/>
      <c r="ADC2" s="6"/>
      <c r="ADD2" s="6"/>
      <c r="ADE2" s="6"/>
      <c r="ADF2" s="6"/>
      <c r="ADG2" s="6"/>
      <c r="ADH2" s="6"/>
      <c r="ADI2" s="6"/>
      <c r="ADJ2" s="6"/>
      <c r="ADK2" s="6"/>
      <c r="ADL2" s="6"/>
      <c r="ADM2" s="6"/>
      <c r="ADN2" s="6"/>
      <c r="ADO2" s="6"/>
      <c r="ADP2" s="6"/>
      <c r="ADQ2" s="6"/>
      <c r="ADR2" s="6"/>
      <c r="ADS2" s="6"/>
      <c r="ADT2" s="6"/>
      <c r="ADU2" s="6"/>
      <c r="ADV2" s="6"/>
      <c r="ADW2" s="6"/>
      <c r="ADX2" s="6"/>
      <c r="ADY2" s="6"/>
      <c r="ADZ2" s="6"/>
      <c r="AEA2" s="6"/>
      <c r="AEB2" s="6"/>
      <c r="AEC2" s="6"/>
      <c r="AED2" s="6"/>
      <c r="AEE2" s="6"/>
      <c r="AEF2" s="6"/>
      <c r="AEG2" s="6"/>
      <c r="AEH2" s="6"/>
      <c r="AEI2" s="6"/>
      <c r="AEJ2" s="6"/>
      <c r="AEK2" s="6"/>
      <c r="AEL2" s="6"/>
      <c r="AEM2" s="6"/>
      <c r="AEN2" s="6"/>
      <c r="AEO2" s="6"/>
      <c r="AEP2" s="6"/>
      <c r="AEQ2" s="6"/>
      <c r="AER2" s="6"/>
      <c r="AES2" s="6"/>
      <c r="AET2" s="6"/>
      <c r="AEU2" s="6"/>
      <c r="AEV2" s="6"/>
      <c r="AEW2" s="6"/>
      <c r="AEX2" s="6"/>
      <c r="AEY2" s="6"/>
      <c r="AEZ2" s="6"/>
      <c r="AFA2" s="6"/>
      <c r="AFB2" s="6"/>
      <c r="AFC2" s="6"/>
      <c r="AFD2" s="6"/>
      <c r="AFE2" s="6"/>
      <c r="AFF2" s="6"/>
      <c r="AFG2" s="6"/>
      <c r="AFH2" s="6"/>
      <c r="AFI2" s="6"/>
      <c r="AFJ2" s="6"/>
      <c r="AFK2" s="6"/>
      <c r="AFL2" s="6"/>
      <c r="AFM2" s="6"/>
      <c r="AFN2" s="6"/>
      <c r="AFO2" s="6"/>
      <c r="AFP2" s="6"/>
      <c r="AFQ2" s="6"/>
      <c r="AFR2" s="6"/>
      <c r="AFS2" s="6"/>
      <c r="AFT2" s="6"/>
      <c r="AFU2" s="6"/>
      <c r="AFV2" s="6"/>
      <c r="AFW2" s="6"/>
      <c r="AFX2" s="6"/>
      <c r="AFY2" s="6"/>
      <c r="AFZ2" s="6"/>
      <c r="AGA2" s="6"/>
      <c r="AGB2" s="6"/>
      <c r="AGC2" s="6"/>
      <c r="AGD2" s="6"/>
      <c r="AGE2" s="6"/>
      <c r="AGF2" s="6"/>
      <c r="AGG2" s="6"/>
      <c r="AGH2" s="6"/>
      <c r="AGI2" s="6"/>
      <c r="AGJ2" s="6"/>
      <c r="AGK2" s="6"/>
      <c r="AGL2" s="6"/>
      <c r="AGM2" s="6"/>
      <c r="AGN2" s="6"/>
      <c r="AGO2" s="6"/>
      <c r="AGP2" s="6"/>
      <c r="AGQ2" s="6"/>
      <c r="AGR2" s="6"/>
      <c r="AGS2" s="6"/>
      <c r="AGT2" s="6"/>
      <c r="AGU2" s="6"/>
      <c r="AGV2" s="6"/>
      <c r="AGW2" s="6"/>
      <c r="AGX2" s="6"/>
      <c r="AGY2" s="6"/>
      <c r="AGZ2" s="6"/>
      <c r="AHA2" s="6"/>
      <c r="AHB2" s="6"/>
      <c r="AHC2" s="6"/>
      <c r="AHD2" s="6"/>
      <c r="AHE2" s="6"/>
      <c r="AHF2" s="6"/>
      <c r="AHG2" s="6"/>
      <c r="AHH2" s="6"/>
      <c r="AHI2" s="6"/>
      <c r="AHJ2" s="6"/>
      <c r="AHK2" s="6"/>
      <c r="AHL2" s="6"/>
      <c r="AHM2" s="6"/>
      <c r="AHN2" s="6"/>
      <c r="AHO2" s="6"/>
      <c r="AHP2" s="6"/>
      <c r="AHQ2" s="6"/>
      <c r="AHR2" s="6"/>
      <c r="AHS2" s="6"/>
      <c r="AHT2" s="6"/>
      <c r="AHU2" s="6"/>
      <c r="AHV2" s="6"/>
      <c r="AHW2" s="6"/>
      <c r="AHX2" s="6"/>
      <c r="AHY2" s="6"/>
      <c r="AHZ2" s="6"/>
      <c r="AIA2" s="6"/>
      <c r="AIB2" s="6"/>
      <c r="AIC2" s="6"/>
      <c r="AID2" s="6"/>
      <c r="AIE2" s="6"/>
      <c r="AIF2" s="6"/>
      <c r="AIG2" s="6"/>
      <c r="AIH2" s="6"/>
      <c r="AII2" s="6"/>
      <c r="AIJ2" s="6"/>
      <c r="AIK2" s="6"/>
      <c r="AIL2" s="6"/>
      <c r="AIM2" s="6"/>
      <c r="AIN2" s="6"/>
      <c r="AIO2" s="6"/>
      <c r="AIP2" s="6"/>
      <c r="AIQ2" s="6"/>
      <c r="AIR2" s="6"/>
      <c r="AIS2" s="6"/>
      <c r="AIT2" s="6"/>
      <c r="AIU2" s="6"/>
      <c r="AIV2" s="6"/>
      <c r="AIW2" s="6"/>
      <c r="AIX2" s="6"/>
      <c r="AIY2" s="6"/>
      <c r="AIZ2" s="6"/>
      <c r="AJA2" s="6"/>
      <c r="AJB2" s="6"/>
      <c r="AJC2" s="6"/>
      <c r="AJD2" s="6"/>
      <c r="AJE2" s="6"/>
      <c r="AJF2" s="6"/>
      <c r="AJG2" s="6"/>
      <c r="AJH2" s="6"/>
      <c r="AJI2" s="6"/>
      <c r="AJJ2" s="6"/>
      <c r="AJK2" s="6"/>
      <c r="AJL2" s="6"/>
      <c r="AJM2" s="6"/>
      <c r="AJN2" s="6"/>
      <c r="AJO2" s="6"/>
      <c r="AJP2" s="6"/>
      <c r="AJQ2" s="6"/>
      <c r="AJR2" s="6"/>
      <c r="AJS2" s="6"/>
      <c r="AJT2" s="6"/>
      <c r="AJU2" s="6"/>
      <c r="AJV2" s="6"/>
      <c r="AJW2" s="6"/>
      <c r="AJX2" s="6"/>
      <c r="AJY2" s="6"/>
      <c r="AJZ2" s="6"/>
      <c r="AKA2" s="6"/>
      <c r="AKB2" s="6"/>
      <c r="AKC2" s="6"/>
      <c r="AKD2" s="6"/>
      <c r="AKE2" s="6"/>
      <c r="AKF2" s="6"/>
      <c r="AKG2" s="6"/>
      <c r="AKH2" s="6"/>
      <c r="AKI2" s="6"/>
      <c r="AKJ2" s="6"/>
      <c r="AKK2" s="6"/>
      <c r="AKL2" s="6"/>
      <c r="AKM2" s="6"/>
      <c r="AKN2" s="6"/>
      <c r="AKO2" s="6"/>
      <c r="AKP2" s="6"/>
      <c r="AKQ2" s="6"/>
      <c r="AKR2" s="6"/>
      <c r="AKS2" s="6"/>
      <c r="AKT2" s="6"/>
      <c r="AKU2" s="6"/>
      <c r="AKV2" s="6"/>
      <c r="AKW2" s="6"/>
      <c r="AKX2" s="6"/>
      <c r="AKY2" s="6"/>
      <c r="AKZ2" s="6"/>
      <c r="ALA2" s="6"/>
      <c r="ALB2" s="6"/>
      <c r="ALC2" s="6"/>
      <c r="ALD2" s="6"/>
      <c r="ALE2" s="6"/>
      <c r="ALF2" s="6"/>
      <c r="ALG2" s="6"/>
      <c r="ALH2" s="6"/>
      <c r="ALI2" s="6"/>
      <c r="ALJ2" s="6"/>
      <c r="ALK2" s="6"/>
      <c r="ALL2" s="6"/>
      <c r="ALM2" s="6"/>
      <c r="ALN2" s="6"/>
      <c r="ALO2" s="6"/>
      <c r="ALP2" s="6"/>
      <c r="ALQ2" s="6"/>
      <c r="ALR2" s="6"/>
      <c r="ALS2" s="6"/>
      <c r="ALT2" s="6"/>
      <c r="ALU2" s="6"/>
      <c r="ALV2" s="6"/>
      <c r="ALW2" s="6"/>
      <c r="ALX2" s="6"/>
      <c r="ALY2" s="6"/>
      <c r="ALZ2" s="6"/>
      <c r="AMA2" s="6"/>
      <c r="AMB2" s="6"/>
      <c r="AMC2" s="6"/>
      <c r="AMD2" s="6"/>
      <c r="AME2" s="6"/>
      <c r="AMF2" s="6"/>
      <c r="AMG2" s="6"/>
      <c r="AMH2" s="6"/>
    </row>
    <row r="3" spans="1:1022" x14ac:dyDescent="0.15">
      <c r="A3" s="6" t="s">
        <v>2126</v>
      </c>
      <c r="B3" s="6" t="s">
        <v>150</v>
      </c>
      <c r="C3" s="6" t="str">
        <f>B3&amp;":"&amp;A3</f>
        <v>att_organism:UP000001940</v>
      </c>
      <c r="D3" s="6" t="s">
        <v>2127</v>
      </c>
      <c r="E3" s="6" t="s">
        <v>2128</v>
      </c>
      <c r="F3" s="6" t="s">
        <v>2129</v>
      </c>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c r="JA3" s="6"/>
      <c r="JB3" s="6"/>
      <c r="JC3" s="6"/>
      <c r="JD3" s="6"/>
      <c r="JE3" s="6"/>
      <c r="JF3" s="6"/>
      <c r="JG3" s="6"/>
      <c r="JH3" s="6"/>
      <c r="JI3" s="6"/>
      <c r="JJ3" s="6"/>
      <c r="JK3" s="6"/>
      <c r="JL3" s="6"/>
      <c r="JM3" s="6"/>
      <c r="JN3" s="6"/>
      <c r="JO3" s="6"/>
      <c r="JP3" s="6"/>
      <c r="JQ3" s="6"/>
      <c r="JR3" s="6"/>
      <c r="JS3" s="6"/>
      <c r="JT3" s="6"/>
      <c r="JU3" s="6"/>
      <c r="JV3" s="6"/>
      <c r="JW3" s="6"/>
      <c r="JX3" s="6"/>
      <c r="JY3" s="6"/>
      <c r="JZ3" s="6"/>
      <c r="KA3" s="6"/>
      <c r="KB3" s="6"/>
      <c r="KC3" s="6"/>
      <c r="KD3" s="6"/>
      <c r="KE3" s="6"/>
      <c r="KF3" s="6"/>
      <c r="KG3" s="6"/>
      <c r="KH3" s="6"/>
      <c r="KI3" s="6"/>
      <c r="KJ3" s="6"/>
      <c r="KK3" s="6"/>
      <c r="KL3" s="6"/>
      <c r="KM3" s="6"/>
      <c r="KN3" s="6"/>
      <c r="KO3" s="6"/>
      <c r="KP3" s="6"/>
      <c r="KQ3" s="6"/>
      <c r="KR3" s="6"/>
      <c r="KS3" s="6"/>
      <c r="KT3" s="6"/>
      <c r="KU3" s="6"/>
      <c r="KV3" s="6"/>
      <c r="KW3" s="6"/>
      <c r="KX3" s="6"/>
      <c r="KY3" s="6"/>
      <c r="KZ3" s="6"/>
      <c r="LA3" s="6"/>
      <c r="LB3" s="6"/>
      <c r="LC3" s="6"/>
      <c r="LD3" s="6"/>
      <c r="LE3" s="6"/>
      <c r="LF3" s="6"/>
      <c r="LG3" s="6"/>
      <c r="LH3" s="6"/>
      <c r="LI3" s="6"/>
      <c r="LJ3" s="6"/>
      <c r="LK3" s="6"/>
      <c r="LL3" s="6"/>
      <c r="LM3" s="6"/>
      <c r="LN3" s="6"/>
      <c r="LO3" s="6"/>
      <c r="LP3" s="6"/>
      <c r="LQ3" s="6"/>
      <c r="LR3" s="6"/>
      <c r="LS3" s="6"/>
      <c r="LT3" s="6"/>
      <c r="LU3" s="6"/>
      <c r="LV3" s="6"/>
      <c r="LW3" s="6"/>
      <c r="LX3" s="6"/>
      <c r="LY3" s="6"/>
      <c r="LZ3" s="6"/>
      <c r="MA3" s="6"/>
      <c r="MB3" s="6"/>
      <c r="MC3" s="6"/>
      <c r="MD3" s="6"/>
      <c r="ME3" s="6"/>
      <c r="MF3" s="6"/>
      <c r="MG3" s="6"/>
      <c r="MH3" s="6"/>
      <c r="MI3" s="6"/>
      <c r="MJ3" s="6"/>
      <c r="MK3" s="6"/>
      <c r="ML3" s="6"/>
      <c r="MM3" s="6"/>
      <c r="MN3" s="6"/>
      <c r="MO3" s="6"/>
      <c r="MP3" s="6"/>
      <c r="MQ3" s="6"/>
      <c r="MR3" s="6"/>
      <c r="MS3" s="6"/>
      <c r="MT3" s="6"/>
      <c r="MU3" s="6"/>
      <c r="MV3" s="6"/>
      <c r="MW3" s="6"/>
      <c r="MX3" s="6"/>
      <c r="MY3" s="6"/>
      <c r="MZ3" s="6"/>
      <c r="NA3" s="6"/>
      <c r="NB3" s="6"/>
      <c r="NC3" s="6"/>
      <c r="ND3" s="6"/>
      <c r="NE3" s="6"/>
      <c r="NF3" s="6"/>
      <c r="NG3" s="6"/>
      <c r="NH3" s="6"/>
      <c r="NI3" s="6"/>
      <c r="NJ3" s="6"/>
      <c r="NK3" s="6"/>
      <c r="NL3" s="6"/>
      <c r="NM3" s="6"/>
      <c r="NN3" s="6"/>
      <c r="NO3" s="6"/>
      <c r="NP3" s="6"/>
      <c r="NQ3" s="6"/>
      <c r="NR3" s="6"/>
      <c r="NS3" s="6"/>
      <c r="NT3" s="6"/>
      <c r="NU3" s="6"/>
      <c r="NV3" s="6"/>
      <c r="NW3" s="6"/>
      <c r="NX3" s="6"/>
      <c r="NY3" s="6"/>
      <c r="NZ3" s="6"/>
      <c r="OA3" s="6"/>
      <c r="OB3" s="6"/>
      <c r="OC3" s="6"/>
      <c r="OD3" s="6"/>
      <c r="OE3" s="6"/>
      <c r="OF3" s="6"/>
      <c r="OG3" s="6"/>
      <c r="OH3" s="6"/>
      <c r="OI3" s="6"/>
      <c r="OJ3" s="6"/>
      <c r="OK3" s="6"/>
      <c r="OL3" s="6"/>
      <c r="OM3" s="6"/>
      <c r="ON3" s="6"/>
      <c r="OO3" s="6"/>
      <c r="OP3" s="6"/>
      <c r="OQ3" s="6"/>
      <c r="OR3" s="6"/>
      <c r="OS3" s="6"/>
      <c r="OT3" s="6"/>
      <c r="OU3" s="6"/>
      <c r="OV3" s="6"/>
      <c r="OW3" s="6"/>
      <c r="OX3" s="6"/>
      <c r="OY3" s="6"/>
      <c r="OZ3" s="6"/>
      <c r="PA3" s="6"/>
      <c r="PB3" s="6"/>
      <c r="PC3" s="6"/>
      <c r="PD3" s="6"/>
      <c r="PE3" s="6"/>
      <c r="PF3" s="6"/>
      <c r="PG3" s="6"/>
      <c r="PH3" s="6"/>
      <c r="PI3" s="6"/>
      <c r="PJ3" s="6"/>
      <c r="PK3" s="6"/>
      <c r="PL3" s="6"/>
      <c r="PM3" s="6"/>
      <c r="PN3" s="6"/>
      <c r="PO3" s="6"/>
      <c r="PP3" s="6"/>
      <c r="PQ3" s="6"/>
      <c r="PR3" s="6"/>
      <c r="PS3" s="6"/>
      <c r="PT3" s="6"/>
      <c r="PU3" s="6"/>
      <c r="PV3" s="6"/>
      <c r="PW3" s="6"/>
      <c r="PX3" s="6"/>
      <c r="PY3" s="6"/>
      <c r="PZ3" s="6"/>
      <c r="QA3" s="6"/>
      <c r="QB3" s="6"/>
      <c r="QC3" s="6"/>
      <c r="QD3" s="6"/>
      <c r="QE3" s="6"/>
      <c r="QF3" s="6"/>
      <c r="QG3" s="6"/>
      <c r="QH3" s="6"/>
      <c r="QI3" s="6"/>
      <c r="QJ3" s="6"/>
      <c r="QK3" s="6"/>
      <c r="QL3" s="6"/>
      <c r="QM3" s="6"/>
      <c r="QN3" s="6"/>
      <c r="QO3" s="6"/>
      <c r="QP3" s="6"/>
      <c r="QQ3" s="6"/>
      <c r="QR3" s="6"/>
      <c r="QS3" s="6"/>
      <c r="QT3" s="6"/>
      <c r="QU3" s="6"/>
      <c r="QV3" s="6"/>
      <c r="QW3" s="6"/>
      <c r="QX3" s="6"/>
      <c r="QY3" s="6"/>
      <c r="QZ3" s="6"/>
      <c r="RA3" s="6"/>
      <c r="RB3" s="6"/>
      <c r="RC3" s="6"/>
      <c r="RD3" s="6"/>
      <c r="RE3" s="6"/>
      <c r="RF3" s="6"/>
      <c r="RG3" s="6"/>
      <c r="RH3" s="6"/>
      <c r="RI3" s="6"/>
      <c r="RJ3" s="6"/>
      <c r="RK3" s="6"/>
      <c r="RL3" s="6"/>
      <c r="RM3" s="6"/>
      <c r="RN3" s="6"/>
      <c r="RO3" s="6"/>
      <c r="RP3" s="6"/>
      <c r="RQ3" s="6"/>
      <c r="RR3" s="6"/>
      <c r="RS3" s="6"/>
      <c r="RT3" s="6"/>
      <c r="RU3" s="6"/>
      <c r="RV3" s="6"/>
      <c r="RW3" s="6"/>
      <c r="RX3" s="6"/>
      <c r="RY3" s="6"/>
      <c r="RZ3" s="6"/>
      <c r="SA3" s="6"/>
      <c r="SB3" s="6"/>
      <c r="SC3" s="6"/>
      <c r="SD3" s="6"/>
      <c r="SE3" s="6"/>
      <c r="SF3" s="6"/>
      <c r="SG3" s="6"/>
      <c r="SH3" s="6"/>
      <c r="SI3" s="6"/>
      <c r="SJ3" s="6"/>
      <c r="SK3" s="6"/>
      <c r="SL3" s="6"/>
      <c r="SM3" s="6"/>
      <c r="SN3" s="6"/>
      <c r="SO3" s="6"/>
      <c r="SP3" s="6"/>
      <c r="SQ3" s="6"/>
      <c r="SR3" s="6"/>
      <c r="SS3" s="6"/>
      <c r="ST3" s="6"/>
      <c r="SU3" s="6"/>
      <c r="SV3" s="6"/>
      <c r="SW3" s="6"/>
      <c r="SX3" s="6"/>
      <c r="SY3" s="6"/>
      <c r="SZ3" s="6"/>
      <c r="TA3" s="6"/>
      <c r="TB3" s="6"/>
      <c r="TC3" s="6"/>
      <c r="TD3" s="6"/>
      <c r="TE3" s="6"/>
      <c r="TF3" s="6"/>
      <c r="TG3" s="6"/>
      <c r="TH3" s="6"/>
      <c r="TI3" s="6"/>
      <c r="TJ3" s="6"/>
      <c r="TK3" s="6"/>
      <c r="TL3" s="6"/>
      <c r="TM3" s="6"/>
      <c r="TN3" s="6"/>
      <c r="TO3" s="6"/>
      <c r="TP3" s="6"/>
      <c r="TQ3" s="6"/>
      <c r="TR3" s="6"/>
      <c r="TS3" s="6"/>
      <c r="TT3" s="6"/>
      <c r="TU3" s="6"/>
      <c r="TV3" s="6"/>
      <c r="TW3" s="6"/>
      <c r="TX3" s="6"/>
      <c r="TY3" s="6"/>
      <c r="TZ3" s="6"/>
      <c r="UA3" s="6"/>
      <c r="UB3" s="6"/>
      <c r="UC3" s="6"/>
      <c r="UD3" s="6"/>
      <c r="UE3" s="6"/>
      <c r="UF3" s="6"/>
      <c r="UG3" s="6"/>
      <c r="UH3" s="6"/>
      <c r="UI3" s="6"/>
      <c r="UJ3" s="6"/>
      <c r="UK3" s="6"/>
      <c r="UL3" s="6"/>
      <c r="UM3" s="6"/>
      <c r="UN3" s="6"/>
      <c r="UO3" s="6"/>
      <c r="UP3" s="6"/>
      <c r="UQ3" s="6"/>
      <c r="UR3" s="6"/>
      <c r="US3" s="6"/>
      <c r="UT3" s="6"/>
      <c r="UU3" s="6"/>
      <c r="UV3" s="6"/>
      <c r="UW3" s="6"/>
      <c r="UX3" s="6"/>
      <c r="UY3" s="6"/>
      <c r="UZ3" s="6"/>
      <c r="VA3" s="6"/>
      <c r="VB3" s="6"/>
      <c r="VC3" s="6"/>
      <c r="VD3" s="6"/>
      <c r="VE3" s="6"/>
      <c r="VF3" s="6"/>
      <c r="VG3" s="6"/>
      <c r="VH3" s="6"/>
      <c r="VI3" s="6"/>
      <c r="VJ3" s="6"/>
      <c r="VK3" s="6"/>
      <c r="VL3" s="6"/>
      <c r="VM3" s="6"/>
      <c r="VN3" s="6"/>
      <c r="VO3" s="6"/>
      <c r="VP3" s="6"/>
      <c r="VQ3" s="6"/>
      <c r="VR3" s="6"/>
      <c r="VS3" s="6"/>
      <c r="VT3" s="6"/>
      <c r="VU3" s="6"/>
      <c r="VV3" s="6"/>
      <c r="VW3" s="6"/>
      <c r="VX3" s="6"/>
      <c r="VY3" s="6"/>
      <c r="VZ3" s="6"/>
      <c r="WA3" s="6"/>
      <c r="WB3" s="6"/>
      <c r="WC3" s="6"/>
      <c r="WD3" s="6"/>
      <c r="WE3" s="6"/>
      <c r="WF3" s="6"/>
      <c r="WG3" s="6"/>
      <c r="WH3" s="6"/>
      <c r="WI3" s="6"/>
      <c r="WJ3" s="6"/>
      <c r="WK3" s="6"/>
      <c r="WL3" s="6"/>
      <c r="WM3" s="6"/>
      <c r="WN3" s="6"/>
      <c r="WO3" s="6"/>
      <c r="WP3" s="6"/>
      <c r="WQ3" s="6"/>
      <c r="WR3" s="6"/>
      <c r="WS3" s="6"/>
      <c r="WT3" s="6"/>
      <c r="WU3" s="6"/>
      <c r="WV3" s="6"/>
      <c r="WW3" s="6"/>
      <c r="WX3" s="6"/>
      <c r="WY3" s="6"/>
      <c r="WZ3" s="6"/>
      <c r="XA3" s="6"/>
      <c r="XB3" s="6"/>
      <c r="XC3" s="6"/>
      <c r="XD3" s="6"/>
      <c r="XE3" s="6"/>
      <c r="XF3" s="6"/>
      <c r="XG3" s="6"/>
      <c r="XH3" s="6"/>
      <c r="XI3" s="6"/>
      <c r="XJ3" s="6"/>
      <c r="XK3" s="6"/>
      <c r="XL3" s="6"/>
      <c r="XM3" s="6"/>
      <c r="XN3" s="6"/>
      <c r="XO3" s="6"/>
      <c r="XP3" s="6"/>
      <c r="XQ3" s="6"/>
      <c r="XR3" s="6"/>
      <c r="XS3" s="6"/>
      <c r="XT3" s="6"/>
      <c r="XU3" s="6"/>
      <c r="XV3" s="6"/>
      <c r="XW3" s="6"/>
      <c r="XX3" s="6"/>
      <c r="XY3" s="6"/>
      <c r="XZ3" s="6"/>
      <c r="YA3" s="6"/>
      <c r="YB3" s="6"/>
      <c r="YC3" s="6"/>
      <c r="YD3" s="6"/>
      <c r="YE3" s="6"/>
      <c r="YF3" s="6"/>
      <c r="YG3" s="6"/>
      <c r="YH3" s="6"/>
      <c r="YI3" s="6"/>
      <c r="YJ3" s="6"/>
      <c r="YK3" s="6"/>
      <c r="YL3" s="6"/>
      <c r="YM3" s="6"/>
      <c r="YN3" s="6"/>
      <c r="YO3" s="6"/>
      <c r="YP3" s="6"/>
      <c r="YQ3" s="6"/>
      <c r="YR3" s="6"/>
      <c r="YS3" s="6"/>
      <c r="YT3" s="6"/>
      <c r="YU3" s="6"/>
      <c r="YV3" s="6"/>
      <c r="YW3" s="6"/>
      <c r="YX3" s="6"/>
      <c r="YY3" s="6"/>
      <c r="YZ3" s="6"/>
      <c r="ZA3" s="6"/>
      <c r="ZB3" s="6"/>
      <c r="ZC3" s="6"/>
      <c r="ZD3" s="6"/>
      <c r="ZE3" s="6"/>
      <c r="ZF3" s="6"/>
      <c r="ZG3" s="6"/>
      <c r="ZH3" s="6"/>
      <c r="ZI3" s="6"/>
      <c r="ZJ3" s="6"/>
      <c r="ZK3" s="6"/>
      <c r="ZL3" s="6"/>
      <c r="ZM3" s="6"/>
      <c r="ZN3" s="6"/>
      <c r="ZO3" s="6"/>
      <c r="ZP3" s="6"/>
      <c r="ZQ3" s="6"/>
      <c r="ZR3" s="6"/>
      <c r="ZS3" s="6"/>
      <c r="ZT3" s="6"/>
      <c r="ZU3" s="6"/>
      <c r="ZV3" s="6"/>
      <c r="ZW3" s="6"/>
      <c r="ZX3" s="6"/>
      <c r="ZY3" s="6"/>
      <c r="ZZ3" s="6"/>
      <c r="AAA3" s="6"/>
      <c r="AAB3" s="6"/>
      <c r="AAC3" s="6"/>
      <c r="AAD3" s="6"/>
      <c r="AAE3" s="6"/>
      <c r="AAF3" s="6"/>
      <c r="AAG3" s="6"/>
      <c r="AAH3" s="6"/>
      <c r="AAI3" s="6"/>
      <c r="AAJ3" s="6"/>
      <c r="AAK3" s="6"/>
      <c r="AAL3" s="6"/>
      <c r="AAM3" s="6"/>
      <c r="AAN3" s="6"/>
      <c r="AAO3" s="6"/>
      <c r="AAP3" s="6"/>
      <c r="AAQ3" s="6"/>
      <c r="AAR3" s="6"/>
      <c r="AAS3" s="6"/>
      <c r="AAT3" s="6"/>
      <c r="AAU3" s="6"/>
      <c r="AAV3" s="6"/>
      <c r="AAW3" s="6"/>
      <c r="AAX3" s="6"/>
      <c r="AAY3" s="6"/>
      <c r="AAZ3" s="6"/>
      <c r="ABA3" s="6"/>
      <c r="ABB3" s="6"/>
      <c r="ABC3" s="6"/>
      <c r="ABD3" s="6"/>
      <c r="ABE3" s="6"/>
      <c r="ABF3" s="6"/>
      <c r="ABG3" s="6"/>
      <c r="ABH3" s="6"/>
      <c r="ABI3" s="6"/>
      <c r="ABJ3" s="6"/>
      <c r="ABK3" s="6"/>
      <c r="ABL3" s="6"/>
      <c r="ABM3" s="6"/>
      <c r="ABN3" s="6"/>
      <c r="ABO3" s="6"/>
      <c r="ABP3" s="6"/>
      <c r="ABQ3" s="6"/>
      <c r="ABR3" s="6"/>
      <c r="ABS3" s="6"/>
      <c r="ABT3" s="6"/>
      <c r="ABU3" s="6"/>
      <c r="ABV3" s="6"/>
      <c r="ABW3" s="6"/>
      <c r="ABX3" s="6"/>
      <c r="ABY3" s="6"/>
      <c r="ABZ3" s="6"/>
      <c r="ACA3" s="6"/>
      <c r="ACB3" s="6"/>
      <c r="ACC3" s="6"/>
      <c r="ACD3" s="6"/>
      <c r="ACE3" s="6"/>
      <c r="ACF3" s="6"/>
      <c r="ACG3" s="6"/>
      <c r="ACH3" s="6"/>
      <c r="ACI3" s="6"/>
      <c r="ACJ3" s="6"/>
      <c r="ACK3" s="6"/>
      <c r="ACL3" s="6"/>
      <c r="ACM3" s="6"/>
      <c r="ACN3" s="6"/>
      <c r="ACO3" s="6"/>
      <c r="ACP3" s="6"/>
      <c r="ACQ3" s="6"/>
      <c r="ACR3" s="6"/>
      <c r="ACS3" s="6"/>
      <c r="ACT3" s="6"/>
      <c r="ACU3" s="6"/>
      <c r="ACV3" s="6"/>
      <c r="ACW3" s="6"/>
      <c r="ACX3" s="6"/>
      <c r="ACY3" s="6"/>
      <c r="ACZ3" s="6"/>
      <c r="ADA3" s="6"/>
      <c r="ADB3" s="6"/>
      <c r="ADC3" s="6"/>
      <c r="ADD3" s="6"/>
      <c r="ADE3" s="6"/>
      <c r="ADF3" s="6"/>
      <c r="ADG3" s="6"/>
      <c r="ADH3" s="6"/>
      <c r="ADI3" s="6"/>
      <c r="ADJ3" s="6"/>
      <c r="ADK3" s="6"/>
      <c r="ADL3" s="6"/>
      <c r="ADM3" s="6"/>
      <c r="ADN3" s="6"/>
      <c r="ADO3" s="6"/>
      <c r="ADP3" s="6"/>
      <c r="ADQ3" s="6"/>
      <c r="ADR3" s="6"/>
      <c r="ADS3" s="6"/>
      <c r="ADT3" s="6"/>
      <c r="ADU3" s="6"/>
      <c r="ADV3" s="6"/>
      <c r="ADW3" s="6"/>
      <c r="ADX3" s="6"/>
      <c r="ADY3" s="6"/>
      <c r="ADZ3" s="6"/>
      <c r="AEA3" s="6"/>
      <c r="AEB3" s="6"/>
      <c r="AEC3" s="6"/>
      <c r="AED3" s="6"/>
      <c r="AEE3" s="6"/>
      <c r="AEF3" s="6"/>
      <c r="AEG3" s="6"/>
      <c r="AEH3" s="6"/>
      <c r="AEI3" s="6"/>
      <c r="AEJ3" s="6"/>
      <c r="AEK3" s="6"/>
      <c r="AEL3" s="6"/>
      <c r="AEM3" s="6"/>
      <c r="AEN3" s="6"/>
      <c r="AEO3" s="6"/>
      <c r="AEP3" s="6"/>
      <c r="AEQ3" s="6"/>
      <c r="AER3" s="6"/>
      <c r="AES3" s="6"/>
      <c r="AET3" s="6"/>
      <c r="AEU3" s="6"/>
      <c r="AEV3" s="6"/>
      <c r="AEW3" s="6"/>
      <c r="AEX3" s="6"/>
      <c r="AEY3" s="6"/>
      <c r="AEZ3" s="6"/>
      <c r="AFA3" s="6"/>
      <c r="AFB3" s="6"/>
      <c r="AFC3" s="6"/>
      <c r="AFD3" s="6"/>
      <c r="AFE3" s="6"/>
      <c r="AFF3" s="6"/>
      <c r="AFG3" s="6"/>
      <c r="AFH3" s="6"/>
      <c r="AFI3" s="6"/>
      <c r="AFJ3" s="6"/>
      <c r="AFK3" s="6"/>
      <c r="AFL3" s="6"/>
      <c r="AFM3" s="6"/>
      <c r="AFN3" s="6"/>
      <c r="AFO3" s="6"/>
      <c r="AFP3" s="6"/>
      <c r="AFQ3" s="6"/>
      <c r="AFR3" s="6"/>
      <c r="AFS3" s="6"/>
      <c r="AFT3" s="6"/>
      <c r="AFU3" s="6"/>
      <c r="AFV3" s="6"/>
      <c r="AFW3" s="6"/>
      <c r="AFX3" s="6"/>
      <c r="AFY3" s="6"/>
      <c r="AFZ3" s="6"/>
      <c r="AGA3" s="6"/>
      <c r="AGB3" s="6"/>
      <c r="AGC3" s="6"/>
      <c r="AGD3" s="6"/>
      <c r="AGE3" s="6"/>
      <c r="AGF3" s="6"/>
      <c r="AGG3" s="6"/>
      <c r="AGH3" s="6"/>
      <c r="AGI3" s="6"/>
      <c r="AGJ3" s="6"/>
      <c r="AGK3" s="6"/>
      <c r="AGL3" s="6"/>
      <c r="AGM3" s="6"/>
      <c r="AGN3" s="6"/>
      <c r="AGO3" s="6"/>
      <c r="AGP3" s="6"/>
      <c r="AGQ3" s="6"/>
      <c r="AGR3" s="6"/>
      <c r="AGS3" s="6"/>
      <c r="AGT3" s="6"/>
      <c r="AGU3" s="6"/>
      <c r="AGV3" s="6"/>
      <c r="AGW3" s="6"/>
      <c r="AGX3" s="6"/>
      <c r="AGY3" s="6"/>
      <c r="AGZ3" s="6"/>
      <c r="AHA3" s="6"/>
      <c r="AHB3" s="6"/>
      <c r="AHC3" s="6"/>
      <c r="AHD3" s="6"/>
      <c r="AHE3" s="6"/>
      <c r="AHF3" s="6"/>
      <c r="AHG3" s="6"/>
      <c r="AHH3" s="6"/>
      <c r="AHI3" s="6"/>
      <c r="AHJ3" s="6"/>
      <c r="AHK3" s="6"/>
      <c r="AHL3" s="6"/>
      <c r="AHM3" s="6"/>
      <c r="AHN3" s="6"/>
      <c r="AHO3" s="6"/>
      <c r="AHP3" s="6"/>
      <c r="AHQ3" s="6"/>
      <c r="AHR3" s="6"/>
      <c r="AHS3" s="6"/>
      <c r="AHT3" s="6"/>
      <c r="AHU3" s="6"/>
      <c r="AHV3" s="6"/>
      <c r="AHW3" s="6"/>
      <c r="AHX3" s="6"/>
      <c r="AHY3" s="6"/>
      <c r="AHZ3" s="6"/>
      <c r="AIA3" s="6"/>
      <c r="AIB3" s="6"/>
      <c r="AIC3" s="6"/>
      <c r="AID3" s="6"/>
      <c r="AIE3" s="6"/>
      <c r="AIF3" s="6"/>
      <c r="AIG3" s="6"/>
      <c r="AIH3" s="6"/>
      <c r="AII3" s="6"/>
      <c r="AIJ3" s="6"/>
      <c r="AIK3" s="6"/>
      <c r="AIL3" s="6"/>
      <c r="AIM3" s="6"/>
      <c r="AIN3" s="6"/>
      <c r="AIO3" s="6"/>
      <c r="AIP3" s="6"/>
      <c r="AIQ3" s="6"/>
      <c r="AIR3" s="6"/>
      <c r="AIS3" s="6"/>
      <c r="AIT3" s="6"/>
      <c r="AIU3" s="6"/>
      <c r="AIV3" s="6"/>
      <c r="AIW3" s="6"/>
      <c r="AIX3" s="6"/>
      <c r="AIY3" s="6"/>
      <c r="AIZ3" s="6"/>
      <c r="AJA3" s="6"/>
      <c r="AJB3" s="6"/>
      <c r="AJC3" s="6"/>
      <c r="AJD3" s="6"/>
      <c r="AJE3" s="6"/>
      <c r="AJF3" s="6"/>
      <c r="AJG3" s="6"/>
      <c r="AJH3" s="6"/>
      <c r="AJI3" s="6"/>
      <c r="AJJ3" s="6"/>
      <c r="AJK3" s="6"/>
      <c r="AJL3" s="6"/>
      <c r="AJM3" s="6"/>
      <c r="AJN3" s="6"/>
      <c r="AJO3" s="6"/>
      <c r="AJP3" s="6"/>
      <c r="AJQ3" s="6"/>
      <c r="AJR3" s="6"/>
      <c r="AJS3" s="6"/>
      <c r="AJT3" s="6"/>
      <c r="AJU3" s="6"/>
      <c r="AJV3" s="6"/>
      <c r="AJW3" s="6"/>
      <c r="AJX3" s="6"/>
      <c r="AJY3" s="6"/>
      <c r="AJZ3" s="6"/>
      <c r="AKA3" s="6"/>
      <c r="AKB3" s="6"/>
      <c r="AKC3" s="6"/>
      <c r="AKD3" s="6"/>
      <c r="AKE3" s="6"/>
      <c r="AKF3" s="6"/>
      <c r="AKG3" s="6"/>
      <c r="AKH3" s="6"/>
      <c r="AKI3" s="6"/>
      <c r="AKJ3" s="6"/>
      <c r="AKK3" s="6"/>
      <c r="AKL3" s="6"/>
      <c r="AKM3" s="6"/>
      <c r="AKN3" s="6"/>
      <c r="AKO3" s="6"/>
      <c r="AKP3" s="6"/>
      <c r="AKQ3" s="6"/>
      <c r="AKR3" s="6"/>
      <c r="AKS3" s="6"/>
      <c r="AKT3" s="6"/>
      <c r="AKU3" s="6"/>
      <c r="AKV3" s="6"/>
      <c r="AKW3" s="6"/>
      <c r="AKX3" s="6"/>
      <c r="AKY3" s="6"/>
      <c r="AKZ3" s="6"/>
      <c r="ALA3" s="6"/>
      <c r="ALB3" s="6"/>
      <c r="ALC3" s="6"/>
      <c r="ALD3" s="6"/>
      <c r="ALE3" s="6"/>
      <c r="ALF3" s="6"/>
      <c r="ALG3" s="6"/>
      <c r="ALH3" s="6"/>
      <c r="ALI3" s="6"/>
      <c r="ALJ3" s="6"/>
      <c r="ALK3" s="6"/>
      <c r="ALL3" s="6"/>
      <c r="ALM3" s="6"/>
      <c r="ALN3" s="6"/>
      <c r="ALO3" s="6"/>
      <c r="ALP3" s="6"/>
      <c r="ALQ3" s="6"/>
      <c r="ALR3" s="6"/>
      <c r="ALS3" s="6"/>
      <c r="ALT3" s="6"/>
      <c r="ALU3" s="6"/>
      <c r="ALV3" s="6"/>
      <c r="ALW3" s="6"/>
      <c r="ALX3" s="6"/>
      <c r="ALY3" s="6"/>
      <c r="ALZ3" s="6"/>
      <c r="AMA3" s="6"/>
      <c r="AMB3" s="6"/>
      <c r="AMC3" s="6"/>
      <c r="AMD3" s="6"/>
      <c r="AME3" s="6"/>
      <c r="AMF3" s="6"/>
      <c r="AMG3" s="6"/>
      <c r="AMH3" s="6"/>
    </row>
    <row r="4" spans="1:1022" x14ac:dyDescent="0.15">
      <c r="A4" s="6" t="s">
        <v>2130</v>
      </c>
      <c r="B4" s="6" t="s">
        <v>150</v>
      </c>
      <c r="C4" s="6" t="str">
        <f>B4&amp;":"&amp;A4</f>
        <v>att_organism:UP000002311</v>
      </c>
      <c r="D4" s="6" t="s">
        <v>2131</v>
      </c>
      <c r="E4" s="6" t="s">
        <v>2132</v>
      </c>
      <c r="F4" s="6" t="s">
        <v>2133</v>
      </c>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c r="EY4" s="6"/>
      <c r="EZ4" s="6"/>
      <c r="FA4" s="6"/>
      <c r="FB4" s="6"/>
      <c r="FC4" s="6"/>
      <c r="FD4" s="6"/>
      <c r="FE4" s="6"/>
      <c r="FF4" s="6"/>
      <c r="FG4" s="6"/>
      <c r="FH4" s="6"/>
      <c r="FI4" s="6"/>
      <c r="FJ4" s="6"/>
      <c r="FK4" s="6"/>
      <c r="FL4" s="6"/>
      <c r="FM4" s="6"/>
      <c r="FN4" s="6"/>
      <c r="FO4" s="6"/>
      <c r="FP4" s="6"/>
      <c r="FQ4" s="6"/>
      <c r="FR4" s="6"/>
      <c r="FS4" s="6"/>
      <c r="FT4" s="6"/>
      <c r="FU4" s="6"/>
      <c r="FV4" s="6"/>
      <c r="FW4" s="6"/>
      <c r="FX4" s="6"/>
      <c r="FY4" s="6"/>
      <c r="FZ4" s="6"/>
      <c r="GA4" s="6"/>
      <c r="GB4" s="6"/>
      <c r="GC4" s="6"/>
      <c r="GD4" s="6"/>
      <c r="GE4" s="6"/>
      <c r="GF4" s="6"/>
      <c r="GG4" s="6"/>
      <c r="GH4" s="6"/>
      <c r="GI4" s="6"/>
      <c r="GJ4" s="6"/>
      <c r="GK4" s="6"/>
      <c r="GL4" s="6"/>
      <c r="GM4" s="6"/>
      <c r="GN4" s="6"/>
      <c r="GO4" s="6"/>
      <c r="GP4" s="6"/>
      <c r="GQ4" s="6"/>
      <c r="GR4" s="6"/>
      <c r="GS4" s="6"/>
      <c r="GT4" s="6"/>
      <c r="GU4" s="6"/>
      <c r="GV4" s="6"/>
      <c r="GW4" s="6"/>
      <c r="GX4" s="6"/>
      <c r="GY4" s="6"/>
      <c r="GZ4" s="6"/>
      <c r="HA4" s="6"/>
      <c r="HB4" s="6"/>
      <c r="HC4" s="6"/>
      <c r="HD4" s="6"/>
      <c r="HE4" s="6"/>
      <c r="HF4" s="6"/>
      <c r="HG4" s="6"/>
      <c r="HH4" s="6"/>
      <c r="HI4" s="6"/>
      <c r="HJ4" s="6"/>
      <c r="HK4" s="6"/>
      <c r="HL4" s="6"/>
      <c r="HM4" s="6"/>
      <c r="HN4" s="6"/>
      <c r="HO4" s="6"/>
      <c r="HP4" s="6"/>
      <c r="HQ4" s="6"/>
      <c r="HR4" s="6"/>
      <c r="HS4" s="6"/>
      <c r="HT4" s="6"/>
      <c r="HU4" s="6"/>
      <c r="HV4" s="6"/>
      <c r="HW4" s="6"/>
      <c r="HX4" s="6"/>
      <c r="HY4" s="6"/>
      <c r="HZ4" s="6"/>
      <c r="IA4" s="6"/>
      <c r="IB4" s="6"/>
      <c r="IC4" s="6"/>
      <c r="ID4" s="6"/>
      <c r="IE4" s="6"/>
      <c r="IF4" s="6"/>
      <c r="IG4" s="6"/>
      <c r="IH4" s="6"/>
      <c r="II4" s="6"/>
      <c r="IJ4" s="6"/>
      <c r="IK4" s="6"/>
      <c r="IL4" s="6"/>
      <c r="IM4" s="6"/>
      <c r="IN4" s="6"/>
      <c r="IO4" s="6"/>
      <c r="IP4" s="6"/>
      <c r="IQ4" s="6"/>
      <c r="IR4" s="6"/>
      <c r="IS4" s="6"/>
      <c r="IT4" s="6"/>
      <c r="IU4" s="6"/>
      <c r="IV4" s="6"/>
      <c r="IW4" s="6"/>
      <c r="IX4" s="6"/>
      <c r="IY4" s="6"/>
      <c r="IZ4" s="6"/>
      <c r="JA4" s="6"/>
      <c r="JB4" s="6"/>
      <c r="JC4" s="6"/>
      <c r="JD4" s="6"/>
      <c r="JE4" s="6"/>
      <c r="JF4" s="6"/>
      <c r="JG4" s="6"/>
      <c r="JH4" s="6"/>
      <c r="JI4" s="6"/>
      <c r="JJ4" s="6"/>
      <c r="JK4" s="6"/>
      <c r="JL4" s="6"/>
      <c r="JM4" s="6"/>
      <c r="JN4" s="6"/>
      <c r="JO4" s="6"/>
      <c r="JP4" s="6"/>
      <c r="JQ4" s="6"/>
      <c r="JR4" s="6"/>
      <c r="JS4" s="6"/>
      <c r="JT4" s="6"/>
      <c r="JU4" s="6"/>
      <c r="JV4" s="6"/>
      <c r="JW4" s="6"/>
      <c r="JX4" s="6"/>
      <c r="JY4" s="6"/>
      <c r="JZ4" s="6"/>
      <c r="KA4" s="6"/>
      <c r="KB4" s="6"/>
      <c r="KC4" s="6"/>
      <c r="KD4" s="6"/>
      <c r="KE4" s="6"/>
      <c r="KF4" s="6"/>
      <c r="KG4" s="6"/>
      <c r="KH4" s="6"/>
      <c r="KI4" s="6"/>
      <c r="KJ4" s="6"/>
      <c r="KK4" s="6"/>
      <c r="KL4" s="6"/>
      <c r="KM4" s="6"/>
      <c r="KN4" s="6"/>
      <c r="KO4" s="6"/>
      <c r="KP4" s="6"/>
      <c r="KQ4" s="6"/>
      <c r="KR4" s="6"/>
      <c r="KS4" s="6"/>
      <c r="KT4" s="6"/>
      <c r="KU4" s="6"/>
      <c r="KV4" s="6"/>
      <c r="KW4" s="6"/>
      <c r="KX4" s="6"/>
      <c r="KY4" s="6"/>
      <c r="KZ4" s="6"/>
      <c r="LA4" s="6"/>
      <c r="LB4" s="6"/>
      <c r="LC4" s="6"/>
      <c r="LD4" s="6"/>
      <c r="LE4" s="6"/>
      <c r="LF4" s="6"/>
      <c r="LG4" s="6"/>
      <c r="LH4" s="6"/>
      <c r="LI4" s="6"/>
      <c r="LJ4" s="6"/>
      <c r="LK4" s="6"/>
      <c r="LL4" s="6"/>
      <c r="LM4" s="6"/>
      <c r="LN4" s="6"/>
      <c r="LO4" s="6"/>
      <c r="LP4" s="6"/>
      <c r="LQ4" s="6"/>
      <c r="LR4" s="6"/>
      <c r="LS4" s="6"/>
      <c r="LT4" s="6"/>
      <c r="LU4" s="6"/>
      <c r="LV4" s="6"/>
      <c r="LW4" s="6"/>
      <c r="LX4" s="6"/>
      <c r="LY4" s="6"/>
      <c r="LZ4" s="6"/>
      <c r="MA4" s="6"/>
      <c r="MB4" s="6"/>
      <c r="MC4" s="6"/>
      <c r="MD4" s="6"/>
      <c r="ME4" s="6"/>
      <c r="MF4" s="6"/>
      <c r="MG4" s="6"/>
      <c r="MH4" s="6"/>
      <c r="MI4" s="6"/>
      <c r="MJ4" s="6"/>
      <c r="MK4" s="6"/>
      <c r="ML4" s="6"/>
      <c r="MM4" s="6"/>
      <c r="MN4" s="6"/>
      <c r="MO4" s="6"/>
      <c r="MP4" s="6"/>
      <c r="MQ4" s="6"/>
      <c r="MR4" s="6"/>
      <c r="MS4" s="6"/>
      <c r="MT4" s="6"/>
      <c r="MU4" s="6"/>
      <c r="MV4" s="6"/>
      <c r="MW4" s="6"/>
      <c r="MX4" s="6"/>
      <c r="MY4" s="6"/>
      <c r="MZ4" s="6"/>
      <c r="NA4" s="6"/>
      <c r="NB4" s="6"/>
      <c r="NC4" s="6"/>
      <c r="ND4" s="6"/>
      <c r="NE4" s="6"/>
      <c r="NF4" s="6"/>
      <c r="NG4" s="6"/>
      <c r="NH4" s="6"/>
      <c r="NI4" s="6"/>
      <c r="NJ4" s="6"/>
      <c r="NK4" s="6"/>
      <c r="NL4" s="6"/>
      <c r="NM4" s="6"/>
      <c r="NN4" s="6"/>
      <c r="NO4" s="6"/>
      <c r="NP4" s="6"/>
      <c r="NQ4" s="6"/>
      <c r="NR4" s="6"/>
      <c r="NS4" s="6"/>
      <c r="NT4" s="6"/>
      <c r="NU4" s="6"/>
      <c r="NV4" s="6"/>
      <c r="NW4" s="6"/>
      <c r="NX4" s="6"/>
      <c r="NY4" s="6"/>
      <c r="NZ4" s="6"/>
      <c r="OA4" s="6"/>
      <c r="OB4" s="6"/>
      <c r="OC4" s="6"/>
      <c r="OD4" s="6"/>
      <c r="OE4" s="6"/>
      <c r="OF4" s="6"/>
      <c r="OG4" s="6"/>
      <c r="OH4" s="6"/>
      <c r="OI4" s="6"/>
      <c r="OJ4" s="6"/>
      <c r="OK4" s="6"/>
      <c r="OL4" s="6"/>
      <c r="OM4" s="6"/>
      <c r="ON4" s="6"/>
      <c r="OO4" s="6"/>
      <c r="OP4" s="6"/>
      <c r="OQ4" s="6"/>
      <c r="OR4" s="6"/>
      <c r="OS4" s="6"/>
      <c r="OT4" s="6"/>
      <c r="OU4" s="6"/>
      <c r="OV4" s="6"/>
      <c r="OW4" s="6"/>
      <c r="OX4" s="6"/>
      <c r="OY4" s="6"/>
      <c r="OZ4" s="6"/>
      <c r="PA4" s="6"/>
      <c r="PB4" s="6"/>
      <c r="PC4" s="6"/>
      <c r="PD4" s="6"/>
      <c r="PE4" s="6"/>
      <c r="PF4" s="6"/>
      <c r="PG4" s="6"/>
      <c r="PH4" s="6"/>
      <c r="PI4" s="6"/>
      <c r="PJ4" s="6"/>
      <c r="PK4" s="6"/>
      <c r="PL4" s="6"/>
      <c r="PM4" s="6"/>
      <c r="PN4" s="6"/>
      <c r="PO4" s="6"/>
      <c r="PP4" s="6"/>
      <c r="PQ4" s="6"/>
      <c r="PR4" s="6"/>
      <c r="PS4" s="6"/>
      <c r="PT4" s="6"/>
      <c r="PU4" s="6"/>
      <c r="PV4" s="6"/>
      <c r="PW4" s="6"/>
      <c r="PX4" s="6"/>
      <c r="PY4" s="6"/>
      <c r="PZ4" s="6"/>
      <c r="QA4" s="6"/>
      <c r="QB4" s="6"/>
      <c r="QC4" s="6"/>
      <c r="QD4" s="6"/>
      <c r="QE4" s="6"/>
      <c r="QF4" s="6"/>
      <c r="QG4" s="6"/>
      <c r="QH4" s="6"/>
      <c r="QI4" s="6"/>
      <c r="QJ4" s="6"/>
      <c r="QK4" s="6"/>
      <c r="QL4" s="6"/>
      <c r="QM4" s="6"/>
      <c r="QN4" s="6"/>
      <c r="QO4" s="6"/>
      <c r="QP4" s="6"/>
      <c r="QQ4" s="6"/>
      <c r="QR4" s="6"/>
      <c r="QS4" s="6"/>
      <c r="QT4" s="6"/>
      <c r="QU4" s="6"/>
      <c r="QV4" s="6"/>
      <c r="QW4" s="6"/>
      <c r="QX4" s="6"/>
      <c r="QY4" s="6"/>
      <c r="QZ4" s="6"/>
      <c r="RA4" s="6"/>
      <c r="RB4" s="6"/>
      <c r="RC4" s="6"/>
      <c r="RD4" s="6"/>
      <c r="RE4" s="6"/>
      <c r="RF4" s="6"/>
      <c r="RG4" s="6"/>
      <c r="RH4" s="6"/>
      <c r="RI4" s="6"/>
      <c r="RJ4" s="6"/>
      <c r="RK4" s="6"/>
      <c r="RL4" s="6"/>
      <c r="RM4" s="6"/>
      <c r="RN4" s="6"/>
      <c r="RO4" s="6"/>
      <c r="RP4" s="6"/>
      <c r="RQ4" s="6"/>
      <c r="RR4" s="6"/>
      <c r="RS4" s="6"/>
      <c r="RT4" s="6"/>
      <c r="RU4" s="6"/>
      <c r="RV4" s="6"/>
      <c r="RW4" s="6"/>
      <c r="RX4" s="6"/>
      <c r="RY4" s="6"/>
      <c r="RZ4" s="6"/>
      <c r="SA4" s="6"/>
      <c r="SB4" s="6"/>
      <c r="SC4" s="6"/>
      <c r="SD4" s="6"/>
      <c r="SE4" s="6"/>
      <c r="SF4" s="6"/>
      <c r="SG4" s="6"/>
      <c r="SH4" s="6"/>
      <c r="SI4" s="6"/>
      <c r="SJ4" s="6"/>
      <c r="SK4" s="6"/>
      <c r="SL4" s="6"/>
      <c r="SM4" s="6"/>
      <c r="SN4" s="6"/>
      <c r="SO4" s="6"/>
      <c r="SP4" s="6"/>
      <c r="SQ4" s="6"/>
      <c r="SR4" s="6"/>
      <c r="SS4" s="6"/>
      <c r="ST4" s="6"/>
      <c r="SU4" s="6"/>
      <c r="SV4" s="6"/>
      <c r="SW4" s="6"/>
      <c r="SX4" s="6"/>
      <c r="SY4" s="6"/>
      <c r="SZ4" s="6"/>
      <c r="TA4" s="6"/>
      <c r="TB4" s="6"/>
      <c r="TC4" s="6"/>
      <c r="TD4" s="6"/>
      <c r="TE4" s="6"/>
      <c r="TF4" s="6"/>
      <c r="TG4" s="6"/>
      <c r="TH4" s="6"/>
      <c r="TI4" s="6"/>
      <c r="TJ4" s="6"/>
      <c r="TK4" s="6"/>
      <c r="TL4" s="6"/>
      <c r="TM4" s="6"/>
      <c r="TN4" s="6"/>
      <c r="TO4" s="6"/>
      <c r="TP4" s="6"/>
      <c r="TQ4" s="6"/>
      <c r="TR4" s="6"/>
      <c r="TS4" s="6"/>
      <c r="TT4" s="6"/>
      <c r="TU4" s="6"/>
      <c r="TV4" s="6"/>
      <c r="TW4" s="6"/>
      <c r="TX4" s="6"/>
      <c r="TY4" s="6"/>
      <c r="TZ4" s="6"/>
      <c r="UA4" s="6"/>
      <c r="UB4" s="6"/>
      <c r="UC4" s="6"/>
      <c r="UD4" s="6"/>
      <c r="UE4" s="6"/>
      <c r="UF4" s="6"/>
      <c r="UG4" s="6"/>
      <c r="UH4" s="6"/>
      <c r="UI4" s="6"/>
      <c r="UJ4" s="6"/>
      <c r="UK4" s="6"/>
      <c r="UL4" s="6"/>
      <c r="UM4" s="6"/>
      <c r="UN4" s="6"/>
      <c r="UO4" s="6"/>
      <c r="UP4" s="6"/>
      <c r="UQ4" s="6"/>
      <c r="UR4" s="6"/>
      <c r="US4" s="6"/>
      <c r="UT4" s="6"/>
      <c r="UU4" s="6"/>
      <c r="UV4" s="6"/>
      <c r="UW4" s="6"/>
      <c r="UX4" s="6"/>
      <c r="UY4" s="6"/>
      <c r="UZ4" s="6"/>
      <c r="VA4" s="6"/>
      <c r="VB4" s="6"/>
      <c r="VC4" s="6"/>
      <c r="VD4" s="6"/>
      <c r="VE4" s="6"/>
      <c r="VF4" s="6"/>
      <c r="VG4" s="6"/>
      <c r="VH4" s="6"/>
      <c r="VI4" s="6"/>
      <c r="VJ4" s="6"/>
      <c r="VK4" s="6"/>
      <c r="VL4" s="6"/>
      <c r="VM4" s="6"/>
      <c r="VN4" s="6"/>
      <c r="VO4" s="6"/>
      <c r="VP4" s="6"/>
      <c r="VQ4" s="6"/>
      <c r="VR4" s="6"/>
      <c r="VS4" s="6"/>
      <c r="VT4" s="6"/>
      <c r="VU4" s="6"/>
      <c r="VV4" s="6"/>
      <c r="VW4" s="6"/>
      <c r="VX4" s="6"/>
      <c r="VY4" s="6"/>
      <c r="VZ4" s="6"/>
      <c r="WA4" s="6"/>
      <c r="WB4" s="6"/>
      <c r="WC4" s="6"/>
      <c r="WD4" s="6"/>
      <c r="WE4" s="6"/>
      <c r="WF4" s="6"/>
      <c r="WG4" s="6"/>
      <c r="WH4" s="6"/>
      <c r="WI4" s="6"/>
      <c r="WJ4" s="6"/>
      <c r="WK4" s="6"/>
      <c r="WL4" s="6"/>
      <c r="WM4" s="6"/>
      <c r="WN4" s="6"/>
      <c r="WO4" s="6"/>
      <c r="WP4" s="6"/>
      <c r="WQ4" s="6"/>
      <c r="WR4" s="6"/>
      <c r="WS4" s="6"/>
      <c r="WT4" s="6"/>
      <c r="WU4" s="6"/>
      <c r="WV4" s="6"/>
      <c r="WW4" s="6"/>
      <c r="WX4" s="6"/>
      <c r="WY4" s="6"/>
      <c r="WZ4" s="6"/>
      <c r="XA4" s="6"/>
      <c r="XB4" s="6"/>
      <c r="XC4" s="6"/>
      <c r="XD4" s="6"/>
      <c r="XE4" s="6"/>
      <c r="XF4" s="6"/>
      <c r="XG4" s="6"/>
      <c r="XH4" s="6"/>
      <c r="XI4" s="6"/>
      <c r="XJ4" s="6"/>
      <c r="XK4" s="6"/>
      <c r="XL4" s="6"/>
      <c r="XM4" s="6"/>
      <c r="XN4" s="6"/>
      <c r="XO4" s="6"/>
      <c r="XP4" s="6"/>
      <c r="XQ4" s="6"/>
      <c r="XR4" s="6"/>
      <c r="XS4" s="6"/>
      <c r="XT4" s="6"/>
      <c r="XU4" s="6"/>
      <c r="XV4" s="6"/>
      <c r="XW4" s="6"/>
      <c r="XX4" s="6"/>
      <c r="XY4" s="6"/>
      <c r="XZ4" s="6"/>
      <c r="YA4" s="6"/>
      <c r="YB4" s="6"/>
      <c r="YC4" s="6"/>
      <c r="YD4" s="6"/>
      <c r="YE4" s="6"/>
      <c r="YF4" s="6"/>
      <c r="YG4" s="6"/>
      <c r="YH4" s="6"/>
      <c r="YI4" s="6"/>
      <c r="YJ4" s="6"/>
      <c r="YK4" s="6"/>
      <c r="YL4" s="6"/>
      <c r="YM4" s="6"/>
      <c r="YN4" s="6"/>
      <c r="YO4" s="6"/>
      <c r="YP4" s="6"/>
      <c r="YQ4" s="6"/>
      <c r="YR4" s="6"/>
      <c r="YS4" s="6"/>
      <c r="YT4" s="6"/>
      <c r="YU4" s="6"/>
      <c r="YV4" s="6"/>
      <c r="YW4" s="6"/>
      <c r="YX4" s="6"/>
      <c r="YY4" s="6"/>
      <c r="YZ4" s="6"/>
      <c r="ZA4" s="6"/>
      <c r="ZB4" s="6"/>
      <c r="ZC4" s="6"/>
      <c r="ZD4" s="6"/>
      <c r="ZE4" s="6"/>
      <c r="ZF4" s="6"/>
      <c r="ZG4" s="6"/>
      <c r="ZH4" s="6"/>
      <c r="ZI4" s="6"/>
      <c r="ZJ4" s="6"/>
      <c r="ZK4" s="6"/>
      <c r="ZL4" s="6"/>
      <c r="ZM4" s="6"/>
      <c r="ZN4" s="6"/>
      <c r="ZO4" s="6"/>
      <c r="ZP4" s="6"/>
      <c r="ZQ4" s="6"/>
      <c r="ZR4" s="6"/>
      <c r="ZS4" s="6"/>
      <c r="ZT4" s="6"/>
      <c r="ZU4" s="6"/>
      <c r="ZV4" s="6"/>
      <c r="ZW4" s="6"/>
      <c r="ZX4" s="6"/>
      <c r="ZY4" s="6"/>
      <c r="ZZ4" s="6"/>
      <c r="AAA4" s="6"/>
      <c r="AAB4" s="6"/>
      <c r="AAC4" s="6"/>
      <c r="AAD4" s="6"/>
      <c r="AAE4" s="6"/>
      <c r="AAF4" s="6"/>
      <c r="AAG4" s="6"/>
      <c r="AAH4" s="6"/>
      <c r="AAI4" s="6"/>
      <c r="AAJ4" s="6"/>
      <c r="AAK4" s="6"/>
      <c r="AAL4" s="6"/>
      <c r="AAM4" s="6"/>
      <c r="AAN4" s="6"/>
      <c r="AAO4" s="6"/>
      <c r="AAP4" s="6"/>
      <c r="AAQ4" s="6"/>
      <c r="AAR4" s="6"/>
      <c r="AAS4" s="6"/>
      <c r="AAT4" s="6"/>
      <c r="AAU4" s="6"/>
      <c r="AAV4" s="6"/>
      <c r="AAW4" s="6"/>
      <c r="AAX4" s="6"/>
      <c r="AAY4" s="6"/>
      <c r="AAZ4" s="6"/>
      <c r="ABA4" s="6"/>
      <c r="ABB4" s="6"/>
      <c r="ABC4" s="6"/>
      <c r="ABD4" s="6"/>
      <c r="ABE4" s="6"/>
      <c r="ABF4" s="6"/>
      <c r="ABG4" s="6"/>
      <c r="ABH4" s="6"/>
      <c r="ABI4" s="6"/>
      <c r="ABJ4" s="6"/>
      <c r="ABK4" s="6"/>
      <c r="ABL4" s="6"/>
      <c r="ABM4" s="6"/>
      <c r="ABN4" s="6"/>
      <c r="ABO4" s="6"/>
      <c r="ABP4" s="6"/>
      <c r="ABQ4" s="6"/>
      <c r="ABR4" s="6"/>
      <c r="ABS4" s="6"/>
      <c r="ABT4" s="6"/>
      <c r="ABU4" s="6"/>
      <c r="ABV4" s="6"/>
      <c r="ABW4" s="6"/>
      <c r="ABX4" s="6"/>
      <c r="ABY4" s="6"/>
      <c r="ABZ4" s="6"/>
      <c r="ACA4" s="6"/>
      <c r="ACB4" s="6"/>
      <c r="ACC4" s="6"/>
      <c r="ACD4" s="6"/>
      <c r="ACE4" s="6"/>
      <c r="ACF4" s="6"/>
      <c r="ACG4" s="6"/>
      <c r="ACH4" s="6"/>
      <c r="ACI4" s="6"/>
      <c r="ACJ4" s="6"/>
      <c r="ACK4" s="6"/>
      <c r="ACL4" s="6"/>
      <c r="ACM4" s="6"/>
      <c r="ACN4" s="6"/>
      <c r="ACO4" s="6"/>
      <c r="ACP4" s="6"/>
      <c r="ACQ4" s="6"/>
      <c r="ACR4" s="6"/>
      <c r="ACS4" s="6"/>
      <c r="ACT4" s="6"/>
      <c r="ACU4" s="6"/>
      <c r="ACV4" s="6"/>
      <c r="ACW4" s="6"/>
      <c r="ACX4" s="6"/>
      <c r="ACY4" s="6"/>
      <c r="ACZ4" s="6"/>
      <c r="ADA4" s="6"/>
      <c r="ADB4" s="6"/>
      <c r="ADC4" s="6"/>
      <c r="ADD4" s="6"/>
      <c r="ADE4" s="6"/>
      <c r="ADF4" s="6"/>
      <c r="ADG4" s="6"/>
      <c r="ADH4" s="6"/>
      <c r="ADI4" s="6"/>
      <c r="ADJ4" s="6"/>
      <c r="ADK4" s="6"/>
      <c r="ADL4" s="6"/>
      <c r="ADM4" s="6"/>
      <c r="ADN4" s="6"/>
      <c r="ADO4" s="6"/>
      <c r="ADP4" s="6"/>
      <c r="ADQ4" s="6"/>
      <c r="ADR4" s="6"/>
      <c r="ADS4" s="6"/>
      <c r="ADT4" s="6"/>
      <c r="ADU4" s="6"/>
      <c r="ADV4" s="6"/>
      <c r="ADW4" s="6"/>
      <c r="ADX4" s="6"/>
      <c r="ADY4" s="6"/>
      <c r="ADZ4" s="6"/>
      <c r="AEA4" s="6"/>
      <c r="AEB4" s="6"/>
      <c r="AEC4" s="6"/>
      <c r="AED4" s="6"/>
      <c r="AEE4" s="6"/>
      <c r="AEF4" s="6"/>
      <c r="AEG4" s="6"/>
      <c r="AEH4" s="6"/>
      <c r="AEI4" s="6"/>
      <c r="AEJ4" s="6"/>
      <c r="AEK4" s="6"/>
      <c r="AEL4" s="6"/>
      <c r="AEM4" s="6"/>
      <c r="AEN4" s="6"/>
      <c r="AEO4" s="6"/>
      <c r="AEP4" s="6"/>
      <c r="AEQ4" s="6"/>
      <c r="AER4" s="6"/>
      <c r="AES4" s="6"/>
      <c r="AET4" s="6"/>
      <c r="AEU4" s="6"/>
      <c r="AEV4" s="6"/>
      <c r="AEW4" s="6"/>
      <c r="AEX4" s="6"/>
      <c r="AEY4" s="6"/>
      <c r="AEZ4" s="6"/>
      <c r="AFA4" s="6"/>
      <c r="AFB4" s="6"/>
      <c r="AFC4" s="6"/>
      <c r="AFD4" s="6"/>
      <c r="AFE4" s="6"/>
      <c r="AFF4" s="6"/>
      <c r="AFG4" s="6"/>
      <c r="AFH4" s="6"/>
      <c r="AFI4" s="6"/>
      <c r="AFJ4" s="6"/>
      <c r="AFK4" s="6"/>
      <c r="AFL4" s="6"/>
      <c r="AFM4" s="6"/>
      <c r="AFN4" s="6"/>
      <c r="AFO4" s="6"/>
      <c r="AFP4" s="6"/>
      <c r="AFQ4" s="6"/>
      <c r="AFR4" s="6"/>
      <c r="AFS4" s="6"/>
      <c r="AFT4" s="6"/>
      <c r="AFU4" s="6"/>
      <c r="AFV4" s="6"/>
      <c r="AFW4" s="6"/>
      <c r="AFX4" s="6"/>
      <c r="AFY4" s="6"/>
      <c r="AFZ4" s="6"/>
      <c r="AGA4" s="6"/>
      <c r="AGB4" s="6"/>
      <c r="AGC4" s="6"/>
      <c r="AGD4" s="6"/>
      <c r="AGE4" s="6"/>
      <c r="AGF4" s="6"/>
      <c r="AGG4" s="6"/>
      <c r="AGH4" s="6"/>
      <c r="AGI4" s="6"/>
      <c r="AGJ4" s="6"/>
      <c r="AGK4" s="6"/>
      <c r="AGL4" s="6"/>
      <c r="AGM4" s="6"/>
      <c r="AGN4" s="6"/>
      <c r="AGO4" s="6"/>
      <c r="AGP4" s="6"/>
      <c r="AGQ4" s="6"/>
      <c r="AGR4" s="6"/>
      <c r="AGS4" s="6"/>
      <c r="AGT4" s="6"/>
      <c r="AGU4" s="6"/>
      <c r="AGV4" s="6"/>
      <c r="AGW4" s="6"/>
      <c r="AGX4" s="6"/>
      <c r="AGY4" s="6"/>
      <c r="AGZ4" s="6"/>
      <c r="AHA4" s="6"/>
      <c r="AHB4" s="6"/>
      <c r="AHC4" s="6"/>
      <c r="AHD4" s="6"/>
      <c r="AHE4" s="6"/>
      <c r="AHF4" s="6"/>
      <c r="AHG4" s="6"/>
      <c r="AHH4" s="6"/>
      <c r="AHI4" s="6"/>
      <c r="AHJ4" s="6"/>
      <c r="AHK4" s="6"/>
      <c r="AHL4" s="6"/>
      <c r="AHM4" s="6"/>
      <c r="AHN4" s="6"/>
      <c r="AHO4" s="6"/>
      <c r="AHP4" s="6"/>
      <c r="AHQ4" s="6"/>
      <c r="AHR4" s="6"/>
      <c r="AHS4" s="6"/>
      <c r="AHT4" s="6"/>
      <c r="AHU4" s="6"/>
      <c r="AHV4" s="6"/>
      <c r="AHW4" s="6"/>
      <c r="AHX4" s="6"/>
      <c r="AHY4" s="6"/>
      <c r="AHZ4" s="6"/>
      <c r="AIA4" s="6"/>
      <c r="AIB4" s="6"/>
      <c r="AIC4" s="6"/>
      <c r="AID4" s="6"/>
      <c r="AIE4" s="6"/>
      <c r="AIF4" s="6"/>
      <c r="AIG4" s="6"/>
      <c r="AIH4" s="6"/>
      <c r="AII4" s="6"/>
      <c r="AIJ4" s="6"/>
      <c r="AIK4" s="6"/>
      <c r="AIL4" s="6"/>
      <c r="AIM4" s="6"/>
      <c r="AIN4" s="6"/>
      <c r="AIO4" s="6"/>
      <c r="AIP4" s="6"/>
      <c r="AIQ4" s="6"/>
      <c r="AIR4" s="6"/>
      <c r="AIS4" s="6"/>
      <c r="AIT4" s="6"/>
      <c r="AIU4" s="6"/>
      <c r="AIV4" s="6"/>
      <c r="AIW4" s="6"/>
      <c r="AIX4" s="6"/>
      <c r="AIY4" s="6"/>
      <c r="AIZ4" s="6"/>
      <c r="AJA4" s="6"/>
      <c r="AJB4" s="6"/>
      <c r="AJC4" s="6"/>
      <c r="AJD4" s="6"/>
      <c r="AJE4" s="6"/>
      <c r="AJF4" s="6"/>
      <c r="AJG4" s="6"/>
      <c r="AJH4" s="6"/>
      <c r="AJI4" s="6"/>
      <c r="AJJ4" s="6"/>
      <c r="AJK4" s="6"/>
      <c r="AJL4" s="6"/>
      <c r="AJM4" s="6"/>
      <c r="AJN4" s="6"/>
      <c r="AJO4" s="6"/>
      <c r="AJP4" s="6"/>
      <c r="AJQ4" s="6"/>
      <c r="AJR4" s="6"/>
      <c r="AJS4" s="6"/>
      <c r="AJT4" s="6"/>
      <c r="AJU4" s="6"/>
      <c r="AJV4" s="6"/>
      <c r="AJW4" s="6"/>
      <c r="AJX4" s="6"/>
      <c r="AJY4" s="6"/>
      <c r="AJZ4" s="6"/>
      <c r="AKA4" s="6"/>
      <c r="AKB4" s="6"/>
      <c r="AKC4" s="6"/>
      <c r="AKD4" s="6"/>
      <c r="AKE4" s="6"/>
      <c r="AKF4" s="6"/>
      <c r="AKG4" s="6"/>
      <c r="AKH4" s="6"/>
      <c r="AKI4" s="6"/>
      <c r="AKJ4" s="6"/>
      <c r="AKK4" s="6"/>
      <c r="AKL4" s="6"/>
      <c r="AKM4" s="6"/>
      <c r="AKN4" s="6"/>
      <c r="AKO4" s="6"/>
      <c r="AKP4" s="6"/>
      <c r="AKQ4" s="6"/>
      <c r="AKR4" s="6"/>
      <c r="AKS4" s="6"/>
      <c r="AKT4" s="6"/>
      <c r="AKU4" s="6"/>
      <c r="AKV4" s="6"/>
      <c r="AKW4" s="6"/>
      <c r="AKX4" s="6"/>
      <c r="AKY4" s="6"/>
      <c r="AKZ4" s="6"/>
      <c r="ALA4" s="6"/>
      <c r="ALB4" s="6"/>
      <c r="ALC4" s="6"/>
      <c r="ALD4" s="6"/>
      <c r="ALE4" s="6"/>
      <c r="ALF4" s="6"/>
      <c r="ALG4" s="6"/>
      <c r="ALH4" s="6"/>
      <c r="ALI4" s="6"/>
      <c r="ALJ4" s="6"/>
      <c r="ALK4" s="6"/>
      <c r="ALL4" s="6"/>
      <c r="ALM4" s="6"/>
      <c r="ALN4" s="6"/>
      <c r="ALO4" s="6"/>
      <c r="ALP4" s="6"/>
      <c r="ALQ4" s="6"/>
      <c r="ALR4" s="6"/>
      <c r="ALS4" s="6"/>
      <c r="ALT4" s="6"/>
      <c r="ALU4" s="6"/>
      <c r="ALV4" s="6"/>
      <c r="ALW4" s="6"/>
      <c r="ALX4" s="6"/>
      <c r="ALY4" s="6"/>
      <c r="ALZ4" s="6"/>
      <c r="AMA4" s="6"/>
      <c r="AMB4" s="6"/>
      <c r="AMC4" s="6"/>
      <c r="AMD4" s="6"/>
      <c r="AME4" s="6"/>
      <c r="AMF4" s="6"/>
      <c r="AMG4" s="6"/>
      <c r="AMH4" s="6"/>
    </row>
    <row r="5" spans="1:1022" x14ac:dyDescent="0.15">
      <c r="A5" s="6" t="s">
        <v>2134</v>
      </c>
      <c r="B5" s="6" t="s">
        <v>150</v>
      </c>
      <c r="C5" s="6" t="str">
        <f>B5&amp;":"&amp;A5</f>
        <v>att_organism:UP000002494</v>
      </c>
      <c r="D5" s="6" t="s">
        <v>2135</v>
      </c>
      <c r="E5" s="6" t="s">
        <v>2136</v>
      </c>
      <c r="F5" s="6" t="s">
        <v>2137</v>
      </c>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c r="EY5" s="6"/>
      <c r="EZ5" s="6"/>
      <c r="FA5" s="6"/>
      <c r="FB5" s="6"/>
      <c r="FC5" s="6"/>
      <c r="FD5" s="6"/>
      <c r="FE5" s="6"/>
      <c r="FF5" s="6"/>
      <c r="FG5" s="6"/>
      <c r="FH5" s="6"/>
      <c r="FI5" s="6"/>
      <c r="FJ5" s="6"/>
      <c r="FK5" s="6"/>
      <c r="FL5" s="6"/>
      <c r="FM5" s="6"/>
      <c r="FN5" s="6"/>
      <c r="FO5" s="6"/>
      <c r="FP5" s="6"/>
      <c r="FQ5" s="6"/>
      <c r="FR5" s="6"/>
      <c r="FS5" s="6"/>
      <c r="FT5" s="6"/>
      <c r="FU5" s="6"/>
      <c r="FV5" s="6"/>
      <c r="FW5" s="6"/>
      <c r="FX5" s="6"/>
      <c r="FY5" s="6"/>
      <c r="FZ5" s="6"/>
      <c r="GA5" s="6"/>
      <c r="GB5" s="6"/>
      <c r="GC5" s="6"/>
      <c r="GD5" s="6"/>
      <c r="GE5" s="6"/>
      <c r="GF5" s="6"/>
      <c r="GG5" s="6"/>
      <c r="GH5" s="6"/>
      <c r="GI5" s="6"/>
      <c r="GJ5" s="6"/>
      <c r="GK5" s="6"/>
      <c r="GL5" s="6"/>
      <c r="GM5" s="6"/>
      <c r="GN5" s="6"/>
      <c r="GO5" s="6"/>
      <c r="GP5" s="6"/>
      <c r="GQ5" s="6"/>
      <c r="GR5" s="6"/>
      <c r="GS5" s="6"/>
      <c r="GT5" s="6"/>
      <c r="GU5" s="6"/>
      <c r="GV5" s="6"/>
      <c r="GW5" s="6"/>
      <c r="GX5" s="6"/>
      <c r="GY5" s="6"/>
      <c r="GZ5" s="6"/>
      <c r="HA5" s="6"/>
      <c r="HB5" s="6"/>
      <c r="HC5" s="6"/>
      <c r="HD5" s="6"/>
      <c r="HE5" s="6"/>
      <c r="HF5" s="6"/>
      <c r="HG5" s="6"/>
      <c r="HH5" s="6"/>
      <c r="HI5" s="6"/>
      <c r="HJ5" s="6"/>
      <c r="HK5" s="6"/>
      <c r="HL5" s="6"/>
      <c r="HM5" s="6"/>
      <c r="HN5" s="6"/>
      <c r="HO5" s="6"/>
      <c r="HP5" s="6"/>
      <c r="HQ5" s="6"/>
      <c r="HR5" s="6"/>
      <c r="HS5" s="6"/>
      <c r="HT5" s="6"/>
      <c r="HU5" s="6"/>
      <c r="HV5" s="6"/>
      <c r="HW5" s="6"/>
      <c r="HX5" s="6"/>
      <c r="HY5" s="6"/>
      <c r="HZ5" s="6"/>
      <c r="IA5" s="6"/>
      <c r="IB5" s="6"/>
      <c r="IC5" s="6"/>
      <c r="ID5" s="6"/>
      <c r="IE5" s="6"/>
      <c r="IF5" s="6"/>
      <c r="IG5" s="6"/>
      <c r="IH5" s="6"/>
      <c r="II5" s="6"/>
      <c r="IJ5" s="6"/>
      <c r="IK5" s="6"/>
      <c r="IL5" s="6"/>
      <c r="IM5" s="6"/>
      <c r="IN5" s="6"/>
      <c r="IO5" s="6"/>
      <c r="IP5" s="6"/>
      <c r="IQ5" s="6"/>
      <c r="IR5" s="6"/>
      <c r="IS5" s="6"/>
      <c r="IT5" s="6"/>
      <c r="IU5" s="6"/>
      <c r="IV5" s="6"/>
      <c r="IW5" s="6"/>
      <c r="IX5" s="6"/>
      <c r="IY5" s="6"/>
      <c r="IZ5" s="6"/>
      <c r="JA5" s="6"/>
      <c r="JB5" s="6"/>
      <c r="JC5" s="6"/>
      <c r="JD5" s="6"/>
      <c r="JE5" s="6"/>
      <c r="JF5" s="6"/>
      <c r="JG5" s="6"/>
      <c r="JH5" s="6"/>
      <c r="JI5" s="6"/>
      <c r="JJ5" s="6"/>
      <c r="JK5" s="6"/>
      <c r="JL5" s="6"/>
      <c r="JM5" s="6"/>
      <c r="JN5" s="6"/>
      <c r="JO5" s="6"/>
      <c r="JP5" s="6"/>
      <c r="JQ5" s="6"/>
      <c r="JR5" s="6"/>
      <c r="JS5" s="6"/>
      <c r="JT5" s="6"/>
      <c r="JU5" s="6"/>
      <c r="JV5" s="6"/>
      <c r="JW5" s="6"/>
      <c r="JX5" s="6"/>
      <c r="JY5" s="6"/>
      <c r="JZ5" s="6"/>
      <c r="KA5" s="6"/>
      <c r="KB5" s="6"/>
      <c r="KC5" s="6"/>
      <c r="KD5" s="6"/>
      <c r="KE5" s="6"/>
      <c r="KF5" s="6"/>
      <c r="KG5" s="6"/>
      <c r="KH5" s="6"/>
      <c r="KI5" s="6"/>
      <c r="KJ5" s="6"/>
      <c r="KK5" s="6"/>
      <c r="KL5" s="6"/>
      <c r="KM5" s="6"/>
      <c r="KN5" s="6"/>
      <c r="KO5" s="6"/>
      <c r="KP5" s="6"/>
      <c r="KQ5" s="6"/>
      <c r="KR5" s="6"/>
      <c r="KS5" s="6"/>
      <c r="KT5" s="6"/>
      <c r="KU5" s="6"/>
      <c r="KV5" s="6"/>
      <c r="KW5" s="6"/>
      <c r="KX5" s="6"/>
      <c r="KY5" s="6"/>
      <c r="KZ5" s="6"/>
      <c r="LA5" s="6"/>
      <c r="LB5" s="6"/>
      <c r="LC5" s="6"/>
      <c r="LD5" s="6"/>
      <c r="LE5" s="6"/>
      <c r="LF5" s="6"/>
      <c r="LG5" s="6"/>
      <c r="LH5" s="6"/>
      <c r="LI5" s="6"/>
      <c r="LJ5" s="6"/>
      <c r="LK5" s="6"/>
      <c r="LL5" s="6"/>
      <c r="LM5" s="6"/>
      <c r="LN5" s="6"/>
      <c r="LO5" s="6"/>
      <c r="LP5" s="6"/>
      <c r="LQ5" s="6"/>
      <c r="LR5" s="6"/>
      <c r="LS5" s="6"/>
      <c r="LT5" s="6"/>
      <c r="LU5" s="6"/>
      <c r="LV5" s="6"/>
      <c r="LW5" s="6"/>
      <c r="LX5" s="6"/>
      <c r="LY5" s="6"/>
      <c r="LZ5" s="6"/>
      <c r="MA5" s="6"/>
      <c r="MB5" s="6"/>
      <c r="MC5" s="6"/>
      <c r="MD5" s="6"/>
      <c r="ME5" s="6"/>
      <c r="MF5" s="6"/>
      <c r="MG5" s="6"/>
      <c r="MH5" s="6"/>
      <c r="MI5" s="6"/>
      <c r="MJ5" s="6"/>
      <c r="MK5" s="6"/>
      <c r="ML5" s="6"/>
      <c r="MM5" s="6"/>
      <c r="MN5" s="6"/>
      <c r="MO5" s="6"/>
      <c r="MP5" s="6"/>
      <c r="MQ5" s="6"/>
      <c r="MR5" s="6"/>
      <c r="MS5" s="6"/>
      <c r="MT5" s="6"/>
      <c r="MU5" s="6"/>
      <c r="MV5" s="6"/>
      <c r="MW5" s="6"/>
      <c r="MX5" s="6"/>
      <c r="MY5" s="6"/>
      <c r="MZ5" s="6"/>
      <c r="NA5" s="6"/>
      <c r="NB5" s="6"/>
      <c r="NC5" s="6"/>
      <c r="ND5" s="6"/>
      <c r="NE5" s="6"/>
      <c r="NF5" s="6"/>
      <c r="NG5" s="6"/>
      <c r="NH5" s="6"/>
      <c r="NI5" s="6"/>
      <c r="NJ5" s="6"/>
      <c r="NK5" s="6"/>
      <c r="NL5" s="6"/>
      <c r="NM5" s="6"/>
      <c r="NN5" s="6"/>
      <c r="NO5" s="6"/>
      <c r="NP5" s="6"/>
      <c r="NQ5" s="6"/>
      <c r="NR5" s="6"/>
      <c r="NS5" s="6"/>
      <c r="NT5" s="6"/>
      <c r="NU5" s="6"/>
      <c r="NV5" s="6"/>
      <c r="NW5" s="6"/>
      <c r="NX5" s="6"/>
      <c r="NY5" s="6"/>
      <c r="NZ5" s="6"/>
      <c r="OA5" s="6"/>
      <c r="OB5" s="6"/>
      <c r="OC5" s="6"/>
      <c r="OD5" s="6"/>
      <c r="OE5" s="6"/>
      <c r="OF5" s="6"/>
      <c r="OG5" s="6"/>
      <c r="OH5" s="6"/>
      <c r="OI5" s="6"/>
      <c r="OJ5" s="6"/>
      <c r="OK5" s="6"/>
      <c r="OL5" s="6"/>
      <c r="OM5" s="6"/>
      <c r="ON5" s="6"/>
      <c r="OO5" s="6"/>
      <c r="OP5" s="6"/>
      <c r="OQ5" s="6"/>
      <c r="OR5" s="6"/>
      <c r="OS5" s="6"/>
      <c r="OT5" s="6"/>
      <c r="OU5" s="6"/>
      <c r="OV5" s="6"/>
      <c r="OW5" s="6"/>
      <c r="OX5" s="6"/>
      <c r="OY5" s="6"/>
      <c r="OZ5" s="6"/>
      <c r="PA5" s="6"/>
      <c r="PB5" s="6"/>
      <c r="PC5" s="6"/>
      <c r="PD5" s="6"/>
      <c r="PE5" s="6"/>
      <c r="PF5" s="6"/>
      <c r="PG5" s="6"/>
      <c r="PH5" s="6"/>
      <c r="PI5" s="6"/>
      <c r="PJ5" s="6"/>
      <c r="PK5" s="6"/>
      <c r="PL5" s="6"/>
      <c r="PM5" s="6"/>
      <c r="PN5" s="6"/>
      <c r="PO5" s="6"/>
      <c r="PP5" s="6"/>
      <c r="PQ5" s="6"/>
      <c r="PR5" s="6"/>
      <c r="PS5" s="6"/>
      <c r="PT5" s="6"/>
      <c r="PU5" s="6"/>
      <c r="PV5" s="6"/>
      <c r="PW5" s="6"/>
      <c r="PX5" s="6"/>
      <c r="PY5" s="6"/>
      <c r="PZ5" s="6"/>
      <c r="QA5" s="6"/>
      <c r="QB5" s="6"/>
      <c r="QC5" s="6"/>
      <c r="QD5" s="6"/>
      <c r="QE5" s="6"/>
      <c r="QF5" s="6"/>
      <c r="QG5" s="6"/>
      <c r="QH5" s="6"/>
      <c r="QI5" s="6"/>
      <c r="QJ5" s="6"/>
      <c r="QK5" s="6"/>
      <c r="QL5" s="6"/>
      <c r="QM5" s="6"/>
      <c r="QN5" s="6"/>
      <c r="QO5" s="6"/>
      <c r="QP5" s="6"/>
      <c r="QQ5" s="6"/>
      <c r="QR5" s="6"/>
      <c r="QS5" s="6"/>
      <c r="QT5" s="6"/>
      <c r="QU5" s="6"/>
      <c r="QV5" s="6"/>
      <c r="QW5" s="6"/>
      <c r="QX5" s="6"/>
      <c r="QY5" s="6"/>
      <c r="QZ5" s="6"/>
      <c r="RA5" s="6"/>
      <c r="RB5" s="6"/>
      <c r="RC5" s="6"/>
      <c r="RD5" s="6"/>
      <c r="RE5" s="6"/>
      <c r="RF5" s="6"/>
      <c r="RG5" s="6"/>
      <c r="RH5" s="6"/>
      <c r="RI5" s="6"/>
      <c r="RJ5" s="6"/>
      <c r="RK5" s="6"/>
      <c r="RL5" s="6"/>
      <c r="RM5" s="6"/>
      <c r="RN5" s="6"/>
      <c r="RO5" s="6"/>
      <c r="RP5" s="6"/>
      <c r="RQ5" s="6"/>
      <c r="RR5" s="6"/>
      <c r="RS5" s="6"/>
      <c r="RT5" s="6"/>
      <c r="RU5" s="6"/>
      <c r="RV5" s="6"/>
      <c r="RW5" s="6"/>
      <c r="RX5" s="6"/>
      <c r="RY5" s="6"/>
      <c r="RZ5" s="6"/>
      <c r="SA5" s="6"/>
      <c r="SB5" s="6"/>
      <c r="SC5" s="6"/>
      <c r="SD5" s="6"/>
      <c r="SE5" s="6"/>
      <c r="SF5" s="6"/>
      <c r="SG5" s="6"/>
      <c r="SH5" s="6"/>
      <c r="SI5" s="6"/>
      <c r="SJ5" s="6"/>
      <c r="SK5" s="6"/>
      <c r="SL5" s="6"/>
      <c r="SM5" s="6"/>
      <c r="SN5" s="6"/>
      <c r="SO5" s="6"/>
      <c r="SP5" s="6"/>
      <c r="SQ5" s="6"/>
      <c r="SR5" s="6"/>
      <c r="SS5" s="6"/>
      <c r="ST5" s="6"/>
      <c r="SU5" s="6"/>
      <c r="SV5" s="6"/>
      <c r="SW5" s="6"/>
      <c r="SX5" s="6"/>
      <c r="SY5" s="6"/>
      <c r="SZ5" s="6"/>
      <c r="TA5" s="6"/>
      <c r="TB5" s="6"/>
      <c r="TC5" s="6"/>
      <c r="TD5" s="6"/>
      <c r="TE5" s="6"/>
      <c r="TF5" s="6"/>
      <c r="TG5" s="6"/>
      <c r="TH5" s="6"/>
      <c r="TI5" s="6"/>
      <c r="TJ5" s="6"/>
      <c r="TK5" s="6"/>
      <c r="TL5" s="6"/>
      <c r="TM5" s="6"/>
      <c r="TN5" s="6"/>
      <c r="TO5" s="6"/>
      <c r="TP5" s="6"/>
      <c r="TQ5" s="6"/>
      <c r="TR5" s="6"/>
      <c r="TS5" s="6"/>
      <c r="TT5" s="6"/>
      <c r="TU5" s="6"/>
      <c r="TV5" s="6"/>
      <c r="TW5" s="6"/>
      <c r="TX5" s="6"/>
      <c r="TY5" s="6"/>
      <c r="TZ5" s="6"/>
      <c r="UA5" s="6"/>
      <c r="UB5" s="6"/>
      <c r="UC5" s="6"/>
      <c r="UD5" s="6"/>
      <c r="UE5" s="6"/>
      <c r="UF5" s="6"/>
      <c r="UG5" s="6"/>
      <c r="UH5" s="6"/>
      <c r="UI5" s="6"/>
      <c r="UJ5" s="6"/>
      <c r="UK5" s="6"/>
      <c r="UL5" s="6"/>
      <c r="UM5" s="6"/>
      <c r="UN5" s="6"/>
      <c r="UO5" s="6"/>
      <c r="UP5" s="6"/>
      <c r="UQ5" s="6"/>
      <c r="UR5" s="6"/>
      <c r="US5" s="6"/>
      <c r="UT5" s="6"/>
      <c r="UU5" s="6"/>
      <c r="UV5" s="6"/>
      <c r="UW5" s="6"/>
      <c r="UX5" s="6"/>
      <c r="UY5" s="6"/>
      <c r="UZ5" s="6"/>
      <c r="VA5" s="6"/>
      <c r="VB5" s="6"/>
      <c r="VC5" s="6"/>
      <c r="VD5" s="6"/>
      <c r="VE5" s="6"/>
      <c r="VF5" s="6"/>
      <c r="VG5" s="6"/>
      <c r="VH5" s="6"/>
      <c r="VI5" s="6"/>
      <c r="VJ5" s="6"/>
      <c r="VK5" s="6"/>
      <c r="VL5" s="6"/>
      <c r="VM5" s="6"/>
      <c r="VN5" s="6"/>
      <c r="VO5" s="6"/>
      <c r="VP5" s="6"/>
      <c r="VQ5" s="6"/>
      <c r="VR5" s="6"/>
      <c r="VS5" s="6"/>
      <c r="VT5" s="6"/>
      <c r="VU5" s="6"/>
      <c r="VV5" s="6"/>
      <c r="VW5" s="6"/>
      <c r="VX5" s="6"/>
      <c r="VY5" s="6"/>
      <c r="VZ5" s="6"/>
      <c r="WA5" s="6"/>
      <c r="WB5" s="6"/>
      <c r="WC5" s="6"/>
      <c r="WD5" s="6"/>
      <c r="WE5" s="6"/>
      <c r="WF5" s="6"/>
      <c r="WG5" s="6"/>
      <c r="WH5" s="6"/>
      <c r="WI5" s="6"/>
      <c r="WJ5" s="6"/>
      <c r="WK5" s="6"/>
      <c r="WL5" s="6"/>
      <c r="WM5" s="6"/>
      <c r="WN5" s="6"/>
      <c r="WO5" s="6"/>
      <c r="WP5" s="6"/>
      <c r="WQ5" s="6"/>
      <c r="WR5" s="6"/>
      <c r="WS5" s="6"/>
      <c r="WT5" s="6"/>
      <c r="WU5" s="6"/>
      <c r="WV5" s="6"/>
      <c r="WW5" s="6"/>
      <c r="WX5" s="6"/>
      <c r="WY5" s="6"/>
      <c r="WZ5" s="6"/>
      <c r="XA5" s="6"/>
      <c r="XB5" s="6"/>
      <c r="XC5" s="6"/>
      <c r="XD5" s="6"/>
      <c r="XE5" s="6"/>
      <c r="XF5" s="6"/>
      <c r="XG5" s="6"/>
      <c r="XH5" s="6"/>
      <c r="XI5" s="6"/>
      <c r="XJ5" s="6"/>
      <c r="XK5" s="6"/>
      <c r="XL5" s="6"/>
      <c r="XM5" s="6"/>
      <c r="XN5" s="6"/>
      <c r="XO5" s="6"/>
      <c r="XP5" s="6"/>
      <c r="XQ5" s="6"/>
      <c r="XR5" s="6"/>
      <c r="XS5" s="6"/>
      <c r="XT5" s="6"/>
      <c r="XU5" s="6"/>
      <c r="XV5" s="6"/>
      <c r="XW5" s="6"/>
      <c r="XX5" s="6"/>
      <c r="XY5" s="6"/>
      <c r="XZ5" s="6"/>
      <c r="YA5" s="6"/>
      <c r="YB5" s="6"/>
      <c r="YC5" s="6"/>
      <c r="YD5" s="6"/>
      <c r="YE5" s="6"/>
      <c r="YF5" s="6"/>
      <c r="YG5" s="6"/>
      <c r="YH5" s="6"/>
      <c r="YI5" s="6"/>
      <c r="YJ5" s="6"/>
      <c r="YK5" s="6"/>
      <c r="YL5" s="6"/>
      <c r="YM5" s="6"/>
      <c r="YN5" s="6"/>
      <c r="YO5" s="6"/>
      <c r="YP5" s="6"/>
      <c r="YQ5" s="6"/>
      <c r="YR5" s="6"/>
      <c r="YS5" s="6"/>
      <c r="YT5" s="6"/>
      <c r="YU5" s="6"/>
      <c r="YV5" s="6"/>
      <c r="YW5" s="6"/>
      <c r="YX5" s="6"/>
      <c r="YY5" s="6"/>
      <c r="YZ5" s="6"/>
      <c r="ZA5" s="6"/>
      <c r="ZB5" s="6"/>
      <c r="ZC5" s="6"/>
      <c r="ZD5" s="6"/>
      <c r="ZE5" s="6"/>
      <c r="ZF5" s="6"/>
      <c r="ZG5" s="6"/>
      <c r="ZH5" s="6"/>
      <c r="ZI5" s="6"/>
      <c r="ZJ5" s="6"/>
      <c r="ZK5" s="6"/>
      <c r="ZL5" s="6"/>
      <c r="ZM5" s="6"/>
      <c r="ZN5" s="6"/>
      <c r="ZO5" s="6"/>
      <c r="ZP5" s="6"/>
      <c r="ZQ5" s="6"/>
      <c r="ZR5" s="6"/>
      <c r="ZS5" s="6"/>
      <c r="ZT5" s="6"/>
      <c r="ZU5" s="6"/>
      <c r="ZV5" s="6"/>
      <c r="ZW5" s="6"/>
      <c r="ZX5" s="6"/>
      <c r="ZY5" s="6"/>
      <c r="ZZ5" s="6"/>
      <c r="AAA5" s="6"/>
      <c r="AAB5" s="6"/>
      <c r="AAC5" s="6"/>
      <c r="AAD5" s="6"/>
      <c r="AAE5" s="6"/>
      <c r="AAF5" s="6"/>
      <c r="AAG5" s="6"/>
      <c r="AAH5" s="6"/>
      <c r="AAI5" s="6"/>
      <c r="AAJ5" s="6"/>
      <c r="AAK5" s="6"/>
      <c r="AAL5" s="6"/>
      <c r="AAM5" s="6"/>
      <c r="AAN5" s="6"/>
      <c r="AAO5" s="6"/>
      <c r="AAP5" s="6"/>
      <c r="AAQ5" s="6"/>
      <c r="AAR5" s="6"/>
      <c r="AAS5" s="6"/>
      <c r="AAT5" s="6"/>
      <c r="AAU5" s="6"/>
      <c r="AAV5" s="6"/>
      <c r="AAW5" s="6"/>
      <c r="AAX5" s="6"/>
      <c r="AAY5" s="6"/>
      <c r="AAZ5" s="6"/>
      <c r="ABA5" s="6"/>
      <c r="ABB5" s="6"/>
      <c r="ABC5" s="6"/>
      <c r="ABD5" s="6"/>
      <c r="ABE5" s="6"/>
      <c r="ABF5" s="6"/>
      <c r="ABG5" s="6"/>
      <c r="ABH5" s="6"/>
      <c r="ABI5" s="6"/>
      <c r="ABJ5" s="6"/>
      <c r="ABK5" s="6"/>
      <c r="ABL5" s="6"/>
      <c r="ABM5" s="6"/>
      <c r="ABN5" s="6"/>
      <c r="ABO5" s="6"/>
      <c r="ABP5" s="6"/>
      <c r="ABQ5" s="6"/>
      <c r="ABR5" s="6"/>
      <c r="ABS5" s="6"/>
      <c r="ABT5" s="6"/>
      <c r="ABU5" s="6"/>
      <c r="ABV5" s="6"/>
      <c r="ABW5" s="6"/>
      <c r="ABX5" s="6"/>
      <c r="ABY5" s="6"/>
      <c r="ABZ5" s="6"/>
      <c r="ACA5" s="6"/>
      <c r="ACB5" s="6"/>
      <c r="ACC5" s="6"/>
      <c r="ACD5" s="6"/>
      <c r="ACE5" s="6"/>
      <c r="ACF5" s="6"/>
      <c r="ACG5" s="6"/>
      <c r="ACH5" s="6"/>
      <c r="ACI5" s="6"/>
      <c r="ACJ5" s="6"/>
      <c r="ACK5" s="6"/>
      <c r="ACL5" s="6"/>
      <c r="ACM5" s="6"/>
      <c r="ACN5" s="6"/>
      <c r="ACO5" s="6"/>
      <c r="ACP5" s="6"/>
      <c r="ACQ5" s="6"/>
      <c r="ACR5" s="6"/>
      <c r="ACS5" s="6"/>
      <c r="ACT5" s="6"/>
      <c r="ACU5" s="6"/>
      <c r="ACV5" s="6"/>
      <c r="ACW5" s="6"/>
      <c r="ACX5" s="6"/>
      <c r="ACY5" s="6"/>
      <c r="ACZ5" s="6"/>
      <c r="ADA5" s="6"/>
      <c r="ADB5" s="6"/>
      <c r="ADC5" s="6"/>
      <c r="ADD5" s="6"/>
      <c r="ADE5" s="6"/>
      <c r="ADF5" s="6"/>
      <c r="ADG5" s="6"/>
      <c r="ADH5" s="6"/>
      <c r="ADI5" s="6"/>
      <c r="ADJ5" s="6"/>
      <c r="ADK5" s="6"/>
      <c r="ADL5" s="6"/>
      <c r="ADM5" s="6"/>
      <c r="ADN5" s="6"/>
      <c r="ADO5" s="6"/>
      <c r="ADP5" s="6"/>
      <c r="ADQ5" s="6"/>
      <c r="ADR5" s="6"/>
      <c r="ADS5" s="6"/>
      <c r="ADT5" s="6"/>
      <c r="ADU5" s="6"/>
      <c r="ADV5" s="6"/>
      <c r="ADW5" s="6"/>
      <c r="ADX5" s="6"/>
      <c r="ADY5" s="6"/>
      <c r="ADZ5" s="6"/>
      <c r="AEA5" s="6"/>
      <c r="AEB5" s="6"/>
      <c r="AEC5" s="6"/>
      <c r="AED5" s="6"/>
      <c r="AEE5" s="6"/>
      <c r="AEF5" s="6"/>
      <c r="AEG5" s="6"/>
      <c r="AEH5" s="6"/>
      <c r="AEI5" s="6"/>
      <c r="AEJ5" s="6"/>
      <c r="AEK5" s="6"/>
      <c r="AEL5" s="6"/>
      <c r="AEM5" s="6"/>
      <c r="AEN5" s="6"/>
      <c r="AEO5" s="6"/>
      <c r="AEP5" s="6"/>
      <c r="AEQ5" s="6"/>
      <c r="AER5" s="6"/>
      <c r="AES5" s="6"/>
      <c r="AET5" s="6"/>
      <c r="AEU5" s="6"/>
      <c r="AEV5" s="6"/>
      <c r="AEW5" s="6"/>
      <c r="AEX5" s="6"/>
      <c r="AEY5" s="6"/>
      <c r="AEZ5" s="6"/>
      <c r="AFA5" s="6"/>
      <c r="AFB5" s="6"/>
      <c r="AFC5" s="6"/>
      <c r="AFD5" s="6"/>
      <c r="AFE5" s="6"/>
      <c r="AFF5" s="6"/>
      <c r="AFG5" s="6"/>
      <c r="AFH5" s="6"/>
      <c r="AFI5" s="6"/>
      <c r="AFJ5" s="6"/>
      <c r="AFK5" s="6"/>
      <c r="AFL5" s="6"/>
      <c r="AFM5" s="6"/>
      <c r="AFN5" s="6"/>
      <c r="AFO5" s="6"/>
      <c r="AFP5" s="6"/>
      <c r="AFQ5" s="6"/>
      <c r="AFR5" s="6"/>
      <c r="AFS5" s="6"/>
      <c r="AFT5" s="6"/>
      <c r="AFU5" s="6"/>
      <c r="AFV5" s="6"/>
      <c r="AFW5" s="6"/>
      <c r="AFX5" s="6"/>
      <c r="AFY5" s="6"/>
      <c r="AFZ5" s="6"/>
      <c r="AGA5" s="6"/>
      <c r="AGB5" s="6"/>
      <c r="AGC5" s="6"/>
      <c r="AGD5" s="6"/>
      <c r="AGE5" s="6"/>
      <c r="AGF5" s="6"/>
      <c r="AGG5" s="6"/>
      <c r="AGH5" s="6"/>
      <c r="AGI5" s="6"/>
      <c r="AGJ5" s="6"/>
      <c r="AGK5" s="6"/>
      <c r="AGL5" s="6"/>
      <c r="AGM5" s="6"/>
      <c r="AGN5" s="6"/>
      <c r="AGO5" s="6"/>
      <c r="AGP5" s="6"/>
      <c r="AGQ5" s="6"/>
      <c r="AGR5" s="6"/>
      <c r="AGS5" s="6"/>
      <c r="AGT5" s="6"/>
      <c r="AGU5" s="6"/>
      <c r="AGV5" s="6"/>
      <c r="AGW5" s="6"/>
      <c r="AGX5" s="6"/>
      <c r="AGY5" s="6"/>
      <c r="AGZ5" s="6"/>
      <c r="AHA5" s="6"/>
      <c r="AHB5" s="6"/>
      <c r="AHC5" s="6"/>
      <c r="AHD5" s="6"/>
      <c r="AHE5" s="6"/>
      <c r="AHF5" s="6"/>
      <c r="AHG5" s="6"/>
      <c r="AHH5" s="6"/>
      <c r="AHI5" s="6"/>
      <c r="AHJ5" s="6"/>
      <c r="AHK5" s="6"/>
      <c r="AHL5" s="6"/>
      <c r="AHM5" s="6"/>
      <c r="AHN5" s="6"/>
      <c r="AHO5" s="6"/>
      <c r="AHP5" s="6"/>
      <c r="AHQ5" s="6"/>
      <c r="AHR5" s="6"/>
      <c r="AHS5" s="6"/>
      <c r="AHT5" s="6"/>
      <c r="AHU5" s="6"/>
      <c r="AHV5" s="6"/>
      <c r="AHW5" s="6"/>
      <c r="AHX5" s="6"/>
      <c r="AHY5" s="6"/>
      <c r="AHZ5" s="6"/>
      <c r="AIA5" s="6"/>
      <c r="AIB5" s="6"/>
      <c r="AIC5" s="6"/>
      <c r="AID5" s="6"/>
      <c r="AIE5" s="6"/>
      <c r="AIF5" s="6"/>
      <c r="AIG5" s="6"/>
      <c r="AIH5" s="6"/>
      <c r="AII5" s="6"/>
      <c r="AIJ5" s="6"/>
      <c r="AIK5" s="6"/>
      <c r="AIL5" s="6"/>
      <c r="AIM5" s="6"/>
      <c r="AIN5" s="6"/>
      <c r="AIO5" s="6"/>
      <c r="AIP5" s="6"/>
      <c r="AIQ5" s="6"/>
      <c r="AIR5" s="6"/>
      <c r="AIS5" s="6"/>
      <c r="AIT5" s="6"/>
      <c r="AIU5" s="6"/>
      <c r="AIV5" s="6"/>
      <c r="AIW5" s="6"/>
      <c r="AIX5" s="6"/>
      <c r="AIY5" s="6"/>
      <c r="AIZ5" s="6"/>
      <c r="AJA5" s="6"/>
      <c r="AJB5" s="6"/>
      <c r="AJC5" s="6"/>
      <c r="AJD5" s="6"/>
      <c r="AJE5" s="6"/>
      <c r="AJF5" s="6"/>
      <c r="AJG5" s="6"/>
      <c r="AJH5" s="6"/>
      <c r="AJI5" s="6"/>
      <c r="AJJ5" s="6"/>
      <c r="AJK5" s="6"/>
      <c r="AJL5" s="6"/>
      <c r="AJM5" s="6"/>
      <c r="AJN5" s="6"/>
      <c r="AJO5" s="6"/>
      <c r="AJP5" s="6"/>
      <c r="AJQ5" s="6"/>
      <c r="AJR5" s="6"/>
      <c r="AJS5" s="6"/>
      <c r="AJT5" s="6"/>
      <c r="AJU5" s="6"/>
      <c r="AJV5" s="6"/>
      <c r="AJW5" s="6"/>
      <c r="AJX5" s="6"/>
      <c r="AJY5" s="6"/>
      <c r="AJZ5" s="6"/>
      <c r="AKA5" s="6"/>
      <c r="AKB5" s="6"/>
      <c r="AKC5" s="6"/>
      <c r="AKD5" s="6"/>
      <c r="AKE5" s="6"/>
      <c r="AKF5" s="6"/>
      <c r="AKG5" s="6"/>
      <c r="AKH5" s="6"/>
      <c r="AKI5" s="6"/>
      <c r="AKJ5" s="6"/>
      <c r="AKK5" s="6"/>
      <c r="AKL5" s="6"/>
      <c r="AKM5" s="6"/>
      <c r="AKN5" s="6"/>
      <c r="AKO5" s="6"/>
      <c r="AKP5" s="6"/>
      <c r="AKQ5" s="6"/>
      <c r="AKR5" s="6"/>
      <c r="AKS5" s="6"/>
      <c r="AKT5" s="6"/>
      <c r="AKU5" s="6"/>
      <c r="AKV5" s="6"/>
      <c r="AKW5" s="6"/>
      <c r="AKX5" s="6"/>
      <c r="AKY5" s="6"/>
      <c r="AKZ5" s="6"/>
      <c r="ALA5" s="6"/>
      <c r="ALB5" s="6"/>
      <c r="ALC5" s="6"/>
      <c r="ALD5" s="6"/>
      <c r="ALE5" s="6"/>
      <c r="ALF5" s="6"/>
      <c r="ALG5" s="6"/>
      <c r="ALH5" s="6"/>
      <c r="ALI5" s="6"/>
      <c r="ALJ5" s="6"/>
      <c r="ALK5" s="6"/>
      <c r="ALL5" s="6"/>
      <c r="ALM5" s="6"/>
      <c r="ALN5" s="6"/>
      <c r="ALO5" s="6"/>
      <c r="ALP5" s="6"/>
      <c r="ALQ5" s="6"/>
      <c r="ALR5" s="6"/>
      <c r="ALS5" s="6"/>
      <c r="ALT5" s="6"/>
      <c r="ALU5" s="6"/>
      <c r="ALV5" s="6"/>
      <c r="ALW5" s="6"/>
      <c r="ALX5" s="6"/>
      <c r="ALY5" s="6"/>
      <c r="ALZ5" s="6"/>
      <c r="AMA5" s="6"/>
      <c r="AMB5" s="6"/>
      <c r="AMC5" s="6"/>
      <c r="AMD5" s="6"/>
      <c r="AME5" s="6"/>
      <c r="AMF5" s="6"/>
      <c r="AMG5" s="6"/>
      <c r="AMH5" s="6"/>
    </row>
    <row r="6" spans="1:1022" x14ac:dyDescent="0.15">
      <c r="A6" s="6" t="s">
        <v>2138</v>
      </c>
      <c r="B6" s="6" t="s">
        <v>150</v>
      </c>
      <c r="C6" s="6" t="str">
        <f>B6&amp;":"&amp;A6</f>
        <v>att_organism:UP000005640</v>
      </c>
      <c r="D6" s="6" t="s">
        <v>2139</v>
      </c>
      <c r="E6" s="6" t="s">
        <v>2140</v>
      </c>
      <c r="F6" s="6" t="s">
        <v>2141</v>
      </c>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c r="EY6" s="6"/>
      <c r="EZ6" s="6"/>
      <c r="FA6" s="6"/>
      <c r="FB6" s="6"/>
      <c r="FC6" s="6"/>
      <c r="FD6" s="6"/>
      <c r="FE6" s="6"/>
      <c r="FF6" s="6"/>
      <c r="FG6" s="6"/>
      <c r="FH6" s="6"/>
      <c r="FI6" s="6"/>
      <c r="FJ6" s="6"/>
      <c r="FK6" s="6"/>
      <c r="FL6" s="6"/>
      <c r="FM6" s="6"/>
      <c r="FN6" s="6"/>
      <c r="FO6" s="6"/>
      <c r="FP6" s="6"/>
      <c r="FQ6" s="6"/>
      <c r="FR6" s="6"/>
      <c r="FS6" s="6"/>
      <c r="FT6" s="6"/>
      <c r="FU6" s="6"/>
      <c r="FV6" s="6"/>
      <c r="FW6" s="6"/>
      <c r="FX6" s="6"/>
      <c r="FY6" s="6"/>
      <c r="FZ6" s="6"/>
      <c r="GA6" s="6"/>
      <c r="GB6" s="6"/>
      <c r="GC6" s="6"/>
      <c r="GD6" s="6"/>
      <c r="GE6" s="6"/>
      <c r="GF6" s="6"/>
      <c r="GG6" s="6"/>
      <c r="GH6" s="6"/>
      <c r="GI6" s="6"/>
      <c r="GJ6" s="6"/>
      <c r="GK6" s="6"/>
      <c r="GL6" s="6"/>
      <c r="GM6" s="6"/>
      <c r="GN6" s="6"/>
      <c r="GO6" s="6"/>
      <c r="GP6" s="6"/>
      <c r="GQ6" s="6"/>
      <c r="GR6" s="6"/>
      <c r="GS6" s="6"/>
      <c r="GT6" s="6"/>
      <c r="GU6" s="6"/>
      <c r="GV6" s="6"/>
      <c r="GW6" s="6"/>
      <c r="GX6" s="6"/>
      <c r="GY6" s="6"/>
      <c r="GZ6" s="6"/>
      <c r="HA6" s="6"/>
      <c r="HB6" s="6"/>
      <c r="HC6" s="6"/>
      <c r="HD6" s="6"/>
      <c r="HE6" s="6"/>
      <c r="HF6" s="6"/>
      <c r="HG6" s="6"/>
      <c r="HH6" s="6"/>
      <c r="HI6" s="6"/>
      <c r="HJ6" s="6"/>
      <c r="HK6" s="6"/>
      <c r="HL6" s="6"/>
      <c r="HM6" s="6"/>
      <c r="HN6" s="6"/>
      <c r="HO6" s="6"/>
      <c r="HP6" s="6"/>
      <c r="HQ6" s="6"/>
      <c r="HR6" s="6"/>
      <c r="HS6" s="6"/>
      <c r="HT6" s="6"/>
      <c r="HU6" s="6"/>
      <c r="HV6" s="6"/>
      <c r="HW6" s="6"/>
      <c r="HX6" s="6"/>
      <c r="HY6" s="6"/>
      <c r="HZ6" s="6"/>
      <c r="IA6" s="6"/>
      <c r="IB6" s="6"/>
      <c r="IC6" s="6"/>
      <c r="ID6" s="6"/>
      <c r="IE6" s="6"/>
      <c r="IF6" s="6"/>
      <c r="IG6" s="6"/>
      <c r="IH6" s="6"/>
      <c r="II6" s="6"/>
      <c r="IJ6" s="6"/>
      <c r="IK6" s="6"/>
      <c r="IL6" s="6"/>
      <c r="IM6" s="6"/>
      <c r="IN6" s="6"/>
      <c r="IO6" s="6"/>
      <c r="IP6" s="6"/>
      <c r="IQ6" s="6"/>
      <c r="IR6" s="6"/>
      <c r="IS6" s="6"/>
      <c r="IT6" s="6"/>
      <c r="IU6" s="6"/>
      <c r="IV6" s="6"/>
      <c r="IW6" s="6"/>
      <c r="IX6" s="6"/>
      <c r="IY6" s="6"/>
      <c r="IZ6" s="6"/>
      <c r="JA6" s="6"/>
      <c r="JB6" s="6"/>
      <c r="JC6" s="6"/>
      <c r="JD6" s="6"/>
      <c r="JE6" s="6"/>
      <c r="JF6" s="6"/>
      <c r="JG6" s="6"/>
      <c r="JH6" s="6"/>
      <c r="JI6" s="6"/>
      <c r="JJ6" s="6"/>
      <c r="JK6" s="6"/>
      <c r="JL6" s="6"/>
      <c r="JM6" s="6"/>
      <c r="JN6" s="6"/>
      <c r="JO6" s="6"/>
      <c r="JP6" s="6"/>
      <c r="JQ6" s="6"/>
      <c r="JR6" s="6"/>
      <c r="JS6" s="6"/>
      <c r="JT6" s="6"/>
      <c r="JU6" s="6"/>
      <c r="JV6" s="6"/>
      <c r="JW6" s="6"/>
      <c r="JX6" s="6"/>
      <c r="JY6" s="6"/>
      <c r="JZ6" s="6"/>
      <c r="KA6" s="6"/>
      <c r="KB6" s="6"/>
      <c r="KC6" s="6"/>
      <c r="KD6" s="6"/>
      <c r="KE6" s="6"/>
      <c r="KF6" s="6"/>
      <c r="KG6" s="6"/>
      <c r="KH6" s="6"/>
      <c r="KI6" s="6"/>
      <c r="KJ6" s="6"/>
      <c r="KK6" s="6"/>
      <c r="KL6" s="6"/>
      <c r="KM6" s="6"/>
      <c r="KN6" s="6"/>
      <c r="KO6" s="6"/>
      <c r="KP6" s="6"/>
      <c r="KQ6" s="6"/>
      <c r="KR6" s="6"/>
      <c r="KS6" s="6"/>
      <c r="KT6" s="6"/>
      <c r="KU6" s="6"/>
      <c r="KV6" s="6"/>
      <c r="KW6" s="6"/>
      <c r="KX6" s="6"/>
      <c r="KY6" s="6"/>
      <c r="KZ6" s="6"/>
      <c r="LA6" s="6"/>
      <c r="LB6" s="6"/>
      <c r="LC6" s="6"/>
      <c r="LD6" s="6"/>
      <c r="LE6" s="6"/>
      <c r="LF6" s="6"/>
      <c r="LG6" s="6"/>
      <c r="LH6" s="6"/>
      <c r="LI6" s="6"/>
      <c r="LJ6" s="6"/>
      <c r="LK6" s="6"/>
      <c r="LL6" s="6"/>
      <c r="LM6" s="6"/>
      <c r="LN6" s="6"/>
      <c r="LO6" s="6"/>
      <c r="LP6" s="6"/>
      <c r="LQ6" s="6"/>
      <c r="LR6" s="6"/>
      <c r="LS6" s="6"/>
      <c r="LT6" s="6"/>
      <c r="LU6" s="6"/>
      <c r="LV6" s="6"/>
      <c r="LW6" s="6"/>
      <c r="LX6" s="6"/>
      <c r="LY6" s="6"/>
      <c r="LZ6" s="6"/>
      <c r="MA6" s="6"/>
      <c r="MB6" s="6"/>
      <c r="MC6" s="6"/>
      <c r="MD6" s="6"/>
      <c r="ME6" s="6"/>
      <c r="MF6" s="6"/>
      <c r="MG6" s="6"/>
      <c r="MH6" s="6"/>
      <c r="MI6" s="6"/>
      <c r="MJ6" s="6"/>
      <c r="MK6" s="6"/>
      <c r="ML6" s="6"/>
      <c r="MM6" s="6"/>
      <c r="MN6" s="6"/>
      <c r="MO6" s="6"/>
      <c r="MP6" s="6"/>
      <c r="MQ6" s="6"/>
      <c r="MR6" s="6"/>
      <c r="MS6" s="6"/>
      <c r="MT6" s="6"/>
      <c r="MU6" s="6"/>
      <c r="MV6" s="6"/>
      <c r="MW6" s="6"/>
      <c r="MX6" s="6"/>
      <c r="MY6" s="6"/>
      <c r="MZ6" s="6"/>
      <c r="NA6" s="6"/>
      <c r="NB6" s="6"/>
      <c r="NC6" s="6"/>
      <c r="ND6" s="6"/>
      <c r="NE6" s="6"/>
      <c r="NF6" s="6"/>
      <c r="NG6" s="6"/>
      <c r="NH6" s="6"/>
      <c r="NI6" s="6"/>
      <c r="NJ6" s="6"/>
      <c r="NK6" s="6"/>
      <c r="NL6" s="6"/>
      <c r="NM6" s="6"/>
      <c r="NN6" s="6"/>
      <c r="NO6" s="6"/>
      <c r="NP6" s="6"/>
      <c r="NQ6" s="6"/>
      <c r="NR6" s="6"/>
      <c r="NS6" s="6"/>
      <c r="NT6" s="6"/>
      <c r="NU6" s="6"/>
      <c r="NV6" s="6"/>
      <c r="NW6" s="6"/>
      <c r="NX6" s="6"/>
      <c r="NY6" s="6"/>
      <c r="NZ6" s="6"/>
      <c r="OA6" s="6"/>
      <c r="OB6" s="6"/>
      <c r="OC6" s="6"/>
      <c r="OD6" s="6"/>
      <c r="OE6" s="6"/>
      <c r="OF6" s="6"/>
      <c r="OG6" s="6"/>
      <c r="OH6" s="6"/>
      <c r="OI6" s="6"/>
      <c r="OJ6" s="6"/>
      <c r="OK6" s="6"/>
      <c r="OL6" s="6"/>
      <c r="OM6" s="6"/>
      <c r="ON6" s="6"/>
      <c r="OO6" s="6"/>
      <c r="OP6" s="6"/>
      <c r="OQ6" s="6"/>
      <c r="OR6" s="6"/>
      <c r="OS6" s="6"/>
      <c r="OT6" s="6"/>
      <c r="OU6" s="6"/>
      <c r="OV6" s="6"/>
      <c r="OW6" s="6"/>
      <c r="OX6" s="6"/>
      <c r="OY6" s="6"/>
      <c r="OZ6" s="6"/>
      <c r="PA6" s="6"/>
      <c r="PB6" s="6"/>
      <c r="PC6" s="6"/>
      <c r="PD6" s="6"/>
      <c r="PE6" s="6"/>
      <c r="PF6" s="6"/>
      <c r="PG6" s="6"/>
      <c r="PH6" s="6"/>
      <c r="PI6" s="6"/>
      <c r="PJ6" s="6"/>
      <c r="PK6" s="6"/>
      <c r="PL6" s="6"/>
      <c r="PM6" s="6"/>
      <c r="PN6" s="6"/>
      <c r="PO6" s="6"/>
      <c r="PP6" s="6"/>
      <c r="PQ6" s="6"/>
      <c r="PR6" s="6"/>
      <c r="PS6" s="6"/>
      <c r="PT6" s="6"/>
      <c r="PU6" s="6"/>
      <c r="PV6" s="6"/>
      <c r="PW6" s="6"/>
      <c r="PX6" s="6"/>
      <c r="PY6" s="6"/>
      <c r="PZ6" s="6"/>
      <c r="QA6" s="6"/>
      <c r="QB6" s="6"/>
      <c r="QC6" s="6"/>
      <c r="QD6" s="6"/>
      <c r="QE6" s="6"/>
      <c r="QF6" s="6"/>
      <c r="QG6" s="6"/>
      <c r="QH6" s="6"/>
      <c r="QI6" s="6"/>
      <c r="QJ6" s="6"/>
      <c r="QK6" s="6"/>
      <c r="QL6" s="6"/>
      <c r="QM6" s="6"/>
      <c r="QN6" s="6"/>
      <c r="QO6" s="6"/>
      <c r="QP6" s="6"/>
      <c r="QQ6" s="6"/>
      <c r="QR6" s="6"/>
      <c r="QS6" s="6"/>
      <c r="QT6" s="6"/>
      <c r="QU6" s="6"/>
      <c r="QV6" s="6"/>
      <c r="QW6" s="6"/>
      <c r="QX6" s="6"/>
      <c r="QY6" s="6"/>
      <c r="QZ6" s="6"/>
      <c r="RA6" s="6"/>
      <c r="RB6" s="6"/>
      <c r="RC6" s="6"/>
      <c r="RD6" s="6"/>
      <c r="RE6" s="6"/>
      <c r="RF6" s="6"/>
      <c r="RG6" s="6"/>
      <c r="RH6" s="6"/>
      <c r="RI6" s="6"/>
      <c r="RJ6" s="6"/>
      <c r="RK6" s="6"/>
      <c r="RL6" s="6"/>
      <c r="RM6" s="6"/>
      <c r="RN6" s="6"/>
      <c r="RO6" s="6"/>
      <c r="RP6" s="6"/>
      <c r="RQ6" s="6"/>
      <c r="RR6" s="6"/>
      <c r="RS6" s="6"/>
      <c r="RT6" s="6"/>
      <c r="RU6" s="6"/>
      <c r="RV6" s="6"/>
      <c r="RW6" s="6"/>
      <c r="RX6" s="6"/>
      <c r="RY6" s="6"/>
      <c r="RZ6" s="6"/>
      <c r="SA6" s="6"/>
      <c r="SB6" s="6"/>
      <c r="SC6" s="6"/>
      <c r="SD6" s="6"/>
      <c r="SE6" s="6"/>
      <c r="SF6" s="6"/>
      <c r="SG6" s="6"/>
      <c r="SH6" s="6"/>
      <c r="SI6" s="6"/>
      <c r="SJ6" s="6"/>
      <c r="SK6" s="6"/>
      <c r="SL6" s="6"/>
      <c r="SM6" s="6"/>
      <c r="SN6" s="6"/>
      <c r="SO6" s="6"/>
      <c r="SP6" s="6"/>
      <c r="SQ6" s="6"/>
      <c r="SR6" s="6"/>
      <c r="SS6" s="6"/>
      <c r="ST6" s="6"/>
      <c r="SU6" s="6"/>
      <c r="SV6" s="6"/>
      <c r="SW6" s="6"/>
      <c r="SX6" s="6"/>
      <c r="SY6" s="6"/>
      <c r="SZ6" s="6"/>
      <c r="TA6" s="6"/>
      <c r="TB6" s="6"/>
      <c r="TC6" s="6"/>
      <c r="TD6" s="6"/>
      <c r="TE6" s="6"/>
      <c r="TF6" s="6"/>
      <c r="TG6" s="6"/>
      <c r="TH6" s="6"/>
      <c r="TI6" s="6"/>
      <c r="TJ6" s="6"/>
      <c r="TK6" s="6"/>
      <c r="TL6" s="6"/>
      <c r="TM6" s="6"/>
      <c r="TN6" s="6"/>
      <c r="TO6" s="6"/>
      <c r="TP6" s="6"/>
      <c r="TQ6" s="6"/>
      <c r="TR6" s="6"/>
      <c r="TS6" s="6"/>
      <c r="TT6" s="6"/>
      <c r="TU6" s="6"/>
      <c r="TV6" s="6"/>
      <c r="TW6" s="6"/>
      <c r="TX6" s="6"/>
      <c r="TY6" s="6"/>
      <c r="TZ6" s="6"/>
      <c r="UA6" s="6"/>
      <c r="UB6" s="6"/>
      <c r="UC6" s="6"/>
      <c r="UD6" s="6"/>
      <c r="UE6" s="6"/>
      <c r="UF6" s="6"/>
      <c r="UG6" s="6"/>
      <c r="UH6" s="6"/>
      <c r="UI6" s="6"/>
      <c r="UJ6" s="6"/>
      <c r="UK6" s="6"/>
      <c r="UL6" s="6"/>
      <c r="UM6" s="6"/>
      <c r="UN6" s="6"/>
      <c r="UO6" s="6"/>
      <c r="UP6" s="6"/>
      <c r="UQ6" s="6"/>
      <c r="UR6" s="6"/>
      <c r="US6" s="6"/>
      <c r="UT6" s="6"/>
      <c r="UU6" s="6"/>
      <c r="UV6" s="6"/>
      <c r="UW6" s="6"/>
      <c r="UX6" s="6"/>
      <c r="UY6" s="6"/>
      <c r="UZ6" s="6"/>
      <c r="VA6" s="6"/>
      <c r="VB6" s="6"/>
      <c r="VC6" s="6"/>
      <c r="VD6" s="6"/>
      <c r="VE6" s="6"/>
      <c r="VF6" s="6"/>
      <c r="VG6" s="6"/>
      <c r="VH6" s="6"/>
      <c r="VI6" s="6"/>
      <c r="VJ6" s="6"/>
      <c r="VK6" s="6"/>
      <c r="VL6" s="6"/>
      <c r="VM6" s="6"/>
      <c r="VN6" s="6"/>
      <c r="VO6" s="6"/>
      <c r="VP6" s="6"/>
      <c r="VQ6" s="6"/>
      <c r="VR6" s="6"/>
      <c r="VS6" s="6"/>
      <c r="VT6" s="6"/>
      <c r="VU6" s="6"/>
      <c r="VV6" s="6"/>
      <c r="VW6" s="6"/>
      <c r="VX6" s="6"/>
      <c r="VY6" s="6"/>
      <c r="VZ6" s="6"/>
      <c r="WA6" s="6"/>
      <c r="WB6" s="6"/>
      <c r="WC6" s="6"/>
      <c r="WD6" s="6"/>
      <c r="WE6" s="6"/>
      <c r="WF6" s="6"/>
      <c r="WG6" s="6"/>
      <c r="WH6" s="6"/>
      <c r="WI6" s="6"/>
      <c r="WJ6" s="6"/>
      <c r="WK6" s="6"/>
      <c r="WL6" s="6"/>
      <c r="WM6" s="6"/>
      <c r="WN6" s="6"/>
      <c r="WO6" s="6"/>
      <c r="WP6" s="6"/>
      <c r="WQ6" s="6"/>
      <c r="WR6" s="6"/>
      <c r="WS6" s="6"/>
      <c r="WT6" s="6"/>
      <c r="WU6" s="6"/>
      <c r="WV6" s="6"/>
      <c r="WW6" s="6"/>
      <c r="WX6" s="6"/>
      <c r="WY6" s="6"/>
      <c r="WZ6" s="6"/>
      <c r="XA6" s="6"/>
      <c r="XB6" s="6"/>
      <c r="XC6" s="6"/>
      <c r="XD6" s="6"/>
      <c r="XE6" s="6"/>
      <c r="XF6" s="6"/>
      <c r="XG6" s="6"/>
      <c r="XH6" s="6"/>
      <c r="XI6" s="6"/>
      <c r="XJ6" s="6"/>
      <c r="XK6" s="6"/>
      <c r="XL6" s="6"/>
      <c r="XM6" s="6"/>
      <c r="XN6" s="6"/>
      <c r="XO6" s="6"/>
      <c r="XP6" s="6"/>
      <c r="XQ6" s="6"/>
      <c r="XR6" s="6"/>
      <c r="XS6" s="6"/>
      <c r="XT6" s="6"/>
      <c r="XU6" s="6"/>
      <c r="XV6" s="6"/>
      <c r="XW6" s="6"/>
      <c r="XX6" s="6"/>
      <c r="XY6" s="6"/>
      <c r="XZ6" s="6"/>
      <c r="YA6" s="6"/>
      <c r="YB6" s="6"/>
      <c r="YC6" s="6"/>
      <c r="YD6" s="6"/>
      <c r="YE6" s="6"/>
      <c r="YF6" s="6"/>
      <c r="YG6" s="6"/>
      <c r="YH6" s="6"/>
      <c r="YI6" s="6"/>
      <c r="YJ6" s="6"/>
      <c r="YK6" s="6"/>
      <c r="YL6" s="6"/>
      <c r="YM6" s="6"/>
      <c r="YN6" s="6"/>
      <c r="YO6" s="6"/>
      <c r="YP6" s="6"/>
      <c r="YQ6" s="6"/>
      <c r="YR6" s="6"/>
      <c r="YS6" s="6"/>
      <c r="YT6" s="6"/>
      <c r="YU6" s="6"/>
      <c r="YV6" s="6"/>
      <c r="YW6" s="6"/>
      <c r="YX6" s="6"/>
      <c r="YY6" s="6"/>
      <c r="YZ6" s="6"/>
      <c r="ZA6" s="6"/>
      <c r="ZB6" s="6"/>
      <c r="ZC6" s="6"/>
      <c r="ZD6" s="6"/>
      <c r="ZE6" s="6"/>
      <c r="ZF6" s="6"/>
      <c r="ZG6" s="6"/>
      <c r="ZH6" s="6"/>
      <c r="ZI6" s="6"/>
      <c r="ZJ6" s="6"/>
      <c r="ZK6" s="6"/>
      <c r="ZL6" s="6"/>
      <c r="ZM6" s="6"/>
      <c r="ZN6" s="6"/>
      <c r="ZO6" s="6"/>
      <c r="ZP6" s="6"/>
      <c r="ZQ6" s="6"/>
      <c r="ZR6" s="6"/>
      <c r="ZS6" s="6"/>
      <c r="ZT6" s="6"/>
      <c r="ZU6" s="6"/>
      <c r="ZV6" s="6"/>
      <c r="ZW6" s="6"/>
      <c r="ZX6" s="6"/>
      <c r="ZY6" s="6"/>
      <c r="ZZ6" s="6"/>
      <c r="AAA6" s="6"/>
      <c r="AAB6" s="6"/>
      <c r="AAC6" s="6"/>
      <c r="AAD6" s="6"/>
      <c r="AAE6" s="6"/>
      <c r="AAF6" s="6"/>
      <c r="AAG6" s="6"/>
      <c r="AAH6" s="6"/>
      <c r="AAI6" s="6"/>
      <c r="AAJ6" s="6"/>
      <c r="AAK6" s="6"/>
      <c r="AAL6" s="6"/>
      <c r="AAM6" s="6"/>
      <c r="AAN6" s="6"/>
      <c r="AAO6" s="6"/>
      <c r="AAP6" s="6"/>
      <c r="AAQ6" s="6"/>
      <c r="AAR6" s="6"/>
      <c r="AAS6" s="6"/>
      <c r="AAT6" s="6"/>
      <c r="AAU6" s="6"/>
      <c r="AAV6" s="6"/>
      <c r="AAW6" s="6"/>
      <c r="AAX6" s="6"/>
      <c r="AAY6" s="6"/>
      <c r="AAZ6" s="6"/>
      <c r="ABA6" s="6"/>
      <c r="ABB6" s="6"/>
      <c r="ABC6" s="6"/>
      <c r="ABD6" s="6"/>
      <c r="ABE6" s="6"/>
      <c r="ABF6" s="6"/>
      <c r="ABG6" s="6"/>
      <c r="ABH6" s="6"/>
      <c r="ABI6" s="6"/>
      <c r="ABJ6" s="6"/>
      <c r="ABK6" s="6"/>
      <c r="ABL6" s="6"/>
      <c r="ABM6" s="6"/>
      <c r="ABN6" s="6"/>
      <c r="ABO6" s="6"/>
      <c r="ABP6" s="6"/>
      <c r="ABQ6" s="6"/>
      <c r="ABR6" s="6"/>
      <c r="ABS6" s="6"/>
      <c r="ABT6" s="6"/>
      <c r="ABU6" s="6"/>
      <c r="ABV6" s="6"/>
      <c r="ABW6" s="6"/>
      <c r="ABX6" s="6"/>
      <c r="ABY6" s="6"/>
      <c r="ABZ6" s="6"/>
      <c r="ACA6" s="6"/>
      <c r="ACB6" s="6"/>
      <c r="ACC6" s="6"/>
      <c r="ACD6" s="6"/>
      <c r="ACE6" s="6"/>
      <c r="ACF6" s="6"/>
      <c r="ACG6" s="6"/>
      <c r="ACH6" s="6"/>
      <c r="ACI6" s="6"/>
      <c r="ACJ6" s="6"/>
      <c r="ACK6" s="6"/>
      <c r="ACL6" s="6"/>
      <c r="ACM6" s="6"/>
      <c r="ACN6" s="6"/>
      <c r="ACO6" s="6"/>
      <c r="ACP6" s="6"/>
      <c r="ACQ6" s="6"/>
      <c r="ACR6" s="6"/>
      <c r="ACS6" s="6"/>
      <c r="ACT6" s="6"/>
      <c r="ACU6" s="6"/>
      <c r="ACV6" s="6"/>
      <c r="ACW6" s="6"/>
      <c r="ACX6" s="6"/>
      <c r="ACY6" s="6"/>
      <c r="ACZ6" s="6"/>
      <c r="ADA6" s="6"/>
      <c r="ADB6" s="6"/>
      <c r="ADC6" s="6"/>
      <c r="ADD6" s="6"/>
      <c r="ADE6" s="6"/>
      <c r="ADF6" s="6"/>
      <c r="ADG6" s="6"/>
      <c r="ADH6" s="6"/>
      <c r="ADI6" s="6"/>
      <c r="ADJ6" s="6"/>
      <c r="ADK6" s="6"/>
      <c r="ADL6" s="6"/>
      <c r="ADM6" s="6"/>
      <c r="ADN6" s="6"/>
      <c r="ADO6" s="6"/>
      <c r="ADP6" s="6"/>
      <c r="ADQ6" s="6"/>
      <c r="ADR6" s="6"/>
      <c r="ADS6" s="6"/>
      <c r="ADT6" s="6"/>
      <c r="ADU6" s="6"/>
      <c r="ADV6" s="6"/>
      <c r="ADW6" s="6"/>
      <c r="ADX6" s="6"/>
      <c r="ADY6" s="6"/>
      <c r="ADZ6" s="6"/>
      <c r="AEA6" s="6"/>
      <c r="AEB6" s="6"/>
      <c r="AEC6" s="6"/>
      <c r="AED6" s="6"/>
      <c r="AEE6" s="6"/>
      <c r="AEF6" s="6"/>
      <c r="AEG6" s="6"/>
      <c r="AEH6" s="6"/>
      <c r="AEI6" s="6"/>
      <c r="AEJ6" s="6"/>
      <c r="AEK6" s="6"/>
      <c r="AEL6" s="6"/>
      <c r="AEM6" s="6"/>
      <c r="AEN6" s="6"/>
      <c r="AEO6" s="6"/>
      <c r="AEP6" s="6"/>
      <c r="AEQ6" s="6"/>
      <c r="AER6" s="6"/>
      <c r="AES6" s="6"/>
      <c r="AET6" s="6"/>
      <c r="AEU6" s="6"/>
      <c r="AEV6" s="6"/>
      <c r="AEW6" s="6"/>
      <c r="AEX6" s="6"/>
      <c r="AEY6" s="6"/>
      <c r="AEZ6" s="6"/>
      <c r="AFA6" s="6"/>
      <c r="AFB6" s="6"/>
      <c r="AFC6" s="6"/>
      <c r="AFD6" s="6"/>
      <c r="AFE6" s="6"/>
      <c r="AFF6" s="6"/>
      <c r="AFG6" s="6"/>
      <c r="AFH6" s="6"/>
      <c r="AFI6" s="6"/>
      <c r="AFJ6" s="6"/>
      <c r="AFK6" s="6"/>
      <c r="AFL6" s="6"/>
      <c r="AFM6" s="6"/>
      <c r="AFN6" s="6"/>
      <c r="AFO6" s="6"/>
      <c r="AFP6" s="6"/>
      <c r="AFQ6" s="6"/>
      <c r="AFR6" s="6"/>
      <c r="AFS6" s="6"/>
      <c r="AFT6" s="6"/>
      <c r="AFU6" s="6"/>
      <c r="AFV6" s="6"/>
      <c r="AFW6" s="6"/>
      <c r="AFX6" s="6"/>
      <c r="AFY6" s="6"/>
      <c r="AFZ6" s="6"/>
      <c r="AGA6" s="6"/>
      <c r="AGB6" s="6"/>
      <c r="AGC6" s="6"/>
      <c r="AGD6" s="6"/>
      <c r="AGE6" s="6"/>
      <c r="AGF6" s="6"/>
      <c r="AGG6" s="6"/>
      <c r="AGH6" s="6"/>
      <c r="AGI6" s="6"/>
      <c r="AGJ6" s="6"/>
      <c r="AGK6" s="6"/>
      <c r="AGL6" s="6"/>
      <c r="AGM6" s="6"/>
      <c r="AGN6" s="6"/>
      <c r="AGO6" s="6"/>
      <c r="AGP6" s="6"/>
      <c r="AGQ6" s="6"/>
      <c r="AGR6" s="6"/>
      <c r="AGS6" s="6"/>
      <c r="AGT6" s="6"/>
      <c r="AGU6" s="6"/>
      <c r="AGV6" s="6"/>
      <c r="AGW6" s="6"/>
      <c r="AGX6" s="6"/>
      <c r="AGY6" s="6"/>
      <c r="AGZ6" s="6"/>
      <c r="AHA6" s="6"/>
      <c r="AHB6" s="6"/>
      <c r="AHC6" s="6"/>
      <c r="AHD6" s="6"/>
      <c r="AHE6" s="6"/>
      <c r="AHF6" s="6"/>
      <c r="AHG6" s="6"/>
      <c r="AHH6" s="6"/>
      <c r="AHI6" s="6"/>
      <c r="AHJ6" s="6"/>
      <c r="AHK6" s="6"/>
      <c r="AHL6" s="6"/>
      <c r="AHM6" s="6"/>
      <c r="AHN6" s="6"/>
      <c r="AHO6" s="6"/>
      <c r="AHP6" s="6"/>
      <c r="AHQ6" s="6"/>
      <c r="AHR6" s="6"/>
      <c r="AHS6" s="6"/>
      <c r="AHT6" s="6"/>
      <c r="AHU6" s="6"/>
      <c r="AHV6" s="6"/>
      <c r="AHW6" s="6"/>
      <c r="AHX6" s="6"/>
      <c r="AHY6" s="6"/>
      <c r="AHZ6" s="6"/>
      <c r="AIA6" s="6"/>
      <c r="AIB6" s="6"/>
      <c r="AIC6" s="6"/>
      <c r="AID6" s="6"/>
      <c r="AIE6" s="6"/>
      <c r="AIF6" s="6"/>
      <c r="AIG6" s="6"/>
      <c r="AIH6" s="6"/>
      <c r="AII6" s="6"/>
      <c r="AIJ6" s="6"/>
      <c r="AIK6" s="6"/>
      <c r="AIL6" s="6"/>
      <c r="AIM6" s="6"/>
      <c r="AIN6" s="6"/>
      <c r="AIO6" s="6"/>
      <c r="AIP6" s="6"/>
      <c r="AIQ6" s="6"/>
      <c r="AIR6" s="6"/>
      <c r="AIS6" s="6"/>
      <c r="AIT6" s="6"/>
      <c r="AIU6" s="6"/>
      <c r="AIV6" s="6"/>
      <c r="AIW6" s="6"/>
      <c r="AIX6" s="6"/>
      <c r="AIY6" s="6"/>
      <c r="AIZ6" s="6"/>
      <c r="AJA6" s="6"/>
      <c r="AJB6" s="6"/>
      <c r="AJC6" s="6"/>
      <c r="AJD6" s="6"/>
      <c r="AJE6" s="6"/>
      <c r="AJF6" s="6"/>
      <c r="AJG6" s="6"/>
      <c r="AJH6" s="6"/>
      <c r="AJI6" s="6"/>
      <c r="AJJ6" s="6"/>
      <c r="AJK6" s="6"/>
      <c r="AJL6" s="6"/>
      <c r="AJM6" s="6"/>
      <c r="AJN6" s="6"/>
      <c r="AJO6" s="6"/>
      <c r="AJP6" s="6"/>
      <c r="AJQ6" s="6"/>
      <c r="AJR6" s="6"/>
      <c r="AJS6" s="6"/>
      <c r="AJT6" s="6"/>
      <c r="AJU6" s="6"/>
      <c r="AJV6" s="6"/>
      <c r="AJW6" s="6"/>
      <c r="AJX6" s="6"/>
      <c r="AJY6" s="6"/>
      <c r="AJZ6" s="6"/>
      <c r="AKA6" s="6"/>
      <c r="AKB6" s="6"/>
      <c r="AKC6" s="6"/>
      <c r="AKD6" s="6"/>
      <c r="AKE6" s="6"/>
      <c r="AKF6" s="6"/>
      <c r="AKG6" s="6"/>
      <c r="AKH6" s="6"/>
      <c r="AKI6" s="6"/>
      <c r="AKJ6" s="6"/>
      <c r="AKK6" s="6"/>
      <c r="AKL6" s="6"/>
      <c r="AKM6" s="6"/>
      <c r="AKN6" s="6"/>
      <c r="AKO6" s="6"/>
      <c r="AKP6" s="6"/>
      <c r="AKQ6" s="6"/>
      <c r="AKR6" s="6"/>
      <c r="AKS6" s="6"/>
      <c r="AKT6" s="6"/>
      <c r="AKU6" s="6"/>
      <c r="AKV6" s="6"/>
      <c r="AKW6" s="6"/>
      <c r="AKX6" s="6"/>
      <c r="AKY6" s="6"/>
      <c r="AKZ6" s="6"/>
      <c r="ALA6" s="6"/>
      <c r="ALB6" s="6"/>
      <c r="ALC6" s="6"/>
      <c r="ALD6" s="6"/>
      <c r="ALE6" s="6"/>
      <c r="ALF6" s="6"/>
      <c r="ALG6" s="6"/>
      <c r="ALH6" s="6"/>
      <c r="ALI6" s="6"/>
      <c r="ALJ6" s="6"/>
      <c r="ALK6" s="6"/>
      <c r="ALL6" s="6"/>
      <c r="ALM6" s="6"/>
      <c r="ALN6" s="6"/>
      <c r="ALO6" s="6"/>
      <c r="ALP6" s="6"/>
      <c r="ALQ6" s="6"/>
      <c r="ALR6" s="6"/>
      <c r="ALS6" s="6"/>
      <c r="ALT6" s="6"/>
      <c r="ALU6" s="6"/>
      <c r="ALV6" s="6"/>
      <c r="ALW6" s="6"/>
      <c r="ALX6" s="6"/>
      <c r="ALY6" s="6"/>
      <c r="ALZ6" s="6"/>
      <c r="AMA6" s="6"/>
      <c r="AMB6" s="6"/>
      <c r="AMC6" s="6"/>
      <c r="AMD6" s="6"/>
      <c r="AME6" s="6"/>
      <c r="AMF6" s="6"/>
      <c r="AMG6" s="6"/>
      <c r="AMH6"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x14ac:dyDescent="0.15"/>
  <sheetData>
    <row r="1" spans="1:1022" x14ac:dyDescent="0.15">
      <c r="A1" s="6" t="s">
        <v>2799</v>
      </c>
      <c r="B1" s="6" t="s">
        <v>183</v>
      </c>
      <c r="C1" s="6" t="str">
        <f t="shared" ref="C1:C8" si="0">B1&amp;":"&amp;A1</f>
        <v>att_user_research_group:niessen</v>
      </c>
      <c r="D1" s="6" t="s">
        <v>13</v>
      </c>
      <c r="E1" s="6" t="s">
        <v>2800</v>
      </c>
      <c r="F1" s="6" t="s">
        <v>2420</v>
      </c>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c r="BJ1" s="6"/>
      <c r="BK1" s="6"/>
      <c r="BL1" s="6"/>
      <c r="BM1" s="6"/>
      <c r="BN1" s="6"/>
      <c r="BO1" s="6"/>
      <c r="BP1" s="6"/>
      <c r="BQ1" s="6"/>
      <c r="BR1" s="6"/>
      <c r="BS1" s="6"/>
      <c r="BT1" s="6"/>
      <c r="BU1" s="6"/>
      <c r="BV1" s="6"/>
      <c r="BW1" s="6"/>
      <c r="BX1" s="6"/>
      <c r="BY1" s="6"/>
      <c r="BZ1" s="6"/>
      <c r="CA1" s="6"/>
      <c r="CB1" s="6"/>
      <c r="CC1" s="6"/>
      <c r="CD1" s="6"/>
      <c r="CE1" s="6"/>
      <c r="CF1" s="6"/>
      <c r="CG1" s="6"/>
      <c r="CH1" s="6"/>
      <c r="CI1" s="6"/>
      <c r="CJ1" s="6"/>
      <c r="CK1" s="6"/>
      <c r="CL1" s="6"/>
      <c r="CM1" s="6"/>
      <c r="CN1" s="6"/>
      <c r="CO1" s="6"/>
      <c r="CP1" s="6"/>
      <c r="CQ1" s="6"/>
      <c r="CR1" s="6"/>
      <c r="CS1" s="6"/>
      <c r="CT1" s="6"/>
      <c r="CU1" s="6"/>
      <c r="CV1" s="6"/>
      <c r="CW1" s="6"/>
      <c r="CX1" s="6"/>
      <c r="CY1" s="6"/>
      <c r="CZ1" s="6"/>
      <c r="DA1" s="6"/>
      <c r="DB1" s="6"/>
      <c r="DC1" s="6"/>
      <c r="DD1" s="6"/>
      <c r="DE1" s="6"/>
      <c r="DF1" s="6"/>
      <c r="DG1" s="6"/>
      <c r="DH1" s="6"/>
      <c r="DI1" s="6"/>
      <c r="DJ1" s="6"/>
      <c r="DK1" s="6"/>
      <c r="DL1" s="6"/>
      <c r="DM1" s="6"/>
      <c r="DN1" s="6"/>
      <c r="DO1" s="6"/>
      <c r="DP1" s="6"/>
      <c r="DQ1" s="6"/>
      <c r="DR1" s="6"/>
      <c r="DS1" s="6"/>
      <c r="DT1" s="6"/>
      <c r="DU1" s="6"/>
      <c r="DV1" s="6"/>
      <c r="DW1" s="6"/>
      <c r="DX1" s="6"/>
      <c r="DY1" s="6"/>
      <c r="DZ1" s="6"/>
      <c r="EA1" s="6"/>
      <c r="EB1" s="6"/>
      <c r="EC1" s="6"/>
      <c r="ED1" s="6"/>
      <c r="EE1" s="6"/>
      <c r="EF1" s="6"/>
      <c r="EG1" s="6"/>
      <c r="EH1" s="6"/>
      <c r="EI1" s="6"/>
      <c r="EJ1" s="6"/>
      <c r="EK1" s="6"/>
      <c r="EL1" s="6"/>
      <c r="EM1" s="6"/>
      <c r="EN1" s="6"/>
      <c r="EO1" s="6"/>
      <c r="EP1" s="6"/>
      <c r="EQ1" s="6"/>
      <c r="ER1" s="6"/>
      <c r="ES1" s="6"/>
      <c r="ET1" s="6"/>
      <c r="EU1" s="6"/>
      <c r="EV1" s="6"/>
      <c r="EW1" s="6"/>
      <c r="EX1" s="6"/>
      <c r="EY1" s="6"/>
      <c r="EZ1" s="6"/>
      <c r="FA1" s="6"/>
      <c r="FB1" s="6"/>
      <c r="FC1" s="6"/>
      <c r="FD1" s="6"/>
      <c r="FE1" s="6"/>
      <c r="FF1" s="6"/>
      <c r="FG1" s="6"/>
      <c r="FH1" s="6"/>
      <c r="FI1" s="6"/>
      <c r="FJ1" s="6"/>
      <c r="FK1" s="6"/>
      <c r="FL1" s="6"/>
      <c r="FM1" s="6"/>
      <c r="FN1" s="6"/>
      <c r="FO1" s="6"/>
      <c r="FP1" s="6"/>
      <c r="FQ1" s="6"/>
      <c r="FR1" s="6"/>
      <c r="FS1" s="6"/>
      <c r="FT1" s="6"/>
      <c r="FU1" s="6"/>
      <c r="FV1" s="6"/>
      <c r="FW1" s="6"/>
      <c r="FX1" s="6"/>
      <c r="FY1" s="6"/>
      <c r="FZ1" s="6"/>
      <c r="GA1" s="6"/>
      <c r="GB1" s="6"/>
      <c r="GC1" s="6"/>
      <c r="GD1" s="6"/>
      <c r="GE1" s="6"/>
      <c r="GF1" s="6"/>
      <c r="GG1" s="6"/>
      <c r="GH1" s="6"/>
      <c r="GI1" s="6"/>
      <c r="GJ1" s="6"/>
      <c r="GK1" s="6"/>
      <c r="GL1" s="6"/>
      <c r="GM1" s="6"/>
      <c r="GN1" s="6"/>
      <c r="GO1" s="6"/>
      <c r="GP1" s="6"/>
      <c r="GQ1" s="6"/>
      <c r="GR1" s="6"/>
      <c r="GS1" s="6"/>
      <c r="GT1" s="6"/>
      <c r="GU1" s="6"/>
      <c r="GV1" s="6"/>
      <c r="GW1" s="6"/>
      <c r="GX1" s="6"/>
      <c r="GY1" s="6"/>
      <c r="GZ1" s="6"/>
      <c r="HA1" s="6"/>
      <c r="HB1" s="6"/>
      <c r="HC1" s="6"/>
      <c r="HD1" s="6"/>
      <c r="HE1" s="6"/>
      <c r="HF1" s="6"/>
      <c r="HG1" s="6"/>
      <c r="HH1" s="6"/>
      <c r="HI1" s="6"/>
      <c r="HJ1" s="6"/>
      <c r="HK1" s="6"/>
      <c r="HL1" s="6"/>
      <c r="HM1" s="6"/>
      <c r="HN1" s="6"/>
      <c r="HO1" s="6"/>
      <c r="HP1" s="6"/>
      <c r="HQ1" s="6"/>
      <c r="HR1" s="6"/>
      <c r="HS1" s="6"/>
      <c r="HT1" s="6"/>
      <c r="HU1" s="6"/>
      <c r="HV1" s="6"/>
      <c r="HW1" s="6"/>
      <c r="HX1" s="6"/>
      <c r="HY1" s="6"/>
      <c r="HZ1" s="6"/>
      <c r="IA1" s="6"/>
      <c r="IB1" s="6"/>
      <c r="IC1" s="6"/>
      <c r="ID1" s="6"/>
      <c r="IE1" s="6"/>
      <c r="IF1" s="6"/>
      <c r="IG1" s="6"/>
      <c r="IH1" s="6"/>
      <c r="II1" s="6"/>
      <c r="IJ1" s="6"/>
      <c r="IK1" s="6"/>
      <c r="IL1" s="6"/>
      <c r="IM1" s="6"/>
      <c r="IN1" s="6"/>
      <c r="IO1" s="6"/>
      <c r="IP1" s="6"/>
      <c r="IQ1" s="6"/>
      <c r="IR1" s="6"/>
      <c r="IS1" s="6"/>
      <c r="IT1" s="6"/>
      <c r="IU1" s="6"/>
      <c r="IV1" s="6"/>
      <c r="IW1" s="6"/>
      <c r="IX1" s="6"/>
      <c r="IY1" s="6"/>
      <c r="IZ1" s="6"/>
      <c r="JA1" s="6"/>
      <c r="JB1" s="6"/>
      <c r="JC1" s="6"/>
      <c r="JD1" s="6"/>
      <c r="JE1" s="6"/>
      <c r="JF1" s="6"/>
      <c r="JG1" s="6"/>
      <c r="JH1" s="6"/>
      <c r="JI1" s="6"/>
      <c r="JJ1" s="6"/>
      <c r="JK1" s="6"/>
      <c r="JL1" s="6"/>
      <c r="JM1" s="6"/>
      <c r="JN1" s="6"/>
      <c r="JO1" s="6"/>
      <c r="JP1" s="6"/>
      <c r="JQ1" s="6"/>
      <c r="JR1" s="6"/>
      <c r="JS1" s="6"/>
      <c r="JT1" s="6"/>
      <c r="JU1" s="6"/>
      <c r="JV1" s="6"/>
      <c r="JW1" s="6"/>
      <c r="JX1" s="6"/>
      <c r="JY1" s="6"/>
      <c r="JZ1" s="6"/>
      <c r="KA1" s="6"/>
      <c r="KB1" s="6"/>
      <c r="KC1" s="6"/>
      <c r="KD1" s="6"/>
      <c r="KE1" s="6"/>
      <c r="KF1" s="6"/>
      <c r="KG1" s="6"/>
      <c r="KH1" s="6"/>
      <c r="KI1" s="6"/>
      <c r="KJ1" s="6"/>
      <c r="KK1" s="6"/>
      <c r="KL1" s="6"/>
      <c r="KM1" s="6"/>
      <c r="KN1" s="6"/>
      <c r="KO1" s="6"/>
      <c r="KP1" s="6"/>
      <c r="KQ1" s="6"/>
      <c r="KR1" s="6"/>
      <c r="KS1" s="6"/>
      <c r="KT1" s="6"/>
      <c r="KU1" s="6"/>
      <c r="KV1" s="6"/>
      <c r="KW1" s="6"/>
      <c r="KX1" s="6"/>
      <c r="KY1" s="6"/>
      <c r="KZ1" s="6"/>
      <c r="LA1" s="6"/>
      <c r="LB1" s="6"/>
      <c r="LC1" s="6"/>
      <c r="LD1" s="6"/>
      <c r="LE1" s="6"/>
      <c r="LF1" s="6"/>
      <c r="LG1" s="6"/>
      <c r="LH1" s="6"/>
      <c r="LI1" s="6"/>
      <c r="LJ1" s="6"/>
      <c r="LK1" s="6"/>
      <c r="LL1" s="6"/>
      <c r="LM1" s="6"/>
      <c r="LN1" s="6"/>
      <c r="LO1" s="6"/>
      <c r="LP1" s="6"/>
      <c r="LQ1" s="6"/>
      <c r="LR1" s="6"/>
      <c r="LS1" s="6"/>
      <c r="LT1" s="6"/>
      <c r="LU1" s="6"/>
      <c r="LV1" s="6"/>
      <c r="LW1" s="6"/>
      <c r="LX1" s="6"/>
      <c r="LY1" s="6"/>
      <c r="LZ1" s="6"/>
      <c r="MA1" s="6"/>
      <c r="MB1" s="6"/>
      <c r="MC1" s="6"/>
      <c r="MD1" s="6"/>
      <c r="ME1" s="6"/>
      <c r="MF1" s="6"/>
      <c r="MG1" s="6"/>
      <c r="MH1" s="6"/>
      <c r="MI1" s="6"/>
      <c r="MJ1" s="6"/>
      <c r="MK1" s="6"/>
      <c r="ML1" s="6"/>
      <c r="MM1" s="6"/>
      <c r="MN1" s="6"/>
      <c r="MO1" s="6"/>
      <c r="MP1" s="6"/>
      <c r="MQ1" s="6"/>
      <c r="MR1" s="6"/>
      <c r="MS1" s="6"/>
      <c r="MT1" s="6"/>
      <c r="MU1" s="6"/>
      <c r="MV1" s="6"/>
      <c r="MW1" s="6"/>
      <c r="MX1" s="6"/>
      <c r="MY1" s="6"/>
      <c r="MZ1" s="6"/>
      <c r="NA1" s="6"/>
      <c r="NB1" s="6"/>
      <c r="NC1" s="6"/>
      <c r="ND1" s="6"/>
      <c r="NE1" s="6"/>
      <c r="NF1" s="6"/>
      <c r="NG1" s="6"/>
      <c r="NH1" s="6"/>
      <c r="NI1" s="6"/>
      <c r="NJ1" s="6"/>
      <c r="NK1" s="6"/>
      <c r="NL1" s="6"/>
      <c r="NM1" s="6"/>
      <c r="NN1" s="6"/>
      <c r="NO1" s="6"/>
      <c r="NP1" s="6"/>
      <c r="NQ1" s="6"/>
      <c r="NR1" s="6"/>
      <c r="NS1" s="6"/>
      <c r="NT1" s="6"/>
      <c r="NU1" s="6"/>
      <c r="NV1" s="6"/>
      <c r="NW1" s="6"/>
      <c r="NX1" s="6"/>
      <c r="NY1" s="6"/>
      <c r="NZ1" s="6"/>
      <c r="OA1" s="6"/>
      <c r="OB1" s="6"/>
      <c r="OC1" s="6"/>
      <c r="OD1" s="6"/>
      <c r="OE1" s="6"/>
      <c r="OF1" s="6"/>
      <c r="OG1" s="6"/>
      <c r="OH1" s="6"/>
      <c r="OI1" s="6"/>
      <c r="OJ1" s="6"/>
      <c r="OK1" s="6"/>
      <c r="OL1" s="6"/>
      <c r="OM1" s="6"/>
      <c r="ON1" s="6"/>
      <c r="OO1" s="6"/>
      <c r="OP1" s="6"/>
      <c r="OQ1" s="6"/>
      <c r="OR1" s="6"/>
      <c r="OS1" s="6"/>
      <c r="OT1" s="6"/>
      <c r="OU1" s="6"/>
      <c r="OV1" s="6"/>
      <c r="OW1" s="6"/>
      <c r="OX1" s="6"/>
      <c r="OY1" s="6"/>
      <c r="OZ1" s="6"/>
      <c r="PA1" s="6"/>
      <c r="PB1" s="6"/>
      <c r="PC1" s="6"/>
      <c r="PD1" s="6"/>
      <c r="PE1" s="6"/>
      <c r="PF1" s="6"/>
      <c r="PG1" s="6"/>
      <c r="PH1" s="6"/>
      <c r="PI1" s="6"/>
      <c r="PJ1" s="6"/>
      <c r="PK1" s="6"/>
      <c r="PL1" s="6"/>
      <c r="PM1" s="6"/>
      <c r="PN1" s="6"/>
      <c r="PO1" s="6"/>
      <c r="PP1" s="6"/>
      <c r="PQ1" s="6"/>
      <c r="PR1" s="6"/>
      <c r="PS1" s="6"/>
      <c r="PT1" s="6"/>
      <c r="PU1" s="6"/>
      <c r="PV1" s="6"/>
      <c r="PW1" s="6"/>
      <c r="PX1" s="6"/>
      <c r="PY1" s="6"/>
      <c r="PZ1" s="6"/>
      <c r="QA1" s="6"/>
      <c r="QB1" s="6"/>
      <c r="QC1" s="6"/>
      <c r="QD1" s="6"/>
      <c r="QE1" s="6"/>
      <c r="QF1" s="6"/>
      <c r="QG1" s="6"/>
      <c r="QH1" s="6"/>
      <c r="QI1" s="6"/>
      <c r="QJ1" s="6"/>
      <c r="QK1" s="6"/>
      <c r="QL1" s="6"/>
      <c r="QM1" s="6"/>
      <c r="QN1" s="6"/>
      <c r="QO1" s="6"/>
      <c r="QP1" s="6"/>
      <c r="QQ1" s="6"/>
      <c r="QR1" s="6"/>
      <c r="QS1" s="6"/>
      <c r="QT1" s="6"/>
      <c r="QU1" s="6"/>
      <c r="QV1" s="6"/>
      <c r="QW1" s="6"/>
      <c r="QX1" s="6"/>
      <c r="QY1" s="6"/>
      <c r="QZ1" s="6"/>
      <c r="RA1" s="6"/>
      <c r="RB1" s="6"/>
      <c r="RC1" s="6"/>
      <c r="RD1" s="6"/>
      <c r="RE1" s="6"/>
      <c r="RF1" s="6"/>
      <c r="RG1" s="6"/>
      <c r="RH1" s="6"/>
      <c r="RI1" s="6"/>
      <c r="RJ1" s="6"/>
      <c r="RK1" s="6"/>
      <c r="RL1" s="6"/>
      <c r="RM1" s="6"/>
      <c r="RN1" s="6"/>
      <c r="RO1" s="6"/>
      <c r="RP1" s="6"/>
      <c r="RQ1" s="6"/>
      <c r="RR1" s="6"/>
      <c r="RS1" s="6"/>
      <c r="RT1" s="6"/>
      <c r="RU1" s="6"/>
      <c r="RV1" s="6"/>
      <c r="RW1" s="6"/>
      <c r="RX1" s="6"/>
      <c r="RY1" s="6"/>
      <c r="RZ1" s="6"/>
      <c r="SA1" s="6"/>
      <c r="SB1" s="6"/>
      <c r="SC1" s="6"/>
      <c r="SD1" s="6"/>
      <c r="SE1" s="6"/>
      <c r="SF1" s="6"/>
      <c r="SG1" s="6"/>
      <c r="SH1" s="6"/>
      <c r="SI1" s="6"/>
      <c r="SJ1" s="6"/>
      <c r="SK1" s="6"/>
      <c r="SL1" s="6"/>
      <c r="SM1" s="6"/>
      <c r="SN1" s="6"/>
      <c r="SO1" s="6"/>
      <c r="SP1" s="6"/>
      <c r="SQ1" s="6"/>
      <c r="SR1" s="6"/>
      <c r="SS1" s="6"/>
      <c r="ST1" s="6"/>
      <c r="SU1" s="6"/>
      <c r="SV1" s="6"/>
      <c r="SW1" s="6"/>
      <c r="SX1" s="6"/>
      <c r="SY1" s="6"/>
      <c r="SZ1" s="6"/>
      <c r="TA1" s="6"/>
      <c r="TB1" s="6"/>
      <c r="TC1" s="6"/>
      <c r="TD1" s="6"/>
      <c r="TE1" s="6"/>
      <c r="TF1" s="6"/>
      <c r="TG1" s="6"/>
      <c r="TH1" s="6"/>
      <c r="TI1" s="6"/>
      <c r="TJ1" s="6"/>
      <c r="TK1" s="6"/>
      <c r="TL1" s="6"/>
      <c r="TM1" s="6"/>
      <c r="TN1" s="6"/>
      <c r="TO1" s="6"/>
      <c r="TP1" s="6"/>
      <c r="TQ1" s="6"/>
      <c r="TR1" s="6"/>
      <c r="TS1" s="6"/>
      <c r="TT1" s="6"/>
      <c r="TU1" s="6"/>
      <c r="TV1" s="6"/>
      <c r="TW1" s="6"/>
      <c r="TX1" s="6"/>
      <c r="TY1" s="6"/>
      <c r="TZ1" s="6"/>
      <c r="UA1" s="6"/>
      <c r="UB1" s="6"/>
      <c r="UC1" s="6"/>
      <c r="UD1" s="6"/>
      <c r="UE1" s="6"/>
      <c r="UF1" s="6"/>
      <c r="UG1" s="6"/>
      <c r="UH1" s="6"/>
      <c r="UI1" s="6"/>
      <c r="UJ1" s="6"/>
      <c r="UK1" s="6"/>
      <c r="UL1" s="6"/>
      <c r="UM1" s="6"/>
      <c r="UN1" s="6"/>
      <c r="UO1" s="6"/>
      <c r="UP1" s="6"/>
      <c r="UQ1" s="6"/>
      <c r="UR1" s="6"/>
      <c r="US1" s="6"/>
      <c r="UT1" s="6"/>
      <c r="UU1" s="6"/>
      <c r="UV1" s="6"/>
      <c r="UW1" s="6"/>
      <c r="UX1" s="6"/>
      <c r="UY1" s="6"/>
      <c r="UZ1" s="6"/>
      <c r="VA1" s="6"/>
      <c r="VB1" s="6"/>
      <c r="VC1" s="6"/>
      <c r="VD1" s="6"/>
      <c r="VE1" s="6"/>
      <c r="VF1" s="6"/>
      <c r="VG1" s="6"/>
      <c r="VH1" s="6"/>
      <c r="VI1" s="6"/>
      <c r="VJ1" s="6"/>
      <c r="VK1" s="6"/>
      <c r="VL1" s="6"/>
      <c r="VM1" s="6"/>
      <c r="VN1" s="6"/>
      <c r="VO1" s="6"/>
      <c r="VP1" s="6"/>
      <c r="VQ1" s="6"/>
      <c r="VR1" s="6"/>
      <c r="VS1" s="6"/>
      <c r="VT1" s="6"/>
      <c r="VU1" s="6"/>
      <c r="VV1" s="6"/>
      <c r="VW1" s="6"/>
      <c r="VX1" s="6"/>
      <c r="VY1" s="6"/>
      <c r="VZ1" s="6"/>
      <c r="WA1" s="6"/>
      <c r="WB1" s="6"/>
      <c r="WC1" s="6"/>
      <c r="WD1" s="6"/>
      <c r="WE1" s="6"/>
      <c r="WF1" s="6"/>
      <c r="WG1" s="6"/>
      <c r="WH1" s="6"/>
      <c r="WI1" s="6"/>
      <c r="WJ1" s="6"/>
      <c r="WK1" s="6"/>
      <c r="WL1" s="6"/>
      <c r="WM1" s="6"/>
      <c r="WN1" s="6"/>
      <c r="WO1" s="6"/>
      <c r="WP1" s="6"/>
      <c r="WQ1" s="6"/>
      <c r="WR1" s="6"/>
      <c r="WS1" s="6"/>
      <c r="WT1" s="6"/>
      <c r="WU1" s="6"/>
      <c r="WV1" s="6"/>
      <c r="WW1" s="6"/>
      <c r="WX1" s="6"/>
      <c r="WY1" s="6"/>
      <c r="WZ1" s="6"/>
      <c r="XA1" s="6"/>
      <c r="XB1" s="6"/>
      <c r="XC1" s="6"/>
      <c r="XD1" s="6"/>
      <c r="XE1" s="6"/>
      <c r="XF1" s="6"/>
      <c r="XG1" s="6"/>
      <c r="XH1" s="6"/>
      <c r="XI1" s="6"/>
      <c r="XJ1" s="6"/>
      <c r="XK1" s="6"/>
      <c r="XL1" s="6"/>
      <c r="XM1" s="6"/>
      <c r="XN1" s="6"/>
      <c r="XO1" s="6"/>
      <c r="XP1" s="6"/>
      <c r="XQ1" s="6"/>
      <c r="XR1" s="6"/>
      <c r="XS1" s="6"/>
      <c r="XT1" s="6"/>
      <c r="XU1" s="6"/>
      <c r="XV1" s="6"/>
      <c r="XW1" s="6"/>
      <c r="XX1" s="6"/>
      <c r="XY1" s="6"/>
      <c r="XZ1" s="6"/>
      <c r="YA1" s="6"/>
      <c r="YB1" s="6"/>
      <c r="YC1" s="6"/>
      <c r="YD1" s="6"/>
      <c r="YE1" s="6"/>
      <c r="YF1" s="6"/>
      <c r="YG1" s="6"/>
      <c r="YH1" s="6"/>
      <c r="YI1" s="6"/>
      <c r="YJ1" s="6"/>
      <c r="YK1" s="6"/>
      <c r="YL1" s="6"/>
      <c r="YM1" s="6"/>
      <c r="YN1" s="6"/>
      <c r="YO1" s="6"/>
      <c r="YP1" s="6"/>
      <c r="YQ1" s="6"/>
      <c r="YR1" s="6"/>
      <c r="YS1" s="6"/>
      <c r="YT1" s="6"/>
      <c r="YU1" s="6"/>
      <c r="YV1" s="6"/>
      <c r="YW1" s="6"/>
      <c r="YX1" s="6"/>
      <c r="YY1" s="6"/>
      <c r="YZ1" s="6"/>
      <c r="ZA1" s="6"/>
      <c r="ZB1" s="6"/>
      <c r="ZC1" s="6"/>
      <c r="ZD1" s="6"/>
      <c r="ZE1" s="6"/>
      <c r="ZF1" s="6"/>
      <c r="ZG1" s="6"/>
      <c r="ZH1" s="6"/>
      <c r="ZI1" s="6"/>
      <c r="ZJ1" s="6"/>
      <c r="ZK1" s="6"/>
      <c r="ZL1" s="6"/>
      <c r="ZM1" s="6"/>
      <c r="ZN1" s="6"/>
      <c r="ZO1" s="6"/>
      <c r="ZP1" s="6"/>
      <c r="ZQ1" s="6"/>
      <c r="ZR1" s="6"/>
      <c r="ZS1" s="6"/>
      <c r="ZT1" s="6"/>
      <c r="ZU1" s="6"/>
      <c r="ZV1" s="6"/>
      <c r="ZW1" s="6"/>
      <c r="ZX1" s="6"/>
      <c r="ZY1" s="6"/>
      <c r="ZZ1" s="6"/>
      <c r="AAA1" s="6"/>
      <c r="AAB1" s="6"/>
      <c r="AAC1" s="6"/>
      <c r="AAD1" s="6"/>
      <c r="AAE1" s="6"/>
      <c r="AAF1" s="6"/>
      <c r="AAG1" s="6"/>
      <c r="AAH1" s="6"/>
      <c r="AAI1" s="6"/>
      <c r="AAJ1" s="6"/>
      <c r="AAK1" s="6"/>
      <c r="AAL1" s="6"/>
      <c r="AAM1" s="6"/>
      <c r="AAN1" s="6"/>
      <c r="AAO1" s="6"/>
      <c r="AAP1" s="6"/>
      <c r="AAQ1" s="6"/>
      <c r="AAR1" s="6"/>
      <c r="AAS1" s="6"/>
      <c r="AAT1" s="6"/>
      <c r="AAU1" s="6"/>
      <c r="AAV1" s="6"/>
      <c r="AAW1" s="6"/>
      <c r="AAX1" s="6"/>
      <c r="AAY1" s="6"/>
      <c r="AAZ1" s="6"/>
      <c r="ABA1" s="6"/>
      <c r="ABB1" s="6"/>
      <c r="ABC1" s="6"/>
      <c r="ABD1" s="6"/>
      <c r="ABE1" s="6"/>
      <c r="ABF1" s="6"/>
      <c r="ABG1" s="6"/>
      <c r="ABH1" s="6"/>
      <c r="ABI1" s="6"/>
      <c r="ABJ1" s="6"/>
      <c r="ABK1" s="6"/>
      <c r="ABL1" s="6"/>
      <c r="ABM1" s="6"/>
      <c r="ABN1" s="6"/>
      <c r="ABO1" s="6"/>
      <c r="ABP1" s="6"/>
      <c r="ABQ1" s="6"/>
      <c r="ABR1" s="6"/>
      <c r="ABS1" s="6"/>
      <c r="ABT1" s="6"/>
      <c r="ABU1" s="6"/>
      <c r="ABV1" s="6"/>
      <c r="ABW1" s="6"/>
      <c r="ABX1" s="6"/>
      <c r="ABY1" s="6"/>
      <c r="ABZ1" s="6"/>
      <c r="ACA1" s="6"/>
      <c r="ACB1" s="6"/>
      <c r="ACC1" s="6"/>
      <c r="ACD1" s="6"/>
      <c r="ACE1" s="6"/>
      <c r="ACF1" s="6"/>
      <c r="ACG1" s="6"/>
      <c r="ACH1" s="6"/>
      <c r="ACI1" s="6"/>
      <c r="ACJ1" s="6"/>
      <c r="ACK1" s="6"/>
      <c r="ACL1" s="6"/>
      <c r="ACM1" s="6"/>
      <c r="ACN1" s="6"/>
      <c r="ACO1" s="6"/>
      <c r="ACP1" s="6"/>
      <c r="ACQ1" s="6"/>
      <c r="ACR1" s="6"/>
      <c r="ACS1" s="6"/>
      <c r="ACT1" s="6"/>
      <c r="ACU1" s="6"/>
      <c r="ACV1" s="6"/>
      <c r="ACW1" s="6"/>
      <c r="ACX1" s="6"/>
      <c r="ACY1" s="6"/>
      <c r="ACZ1" s="6"/>
      <c r="ADA1" s="6"/>
      <c r="ADB1" s="6"/>
      <c r="ADC1" s="6"/>
      <c r="ADD1" s="6"/>
      <c r="ADE1" s="6"/>
      <c r="ADF1" s="6"/>
      <c r="ADG1" s="6"/>
      <c r="ADH1" s="6"/>
      <c r="ADI1" s="6"/>
      <c r="ADJ1" s="6"/>
      <c r="ADK1" s="6"/>
      <c r="ADL1" s="6"/>
      <c r="ADM1" s="6"/>
      <c r="ADN1" s="6"/>
      <c r="ADO1" s="6"/>
      <c r="ADP1" s="6"/>
      <c r="ADQ1" s="6"/>
      <c r="ADR1" s="6"/>
      <c r="ADS1" s="6"/>
      <c r="ADT1" s="6"/>
      <c r="ADU1" s="6"/>
      <c r="ADV1" s="6"/>
      <c r="ADW1" s="6"/>
      <c r="ADX1" s="6"/>
      <c r="ADY1" s="6"/>
      <c r="ADZ1" s="6"/>
      <c r="AEA1" s="6"/>
      <c r="AEB1" s="6"/>
      <c r="AEC1" s="6"/>
      <c r="AED1" s="6"/>
      <c r="AEE1" s="6"/>
      <c r="AEF1" s="6"/>
      <c r="AEG1" s="6"/>
      <c r="AEH1" s="6"/>
      <c r="AEI1" s="6"/>
      <c r="AEJ1" s="6"/>
      <c r="AEK1" s="6"/>
      <c r="AEL1" s="6"/>
      <c r="AEM1" s="6"/>
      <c r="AEN1" s="6"/>
      <c r="AEO1" s="6"/>
      <c r="AEP1" s="6"/>
      <c r="AEQ1" s="6"/>
      <c r="AER1" s="6"/>
      <c r="AES1" s="6"/>
      <c r="AET1" s="6"/>
      <c r="AEU1" s="6"/>
      <c r="AEV1" s="6"/>
      <c r="AEW1" s="6"/>
      <c r="AEX1" s="6"/>
      <c r="AEY1" s="6"/>
      <c r="AEZ1" s="6"/>
      <c r="AFA1" s="6"/>
      <c r="AFB1" s="6"/>
      <c r="AFC1" s="6"/>
      <c r="AFD1" s="6"/>
      <c r="AFE1" s="6"/>
      <c r="AFF1" s="6"/>
      <c r="AFG1" s="6"/>
      <c r="AFH1" s="6"/>
      <c r="AFI1" s="6"/>
      <c r="AFJ1" s="6"/>
      <c r="AFK1" s="6"/>
      <c r="AFL1" s="6"/>
      <c r="AFM1" s="6"/>
      <c r="AFN1" s="6"/>
      <c r="AFO1" s="6"/>
      <c r="AFP1" s="6"/>
      <c r="AFQ1" s="6"/>
      <c r="AFR1" s="6"/>
      <c r="AFS1" s="6"/>
      <c r="AFT1" s="6"/>
      <c r="AFU1" s="6"/>
      <c r="AFV1" s="6"/>
      <c r="AFW1" s="6"/>
      <c r="AFX1" s="6"/>
      <c r="AFY1" s="6"/>
      <c r="AFZ1" s="6"/>
      <c r="AGA1" s="6"/>
      <c r="AGB1" s="6"/>
      <c r="AGC1" s="6"/>
      <c r="AGD1" s="6"/>
      <c r="AGE1" s="6"/>
      <c r="AGF1" s="6"/>
      <c r="AGG1" s="6"/>
      <c r="AGH1" s="6"/>
      <c r="AGI1" s="6"/>
      <c r="AGJ1" s="6"/>
      <c r="AGK1" s="6"/>
      <c r="AGL1" s="6"/>
      <c r="AGM1" s="6"/>
      <c r="AGN1" s="6"/>
      <c r="AGO1" s="6"/>
      <c r="AGP1" s="6"/>
      <c r="AGQ1" s="6"/>
      <c r="AGR1" s="6"/>
      <c r="AGS1" s="6"/>
      <c r="AGT1" s="6"/>
      <c r="AGU1" s="6"/>
      <c r="AGV1" s="6"/>
      <c r="AGW1" s="6"/>
      <c r="AGX1" s="6"/>
      <c r="AGY1" s="6"/>
      <c r="AGZ1" s="6"/>
      <c r="AHA1" s="6"/>
      <c r="AHB1" s="6"/>
      <c r="AHC1" s="6"/>
      <c r="AHD1" s="6"/>
      <c r="AHE1" s="6"/>
      <c r="AHF1" s="6"/>
      <c r="AHG1" s="6"/>
      <c r="AHH1" s="6"/>
      <c r="AHI1" s="6"/>
      <c r="AHJ1" s="6"/>
      <c r="AHK1" s="6"/>
      <c r="AHL1" s="6"/>
      <c r="AHM1" s="6"/>
      <c r="AHN1" s="6"/>
      <c r="AHO1" s="6"/>
      <c r="AHP1" s="6"/>
      <c r="AHQ1" s="6"/>
      <c r="AHR1" s="6"/>
      <c r="AHS1" s="6"/>
      <c r="AHT1" s="6"/>
      <c r="AHU1" s="6"/>
      <c r="AHV1" s="6"/>
      <c r="AHW1" s="6"/>
      <c r="AHX1" s="6"/>
      <c r="AHY1" s="6"/>
      <c r="AHZ1" s="6"/>
      <c r="AIA1" s="6"/>
      <c r="AIB1" s="6"/>
      <c r="AIC1" s="6"/>
      <c r="AID1" s="6"/>
      <c r="AIE1" s="6"/>
      <c r="AIF1" s="6"/>
      <c r="AIG1" s="6"/>
      <c r="AIH1" s="6"/>
      <c r="AII1" s="6"/>
      <c r="AIJ1" s="6"/>
      <c r="AIK1" s="6"/>
      <c r="AIL1" s="6"/>
      <c r="AIM1" s="6"/>
      <c r="AIN1" s="6"/>
      <c r="AIO1" s="6"/>
      <c r="AIP1" s="6"/>
      <c r="AIQ1" s="6"/>
      <c r="AIR1" s="6"/>
      <c r="AIS1" s="6"/>
      <c r="AIT1" s="6"/>
      <c r="AIU1" s="6"/>
      <c r="AIV1" s="6"/>
      <c r="AIW1" s="6"/>
      <c r="AIX1" s="6"/>
      <c r="AIY1" s="6"/>
      <c r="AIZ1" s="6"/>
      <c r="AJA1" s="6"/>
      <c r="AJB1" s="6"/>
      <c r="AJC1" s="6"/>
      <c r="AJD1" s="6"/>
      <c r="AJE1" s="6"/>
      <c r="AJF1" s="6"/>
      <c r="AJG1" s="6"/>
      <c r="AJH1" s="6"/>
      <c r="AJI1" s="6"/>
      <c r="AJJ1" s="6"/>
      <c r="AJK1" s="6"/>
      <c r="AJL1" s="6"/>
      <c r="AJM1" s="6"/>
      <c r="AJN1" s="6"/>
      <c r="AJO1" s="6"/>
      <c r="AJP1" s="6"/>
      <c r="AJQ1" s="6"/>
      <c r="AJR1" s="6"/>
      <c r="AJS1" s="6"/>
      <c r="AJT1" s="6"/>
      <c r="AJU1" s="6"/>
      <c r="AJV1" s="6"/>
      <c r="AJW1" s="6"/>
      <c r="AJX1" s="6"/>
      <c r="AJY1" s="6"/>
      <c r="AJZ1" s="6"/>
      <c r="AKA1" s="6"/>
      <c r="AKB1" s="6"/>
      <c r="AKC1" s="6"/>
      <c r="AKD1" s="6"/>
      <c r="AKE1" s="6"/>
      <c r="AKF1" s="6"/>
      <c r="AKG1" s="6"/>
      <c r="AKH1" s="6"/>
      <c r="AKI1" s="6"/>
      <c r="AKJ1" s="6"/>
      <c r="AKK1" s="6"/>
      <c r="AKL1" s="6"/>
      <c r="AKM1" s="6"/>
      <c r="AKN1" s="6"/>
      <c r="AKO1" s="6"/>
      <c r="AKP1" s="6"/>
      <c r="AKQ1" s="6"/>
      <c r="AKR1" s="6"/>
      <c r="AKS1" s="6"/>
      <c r="AKT1" s="6"/>
      <c r="AKU1" s="6"/>
      <c r="AKV1" s="6"/>
      <c r="AKW1" s="6"/>
      <c r="AKX1" s="6"/>
      <c r="AKY1" s="6"/>
      <c r="AKZ1" s="6"/>
      <c r="ALA1" s="6"/>
      <c r="ALB1" s="6"/>
      <c r="ALC1" s="6"/>
      <c r="ALD1" s="6"/>
      <c r="ALE1" s="6"/>
      <c r="ALF1" s="6"/>
      <c r="ALG1" s="6"/>
      <c r="ALH1" s="6"/>
      <c r="ALI1" s="6"/>
      <c r="ALJ1" s="6"/>
      <c r="ALK1" s="6"/>
      <c r="ALL1" s="6"/>
      <c r="ALM1" s="6"/>
      <c r="ALN1" s="6"/>
      <c r="ALO1" s="6"/>
      <c r="ALP1" s="6"/>
      <c r="ALQ1" s="6"/>
      <c r="ALR1" s="6"/>
      <c r="ALS1" s="6"/>
      <c r="ALT1" s="6"/>
      <c r="ALU1" s="6"/>
      <c r="ALV1" s="6"/>
      <c r="ALW1" s="6"/>
      <c r="ALX1" s="6"/>
      <c r="ALY1" s="6"/>
      <c r="ALZ1" s="6"/>
      <c r="AMA1" s="6"/>
      <c r="AMB1" s="6"/>
      <c r="AMC1" s="6"/>
      <c r="AMD1" s="6"/>
      <c r="AME1" s="6"/>
      <c r="AMF1" s="6"/>
      <c r="AMG1" s="6"/>
      <c r="AMH1" s="6"/>
    </row>
    <row r="2" spans="1:1022" x14ac:dyDescent="0.15">
      <c r="A2" s="6" t="s">
        <v>2801</v>
      </c>
      <c r="B2" s="6" t="s">
        <v>183</v>
      </c>
      <c r="C2" s="6" t="str">
        <f t="shared" si="0"/>
        <v>att_user_research_group:gloeckner</v>
      </c>
      <c r="D2" s="6" t="s">
        <v>13</v>
      </c>
      <c r="E2" s="6" t="s">
        <v>2802</v>
      </c>
      <c r="F2" s="6" t="s">
        <v>2803</v>
      </c>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6"/>
      <c r="CM2" s="6"/>
      <c r="CN2" s="6"/>
      <c r="CO2" s="6"/>
      <c r="CP2" s="6"/>
      <c r="CQ2" s="6"/>
      <c r="CR2" s="6"/>
      <c r="CS2" s="6"/>
      <c r="CT2" s="6"/>
      <c r="CU2" s="6"/>
      <c r="CV2" s="6"/>
      <c r="CW2" s="6"/>
      <c r="CX2" s="6"/>
      <c r="CY2" s="6"/>
      <c r="CZ2" s="6"/>
      <c r="DA2" s="6"/>
      <c r="DB2" s="6"/>
      <c r="DC2" s="6"/>
      <c r="DD2" s="6"/>
      <c r="DE2" s="6"/>
      <c r="DF2" s="6"/>
      <c r="DG2" s="6"/>
      <c r="DH2" s="6"/>
      <c r="DI2" s="6"/>
      <c r="DJ2" s="6"/>
      <c r="DK2" s="6"/>
      <c r="DL2" s="6"/>
      <c r="DM2" s="6"/>
      <c r="DN2" s="6"/>
      <c r="DO2" s="6"/>
      <c r="DP2" s="6"/>
      <c r="DQ2" s="6"/>
      <c r="DR2" s="6"/>
      <c r="DS2" s="6"/>
      <c r="DT2" s="6"/>
      <c r="DU2" s="6"/>
      <c r="DV2" s="6"/>
      <c r="DW2" s="6"/>
      <c r="DX2" s="6"/>
      <c r="DY2" s="6"/>
      <c r="DZ2" s="6"/>
      <c r="EA2" s="6"/>
      <c r="EB2" s="6"/>
      <c r="EC2" s="6"/>
      <c r="ED2" s="6"/>
      <c r="EE2" s="6"/>
      <c r="EF2" s="6"/>
      <c r="EG2" s="6"/>
      <c r="EH2" s="6"/>
      <c r="EI2" s="6"/>
      <c r="EJ2" s="6"/>
      <c r="EK2" s="6"/>
      <c r="EL2" s="6"/>
      <c r="EM2" s="6"/>
      <c r="EN2" s="6"/>
      <c r="EO2" s="6"/>
      <c r="EP2" s="6"/>
      <c r="EQ2" s="6"/>
      <c r="ER2" s="6"/>
      <c r="ES2" s="6"/>
      <c r="ET2" s="6"/>
      <c r="EU2" s="6"/>
      <c r="EV2" s="6"/>
      <c r="EW2" s="6"/>
      <c r="EX2" s="6"/>
      <c r="EY2" s="6"/>
      <c r="EZ2" s="6"/>
      <c r="FA2" s="6"/>
      <c r="FB2" s="6"/>
      <c r="FC2" s="6"/>
      <c r="FD2" s="6"/>
      <c r="FE2" s="6"/>
      <c r="FF2" s="6"/>
      <c r="FG2" s="6"/>
      <c r="FH2" s="6"/>
      <c r="FI2" s="6"/>
      <c r="FJ2" s="6"/>
      <c r="FK2" s="6"/>
      <c r="FL2" s="6"/>
      <c r="FM2" s="6"/>
      <c r="FN2" s="6"/>
      <c r="FO2" s="6"/>
      <c r="FP2" s="6"/>
      <c r="FQ2" s="6"/>
      <c r="FR2" s="6"/>
      <c r="FS2" s="6"/>
      <c r="FT2" s="6"/>
      <c r="FU2" s="6"/>
      <c r="FV2" s="6"/>
      <c r="FW2" s="6"/>
      <c r="FX2" s="6"/>
      <c r="FY2" s="6"/>
      <c r="FZ2" s="6"/>
      <c r="GA2" s="6"/>
      <c r="GB2" s="6"/>
      <c r="GC2" s="6"/>
      <c r="GD2" s="6"/>
      <c r="GE2" s="6"/>
      <c r="GF2" s="6"/>
      <c r="GG2" s="6"/>
      <c r="GH2" s="6"/>
      <c r="GI2" s="6"/>
      <c r="GJ2" s="6"/>
      <c r="GK2" s="6"/>
      <c r="GL2" s="6"/>
      <c r="GM2" s="6"/>
      <c r="GN2" s="6"/>
      <c r="GO2" s="6"/>
      <c r="GP2" s="6"/>
      <c r="GQ2" s="6"/>
      <c r="GR2" s="6"/>
      <c r="GS2" s="6"/>
      <c r="GT2" s="6"/>
      <c r="GU2" s="6"/>
      <c r="GV2" s="6"/>
      <c r="GW2" s="6"/>
      <c r="GX2" s="6"/>
      <c r="GY2" s="6"/>
      <c r="GZ2" s="6"/>
      <c r="HA2" s="6"/>
      <c r="HB2" s="6"/>
      <c r="HC2" s="6"/>
      <c r="HD2" s="6"/>
      <c r="HE2" s="6"/>
      <c r="HF2" s="6"/>
      <c r="HG2" s="6"/>
      <c r="HH2" s="6"/>
      <c r="HI2" s="6"/>
      <c r="HJ2" s="6"/>
      <c r="HK2" s="6"/>
      <c r="HL2" s="6"/>
      <c r="HM2" s="6"/>
      <c r="HN2" s="6"/>
      <c r="HO2" s="6"/>
      <c r="HP2" s="6"/>
      <c r="HQ2" s="6"/>
      <c r="HR2" s="6"/>
      <c r="HS2" s="6"/>
      <c r="HT2" s="6"/>
      <c r="HU2" s="6"/>
      <c r="HV2" s="6"/>
      <c r="HW2" s="6"/>
      <c r="HX2" s="6"/>
      <c r="HY2" s="6"/>
      <c r="HZ2" s="6"/>
      <c r="IA2" s="6"/>
      <c r="IB2" s="6"/>
      <c r="IC2" s="6"/>
      <c r="ID2" s="6"/>
      <c r="IE2" s="6"/>
      <c r="IF2" s="6"/>
      <c r="IG2" s="6"/>
      <c r="IH2" s="6"/>
      <c r="II2" s="6"/>
      <c r="IJ2" s="6"/>
      <c r="IK2" s="6"/>
      <c r="IL2" s="6"/>
      <c r="IM2" s="6"/>
      <c r="IN2" s="6"/>
      <c r="IO2" s="6"/>
      <c r="IP2" s="6"/>
      <c r="IQ2" s="6"/>
      <c r="IR2" s="6"/>
      <c r="IS2" s="6"/>
      <c r="IT2" s="6"/>
      <c r="IU2" s="6"/>
      <c r="IV2" s="6"/>
      <c r="IW2" s="6"/>
      <c r="IX2" s="6"/>
      <c r="IY2" s="6"/>
      <c r="IZ2" s="6"/>
      <c r="JA2" s="6"/>
      <c r="JB2" s="6"/>
      <c r="JC2" s="6"/>
      <c r="JD2" s="6"/>
      <c r="JE2" s="6"/>
      <c r="JF2" s="6"/>
      <c r="JG2" s="6"/>
      <c r="JH2" s="6"/>
      <c r="JI2" s="6"/>
      <c r="JJ2" s="6"/>
      <c r="JK2" s="6"/>
      <c r="JL2" s="6"/>
      <c r="JM2" s="6"/>
      <c r="JN2" s="6"/>
      <c r="JO2" s="6"/>
      <c r="JP2" s="6"/>
      <c r="JQ2" s="6"/>
      <c r="JR2" s="6"/>
      <c r="JS2" s="6"/>
      <c r="JT2" s="6"/>
      <c r="JU2" s="6"/>
      <c r="JV2" s="6"/>
      <c r="JW2" s="6"/>
      <c r="JX2" s="6"/>
      <c r="JY2" s="6"/>
      <c r="JZ2" s="6"/>
      <c r="KA2" s="6"/>
      <c r="KB2" s="6"/>
      <c r="KC2" s="6"/>
      <c r="KD2" s="6"/>
      <c r="KE2" s="6"/>
      <c r="KF2" s="6"/>
      <c r="KG2" s="6"/>
      <c r="KH2" s="6"/>
      <c r="KI2" s="6"/>
      <c r="KJ2" s="6"/>
      <c r="KK2" s="6"/>
      <c r="KL2" s="6"/>
      <c r="KM2" s="6"/>
      <c r="KN2" s="6"/>
      <c r="KO2" s="6"/>
      <c r="KP2" s="6"/>
      <c r="KQ2" s="6"/>
      <c r="KR2" s="6"/>
      <c r="KS2" s="6"/>
      <c r="KT2" s="6"/>
      <c r="KU2" s="6"/>
      <c r="KV2" s="6"/>
      <c r="KW2" s="6"/>
      <c r="KX2" s="6"/>
      <c r="KY2" s="6"/>
      <c r="KZ2" s="6"/>
      <c r="LA2" s="6"/>
      <c r="LB2" s="6"/>
      <c r="LC2" s="6"/>
      <c r="LD2" s="6"/>
      <c r="LE2" s="6"/>
      <c r="LF2" s="6"/>
      <c r="LG2" s="6"/>
      <c r="LH2" s="6"/>
      <c r="LI2" s="6"/>
      <c r="LJ2" s="6"/>
      <c r="LK2" s="6"/>
      <c r="LL2" s="6"/>
      <c r="LM2" s="6"/>
      <c r="LN2" s="6"/>
      <c r="LO2" s="6"/>
      <c r="LP2" s="6"/>
      <c r="LQ2" s="6"/>
      <c r="LR2" s="6"/>
      <c r="LS2" s="6"/>
      <c r="LT2" s="6"/>
      <c r="LU2" s="6"/>
      <c r="LV2" s="6"/>
      <c r="LW2" s="6"/>
      <c r="LX2" s="6"/>
      <c r="LY2" s="6"/>
      <c r="LZ2" s="6"/>
      <c r="MA2" s="6"/>
      <c r="MB2" s="6"/>
      <c r="MC2" s="6"/>
      <c r="MD2" s="6"/>
      <c r="ME2" s="6"/>
      <c r="MF2" s="6"/>
      <c r="MG2" s="6"/>
      <c r="MH2" s="6"/>
      <c r="MI2" s="6"/>
      <c r="MJ2" s="6"/>
      <c r="MK2" s="6"/>
      <c r="ML2" s="6"/>
      <c r="MM2" s="6"/>
      <c r="MN2" s="6"/>
      <c r="MO2" s="6"/>
      <c r="MP2" s="6"/>
      <c r="MQ2" s="6"/>
      <c r="MR2" s="6"/>
      <c r="MS2" s="6"/>
      <c r="MT2" s="6"/>
      <c r="MU2" s="6"/>
      <c r="MV2" s="6"/>
      <c r="MW2" s="6"/>
      <c r="MX2" s="6"/>
      <c r="MY2" s="6"/>
      <c r="MZ2" s="6"/>
      <c r="NA2" s="6"/>
      <c r="NB2" s="6"/>
      <c r="NC2" s="6"/>
      <c r="ND2" s="6"/>
      <c r="NE2" s="6"/>
      <c r="NF2" s="6"/>
      <c r="NG2" s="6"/>
      <c r="NH2" s="6"/>
      <c r="NI2" s="6"/>
      <c r="NJ2" s="6"/>
      <c r="NK2" s="6"/>
      <c r="NL2" s="6"/>
      <c r="NM2" s="6"/>
      <c r="NN2" s="6"/>
      <c r="NO2" s="6"/>
      <c r="NP2" s="6"/>
      <c r="NQ2" s="6"/>
      <c r="NR2" s="6"/>
      <c r="NS2" s="6"/>
      <c r="NT2" s="6"/>
      <c r="NU2" s="6"/>
      <c r="NV2" s="6"/>
      <c r="NW2" s="6"/>
      <c r="NX2" s="6"/>
      <c r="NY2" s="6"/>
      <c r="NZ2" s="6"/>
      <c r="OA2" s="6"/>
      <c r="OB2" s="6"/>
      <c r="OC2" s="6"/>
      <c r="OD2" s="6"/>
      <c r="OE2" s="6"/>
      <c r="OF2" s="6"/>
      <c r="OG2" s="6"/>
      <c r="OH2" s="6"/>
      <c r="OI2" s="6"/>
      <c r="OJ2" s="6"/>
      <c r="OK2" s="6"/>
      <c r="OL2" s="6"/>
      <c r="OM2" s="6"/>
      <c r="ON2" s="6"/>
      <c r="OO2" s="6"/>
      <c r="OP2" s="6"/>
      <c r="OQ2" s="6"/>
      <c r="OR2" s="6"/>
      <c r="OS2" s="6"/>
      <c r="OT2" s="6"/>
      <c r="OU2" s="6"/>
      <c r="OV2" s="6"/>
      <c r="OW2" s="6"/>
      <c r="OX2" s="6"/>
      <c r="OY2" s="6"/>
      <c r="OZ2" s="6"/>
      <c r="PA2" s="6"/>
      <c r="PB2" s="6"/>
      <c r="PC2" s="6"/>
      <c r="PD2" s="6"/>
      <c r="PE2" s="6"/>
      <c r="PF2" s="6"/>
      <c r="PG2" s="6"/>
      <c r="PH2" s="6"/>
      <c r="PI2" s="6"/>
      <c r="PJ2" s="6"/>
      <c r="PK2" s="6"/>
      <c r="PL2" s="6"/>
      <c r="PM2" s="6"/>
      <c r="PN2" s="6"/>
      <c r="PO2" s="6"/>
      <c r="PP2" s="6"/>
      <c r="PQ2" s="6"/>
      <c r="PR2" s="6"/>
      <c r="PS2" s="6"/>
      <c r="PT2" s="6"/>
      <c r="PU2" s="6"/>
      <c r="PV2" s="6"/>
      <c r="PW2" s="6"/>
      <c r="PX2" s="6"/>
      <c r="PY2" s="6"/>
      <c r="PZ2" s="6"/>
      <c r="QA2" s="6"/>
      <c r="QB2" s="6"/>
      <c r="QC2" s="6"/>
      <c r="QD2" s="6"/>
      <c r="QE2" s="6"/>
      <c r="QF2" s="6"/>
      <c r="QG2" s="6"/>
      <c r="QH2" s="6"/>
      <c r="QI2" s="6"/>
      <c r="QJ2" s="6"/>
      <c r="QK2" s="6"/>
      <c r="QL2" s="6"/>
      <c r="QM2" s="6"/>
      <c r="QN2" s="6"/>
      <c r="QO2" s="6"/>
      <c r="QP2" s="6"/>
      <c r="QQ2" s="6"/>
      <c r="QR2" s="6"/>
      <c r="QS2" s="6"/>
      <c r="QT2" s="6"/>
      <c r="QU2" s="6"/>
      <c r="QV2" s="6"/>
      <c r="QW2" s="6"/>
      <c r="QX2" s="6"/>
      <c r="QY2" s="6"/>
      <c r="QZ2" s="6"/>
      <c r="RA2" s="6"/>
      <c r="RB2" s="6"/>
      <c r="RC2" s="6"/>
      <c r="RD2" s="6"/>
      <c r="RE2" s="6"/>
      <c r="RF2" s="6"/>
      <c r="RG2" s="6"/>
      <c r="RH2" s="6"/>
      <c r="RI2" s="6"/>
      <c r="RJ2" s="6"/>
      <c r="RK2" s="6"/>
      <c r="RL2" s="6"/>
      <c r="RM2" s="6"/>
      <c r="RN2" s="6"/>
      <c r="RO2" s="6"/>
      <c r="RP2" s="6"/>
      <c r="RQ2" s="6"/>
      <c r="RR2" s="6"/>
      <c r="RS2" s="6"/>
      <c r="RT2" s="6"/>
      <c r="RU2" s="6"/>
      <c r="RV2" s="6"/>
      <c r="RW2" s="6"/>
      <c r="RX2" s="6"/>
      <c r="RY2" s="6"/>
      <c r="RZ2" s="6"/>
      <c r="SA2" s="6"/>
      <c r="SB2" s="6"/>
      <c r="SC2" s="6"/>
      <c r="SD2" s="6"/>
      <c r="SE2" s="6"/>
      <c r="SF2" s="6"/>
      <c r="SG2" s="6"/>
      <c r="SH2" s="6"/>
      <c r="SI2" s="6"/>
      <c r="SJ2" s="6"/>
      <c r="SK2" s="6"/>
      <c r="SL2" s="6"/>
      <c r="SM2" s="6"/>
      <c r="SN2" s="6"/>
      <c r="SO2" s="6"/>
      <c r="SP2" s="6"/>
      <c r="SQ2" s="6"/>
      <c r="SR2" s="6"/>
      <c r="SS2" s="6"/>
      <c r="ST2" s="6"/>
      <c r="SU2" s="6"/>
      <c r="SV2" s="6"/>
      <c r="SW2" s="6"/>
      <c r="SX2" s="6"/>
      <c r="SY2" s="6"/>
      <c r="SZ2" s="6"/>
      <c r="TA2" s="6"/>
      <c r="TB2" s="6"/>
      <c r="TC2" s="6"/>
      <c r="TD2" s="6"/>
      <c r="TE2" s="6"/>
      <c r="TF2" s="6"/>
      <c r="TG2" s="6"/>
      <c r="TH2" s="6"/>
      <c r="TI2" s="6"/>
      <c r="TJ2" s="6"/>
      <c r="TK2" s="6"/>
      <c r="TL2" s="6"/>
      <c r="TM2" s="6"/>
      <c r="TN2" s="6"/>
      <c r="TO2" s="6"/>
      <c r="TP2" s="6"/>
      <c r="TQ2" s="6"/>
      <c r="TR2" s="6"/>
      <c r="TS2" s="6"/>
      <c r="TT2" s="6"/>
      <c r="TU2" s="6"/>
      <c r="TV2" s="6"/>
      <c r="TW2" s="6"/>
      <c r="TX2" s="6"/>
      <c r="TY2" s="6"/>
      <c r="TZ2" s="6"/>
      <c r="UA2" s="6"/>
      <c r="UB2" s="6"/>
      <c r="UC2" s="6"/>
      <c r="UD2" s="6"/>
      <c r="UE2" s="6"/>
      <c r="UF2" s="6"/>
      <c r="UG2" s="6"/>
      <c r="UH2" s="6"/>
      <c r="UI2" s="6"/>
      <c r="UJ2" s="6"/>
      <c r="UK2" s="6"/>
      <c r="UL2" s="6"/>
      <c r="UM2" s="6"/>
      <c r="UN2" s="6"/>
      <c r="UO2" s="6"/>
      <c r="UP2" s="6"/>
      <c r="UQ2" s="6"/>
      <c r="UR2" s="6"/>
      <c r="US2" s="6"/>
      <c r="UT2" s="6"/>
      <c r="UU2" s="6"/>
      <c r="UV2" s="6"/>
      <c r="UW2" s="6"/>
      <c r="UX2" s="6"/>
      <c r="UY2" s="6"/>
      <c r="UZ2" s="6"/>
      <c r="VA2" s="6"/>
      <c r="VB2" s="6"/>
      <c r="VC2" s="6"/>
      <c r="VD2" s="6"/>
      <c r="VE2" s="6"/>
      <c r="VF2" s="6"/>
      <c r="VG2" s="6"/>
      <c r="VH2" s="6"/>
      <c r="VI2" s="6"/>
      <c r="VJ2" s="6"/>
      <c r="VK2" s="6"/>
      <c r="VL2" s="6"/>
      <c r="VM2" s="6"/>
      <c r="VN2" s="6"/>
      <c r="VO2" s="6"/>
      <c r="VP2" s="6"/>
      <c r="VQ2" s="6"/>
      <c r="VR2" s="6"/>
      <c r="VS2" s="6"/>
      <c r="VT2" s="6"/>
      <c r="VU2" s="6"/>
      <c r="VV2" s="6"/>
      <c r="VW2" s="6"/>
      <c r="VX2" s="6"/>
      <c r="VY2" s="6"/>
      <c r="VZ2" s="6"/>
      <c r="WA2" s="6"/>
      <c r="WB2" s="6"/>
      <c r="WC2" s="6"/>
      <c r="WD2" s="6"/>
      <c r="WE2" s="6"/>
      <c r="WF2" s="6"/>
      <c r="WG2" s="6"/>
      <c r="WH2" s="6"/>
      <c r="WI2" s="6"/>
      <c r="WJ2" s="6"/>
      <c r="WK2" s="6"/>
      <c r="WL2" s="6"/>
      <c r="WM2" s="6"/>
      <c r="WN2" s="6"/>
      <c r="WO2" s="6"/>
      <c r="WP2" s="6"/>
      <c r="WQ2" s="6"/>
      <c r="WR2" s="6"/>
      <c r="WS2" s="6"/>
      <c r="WT2" s="6"/>
      <c r="WU2" s="6"/>
      <c r="WV2" s="6"/>
      <c r="WW2" s="6"/>
      <c r="WX2" s="6"/>
      <c r="WY2" s="6"/>
      <c r="WZ2" s="6"/>
      <c r="XA2" s="6"/>
      <c r="XB2" s="6"/>
      <c r="XC2" s="6"/>
      <c r="XD2" s="6"/>
      <c r="XE2" s="6"/>
      <c r="XF2" s="6"/>
      <c r="XG2" s="6"/>
      <c r="XH2" s="6"/>
      <c r="XI2" s="6"/>
      <c r="XJ2" s="6"/>
      <c r="XK2" s="6"/>
      <c r="XL2" s="6"/>
      <c r="XM2" s="6"/>
      <c r="XN2" s="6"/>
      <c r="XO2" s="6"/>
      <c r="XP2" s="6"/>
      <c r="XQ2" s="6"/>
      <c r="XR2" s="6"/>
      <c r="XS2" s="6"/>
      <c r="XT2" s="6"/>
      <c r="XU2" s="6"/>
      <c r="XV2" s="6"/>
      <c r="XW2" s="6"/>
      <c r="XX2" s="6"/>
      <c r="XY2" s="6"/>
      <c r="XZ2" s="6"/>
      <c r="YA2" s="6"/>
      <c r="YB2" s="6"/>
      <c r="YC2" s="6"/>
      <c r="YD2" s="6"/>
      <c r="YE2" s="6"/>
      <c r="YF2" s="6"/>
      <c r="YG2" s="6"/>
      <c r="YH2" s="6"/>
      <c r="YI2" s="6"/>
      <c r="YJ2" s="6"/>
      <c r="YK2" s="6"/>
      <c r="YL2" s="6"/>
      <c r="YM2" s="6"/>
      <c r="YN2" s="6"/>
      <c r="YO2" s="6"/>
      <c r="YP2" s="6"/>
      <c r="YQ2" s="6"/>
      <c r="YR2" s="6"/>
      <c r="YS2" s="6"/>
      <c r="YT2" s="6"/>
      <c r="YU2" s="6"/>
      <c r="YV2" s="6"/>
      <c r="YW2" s="6"/>
      <c r="YX2" s="6"/>
      <c r="YY2" s="6"/>
      <c r="YZ2" s="6"/>
      <c r="ZA2" s="6"/>
      <c r="ZB2" s="6"/>
      <c r="ZC2" s="6"/>
      <c r="ZD2" s="6"/>
      <c r="ZE2" s="6"/>
      <c r="ZF2" s="6"/>
      <c r="ZG2" s="6"/>
      <c r="ZH2" s="6"/>
      <c r="ZI2" s="6"/>
      <c r="ZJ2" s="6"/>
      <c r="ZK2" s="6"/>
      <c r="ZL2" s="6"/>
      <c r="ZM2" s="6"/>
      <c r="ZN2" s="6"/>
      <c r="ZO2" s="6"/>
      <c r="ZP2" s="6"/>
      <c r="ZQ2" s="6"/>
      <c r="ZR2" s="6"/>
      <c r="ZS2" s="6"/>
      <c r="ZT2" s="6"/>
      <c r="ZU2" s="6"/>
      <c r="ZV2" s="6"/>
      <c r="ZW2" s="6"/>
      <c r="ZX2" s="6"/>
      <c r="ZY2" s="6"/>
      <c r="ZZ2" s="6"/>
      <c r="AAA2" s="6"/>
      <c r="AAB2" s="6"/>
      <c r="AAC2" s="6"/>
      <c r="AAD2" s="6"/>
      <c r="AAE2" s="6"/>
      <c r="AAF2" s="6"/>
      <c r="AAG2" s="6"/>
      <c r="AAH2" s="6"/>
      <c r="AAI2" s="6"/>
      <c r="AAJ2" s="6"/>
      <c r="AAK2" s="6"/>
      <c r="AAL2" s="6"/>
      <c r="AAM2" s="6"/>
      <c r="AAN2" s="6"/>
      <c r="AAO2" s="6"/>
      <c r="AAP2" s="6"/>
      <c r="AAQ2" s="6"/>
      <c r="AAR2" s="6"/>
      <c r="AAS2" s="6"/>
      <c r="AAT2" s="6"/>
      <c r="AAU2" s="6"/>
      <c r="AAV2" s="6"/>
      <c r="AAW2" s="6"/>
      <c r="AAX2" s="6"/>
      <c r="AAY2" s="6"/>
      <c r="AAZ2" s="6"/>
      <c r="ABA2" s="6"/>
      <c r="ABB2" s="6"/>
      <c r="ABC2" s="6"/>
      <c r="ABD2" s="6"/>
      <c r="ABE2" s="6"/>
      <c r="ABF2" s="6"/>
      <c r="ABG2" s="6"/>
      <c r="ABH2" s="6"/>
      <c r="ABI2" s="6"/>
      <c r="ABJ2" s="6"/>
      <c r="ABK2" s="6"/>
      <c r="ABL2" s="6"/>
      <c r="ABM2" s="6"/>
      <c r="ABN2" s="6"/>
      <c r="ABO2" s="6"/>
      <c r="ABP2" s="6"/>
      <c r="ABQ2" s="6"/>
      <c r="ABR2" s="6"/>
      <c r="ABS2" s="6"/>
      <c r="ABT2" s="6"/>
      <c r="ABU2" s="6"/>
      <c r="ABV2" s="6"/>
      <c r="ABW2" s="6"/>
      <c r="ABX2" s="6"/>
      <c r="ABY2" s="6"/>
      <c r="ABZ2" s="6"/>
      <c r="ACA2" s="6"/>
      <c r="ACB2" s="6"/>
      <c r="ACC2" s="6"/>
      <c r="ACD2" s="6"/>
      <c r="ACE2" s="6"/>
      <c r="ACF2" s="6"/>
      <c r="ACG2" s="6"/>
      <c r="ACH2" s="6"/>
      <c r="ACI2" s="6"/>
      <c r="ACJ2" s="6"/>
      <c r="ACK2" s="6"/>
      <c r="ACL2" s="6"/>
      <c r="ACM2" s="6"/>
      <c r="ACN2" s="6"/>
      <c r="ACO2" s="6"/>
      <c r="ACP2" s="6"/>
      <c r="ACQ2" s="6"/>
      <c r="ACR2" s="6"/>
      <c r="ACS2" s="6"/>
      <c r="ACT2" s="6"/>
      <c r="ACU2" s="6"/>
      <c r="ACV2" s="6"/>
      <c r="ACW2" s="6"/>
      <c r="ACX2" s="6"/>
      <c r="ACY2" s="6"/>
      <c r="ACZ2" s="6"/>
      <c r="ADA2" s="6"/>
      <c r="ADB2" s="6"/>
      <c r="ADC2" s="6"/>
      <c r="ADD2" s="6"/>
      <c r="ADE2" s="6"/>
      <c r="ADF2" s="6"/>
      <c r="ADG2" s="6"/>
      <c r="ADH2" s="6"/>
      <c r="ADI2" s="6"/>
      <c r="ADJ2" s="6"/>
      <c r="ADK2" s="6"/>
      <c r="ADL2" s="6"/>
      <c r="ADM2" s="6"/>
      <c r="ADN2" s="6"/>
      <c r="ADO2" s="6"/>
      <c r="ADP2" s="6"/>
      <c r="ADQ2" s="6"/>
      <c r="ADR2" s="6"/>
      <c r="ADS2" s="6"/>
      <c r="ADT2" s="6"/>
      <c r="ADU2" s="6"/>
      <c r="ADV2" s="6"/>
      <c r="ADW2" s="6"/>
      <c r="ADX2" s="6"/>
      <c r="ADY2" s="6"/>
      <c r="ADZ2" s="6"/>
      <c r="AEA2" s="6"/>
      <c r="AEB2" s="6"/>
      <c r="AEC2" s="6"/>
      <c r="AED2" s="6"/>
      <c r="AEE2" s="6"/>
      <c r="AEF2" s="6"/>
      <c r="AEG2" s="6"/>
      <c r="AEH2" s="6"/>
      <c r="AEI2" s="6"/>
      <c r="AEJ2" s="6"/>
      <c r="AEK2" s="6"/>
      <c r="AEL2" s="6"/>
      <c r="AEM2" s="6"/>
      <c r="AEN2" s="6"/>
      <c r="AEO2" s="6"/>
      <c r="AEP2" s="6"/>
      <c r="AEQ2" s="6"/>
      <c r="AER2" s="6"/>
      <c r="AES2" s="6"/>
      <c r="AET2" s="6"/>
      <c r="AEU2" s="6"/>
      <c r="AEV2" s="6"/>
      <c r="AEW2" s="6"/>
      <c r="AEX2" s="6"/>
      <c r="AEY2" s="6"/>
      <c r="AEZ2" s="6"/>
      <c r="AFA2" s="6"/>
      <c r="AFB2" s="6"/>
      <c r="AFC2" s="6"/>
      <c r="AFD2" s="6"/>
      <c r="AFE2" s="6"/>
      <c r="AFF2" s="6"/>
      <c r="AFG2" s="6"/>
      <c r="AFH2" s="6"/>
      <c r="AFI2" s="6"/>
      <c r="AFJ2" s="6"/>
      <c r="AFK2" s="6"/>
      <c r="AFL2" s="6"/>
      <c r="AFM2" s="6"/>
      <c r="AFN2" s="6"/>
      <c r="AFO2" s="6"/>
      <c r="AFP2" s="6"/>
      <c r="AFQ2" s="6"/>
      <c r="AFR2" s="6"/>
      <c r="AFS2" s="6"/>
      <c r="AFT2" s="6"/>
      <c r="AFU2" s="6"/>
      <c r="AFV2" s="6"/>
      <c r="AFW2" s="6"/>
      <c r="AFX2" s="6"/>
      <c r="AFY2" s="6"/>
      <c r="AFZ2" s="6"/>
      <c r="AGA2" s="6"/>
      <c r="AGB2" s="6"/>
      <c r="AGC2" s="6"/>
      <c r="AGD2" s="6"/>
      <c r="AGE2" s="6"/>
      <c r="AGF2" s="6"/>
      <c r="AGG2" s="6"/>
      <c r="AGH2" s="6"/>
      <c r="AGI2" s="6"/>
      <c r="AGJ2" s="6"/>
      <c r="AGK2" s="6"/>
      <c r="AGL2" s="6"/>
      <c r="AGM2" s="6"/>
      <c r="AGN2" s="6"/>
      <c r="AGO2" s="6"/>
      <c r="AGP2" s="6"/>
      <c r="AGQ2" s="6"/>
      <c r="AGR2" s="6"/>
      <c r="AGS2" s="6"/>
      <c r="AGT2" s="6"/>
      <c r="AGU2" s="6"/>
      <c r="AGV2" s="6"/>
      <c r="AGW2" s="6"/>
      <c r="AGX2" s="6"/>
      <c r="AGY2" s="6"/>
      <c r="AGZ2" s="6"/>
      <c r="AHA2" s="6"/>
      <c r="AHB2" s="6"/>
      <c r="AHC2" s="6"/>
      <c r="AHD2" s="6"/>
      <c r="AHE2" s="6"/>
      <c r="AHF2" s="6"/>
      <c r="AHG2" s="6"/>
      <c r="AHH2" s="6"/>
      <c r="AHI2" s="6"/>
      <c r="AHJ2" s="6"/>
      <c r="AHK2" s="6"/>
      <c r="AHL2" s="6"/>
      <c r="AHM2" s="6"/>
      <c r="AHN2" s="6"/>
      <c r="AHO2" s="6"/>
      <c r="AHP2" s="6"/>
      <c r="AHQ2" s="6"/>
      <c r="AHR2" s="6"/>
      <c r="AHS2" s="6"/>
      <c r="AHT2" s="6"/>
      <c r="AHU2" s="6"/>
      <c r="AHV2" s="6"/>
      <c r="AHW2" s="6"/>
      <c r="AHX2" s="6"/>
      <c r="AHY2" s="6"/>
      <c r="AHZ2" s="6"/>
      <c r="AIA2" s="6"/>
      <c r="AIB2" s="6"/>
      <c r="AIC2" s="6"/>
      <c r="AID2" s="6"/>
      <c r="AIE2" s="6"/>
      <c r="AIF2" s="6"/>
      <c r="AIG2" s="6"/>
      <c r="AIH2" s="6"/>
      <c r="AII2" s="6"/>
      <c r="AIJ2" s="6"/>
      <c r="AIK2" s="6"/>
      <c r="AIL2" s="6"/>
      <c r="AIM2" s="6"/>
      <c r="AIN2" s="6"/>
      <c r="AIO2" s="6"/>
      <c r="AIP2" s="6"/>
      <c r="AIQ2" s="6"/>
      <c r="AIR2" s="6"/>
      <c r="AIS2" s="6"/>
      <c r="AIT2" s="6"/>
      <c r="AIU2" s="6"/>
      <c r="AIV2" s="6"/>
      <c r="AIW2" s="6"/>
      <c r="AIX2" s="6"/>
      <c r="AIY2" s="6"/>
      <c r="AIZ2" s="6"/>
      <c r="AJA2" s="6"/>
      <c r="AJB2" s="6"/>
      <c r="AJC2" s="6"/>
      <c r="AJD2" s="6"/>
      <c r="AJE2" s="6"/>
      <c r="AJF2" s="6"/>
      <c r="AJG2" s="6"/>
      <c r="AJH2" s="6"/>
      <c r="AJI2" s="6"/>
      <c r="AJJ2" s="6"/>
      <c r="AJK2" s="6"/>
      <c r="AJL2" s="6"/>
      <c r="AJM2" s="6"/>
      <c r="AJN2" s="6"/>
      <c r="AJO2" s="6"/>
      <c r="AJP2" s="6"/>
      <c r="AJQ2" s="6"/>
      <c r="AJR2" s="6"/>
      <c r="AJS2" s="6"/>
      <c r="AJT2" s="6"/>
      <c r="AJU2" s="6"/>
      <c r="AJV2" s="6"/>
      <c r="AJW2" s="6"/>
      <c r="AJX2" s="6"/>
      <c r="AJY2" s="6"/>
      <c r="AJZ2" s="6"/>
      <c r="AKA2" s="6"/>
      <c r="AKB2" s="6"/>
      <c r="AKC2" s="6"/>
      <c r="AKD2" s="6"/>
      <c r="AKE2" s="6"/>
      <c r="AKF2" s="6"/>
      <c r="AKG2" s="6"/>
      <c r="AKH2" s="6"/>
      <c r="AKI2" s="6"/>
      <c r="AKJ2" s="6"/>
      <c r="AKK2" s="6"/>
      <c r="AKL2" s="6"/>
      <c r="AKM2" s="6"/>
      <c r="AKN2" s="6"/>
      <c r="AKO2" s="6"/>
      <c r="AKP2" s="6"/>
      <c r="AKQ2" s="6"/>
      <c r="AKR2" s="6"/>
      <c r="AKS2" s="6"/>
      <c r="AKT2" s="6"/>
      <c r="AKU2" s="6"/>
      <c r="AKV2" s="6"/>
      <c r="AKW2" s="6"/>
      <c r="AKX2" s="6"/>
      <c r="AKY2" s="6"/>
      <c r="AKZ2" s="6"/>
      <c r="ALA2" s="6"/>
      <c r="ALB2" s="6"/>
      <c r="ALC2" s="6"/>
      <c r="ALD2" s="6"/>
      <c r="ALE2" s="6"/>
      <c r="ALF2" s="6"/>
      <c r="ALG2" s="6"/>
      <c r="ALH2" s="6"/>
      <c r="ALI2" s="6"/>
      <c r="ALJ2" s="6"/>
      <c r="ALK2" s="6"/>
      <c r="ALL2" s="6"/>
      <c r="ALM2" s="6"/>
      <c r="ALN2" s="6"/>
      <c r="ALO2" s="6"/>
      <c r="ALP2" s="6"/>
      <c r="ALQ2" s="6"/>
      <c r="ALR2" s="6"/>
      <c r="ALS2" s="6"/>
      <c r="ALT2" s="6"/>
      <c r="ALU2" s="6"/>
      <c r="ALV2" s="6"/>
      <c r="ALW2" s="6"/>
      <c r="ALX2" s="6"/>
      <c r="ALY2" s="6"/>
      <c r="ALZ2" s="6"/>
      <c r="AMA2" s="6"/>
      <c r="AMB2" s="6"/>
      <c r="AMC2" s="6"/>
      <c r="AMD2" s="6"/>
      <c r="AME2" s="6"/>
      <c r="AMF2" s="6"/>
      <c r="AMG2" s="6"/>
      <c r="AMH2" s="6"/>
    </row>
    <row r="3" spans="1:1022" x14ac:dyDescent="0.15">
      <c r="A3" s="6" t="s">
        <v>2804</v>
      </c>
      <c r="B3" s="6" t="s">
        <v>183</v>
      </c>
      <c r="C3" s="6" t="str">
        <f t="shared" si="0"/>
        <v>att_user_research_group:bazzi</v>
      </c>
      <c r="D3" s="6" t="s">
        <v>13</v>
      </c>
      <c r="E3" s="6" t="s">
        <v>2805</v>
      </c>
      <c r="F3" s="6" t="s">
        <v>2806</v>
      </c>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c r="JA3" s="6"/>
      <c r="JB3" s="6"/>
      <c r="JC3" s="6"/>
      <c r="JD3" s="6"/>
      <c r="JE3" s="6"/>
      <c r="JF3" s="6"/>
      <c r="JG3" s="6"/>
      <c r="JH3" s="6"/>
      <c r="JI3" s="6"/>
      <c r="JJ3" s="6"/>
      <c r="JK3" s="6"/>
      <c r="JL3" s="6"/>
      <c r="JM3" s="6"/>
      <c r="JN3" s="6"/>
      <c r="JO3" s="6"/>
      <c r="JP3" s="6"/>
      <c r="JQ3" s="6"/>
      <c r="JR3" s="6"/>
      <c r="JS3" s="6"/>
      <c r="JT3" s="6"/>
      <c r="JU3" s="6"/>
      <c r="JV3" s="6"/>
      <c r="JW3" s="6"/>
      <c r="JX3" s="6"/>
      <c r="JY3" s="6"/>
      <c r="JZ3" s="6"/>
      <c r="KA3" s="6"/>
      <c r="KB3" s="6"/>
      <c r="KC3" s="6"/>
      <c r="KD3" s="6"/>
      <c r="KE3" s="6"/>
      <c r="KF3" s="6"/>
      <c r="KG3" s="6"/>
      <c r="KH3" s="6"/>
      <c r="KI3" s="6"/>
      <c r="KJ3" s="6"/>
      <c r="KK3" s="6"/>
      <c r="KL3" s="6"/>
      <c r="KM3" s="6"/>
      <c r="KN3" s="6"/>
      <c r="KO3" s="6"/>
      <c r="KP3" s="6"/>
      <c r="KQ3" s="6"/>
      <c r="KR3" s="6"/>
      <c r="KS3" s="6"/>
      <c r="KT3" s="6"/>
      <c r="KU3" s="6"/>
      <c r="KV3" s="6"/>
      <c r="KW3" s="6"/>
      <c r="KX3" s="6"/>
      <c r="KY3" s="6"/>
      <c r="KZ3" s="6"/>
      <c r="LA3" s="6"/>
      <c r="LB3" s="6"/>
      <c r="LC3" s="6"/>
      <c r="LD3" s="6"/>
      <c r="LE3" s="6"/>
      <c r="LF3" s="6"/>
      <c r="LG3" s="6"/>
      <c r="LH3" s="6"/>
      <c r="LI3" s="6"/>
      <c r="LJ3" s="6"/>
      <c r="LK3" s="6"/>
      <c r="LL3" s="6"/>
      <c r="LM3" s="6"/>
      <c r="LN3" s="6"/>
      <c r="LO3" s="6"/>
      <c r="LP3" s="6"/>
      <c r="LQ3" s="6"/>
      <c r="LR3" s="6"/>
      <c r="LS3" s="6"/>
      <c r="LT3" s="6"/>
      <c r="LU3" s="6"/>
      <c r="LV3" s="6"/>
      <c r="LW3" s="6"/>
      <c r="LX3" s="6"/>
      <c r="LY3" s="6"/>
      <c r="LZ3" s="6"/>
      <c r="MA3" s="6"/>
      <c r="MB3" s="6"/>
      <c r="MC3" s="6"/>
      <c r="MD3" s="6"/>
      <c r="ME3" s="6"/>
      <c r="MF3" s="6"/>
      <c r="MG3" s="6"/>
      <c r="MH3" s="6"/>
      <c r="MI3" s="6"/>
      <c r="MJ3" s="6"/>
      <c r="MK3" s="6"/>
      <c r="ML3" s="6"/>
      <c r="MM3" s="6"/>
      <c r="MN3" s="6"/>
      <c r="MO3" s="6"/>
      <c r="MP3" s="6"/>
      <c r="MQ3" s="6"/>
      <c r="MR3" s="6"/>
      <c r="MS3" s="6"/>
      <c r="MT3" s="6"/>
      <c r="MU3" s="6"/>
      <c r="MV3" s="6"/>
      <c r="MW3" s="6"/>
      <c r="MX3" s="6"/>
      <c r="MY3" s="6"/>
      <c r="MZ3" s="6"/>
      <c r="NA3" s="6"/>
      <c r="NB3" s="6"/>
      <c r="NC3" s="6"/>
      <c r="ND3" s="6"/>
      <c r="NE3" s="6"/>
      <c r="NF3" s="6"/>
      <c r="NG3" s="6"/>
      <c r="NH3" s="6"/>
      <c r="NI3" s="6"/>
      <c r="NJ3" s="6"/>
      <c r="NK3" s="6"/>
      <c r="NL3" s="6"/>
      <c r="NM3" s="6"/>
      <c r="NN3" s="6"/>
      <c r="NO3" s="6"/>
      <c r="NP3" s="6"/>
      <c r="NQ3" s="6"/>
      <c r="NR3" s="6"/>
      <c r="NS3" s="6"/>
      <c r="NT3" s="6"/>
      <c r="NU3" s="6"/>
      <c r="NV3" s="6"/>
      <c r="NW3" s="6"/>
      <c r="NX3" s="6"/>
      <c r="NY3" s="6"/>
      <c r="NZ3" s="6"/>
      <c r="OA3" s="6"/>
      <c r="OB3" s="6"/>
      <c r="OC3" s="6"/>
      <c r="OD3" s="6"/>
      <c r="OE3" s="6"/>
      <c r="OF3" s="6"/>
      <c r="OG3" s="6"/>
      <c r="OH3" s="6"/>
      <c r="OI3" s="6"/>
      <c r="OJ3" s="6"/>
      <c r="OK3" s="6"/>
      <c r="OL3" s="6"/>
      <c r="OM3" s="6"/>
      <c r="ON3" s="6"/>
      <c r="OO3" s="6"/>
      <c r="OP3" s="6"/>
      <c r="OQ3" s="6"/>
      <c r="OR3" s="6"/>
      <c r="OS3" s="6"/>
      <c r="OT3" s="6"/>
      <c r="OU3" s="6"/>
      <c r="OV3" s="6"/>
      <c r="OW3" s="6"/>
      <c r="OX3" s="6"/>
      <c r="OY3" s="6"/>
      <c r="OZ3" s="6"/>
      <c r="PA3" s="6"/>
      <c r="PB3" s="6"/>
      <c r="PC3" s="6"/>
      <c r="PD3" s="6"/>
      <c r="PE3" s="6"/>
      <c r="PF3" s="6"/>
      <c r="PG3" s="6"/>
      <c r="PH3" s="6"/>
      <c r="PI3" s="6"/>
      <c r="PJ3" s="6"/>
      <c r="PK3" s="6"/>
      <c r="PL3" s="6"/>
      <c r="PM3" s="6"/>
      <c r="PN3" s="6"/>
      <c r="PO3" s="6"/>
      <c r="PP3" s="6"/>
      <c r="PQ3" s="6"/>
      <c r="PR3" s="6"/>
      <c r="PS3" s="6"/>
      <c r="PT3" s="6"/>
      <c r="PU3" s="6"/>
      <c r="PV3" s="6"/>
      <c r="PW3" s="6"/>
      <c r="PX3" s="6"/>
      <c r="PY3" s="6"/>
      <c r="PZ3" s="6"/>
      <c r="QA3" s="6"/>
      <c r="QB3" s="6"/>
      <c r="QC3" s="6"/>
      <c r="QD3" s="6"/>
      <c r="QE3" s="6"/>
      <c r="QF3" s="6"/>
      <c r="QG3" s="6"/>
      <c r="QH3" s="6"/>
      <c r="QI3" s="6"/>
      <c r="QJ3" s="6"/>
      <c r="QK3" s="6"/>
      <c r="QL3" s="6"/>
      <c r="QM3" s="6"/>
      <c r="QN3" s="6"/>
      <c r="QO3" s="6"/>
      <c r="QP3" s="6"/>
      <c r="QQ3" s="6"/>
      <c r="QR3" s="6"/>
      <c r="QS3" s="6"/>
      <c r="QT3" s="6"/>
      <c r="QU3" s="6"/>
      <c r="QV3" s="6"/>
      <c r="QW3" s="6"/>
      <c r="QX3" s="6"/>
      <c r="QY3" s="6"/>
      <c r="QZ3" s="6"/>
      <c r="RA3" s="6"/>
      <c r="RB3" s="6"/>
      <c r="RC3" s="6"/>
      <c r="RD3" s="6"/>
      <c r="RE3" s="6"/>
      <c r="RF3" s="6"/>
      <c r="RG3" s="6"/>
      <c r="RH3" s="6"/>
      <c r="RI3" s="6"/>
      <c r="RJ3" s="6"/>
      <c r="RK3" s="6"/>
      <c r="RL3" s="6"/>
      <c r="RM3" s="6"/>
      <c r="RN3" s="6"/>
      <c r="RO3" s="6"/>
      <c r="RP3" s="6"/>
      <c r="RQ3" s="6"/>
      <c r="RR3" s="6"/>
      <c r="RS3" s="6"/>
      <c r="RT3" s="6"/>
      <c r="RU3" s="6"/>
      <c r="RV3" s="6"/>
      <c r="RW3" s="6"/>
      <c r="RX3" s="6"/>
      <c r="RY3" s="6"/>
      <c r="RZ3" s="6"/>
      <c r="SA3" s="6"/>
      <c r="SB3" s="6"/>
      <c r="SC3" s="6"/>
      <c r="SD3" s="6"/>
      <c r="SE3" s="6"/>
      <c r="SF3" s="6"/>
      <c r="SG3" s="6"/>
      <c r="SH3" s="6"/>
      <c r="SI3" s="6"/>
      <c r="SJ3" s="6"/>
      <c r="SK3" s="6"/>
      <c r="SL3" s="6"/>
      <c r="SM3" s="6"/>
      <c r="SN3" s="6"/>
      <c r="SO3" s="6"/>
      <c r="SP3" s="6"/>
      <c r="SQ3" s="6"/>
      <c r="SR3" s="6"/>
      <c r="SS3" s="6"/>
      <c r="ST3" s="6"/>
      <c r="SU3" s="6"/>
      <c r="SV3" s="6"/>
      <c r="SW3" s="6"/>
      <c r="SX3" s="6"/>
      <c r="SY3" s="6"/>
      <c r="SZ3" s="6"/>
      <c r="TA3" s="6"/>
      <c r="TB3" s="6"/>
      <c r="TC3" s="6"/>
      <c r="TD3" s="6"/>
      <c r="TE3" s="6"/>
      <c r="TF3" s="6"/>
      <c r="TG3" s="6"/>
      <c r="TH3" s="6"/>
      <c r="TI3" s="6"/>
      <c r="TJ3" s="6"/>
      <c r="TK3" s="6"/>
      <c r="TL3" s="6"/>
      <c r="TM3" s="6"/>
      <c r="TN3" s="6"/>
      <c r="TO3" s="6"/>
      <c r="TP3" s="6"/>
      <c r="TQ3" s="6"/>
      <c r="TR3" s="6"/>
      <c r="TS3" s="6"/>
      <c r="TT3" s="6"/>
      <c r="TU3" s="6"/>
      <c r="TV3" s="6"/>
      <c r="TW3" s="6"/>
      <c r="TX3" s="6"/>
      <c r="TY3" s="6"/>
      <c r="TZ3" s="6"/>
      <c r="UA3" s="6"/>
      <c r="UB3" s="6"/>
      <c r="UC3" s="6"/>
      <c r="UD3" s="6"/>
      <c r="UE3" s="6"/>
      <c r="UF3" s="6"/>
      <c r="UG3" s="6"/>
      <c r="UH3" s="6"/>
      <c r="UI3" s="6"/>
      <c r="UJ3" s="6"/>
      <c r="UK3" s="6"/>
      <c r="UL3" s="6"/>
      <c r="UM3" s="6"/>
      <c r="UN3" s="6"/>
      <c r="UO3" s="6"/>
      <c r="UP3" s="6"/>
      <c r="UQ3" s="6"/>
      <c r="UR3" s="6"/>
      <c r="US3" s="6"/>
      <c r="UT3" s="6"/>
      <c r="UU3" s="6"/>
      <c r="UV3" s="6"/>
      <c r="UW3" s="6"/>
      <c r="UX3" s="6"/>
      <c r="UY3" s="6"/>
      <c r="UZ3" s="6"/>
      <c r="VA3" s="6"/>
      <c r="VB3" s="6"/>
      <c r="VC3" s="6"/>
      <c r="VD3" s="6"/>
      <c r="VE3" s="6"/>
      <c r="VF3" s="6"/>
      <c r="VG3" s="6"/>
      <c r="VH3" s="6"/>
      <c r="VI3" s="6"/>
      <c r="VJ3" s="6"/>
      <c r="VK3" s="6"/>
      <c r="VL3" s="6"/>
      <c r="VM3" s="6"/>
      <c r="VN3" s="6"/>
      <c r="VO3" s="6"/>
      <c r="VP3" s="6"/>
      <c r="VQ3" s="6"/>
      <c r="VR3" s="6"/>
      <c r="VS3" s="6"/>
      <c r="VT3" s="6"/>
      <c r="VU3" s="6"/>
      <c r="VV3" s="6"/>
      <c r="VW3" s="6"/>
      <c r="VX3" s="6"/>
      <c r="VY3" s="6"/>
      <c r="VZ3" s="6"/>
      <c r="WA3" s="6"/>
      <c r="WB3" s="6"/>
      <c r="WC3" s="6"/>
      <c r="WD3" s="6"/>
      <c r="WE3" s="6"/>
      <c r="WF3" s="6"/>
      <c r="WG3" s="6"/>
      <c r="WH3" s="6"/>
      <c r="WI3" s="6"/>
      <c r="WJ3" s="6"/>
      <c r="WK3" s="6"/>
      <c r="WL3" s="6"/>
      <c r="WM3" s="6"/>
      <c r="WN3" s="6"/>
      <c r="WO3" s="6"/>
      <c r="WP3" s="6"/>
      <c r="WQ3" s="6"/>
      <c r="WR3" s="6"/>
      <c r="WS3" s="6"/>
      <c r="WT3" s="6"/>
      <c r="WU3" s="6"/>
      <c r="WV3" s="6"/>
      <c r="WW3" s="6"/>
      <c r="WX3" s="6"/>
      <c r="WY3" s="6"/>
      <c r="WZ3" s="6"/>
      <c r="XA3" s="6"/>
      <c r="XB3" s="6"/>
      <c r="XC3" s="6"/>
      <c r="XD3" s="6"/>
      <c r="XE3" s="6"/>
      <c r="XF3" s="6"/>
      <c r="XG3" s="6"/>
      <c r="XH3" s="6"/>
      <c r="XI3" s="6"/>
      <c r="XJ3" s="6"/>
      <c r="XK3" s="6"/>
      <c r="XL3" s="6"/>
      <c r="XM3" s="6"/>
      <c r="XN3" s="6"/>
      <c r="XO3" s="6"/>
      <c r="XP3" s="6"/>
      <c r="XQ3" s="6"/>
      <c r="XR3" s="6"/>
      <c r="XS3" s="6"/>
      <c r="XT3" s="6"/>
      <c r="XU3" s="6"/>
      <c r="XV3" s="6"/>
      <c r="XW3" s="6"/>
      <c r="XX3" s="6"/>
      <c r="XY3" s="6"/>
      <c r="XZ3" s="6"/>
      <c r="YA3" s="6"/>
      <c r="YB3" s="6"/>
      <c r="YC3" s="6"/>
      <c r="YD3" s="6"/>
      <c r="YE3" s="6"/>
      <c r="YF3" s="6"/>
      <c r="YG3" s="6"/>
      <c r="YH3" s="6"/>
      <c r="YI3" s="6"/>
      <c r="YJ3" s="6"/>
      <c r="YK3" s="6"/>
      <c r="YL3" s="6"/>
      <c r="YM3" s="6"/>
      <c r="YN3" s="6"/>
      <c r="YO3" s="6"/>
      <c r="YP3" s="6"/>
      <c r="YQ3" s="6"/>
      <c r="YR3" s="6"/>
      <c r="YS3" s="6"/>
      <c r="YT3" s="6"/>
      <c r="YU3" s="6"/>
      <c r="YV3" s="6"/>
      <c r="YW3" s="6"/>
      <c r="YX3" s="6"/>
      <c r="YY3" s="6"/>
      <c r="YZ3" s="6"/>
      <c r="ZA3" s="6"/>
      <c r="ZB3" s="6"/>
      <c r="ZC3" s="6"/>
      <c r="ZD3" s="6"/>
      <c r="ZE3" s="6"/>
      <c r="ZF3" s="6"/>
      <c r="ZG3" s="6"/>
      <c r="ZH3" s="6"/>
      <c r="ZI3" s="6"/>
      <c r="ZJ3" s="6"/>
      <c r="ZK3" s="6"/>
      <c r="ZL3" s="6"/>
      <c r="ZM3" s="6"/>
      <c r="ZN3" s="6"/>
      <c r="ZO3" s="6"/>
      <c r="ZP3" s="6"/>
      <c r="ZQ3" s="6"/>
      <c r="ZR3" s="6"/>
      <c r="ZS3" s="6"/>
      <c r="ZT3" s="6"/>
      <c r="ZU3" s="6"/>
      <c r="ZV3" s="6"/>
      <c r="ZW3" s="6"/>
      <c r="ZX3" s="6"/>
      <c r="ZY3" s="6"/>
      <c r="ZZ3" s="6"/>
      <c r="AAA3" s="6"/>
      <c r="AAB3" s="6"/>
      <c r="AAC3" s="6"/>
      <c r="AAD3" s="6"/>
      <c r="AAE3" s="6"/>
      <c r="AAF3" s="6"/>
      <c r="AAG3" s="6"/>
      <c r="AAH3" s="6"/>
      <c r="AAI3" s="6"/>
      <c r="AAJ3" s="6"/>
      <c r="AAK3" s="6"/>
      <c r="AAL3" s="6"/>
      <c r="AAM3" s="6"/>
      <c r="AAN3" s="6"/>
      <c r="AAO3" s="6"/>
      <c r="AAP3" s="6"/>
      <c r="AAQ3" s="6"/>
      <c r="AAR3" s="6"/>
      <c r="AAS3" s="6"/>
      <c r="AAT3" s="6"/>
      <c r="AAU3" s="6"/>
      <c r="AAV3" s="6"/>
      <c r="AAW3" s="6"/>
      <c r="AAX3" s="6"/>
      <c r="AAY3" s="6"/>
      <c r="AAZ3" s="6"/>
      <c r="ABA3" s="6"/>
      <c r="ABB3" s="6"/>
      <c r="ABC3" s="6"/>
      <c r="ABD3" s="6"/>
      <c r="ABE3" s="6"/>
      <c r="ABF3" s="6"/>
      <c r="ABG3" s="6"/>
      <c r="ABH3" s="6"/>
      <c r="ABI3" s="6"/>
      <c r="ABJ3" s="6"/>
      <c r="ABK3" s="6"/>
      <c r="ABL3" s="6"/>
      <c r="ABM3" s="6"/>
      <c r="ABN3" s="6"/>
      <c r="ABO3" s="6"/>
      <c r="ABP3" s="6"/>
      <c r="ABQ3" s="6"/>
      <c r="ABR3" s="6"/>
      <c r="ABS3" s="6"/>
      <c r="ABT3" s="6"/>
      <c r="ABU3" s="6"/>
      <c r="ABV3" s="6"/>
      <c r="ABW3" s="6"/>
      <c r="ABX3" s="6"/>
      <c r="ABY3" s="6"/>
      <c r="ABZ3" s="6"/>
      <c r="ACA3" s="6"/>
      <c r="ACB3" s="6"/>
      <c r="ACC3" s="6"/>
      <c r="ACD3" s="6"/>
      <c r="ACE3" s="6"/>
      <c r="ACF3" s="6"/>
      <c r="ACG3" s="6"/>
      <c r="ACH3" s="6"/>
      <c r="ACI3" s="6"/>
      <c r="ACJ3" s="6"/>
      <c r="ACK3" s="6"/>
      <c r="ACL3" s="6"/>
      <c r="ACM3" s="6"/>
      <c r="ACN3" s="6"/>
      <c r="ACO3" s="6"/>
      <c r="ACP3" s="6"/>
      <c r="ACQ3" s="6"/>
      <c r="ACR3" s="6"/>
      <c r="ACS3" s="6"/>
      <c r="ACT3" s="6"/>
      <c r="ACU3" s="6"/>
      <c r="ACV3" s="6"/>
      <c r="ACW3" s="6"/>
      <c r="ACX3" s="6"/>
      <c r="ACY3" s="6"/>
      <c r="ACZ3" s="6"/>
      <c r="ADA3" s="6"/>
      <c r="ADB3" s="6"/>
      <c r="ADC3" s="6"/>
      <c r="ADD3" s="6"/>
      <c r="ADE3" s="6"/>
      <c r="ADF3" s="6"/>
      <c r="ADG3" s="6"/>
      <c r="ADH3" s="6"/>
      <c r="ADI3" s="6"/>
      <c r="ADJ3" s="6"/>
      <c r="ADK3" s="6"/>
      <c r="ADL3" s="6"/>
      <c r="ADM3" s="6"/>
      <c r="ADN3" s="6"/>
      <c r="ADO3" s="6"/>
      <c r="ADP3" s="6"/>
      <c r="ADQ3" s="6"/>
      <c r="ADR3" s="6"/>
      <c r="ADS3" s="6"/>
      <c r="ADT3" s="6"/>
      <c r="ADU3" s="6"/>
      <c r="ADV3" s="6"/>
      <c r="ADW3" s="6"/>
      <c r="ADX3" s="6"/>
      <c r="ADY3" s="6"/>
      <c r="ADZ3" s="6"/>
      <c r="AEA3" s="6"/>
      <c r="AEB3" s="6"/>
      <c r="AEC3" s="6"/>
      <c r="AED3" s="6"/>
      <c r="AEE3" s="6"/>
      <c r="AEF3" s="6"/>
      <c r="AEG3" s="6"/>
      <c r="AEH3" s="6"/>
      <c r="AEI3" s="6"/>
      <c r="AEJ3" s="6"/>
      <c r="AEK3" s="6"/>
      <c r="AEL3" s="6"/>
      <c r="AEM3" s="6"/>
      <c r="AEN3" s="6"/>
      <c r="AEO3" s="6"/>
      <c r="AEP3" s="6"/>
      <c r="AEQ3" s="6"/>
      <c r="AER3" s="6"/>
      <c r="AES3" s="6"/>
      <c r="AET3" s="6"/>
      <c r="AEU3" s="6"/>
      <c r="AEV3" s="6"/>
      <c r="AEW3" s="6"/>
      <c r="AEX3" s="6"/>
      <c r="AEY3" s="6"/>
      <c r="AEZ3" s="6"/>
      <c r="AFA3" s="6"/>
      <c r="AFB3" s="6"/>
      <c r="AFC3" s="6"/>
      <c r="AFD3" s="6"/>
      <c r="AFE3" s="6"/>
      <c r="AFF3" s="6"/>
      <c r="AFG3" s="6"/>
      <c r="AFH3" s="6"/>
      <c r="AFI3" s="6"/>
      <c r="AFJ3" s="6"/>
      <c r="AFK3" s="6"/>
      <c r="AFL3" s="6"/>
      <c r="AFM3" s="6"/>
      <c r="AFN3" s="6"/>
      <c r="AFO3" s="6"/>
      <c r="AFP3" s="6"/>
      <c r="AFQ3" s="6"/>
      <c r="AFR3" s="6"/>
      <c r="AFS3" s="6"/>
      <c r="AFT3" s="6"/>
      <c r="AFU3" s="6"/>
      <c r="AFV3" s="6"/>
      <c r="AFW3" s="6"/>
      <c r="AFX3" s="6"/>
      <c r="AFY3" s="6"/>
      <c r="AFZ3" s="6"/>
      <c r="AGA3" s="6"/>
      <c r="AGB3" s="6"/>
      <c r="AGC3" s="6"/>
      <c r="AGD3" s="6"/>
      <c r="AGE3" s="6"/>
      <c r="AGF3" s="6"/>
      <c r="AGG3" s="6"/>
      <c r="AGH3" s="6"/>
      <c r="AGI3" s="6"/>
      <c r="AGJ3" s="6"/>
      <c r="AGK3" s="6"/>
      <c r="AGL3" s="6"/>
      <c r="AGM3" s="6"/>
      <c r="AGN3" s="6"/>
      <c r="AGO3" s="6"/>
      <c r="AGP3" s="6"/>
      <c r="AGQ3" s="6"/>
      <c r="AGR3" s="6"/>
      <c r="AGS3" s="6"/>
      <c r="AGT3" s="6"/>
      <c r="AGU3" s="6"/>
      <c r="AGV3" s="6"/>
      <c r="AGW3" s="6"/>
      <c r="AGX3" s="6"/>
      <c r="AGY3" s="6"/>
      <c r="AGZ3" s="6"/>
      <c r="AHA3" s="6"/>
      <c r="AHB3" s="6"/>
      <c r="AHC3" s="6"/>
      <c r="AHD3" s="6"/>
      <c r="AHE3" s="6"/>
      <c r="AHF3" s="6"/>
      <c r="AHG3" s="6"/>
      <c r="AHH3" s="6"/>
      <c r="AHI3" s="6"/>
      <c r="AHJ3" s="6"/>
      <c r="AHK3" s="6"/>
      <c r="AHL3" s="6"/>
      <c r="AHM3" s="6"/>
      <c r="AHN3" s="6"/>
      <c r="AHO3" s="6"/>
      <c r="AHP3" s="6"/>
      <c r="AHQ3" s="6"/>
      <c r="AHR3" s="6"/>
      <c r="AHS3" s="6"/>
      <c r="AHT3" s="6"/>
      <c r="AHU3" s="6"/>
      <c r="AHV3" s="6"/>
      <c r="AHW3" s="6"/>
      <c r="AHX3" s="6"/>
      <c r="AHY3" s="6"/>
      <c r="AHZ3" s="6"/>
      <c r="AIA3" s="6"/>
      <c r="AIB3" s="6"/>
      <c r="AIC3" s="6"/>
      <c r="AID3" s="6"/>
      <c r="AIE3" s="6"/>
      <c r="AIF3" s="6"/>
      <c r="AIG3" s="6"/>
      <c r="AIH3" s="6"/>
      <c r="AII3" s="6"/>
      <c r="AIJ3" s="6"/>
      <c r="AIK3" s="6"/>
      <c r="AIL3" s="6"/>
      <c r="AIM3" s="6"/>
      <c r="AIN3" s="6"/>
      <c r="AIO3" s="6"/>
      <c r="AIP3" s="6"/>
      <c r="AIQ3" s="6"/>
      <c r="AIR3" s="6"/>
      <c r="AIS3" s="6"/>
      <c r="AIT3" s="6"/>
      <c r="AIU3" s="6"/>
      <c r="AIV3" s="6"/>
      <c r="AIW3" s="6"/>
      <c r="AIX3" s="6"/>
      <c r="AIY3" s="6"/>
      <c r="AIZ3" s="6"/>
      <c r="AJA3" s="6"/>
      <c r="AJB3" s="6"/>
      <c r="AJC3" s="6"/>
      <c r="AJD3" s="6"/>
      <c r="AJE3" s="6"/>
      <c r="AJF3" s="6"/>
      <c r="AJG3" s="6"/>
      <c r="AJH3" s="6"/>
      <c r="AJI3" s="6"/>
      <c r="AJJ3" s="6"/>
      <c r="AJK3" s="6"/>
      <c r="AJL3" s="6"/>
      <c r="AJM3" s="6"/>
      <c r="AJN3" s="6"/>
      <c r="AJO3" s="6"/>
      <c r="AJP3" s="6"/>
      <c r="AJQ3" s="6"/>
      <c r="AJR3" s="6"/>
      <c r="AJS3" s="6"/>
      <c r="AJT3" s="6"/>
      <c r="AJU3" s="6"/>
      <c r="AJV3" s="6"/>
      <c r="AJW3" s="6"/>
      <c r="AJX3" s="6"/>
      <c r="AJY3" s="6"/>
      <c r="AJZ3" s="6"/>
      <c r="AKA3" s="6"/>
      <c r="AKB3" s="6"/>
      <c r="AKC3" s="6"/>
      <c r="AKD3" s="6"/>
      <c r="AKE3" s="6"/>
      <c r="AKF3" s="6"/>
      <c r="AKG3" s="6"/>
      <c r="AKH3" s="6"/>
      <c r="AKI3" s="6"/>
      <c r="AKJ3" s="6"/>
      <c r="AKK3" s="6"/>
      <c r="AKL3" s="6"/>
      <c r="AKM3" s="6"/>
      <c r="AKN3" s="6"/>
      <c r="AKO3" s="6"/>
      <c r="AKP3" s="6"/>
      <c r="AKQ3" s="6"/>
      <c r="AKR3" s="6"/>
      <c r="AKS3" s="6"/>
      <c r="AKT3" s="6"/>
      <c r="AKU3" s="6"/>
      <c r="AKV3" s="6"/>
      <c r="AKW3" s="6"/>
      <c r="AKX3" s="6"/>
      <c r="AKY3" s="6"/>
      <c r="AKZ3" s="6"/>
      <c r="ALA3" s="6"/>
      <c r="ALB3" s="6"/>
      <c r="ALC3" s="6"/>
      <c r="ALD3" s="6"/>
      <c r="ALE3" s="6"/>
      <c r="ALF3" s="6"/>
      <c r="ALG3" s="6"/>
      <c r="ALH3" s="6"/>
      <c r="ALI3" s="6"/>
      <c r="ALJ3" s="6"/>
      <c r="ALK3" s="6"/>
      <c r="ALL3" s="6"/>
      <c r="ALM3" s="6"/>
      <c r="ALN3" s="6"/>
      <c r="ALO3" s="6"/>
      <c r="ALP3" s="6"/>
      <c r="ALQ3" s="6"/>
      <c r="ALR3" s="6"/>
      <c r="ALS3" s="6"/>
      <c r="ALT3" s="6"/>
      <c r="ALU3" s="6"/>
      <c r="ALV3" s="6"/>
      <c r="ALW3" s="6"/>
      <c r="ALX3" s="6"/>
      <c r="ALY3" s="6"/>
      <c r="ALZ3" s="6"/>
      <c r="AMA3" s="6"/>
      <c r="AMB3" s="6"/>
      <c r="AMC3" s="6"/>
      <c r="AMD3" s="6"/>
      <c r="AME3" s="6"/>
      <c r="AMF3" s="6"/>
      <c r="AMG3" s="6"/>
      <c r="AMH3" s="6"/>
    </row>
    <row r="4" spans="1:1022" x14ac:dyDescent="0.15">
      <c r="A4" s="6" t="s">
        <v>2807</v>
      </c>
      <c r="B4" s="6" t="s">
        <v>183</v>
      </c>
      <c r="C4" s="6" t="str">
        <f t="shared" si="0"/>
        <v>att_user_research_group:hallek</v>
      </c>
      <c r="D4" s="6" t="s">
        <v>13</v>
      </c>
      <c r="E4" s="6" t="s">
        <v>2808</v>
      </c>
      <c r="F4" s="6" t="s">
        <v>2809</v>
      </c>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c r="EY4" s="6"/>
      <c r="EZ4" s="6"/>
      <c r="FA4" s="6"/>
      <c r="FB4" s="6"/>
      <c r="FC4" s="6"/>
      <c r="FD4" s="6"/>
      <c r="FE4" s="6"/>
      <c r="FF4" s="6"/>
      <c r="FG4" s="6"/>
      <c r="FH4" s="6"/>
      <c r="FI4" s="6"/>
      <c r="FJ4" s="6"/>
      <c r="FK4" s="6"/>
      <c r="FL4" s="6"/>
      <c r="FM4" s="6"/>
      <c r="FN4" s="6"/>
      <c r="FO4" s="6"/>
      <c r="FP4" s="6"/>
      <c r="FQ4" s="6"/>
      <c r="FR4" s="6"/>
      <c r="FS4" s="6"/>
      <c r="FT4" s="6"/>
      <c r="FU4" s="6"/>
      <c r="FV4" s="6"/>
      <c r="FW4" s="6"/>
      <c r="FX4" s="6"/>
      <c r="FY4" s="6"/>
      <c r="FZ4" s="6"/>
      <c r="GA4" s="6"/>
      <c r="GB4" s="6"/>
      <c r="GC4" s="6"/>
      <c r="GD4" s="6"/>
      <c r="GE4" s="6"/>
      <c r="GF4" s="6"/>
      <c r="GG4" s="6"/>
      <c r="GH4" s="6"/>
      <c r="GI4" s="6"/>
      <c r="GJ4" s="6"/>
      <c r="GK4" s="6"/>
      <c r="GL4" s="6"/>
      <c r="GM4" s="6"/>
      <c r="GN4" s="6"/>
      <c r="GO4" s="6"/>
      <c r="GP4" s="6"/>
      <c r="GQ4" s="6"/>
      <c r="GR4" s="6"/>
      <c r="GS4" s="6"/>
      <c r="GT4" s="6"/>
      <c r="GU4" s="6"/>
      <c r="GV4" s="6"/>
      <c r="GW4" s="6"/>
      <c r="GX4" s="6"/>
      <c r="GY4" s="6"/>
      <c r="GZ4" s="6"/>
      <c r="HA4" s="6"/>
      <c r="HB4" s="6"/>
      <c r="HC4" s="6"/>
      <c r="HD4" s="6"/>
      <c r="HE4" s="6"/>
      <c r="HF4" s="6"/>
      <c r="HG4" s="6"/>
      <c r="HH4" s="6"/>
      <c r="HI4" s="6"/>
      <c r="HJ4" s="6"/>
      <c r="HK4" s="6"/>
      <c r="HL4" s="6"/>
      <c r="HM4" s="6"/>
      <c r="HN4" s="6"/>
      <c r="HO4" s="6"/>
      <c r="HP4" s="6"/>
      <c r="HQ4" s="6"/>
      <c r="HR4" s="6"/>
      <c r="HS4" s="6"/>
      <c r="HT4" s="6"/>
      <c r="HU4" s="6"/>
      <c r="HV4" s="6"/>
      <c r="HW4" s="6"/>
      <c r="HX4" s="6"/>
      <c r="HY4" s="6"/>
      <c r="HZ4" s="6"/>
      <c r="IA4" s="6"/>
      <c r="IB4" s="6"/>
      <c r="IC4" s="6"/>
      <c r="ID4" s="6"/>
      <c r="IE4" s="6"/>
      <c r="IF4" s="6"/>
      <c r="IG4" s="6"/>
      <c r="IH4" s="6"/>
      <c r="II4" s="6"/>
      <c r="IJ4" s="6"/>
      <c r="IK4" s="6"/>
      <c r="IL4" s="6"/>
      <c r="IM4" s="6"/>
      <c r="IN4" s="6"/>
      <c r="IO4" s="6"/>
      <c r="IP4" s="6"/>
      <c r="IQ4" s="6"/>
      <c r="IR4" s="6"/>
      <c r="IS4" s="6"/>
      <c r="IT4" s="6"/>
      <c r="IU4" s="6"/>
      <c r="IV4" s="6"/>
      <c r="IW4" s="6"/>
      <c r="IX4" s="6"/>
      <c r="IY4" s="6"/>
      <c r="IZ4" s="6"/>
      <c r="JA4" s="6"/>
      <c r="JB4" s="6"/>
      <c r="JC4" s="6"/>
      <c r="JD4" s="6"/>
      <c r="JE4" s="6"/>
      <c r="JF4" s="6"/>
      <c r="JG4" s="6"/>
      <c r="JH4" s="6"/>
      <c r="JI4" s="6"/>
      <c r="JJ4" s="6"/>
      <c r="JK4" s="6"/>
      <c r="JL4" s="6"/>
      <c r="JM4" s="6"/>
      <c r="JN4" s="6"/>
      <c r="JO4" s="6"/>
      <c r="JP4" s="6"/>
      <c r="JQ4" s="6"/>
      <c r="JR4" s="6"/>
      <c r="JS4" s="6"/>
      <c r="JT4" s="6"/>
      <c r="JU4" s="6"/>
      <c r="JV4" s="6"/>
      <c r="JW4" s="6"/>
      <c r="JX4" s="6"/>
      <c r="JY4" s="6"/>
      <c r="JZ4" s="6"/>
      <c r="KA4" s="6"/>
      <c r="KB4" s="6"/>
      <c r="KC4" s="6"/>
      <c r="KD4" s="6"/>
      <c r="KE4" s="6"/>
      <c r="KF4" s="6"/>
      <c r="KG4" s="6"/>
      <c r="KH4" s="6"/>
      <c r="KI4" s="6"/>
      <c r="KJ4" s="6"/>
      <c r="KK4" s="6"/>
      <c r="KL4" s="6"/>
      <c r="KM4" s="6"/>
      <c r="KN4" s="6"/>
      <c r="KO4" s="6"/>
      <c r="KP4" s="6"/>
      <c r="KQ4" s="6"/>
      <c r="KR4" s="6"/>
      <c r="KS4" s="6"/>
      <c r="KT4" s="6"/>
      <c r="KU4" s="6"/>
      <c r="KV4" s="6"/>
      <c r="KW4" s="6"/>
      <c r="KX4" s="6"/>
      <c r="KY4" s="6"/>
      <c r="KZ4" s="6"/>
      <c r="LA4" s="6"/>
      <c r="LB4" s="6"/>
      <c r="LC4" s="6"/>
      <c r="LD4" s="6"/>
      <c r="LE4" s="6"/>
      <c r="LF4" s="6"/>
      <c r="LG4" s="6"/>
      <c r="LH4" s="6"/>
      <c r="LI4" s="6"/>
      <c r="LJ4" s="6"/>
      <c r="LK4" s="6"/>
      <c r="LL4" s="6"/>
      <c r="LM4" s="6"/>
      <c r="LN4" s="6"/>
      <c r="LO4" s="6"/>
      <c r="LP4" s="6"/>
      <c r="LQ4" s="6"/>
      <c r="LR4" s="6"/>
      <c r="LS4" s="6"/>
      <c r="LT4" s="6"/>
      <c r="LU4" s="6"/>
      <c r="LV4" s="6"/>
      <c r="LW4" s="6"/>
      <c r="LX4" s="6"/>
      <c r="LY4" s="6"/>
      <c r="LZ4" s="6"/>
      <c r="MA4" s="6"/>
      <c r="MB4" s="6"/>
      <c r="MC4" s="6"/>
      <c r="MD4" s="6"/>
      <c r="ME4" s="6"/>
      <c r="MF4" s="6"/>
      <c r="MG4" s="6"/>
      <c r="MH4" s="6"/>
      <c r="MI4" s="6"/>
      <c r="MJ4" s="6"/>
      <c r="MK4" s="6"/>
      <c r="ML4" s="6"/>
      <c r="MM4" s="6"/>
      <c r="MN4" s="6"/>
      <c r="MO4" s="6"/>
      <c r="MP4" s="6"/>
      <c r="MQ4" s="6"/>
      <c r="MR4" s="6"/>
      <c r="MS4" s="6"/>
      <c r="MT4" s="6"/>
      <c r="MU4" s="6"/>
      <c r="MV4" s="6"/>
      <c r="MW4" s="6"/>
      <c r="MX4" s="6"/>
      <c r="MY4" s="6"/>
      <c r="MZ4" s="6"/>
      <c r="NA4" s="6"/>
      <c r="NB4" s="6"/>
      <c r="NC4" s="6"/>
      <c r="ND4" s="6"/>
      <c r="NE4" s="6"/>
      <c r="NF4" s="6"/>
      <c r="NG4" s="6"/>
      <c r="NH4" s="6"/>
      <c r="NI4" s="6"/>
      <c r="NJ4" s="6"/>
      <c r="NK4" s="6"/>
      <c r="NL4" s="6"/>
      <c r="NM4" s="6"/>
      <c r="NN4" s="6"/>
      <c r="NO4" s="6"/>
      <c r="NP4" s="6"/>
      <c r="NQ4" s="6"/>
      <c r="NR4" s="6"/>
      <c r="NS4" s="6"/>
      <c r="NT4" s="6"/>
      <c r="NU4" s="6"/>
      <c r="NV4" s="6"/>
      <c r="NW4" s="6"/>
      <c r="NX4" s="6"/>
      <c r="NY4" s="6"/>
      <c r="NZ4" s="6"/>
      <c r="OA4" s="6"/>
      <c r="OB4" s="6"/>
      <c r="OC4" s="6"/>
      <c r="OD4" s="6"/>
      <c r="OE4" s="6"/>
      <c r="OF4" s="6"/>
      <c r="OG4" s="6"/>
      <c r="OH4" s="6"/>
      <c r="OI4" s="6"/>
      <c r="OJ4" s="6"/>
      <c r="OK4" s="6"/>
      <c r="OL4" s="6"/>
      <c r="OM4" s="6"/>
      <c r="ON4" s="6"/>
      <c r="OO4" s="6"/>
      <c r="OP4" s="6"/>
      <c r="OQ4" s="6"/>
      <c r="OR4" s="6"/>
      <c r="OS4" s="6"/>
      <c r="OT4" s="6"/>
      <c r="OU4" s="6"/>
      <c r="OV4" s="6"/>
      <c r="OW4" s="6"/>
      <c r="OX4" s="6"/>
      <c r="OY4" s="6"/>
      <c r="OZ4" s="6"/>
      <c r="PA4" s="6"/>
      <c r="PB4" s="6"/>
      <c r="PC4" s="6"/>
      <c r="PD4" s="6"/>
      <c r="PE4" s="6"/>
      <c r="PF4" s="6"/>
      <c r="PG4" s="6"/>
      <c r="PH4" s="6"/>
      <c r="PI4" s="6"/>
      <c r="PJ4" s="6"/>
      <c r="PK4" s="6"/>
      <c r="PL4" s="6"/>
      <c r="PM4" s="6"/>
      <c r="PN4" s="6"/>
      <c r="PO4" s="6"/>
      <c r="PP4" s="6"/>
      <c r="PQ4" s="6"/>
      <c r="PR4" s="6"/>
      <c r="PS4" s="6"/>
      <c r="PT4" s="6"/>
      <c r="PU4" s="6"/>
      <c r="PV4" s="6"/>
      <c r="PW4" s="6"/>
      <c r="PX4" s="6"/>
      <c r="PY4" s="6"/>
      <c r="PZ4" s="6"/>
      <c r="QA4" s="6"/>
      <c r="QB4" s="6"/>
      <c r="QC4" s="6"/>
      <c r="QD4" s="6"/>
      <c r="QE4" s="6"/>
      <c r="QF4" s="6"/>
      <c r="QG4" s="6"/>
      <c r="QH4" s="6"/>
      <c r="QI4" s="6"/>
      <c r="QJ4" s="6"/>
      <c r="QK4" s="6"/>
      <c r="QL4" s="6"/>
      <c r="QM4" s="6"/>
      <c r="QN4" s="6"/>
      <c r="QO4" s="6"/>
      <c r="QP4" s="6"/>
      <c r="QQ4" s="6"/>
      <c r="QR4" s="6"/>
      <c r="QS4" s="6"/>
      <c r="QT4" s="6"/>
      <c r="QU4" s="6"/>
      <c r="QV4" s="6"/>
      <c r="QW4" s="6"/>
      <c r="QX4" s="6"/>
      <c r="QY4" s="6"/>
      <c r="QZ4" s="6"/>
      <c r="RA4" s="6"/>
      <c r="RB4" s="6"/>
      <c r="RC4" s="6"/>
      <c r="RD4" s="6"/>
      <c r="RE4" s="6"/>
      <c r="RF4" s="6"/>
      <c r="RG4" s="6"/>
      <c r="RH4" s="6"/>
      <c r="RI4" s="6"/>
      <c r="RJ4" s="6"/>
      <c r="RK4" s="6"/>
      <c r="RL4" s="6"/>
      <c r="RM4" s="6"/>
      <c r="RN4" s="6"/>
      <c r="RO4" s="6"/>
      <c r="RP4" s="6"/>
      <c r="RQ4" s="6"/>
      <c r="RR4" s="6"/>
      <c r="RS4" s="6"/>
      <c r="RT4" s="6"/>
      <c r="RU4" s="6"/>
      <c r="RV4" s="6"/>
      <c r="RW4" s="6"/>
      <c r="RX4" s="6"/>
      <c r="RY4" s="6"/>
      <c r="RZ4" s="6"/>
      <c r="SA4" s="6"/>
      <c r="SB4" s="6"/>
      <c r="SC4" s="6"/>
      <c r="SD4" s="6"/>
      <c r="SE4" s="6"/>
      <c r="SF4" s="6"/>
      <c r="SG4" s="6"/>
      <c r="SH4" s="6"/>
      <c r="SI4" s="6"/>
      <c r="SJ4" s="6"/>
      <c r="SK4" s="6"/>
      <c r="SL4" s="6"/>
      <c r="SM4" s="6"/>
      <c r="SN4" s="6"/>
      <c r="SO4" s="6"/>
      <c r="SP4" s="6"/>
      <c r="SQ4" s="6"/>
      <c r="SR4" s="6"/>
      <c r="SS4" s="6"/>
      <c r="ST4" s="6"/>
      <c r="SU4" s="6"/>
      <c r="SV4" s="6"/>
      <c r="SW4" s="6"/>
      <c r="SX4" s="6"/>
      <c r="SY4" s="6"/>
      <c r="SZ4" s="6"/>
      <c r="TA4" s="6"/>
      <c r="TB4" s="6"/>
      <c r="TC4" s="6"/>
      <c r="TD4" s="6"/>
      <c r="TE4" s="6"/>
      <c r="TF4" s="6"/>
      <c r="TG4" s="6"/>
      <c r="TH4" s="6"/>
      <c r="TI4" s="6"/>
      <c r="TJ4" s="6"/>
      <c r="TK4" s="6"/>
      <c r="TL4" s="6"/>
      <c r="TM4" s="6"/>
      <c r="TN4" s="6"/>
      <c r="TO4" s="6"/>
      <c r="TP4" s="6"/>
      <c r="TQ4" s="6"/>
      <c r="TR4" s="6"/>
      <c r="TS4" s="6"/>
      <c r="TT4" s="6"/>
      <c r="TU4" s="6"/>
      <c r="TV4" s="6"/>
      <c r="TW4" s="6"/>
      <c r="TX4" s="6"/>
      <c r="TY4" s="6"/>
      <c r="TZ4" s="6"/>
      <c r="UA4" s="6"/>
      <c r="UB4" s="6"/>
      <c r="UC4" s="6"/>
      <c r="UD4" s="6"/>
      <c r="UE4" s="6"/>
      <c r="UF4" s="6"/>
      <c r="UG4" s="6"/>
      <c r="UH4" s="6"/>
      <c r="UI4" s="6"/>
      <c r="UJ4" s="6"/>
      <c r="UK4" s="6"/>
      <c r="UL4" s="6"/>
      <c r="UM4" s="6"/>
      <c r="UN4" s="6"/>
      <c r="UO4" s="6"/>
      <c r="UP4" s="6"/>
      <c r="UQ4" s="6"/>
      <c r="UR4" s="6"/>
      <c r="US4" s="6"/>
      <c r="UT4" s="6"/>
      <c r="UU4" s="6"/>
      <c r="UV4" s="6"/>
      <c r="UW4" s="6"/>
      <c r="UX4" s="6"/>
      <c r="UY4" s="6"/>
      <c r="UZ4" s="6"/>
      <c r="VA4" s="6"/>
      <c r="VB4" s="6"/>
      <c r="VC4" s="6"/>
      <c r="VD4" s="6"/>
      <c r="VE4" s="6"/>
      <c r="VF4" s="6"/>
      <c r="VG4" s="6"/>
      <c r="VH4" s="6"/>
      <c r="VI4" s="6"/>
      <c r="VJ4" s="6"/>
      <c r="VK4" s="6"/>
      <c r="VL4" s="6"/>
      <c r="VM4" s="6"/>
      <c r="VN4" s="6"/>
      <c r="VO4" s="6"/>
      <c r="VP4" s="6"/>
      <c r="VQ4" s="6"/>
      <c r="VR4" s="6"/>
      <c r="VS4" s="6"/>
      <c r="VT4" s="6"/>
      <c r="VU4" s="6"/>
      <c r="VV4" s="6"/>
      <c r="VW4" s="6"/>
      <c r="VX4" s="6"/>
      <c r="VY4" s="6"/>
      <c r="VZ4" s="6"/>
      <c r="WA4" s="6"/>
      <c r="WB4" s="6"/>
      <c r="WC4" s="6"/>
      <c r="WD4" s="6"/>
      <c r="WE4" s="6"/>
      <c r="WF4" s="6"/>
      <c r="WG4" s="6"/>
      <c r="WH4" s="6"/>
      <c r="WI4" s="6"/>
      <c r="WJ4" s="6"/>
      <c r="WK4" s="6"/>
      <c r="WL4" s="6"/>
      <c r="WM4" s="6"/>
      <c r="WN4" s="6"/>
      <c r="WO4" s="6"/>
      <c r="WP4" s="6"/>
      <c r="WQ4" s="6"/>
      <c r="WR4" s="6"/>
      <c r="WS4" s="6"/>
      <c r="WT4" s="6"/>
      <c r="WU4" s="6"/>
      <c r="WV4" s="6"/>
      <c r="WW4" s="6"/>
      <c r="WX4" s="6"/>
      <c r="WY4" s="6"/>
      <c r="WZ4" s="6"/>
      <c r="XA4" s="6"/>
      <c r="XB4" s="6"/>
      <c r="XC4" s="6"/>
      <c r="XD4" s="6"/>
      <c r="XE4" s="6"/>
      <c r="XF4" s="6"/>
      <c r="XG4" s="6"/>
      <c r="XH4" s="6"/>
      <c r="XI4" s="6"/>
      <c r="XJ4" s="6"/>
      <c r="XK4" s="6"/>
      <c r="XL4" s="6"/>
      <c r="XM4" s="6"/>
      <c r="XN4" s="6"/>
      <c r="XO4" s="6"/>
      <c r="XP4" s="6"/>
      <c r="XQ4" s="6"/>
      <c r="XR4" s="6"/>
      <c r="XS4" s="6"/>
      <c r="XT4" s="6"/>
      <c r="XU4" s="6"/>
      <c r="XV4" s="6"/>
      <c r="XW4" s="6"/>
      <c r="XX4" s="6"/>
      <c r="XY4" s="6"/>
      <c r="XZ4" s="6"/>
      <c r="YA4" s="6"/>
      <c r="YB4" s="6"/>
      <c r="YC4" s="6"/>
      <c r="YD4" s="6"/>
      <c r="YE4" s="6"/>
      <c r="YF4" s="6"/>
      <c r="YG4" s="6"/>
      <c r="YH4" s="6"/>
      <c r="YI4" s="6"/>
      <c r="YJ4" s="6"/>
      <c r="YK4" s="6"/>
      <c r="YL4" s="6"/>
      <c r="YM4" s="6"/>
      <c r="YN4" s="6"/>
      <c r="YO4" s="6"/>
      <c r="YP4" s="6"/>
      <c r="YQ4" s="6"/>
      <c r="YR4" s="6"/>
      <c r="YS4" s="6"/>
      <c r="YT4" s="6"/>
      <c r="YU4" s="6"/>
      <c r="YV4" s="6"/>
      <c r="YW4" s="6"/>
      <c r="YX4" s="6"/>
      <c r="YY4" s="6"/>
      <c r="YZ4" s="6"/>
      <c r="ZA4" s="6"/>
      <c r="ZB4" s="6"/>
      <c r="ZC4" s="6"/>
      <c r="ZD4" s="6"/>
      <c r="ZE4" s="6"/>
      <c r="ZF4" s="6"/>
      <c r="ZG4" s="6"/>
      <c r="ZH4" s="6"/>
      <c r="ZI4" s="6"/>
      <c r="ZJ4" s="6"/>
      <c r="ZK4" s="6"/>
      <c r="ZL4" s="6"/>
      <c r="ZM4" s="6"/>
      <c r="ZN4" s="6"/>
      <c r="ZO4" s="6"/>
      <c r="ZP4" s="6"/>
      <c r="ZQ4" s="6"/>
      <c r="ZR4" s="6"/>
      <c r="ZS4" s="6"/>
      <c r="ZT4" s="6"/>
      <c r="ZU4" s="6"/>
      <c r="ZV4" s="6"/>
      <c r="ZW4" s="6"/>
      <c r="ZX4" s="6"/>
      <c r="ZY4" s="6"/>
      <c r="ZZ4" s="6"/>
      <c r="AAA4" s="6"/>
      <c r="AAB4" s="6"/>
      <c r="AAC4" s="6"/>
      <c r="AAD4" s="6"/>
      <c r="AAE4" s="6"/>
      <c r="AAF4" s="6"/>
      <c r="AAG4" s="6"/>
      <c r="AAH4" s="6"/>
      <c r="AAI4" s="6"/>
      <c r="AAJ4" s="6"/>
      <c r="AAK4" s="6"/>
      <c r="AAL4" s="6"/>
      <c r="AAM4" s="6"/>
      <c r="AAN4" s="6"/>
      <c r="AAO4" s="6"/>
      <c r="AAP4" s="6"/>
      <c r="AAQ4" s="6"/>
      <c r="AAR4" s="6"/>
      <c r="AAS4" s="6"/>
      <c r="AAT4" s="6"/>
      <c r="AAU4" s="6"/>
      <c r="AAV4" s="6"/>
      <c r="AAW4" s="6"/>
      <c r="AAX4" s="6"/>
      <c r="AAY4" s="6"/>
      <c r="AAZ4" s="6"/>
      <c r="ABA4" s="6"/>
      <c r="ABB4" s="6"/>
      <c r="ABC4" s="6"/>
      <c r="ABD4" s="6"/>
      <c r="ABE4" s="6"/>
      <c r="ABF4" s="6"/>
      <c r="ABG4" s="6"/>
      <c r="ABH4" s="6"/>
      <c r="ABI4" s="6"/>
      <c r="ABJ4" s="6"/>
      <c r="ABK4" s="6"/>
      <c r="ABL4" s="6"/>
      <c r="ABM4" s="6"/>
      <c r="ABN4" s="6"/>
      <c r="ABO4" s="6"/>
      <c r="ABP4" s="6"/>
      <c r="ABQ4" s="6"/>
      <c r="ABR4" s="6"/>
      <c r="ABS4" s="6"/>
      <c r="ABT4" s="6"/>
      <c r="ABU4" s="6"/>
      <c r="ABV4" s="6"/>
      <c r="ABW4" s="6"/>
      <c r="ABX4" s="6"/>
      <c r="ABY4" s="6"/>
      <c r="ABZ4" s="6"/>
      <c r="ACA4" s="6"/>
      <c r="ACB4" s="6"/>
      <c r="ACC4" s="6"/>
      <c r="ACD4" s="6"/>
      <c r="ACE4" s="6"/>
      <c r="ACF4" s="6"/>
      <c r="ACG4" s="6"/>
      <c r="ACH4" s="6"/>
      <c r="ACI4" s="6"/>
      <c r="ACJ4" s="6"/>
      <c r="ACK4" s="6"/>
      <c r="ACL4" s="6"/>
      <c r="ACM4" s="6"/>
      <c r="ACN4" s="6"/>
      <c r="ACO4" s="6"/>
      <c r="ACP4" s="6"/>
      <c r="ACQ4" s="6"/>
      <c r="ACR4" s="6"/>
      <c r="ACS4" s="6"/>
      <c r="ACT4" s="6"/>
      <c r="ACU4" s="6"/>
      <c r="ACV4" s="6"/>
      <c r="ACW4" s="6"/>
      <c r="ACX4" s="6"/>
      <c r="ACY4" s="6"/>
      <c r="ACZ4" s="6"/>
      <c r="ADA4" s="6"/>
      <c r="ADB4" s="6"/>
      <c r="ADC4" s="6"/>
      <c r="ADD4" s="6"/>
      <c r="ADE4" s="6"/>
      <c r="ADF4" s="6"/>
      <c r="ADG4" s="6"/>
      <c r="ADH4" s="6"/>
      <c r="ADI4" s="6"/>
      <c r="ADJ4" s="6"/>
      <c r="ADK4" s="6"/>
      <c r="ADL4" s="6"/>
      <c r="ADM4" s="6"/>
      <c r="ADN4" s="6"/>
      <c r="ADO4" s="6"/>
      <c r="ADP4" s="6"/>
      <c r="ADQ4" s="6"/>
      <c r="ADR4" s="6"/>
      <c r="ADS4" s="6"/>
      <c r="ADT4" s="6"/>
      <c r="ADU4" s="6"/>
      <c r="ADV4" s="6"/>
      <c r="ADW4" s="6"/>
      <c r="ADX4" s="6"/>
      <c r="ADY4" s="6"/>
      <c r="ADZ4" s="6"/>
      <c r="AEA4" s="6"/>
      <c r="AEB4" s="6"/>
      <c r="AEC4" s="6"/>
      <c r="AED4" s="6"/>
      <c r="AEE4" s="6"/>
      <c r="AEF4" s="6"/>
      <c r="AEG4" s="6"/>
      <c r="AEH4" s="6"/>
      <c r="AEI4" s="6"/>
      <c r="AEJ4" s="6"/>
      <c r="AEK4" s="6"/>
      <c r="AEL4" s="6"/>
      <c r="AEM4" s="6"/>
      <c r="AEN4" s="6"/>
      <c r="AEO4" s="6"/>
      <c r="AEP4" s="6"/>
      <c r="AEQ4" s="6"/>
      <c r="AER4" s="6"/>
      <c r="AES4" s="6"/>
      <c r="AET4" s="6"/>
      <c r="AEU4" s="6"/>
      <c r="AEV4" s="6"/>
      <c r="AEW4" s="6"/>
      <c r="AEX4" s="6"/>
      <c r="AEY4" s="6"/>
      <c r="AEZ4" s="6"/>
      <c r="AFA4" s="6"/>
      <c r="AFB4" s="6"/>
      <c r="AFC4" s="6"/>
      <c r="AFD4" s="6"/>
      <c r="AFE4" s="6"/>
      <c r="AFF4" s="6"/>
      <c r="AFG4" s="6"/>
      <c r="AFH4" s="6"/>
      <c r="AFI4" s="6"/>
      <c r="AFJ4" s="6"/>
      <c r="AFK4" s="6"/>
      <c r="AFL4" s="6"/>
      <c r="AFM4" s="6"/>
      <c r="AFN4" s="6"/>
      <c r="AFO4" s="6"/>
      <c r="AFP4" s="6"/>
      <c r="AFQ4" s="6"/>
      <c r="AFR4" s="6"/>
      <c r="AFS4" s="6"/>
      <c r="AFT4" s="6"/>
      <c r="AFU4" s="6"/>
      <c r="AFV4" s="6"/>
      <c r="AFW4" s="6"/>
      <c r="AFX4" s="6"/>
      <c r="AFY4" s="6"/>
      <c r="AFZ4" s="6"/>
      <c r="AGA4" s="6"/>
      <c r="AGB4" s="6"/>
      <c r="AGC4" s="6"/>
      <c r="AGD4" s="6"/>
      <c r="AGE4" s="6"/>
      <c r="AGF4" s="6"/>
      <c r="AGG4" s="6"/>
      <c r="AGH4" s="6"/>
      <c r="AGI4" s="6"/>
      <c r="AGJ4" s="6"/>
      <c r="AGK4" s="6"/>
      <c r="AGL4" s="6"/>
      <c r="AGM4" s="6"/>
      <c r="AGN4" s="6"/>
      <c r="AGO4" s="6"/>
      <c r="AGP4" s="6"/>
      <c r="AGQ4" s="6"/>
      <c r="AGR4" s="6"/>
      <c r="AGS4" s="6"/>
      <c r="AGT4" s="6"/>
      <c r="AGU4" s="6"/>
      <c r="AGV4" s="6"/>
      <c r="AGW4" s="6"/>
      <c r="AGX4" s="6"/>
      <c r="AGY4" s="6"/>
      <c r="AGZ4" s="6"/>
      <c r="AHA4" s="6"/>
      <c r="AHB4" s="6"/>
      <c r="AHC4" s="6"/>
      <c r="AHD4" s="6"/>
      <c r="AHE4" s="6"/>
      <c r="AHF4" s="6"/>
      <c r="AHG4" s="6"/>
      <c r="AHH4" s="6"/>
      <c r="AHI4" s="6"/>
      <c r="AHJ4" s="6"/>
      <c r="AHK4" s="6"/>
      <c r="AHL4" s="6"/>
      <c r="AHM4" s="6"/>
      <c r="AHN4" s="6"/>
      <c r="AHO4" s="6"/>
      <c r="AHP4" s="6"/>
      <c r="AHQ4" s="6"/>
      <c r="AHR4" s="6"/>
      <c r="AHS4" s="6"/>
      <c r="AHT4" s="6"/>
      <c r="AHU4" s="6"/>
      <c r="AHV4" s="6"/>
      <c r="AHW4" s="6"/>
      <c r="AHX4" s="6"/>
      <c r="AHY4" s="6"/>
      <c r="AHZ4" s="6"/>
      <c r="AIA4" s="6"/>
      <c r="AIB4" s="6"/>
      <c r="AIC4" s="6"/>
      <c r="AID4" s="6"/>
      <c r="AIE4" s="6"/>
      <c r="AIF4" s="6"/>
      <c r="AIG4" s="6"/>
      <c r="AIH4" s="6"/>
      <c r="AII4" s="6"/>
      <c r="AIJ4" s="6"/>
      <c r="AIK4" s="6"/>
      <c r="AIL4" s="6"/>
      <c r="AIM4" s="6"/>
      <c r="AIN4" s="6"/>
      <c r="AIO4" s="6"/>
      <c r="AIP4" s="6"/>
      <c r="AIQ4" s="6"/>
      <c r="AIR4" s="6"/>
      <c r="AIS4" s="6"/>
      <c r="AIT4" s="6"/>
      <c r="AIU4" s="6"/>
      <c r="AIV4" s="6"/>
      <c r="AIW4" s="6"/>
      <c r="AIX4" s="6"/>
      <c r="AIY4" s="6"/>
      <c r="AIZ4" s="6"/>
      <c r="AJA4" s="6"/>
      <c r="AJB4" s="6"/>
      <c r="AJC4" s="6"/>
      <c r="AJD4" s="6"/>
      <c r="AJE4" s="6"/>
      <c r="AJF4" s="6"/>
      <c r="AJG4" s="6"/>
      <c r="AJH4" s="6"/>
      <c r="AJI4" s="6"/>
      <c r="AJJ4" s="6"/>
      <c r="AJK4" s="6"/>
      <c r="AJL4" s="6"/>
      <c r="AJM4" s="6"/>
      <c r="AJN4" s="6"/>
      <c r="AJO4" s="6"/>
      <c r="AJP4" s="6"/>
      <c r="AJQ4" s="6"/>
      <c r="AJR4" s="6"/>
      <c r="AJS4" s="6"/>
      <c r="AJT4" s="6"/>
      <c r="AJU4" s="6"/>
      <c r="AJV4" s="6"/>
      <c r="AJW4" s="6"/>
      <c r="AJX4" s="6"/>
      <c r="AJY4" s="6"/>
      <c r="AJZ4" s="6"/>
      <c r="AKA4" s="6"/>
      <c r="AKB4" s="6"/>
      <c r="AKC4" s="6"/>
      <c r="AKD4" s="6"/>
      <c r="AKE4" s="6"/>
      <c r="AKF4" s="6"/>
      <c r="AKG4" s="6"/>
      <c r="AKH4" s="6"/>
      <c r="AKI4" s="6"/>
      <c r="AKJ4" s="6"/>
      <c r="AKK4" s="6"/>
      <c r="AKL4" s="6"/>
      <c r="AKM4" s="6"/>
      <c r="AKN4" s="6"/>
      <c r="AKO4" s="6"/>
      <c r="AKP4" s="6"/>
      <c r="AKQ4" s="6"/>
      <c r="AKR4" s="6"/>
      <c r="AKS4" s="6"/>
      <c r="AKT4" s="6"/>
      <c r="AKU4" s="6"/>
      <c r="AKV4" s="6"/>
      <c r="AKW4" s="6"/>
      <c r="AKX4" s="6"/>
      <c r="AKY4" s="6"/>
      <c r="AKZ4" s="6"/>
      <c r="ALA4" s="6"/>
      <c r="ALB4" s="6"/>
      <c r="ALC4" s="6"/>
      <c r="ALD4" s="6"/>
      <c r="ALE4" s="6"/>
      <c r="ALF4" s="6"/>
      <c r="ALG4" s="6"/>
      <c r="ALH4" s="6"/>
      <c r="ALI4" s="6"/>
      <c r="ALJ4" s="6"/>
      <c r="ALK4" s="6"/>
      <c r="ALL4" s="6"/>
      <c r="ALM4" s="6"/>
      <c r="ALN4" s="6"/>
      <c r="ALO4" s="6"/>
      <c r="ALP4" s="6"/>
      <c r="ALQ4" s="6"/>
      <c r="ALR4" s="6"/>
      <c r="ALS4" s="6"/>
      <c r="ALT4" s="6"/>
      <c r="ALU4" s="6"/>
      <c r="ALV4" s="6"/>
      <c r="ALW4" s="6"/>
      <c r="ALX4" s="6"/>
      <c r="ALY4" s="6"/>
      <c r="ALZ4" s="6"/>
      <c r="AMA4" s="6"/>
      <c r="AMB4" s="6"/>
      <c r="AMC4" s="6"/>
      <c r="AMD4" s="6"/>
      <c r="AME4" s="6"/>
      <c r="AMF4" s="6"/>
      <c r="AMG4" s="6"/>
      <c r="AMH4" s="6"/>
    </row>
    <row r="5" spans="1:1022" x14ac:dyDescent="0.15">
      <c r="A5" s="6" t="s">
        <v>2810</v>
      </c>
      <c r="B5" s="6" t="s">
        <v>183</v>
      </c>
      <c r="C5" s="6" t="str">
        <f t="shared" si="0"/>
        <v>att_user_research_group:benzing</v>
      </c>
      <c r="D5" s="6" t="s">
        <v>13</v>
      </c>
      <c r="E5" s="6" t="s">
        <v>2811</v>
      </c>
      <c r="F5" s="6" t="s">
        <v>2812</v>
      </c>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c r="EY5" s="6"/>
      <c r="EZ5" s="6"/>
      <c r="FA5" s="6"/>
      <c r="FB5" s="6"/>
      <c r="FC5" s="6"/>
      <c r="FD5" s="6"/>
      <c r="FE5" s="6"/>
      <c r="FF5" s="6"/>
      <c r="FG5" s="6"/>
      <c r="FH5" s="6"/>
      <c r="FI5" s="6"/>
      <c r="FJ5" s="6"/>
      <c r="FK5" s="6"/>
      <c r="FL5" s="6"/>
      <c r="FM5" s="6"/>
      <c r="FN5" s="6"/>
      <c r="FO5" s="6"/>
      <c r="FP5" s="6"/>
      <c r="FQ5" s="6"/>
      <c r="FR5" s="6"/>
      <c r="FS5" s="6"/>
      <c r="FT5" s="6"/>
      <c r="FU5" s="6"/>
      <c r="FV5" s="6"/>
      <c r="FW5" s="6"/>
      <c r="FX5" s="6"/>
      <c r="FY5" s="6"/>
      <c r="FZ5" s="6"/>
      <c r="GA5" s="6"/>
      <c r="GB5" s="6"/>
      <c r="GC5" s="6"/>
      <c r="GD5" s="6"/>
      <c r="GE5" s="6"/>
      <c r="GF5" s="6"/>
      <c r="GG5" s="6"/>
      <c r="GH5" s="6"/>
      <c r="GI5" s="6"/>
      <c r="GJ5" s="6"/>
      <c r="GK5" s="6"/>
      <c r="GL5" s="6"/>
      <c r="GM5" s="6"/>
      <c r="GN5" s="6"/>
      <c r="GO5" s="6"/>
      <c r="GP5" s="6"/>
      <c r="GQ5" s="6"/>
      <c r="GR5" s="6"/>
      <c r="GS5" s="6"/>
      <c r="GT5" s="6"/>
      <c r="GU5" s="6"/>
      <c r="GV5" s="6"/>
      <c r="GW5" s="6"/>
      <c r="GX5" s="6"/>
      <c r="GY5" s="6"/>
      <c r="GZ5" s="6"/>
      <c r="HA5" s="6"/>
      <c r="HB5" s="6"/>
      <c r="HC5" s="6"/>
      <c r="HD5" s="6"/>
      <c r="HE5" s="6"/>
      <c r="HF5" s="6"/>
      <c r="HG5" s="6"/>
      <c r="HH5" s="6"/>
      <c r="HI5" s="6"/>
      <c r="HJ5" s="6"/>
      <c r="HK5" s="6"/>
      <c r="HL5" s="6"/>
      <c r="HM5" s="6"/>
      <c r="HN5" s="6"/>
      <c r="HO5" s="6"/>
      <c r="HP5" s="6"/>
      <c r="HQ5" s="6"/>
      <c r="HR5" s="6"/>
      <c r="HS5" s="6"/>
      <c r="HT5" s="6"/>
      <c r="HU5" s="6"/>
      <c r="HV5" s="6"/>
      <c r="HW5" s="6"/>
      <c r="HX5" s="6"/>
      <c r="HY5" s="6"/>
      <c r="HZ5" s="6"/>
      <c r="IA5" s="6"/>
      <c r="IB5" s="6"/>
      <c r="IC5" s="6"/>
      <c r="ID5" s="6"/>
      <c r="IE5" s="6"/>
      <c r="IF5" s="6"/>
      <c r="IG5" s="6"/>
      <c r="IH5" s="6"/>
      <c r="II5" s="6"/>
      <c r="IJ5" s="6"/>
      <c r="IK5" s="6"/>
      <c r="IL5" s="6"/>
      <c r="IM5" s="6"/>
      <c r="IN5" s="6"/>
      <c r="IO5" s="6"/>
      <c r="IP5" s="6"/>
      <c r="IQ5" s="6"/>
      <c r="IR5" s="6"/>
      <c r="IS5" s="6"/>
      <c r="IT5" s="6"/>
      <c r="IU5" s="6"/>
      <c r="IV5" s="6"/>
      <c r="IW5" s="6"/>
      <c r="IX5" s="6"/>
      <c r="IY5" s="6"/>
      <c r="IZ5" s="6"/>
      <c r="JA5" s="6"/>
      <c r="JB5" s="6"/>
      <c r="JC5" s="6"/>
      <c r="JD5" s="6"/>
      <c r="JE5" s="6"/>
      <c r="JF5" s="6"/>
      <c r="JG5" s="6"/>
      <c r="JH5" s="6"/>
      <c r="JI5" s="6"/>
      <c r="JJ5" s="6"/>
      <c r="JK5" s="6"/>
      <c r="JL5" s="6"/>
      <c r="JM5" s="6"/>
      <c r="JN5" s="6"/>
      <c r="JO5" s="6"/>
      <c r="JP5" s="6"/>
      <c r="JQ5" s="6"/>
      <c r="JR5" s="6"/>
      <c r="JS5" s="6"/>
      <c r="JT5" s="6"/>
      <c r="JU5" s="6"/>
      <c r="JV5" s="6"/>
      <c r="JW5" s="6"/>
      <c r="JX5" s="6"/>
      <c r="JY5" s="6"/>
      <c r="JZ5" s="6"/>
      <c r="KA5" s="6"/>
      <c r="KB5" s="6"/>
      <c r="KC5" s="6"/>
      <c r="KD5" s="6"/>
      <c r="KE5" s="6"/>
      <c r="KF5" s="6"/>
      <c r="KG5" s="6"/>
      <c r="KH5" s="6"/>
      <c r="KI5" s="6"/>
      <c r="KJ5" s="6"/>
      <c r="KK5" s="6"/>
      <c r="KL5" s="6"/>
      <c r="KM5" s="6"/>
      <c r="KN5" s="6"/>
      <c r="KO5" s="6"/>
      <c r="KP5" s="6"/>
      <c r="KQ5" s="6"/>
      <c r="KR5" s="6"/>
      <c r="KS5" s="6"/>
      <c r="KT5" s="6"/>
      <c r="KU5" s="6"/>
      <c r="KV5" s="6"/>
      <c r="KW5" s="6"/>
      <c r="KX5" s="6"/>
      <c r="KY5" s="6"/>
      <c r="KZ5" s="6"/>
      <c r="LA5" s="6"/>
      <c r="LB5" s="6"/>
      <c r="LC5" s="6"/>
      <c r="LD5" s="6"/>
      <c r="LE5" s="6"/>
      <c r="LF5" s="6"/>
      <c r="LG5" s="6"/>
      <c r="LH5" s="6"/>
      <c r="LI5" s="6"/>
      <c r="LJ5" s="6"/>
      <c r="LK5" s="6"/>
      <c r="LL5" s="6"/>
      <c r="LM5" s="6"/>
      <c r="LN5" s="6"/>
      <c r="LO5" s="6"/>
      <c r="LP5" s="6"/>
      <c r="LQ5" s="6"/>
      <c r="LR5" s="6"/>
      <c r="LS5" s="6"/>
      <c r="LT5" s="6"/>
      <c r="LU5" s="6"/>
      <c r="LV5" s="6"/>
      <c r="LW5" s="6"/>
      <c r="LX5" s="6"/>
      <c r="LY5" s="6"/>
      <c r="LZ5" s="6"/>
      <c r="MA5" s="6"/>
      <c r="MB5" s="6"/>
      <c r="MC5" s="6"/>
      <c r="MD5" s="6"/>
      <c r="ME5" s="6"/>
      <c r="MF5" s="6"/>
      <c r="MG5" s="6"/>
      <c r="MH5" s="6"/>
      <c r="MI5" s="6"/>
      <c r="MJ5" s="6"/>
      <c r="MK5" s="6"/>
      <c r="ML5" s="6"/>
      <c r="MM5" s="6"/>
      <c r="MN5" s="6"/>
      <c r="MO5" s="6"/>
      <c r="MP5" s="6"/>
      <c r="MQ5" s="6"/>
      <c r="MR5" s="6"/>
      <c r="MS5" s="6"/>
      <c r="MT5" s="6"/>
      <c r="MU5" s="6"/>
      <c r="MV5" s="6"/>
      <c r="MW5" s="6"/>
      <c r="MX5" s="6"/>
      <c r="MY5" s="6"/>
      <c r="MZ5" s="6"/>
      <c r="NA5" s="6"/>
      <c r="NB5" s="6"/>
      <c r="NC5" s="6"/>
      <c r="ND5" s="6"/>
      <c r="NE5" s="6"/>
      <c r="NF5" s="6"/>
      <c r="NG5" s="6"/>
      <c r="NH5" s="6"/>
      <c r="NI5" s="6"/>
      <c r="NJ5" s="6"/>
      <c r="NK5" s="6"/>
      <c r="NL5" s="6"/>
      <c r="NM5" s="6"/>
      <c r="NN5" s="6"/>
      <c r="NO5" s="6"/>
      <c r="NP5" s="6"/>
      <c r="NQ5" s="6"/>
      <c r="NR5" s="6"/>
      <c r="NS5" s="6"/>
      <c r="NT5" s="6"/>
      <c r="NU5" s="6"/>
      <c r="NV5" s="6"/>
      <c r="NW5" s="6"/>
      <c r="NX5" s="6"/>
      <c r="NY5" s="6"/>
      <c r="NZ5" s="6"/>
      <c r="OA5" s="6"/>
      <c r="OB5" s="6"/>
      <c r="OC5" s="6"/>
      <c r="OD5" s="6"/>
      <c r="OE5" s="6"/>
      <c r="OF5" s="6"/>
      <c r="OG5" s="6"/>
      <c r="OH5" s="6"/>
      <c r="OI5" s="6"/>
      <c r="OJ5" s="6"/>
      <c r="OK5" s="6"/>
      <c r="OL5" s="6"/>
      <c r="OM5" s="6"/>
      <c r="ON5" s="6"/>
      <c r="OO5" s="6"/>
      <c r="OP5" s="6"/>
      <c r="OQ5" s="6"/>
      <c r="OR5" s="6"/>
      <c r="OS5" s="6"/>
      <c r="OT5" s="6"/>
      <c r="OU5" s="6"/>
      <c r="OV5" s="6"/>
      <c r="OW5" s="6"/>
      <c r="OX5" s="6"/>
      <c r="OY5" s="6"/>
      <c r="OZ5" s="6"/>
      <c r="PA5" s="6"/>
      <c r="PB5" s="6"/>
      <c r="PC5" s="6"/>
      <c r="PD5" s="6"/>
      <c r="PE5" s="6"/>
      <c r="PF5" s="6"/>
      <c r="PG5" s="6"/>
      <c r="PH5" s="6"/>
      <c r="PI5" s="6"/>
      <c r="PJ5" s="6"/>
      <c r="PK5" s="6"/>
      <c r="PL5" s="6"/>
      <c r="PM5" s="6"/>
      <c r="PN5" s="6"/>
      <c r="PO5" s="6"/>
      <c r="PP5" s="6"/>
      <c r="PQ5" s="6"/>
      <c r="PR5" s="6"/>
      <c r="PS5" s="6"/>
      <c r="PT5" s="6"/>
      <c r="PU5" s="6"/>
      <c r="PV5" s="6"/>
      <c r="PW5" s="6"/>
      <c r="PX5" s="6"/>
      <c r="PY5" s="6"/>
      <c r="PZ5" s="6"/>
      <c r="QA5" s="6"/>
      <c r="QB5" s="6"/>
      <c r="QC5" s="6"/>
      <c r="QD5" s="6"/>
      <c r="QE5" s="6"/>
      <c r="QF5" s="6"/>
      <c r="QG5" s="6"/>
      <c r="QH5" s="6"/>
      <c r="QI5" s="6"/>
      <c r="QJ5" s="6"/>
      <c r="QK5" s="6"/>
      <c r="QL5" s="6"/>
      <c r="QM5" s="6"/>
      <c r="QN5" s="6"/>
      <c r="QO5" s="6"/>
      <c r="QP5" s="6"/>
      <c r="QQ5" s="6"/>
      <c r="QR5" s="6"/>
      <c r="QS5" s="6"/>
      <c r="QT5" s="6"/>
      <c r="QU5" s="6"/>
      <c r="QV5" s="6"/>
      <c r="QW5" s="6"/>
      <c r="QX5" s="6"/>
      <c r="QY5" s="6"/>
      <c r="QZ5" s="6"/>
      <c r="RA5" s="6"/>
      <c r="RB5" s="6"/>
      <c r="RC5" s="6"/>
      <c r="RD5" s="6"/>
      <c r="RE5" s="6"/>
      <c r="RF5" s="6"/>
      <c r="RG5" s="6"/>
      <c r="RH5" s="6"/>
      <c r="RI5" s="6"/>
      <c r="RJ5" s="6"/>
      <c r="RK5" s="6"/>
      <c r="RL5" s="6"/>
      <c r="RM5" s="6"/>
      <c r="RN5" s="6"/>
      <c r="RO5" s="6"/>
      <c r="RP5" s="6"/>
      <c r="RQ5" s="6"/>
      <c r="RR5" s="6"/>
      <c r="RS5" s="6"/>
      <c r="RT5" s="6"/>
      <c r="RU5" s="6"/>
      <c r="RV5" s="6"/>
      <c r="RW5" s="6"/>
      <c r="RX5" s="6"/>
      <c r="RY5" s="6"/>
      <c r="RZ5" s="6"/>
      <c r="SA5" s="6"/>
      <c r="SB5" s="6"/>
      <c r="SC5" s="6"/>
      <c r="SD5" s="6"/>
      <c r="SE5" s="6"/>
      <c r="SF5" s="6"/>
      <c r="SG5" s="6"/>
      <c r="SH5" s="6"/>
      <c r="SI5" s="6"/>
      <c r="SJ5" s="6"/>
      <c r="SK5" s="6"/>
      <c r="SL5" s="6"/>
      <c r="SM5" s="6"/>
      <c r="SN5" s="6"/>
      <c r="SO5" s="6"/>
      <c r="SP5" s="6"/>
      <c r="SQ5" s="6"/>
      <c r="SR5" s="6"/>
      <c r="SS5" s="6"/>
      <c r="ST5" s="6"/>
      <c r="SU5" s="6"/>
      <c r="SV5" s="6"/>
      <c r="SW5" s="6"/>
      <c r="SX5" s="6"/>
      <c r="SY5" s="6"/>
      <c r="SZ5" s="6"/>
      <c r="TA5" s="6"/>
      <c r="TB5" s="6"/>
      <c r="TC5" s="6"/>
      <c r="TD5" s="6"/>
      <c r="TE5" s="6"/>
      <c r="TF5" s="6"/>
      <c r="TG5" s="6"/>
      <c r="TH5" s="6"/>
      <c r="TI5" s="6"/>
      <c r="TJ5" s="6"/>
      <c r="TK5" s="6"/>
      <c r="TL5" s="6"/>
      <c r="TM5" s="6"/>
      <c r="TN5" s="6"/>
      <c r="TO5" s="6"/>
      <c r="TP5" s="6"/>
      <c r="TQ5" s="6"/>
      <c r="TR5" s="6"/>
      <c r="TS5" s="6"/>
      <c r="TT5" s="6"/>
      <c r="TU5" s="6"/>
      <c r="TV5" s="6"/>
      <c r="TW5" s="6"/>
      <c r="TX5" s="6"/>
      <c r="TY5" s="6"/>
      <c r="TZ5" s="6"/>
      <c r="UA5" s="6"/>
      <c r="UB5" s="6"/>
      <c r="UC5" s="6"/>
      <c r="UD5" s="6"/>
      <c r="UE5" s="6"/>
      <c r="UF5" s="6"/>
      <c r="UG5" s="6"/>
      <c r="UH5" s="6"/>
      <c r="UI5" s="6"/>
      <c r="UJ5" s="6"/>
      <c r="UK5" s="6"/>
      <c r="UL5" s="6"/>
      <c r="UM5" s="6"/>
      <c r="UN5" s="6"/>
      <c r="UO5" s="6"/>
      <c r="UP5" s="6"/>
      <c r="UQ5" s="6"/>
      <c r="UR5" s="6"/>
      <c r="US5" s="6"/>
      <c r="UT5" s="6"/>
      <c r="UU5" s="6"/>
      <c r="UV5" s="6"/>
      <c r="UW5" s="6"/>
      <c r="UX5" s="6"/>
      <c r="UY5" s="6"/>
      <c r="UZ5" s="6"/>
      <c r="VA5" s="6"/>
      <c r="VB5" s="6"/>
      <c r="VC5" s="6"/>
      <c r="VD5" s="6"/>
      <c r="VE5" s="6"/>
      <c r="VF5" s="6"/>
      <c r="VG5" s="6"/>
      <c r="VH5" s="6"/>
      <c r="VI5" s="6"/>
      <c r="VJ5" s="6"/>
      <c r="VK5" s="6"/>
      <c r="VL5" s="6"/>
      <c r="VM5" s="6"/>
      <c r="VN5" s="6"/>
      <c r="VO5" s="6"/>
      <c r="VP5" s="6"/>
      <c r="VQ5" s="6"/>
      <c r="VR5" s="6"/>
      <c r="VS5" s="6"/>
      <c r="VT5" s="6"/>
      <c r="VU5" s="6"/>
      <c r="VV5" s="6"/>
      <c r="VW5" s="6"/>
      <c r="VX5" s="6"/>
      <c r="VY5" s="6"/>
      <c r="VZ5" s="6"/>
      <c r="WA5" s="6"/>
      <c r="WB5" s="6"/>
      <c r="WC5" s="6"/>
      <c r="WD5" s="6"/>
      <c r="WE5" s="6"/>
      <c r="WF5" s="6"/>
      <c r="WG5" s="6"/>
      <c r="WH5" s="6"/>
      <c r="WI5" s="6"/>
      <c r="WJ5" s="6"/>
      <c r="WK5" s="6"/>
      <c r="WL5" s="6"/>
      <c r="WM5" s="6"/>
      <c r="WN5" s="6"/>
      <c r="WO5" s="6"/>
      <c r="WP5" s="6"/>
      <c r="WQ5" s="6"/>
      <c r="WR5" s="6"/>
      <c r="WS5" s="6"/>
      <c r="WT5" s="6"/>
      <c r="WU5" s="6"/>
      <c r="WV5" s="6"/>
      <c r="WW5" s="6"/>
      <c r="WX5" s="6"/>
      <c r="WY5" s="6"/>
      <c r="WZ5" s="6"/>
      <c r="XA5" s="6"/>
      <c r="XB5" s="6"/>
      <c r="XC5" s="6"/>
      <c r="XD5" s="6"/>
      <c r="XE5" s="6"/>
      <c r="XF5" s="6"/>
      <c r="XG5" s="6"/>
      <c r="XH5" s="6"/>
      <c r="XI5" s="6"/>
      <c r="XJ5" s="6"/>
      <c r="XK5" s="6"/>
      <c r="XL5" s="6"/>
      <c r="XM5" s="6"/>
      <c r="XN5" s="6"/>
      <c r="XO5" s="6"/>
      <c r="XP5" s="6"/>
      <c r="XQ5" s="6"/>
      <c r="XR5" s="6"/>
      <c r="XS5" s="6"/>
      <c r="XT5" s="6"/>
      <c r="XU5" s="6"/>
      <c r="XV5" s="6"/>
      <c r="XW5" s="6"/>
      <c r="XX5" s="6"/>
      <c r="XY5" s="6"/>
      <c r="XZ5" s="6"/>
      <c r="YA5" s="6"/>
      <c r="YB5" s="6"/>
      <c r="YC5" s="6"/>
      <c r="YD5" s="6"/>
      <c r="YE5" s="6"/>
      <c r="YF5" s="6"/>
      <c r="YG5" s="6"/>
      <c r="YH5" s="6"/>
      <c r="YI5" s="6"/>
      <c r="YJ5" s="6"/>
      <c r="YK5" s="6"/>
      <c r="YL5" s="6"/>
      <c r="YM5" s="6"/>
      <c r="YN5" s="6"/>
      <c r="YO5" s="6"/>
      <c r="YP5" s="6"/>
      <c r="YQ5" s="6"/>
      <c r="YR5" s="6"/>
      <c r="YS5" s="6"/>
      <c r="YT5" s="6"/>
      <c r="YU5" s="6"/>
      <c r="YV5" s="6"/>
      <c r="YW5" s="6"/>
      <c r="YX5" s="6"/>
      <c r="YY5" s="6"/>
      <c r="YZ5" s="6"/>
      <c r="ZA5" s="6"/>
      <c r="ZB5" s="6"/>
      <c r="ZC5" s="6"/>
      <c r="ZD5" s="6"/>
      <c r="ZE5" s="6"/>
      <c r="ZF5" s="6"/>
      <c r="ZG5" s="6"/>
      <c r="ZH5" s="6"/>
      <c r="ZI5" s="6"/>
      <c r="ZJ5" s="6"/>
      <c r="ZK5" s="6"/>
      <c r="ZL5" s="6"/>
      <c r="ZM5" s="6"/>
      <c r="ZN5" s="6"/>
      <c r="ZO5" s="6"/>
      <c r="ZP5" s="6"/>
      <c r="ZQ5" s="6"/>
      <c r="ZR5" s="6"/>
      <c r="ZS5" s="6"/>
      <c r="ZT5" s="6"/>
      <c r="ZU5" s="6"/>
      <c r="ZV5" s="6"/>
      <c r="ZW5" s="6"/>
      <c r="ZX5" s="6"/>
      <c r="ZY5" s="6"/>
      <c r="ZZ5" s="6"/>
      <c r="AAA5" s="6"/>
      <c r="AAB5" s="6"/>
      <c r="AAC5" s="6"/>
      <c r="AAD5" s="6"/>
      <c r="AAE5" s="6"/>
      <c r="AAF5" s="6"/>
      <c r="AAG5" s="6"/>
      <c r="AAH5" s="6"/>
      <c r="AAI5" s="6"/>
      <c r="AAJ5" s="6"/>
      <c r="AAK5" s="6"/>
      <c r="AAL5" s="6"/>
      <c r="AAM5" s="6"/>
      <c r="AAN5" s="6"/>
      <c r="AAO5" s="6"/>
      <c r="AAP5" s="6"/>
      <c r="AAQ5" s="6"/>
      <c r="AAR5" s="6"/>
      <c r="AAS5" s="6"/>
      <c r="AAT5" s="6"/>
      <c r="AAU5" s="6"/>
      <c r="AAV5" s="6"/>
      <c r="AAW5" s="6"/>
      <c r="AAX5" s="6"/>
      <c r="AAY5" s="6"/>
      <c r="AAZ5" s="6"/>
      <c r="ABA5" s="6"/>
      <c r="ABB5" s="6"/>
      <c r="ABC5" s="6"/>
      <c r="ABD5" s="6"/>
      <c r="ABE5" s="6"/>
      <c r="ABF5" s="6"/>
      <c r="ABG5" s="6"/>
      <c r="ABH5" s="6"/>
      <c r="ABI5" s="6"/>
      <c r="ABJ5" s="6"/>
      <c r="ABK5" s="6"/>
      <c r="ABL5" s="6"/>
      <c r="ABM5" s="6"/>
      <c r="ABN5" s="6"/>
      <c r="ABO5" s="6"/>
      <c r="ABP5" s="6"/>
      <c r="ABQ5" s="6"/>
      <c r="ABR5" s="6"/>
      <c r="ABS5" s="6"/>
      <c r="ABT5" s="6"/>
      <c r="ABU5" s="6"/>
      <c r="ABV5" s="6"/>
      <c r="ABW5" s="6"/>
      <c r="ABX5" s="6"/>
      <c r="ABY5" s="6"/>
      <c r="ABZ5" s="6"/>
      <c r="ACA5" s="6"/>
      <c r="ACB5" s="6"/>
      <c r="ACC5" s="6"/>
      <c r="ACD5" s="6"/>
      <c r="ACE5" s="6"/>
      <c r="ACF5" s="6"/>
      <c r="ACG5" s="6"/>
      <c r="ACH5" s="6"/>
      <c r="ACI5" s="6"/>
      <c r="ACJ5" s="6"/>
      <c r="ACK5" s="6"/>
      <c r="ACL5" s="6"/>
      <c r="ACM5" s="6"/>
      <c r="ACN5" s="6"/>
      <c r="ACO5" s="6"/>
      <c r="ACP5" s="6"/>
      <c r="ACQ5" s="6"/>
      <c r="ACR5" s="6"/>
      <c r="ACS5" s="6"/>
      <c r="ACT5" s="6"/>
      <c r="ACU5" s="6"/>
      <c r="ACV5" s="6"/>
      <c r="ACW5" s="6"/>
      <c r="ACX5" s="6"/>
      <c r="ACY5" s="6"/>
      <c r="ACZ5" s="6"/>
      <c r="ADA5" s="6"/>
      <c r="ADB5" s="6"/>
      <c r="ADC5" s="6"/>
      <c r="ADD5" s="6"/>
      <c r="ADE5" s="6"/>
      <c r="ADF5" s="6"/>
      <c r="ADG5" s="6"/>
      <c r="ADH5" s="6"/>
      <c r="ADI5" s="6"/>
      <c r="ADJ5" s="6"/>
      <c r="ADK5" s="6"/>
      <c r="ADL5" s="6"/>
      <c r="ADM5" s="6"/>
      <c r="ADN5" s="6"/>
      <c r="ADO5" s="6"/>
      <c r="ADP5" s="6"/>
      <c r="ADQ5" s="6"/>
      <c r="ADR5" s="6"/>
      <c r="ADS5" s="6"/>
      <c r="ADT5" s="6"/>
      <c r="ADU5" s="6"/>
      <c r="ADV5" s="6"/>
      <c r="ADW5" s="6"/>
      <c r="ADX5" s="6"/>
      <c r="ADY5" s="6"/>
      <c r="ADZ5" s="6"/>
      <c r="AEA5" s="6"/>
      <c r="AEB5" s="6"/>
      <c r="AEC5" s="6"/>
      <c r="AED5" s="6"/>
      <c r="AEE5" s="6"/>
      <c r="AEF5" s="6"/>
      <c r="AEG5" s="6"/>
      <c r="AEH5" s="6"/>
      <c r="AEI5" s="6"/>
      <c r="AEJ5" s="6"/>
      <c r="AEK5" s="6"/>
      <c r="AEL5" s="6"/>
      <c r="AEM5" s="6"/>
      <c r="AEN5" s="6"/>
      <c r="AEO5" s="6"/>
      <c r="AEP5" s="6"/>
      <c r="AEQ5" s="6"/>
      <c r="AER5" s="6"/>
      <c r="AES5" s="6"/>
      <c r="AET5" s="6"/>
      <c r="AEU5" s="6"/>
      <c r="AEV5" s="6"/>
      <c r="AEW5" s="6"/>
      <c r="AEX5" s="6"/>
      <c r="AEY5" s="6"/>
      <c r="AEZ5" s="6"/>
      <c r="AFA5" s="6"/>
      <c r="AFB5" s="6"/>
      <c r="AFC5" s="6"/>
      <c r="AFD5" s="6"/>
      <c r="AFE5" s="6"/>
      <c r="AFF5" s="6"/>
      <c r="AFG5" s="6"/>
      <c r="AFH5" s="6"/>
      <c r="AFI5" s="6"/>
      <c r="AFJ5" s="6"/>
      <c r="AFK5" s="6"/>
      <c r="AFL5" s="6"/>
      <c r="AFM5" s="6"/>
      <c r="AFN5" s="6"/>
      <c r="AFO5" s="6"/>
      <c r="AFP5" s="6"/>
      <c r="AFQ5" s="6"/>
      <c r="AFR5" s="6"/>
      <c r="AFS5" s="6"/>
      <c r="AFT5" s="6"/>
      <c r="AFU5" s="6"/>
      <c r="AFV5" s="6"/>
      <c r="AFW5" s="6"/>
      <c r="AFX5" s="6"/>
      <c r="AFY5" s="6"/>
      <c r="AFZ5" s="6"/>
      <c r="AGA5" s="6"/>
      <c r="AGB5" s="6"/>
      <c r="AGC5" s="6"/>
      <c r="AGD5" s="6"/>
      <c r="AGE5" s="6"/>
      <c r="AGF5" s="6"/>
      <c r="AGG5" s="6"/>
      <c r="AGH5" s="6"/>
      <c r="AGI5" s="6"/>
      <c r="AGJ5" s="6"/>
      <c r="AGK5" s="6"/>
      <c r="AGL5" s="6"/>
      <c r="AGM5" s="6"/>
      <c r="AGN5" s="6"/>
      <c r="AGO5" s="6"/>
      <c r="AGP5" s="6"/>
      <c r="AGQ5" s="6"/>
      <c r="AGR5" s="6"/>
      <c r="AGS5" s="6"/>
      <c r="AGT5" s="6"/>
      <c r="AGU5" s="6"/>
      <c r="AGV5" s="6"/>
      <c r="AGW5" s="6"/>
      <c r="AGX5" s="6"/>
      <c r="AGY5" s="6"/>
      <c r="AGZ5" s="6"/>
      <c r="AHA5" s="6"/>
      <c r="AHB5" s="6"/>
      <c r="AHC5" s="6"/>
      <c r="AHD5" s="6"/>
      <c r="AHE5" s="6"/>
      <c r="AHF5" s="6"/>
      <c r="AHG5" s="6"/>
      <c r="AHH5" s="6"/>
      <c r="AHI5" s="6"/>
      <c r="AHJ5" s="6"/>
      <c r="AHK5" s="6"/>
      <c r="AHL5" s="6"/>
      <c r="AHM5" s="6"/>
      <c r="AHN5" s="6"/>
      <c r="AHO5" s="6"/>
      <c r="AHP5" s="6"/>
      <c r="AHQ5" s="6"/>
      <c r="AHR5" s="6"/>
      <c r="AHS5" s="6"/>
      <c r="AHT5" s="6"/>
      <c r="AHU5" s="6"/>
      <c r="AHV5" s="6"/>
      <c r="AHW5" s="6"/>
      <c r="AHX5" s="6"/>
      <c r="AHY5" s="6"/>
      <c r="AHZ5" s="6"/>
      <c r="AIA5" s="6"/>
      <c r="AIB5" s="6"/>
      <c r="AIC5" s="6"/>
      <c r="AID5" s="6"/>
      <c r="AIE5" s="6"/>
      <c r="AIF5" s="6"/>
      <c r="AIG5" s="6"/>
      <c r="AIH5" s="6"/>
      <c r="AII5" s="6"/>
      <c r="AIJ5" s="6"/>
      <c r="AIK5" s="6"/>
      <c r="AIL5" s="6"/>
      <c r="AIM5" s="6"/>
      <c r="AIN5" s="6"/>
      <c r="AIO5" s="6"/>
      <c r="AIP5" s="6"/>
      <c r="AIQ5" s="6"/>
      <c r="AIR5" s="6"/>
      <c r="AIS5" s="6"/>
      <c r="AIT5" s="6"/>
      <c r="AIU5" s="6"/>
      <c r="AIV5" s="6"/>
      <c r="AIW5" s="6"/>
      <c r="AIX5" s="6"/>
      <c r="AIY5" s="6"/>
      <c r="AIZ5" s="6"/>
      <c r="AJA5" s="6"/>
      <c r="AJB5" s="6"/>
      <c r="AJC5" s="6"/>
      <c r="AJD5" s="6"/>
      <c r="AJE5" s="6"/>
      <c r="AJF5" s="6"/>
      <c r="AJG5" s="6"/>
      <c r="AJH5" s="6"/>
      <c r="AJI5" s="6"/>
      <c r="AJJ5" s="6"/>
      <c r="AJK5" s="6"/>
      <c r="AJL5" s="6"/>
      <c r="AJM5" s="6"/>
      <c r="AJN5" s="6"/>
      <c r="AJO5" s="6"/>
      <c r="AJP5" s="6"/>
      <c r="AJQ5" s="6"/>
      <c r="AJR5" s="6"/>
      <c r="AJS5" s="6"/>
      <c r="AJT5" s="6"/>
      <c r="AJU5" s="6"/>
      <c r="AJV5" s="6"/>
      <c r="AJW5" s="6"/>
      <c r="AJX5" s="6"/>
      <c r="AJY5" s="6"/>
      <c r="AJZ5" s="6"/>
      <c r="AKA5" s="6"/>
      <c r="AKB5" s="6"/>
      <c r="AKC5" s="6"/>
      <c r="AKD5" s="6"/>
      <c r="AKE5" s="6"/>
      <c r="AKF5" s="6"/>
      <c r="AKG5" s="6"/>
      <c r="AKH5" s="6"/>
      <c r="AKI5" s="6"/>
      <c r="AKJ5" s="6"/>
      <c r="AKK5" s="6"/>
      <c r="AKL5" s="6"/>
      <c r="AKM5" s="6"/>
      <c r="AKN5" s="6"/>
      <c r="AKO5" s="6"/>
      <c r="AKP5" s="6"/>
      <c r="AKQ5" s="6"/>
      <c r="AKR5" s="6"/>
      <c r="AKS5" s="6"/>
      <c r="AKT5" s="6"/>
      <c r="AKU5" s="6"/>
      <c r="AKV5" s="6"/>
      <c r="AKW5" s="6"/>
      <c r="AKX5" s="6"/>
      <c r="AKY5" s="6"/>
      <c r="AKZ5" s="6"/>
      <c r="ALA5" s="6"/>
      <c r="ALB5" s="6"/>
      <c r="ALC5" s="6"/>
      <c r="ALD5" s="6"/>
      <c r="ALE5" s="6"/>
      <c r="ALF5" s="6"/>
      <c r="ALG5" s="6"/>
      <c r="ALH5" s="6"/>
      <c r="ALI5" s="6"/>
      <c r="ALJ5" s="6"/>
      <c r="ALK5" s="6"/>
      <c r="ALL5" s="6"/>
      <c r="ALM5" s="6"/>
      <c r="ALN5" s="6"/>
      <c r="ALO5" s="6"/>
      <c r="ALP5" s="6"/>
      <c r="ALQ5" s="6"/>
      <c r="ALR5" s="6"/>
      <c r="ALS5" s="6"/>
      <c r="ALT5" s="6"/>
      <c r="ALU5" s="6"/>
      <c r="ALV5" s="6"/>
      <c r="ALW5" s="6"/>
      <c r="ALX5" s="6"/>
      <c r="ALY5" s="6"/>
      <c r="ALZ5" s="6"/>
      <c r="AMA5" s="6"/>
      <c r="AMB5" s="6"/>
      <c r="AMC5" s="6"/>
      <c r="AMD5" s="6"/>
      <c r="AME5" s="6"/>
      <c r="AMF5" s="6"/>
      <c r="AMG5" s="6"/>
      <c r="AMH5" s="6"/>
    </row>
    <row r="6" spans="1:1022" x14ac:dyDescent="0.15">
      <c r="A6" s="6" t="s">
        <v>2813</v>
      </c>
      <c r="B6" s="6" t="s">
        <v>183</v>
      </c>
      <c r="C6" s="6" t="str">
        <f t="shared" si="0"/>
        <v>att_user_research_group:hennies</v>
      </c>
      <c r="D6" s="6" t="s">
        <v>13</v>
      </c>
      <c r="E6" s="6" t="s">
        <v>2814</v>
      </c>
      <c r="F6" s="6" t="s">
        <v>2815</v>
      </c>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c r="EY6" s="6"/>
      <c r="EZ6" s="6"/>
      <c r="FA6" s="6"/>
      <c r="FB6" s="6"/>
      <c r="FC6" s="6"/>
      <c r="FD6" s="6"/>
      <c r="FE6" s="6"/>
      <c r="FF6" s="6"/>
      <c r="FG6" s="6"/>
      <c r="FH6" s="6"/>
      <c r="FI6" s="6"/>
      <c r="FJ6" s="6"/>
      <c r="FK6" s="6"/>
      <c r="FL6" s="6"/>
      <c r="FM6" s="6"/>
      <c r="FN6" s="6"/>
      <c r="FO6" s="6"/>
      <c r="FP6" s="6"/>
      <c r="FQ6" s="6"/>
      <c r="FR6" s="6"/>
      <c r="FS6" s="6"/>
      <c r="FT6" s="6"/>
      <c r="FU6" s="6"/>
      <c r="FV6" s="6"/>
      <c r="FW6" s="6"/>
      <c r="FX6" s="6"/>
      <c r="FY6" s="6"/>
      <c r="FZ6" s="6"/>
      <c r="GA6" s="6"/>
      <c r="GB6" s="6"/>
      <c r="GC6" s="6"/>
      <c r="GD6" s="6"/>
      <c r="GE6" s="6"/>
      <c r="GF6" s="6"/>
      <c r="GG6" s="6"/>
      <c r="GH6" s="6"/>
      <c r="GI6" s="6"/>
      <c r="GJ6" s="6"/>
      <c r="GK6" s="6"/>
      <c r="GL6" s="6"/>
      <c r="GM6" s="6"/>
      <c r="GN6" s="6"/>
      <c r="GO6" s="6"/>
      <c r="GP6" s="6"/>
      <c r="GQ6" s="6"/>
      <c r="GR6" s="6"/>
      <c r="GS6" s="6"/>
      <c r="GT6" s="6"/>
      <c r="GU6" s="6"/>
      <c r="GV6" s="6"/>
      <c r="GW6" s="6"/>
      <c r="GX6" s="6"/>
      <c r="GY6" s="6"/>
      <c r="GZ6" s="6"/>
      <c r="HA6" s="6"/>
      <c r="HB6" s="6"/>
      <c r="HC6" s="6"/>
      <c r="HD6" s="6"/>
      <c r="HE6" s="6"/>
      <c r="HF6" s="6"/>
      <c r="HG6" s="6"/>
      <c r="HH6" s="6"/>
      <c r="HI6" s="6"/>
      <c r="HJ6" s="6"/>
      <c r="HK6" s="6"/>
      <c r="HL6" s="6"/>
      <c r="HM6" s="6"/>
      <c r="HN6" s="6"/>
      <c r="HO6" s="6"/>
      <c r="HP6" s="6"/>
      <c r="HQ6" s="6"/>
      <c r="HR6" s="6"/>
      <c r="HS6" s="6"/>
      <c r="HT6" s="6"/>
      <c r="HU6" s="6"/>
      <c r="HV6" s="6"/>
      <c r="HW6" s="6"/>
      <c r="HX6" s="6"/>
      <c r="HY6" s="6"/>
      <c r="HZ6" s="6"/>
      <c r="IA6" s="6"/>
      <c r="IB6" s="6"/>
      <c r="IC6" s="6"/>
      <c r="ID6" s="6"/>
      <c r="IE6" s="6"/>
      <c r="IF6" s="6"/>
      <c r="IG6" s="6"/>
      <c r="IH6" s="6"/>
      <c r="II6" s="6"/>
      <c r="IJ6" s="6"/>
      <c r="IK6" s="6"/>
      <c r="IL6" s="6"/>
      <c r="IM6" s="6"/>
      <c r="IN6" s="6"/>
      <c r="IO6" s="6"/>
      <c r="IP6" s="6"/>
      <c r="IQ6" s="6"/>
      <c r="IR6" s="6"/>
      <c r="IS6" s="6"/>
      <c r="IT6" s="6"/>
      <c r="IU6" s="6"/>
      <c r="IV6" s="6"/>
      <c r="IW6" s="6"/>
      <c r="IX6" s="6"/>
      <c r="IY6" s="6"/>
      <c r="IZ6" s="6"/>
      <c r="JA6" s="6"/>
      <c r="JB6" s="6"/>
      <c r="JC6" s="6"/>
      <c r="JD6" s="6"/>
      <c r="JE6" s="6"/>
      <c r="JF6" s="6"/>
      <c r="JG6" s="6"/>
      <c r="JH6" s="6"/>
      <c r="JI6" s="6"/>
      <c r="JJ6" s="6"/>
      <c r="JK6" s="6"/>
      <c r="JL6" s="6"/>
      <c r="JM6" s="6"/>
      <c r="JN6" s="6"/>
      <c r="JO6" s="6"/>
      <c r="JP6" s="6"/>
      <c r="JQ6" s="6"/>
      <c r="JR6" s="6"/>
      <c r="JS6" s="6"/>
      <c r="JT6" s="6"/>
      <c r="JU6" s="6"/>
      <c r="JV6" s="6"/>
      <c r="JW6" s="6"/>
      <c r="JX6" s="6"/>
      <c r="JY6" s="6"/>
      <c r="JZ6" s="6"/>
      <c r="KA6" s="6"/>
      <c r="KB6" s="6"/>
      <c r="KC6" s="6"/>
      <c r="KD6" s="6"/>
      <c r="KE6" s="6"/>
      <c r="KF6" s="6"/>
      <c r="KG6" s="6"/>
      <c r="KH6" s="6"/>
      <c r="KI6" s="6"/>
      <c r="KJ6" s="6"/>
      <c r="KK6" s="6"/>
      <c r="KL6" s="6"/>
      <c r="KM6" s="6"/>
      <c r="KN6" s="6"/>
      <c r="KO6" s="6"/>
      <c r="KP6" s="6"/>
      <c r="KQ6" s="6"/>
      <c r="KR6" s="6"/>
      <c r="KS6" s="6"/>
      <c r="KT6" s="6"/>
      <c r="KU6" s="6"/>
      <c r="KV6" s="6"/>
      <c r="KW6" s="6"/>
      <c r="KX6" s="6"/>
      <c r="KY6" s="6"/>
      <c r="KZ6" s="6"/>
      <c r="LA6" s="6"/>
      <c r="LB6" s="6"/>
      <c r="LC6" s="6"/>
      <c r="LD6" s="6"/>
      <c r="LE6" s="6"/>
      <c r="LF6" s="6"/>
      <c r="LG6" s="6"/>
      <c r="LH6" s="6"/>
      <c r="LI6" s="6"/>
      <c r="LJ6" s="6"/>
      <c r="LK6" s="6"/>
      <c r="LL6" s="6"/>
      <c r="LM6" s="6"/>
      <c r="LN6" s="6"/>
      <c r="LO6" s="6"/>
      <c r="LP6" s="6"/>
      <c r="LQ6" s="6"/>
      <c r="LR6" s="6"/>
      <c r="LS6" s="6"/>
      <c r="LT6" s="6"/>
      <c r="LU6" s="6"/>
      <c r="LV6" s="6"/>
      <c r="LW6" s="6"/>
      <c r="LX6" s="6"/>
      <c r="LY6" s="6"/>
      <c r="LZ6" s="6"/>
      <c r="MA6" s="6"/>
      <c r="MB6" s="6"/>
      <c r="MC6" s="6"/>
      <c r="MD6" s="6"/>
      <c r="ME6" s="6"/>
      <c r="MF6" s="6"/>
      <c r="MG6" s="6"/>
      <c r="MH6" s="6"/>
      <c r="MI6" s="6"/>
      <c r="MJ6" s="6"/>
      <c r="MK6" s="6"/>
      <c r="ML6" s="6"/>
      <c r="MM6" s="6"/>
      <c r="MN6" s="6"/>
      <c r="MO6" s="6"/>
      <c r="MP6" s="6"/>
      <c r="MQ6" s="6"/>
      <c r="MR6" s="6"/>
      <c r="MS6" s="6"/>
      <c r="MT6" s="6"/>
      <c r="MU6" s="6"/>
      <c r="MV6" s="6"/>
      <c r="MW6" s="6"/>
      <c r="MX6" s="6"/>
      <c r="MY6" s="6"/>
      <c r="MZ6" s="6"/>
      <c r="NA6" s="6"/>
      <c r="NB6" s="6"/>
      <c r="NC6" s="6"/>
      <c r="ND6" s="6"/>
      <c r="NE6" s="6"/>
      <c r="NF6" s="6"/>
      <c r="NG6" s="6"/>
      <c r="NH6" s="6"/>
      <c r="NI6" s="6"/>
      <c r="NJ6" s="6"/>
      <c r="NK6" s="6"/>
      <c r="NL6" s="6"/>
      <c r="NM6" s="6"/>
      <c r="NN6" s="6"/>
      <c r="NO6" s="6"/>
      <c r="NP6" s="6"/>
      <c r="NQ6" s="6"/>
      <c r="NR6" s="6"/>
      <c r="NS6" s="6"/>
      <c r="NT6" s="6"/>
      <c r="NU6" s="6"/>
      <c r="NV6" s="6"/>
      <c r="NW6" s="6"/>
      <c r="NX6" s="6"/>
      <c r="NY6" s="6"/>
      <c r="NZ6" s="6"/>
      <c r="OA6" s="6"/>
      <c r="OB6" s="6"/>
      <c r="OC6" s="6"/>
      <c r="OD6" s="6"/>
      <c r="OE6" s="6"/>
      <c r="OF6" s="6"/>
      <c r="OG6" s="6"/>
      <c r="OH6" s="6"/>
      <c r="OI6" s="6"/>
      <c r="OJ6" s="6"/>
      <c r="OK6" s="6"/>
      <c r="OL6" s="6"/>
      <c r="OM6" s="6"/>
      <c r="ON6" s="6"/>
      <c r="OO6" s="6"/>
      <c r="OP6" s="6"/>
      <c r="OQ6" s="6"/>
      <c r="OR6" s="6"/>
      <c r="OS6" s="6"/>
      <c r="OT6" s="6"/>
      <c r="OU6" s="6"/>
      <c r="OV6" s="6"/>
      <c r="OW6" s="6"/>
      <c r="OX6" s="6"/>
      <c r="OY6" s="6"/>
      <c r="OZ6" s="6"/>
      <c r="PA6" s="6"/>
      <c r="PB6" s="6"/>
      <c r="PC6" s="6"/>
      <c r="PD6" s="6"/>
      <c r="PE6" s="6"/>
      <c r="PF6" s="6"/>
      <c r="PG6" s="6"/>
      <c r="PH6" s="6"/>
      <c r="PI6" s="6"/>
      <c r="PJ6" s="6"/>
      <c r="PK6" s="6"/>
      <c r="PL6" s="6"/>
      <c r="PM6" s="6"/>
      <c r="PN6" s="6"/>
      <c r="PO6" s="6"/>
      <c r="PP6" s="6"/>
      <c r="PQ6" s="6"/>
      <c r="PR6" s="6"/>
      <c r="PS6" s="6"/>
      <c r="PT6" s="6"/>
      <c r="PU6" s="6"/>
      <c r="PV6" s="6"/>
      <c r="PW6" s="6"/>
      <c r="PX6" s="6"/>
      <c r="PY6" s="6"/>
      <c r="PZ6" s="6"/>
      <c r="QA6" s="6"/>
      <c r="QB6" s="6"/>
      <c r="QC6" s="6"/>
      <c r="QD6" s="6"/>
      <c r="QE6" s="6"/>
      <c r="QF6" s="6"/>
      <c r="QG6" s="6"/>
      <c r="QH6" s="6"/>
      <c r="QI6" s="6"/>
      <c r="QJ6" s="6"/>
      <c r="QK6" s="6"/>
      <c r="QL6" s="6"/>
      <c r="QM6" s="6"/>
      <c r="QN6" s="6"/>
      <c r="QO6" s="6"/>
      <c r="QP6" s="6"/>
      <c r="QQ6" s="6"/>
      <c r="QR6" s="6"/>
      <c r="QS6" s="6"/>
      <c r="QT6" s="6"/>
      <c r="QU6" s="6"/>
      <c r="QV6" s="6"/>
      <c r="QW6" s="6"/>
      <c r="QX6" s="6"/>
      <c r="QY6" s="6"/>
      <c r="QZ6" s="6"/>
      <c r="RA6" s="6"/>
      <c r="RB6" s="6"/>
      <c r="RC6" s="6"/>
      <c r="RD6" s="6"/>
      <c r="RE6" s="6"/>
      <c r="RF6" s="6"/>
      <c r="RG6" s="6"/>
      <c r="RH6" s="6"/>
      <c r="RI6" s="6"/>
      <c r="RJ6" s="6"/>
      <c r="RK6" s="6"/>
      <c r="RL6" s="6"/>
      <c r="RM6" s="6"/>
      <c r="RN6" s="6"/>
      <c r="RO6" s="6"/>
      <c r="RP6" s="6"/>
      <c r="RQ6" s="6"/>
      <c r="RR6" s="6"/>
      <c r="RS6" s="6"/>
      <c r="RT6" s="6"/>
      <c r="RU6" s="6"/>
      <c r="RV6" s="6"/>
      <c r="RW6" s="6"/>
      <c r="RX6" s="6"/>
      <c r="RY6" s="6"/>
      <c r="RZ6" s="6"/>
      <c r="SA6" s="6"/>
      <c r="SB6" s="6"/>
      <c r="SC6" s="6"/>
      <c r="SD6" s="6"/>
      <c r="SE6" s="6"/>
      <c r="SF6" s="6"/>
      <c r="SG6" s="6"/>
      <c r="SH6" s="6"/>
      <c r="SI6" s="6"/>
      <c r="SJ6" s="6"/>
      <c r="SK6" s="6"/>
      <c r="SL6" s="6"/>
      <c r="SM6" s="6"/>
      <c r="SN6" s="6"/>
      <c r="SO6" s="6"/>
      <c r="SP6" s="6"/>
      <c r="SQ6" s="6"/>
      <c r="SR6" s="6"/>
      <c r="SS6" s="6"/>
      <c r="ST6" s="6"/>
      <c r="SU6" s="6"/>
      <c r="SV6" s="6"/>
      <c r="SW6" s="6"/>
      <c r="SX6" s="6"/>
      <c r="SY6" s="6"/>
      <c r="SZ6" s="6"/>
      <c r="TA6" s="6"/>
      <c r="TB6" s="6"/>
      <c r="TC6" s="6"/>
      <c r="TD6" s="6"/>
      <c r="TE6" s="6"/>
      <c r="TF6" s="6"/>
      <c r="TG6" s="6"/>
      <c r="TH6" s="6"/>
      <c r="TI6" s="6"/>
      <c r="TJ6" s="6"/>
      <c r="TK6" s="6"/>
      <c r="TL6" s="6"/>
      <c r="TM6" s="6"/>
      <c r="TN6" s="6"/>
      <c r="TO6" s="6"/>
      <c r="TP6" s="6"/>
      <c r="TQ6" s="6"/>
      <c r="TR6" s="6"/>
      <c r="TS6" s="6"/>
      <c r="TT6" s="6"/>
      <c r="TU6" s="6"/>
      <c r="TV6" s="6"/>
      <c r="TW6" s="6"/>
      <c r="TX6" s="6"/>
      <c r="TY6" s="6"/>
      <c r="TZ6" s="6"/>
      <c r="UA6" s="6"/>
      <c r="UB6" s="6"/>
      <c r="UC6" s="6"/>
      <c r="UD6" s="6"/>
      <c r="UE6" s="6"/>
      <c r="UF6" s="6"/>
      <c r="UG6" s="6"/>
      <c r="UH6" s="6"/>
      <c r="UI6" s="6"/>
      <c r="UJ6" s="6"/>
      <c r="UK6" s="6"/>
      <c r="UL6" s="6"/>
      <c r="UM6" s="6"/>
      <c r="UN6" s="6"/>
      <c r="UO6" s="6"/>
      <c r="UP6" s="6"/>
      <c r="UQ6" s="6"/>
      <c r="UR6" s="6"/>
      <c r="US6" s="6"/>
      <c r="UT6" s="6"/>
      <c r="UU6" s="6"/>
      <c r="UV6" s="6"/>
      <c r="UW6" s="6"/>
      <c r="UX6" s="6"/>
      <c r="UY6" s="6"/>
      <c r="UZ6" s="6"/>
      <c r="VA6" s="6"/>
      <c r="VB6" s="6"/>
      <c r="VC6" s="6"/>
      <c r="VD6" s="6"/>
      <c r="VE6" s="6"/>
      <c r="VF6" s="6"/>
      <c r="VG6" s="6"/>
      <c r="VH6" s="6"/>
      <c r="VI6" s="6"/>
      <c r="VJ6" s="6"/>
      <c r="VK6" s="6"/>
      <c r="VL6" s="6"/>
      <c r="VM6" s="6"/>
      <c r="VN6" s="6"/>
      <c r="VO6" s="6"/>
      <c r="VP6" s="6"/>
      <c r="VQ6" s="6"/>
      <c r="VR6" s="6"/>
      <c r="VS6" s="6"/>
      <c r="VT6" s="6"/>
      <c r="VU6" s="6"/>
      <c r="VV6" s="6"/>
      <c r="VW6" s="6"/>
      <c r="VX6" s="6"/>
      <c r="VY6" s="6"/>
      <c r="VZ6" s="6"/>
      <c r="WA6" s="6"/>
      <c r="WB6" s="6"/>
      <c r="WC6" s="6"/>
      <c r="WD6" s="6"/>
      <c r="WE6" s="6"/>
      <c r="WF6" s="6"/>
      <c r="WG6" s="6"/>
      <c r="WH6" s="6"/>
      <c r="WI6" s="6"/>
      <c r="WJ6" s="6"/>
      <c r="WK6" s="6"/>
      <c r="WL6" s="6"/>
      <c r="WM6" s="6"/>
      <c r="WN6" s="6"/>
      <c r="WO6" s="6"/>
      <c r="WP6" s="6"/>
      <c r="WQ6" s="6"/>
      <c r="WR6" s="6"/>
      <c r="WS6" s="6"/>
      <c r="WT6" s="6"/>
      <c r="WU6" s="6"/>
      <c r="WV6" s="6"/>
      <c r="WW6" s="6"/>
      <c r="WX6" s="6"/>
      <c r="WY6" s="6"/>
      <c r="WZ6" s="6"/>
      <c r="XA6" s="6"/>
      <c r="XB6" s="6"/>
      <c r="XC6" s="6"/>
      <c r="XD6" s="6"/>
      <c r="XE6" s="6"/>
      <c r="XF6" s="6"/>
      <c r="XG6" s="6"/>
      <c r="XH6" s="6"/>
      <c r="XI6" s="6"/>
      <c r="XJ6" s="6"/>
      <c r="XK6" s="6"/>
      <c r="XL6" s="6"/>
      <c r="XM6" s="6"/>
      <c r="XN6" s="6"/>
      <c r="XO6" s="6"/>
      <c r="XP6" s="6"/>
      <c r="XQ6" s="6"/>
      <c r="XR6" s="6"/>
      <c r="XS6" s="6"/>
      <c r="XT6" s="6"/>
      <c r="XU6" s="6"/>
      <c r="XV6" s="6"/>
      <c r="XW6" s="6"/>
      <c r="XX6" s="6"/>
      <c r="XY6" s="6"/>
      <c r="XZ6" s="6"/>
      <c r="YA6" s="6"/>
      <c r="YB6" s="6"/>
      <c r="YC6" s="6"/>
      <c r="YD6" s="6"/>
      <c r="YE6" s="6"/>
      <c r="YF6" s="6"/>
      <c r="YG6" s="6"/>
      <c r="YH6" s="6"/>
      <c r="YI6" s="6"/>
      <c r="YJ6" s="6"/>
      <c r="YK6" s="6"/>
      <c r="YL6" s="6"/>
      <c r="YM6" s="6"/>
      <c r="YN6" s="6"/>
      <c r="YO6" s="6"/>
      <c r="YP6" s="6"/>
      <c r="YQ6" s="6"/>
      <c r="YR6" s="6"/>
      <c r="YS6" s="6"/>
      <c r="YT6" s="6"/>
      <c r="YU6" s="6"/>
      <c r="YV6" s="6"/>
      <c r="YW6" s="6"/>
      <c r="YX6" s="6"/>
      <c r="YY6" s="6"/>
      <c r="YZ6" s="6"/>
      <c r="ZA6" s="6"/>
      <c r="ZB6" s="6"/>
      <c r="ZC6" s="6"/>
      <c r="ZD6" s="6"/>
      <c r="ZE6" s="6"/>
      <c r="ZF6" s="6"/>
      <c r="ZG6" s="6"/>
      <c r="ZH6" s="6"/>
      <c r="ZI6" s="6"/>
      <c r="ZJ6" s="6"/>
      <c r="ZK6" s="6"/>
      <c r="ZL6" s="6"/>
      <c r="ZM6" s="6"/>
      <c r="ZN6" s="6"/>
      <c r="ZO6" s="6"/>
      <c r="ZP6" s="6"/>
      <c r="ZQ6" s="6"/>
      <c r="ZR6" s="6"/>
      <c r="ZS6" s="6"/>
      <c r="ZT6" s="6"/>
      <c r="ZU6" s="6"/>
      <c r="ZV6" s="6"/>
      <c r="ZW6" s="6"/>
      <c r="ZX6" s="6"/>
      <c r="ZY6" s="6"/>
      <c r="ZZ6" s="6"/>
      <c r="AAA6" s="6"/>
      <c r="AAB6" s="6"/>
      <c r="AAC6" s="6"/>
      <c r="AAD6" s="6"/>
      <c r="AAE6" s="6"/>
      <c r="AAF6" s="6"/>
      <c r="AAG6" s="6"/>
      <c r="AAH6" s="6"/>
      <c r="AAI6" s="6"/>
      <c r="AAJ6" s="6"/>
      <c r="AAK6" s="6"/>
      <c r="AAL6" s="6"/>
      <c r="AAM6" s="6"/>
      <c r="AAN6" s="6"/>
      <c r="AAO6" s="6"/>
      <c r="AAP6" s="6"/>
      <c r="AAQ6" s="6"/>
      <c r="AAR6" s="6"/>
      <c r="AAS6" s="6"/>
      <c r="AAT6" s="6"/>
      <c r="AAU6" s="6"/>
      <c r="AAV6" s="6"/>
      <c r="AAW6" s="6"/>
      <c r="AAX6" s="6"/>
      <c r="AAY6" s="6"/>
      <c r="AAZ6" s="6"/>
      <c r="ABA6" s="6"/>
      <c r="ABB6" s="6"/>
      <c r="ABC6" s="6"/>
      <c r="ABD6" s="6"/>
      <c r="ABE6" s="6"/>
      <c r="ABF6" s="6"/>
      <c r="ABG6" s="6"/>
      <c r="ABH6" s="6"/>
      <c r="ABI6" s="6"/>
      <c r="ABJ6" s="6"/>
      <c r="ABK6" s="6"/>
      <c r="ABL6" s="6"/>
      <c r="ABM6" s="6"/>
      <c r="ABN6" s="6"/>
      <c r="ABO6" s="6"/>
      <c r="ABP6" s="6"/>
      <c r="ABQ6" s="6"/>
      <c r="ABR6" s="6"/>
      <c r="ABS6" s="6"/>
      <c r="ABT6" s="6"/>
      <c r="ABU6" s="6"/>
      <c r="ABV6" s="6"/>
      <c r="ABW6" s="6"/>
      <c r="ABX6" s="6"/>
      <c r="ABY6" s="6"/>
      <c r="ABZ6" s="6"/>
      <c r="ACA6" s="6"/>
      <c r="ACB6" s="6"/>
      <c r="ACC6" s="6"/>
      <c r="ACD6" s="6"/>
      <c r="ACE6" s="6"/>
      <c r="ACF6" s="6"/>
      <c r="ACG6" s="6"/>
      <c r="ACH6" s="6"/>
      <c r="ACI6" s="6"/>
      <c r="ACJ6" s="6"/>
      <c r="ACK6" s="6"/>
      <c r="ACL6" s="6"/>
      <c r="ACM6" s="6"/>
      <c r="ACN6" s="6"/>
      <c r="ACO6" s="6"/>
      <c r="ACP6" s="6"/>
      <c r="ACQ6" s="6"/>
      <c r="ACR6" s="6"/>
      <c r="ACS6" s="6"/>
      <c r="ACT6" s="6"/>
      <c r="ACU6" s="6"/>
      <c r="ACV6" s="6"/>
      <c r="ACW6" s="6"/>
      <c r="ACX6" s="6"/>
      <c r="ACY6" s="6"/>
      <c r="ACZ6" s="6"/>
      <c r="ADA6" s="6"/>
      <c r="ADB6" s="6"/>
      <c r="ADC6" s="6"/>
      <c r="ADD6" s="6"/>
      <c r="ADE6" s="6"/>
      <c r="ADF6" s="6"/>
      <c r="ADG6" s="6"/>
      <c r="ADH6" s="6"/>
      <c r="ADI6" s="6"/>
      <c r="ADJ6" s="6"/>
      <c r="ADK6" s="6"/>
      <c r="ADL6" s="6"/>
      <c r="ADM6" s="6"/>
      <c r="ADN6" s="6"/>
      <c r="ADO6" s="6"/>
      <c r="ADP6" s="6"/>
      <c r="ADQ6" s="6"/>
      <c r="ADR6" s="6"/>
      <c r="ADS6" s="6"/>
      <c r="ADT6" s="6"/>
      <c r="ADU6" s="6"/>
      <c r="ADV6" s="6"/>
      <c r="ADW6" s="6"/>
      <c r="ADX6" s="6"/>
      <c r="ADY6" s="6"/>
      <c r="ADZ6" s="6"/>
      <c r="AEA6" s="6"/>
      <c r="AEB6" s="6"/>
      <c r="AEC6" s="6"/>
      <c r="AED6" s="6"/>
      <c r="AEE6" s="6"/>
      <c r="AEF6" s="6"/>
      <c r="AEG6" s="6"/>
      <c r="AEH6" s="6"/>
      <c r="AEI6" s="6"/>
      <c r="AEJ6" s="6"/>
      <c r="AEK6" s="6"/>
      <c r="AEL6" s="6"/>
      <c r="AEM6" s="6"/>
      <c r="AEN6" s="6"/>
      <c r="AEO6" s="6"/>
      <c r="AEP6" s="6"/>
      <c r="AEQ6" s="6"/>
      <c r="AER6" s="6"/>
      <c r="AES6" s="6"/>
      <c r="AET6" s="6"/>
      <c r="AEU6" s="6"/>
      <c r="AEV6" s="6"/>
      <c r="AEW6" s="6"/>
      <c r="AEX6" s="6"/>
      <c r="AEY6" s="6"/>
      <c r="AEZ6" s="6"/>
      <c r="AFA6" s="6"/>
      <c r="AFB6" s="6"/>
      <c r="AFC6" s="6"/>
      <c r="AFD6" s="6"/>
      <c r="AFE6" s="6"/>
      <c r="AFF6" s="6"/>
      <c r="AFG6" s="6"/>
      <c r="AFH6" s="6"/>
      <c r="AFI6" s="6"/>
      <c r="AFJ6" s="6"/>
      <c r="AFK6" s="6"/>
      <c r="AFL6" s="6"/>
      <c r="AFM6" s="6"/>
      <c r="AFN6" s="6"/>
      <c r="AFO6" s="6"/>
      <c r="AFP6" s="6"/>
      <c r="AFQ6" s="6"/>
      <c r="AFR6" s="6"/>
      <c r="AFS6" s="6"/>
      <c r="AFT6" s="6"/>
      <c r="AFU6" s="6"/>
      <c r="AFV6" s="6"/>
      <c r="AFW6" s="6"/>
      <c r="AFX6" s="6"/>
      <c r="AFY6" s="6"/>
      <c r="AFZ6" s="6"/>
      <c r="AGA6" s="6"/>
      <c r="AGB6" s="6"/>
      <c r="AGC6" s="6"/>
      <c r="AGD6" s="6"/>
      <c r="AGE6" s="6"/>
      <c r="AGF6" s="6"/>
      <c r="AGG6" s="6"/>
      <c r="AGH6" s="6"/>
      <c r="AGI6" s="6"/>
      <c r="AGJ6" s="6"/>
      <c r="AGK6" s="6"/>
      <c r="AGL6" s="6"/>
      <c r="AGM6" s="6"/>
      <c r="AGN6" s="6"/>
      <c r="AGO6" s="6"/>
      <c r="AGP6" s="6"/>
      <c r="AGQ6" s="6"/>
      <c r="AGR6" s="6"/>
      <c r="AGS6" s="6"/>
      <c r="AGT6" s="6"/>
      <c r="AGU6" s="6"/>
      <c r="AGV6" s="6"/>
      <c r="AGW6" s="6"/>
      <c r="AGX6" s="6"/>
      <c r="AGY6" s="6"/>
      <c r="AGZ6" s="6"/>
      <c r="AHA6" s="6"/>
      <c r="AHB6" s="6"/>
      <c r="AHC6" s="6"/>
      <c r="AHD6" s="6"/>
      <c r="AHE6" s="6"/>
      <c r="AHF6" s="6"/>
      <c r="AHG6" s="6"/>
      <c r="AHH6" s="6"/>
      <c r="AHI6" s="6"/>
      <c r="AHJ6" s="6"/>
      <c r="AHK6" s="6"/>
      <c r="AHL6" s="6"/>
      <c r="AHM6" s="6"/>
      <c r="AHN6" s="6"/>
      <c r="AHO6" s="6"/>
      <c r="AHP6" s="6"/>
      <c r="AHQ6" s="6"/>
      <c r="AHR6" s="6"/>
      <c r="AHS6" s="6"/>
      <c r="AHT6" s="6"/>
      <c r="AHU6" s="6"/>
      <c r="AHV6" s="6"/>
      <c r="AHW6" s="6"/>
      <c r="AHX6" s="6"/>
      <c r="AHY6" s="6"/>
      <c r="AHZ6" s="6"/>
      <c r="AIA6" s="6"/>
      <c r="AIB6" s="6"/>
      <c r="AIC6" s="6"/>
      <c r="AID6" s="6"/>
      <c r="AIE6" s="6"/>
      <c r="AIF6" s="6"/>
      <c r="AIG6" s="6"/>
      <c r="AIH6" s="6"/>
      <c r="AII6" s="6"/>
      <c r="AIJ6" s="6"/>
      <c r="AIK6" s="6"/>
      <c r="AIL6" s="6"/>
      <c r="AIM6" s="6"/>
      <c r="AIN6" s="6"/>
      <c r="AIO6" s="6"/>
      <c r="AIP6" s="6"/>
      <c r="AIQ6" s="6"/>
      <c r="AIR6" s="6"/>
      <c r="AIS6" s="6"/>
      <c r="AIT6" s="6"/>
      <c r="AIU6" s="6"/>
      <c r="AIV6" s="6"/>
      <c r="AIW6" s="6"/>
      <c r="AIX6" s="6"/>
      <c r="AIY6" s="6"/>
      <c r="AIZ6" s="6"/>
      <c r="AJA6" s="6"/>
      <c r="AJB6" s="6"/>
      <c r="AJC6" s="6"/>
      <c r="AJD6" s="6"/>
      <c r="AJE6" s="6"/>
      <c r="AJF6" s="6"/>
      <c r="AJG6" s="6"/>
      <c r="AJH6" s="6"/>
      <c r="AJI6" s="6"/>
      <c r="AJJ6" s="6"/>
      <c r="AJK6" s="6"/>
      <c r="AJL6" s="6"/>
      <c r="AJM6" s="6"/>
      <c r="AJN6" s="6"/>
      <c r="AJO6" s="6"/>
      <c r="AJP6" s="6"/>
      <c r="AJQ6" s="6"/>
      <c r="AJR6" s="6"/>
      <c r="AJS6" s="6"/>
      <c r="AJT6" s="6"/>
      <c r="AJU6" s="6"/>
      <c r="AJV6" s="6"/>
      <c r="AJW6" s="6"/>
      <c r="AJX6" s="6"/>
      <c r="AJY6" s="6"/>
      <c r="AJZ6" s="6"/>
      <c r="AKA6" s="6"/>
      <c r="AKB6" s="6"/>
      <c r="AKC6" s="6"/>
      <c r="AKD6" s="6"/>
      <c r="AKE6" s="6"/>
      <c r="AKF6" s="6"/>
      <c r="AKG6" s="6"/>
      <c r="AKH6" s="6"/>
      <c r="AKI6" s="6"/>
      <c r="AKJ6" s="6"/>
      <c r="AKK6" s="6"/>
      <c r="AKL6" s="6"/>
      <c r="AKM6" s="6"/>
      <c r="AKN6" s="6"/>
      <c r="AKO6" s="6"/>
      <c r="AKP6" s="6"/>
      <c r="AKQ6" s="6"/>
      <c r="AKR6" s="6"/>
      <c r="AKS6" s="6"/>
      <c r="AKT6" s="6"/>
      <c r="AKU6" s="6"/>
      <c r="AKV6" s="6"/>
      <c r="AKW6" s="6"/>
      <c r="AKX6" s="6"/>
      <c r="AKY6" s="6"/>
      <c r="AKZ6" s="6"/>
      <c r="ALA6" s="6"/>
      <c r="ALB6" s="6"/>
      <c r="ALC6" s="6"/>
      <c r="ALD6" s="6"/>
      <c r="ALE6" s="6"/>
      <c r="ALF6" s="6"/>
      <c r="ALG6" s="6"/>
      <c r="ALH6" s="6"/>
      <c r="ALI6" s="6"/>
      <c r="ALJ6" s="6"/>
      <c r="ALK6" s="6"/>
      <c r="ALL6" s="6"/>
      <c r="ALM6" s="6"/>
      <c r="ALN6" s="6"/>
      <c r="ALO6" s="6"/>
      <c r="ALP6" s="6"/>
      <c r="ALQ6" s="6"/>
      <c r="ALR6" s="6"/>
      <c r="ALS6" s="6"/>
      <c r="ALT6" s="6"/>
      <c r="ALU6" s="6"/>
      <c r="ALV6" s="6"/>
      <c r="ALW6" s="6"/>
      <c r="ALX6" s="6"/>
      <c r="ALY6" s="6"/>
      <c r="ALZ6" s="6"/>
      <c r="AMA6" s="6"/>
      <c r="AMB6" s="6"/>
      <c r="AMC6" s="6"/>
      <c r="AMD6" s="6"/>
      <c r="AME6" s="6"/>
      <c r="AMF6" s="6"/>
      <c r="AMG6" s="6"/>
      <c r="AMH6" s="6"/>
    </row>
    <row r="7" spans="1:1022" x14ac:dyDescent="0.15">
      <c r="A7" s="6" t="s">
        <v>2816</v>
      </c>
      <c r="B7" s="6" t="s">
        <v>183</v>
      </c>
      <c r="C7" s="6" t="str">
        <f t="shared" si="0"/>
        <v>att_user_research_group:vonkarstedt</v>
      </c>
      <c r="D7" s="6" t="s">
        <v>13</v>
      </c>
      <c r="E7" s="6" t="s">
        <v>2817</v>
      </c>
      <c r="F7" s="6" t="s">
        <v>2818</v>
      </c>
      <c r="G7" s="6"/>
      <c r="H7" s="6"/>
      <c r="I7" s="6"/>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c r="EF7" s="6"/>
      <c r="EG7" s="6"/>
      <c r="EH7" s="6"/>
      <c r="EI7" s="6"/>
      <c r="EJ7" s="6"/>
      <c r="EK7" s="6"/>
      <c r="EL7" s="6"/>
      <c r="EM7" s="6"/>
      <c r="EN7" s="6"/>
      <c r="EO7" s="6"/>
      <c r="EP7" s="6"/>
      <c r="EQ7" s="6"/>
      <c r="ER7" s="6"/>
      <c r="ES7" s="6"/>
      <c r="ET7" s="6"/>
      <c r="EU7" s="6"/>
      <c r="EV7" s="6"/>
      <c r="EW7" s="6"/>
      <c r="EX7" s="6"/>
      <c r="EY7" s="6"/>
      <c r="EZ7" s="6"/>
      <c r="FA7" s="6"/>
      <c r="FB7" s="6"/>
      <c r="FC7" s="6"/>
      <c r="FD7" s="6"/>
      <c r="FE7" s="6"/>
      <c r="FF7" s="6"/>
      <c r="FG7" s="6"/>
      <c r="FH7" s="6"/>
      <c r="FI7" s="6"/>
      <c r="FJ7" s="6"/>
      <c r="FK7" s="6"/>
      <c r="FL7" s="6"/>
      <c r="FM7" s="6"/>
      <c r="FN7" s="6"/>
      <c r="FO7" s="6"/>
      <c r="FP7" s="6"/>
      <c r="FQ7" s="6"/>
      <c r="FR7" s="6"/>
      <c r="FS7" s="6"/>
      <c r="FT7" s="6"/>
      <c r="FU7" s="6"/>
      <c r="FV7" s="6"/>
      <c r="FW7" s="6"/>
      <c r="FX7" s="6"/>
      <c r="FY7" s="6"/>
      <c r="FZ7" s="6"/>
      <c r="GA7" s="6"/>
      <c r="GB7" s="6"/>
      <c r="GC7" s="6"/>
      <c r="GD7" s="6"/>
      <c r="GE7" s="6"/>
      <c r="GF7" s="6"/>
      <c r="GG7" s="6"/>
      <c r="GH7" s="6"/>
      <c r="GI7" s="6"/>
      <c r="GJ7" s="6"/>
      <c r="GK7" s="6"/>
      <c r="GL7" s="6"/>
      <c r="GM7" s="6"/>
      <c r="GN7" s="6"/>
      <c r="GO7" s="6"/>
      <c r="GP7" s="6"/>
      <c r="GQ7" s="6"/>
      <c r="GR7" s="6"/>
      <c r="GS7" s="6"/>
      <c r="GT7" s="6"/>
      <c r="GU7" s="6"/>
      <c r="GV7" s="6"/>
      <c r="GW7" s="6"/>
      <c r="GX7" s="6"/>
      <c r="GY7" s="6"/>
      <c r="GZ7" s="6"/>
      <c r="HA7" s="6"/>
      <c r="HB7" s="6"/>
      <c r="HC7" s="6"/>
      <c r="HD7" s="6"/>
      <c r="HE7" s="6"/>
      <c r="HF7" s="6"/>
      <c r="HG7" s="6"/>
      <c r="HH7" s="6"/>
      <c r="HI7" s="6"/>
      <c r="HJ7" s="6"/>
      <c r="HK7" s="6"/>
      <c r="HL7" s="6"/>
      <c r="HM7" s="6"/>
      <c r="HN7" s="6"/>
      <c r="HO7" s="6"/>
      <c r="HP7" s="6"/>
      <c r="HQ7" s="6"/>
      <c r="HR7" s="6"/>
      <c r="HS7" s="6"/>
      <c r="HT7" s="6"/>
      <c r="HU7" s="6"/>
      <c r="HV7" s="6"/>
      <c r="HW7" s="6"/>
      <c r="HX7" s="6"/>
      <c r="HY7" s="6"/>
      <c r="HZ7" s="6"/>
      <c r="IA7" s="6"/>
      <c r="IB7" s="6"/>
      <c r="IC7" s="6"/>
      <c r="ID7" s="6"/>
      <c r="IE7" s="6"/>
      <c r="IF7" s="6"/>
      <c r="IG7" s="6"/>
      <c r="IH7" s="6"/>
      <c r="II7" s="6"/>
      <c r="IJ7" s="6"/>
      <c r="IK7" s="6"/>
      <c r="IL7" s="6"/>
      <c r="IM7" s="6"/>
      <c r="IN7" s="6"/>
      <c r="IO7" s="6"/>
      <c r="IP7" s="6"/>
      <c r="IQ7" s="6"/>
      <c r="IR7" s="6"/>
      <c r="IS7" s="6"/>
      <c r="IT7" s="6"/>
      <c r="IU7" s="6"/>
      <c r="IV7" s="6"/>
      <c r="IW7" s="6"/>
      <c r="IX7" s="6"/>
      <c r="IY7" s="6"/>
      <c r="IZ7" s="6"/>
      <c r="JA7" s="6"/>
      <c r="JB7" s="6"/>
      <c r="JC7" s="6"/>
      <c r="JD7" s="6"/>
      <c r="JE7" s="6"/>
      <c r="JF7" s="6"/>
      <c r="JG7" s="6"/>
      <c r="JH7" s="6"/>
      <c r="JI7" s="6"/>
      <c r="JJ7" s="6"/>
      <c r="JK7" s="6"/>
      <c r="JL7" s="6"/>
      <c r="JM7" s="6"/>
      <c r="JN7" s="6"/>
      <c r="JO7" s="6"/>
      <c r="JP7" s="6"/>
      <c r="JQ7" s="6"/>
      <c r="JR7" s="6"/>
      <c r="JS7" s="6"/>
      <c r="JT7" s="6"/>
      <c r="JU7" s="6"/>
      <c r="JV7" s="6"/>
      <c r="JW7" s="6"/>
      <c r="JX7" s="6"/>
      <c r="JY7" s="6"/>
      <c r="JZ7" s="6"/>
      <c r="KA7" s="6"/>
      <c r="KB7" s="6"/>
      <c r="KC7" s="6"/>
      <c r="KD7" s="6"/>
      <c r="KE7" s="6"/>
      <c r="KF7" s="6"/>
      <c r="KG7" s="6"/>
      <c r="KH7" s="6"/>
      <c r="KI7" s="6"/>
      <c r="KJ7" s="6"/>
      <c r="KK7" s="6"/>
      <c r="KL7" s="6"/>
      <c r="KM7" s="6"/>
      <c r="KN7" s="6"/>
      <c r="KO7" s="6"/>
      <c r="KP7" s="6"/>
      <c r="KQ7" s="6"/>
      <c r="KR7" s="6"/>
      <c r="KS7" s="6"/>
      <c r="KT7" s="6"/>
      <c r="KU7" s="6"/>
      <c r="KV7" s="6"/>
      <c r="KW7" s="6"/>
      <c r="KX7" s="6"/>
      <c r="KY7" s="6"/>
      <c r="KZ7" s="6"/>
      <c r="LA7" s="6"/>
      <c r="LB7" s="6"/>
      <c r="LC7" s="6"/>
      <c r="LD7" s="6"/>
      <c r="LE7" s="6"/>
      <c r="LF7" s="6"/>
      <c r="LG7" s="6"/>
      <c r="LH7" s="6"/>
      <c r="LI7" s="6"/>
      <c r="LJ7" s="6"/>
      <c r="LK7" s="6"/>
      <c r="LL7" s="6"/>
      <c r="LM7" s="6"/>
      <c r="LN7" s="6"/>
      <c r="LO7" s="6"/>
      <c r="LP7" s="6"/>
      <c r="LQ7" s="6"/>
      <c r="LR7" s="6"/>
      <c r="LS7" s="6"/>
      <c r="LT7" s="6"/>
      <c r="LU7" s="6"/>
      <c r="LV7" s="6"/>
      <c r="LW7" s="6"/>
      <c r="LX7" s="6"/>
      <c r="LY7" s="6"/>
      <c r="LZ7" s="6"/>
      <c r="MA7" s="6"/>
      <c r="MB7" s="6"/>
      <c r="MC7" s="6"/>
      <c r="MD7" s="6"/>
      <c r="ME7" s="6"/>
      <c r="MF7" s="6"/>
      <c r="MG7" s="6"/>
      <c r="MH7" s="6"/>
      <c r="MI7" s="6"/>
      <c r="MJ7" s="6"/>
      <c r="MK7" s="6"/>
      <c r="ML7" s="6"/>
      <c r="MM7" s="6"/>
      <c r="MN7" s="6"/>
      <c r="MO7" s="6"/>
      <c r="MP7" s="6"/>
      <c r="MQ7" s="6"/>
      <c r="MR7" s="6"/>
      <c r="MS7" s="6"/>
      <c r="MT7" s="6"/>
      <c r="MU7" s="6"/>
      <c r="MV7" s="6"/>
      <c r="MW7" s="6"/>
      <c r="MX7" s="6"/>
      <c r="MY7" s="6"/>
      <c r="MZ7" s="6"/>
      <c r="NA7" s="6"/>
      <c r="NB7" s="6"/>
      <c r="NC7" s="6"/>
      <c r="ND7" s="6"/>
      <c r="NE7" s="6"/>
      <c r="NF7" s="6"/>
      <c r="NG7" s="6"/>
      <c r="NH7" s="6"/>
      <c r="NI7" s="6"/>
      <c r="NJ7" s="6"/>
      <c r="NK7" s="6"/>
      <c r="NL7" s="6"/>
      <c r="NM7" s="6"/>
      <c r="NN7" s="6"/>
      <c r="NO7" s="6"/>
      <c r="NP7" s="6"/>
      <c r="NQ7" s="6"/>
      <c r="NR7" s="6"/>
      <c r="NS7" s="6"/>
      <c r="NT7" s="6"/>
      <c r="NU7" s="6"/>
      <c r="NV7" s="6"/>
      <c r="NW7" s="6"/>
      <c r="NX7" s="6"/>
      <c r="NY7" s="6"/>
      <c r="NZ7" s="6"/>
      <c r="OA7" s="6"/>
      <c r="OB7" s="6"/>
      <c r="OC7" s="6"/>
      <c r="OD7" s="6"/>
      <c r="OE7" s="6"/>
      <c r="OF7" s="6"/>
      <c r="OG7" s="6"/>
      <c r="OH7" s="6"/>
      <c r="OI7" s="6"/>
      <c r="OJ7" s="6"/>
      <c r="OK7" s="6"/>
      <c r="OL7" s="6"/>
      <c r="OM7" s="6"/>
      <c r="ON7" s="6"/>
      <c r="OO7" s="6"/>
      <c r="OP7" s="6"/>
      <c r="OQ7" s="6"/>
      <c r="OR7" s="6"/>
      <c r="OS7" s="6"/>
      <c r="OT7" s="6"/>
      <c r="OU7" s="6"/>
      <c r="OV7" s="6"/>
      <c r="OW7" s="6"/>
      <c r="OX7" s="6"/>
      <c r="OY7" s="6"/>
      <c r="OZ7" s="6"/>
      <c r="PA7" s="6"/>
      <c r="PB7" s="6"/>
      <c r="PC7" s="6"/>
      <c r="PD7" s="6"/>
      <c r="PE7" s="6"/>
      <c r="PF7" s="6"/>
      <c r="PG7" s="6"/>
      <c r="PH7" s="6"/>
      <c r="PI7" s="6"/>
      <c r="PJ7" s="6"/>
      <c r="PK7" s="6"/>
      <c r="PL7" s="6"/>
      <c r="PM7" s="6"/>
      <c r="PN7" s="6"/>
      <c r="PO7" s="6"/>
      <c r="PP7" s="6"/>
      <c r="PQ7" s="6"/>
      <c r="PR7" s="6"/>
      <c r="PS7" s="6"/>
      <c r="PT7" s="6"/>
      <c r="PU7" s="6"/>
      <c r="PV7" s="6"/>
      <c r="PW7" s="6"/>
      <c r="PX7" s="6"/>
      <c r="PY7" s="6"/>
      <c r="PZ7" s="6"/>
      <c r="QA7" s="6"/>
      <c r="QB7" s="6"/>
      <c r="QC7" s="6"/>
      <c r="QD7" s="6"/>
      <c r="QE7" s="6"/>
      <c r="QF7" s="6"/>
      <c r="QG7" s="6"/>
      <c r="QH7" s="6"/>
      <c r="QI7" s="6"/>
      <c r="QJ7" s="6"/>
      <c r="QK7" s="6"/>
      <c r="QL7" s="6"/>
      <c r="QM7" s="6"/>
      <c r="QN7" s="6"/>
      <c r="QO7" s="6"/>
      <c r="QP7" s="6"/>
      <c r="QQ7" s="6"/>
      <c r="QR7" s="6"/>
      <c r="QS7" s="6"/>
      <c r="QT7" s="6"/>
      <c r="QU7" s="6"/>
      <c r="QV7" s="6"/>
      <c r="QW7" s="6"/>
      <c r="QX7" s="6"/>
      <c r="QY7" s="6"/>
      <c r="QZ7" s="6"/>
      <c r="RA7" s="6"/>
      <c r="RB7" s="6"/>
      <c r="RC7" s="6"/>
      <c r="RD7" s="6"/>
      <c r="RE7" s="6"/>
      <c r="RF7" s="6"/>
      <c r="RG7" s="6"/>
      <c r="RH7" s="6"/>
      <c r="RI7" s="6"/>
      <c r="RJ7" s="6"/>
      <c r="RK7" s="6"/>
      <c r="RL7" s="6"/>
      <c r="RM7" s="6"/>
      <c r="RN7" s="6"/>
      <c r="RO7" s="6"/>
      <c r="RP7" s="6"/>
      <c r="RQ7" s="6"/>
      <c r="RR7" s="6"/>
      <c r="RS7" s="6"/>
      <c r="RT7" s="6"/>
      <c r="RU7" s="6"/>
      <c r="RV7" s="6"/>
      <c r="RW7" s="6"/>
      <c r="RX7" s="6"/>
      <c r="RY7" s="6"/>
      <c r="RZ7" s="6"/>
      <c r="SA7" s="6"/>
      <c r="SB7" s="6"/>
      <c r="SC7" s="6"/>
      <c r="SD7" s="6"/>
      <c r="SE7" s="6"/>
      <c r="SF7" s="6"/>
      <c r="SG7" s="6"/>
      <c r="SH7" s="6"/>
      <c r="SI7" s="6"/>
      <c r="SJ7" s="6"/>
      <c r="SK7" s="6"/>
      <c r="SL7" s="6"/>
      <c r="SM7" s="6"/>
      <c r="SN7" s="6"/>
      <c r="SO7" s="6"/>
      <c r="SP7" s="6"/>
      <c r="SQ7" s="6"/>
      <c r="SR7" s="6"/>
      <c r="SS7" s="6"/>
      <c r="ST7" s="6"/>
      <c r="SU7" s="6"/>
      <c r="SV7" s="6"/>
      <c r="SW7" s="6"/>
      <c r="SX7" s="6"/>
      <c r="SY7" s="6"/>
      <c r="SZ7" s="6"/>
      <c r="TA7" s="6"/>
      <c r="TB7" s="6"/>
      <c r="TC7" s="6"/>
      <c r="TD7" s="6"/>
      <c r="TE7" s="6"/>
      <c r="TF7" s="6"/>
      <c r="TG7" s="6"/>
      <c r="TH7" s="6"/>
      <c r="TI7" s="6"/>
      <c r="TJ7" s="6"/>
      <c r="TK7" s="6"/>
      <c r="TL7" s="6"/>
      <c r="TM7" s="6"/>
      <c r="TN7" s="6"/>
      <c r="TO7" s="6"/>
      <c r="TP7" s="6"/>
      <c r="TQ7" s="6"/>
      <c r="TR7" s="6"/>
      <c r="TS7" s="6"/>
      <c r="TT7" s="6"/>
      <c r="TU7" s="6"/>
      <c r="TV7" s="6"/>
      <c r="TW7" s="6"/>
      <c r="TX7" s="6"/>
      <c r="TY7" s="6"/>
      <c r="TZ7" s="6"/>
      <c r="UA7" s="6"/>
      <c r="UB7" s="6"/>
      <c r="UC7" s="6"/>
      <c r="UD7" s="6"/>
      <c r="UE7" s="6"/>
      <c r="UF7" s="6"/>
      <c r="UG7" s="6"/>
      <c r="UH7" s="6"/>
      <c r="UI7" s="6"/>
      <c r="UJ7" s="6"/>
      <c r="UK7" s="6"/>
      <c r="UL7" s="6"/>
      <c r="UM7" s="6"/>
      <c r="UN7" s="6"/>
      <c r="UO7" s="6"/>
      <c r="UP7" s="6"/>
      <c r="UQ7" s="6"/>
      <c r="UR7" s="6"/>
      <c r="US7" s="6"/>
      <c r="UT7" s="6"/>
      <c r="UU7" s="6"/>
      <c r="UV7" s="6"/>
      <c r="UW7" s="6"/>
      <c r="UX7" s="6"/>
      <c r="UY7" s="6"/>
      <c r="UZ7" s="6"/>
      <c r="VA7" s="6"/>
      <c r="VB7" s="6"/>
      <c r="VC7" s="6"/>
      <c r="VD7" s="6"/>
      <c r="VE7" s="6"/>
      <c r="VF7" s="6"/>
      <c r="VG7" s="6"/>
      <c r="VH7" s="6"/>
      <c r="VI7" s="6"/>
      <c r="VJ7" s="6"/>
      <c r="VK7" s="6"/>
      <c r="VL7" s="6"/>
      <c r="VM7" s="6"/>
      <c r="VN7" s="6"/>
      <c r="VO7" s="6"/>
      <c r="VP7" s="6"/>
      <c r="VQ7" s="6"/>
      <c r="VR7" s="6"/>
      <c r="VS7" s="6"/>
      <c r="VT7" s="6"/>
      <c r="VU7" s="6"/>
      <c r="VV7" s="6"/>
      <c r="VW7" s="6"/>
      <c r="VX7" s="6"/>
      <c r="VY7" s="6"/>
      <c r="VZ7" s="6"/>
      <c r="WA7" s="6"/>
      <c r="WB7" s="6"/>
      <c r="WC7" s="6"/>
      <c r="WD7" s="6"/>
      <c r="WE7" s="6"/>
      <c r="WF7" s="6"/>
      <c r="WG7" s="6"/>
      <c r="WH7" s="6"/>
      <c r="WI7" s="6"/>
      <c r="WJ7" s="6"/>
      <c r="WK7" s="6"/>
      <c r="WL7" s="6"/>
      <c r="WM7" s="6"/>
      <c r="WN7" s="6"/>
      <c r="WO7" s="6"/>
      <c r="WP7" s="6"/>
      <c r="WQ7" s="6"/>
      <c r="WR7" s="6"/>
      <c r="WS7" s="6"/>
      <c r="WT7" s="6"/>
      <c r="WU7" s="6"/>
      <c r="WV7" s="6"/>
      <c r="WW7" s="6"/>
      <c r="WX7" s="6"/>
      <c r="WY7" s="6"/>
      <c r="WZ7" s="6"/>
      <c r="XA7" s="6"/>
      <c r="XB7" s="6"/>
      <c r="XC7" s="6"/>
      <c r="XD7" s="6"/>
      <c r="XE7" s="6"/>
      <c r="XF7" s="6"/>
      <c r="XG7" s="6"/>
      <c r="XH7" s="6"/>
      <c r="XI7" s="6"/>
      <c r="XJ7" s="6"/>
      <c r="XK7" s="6"/>
      <c r="XL7" s="6"/>
      <c r="XM7" s="6"/>
      <c r="XN7" s="6"/>
      <c r="XO7" s="6"/>
      <c r="XP7" s="6"/>
      <c r="XQ7" s="6"/>
      <c r="XR7" s="6"/>
      <c r="XS7" s="6"/>
      <c r="XT7" s="6"/>
      <c r="XU7" s="6"/>
      <c r="XV7" s="6"/>
      <c r="XW7" s="6"/>
      <c r="XX7" s="6"/>
      <c r="XY7" s="6"/>
      <c r="XZ7" s="6"/>
      <c r="YA7" s="6"/>
      <c r="YB7" s="6"/>
      <c r="YC7" s="6"/>
      <c r="YD7" s="6"/>
      <c r="YE7" s="6"/>
      <c r="YF7" s="6"/>
      <c r="YG7" s="6"/>
      <c r="YH7" s="6"/>
      <c r="YI7" s="6"/>
      <c r="YJ7" s="6"/>
      <c r="YK7" s="6"/>
      <c r="YL7" s="6"/>
      <c r="YM7" s="6"/>
      <c r="YN7" s="6"/>
      <c r="YO7" s="6"/>
      <c r="YP7" s="6"/>
      <c r="YQ7" s="6"/>
      <c r="YR7" s="6"/>
      <c r="YS7" s="6"/>
      <c r="YT7" s="6"/>
      <c r="YU7" s="6"/>
      <c r="YV7" s="6"/>
      <c r="YW7" s="6"/>
      <c r="YX7" s="6"/>
      <c r="YY7" s="6"/>
      <c r="YZ7" s="6"/>
      <c r="ZA7" s="6"/>
      <c r="ZB7" s="6"/>
      <c r="ZC7" s="6"/>
      <c r="ZD7" s="6"/>
      <c r="ZE7" s="6"/>
      <c r="ZF7" s="6"/>
      <c r="ZG7" s="6"/>
      <c r="ZH7" s="6"/>
      <c r="ZI7" s="6"/>
      <c r="ZJ7" s="6"/>
      <c r="ZK7" s="6"/>
      <c r="ZL7" s="6"/>
      <c r="ZM7" s="6"/>
      <c r="ZN7" s="6"/>
      <c r="ZO7" s="6"/>
      <c r="ZP7" s="6"/>
      <c r="ZQ7" s="6"/>
      <c r="ZR7" s="6"/>
      <c r="ZS7" s="6"/>
      <c r="ZT7" s="6"/>
      <c r="ZU7" s="6"/>
      <c r="ZV7" s="6"/>
      <c r="ZW7" s="6"/>
      <c r="ZX7" s="6"/>
      <c r="ZY7" s="6"/>
      <c r="ZZ7" s="6"/>
      <c r="AAA7" s="6"/>
      <c r="AAB7" s="6"/>
      <c r="AAC7" s="6"/>
      <c r="AAD7" s="6"/>
      <c r="AAE7" s="6"/>
      <c r="AAF7" s="6"/>
      <c r="AAG7" s="6"/>
      <c r="AAH7" s="6"/>
      <c r="AAI7" s="6"/>
      <c r="AAJ7" s="6"/>
      <c r="AAK7" s="6"/>
      <c r="AAL7" s="6"/>
      <c r="AAM7" s="6"/>
      <c r="AAN7" s="6"/>
      <c r="AAO7" s="6"/>
      <c r="AAP7" s="6"/>
      <c r="AAQ7" s="6"/>
      <c r="AAR7" s="6"/>
      <c r="AAS7" s="6"/>
      <c r="AAT7" s="6"/>
      <c r="AAU7" s="6"/>
      <c r="AAV7" s="6"/>
      <c r="AAW7" s="6"/>
      <c r="AAX7" s="6"/>
      <c r="AAY7" s="6"/>
      <c r="AAZ7" s="6"/>
      <c r="ABA7" s="6"/>
      <c r="ABB7" s="6"/>
      <c r="ABC7" s="6"/>
      <c r="ABD7" s="6"/>
      <c r="ABE7" s="6"/>
      <c r="ABF7" s="6"/>
      <c r="ABG7" s="6"/>
      <c r="ABH7" s="6"/>
      <c r="ABI7" s="6"/>
      <c r="ABJ7" s="6"/>
      <c r="ABK7" s="6"/>
      <c r="ABL7" s="6"/>
      <c r="ABM7" s="6"/>
      <c r="ABN7" s="6"/>
      <c r="ABO7" s="6"/>
      <c r="ABP7" s="6"/>
      <c r="ABQ7" s="6"/>
      <c r="ABR7" s="6"/>
      <c r="ABS7" s="6"/>
      <c r="ABT7" s="6"/>
      <c r="ABU7" s="6"/>
      <c r="ABV7" s="6"/>
      <c r="ABW7" s="6"/>
      <c r="ABX7" s="6"/>
      <c r="ABY7" s="6"/>
      <c r="ABZ7" s="6"/>
      <c r="ACA7" s="6"/>
      <c r="ACB7" s="6"/>
      <c r="ACC7" s="6"/>
      <c r="ACD7" s="6"/>
      <c r="ACE7" s="6"/>
      <c r="ACF7" s="6"/>
      <c r="ACG7" s="6"/>
      <c r="ACH7" s="6"/>
      <c r="ACI7" s="6"/>
      <c r="ACJ7" s="6"/>
      <c r="ACK7" s="6"/>
      <c r="ACL7" s="6"/>
      <c r="ACM7" s="6"/>
      <c r="ACN7" s="6"/>
      <c r="ACO7" s="6"/>
      <c r="ACP7" s="6"/>
      <c r="ACQ7" s="6"/>
      <c r="ACR7" s="6"/>
      <c r="ACS7" s="6"/>
      <c r="ACT7" s="6"/>
      <c r="ACU7" s="6"/>
      <c r="ACV7" s="6"/>
      <c r="ACW7" s="6"/>
      <c r="ACX7" s="6"/>
      <c r="ACY7" s="6"/>
      <c r="ACZ7" s="6"/>
      <c r="ADA7" s="6"/>
      <c r="ADB7" s="6"/>
      <c r="ADC7" s="6"/>
      <c r="ADD7" s="6"/>
      <c r="ADE7" s="6"/>
      <c r="ADF7" s="6"/>
      <c r="ADG7" s="6"/>
      <c r="ADH7" s="6"/>
      <c r="ADI7" s="6"/>
      <c r="ADJ7" s="6"/>
      <c r="ADK7" s="6"/>
      <c r="ADL7" s="6"/>
      <c r="ADM7" s="6"/>
      <c r="ADN7" s="6"/>
      <c r="ADO7" s="6"/>
      <c r="ADP7" s="6"/>
      <c r="ADQ7" s="6"/>
      <c r="ADR7" s="6"/>
      <c r="ADS7" s="6"/>
      <c r="ADT7" s="6"/>
      <c r="ADU7" s="6"/>
      <c r="ADV7" s="6"/>
      <c r="ADW7" s="6"/>
      <c r="ADX7" s="6"/>
      <c r="ADY7" s="6"/>
      <c r="ADZ7" s="6"/>
      <c r="AEA7" s="6"/>
      <c r="AEB7" s="6"/>
      <c r="AEC7" s="6"/>
      <c r="AED7" s="6"/>
      <c r="AEE7" s="6"/>
      <c r="AEF7" s="6"/>
      <c r="AEG7" s="6"/>
      <c r="AEH7" s="6"/>
      <c r="AEI7" s="6"/>
      <c r="AEJ7" s="6"/>
      <c r="AEK7" s="6"/>
      <c r="AEL7" s="6"/>
      <c r="AEM7" s="6"/>
      <c r="AEN7" s="6"/>
      <c r="AEO7" s="6"/>
      <c r="AEP7" s="6"/>
      <c r="AEQ7" s="6"/>
      <c r="AER7" s="6"/>
      <c r="AES7" s="6"/>
      <c r="AET7" s="6"/>
      <c r="AEU7" s="6"/>
      <c r="AEV7" s="6"/>
      <c r="AEW7" s="6"/>
      <c r="AEX7" s="6"/>
      <c r="AEY7" s="6"/>
      <c r="AEZ7" s="6"/>
      <c r="AFA7" s="6"/>
      <c r="AFB7" s="6"/>
      <c r="AFC7" s="6"/>
      <c r="AFD7" s="6"/>
      <c r="AFE7" s="6"/>
      <c r="AFF7" s="6"/>
      <c r="AFG7" s="6"/>
      <c r="AFH7" s="6"/>
      <c r="AFI7" s="6"/>
      <c r="AFJ7" s="6"/>
      <c r="AFK7" s="6"/>
      <c r="AFL7" s="6"/>
      <c r="AFM7" s="6"/>
      <c r="AFN7" s="6"/>
      <c r="AFO7" s="6"/>
      <c r="AFP7" s="6"/>
      <c r="AFQ7" s="6"/>
      <c r="AFR7" s="6"/>
      <c r="AFS7" s="6"/>
      <c r="AFT7" s="6"/>
      <c r="AFU7" s="6"/>
      <c r="AFV7" s="6"/>
      <c r="AFW7" s="6"/>
      <c r="AFX7" s="6"/>
      <c r="AFY7" s="6"/>
      <c r="AFZ7" s="6"/>
      <c r="AGA7" s="6"/>
      <c r="AGB7" s="6"/>
      <c r="AGC7" s="6"/>
      <c r="AGD7" s="6"/>
      <c r="AGE7" s="6"/>
      <c r="AGF7" s="6"/>
      <c r="AGG7" s="6"/>
      <c r="AGH7" s="6"/>
      <c r="AGI7" s="6"/>
      <c r="AGJ7" s="6"/>
      <c r="AGK7" s="6"/>
      <c r="AGL7" s="6"/>
      <c r="AGM7" s="6"/>
      <c r="AGN7" s="6"/>
      <c r="AGO7" s="6"/>
      <c r="AGP7" s="6"/>
      <c r="AGQ7" s="6"/>
      <c r="AGR7" s="6"/>
      <c r="AGS7" s="6"/>
      <c r="AGT7" s="6"/>
      <c r="AGU7" s="6"/>
      <c r="AGV7" s="6"/>
      <c r="AGW7" s="6"/>
      <c r="AGX7" s="6"/>
      <c r="AGY7" s="6"/>
      <c r="AGZ7" s="6"/>
      <c r="AHA7" s="6"/>
      <c r="AHB7" s="6"/>
      <c r="AHC7" s="6"/>
      <c r="AHD7" s="6"/>
      <c r="AHE7" s="6"/>
      <c r="AHF7" s="6"/>
      <c r="AHG7" s="6"/>
      <c r="AHH7" s="6"/>
      <c r="AHI7" s="6"/>
      <c r="AHJ7" s="6"/>
      <c r="AHK7" s="6"/>
      <c r="AHL7" s="6"/>
      <c r="AHM7" s="6"/>
      <c r="AHN7" s="6"/>
      <c r="AHO7" s="6"/>
      <c r="AHP7" s="6"/>
      <c r="AHQ7" s="6"/>
      <c r="AHR7" s="6"/>
      <c r="AHS7" s="6"/>
      <c r="AHT7" s="6"/>
      <c r="AHU7" s="6"/>
      <c r="AHV7" s="6"/>
      <c r="AHW7" s="6"/>
      <c r="AHX7" s="6"/>
      <c r="AHY7" s="6"/>
      <c r="AHZ7" s="6"/>
      <c r="AIA7" s="6"/>
      <c r="AIB7" s="6"/>
      <c r="AIC7" s="6"/>
      <c r="AID7" s="6"/>
      <c r="AIE7" s="6"/>
      <c r="AIF7" s="6"/>
      <c r="AIG7" s="6"/>
      <c r="AIH7" s="6"/>
      <c r="AII7" s="6"/>
      <c r="AIJ7" s="6"/>
      <c r="AIK7" s="6"/>
      <c r="AIL7" s="6"/>
      <c r="AIM7" s="6"/>
      <c r="AIN7" s="6"/>
      <c r="AIO7" s="6"/>
      <c r="AIP7" s="6"/>
      <c r="AIQ7" s="6"/>
      <c r="AIR7" s="6"/>
      <c r="AIS7" s="6"/>
      <c r="AIT7" s="6"/>
      <c r="AIU7" s="6"/>
      <c r="AIV7" s="6"/>
      <c r="AIW7" s="6"/>
      <c r="AIX7" s="6"/>
      <c r="AIY7" s="6"/>
      <c r="AIZ7" s="6"/>
      <c r="AJA7" s="6"/>
      <c r="AJB7" s="6"/>
      <c r="AJC7" s="6"/>
      <c r="AJD7" s="6"/>
      <c r="AJE7" s="6"/>
      <c r="AJF7" s="6"/>
      <c r="AJG7" s="6"/>
      <c r="AJH7" s="6"/>
      <c r="AJI7" s="6"/>
      <c r="AJJ7" s="6"/>
      <c r="AJK7" s="6"/>
      <c r="AJL7" s="6"/>
      <c r="AJM7" s="6"/>
      <c r="AJN7" s="6"/>
      <c r="AJO7" s="6"/>
      <c r="AJP7" s="6"/>
      <c r="AJQ7" s="6"/>
      <c r="AJR7" s="6"/>
      <c r="AJS7" s="6"/>
      <c r="AJT7" s="6"/>
      <c r="AJU7" s="6"/>
      <c r="AJV7" s="6"/>
      <c r="AJW7" s="6"/>
      <c r="AJX7" s="6"/>
      <c r="AJY7" s="6"/>
      <c r="AJZ7" s="6"/>
      <c r="AKA7" s="6"/>
      <c r="AKB7" s="6"/>
      <c r="AKC7" s="6"/>
      <c r="AKD7" s="6"/>
      <c r="AKE7" s="6"/>
      <c r="AKF7" s="6"/>
      <c r="AKG7" s="6"/>
      <c r="AKH7" s="6"/>
      <c r="AKI7" s="6"/>
      <c r="AKJ7" s="6"/>
      <c r="AKK7" s="6"/>
      <c r="AKL7" s="6"/>
      <c r="AKM7" s="6"/>
      <c r="AKN7" s="6"/>
      <c r="AKO7" s="6"/>
      <c r="AKP7" s="6"/>
      <c r="AKQ7" s="6"/>
      <c r="AKR7" s="6"/>
      <c r="AKS7" s="6"/>
      <c r="AKT7" s="6"/>
      <c r="AKU7" s="6"/>
      <c r="AKV7" s="6"/>
      <c r="AKW7" s="6"/>
      <c r="AKX7" s="6"/>
      <c r="AKY7" s="6"/>
      <c r="AKZ7" s="6"/>
      <c r="ALA7" s="6"/>
      <c r="ALB7" s="6"/>
      <c r="ALC7" s="6"/>
      <c r="ALD7" s="6"/>
      <c r="ALE7" s="6"/>
      <c r="ALF7" s="6"/>
      <c r="ALG7" s="6"/>
      <c r="ALH7" s="6"/>
      <c r="ALI7" s="6"/>
      <c r="ALJ7" s="6"/>
      <c r="ALK7" s="6"/>
      <c r="ALL7" s="6"/>
      <c r="ALM7" s="6"/>
      <c r="ALN7" s="6"/>
      <c r="ALO7" s="6"/>
      <c r="ALP7" s="6"/>
      <c r="ALQ7" s="6"/>
      <c r="ALR7" s="6"/>
      <c r="ALS7" s="6"/>
      <c r="ALT7" s="6"/>
      <c r="ALU7" s="6"/>
      <c r="ALV7" s="6"/>
      <c r="ALW7" s="6"/>
      <c r="ALX7" s="6"/>
      <c r="ALY7" s="6"/>
      <c r="ALZ7" s="6"/>
      <c r="AMA7" s="6"/>
      <c r="AMB7" s="6"/>
      <c r="AMC7" s="6"/>
      <c r="AMD7" s="6"/>
      <c r="AME7" s="6"/>
      <c r="AMF7" s="6"/>
      <c r="AMG7" s="6"/>
      <c r="AMH7" s="6"/>
    </row>
    <row r="8" spans="1:1022" x14ac:dyDescent="0.15">
      <c r="A8" s="6" t="s">
        <v>2819</v>
      </c>
      <c r="B8" s="6" t="s">
        <v>183</v>
      </c>
      <c r="C8" s="6" t="str">
        <f t="shared" si="0"/>
        <v>att_user_research_group:laessig</v>
      </c>
      <c r="D8" s="6" t="s">
        <v>13</v>
      </c>
      <c r="E8" s="6" t="s">
        <v>2820</v>
      </c>
      <c r="F8" s="6" t="s">
        <v>2821</v>
      </c>
      <c r="G8" s="6"/>
      <c r="H8" s="6"/>
      <c r="I8" s="6"/>
      <c r="J8" s="6"/>
      <c r="K8" s="6"/>
      <c r="L8" s="6"/>
      <c r="M8" s="6"/>
      <c r="N8" s="6"/>
      <c r="O8" s="6"/>
      <c r="P8" s="6"/>
      <c r="Q8" s="6"/>
      <c r="R8" s="6"/>
      <c r="S8" s="6"/>
      <c r="T8" s="6"/>
      <c r="U8" s="6"/>
      <c r="V8" s="6"/>
      <c r="W8" s="6"/>
      <c r="X8" s="6"/>
      <c r="Y8" s="6"/>
      <c r="Z8" s="6"/>
      <c r="AA8" s="6"/>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c r="BI8" s="6"/>
      <c r="BJ8" s="6"/>
      <c r="BK8" s="6"/>
      <c r="BL8" s="6"/>
      <c r="BM8" s="6"/>
      <c r="BN8" s="6"/>
      <c r="BO8" s="6"/>
      <c r="BP8" s="6"/>
      <c r="BQ8" s="6"/>
      <c r="BR8" s="6"/>
      <c r="BS8" s="6"/>
      <c r="BT8" s="6"/>
      <c r="BU8" s="6"/>
      <c r="BV8" s="6"/>
      <c r="BW8" s="6"/>
      <c r="BX8" s="6"/>
      <c r="BY8" s="6"/>
      <c r="BZ8" s="6"/>
      <c r="CA8" s="6"/>
      <c r="CB8" s="6"/>
      <c r="CC8" s="6"/>
      <c r="CD8" s="6"/>
      <c r="CE8" s="6"/>
      <c r="CF8" s="6"/>
      <c r="CG8" s="6"/>
      <c r="CH8" s="6"/>
      <c r="CI8" s="6"/>
      <c r="CJ8" s="6"/>
      <c r="CK8" s="6"/>
      <c r="CL8" s="6"/>
      <c r="CM8" s="6"/>
      <c r="CN8" s="6"/>
      <c r="CO8" s="6"/>
      <c r="CP8" s="6"/>
      <c r="CQ8" s="6"/>
      <c r="CR8" s="6"/>
      <c r="CS8" s="6"/>
      <c r="CT8" s="6"/>
      <c r="CU8" s="6"/>
      <c r="CV8" s="6"/>
      <c r="CW8" s="6"/>
      <c r="CX8" s="6"/>
      <c r="CY8" s="6"/>
      <c r="CZ8" s="6"/>
      <c r="DA8" s="6"/>
      <c r="DB8" s="6"/>
      <c r="DC8" s="6"/>
      <c r="DD8" s="6"/>
      <c r="DE8" s="6"/>
      <c r="DF8" s="6"/>
      <c r="DG8" s="6"/>
      <c r="DH8" s="6"/>
      <c r="DI8" s="6"/>
      <c r="DJ8" s="6"/>
      <c r="DK8" s="6"/>
      <c r="DL8" s="6"/>
      <c r="DM8" s="6"/>
      <c r="DN8" s="6"/>
      <c r="DO8" s="6"/>
      <c r="DP8" s="6"/>
      <c r="DQ8" s="6"/>
      <c r="DR8" s="6"/>
      <c r="DS8" s="6"/>
      <c r="DT8" s="6"/>
      <c r="DU8" s="6"/>
      <c r="DV8" s="6"/>
      <c r="DW8" s="6"/>
      <c r="DX8" s="6"/>
      <c r="DY8" s="6"/>
      <c r="DZ8" s="6"/>
      <c r="EA8" s="6"/>
      <c r="EB8" s="6"/>
      <c r="EC8" s="6"/>
      <c r="ED8" s="6"/>
      <c r="EE8" s="6"/>
      <c r="EF8" s="6"/>
      <c r="EG8" s="6"/>
      <c r="EH8" s="6"/>
      <c r="EI8" s="6"/>
      <c r="EJ8" s="6"/>
      <c r="EK8" s="6"/>
      <c r="EL8" s="6"/>
      <c r="EM8" s="6"/>
      <c r="EN8" s="6"/>
      <c r="EO8" s="6"/>
      <c r="EP8" s="6"/>
      <c r="EQ8" s="6"/>
      <c r="ER8" s="6"/>
      <c r="ES8" s="6"/>
      <c r="ET8" s="6"/>
      <c r="EU8" s="6"/>
      <c r="EV8" s="6"/>
      <c r="EW8" s="6"/>
      <c r="EX8" s="6"/>
      <c r="EY8" s="6"/>
      <c r="EZ8" s="6"/>
      <c r="FA8" s="6"/>
      <c r="FB8" s="6"/>
      <c r="FC8" s="6"/>
      <c r="FD8" s="6"/>
      <c r="FE8" s="6"/>
      <c r="FF8" s="6"/>
      <c r="FG8" s="6"/>
      <c r="FH8" s="6"/>
      <c r="FI8" s="6"/>
      <c r="FJ8" s="6"/>
      <c r="FK8" s="6"/>
      <c r="FL8" s="6"/>
      <c r="FM8" s="6"/>
      <c r="FN8" s="6"/>
      <c r="FO8" s="6"/>
      <c r="FP8" s="6"/>
      <c r="FQ8" s="6"/>
      <c r="FR8" s="6"/>
      <c r="FS8" s="6"/>
      <c r="FT8" s="6"/>
      <c r="FU8" s="6"/>
      <c r="FV8" s="6"/>
      <c r="FW8" s="6"/>
      <c r="FX8" s="6"/>
      <c r="FY8" s="6"/>
      <c r="FZ8" s="6"/>
      <c r="GA8" s="6"/>
      <c r="GB8" s="6"/>
      <c r="GC8" s="6"/>
      <c r="GD8" s="6"/>
      <c r="GE8" s="6"/>
      <c r="GF8" s="6"/>
      <c r="GG8" s="6"/>
      <c r="GH8" s="6"/>
      <c r="GI8" s="6"/>
      <c r="GJ8" s="6"/>
      <c r="GK8" s="6"/>
      <c r="GL8" s="6"/>
      <c r="GM8" s="6"/>
      <c r="GN8" s="6"/>
      <c r="GO8" s="6"/>
      <c r="GP8" s="6"/>
      <c r="GQ8" s="6"/>
      <c r="GR8" s="6"/>
      <c r="GS8" s="6"/>
      <c r="GT8" s="6"/>
      <c r="GU8" s="6"/>
      <c r="GV8" s="6"/>
      <c r="GW8" s="6"/>
      <c r="GX8" s="6"/>
      <c r="GY8" s="6"/>
      <c r="GZ8" s="6"/>
      <c r="HA8" s="6"/>
      <c r="HB8" s="6"/>
      <c r="HC8" s="6"/>
      <c r="HD8" s="6"/>
      <c r="HE8" s="6"/>
      <c r="HF8" s="6"/>
      <c r="HG8" s="6"/>
      <c r="HH8" s="6"/>
      <c r="HI8" s="6"/>
      <c r="HJ8" s="6"/>
      <c r="HK8" s="6"/>
      <c r="HL8" s="6"/>
      <c r="HM8" s="6"/>
      <c r="HN8" s="6"/>
      <c r="HO8" s="6"/>
      <c r="HP8" s="6"/>
      <c r="HQ8" s="6"/>
      <c r="HR8" s="6"/>
      <c r="HS8" s="6"/>
      <c r="HT8" s="6"/>
      <c r="HU8" s="6"/>
      <c r="HV8" s="6"/>
      <c r="HW8" s="6"/>
      <c r="HX8" s="6"/>
      <c r="HY8" s="6"/>
      <c r="HZ8" s="6"/>
      <c r="IA8" s="6"/>
      <c r="IB8" s="6"/>
      <c r="IC8" s="6"/>
      <c r="ID8" s="6"/>
      <c r="IE8" s="6"/>
      <c r="IF8" s="6"/>
      <c r="IG8" s="6"/>
      <c r="IH8" s="6"/>
      <c r="II8" s="6"/>
      <c r="IJ8" s="6"/>
      <c r="IK8" s="6"/>
      <c r="IL8" s="6"/>
      <c r="IM8" s="6"/>
      <c r="IN8" s="6"/>
      <c r="IO8" s="6"/>
      <c r="IP8" s="6"/>
      <c r="IQ8" s="6"/>
      <c r="IR8" s="6"/>
      <c r="IS8" s="6"/>
      <c r="IT8" s="6"/>
      <c r="IU8" s="6"/>
      <c r="IV8" s="6"/>
      <c r="IW8" s="6"/>
      <c r="IX8" s="6"/>
      <c r="IY8" s="6"/>
      <c r="IZ8" s="6"/>
      <c r="JA8" s="6"/>
      <c r="JB8" s="6"/>
      <c r="JC8" s="6"/>
      <c r="JD8" s="6"/>
      <c r="JE8" s="6"/>
      <c r="JF8" s="6"/>
      <c r="JG8" s="6"/>
      <c r="JH8" s="6"/>
      <c r="JI8" s="6"/>
      <c r="JJ8" s="6"/>
      <c r="JK8" s="6"/>
      <c r="JL8" s="6"/>
      <c r="JM8" s="6"/>
      <c r="JN8" s="6"/>
      <c r="JO8" s="6"/>
      <c r="JP8" s="6"/>
      <c r="JQ8" s="6"/>
      <c r="JR8" s="6"/>
      <c r="JS8" s="6"/>
      <c r="JT8" s="6"/>
      <c r="JU8" s="6"/>
      <c r="JV8" s="6"/>
      <c r="JW8" s="6"/>
      <c r="JX8" s="6"/>
      <c r="JY8" s="6"/>
      <c r="JZ8" s="6"/>
      <c r="KA8" s="6"/>
      <c r="KB8" s="6"/>
      <c r="KC8" s="6"/>
      <c r="KD8" s="6"/>
      <c r="KE8" s="6"/>
      <c r="KF8" s="6"/>
      <c r="KG8" s="6"/>
      <c r="KH8" s="6"/>
      <c r="KI8" s="6"/>
      <c r="KJ8" s="6"/>
      <c r="KK8" s="6"/>
      <c r="KL8" s="6"/>
      <c r="KM8" s="6"/>
      <c r="KN8" s="6"/>
      <c r="KO8" s="6"/>
      <c r="KP8" s="6"/>
      <c r="KQ8" s="6"/>
      <c r="KR8" s="6"/>
      <c r="KS8" s="6"/>
      <c r="KT8" s="6"/>
      <c r="KU8" s="6"/>
      <c r="KV8" s="6"/>
      <c r="KW8" s="6"/>
      <c r="KX8" s="6"/>
      <c r="KY8" s="6"/>
      <c r="KZ8" s="6"/>
      <c r="LA8" s="6"/>
      <c r="LB8" s="6"/>
      <c r="LC8" s="6"/>
      <c r="LD8" s="6"/>
      <c r="LE8" s="6"/>
      <c r="LF8" s="6"/>
      <c r="LG8" s="6"/>
      <c r="LH8" s="6"/>
      <c r="LI8" s="6"/>
      <c r="LJ8" s="6"/>
      <c r="LK8" s="6"/>
      <c r="LL8" s="6"/>
      <c r="LM8" s="6"/>
      <c r="LN8" s="6"/>
      <c r="LO8" s="6"/>
      <c r="LP8" s="6"/>
      <c r="LQ8" s="6"/>
      <c r="LR8" s="6"/>
      <c r="LS8" s="6"/>
      <c r="LT8" s="6"/>
      <c r="LU8" s="6"/>
      <c r="LV8" s="6"/>
      <c r="LW8" s="6"/>
      <c r="LX8" s="6"/>
      <c r="LY8" s="6"/>
      <c r="LZ8" s="6"/>
      <c r="MA8" s="6"/>
      <c r="MB8" s="6"/>
      <c r="MC8" s="6"/>
      <c r="MD8" s="6"/>
      <c r="ME8" s="6"/>
      <c r="MF8" s="6"/>
      <c r="MG8" s="6"/>
      <c r="MH8" s="6"/>
      <c r="MI8" s="6"/>
      <c r="MJ8" s="6"/>
      <c r="MK8" s="6"/>
      <c r="ML8" s="6"/>
      <c r="MM8" s="6"/>
      <c r="MN8" s="6"/>
      <c r="MO8" s="6"/>
      <c r="MP8" s="6"/>
      <c r="MQ8" s="6"/>
      <c r="MR8" s="6"/>
      <c r="MS8" s="6"/>
      <c r="MT8" s="6"/>
      <c r="MU8" s="6"/>
      <c r="MV8" s="6"/>
      <c r="MW8" s="6"/>
      <c r="MX8" s="6"/>
      <c r="MY8" s="6"/>
      <c r="MZ8" s="6"/>
      <c r="NA8" s="6"/>
      <c r="NB8" s="6"/>
      <c r="NC8" s="6"/>
      <c r="ND8" s="6"/>
      <c r="NE8" s="6"/>
      <c r="NF8" s="6"/>
      <c r="NG8" s="6"/>
      <c r="NH8" s="6"/>
      <c r="NI8" s="6"/>
      <c r="NJ8" s="6"/>
      <c r="NK8" s="6"/>
      <c r="NL8" s="6"/>
      <c r="NM8" s="6"/>
      <c r="NN8" s="6"/>
      <c r="NO8" s="6"/>
      <c r="NP8" s="6"/>
      <c r="NQ8" s="6"/>
      <c r="NR8" s="6"/>
      <c r="NS8" s="6"/>
      <c r="NT8" s="6"/>
      <c r="NU8" s="6"/>
      <c r="NV8" s="6"/>
      <c r="NW8" s="6"/>
      <c r="NX8" s="6"/>
      <c r="NY8" s="6"/>
      <c r="NZ8" s="6"/>
      <c r="OA8" s="6"/>
      <c r="OB8" s="6"/>
      <c r="OC8" s="6"/>
      <c r="OD8" s="6"/>
      <c r="OE8" s="6"/>
      <c r="OF8" s="6"/>
      <c r="OG8" s="6"/>
      <c r="OH8" s="6"/>
      <c r="OI8" s="6"/>
      <c r="OJ8" s="6"/>
      <c r="OK8" s="6"/>
      <c r="OL8" s="6"/>
      <c r="OM8" s="6"/>
      <c r="ON8" s="6"/>
      <c r="OO8" s="6"/>
      <c r="OP8" s="6"/>
      <c r="OQ8" s="6"/>
      <c r="OR8" s="6"/>
      <c r="OS8" s="6"/>
      <c r="OT8" s="6"/>
      <c r="OU8" s="6"/>
      <c r="OV8" s="6"/>
      <c r="OW8" s="6"/>
      <c r="OX8" s="6"/>
      <c r="OY8" s="6"/>
      <c r="OZ8" s="6"/>
      <c r="PA8" s="6"/>
      <c r="PB8" s="6"/>
      <c r="PC8" s="6"/>
      <c r="PD8" s="6"/>
      <c r="PE8" s="6"/>
      <c r="PF8" s="6"/>
      <c r="PG8" s="6"/>
      <c r="PH8" s="6"/>
      <c r="PI8" s="6"/>
      <c r="PJ8" s="6"/>
      <c r="PK8" s="6"/>
      <c r="PL8" s="6"/>
      <c r="PM8" s="6"/>
      <c r="PN8" s="6"/>
      <c r="PO8" s="6"/>
      <c r="PP8" s="6"/>
      <c r="PQ8" s="6"/>
      <c r="PR8" s="6"/>
      <c r="PS8" s="6"/>
      <c r="PT8" s="6"/>
      <c r="PU8" s="6"/>
      <c r="PV8" s="6"/>
      <c r="PW8" s="6"/>
      <c r="PX8" s="6"/>
      <c r="PY8" s="6"/>
      <c r="PZ8" s="6"/>
      <c r="QA8" s="6"/>
      <c r="QB8" s="6"/>
      <c r="QC8" s="6"/>
      <c r="QD8" s="6"/>
      <c r="QE8" s="6"/>
      <c r="QF8" s="6"/>
      <c r="QG8" s="6"/>
      <c r="QH8" s="6"/>
      <c r="QI8" s="6"/>
      <c r="QJ8" s="6"/>
      <c r="QK8" s="6"/>
      <c r="QL8" s="6"/>
      <c r="QM8" s="6"/>
      <c r="QN8" s="6"/>
      <c r="QO8" s="6"/>
      <c r="QP8" s="6"/>
      <c r="QQ8" s="6"/>
      <c r="QR8" s="6"/>
      <c r="QS8" s="6"/>
      <c r="QT8" s="6"/>
      <c r="QU8" s="6"/>
      <c r="QV8" s="6"/>
      <c r="QW8" s="6"/>
      <c r="QX8" s="6"/>
      <c r="QY8" s="6"/>
      <c r="QZ8" s="6"/>
      <c r="RA8" s="6"/>
      <c r="RB8" s="6"/>
      <c r="RC8" s="6"/>
      <c r="RD8" s="6"/>
      <c r="RE8" s="6"/>
      <c r="RF8" s="6"/>
      <c r="RG8" s="6"/>
      <c r="RH8" s="6"/>
      <c r="RI8" s="6"/>
      <c r="RJ8" s="6"/>
      <c r="RK8" s="6"/>
      <c r="RL8" s="6"/>
      <c r="RM8" s="6"/>
      <c r="RN8" s="6"/>
      <c r="RO8" s="6"/>
      <c r="RP8" s="6"/>
      <c r="RQ8" s="6"/>
      <c r="RR8" s="6"/>
      <c r="RS8" s="6"/>
      <c r="RT8" s="6"/>
      <c r="RU8" s="6"/>
      <c r="RV8" s="6"/>
      <c r="RW8" s="6"/>
      <c r="RX8" s="6"/>
      <c r="RY8" s="6"/>
      <c r="RZ8" s="6"/>
      <c r="SA8" s="6"/>
      <c r="SB8" s="6"/>
      <c r="SC8" s="6"/>
      <c r="SD8" s="6"/>
      <c r="SE8" s="6"/>
      <c r="SF8" s="6"/>
      <c r="SG8" s="6"/>
      <c r="SH8" s="6"/>
      <c r="SI8" s="6"/>
      <c r="SJ8" s="6"/>
      <c r="SK8" s="6"/>
      <c r="SL8" s="6"/>
      <c r="SM8" s="6"/>
      <c r="SN8" s="6"/>
      <c r="SO8" s="6"/>
      <c r="SP8" s="6"/>
      <c r="SQ8" s="6"/>
      <c r="SR8" s="6"/>
      <c r="SS8" s="6"/>
      <c r="ST8" s="6"/>
      <c r="SU8" s="6"/>
      <c r="SV8" s="6"/>
      <c r="SW8" s="6"/>
      <c r="SX8" s="6"/>
      <c r="SY8" s="6"/>
      <c r="SZ8" s="6"/>
      <c r="TA8" s="6"/>
      <c r="TB8" s="6"/>
      <c r="TC8" s="6"/>
      <c r="TD8" s="6"/>
      <c r="TE8" s="6"/>
      <c r="TF8" s="6"/>
      <c r="TG8" s="6"/>
      <c r="TH8" s="6"/>
      <c r="TI8" s="6"/>
      <c r="TJ8" s="6"/>
      <c r="TK8" s="6"/>
      <c r="TL8" s="6"/>
      <c r="TM8" s="6"/>
      <c r="TN8" s="6"/>
      <c r="TO8" s="6"/>
      <c r="TP8" s="6"/>
      <c r="TQ8" s="6"/>
      <c r="TR8" s="6"/>
      <c r="TS8" s="6"/>
      <c r="TT8" s="6"/>
      <c r="TU8" s="6"/>
      <c r="TV8" s="6"/>
      <c r="TW8" s="6"/>
      <c r="TX8" s="6"/>
      <c r="TY8" s="6"/>
      <c r="TZ8" s="6"/>
      <c r="UA8" s="6"/>
      <c r="UB8" s="6"/>
      <c r="UC8" s="6"/>
      <c r="UD8" s="6"/>
      <c r="UE8" s="6"/>
      <c r="UF8" s="6"/>
      <c r="UG8" s="6"/>
      <c r="UH8" s="6"/>
      <c r="UI8" s="6"/>
      <c r="UJ8" s="6"/>
      <c r="UK8" s="6"/>
      <c r="UL8" s="6"/>
      <c r="UM8" s="6"/>
      <c r="UN8" s="6"/>
      <c r="UO8" s="6"/>
      <c r="UP8" s="6"/>
      <c r="UQ8" s="6"/>
      <c r="UR8" s="6"/>
      <c r="US8" s="6"/>
      <c r="UT8" s="6"/>
      <c r="UU8" s="6"/>
      <c r="UV8" s="6"/>
      <c r="UW8" s="6"/>
      <c r="UX8" s="6"/>
      <c r="UY8" s="6"/>
      <c r="UZ8" s="6"/>
      <c r="VA8" s="6"/>
      <c r="VB8" s="6"/>
      <c r="VC8" s="6"/>
      <c r="VD8" s="6"/>
      <c r="VE8" s="6"/>
      <c r="VF8" s="6"/>
      <c r="VG8" s="6"/>
      <c r="VH8" s="6"/>
      <c r="VI8" s="6"/>
      <c r="VJ8" s="6"/>
      <c r="VK8" s="6"/>
      <c r="VL8" s="6"/>
      <c r="VM8" s="6"/>
      <c r="VN8" s="6"/>
      <c r="VO8" s="6"/>
      <c r="VP8" s="6"/>
      <c r="VQ8" s="6"/>
      <c r="VR8" s="6"/>
      <c r="VS8" s="6"/>
      <c r="VT8" s="6"/>
      <c r="VU8" s="6"/>
      <c r="VV8" s="6"/>
      <c r="VW8" s="6"/>
      <c r="VX8" s="6"/>
      <c r="VY8" s="6"/>
      <c r="VZ8" s="6"/>
      <c r="WA8" s="6"/>
      <c r="WB8" s="6"/>
      <c r="WC8" s="6"/>
      <c r="WD8" s="6"/>
      <c r="WE8" s="6"/>
      <c r="WF8" s="6"/>
      <c r="WG8" s="6"/>
      <c r="WH8" s="6"/>
      <c r="WI8" s="6"/>
      <c r="WJ8" s="6"/>
      <c r="WK8" s="6"/>
      <c r="WL8" s="6"/>
      <c r="WM8" s="6"/>
      <c r="WN8" s="6"/>
      <c r="WO8" s="6"/>
      <c r="WP8" s="6"/>
      <c r="WQ8" s="6"/>
      <c r="WR8" s="6"/>
      <c r="WS8" s="6"/>
      <c r="WT8" s="6"/>
      <c r="WU8" s="6"/>
      <c r="WV8" s="6"/>
      <c r="WW8" s="6"/>
      <c r="WX8" s="6"/>
      <c r="WY8" s="6"/>
      <c r="WZ8" s="6"/>
      <c r="XA8" s="6"/>
      <c r="XB8" s="6"/>
      <c r="XC8" s="6"/>
      <c r="XD8" s="6"/>
      <c r="XE8" s="6"/>
      <c r="XF8" s="6"/>
      <c r="XG8" s="6"/>
      <c r="XH8" s="6"/>
      <c r="XI8" s="6"/>
      <c r="XJ8" s="6"/>
      <c r="XK8" s="6"/>
      <c r="XL8" s="6"/>
      <c r="XM8" s="6"/>
      <c r="XN8" s="6"/>
      <c r="XO8" s="6"/>
      <c r="XP8" s="6"/>
      <c r="XQ8" s="6"/>
      <c r="XR8" s="6"/>
      <c r="XS8" s="6"/>
      <c r="XT8" s="6"/>
      <c r="XU8" s="6"/>
      <c r="XV8" s="6"/>
      <c r="XW8" s="6"/>
      <c r="XX8" s="6"/>
      <c r="XY8" s="6"/>
      <c r="XZ8" s="6"/>
      <c r="YA8" s="6"/>
      <c r="YB8" s="6"/>
      <c r="YC8" s="6"/>
      <c r="YD8" s="6"/>
      <c r="YE8" s="6"/>
      <c r="YF8" s="6"/>
      <c r="YG8" s="6"/>
      <c r="YH8" s="6"/>
      <c r="YI8" s="6"/>
      <c r="YJ8" s="6"/>
      <c r="YK8" s="6"/>
      <c r="YL8" s="6"/>
      <c r="YM8" s="6"/>
      <c r="YN8" s="6"/>
      <c r="YO8" s="6"/>
      <c r="YP8" s="6"/>
      <c r="YQ8" s="6"/>
      <c r="YR8" s="6"/>
      <c r="YS8" s="6"/>
      <c r="YT8" s="6"/>
      <c r="YU8" s="6"/>
      <c r="YV8" s="6"/>
      <c r="YW8" s="6"/>
      <c r="YX8" s="6"/>
      <c r="YY8" s="6"/>
      <c r="YZ8" s="6"/>
      <c r="ZA8" s="6"/>
      <c r="ZB8" s="6"/>
      <c r="ZC8" s="6"/>
      <c r="ZD8" s="6"/>
      <c r="ZE8" s="6"/>
      <c r="ZF8" s="6"/>
      <c r="ZG8" s="6"/>
      <c r="ZH8" s="6"/>
      <c r="ZI8" s="6"/>
      <c r="ZJ8" s="6"/>
      <c r="ZK8" s="6"/>
      <c r="ZL8" s="6"/>
      <c r="ZM8" s="6"/>
      <c r="ZN8" s="6"/>
      <c r="ZO8" s="6"/>
      <c r="ZP8" s="6"/>
      <c r="ZQ8" s="6"/>
      <c r="ZR8" s="6"/>
      <c r="ZS8" s="6"/>
      <c r="ZT8" s="6"/>
      <c r="ZU8" s="6"/>
      <c r="ZV8" s="6"/>
      <c r="ZW8" s="6"/>
      <c r="ZX8" s="6"/>
      <c r="ZY8" s="6"/>
      <c r="ZZ8" s="6"/>
      <c r="AAA8" s="6"/>
      <c r="AAB8" s="6"/>
      <c r="AAC8" s="6"/>
      <c r="AAD8" s="6"/>
      <c r="AAE8" s="6"/>
      <c r="AAF8" s="6"/>
      <c r="AAG8" s="6"/>
      <c r="AAH8" s="6"/>
      <c r="AAI8" s="6"/>
      <c r="AAJ8" s="6"/>
      <c r="AAK8" s="6"/>
      <c r="AAL8" s="6"/>
      <c r="AAM8" s="6"/>
      <c r="AAN8" s="6"/>
      <c r="AAO8" s="6"/>
      <c r="AAP8" s="6"/>
      <c r="AAQ8" s="6"/>
      <c r="AAR8" s="6"/>
      <c r="AAS8" s="6"/>
      <c r="AAT8" s="6"/>
      <c r="AAU8" s="6"/>
      <c r="AAV8" s="6"/>
      <c r="AAW8" s="6"/>
      <c r="AAX8" s="6"/>
      <c r="AAY8" s="6"/>
      <c r="AAZ8" s="6"/>
      <c r="ABA8" s="6"/>
      <c r="ABB8" s="6"/>
      <c r="ABC8" s="6"/>
      <c r="ABD8" s="6"/>
      <c r="ABE8" s="6"/>
      <c r="ABF8" s="6"/>
      <c r="ABG8" s="6"/>
      <c r="ABH8" s="6"/>
      <c r="ABI8" s="6"/>
      <c r="ABJ8" s="6"/>
      <c r="ABK8" s="6"/>
      <c r="ABL8" s="6"/>
      <c r="ABM8" s="6"/>
      <c r="ABN8" s="6"/>
      <c r="ABO8" s="6"/>
      <c r="ABP8" s="6"/>
      <c r="ABQ8" s="6"/>
      <c r="ABR8" s="6"/>
      <c r="ABS8" s="6"/>
      <c r="ABT8" s="6"/>
      <c r="ABU8" s="6"/>
      <c r="ABV8" s="6"/>
      <c r="ABW8" s="6"/>
      <c r="ABX8" s="6"/>
      <c r="ABY8" s="6"/>
      <c r="ABZ8" s="6"/>
      <c r="ACA8" s="6"/>
      <c r="ACB8" s="6"/>
      <c r="ACC8" s="6"/>
      <c r="ACD8" s="6"/>
      <c r="ACE8" s="6"/>
      <c r="ACF8" s="6"/>
      <c r="ACG8" s="6"/>
      <c r="ACH8" s="6"/>
      <c r="ACI8" s="6"/>
      <c r="ACJ8" s="6"/>
      <c r="ACK8" s="6"/>
      <c r="ACL8" s="6"/>
      <c r="ACM8" s="6"/>
      <c r="ACN8" s="6"/>
      <c r="ACO8" s="6"/>
      <c r="ACP8" s="6"/>
      <c r="ACQ8" s="6"/>
      <c r="ACR8" s="6"/>
      <c r="ACS8" s="6"/>
      <c r="ACT8" s="6"/>
      <c r="ACU8" s="6"/>
      <c r="ACV8" s="6"/>
      <c r="ACW8" s="6"/>
      <c r="ACX8" s="6"/>
      <c r="ACY8" s="6"/>
      <c r="ACZ8" s="6"/>
      <c r="ADA8" s="6"/>
      <c r="ADB8" s="6"/>
      <c r="ADC8" s="6"/>
      <c r="ADD8" s="6"/>
      <c r="ADE8" s="6"/>
      <c r="ADF8" s="6"/>
      <c r="ADG8" s="6"/>
      <c r="ADH8" s="6"/>
      <c r="ADI8" s="6"/>
      <c r="ADJ8" s="6"/>
      <c r="ADK8" s="6"/>
      <c r="ADL8" s="6"/>
      <c r="ADM8" s="6"/>
      <c r="ADN8" s="6"/>
      <c r="ADO8" s="6"/>
      <c r="ADP8" s="6"/>
      <c r="ADQ8" s="6"/>
      <c r="ADR8" s="6"/>
      <c r="ADS8" s="6"/>
      <c r="ADT8" s="6"/>
      <c r="ADU8" s="6"/>
      <c r="ADV8" s="6"/>
      <c r="ADW8" s="6"/>
      <c r="ADX8" s="6"/>
      <c r="ADY8" s="6"/>
      <c r="ADZ8" s="6"/>
      <c r="AEA8" s="6"/>
      <c r="AEB8" s="6"/>
      <c r="AEC8" s="6"/>
      <c r="AED8" s="6"/>
      <c r="AEE8" s="6"/>
      <c r="AEF8" s="6"/>
      <c r="AEG8" s="6"/>
      <c r="AEH8" s="6"/>
      <c r="AEI8" s="6"/>
      <c r="AEJ8" s="6"/>
      <c r="AEK8" s="6"/>
      <c r="AEL8" s="6"/>
      <c r="AEM8" s="6"/>
      <c r="AEN8" s="6"/>
      <c r="AEO8" s="6"/>
      <c r="AEP8" s="6"/>
      <c r="AEQ8" s="6"/>
      <c r="AER8" s="6"/>
      <c r="AES8" s="6"/>
      <c r="AET8" s="6"/>
      <c r="AEU8" s="6"/>
      <c r="AEV8" s="6"/>
      <c r="AEW8" s="6"/>
      <c r="AEX8" s="6"/>
      <c r="AEY8" s="6"/>
      <c r="AEZ8" s="6"/>
      <c r="AFA8" s="6"/>
      <c r="AFB8" s="6"/>
      <c r="AFC8" s="6"/>
      <c r="AFD8" s="6"/>
      <c r="AFE8" s="6"/>
      <c r="AFF8" s="6"/>
      <c r="AFG8" s="6"/>
      <c r="AFH8" s="6"/>
      <c r="AFI8" s="6"/>
      <c r="AFJ8" s="6"/>
      <c r="AFK8" s="6"/>
      <c r="AFL8" s="6"/>
      <c r="AFM8" s="6"/>
      <c r="AFN8" s="6"/>
      <c r="AFO8" s="6"/>
      <c r="AFP8" s="6"/>
      <c r="AFQ8" s="6"/>
      <c r="AFR8" s="6"/>
      <c r="AFS8" s="6"/>
      <c r="AFT8" s="6"/>
      <c r="AFU8" s="6"/>
      <c r="AFV8" s="6"/>
      <c r="AFW8" s="6"/>
      <c r="AFX8" s="6"/>
      <c r="AFY8" s="6"/>
      <c r="AFZ8" s="6"/>
      <c r="AGA8" s="6"/>
      <c r="AGB8" s="6"/>
      <c r="AGC8" s="6"/>
      <c r="AGD8" s="6"/>
      <c r="AGE8" s="6"/>
      <c r="AGF8" s="6"/>
      <c r="AGG8" s="6"/>
      <c r="AGH8" s="6"/>
      <c r="AGI8" s="6"/>
      <c r="AGJ8" s="6"/>
      <c r="AGK8" s="6"/>
      <c r="AGL8" s="6"/>
      <c r="AGM8" s="6"/>
      <c r="AGN8" s="6"/>
      <c r="AGO8" s="6"/>
      <c r="AGP8" s="6"/>
      <c r="AGQ8" s="6"/>
      <c r="AGR8" s="6"/>
      <c r="AGS8" s="6"/>
      <c r="AGT8" s="6"/>
      <c r="AGU8" s="6"/>
      <c r="AGV8" s="6"/>
      <c r="AGW8" s="6"/>
      <c r="AGX8" s="6"/>
      <c r="AGY8" s="6"/>
      <c r="AGZ8" s="6"/>
      <c r="AHA8" s="6"/>
      <c r="AHB8" s="6"/>
      <c r="AHC8" s="6"/>
      <c r="AHD8" s="6"/>
      <c r="AHE8" s="6"/>
      <c r="AHF8" s="6"/>
      <c r="AHG8" s="6"/>
      <c r="AHH8" s="6"/>
      <c r="AHI8" s="6"/>
      <c r="AHJ8" s="6"/>
      <c r="AHK8" s="6"/>
      <c r="AHL8" s="6"/>
      <c r="AHM8" s="6"/>
      <c r="AHN8" s="6"/>
      <c r="AHO8" s="6"/>
      <c r="AHP8" s="6"/>
      <c r="AHQ8" s="6"/>
      <c r="AHR8" s="6"/>
      <c r="AHS8" s="6"/>
      <c r="AHT8" s="6"/>
      <c r="AHU8" s="6"/>
      <c r="AHV8" s="6"/>
      <c r="AHW8" s="6"/>
      <c r="AHX8" s="6"/>
      <c r="AHY8" s="6"/>
      <c r="AHZ8" s="6"/>
      <c r="AIA8" s="6"/>
      <c r="AIB8" s="6"/>
      <c r="AIC8" s="6"/>
      <c r="AID8" s="6"/>
      <c r="AIE8" s="6"/>
      <c r="AIF8" s="6"/>
      <c r="AIG8" s="6"/>
      <c r="AIH8" s="6"/>
      <c r="AII8" s="6"/>
      <c r="AIJ8" s="6"/>
      <c r="AIK8" s="6"/>
      <c r="AIL8" s="6"/>
      <c r="AIM8" s="6"/>
      <c r="AIN8" s="6"/>
      <c r="AIO8" s="6"/>
      <c r="AIP8" s="6"/>
      <c r="AIQ8" s="6"/>
      <c r="AIR8" s="6"/>
      <c r="AIS8" s="6"/>
      <c r="AIT8" s="6"/>
      <c r="AIU8" s="6"/>
      <c r="AIV8" s="6"/>
      <c r="AIW8" s="6"/>
      <c r="AIX8" s="6"/>
      <c r="AIY8" s="6"/>
      <c r="AIZ8" s="6"/>
      <c r="AJA8" s="6"/>
      <c r="AJB8" s="6"/>
      <c r="AJC8" s="6"/>
      <c r="AJD8" s="6"/>
      <c r="AJE8" s="6"/>
      <c r="AJF8" s="6"/>
      <c r="AJG8" s="6"/>
      <c r="AJH8" s="6"/>
      <c r="AJI8" s="6"/>
      <c r="AJJ8" s="6"/>
      <c r="AJK8" s="6"/>
      <c r="AJL8" s="6"/>
      <c r="AJM8" s="6"/>
      <c r="AJN8" s="6"/>
      <c r="AJO8" s="6"/>
      <c r="AJP8" s="6"/>
      <c r="AJQ8" s="6"/>
      <c r="AJR8" s="6"/>
      <c r="AJS8" s="6"/>
      <c r="AJT8" s="6"/>
      <c r="AJU8" s="6"/>
      <c r="AJV8" s="6"/>
      <c r="AJW8" s="6"/>
      <c r="AJX8" s="6"/>
      <c r="AJY8" s="6"/>
      <c r="AJZ8" s="6"/>
      <c r="AKA8" s="6"/>
      <c r="AKB8" s="6"/>
      <c r="AKC8" s="6"/>
      <c r="AKD8" s="6"/>
      <c r="AKE8" s="6"/>
      <c r="AKF8" s="6"/>
      <c r="AKG8" s="6"/>
      <c r="AKH8" s="6"/>
      <c r="AKI8" s="6"/>
      <c r="AKJ8" s="6"/>
      <c r="AKK8" s="6"/>
      <c r="AKL8" s="6"/>
      <c r="AKM8" s="6"/>
      <c r="AKN8" s="6"/>
      <c r="AKO8" s="6"/>
      <c r="AKP8" s="6"/>
      <c r="AKQ8" s="6"/>
      <c r="AKR8" s="6"/>
      <c r="AKS8" s="6"/>
      <c r="AKT8" s="6"/>
      <c r="AKU8" s="6"/>
      <c r="AKV8" s="6"/>
      <c r="AKW8" s="6"/>
      <c r="AKX8" s="6"/>
      <c r="AKY8" s="6"/>
      <c r="AKZ8" s="6"/>
      <c r="ALA8" s="6"/>
      <c r="ALB8" s="6"/>
      <c r="ALC8" s="6"/>
      <c r="ALD8" s="6"/>
      <c r="ALE8" s="6"/>
      <c r="ALF8" s="6"/>
      <c r="ALG8" s="6"/>
      <c r="ALH8" s="6"/>
      <c r="ALI8" s="6"/>
      <c r="ALJ8" s="6"/>
      <c r="ALK8" s="6"/>
      <c r="ALL8" s="6"/>
      <c r="ALM8" s="6"/>
      <c r="ALN8" s="6"/>
      <c r="ALO8" s="6"/>
      <c r="ALP8" s="6"/>
      <c r="ALQ8" s="6"/>
      <c r="ALR8" s="6"/>
      <c r="ALS8" s="6"/>
      <c r="ALT8" s="6"/>
      <c r="ALU8" s="6"/>
      <c r="ALV8" s="6"/>
      <c r="ALW8" s="6"/>
      <c r="ALX8" s="6"/>
      <c r="ALY8" s="6"/>
      <c r="ALZ8" s="6"/>
      <c r="AMA8" s="6"/>
      <c r="AMB8" s="6"/>
      <c r="AMC8" s="6"/>
      <c r="AMD8" s="6"/>
      <c r="AME8" s="6"/>
      <c r="AMF8" s="6"/>
      <c r="AMG8" s="6"/>
      <c r="AMH8" s="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5" customWidth="1"/>
    <col min="2" max="2" width="12" style="5" customWidth="1"/>
    <col min="3" max="4" width="20.33203125" style="5" customWidth="1"/>
    <col min="5" max="5" width="5.1640625" style="5" customWidth="1"/>
    <col min="6" max="6" width="23.83203125" style="5" customWidth="1"/>
    <col min="7" max="7" width="15.6640625" style="5" customWidth="1"/>
    <col min="8" max="8" width="18.83203125" style="5" customWidth="1"/>
    <col min="9" max="9" width="21.5" style="5" customWidth="1"/>
    <col min="10" max="10" width="33" style="5" customWidth="1"/>
    <col min="11" max="11" width="8.5" style="5" customWidth="1"/>
    <col min="12" max="12" width="79" style="5" customWidth="1"/>
    <col min="13" max="13" width="15.1640625" style="5" customWidth="1"/>
    <col min="14" max="15" width="35.1640625" style="5" customWidth="1"/>
    <col min="16" max="1024" width="11.5" style="5"/>
  </cols>
  <sheetData>
    <row r="1" spans="1:15" s="8" customFormat="1" x14ac:dyDescent="0.15">
      <c r="A1" s="8" t="s">
        <v>2434</v>
      </c>
      <c r="B1" s="8" t="s">
        <v>2435</v>
      </c>
      <c r="C1" s="8" t="s">
        <v>2436</v>
      </c>
      <c r="D1" s="8" t="s">
        <v>2437</v>
      </c>
      <c r="E1" s="8" t="s">
        <v>2438</v>
      </c>
      <c r="F1" s="8" t="s">
        <v>2439</v>
      </c>
      <c r="G1" s="8" t="s">
        <v>2440</v>
      </c>
      <c r="H1" s="8" t="s">
        <v>2441</v>
      </c>
      <c r="I1" s="8" t="s">
        <v>2442</v>
      </c>
      <c r="J1" s="8" t="s">
        <v>2443</v>
      </c>
      <c r="K1" s="8" t="s">
        <v>2444</v>
      </c>
      <c r="L1" s="8" t="s">
        <v>2445</v>
      </c>
      <c r="M1" s="8" t="s">
        <v>2446</v>
      </c>
      <c r="N1" s="8" t="s">
        <v>2447</v>
      </c>
      <c r="O1" s="8" t="s">
        <v>2448</v>
      </c>
    </row>
    <row r="2" spans="1:15" x14ac:dyDescent="0.15">
      <c r="A2" s="9" t="s">
        <v>17</v>
      </c>
      <c r="B2" s="9"/>
      <c r="C2" s="5" t="s">
        <v>258</v>
      </c>
      <c r="D2" s="5" t="s">
        <v>259</v>
      </c>
      <c r="E2" s="5" t="s">
        <v>13</v>
      </c>
      <c r="F2" s="5" t="s">
        <v>20</v>
      </c>
      <c r="G2" s="5" t="s">
        <v>2449</v>
      </c>
      <c r="H2" s="5" t="str">
        <f t="shared" ref="H2:H65" si="0">"att_"&amp;G2</f>
        <v>att_acquisition</v>
      </c>
      <c r="I2" s="5" t="s">
        <v>258</v>
      </c>
      <c r="J2" s="5" t="str">
        <f t="shared" ref="J2:J65" si="1">H2&amp;":"&amp;I2</f>
        <v>att_acquisition:dda</v>
      </c>
      <c r="K2" s="9" t="s">
        <v>17</v>
      </c>
      <c r="L2" s="5" t="s">
        <v>260</v>
      </c>
      <c r="M2" s="5" t="s">
        <v>13</v>
      </c>
      <c r="N2" s="5"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5"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9" t="s">
        <v>17</v>
      </c>
      <c r="B3" s="9"/>
      <c r="C3" s="5" t="s">
        <v>261</v>
      </c>
      <c r="D3" s="5" t="s">
        <v>262</v>
      </c>
      <c r="E3" s="5" t="s">
        <v>13</v>
      </c>
      <c r="F3" s="5" t="s">
        <v>20</v>
      </c>
      <c r="G3" s="5" t="s">
        <v>2449</v>
      </c>
      <c r="H3" s="5" t="str">
        <f t="shared" si="0"/>
        <v>att_acquisition</v>
      </c>
      <c r="I3" s="5" t="s">
        <v>261</v>
      </c>
      <c r="J3" s="5" t="str">
        <f t="shared" si="1"/>
        <v>att_acquisition:dia</v>
      </c>
      <c r="K3" s="9" t="s">
        <v>17</v>
      </c>
      <c r="L3" s="5" t="s">
        <v>263</v>
      </c>
      <c r="M3" s="5" t="s">
        <v>13</v>
      </c>
      <c r="N3" s="5" t="str">
        <f t="shared" si="2"/>
        <v>INSERT INTO attributes (parent_id, tag, name, priority, allow_as_filter, allow_for_dataset, allow_for_measurement, allow_for_users, allow_for_qc) VALUES (NULL, 'att_acquisition',  'Acquisition',  500,  TRUE, TRUE, TRUE, FALSE, FALSE);</v>
      </c>
      <c r="O3" s="5" t="str">
        <f t="shared" si="3"/>
        <v xml:space="preserve">INSERT INTO attribute_values (attribute_id, tag, name, details) VALUES ((SELECT id FROM attributes WHERE tag = 'att_acquisition' LIMIT 1),  'att_acquisition:dia',  'DIA',  'Data-independent acquisition'); </v>
      </c>
    </row>
    <row r="4" spans="1:15" x14ac:dyDescent="0.15">
      <c r="A4" s="9" t="s">
        <v>17</v>
      </c>
      <c r="B4" s="9"/>
      <c r="C4" s="5" t="s">
        <v>264</v>
      </c>
      <c r="D4" s="5" t="s">
        <v>265</v>
      </c>
      <c r="E4" s="5" t="s">
        <v>13</v>
      </c>
      <c r="F4" s="5" t="s">
        <v>20</v>
      </c>
      <c r="G4" s="5" t="s">
        <v>2449</v>
      </c>
      <c r="H4" s="5" t="str">
        <f t="shared" si="0"/>
        <v>att_acquisition</v>
      </c>
      <c r="I4" s="5" t="s">
        <v>264</v>
      </c>
      <c r="J4" s="5" t="str">
        <f t="shared" si="1"/>
        <v>att_acquisition:srm</v>
      </c>
      <c r="K4" s="9" t="s">
        <v>17</v>
      </c>
      <c r="L4" s="5" t="s">
        <v>266</v>
      </c>
      <c r="M4" s="5" t="s">
        <v>13</v>
      </c>
      <c r="N4" s="5" t="str">
        <f t="shared" si="2"/>
        <v>INSERT INTO attributes (parent_id, tag, name, priority, allow_as_filter, allow_for_dataset, allow_for_measurement, allow_for_users, allow_for_qc) VALUES (NULL, 'att_acquisition',  'Acquisition',  500,  TRUE, TRUE, TRUE, FALSE, FALSE);</v>
      </c>
      <c r="O4" s="5"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0" t="b">
        <f>FALSE()</f>
        <v>0</v>
      </c>
      <c r="B5" s="10"/>
      <c r="C5" s="5" t="s">
        <v>2450</v>
      </c>
      <c r="D5" s="5" t="s">
        <v>284</v>
      </c>
      <c r="E5" s="5" t="s">
        <v>13</v>
      </c>
      <c r="F5" s="5" t="s">
        <v>2451</v>
      </c>
      <c r="G5" s="5" t="s">
        <v>2452</v>
      </c>
      <c r="H5" s="5" t="str">
        <f t="shared" si="0"/>
        <v>att_animal_model</v>
      </c>
      <c r="I5" s="5" t="s">
        <v>282</v>
      </c>
      <c r="J5" s="5" t="str">
        <f t="shared" si="1"/>
        <v>att_animal_model:adipoq_cre</v>
      </c>
      <c r="K5" s="9" t="s">
        <v>17</v>
      </c>
      <c r="L5" s="5" t="s">
        <v>285</v>
      </c>
      <c r="M5" s="5" t="s">
        <v>13</v>
      </c>
      <c r="N5" s="5" t="str">
        <f t="shared" si="2"/>
        <v>INSERT INTO attributes (parent_id, tag, name, priority, allow_as_filter, allow_for_dataset, allow_for_measurement, allow_for_users, allow_for_qc) VALUES (NULL, 'att_animal_model',  'Animal Model',  500,  TRUE, TRUE, TRUE, FALSE, FALSE);</v>
      </c>
      <c r="O5" s="5" t="str">
        <f t="shared" si="3"/>
        <v xml:space="preserve">INSERT INTO attribute_values (attribute_id, tag, name, details) VALUES ((SELECT id FROM attributes WHERE tag = 'att_animal_model' LIMIT 1),  'att_animal_model:adipoq_cre',  'Adipoq-Cre',  'white adipose tissue'); </v>
      </c>
    </row>
    <row r="6" spans="1:15" x14ac:dyDescent="0.15">
      <c r="A6" s="10" t="b">
        <f>FALSE()</f>
        <v>0</v>
      </c>
      <c r="B6" s="10"/>
      <c r="C6" s="5" t="s">
        <v>2453</v>
      </c>
      <c r="D6" s="5" t="s">
        <v>287</v>
      </c>
      <c r="E6" s="5" t="s">
        <v>13</v>
      </c>
      <c r="F6" s="5" t="s">
        <v>2451</v>
      </c>
      <c r="G6" s="5" t="s">
        <v>2452</v>
      </c>
      <c r="H6" s="5" t="str">
        <f t="shared" si="0"/>
        <v>att_animal_model</v>
      </c>
      <c r="I6" s="5" t="s">
        <v>286</v>
      </c>
      <c r="J6" s="5" t="str">
        <f t="shared" si="1"/>
        <v>att_animal_model:alb_cre</v>
      </c>
      <c r="K6" s="9" t="s">
        <v>17</v>
      </c>
      <c r="L6" s="5" t="s">
        <v>288</v>
      </c>
      <c r="M6" s="5" t="s">
        <v>13</v>
      </c>
      <c r="N6" s="5" t="str">
        <f t="shared" si="2"/>
        <v>INSERT INTO attributes (parent_id, tag, name, priority, allow_as_filter, allow_for_dataset, allow_for_measurement, allow_for_users, allow_for_qc) VALUES (NULL, 'att_animal_model',  'Animal Model',  500,  TRUE, TRUE, TRUE, FALSE, FALSE);</v>
      </c>
      <c r="O6" s="5" t="str">
        <f t="shared" si="3"/>
        <v xml:space="preserve">INSERT INTO attribute_values (attribute_id, tag, name, details) VALUES ((SELECT id FROM attributes WHERE tag = 'att_animal_model' LIMIT 1),  'att_animal_model:alb_cre',  'Alb-Cre',  'Hepatocytes'); </v>
      </c>
    </row>
    <row r="7" spans="1:15" x14ac:dyDescent="0.15">
      <c r="A7" s="10" t="b">
        <f>FALSE()</f>
        <v>0</v>
      </c>
      <c r="B7" s="10"/>
      <c r="C7" s="5" t="s">
        <v>2454</v>
      </c>
      <c r="D7" s="5" t="s">
        <v>290</v>
      </c>
      <c r="E7" s="5" t="s">
        <v>13</v>
      </c>
      <c r="F7" s="5" t="s">
        <v>2451</v>
      </c>
      <c r="G7" s="5" t="s">
        <v>2452</v>
      </c>
      <c r="H7" s="5" t="str">
        <f t="shared" si="0"/>
        <v>att_animal_model</v>
      </c>
      <c r="I7" s="5" t="s">
        <v>289</v>
      </c>
      <c r="J7" s="5" t="str">
        <f t="shared" si="1"/>
        <v>att_animal_model:asc_ko</v>
      </c>
      <c r="K7" s="9" t="s">
        <v>17</v>
      </c>
      <c r="L7" s="5" t="s">
        <v>290</v>
      </c>
      <c r="M7" s="5" t="s">
        <v>13</v>
      </c>
      <c r="N7" s="5" t="str">
        <f t="shared" si="2"/>
        <v>INSERT INTO attributes (parent_id, tag, name, priority, allow_as_filter, allow_for_dataset, allow_for_measurement, allow_for_users, allow_for_qc) VALUES (NULL, 'att_animal_model',  'Animal Model',  500,  TRUE, TRUE, TRUE, FALSE, FALSE);</v>
      </c>
      <c r="O7" s="5" t="str">
        <f t="shared" si="3"/>
        <v xml:space="preserve">INSERT INTO attribute_values (attribute_id, tag, name, details) VALUES ((SELECT id FROM attributes WHERE tag = 'att_animal_model' LIMIT 1),  'att_animal_model:asc_ko',  'ASC ko',  'ASC ko'); </v>
      </c>
    </row>
    <row r="8" spans="1:15" x14ac:dyDescent="0.15">
      <c r="A8" s="10" t="b">
        <f>FALSE()</f>
        <v>0</v>
      </c>
      <c r="B8" s="10"/>
      <c r="C8" s="5" t="s">
        <v>2455</v>
      </c>
      <c r="D8" s="5" t="s">
        <v>292</v>
      </c>
      <c r="E8" s="5" t="s">
        <v>13</v>
      </c>
      <c r="F8" s="5" t="s">
        <v>2451</v>
      </c>
      <c r="G8" s="5" t="s">
        <v>2452</v>
      </c>
      <c r="H8" s="5" t="str">
        <f t="shared" si="0"/>
        <v>att_animal_model</v>
      </c>
      <c r="I8" s="5" t="s">
        <v>291</v>
      </c>
      <c r="J8" s="5" t="str">
        <f t="shared" si="1"/>
        <v>att_animal_model:baf53b_cre</v>
      </c>
      <c r="K8" s="9" t="s">
        <v>17</v>
      </c>
      <c r="L8" s="5" t="s">
        <v>293</v>
      </c>
      <c r="M8" s="5" t="s">
        <v>13</v>
      </c>
      <c r="N8" s="5" t="str">
        <f t="shared" si="2"/>
        <v>INSERT INTO attributes (parent_id, tag, name, priority, allow_as_filter, allow_for_dataset, allow_for_measurement, allow_for_users, allow_for_qc) VALUES (NULL, 'att_animal_model',  'Animal Model',  500,  TRUE, TRUE, TRUE, FALSE, FALSE);</v>
      </c>
      <c r="O8" s="5" t="str">
        <f t="shared" si="3"/>
        <v xml:space="preserve">INSERT INTO attribute_values (attribute_id, tag, name, details) VALUES ((SELECT id FROM attributes WHERE tag = 'att_animal_model' LIMIT 1),  'att_animal_model:baf53b_cre',  'Baf53b-Cre',  'Neurons'); </v>
      </c>
    </row>
    <row r="9" spans="1:15" x14ac:dyDescent="0.15">
      <c r="A9" s="10" t="b">
        <f>FALSE()</f>
        <v>0</v>
      </c>
      <c r="B9" s="10"/>
      <c r="C9" s="5" t="s">
        <v>2456</v>
      </c>
      <c r="D9" s="5" t="s">
        <v>295</v>
      </c>
      <c r="E9" s="5" t="s">
        <v>13</v>
      </c>
      <c r="F9" s="5" t="s">
        <v>2451</v>
      </c>
      <c r="G9" s="5" t="s">
        <v>2452</v>
      </c>
      <c r="H9" s="5" t="str">
        <f t="shared" si="0"/>
        <v>att_animal_model</v>
      </c>
      <c r="I9" s="5" t="s">
        <v>294</v>
      </c>
      <c r="J9" s="5" t="str">
        <f t="shared" si="1"/>
        <v>att_animal_model:c57_bl6j</v>
      </c>
      <c r="K9" s="9" t="s">
        <v>17</v>
      </c>
      <c r="L9" s="5" t="s">
        <v>295</v>
      </c>
      <c r="M9" s="5" t="s">
        <v>13</v>
      </c>
      <c r="N9" s="5" t="str">
        <f t="shared" si="2"/>
        <v>INSERT INTO attributes (parent_id, tag, name, priority, allow_as_filter, allow_for_dataset, allow_for_measurement, allow_for_users, allow_for_qc) VALUES (NULL, 'att_animal_model',  'Animal Model',  500,  TRUE, TRUE, TRUE, FALSE, FALSE);</v>
      </c>
      <c r="O9" s="5" t="str">
        <f t="shared" si="3"/>
        <v xml:space="preserve">INSERT INTO attribute_values (attribute_id, tag, name, details) VALUES ((SELECT id FROM attributes WHERE tag = 'att_animal_model' LIMIT 1),  'att_animal_model:c57_bl6j',  'C57/Bl6J',  'C57/Bl6J'); </v>
      </c>
    </row>
    <row r="10" spans="1:15" x14ac:dyDescent="0.15">
      <c r="A10" s="10" t="b">
        <f>FALSE()</f>
        <v>0</v>
      </c>
      <c r="B10" s="10"/>
      <c r="C10" s="5" t="s">
        <v>2457</v>
      </c>
      <c r="D10" s="5" t="s">
        <v>297</v>
      </c>
      <c r="E10" s="5" t="s">
        <v>13</v>
      </c>
      <c r="F10" s="5" t="s">
        <v>2451</v>
      </c>
      <c r="G10" s="5" t="s">
        <v>2452</v>
      </c>
      <c r="H10" s="5" t="str">
        <f t="shared" si="0"/>
        <v>att_animal_model</v>
      </c>
      <c r="I10" s="5" t="s">
        <v>296</v>
      </c>
      <c r="J10" s="5" t="str">
        <f t="shared" si="1"/>
        <v>att_animal_model:clec4f_cre</v>
      </c>
      <c r="K10" s="9" t="s">
        <v>17</v>
      </c>
      <c r="L10" s="5" t="s">
        <v>298</v>
      </c>
      <c r="M10" s="5" t="s">
        <v>13</v>
      </c>
      <c r="N10" s="5" t="str">
        <f t="shared" si="2"/>
        <v>INSERT INTO attributes (parent_id, tag, name, priority, allow_as_filter, allow_for_dataset, allow_for_measurement, allow_for_users, allow_for_qc) VALUES (NULL, 'att_animal_model',  'Animal Model',  500,  TRUE, TRUE, TRUE, FALSE, FALSE);</v>
      </c>
      <c r="O10" s="5" t="str">
        <f t="shared" si="3"/>
        <v xml:space="preserve">INSERT INTO attribute_values (attribute_id, tag, name, details) VALUES ((SELECT id FROM attributes WHERE tag = 'att_animal_model' LIMIT 1),  'att_animal_model:clec4f_cre',  'Clec4f-Cre',  'Kupffer cells'); </v>
      </c>
    </row>
    <row r="11" spans="1:15" x14ac:dyDescent="0.15">
      <c r="A11" s="10" t="b">
        <f>FALSE()</f>
        <v>0</v>
      </c>
      <c r="B11" s="10"/>
      <c r="C11" s="5" t="s">
        <v>2458</v>
      </c>
      <c r="D11" s="5" t="s">
        <v>300</v>
      </c>
      <c r="E11" s="5" t="s">
        <v>13</v>
      </c>
      <c r="F11" s="5" t="s">
        <v>2451</v>
      </c>
      <c r="G11" s="5" t="s">
        <v>2452</v>
      </c>
      <c r="H11" s="5" t="str">
        <f t="shared" si="0"/>
        <v>att_animal_model</v>
      </c>
      <c r="I11" s="5" t="s">
        <v>299</v>
      </c>
      <c r="J11" s="5" t="str">
        <f t="shared" si="1"/>
        <v>att_animal_model:cx3cr1_cre</v>
      </c>
      <c r="K11" s="9" t="s">
        <v>17</v>
      </c>
      <c r="L11" s="5" t="s">
        <v>301</v>
      </c>
      <c r="M11" s="5" t="s">
        <v>13</v>
      </c>
      <c r="N11" s="5" t="str">
        <f t="shared" si="2"/>
        <v>INSERT INTO attributes (parent_id, tag, name, priority, allow_as_filter, allow_for_dataset, allow_for_measurement, allow_for_users, allow_for_qc) VALUES (NULL, 'att_animal_model',  'Animal Model',  500,  TRUE, TRUE, TRUE, FALSE, FALSE);</v>
      </c>
      <c r="O11" s="5" t="str">
        <f t="shared" si="3"/>
        <v xml:space="preserve">INSERT INTO attribute_values (attribute_id, tag, name, details) VALUES ((SELECT id FROM attributes WHERE tag = 'att_animal_model' LIMIT 1),  'att_animal_model:cx3cr1_cre',  'Cx3cr1-Cre',  '(Yalk sac) Macrophages'); </v>
      </c>
    </row>
    <row r="12" spans="1:15" x14ac:dyDescent="0.15">
      <c r="A12" s="10" t="b">
        <f>FALSE()</f>
        <v>0</v>
      </c>
      <c r="B12" s="10"/>
      <c r="C12" s="5" t="s">
        <v>302</v>
      </c>
      <c r="D12" s="5" t="s">
        <v>303</v>
      </c>
      <c r="E12" s="5" t="s">
        <v>13</v>
      </c>
      <c r="F12" s="5" t="s">
        <v>2451</v>
      </c>
      <c r="G12" s="5" t="s">
        <v>2452</v>
      </c>
      <c r="H12" s="5" t="str">
        <f t="shared" si="0"/>
        <v>att_animal_model</v>
      </c>
      <c r="I12" s="5" t="s">
        <v>302</v>
      </c>
      <c r="J12" s="5" t="str">
        <f t="shared" si="1"/>
        <v>att_animal_model:cxcr4creert2</v>
      </c>
      <c r="K12" s="9" t="s">
        <v>17</v>
      </c>
      <c r="L12" s="5" t="s">
        <v>303</v>
      </c>
      <c r="M12" s="5" t="s">
        <v>13</v>
      </c>
      <c r="N12" s="5" t="str">
        <f t="shared" si="2"/>
        <v>INSERT INTO attributes (parent_id, tag, name, priority, allow_as_filter, allow_for_dataset, allow_for_measurement, allow_for_users, allow_for_qc) VALUES (NULL, 'att_animal_model',  'Animal Model',  500,  TRUE, TRUE, TRUE, FALSE, FALSE);</v>
      </c>
      <c r="O12" s="5" t="str">
        <f t="shared" si="3"/>
        <v xml:space="preserve">INSERT INTO attribute_values (attribute_id, tag, name, details) VALUES ((SELECT id FROM attributes WHERE tag = 'att_animal_model' LIMIT 1),  'att_animal_model:cxcr4creert2',  'Cxcr4CreERT2',  'Cxcr4CreERT2'); </v>
      </c>
    </row>
    <row r="13" spans="1:15" x14ac:dyDescent="0.15">
      <c r="A13" s="10" t="b">
        <f>FALSE()</f>
        <v>0</v>
      </c>
      <c r="B13" s="10"/>
      <c r="C13" s="5" t="s">
        <v>2459</v>
      </c>
      <c r="D13" s="5" t="s">
        <v>305</v>
      </c>
      <c r="E13" s="5" t="s">
        <v>13</v>
      </c>
      <c r="F13" s="5" t="s">
        <v>2451</v>
      </c>
      <c r="G13" s="5" t="s">
        <v>2452</v>
      </c>
      <c r="H13" s="5" t="str">
        <f t="shared" si="0"/>
        <v>att_animal_model</v>
      </c>
      <c r="I13" s="5" t="s">
        <v>304</v>
      </c>
      <c r="J13" s="5" t="str">
        <f t="shared" si="1"/>
        <v>att_animal_model:glast_cre</v>
      </c>
      <c r="K13" s="9" t="s">
        <v>17</v>
      </c>
      <c r="L13" s="5" t="s">
        <v>306</v>
      </c>
      <c r="M13" s="5" t="s">
        <v>13</v>
      </c>
      <c r="N13" s="5" t="str">
        <f t="shared" si="2"/>
        <v>INSERT INTO attributes (parent_id, tag, name, priority, allow_as_filter, allow_for_dataset, allow_for_measurement, allow_for_users, allow_for_qc) VALUES (NULL, 'att_animal_model',  'Animal Model',  500,  TRUE, TRUE, TRUE, FALSE, FALSE);</v>
      </c>
      <c r="O13" s="5" t="str">
        <f t="shared" si="3"/>
        <v xml:space="preserve">INSERT INTO attribute_values (attribute_id, tag, name, details) VALUES ((SELECT id FROM attributes WHERE tag = 'att_animal_model' LIMIT 1),  'att_animal_model:glast_cre',  'Glast-Cre',  'Astrocytes'); </v>
      </c>
    </row>
    <row r="14" spans="1:15" x14ac:dyDescent="0.15">
      <c r="A14" s="10" t="b">
        <f>FALSE()</f>
        <v>0</v>
      </c>
      <c r="B14" s="10"/>
      <c r="C14" s="5" t="s">
        <v>2460</v>
      </c>
      <c r="D14" s="5" t="s">
        <v>308</v>
      </c>
      <c r="E14" s="5" t="s">
        <v>13</v>
      </c>
      <c r="F14" s="5" t="s">
        <v>2451</v>
      </c>
      <c r="G14" s="5" t="s">
        <v>2452</v>
      </c>
      <c r="H14" s="5" t="str">
        <f t="shared" si="0"/>
        <v>att_animal_model</v>
      </c>
      <c r="I14" s="5" t="s">
        <v>307</v>
      </c>
      <c r="J14" s="5" t="str">
        <f t="shared" si="1"/>
        <v>att_animal_model:lrat_cre</v>
      </c>
      <c r="K14" s="9" t="s">
        <v>17</v>
      </c>
      <c r="L14" s="5" t="s">
        <v>309</v>
      </c>
      <c r="M14" s="5" t="s">
        <v>13</v>
      </c>
      <c r="N14" s="5" t="str">
        <f t="shared" si="2"/>
        <v>INSERT INTO attributes (parent_id, tag, name, priority, allow_as_filter, allow_for_dataset, allow_for_measurement, allow_for_users, allow_for_qc) VALUES (NULL, 'att_animal_model',  'Animal Model',  500,  TRUE, TRUE, TRUE, FALSE, FALSE);</v>
      </c>
      <c r="O14" s="5" t="str">
        <f t="shared" si="3"/>
        <v xml:space="preserve">INSERT INTO attribute_values (attribute_id, tag, name, details) VALUES ((SELECT id FROM attributes WHERE tag = 'att_animal_model' LIMIT 1),  'att_animal_model:lrat_cre',  'Lrat-Cre',  'Hepatic stellate cells'); </v>
      </c>
    </row>
    <row r="15" spans="1:15" x14ac:dyDescent="0.15">
      <c r="A15" s="10" t="b">
        <f>FALSE()</f>
        <v>0</v>
      </c>
      <c r="B15" s="10"/>
      <c r="C15" s="5" t="s">
        <v>2461</v>
      </c>
      <c r="D15" s="5" t="s">
        <v>311</v>
      </c>
      <c r="E15" s="5" t="s">
        <v>13</v>
      </c>
      <c r="F15" s="5" t="s">
        <v>2451</v>
      </c>
      <c r="G15" s="5" t="s">
        <v>2452</v>
      </c>
      <c r="H15" s="5" t="str">
        <f t="shared" si="0"/>
        <v>att_animal_model</v>
      </c>
      <c r="I15" s="5" t="s">
        <v>310</v>
      </c>
      <c r="J15" s="5" t="str">
        <f t="shared" si="1"/>
        <v>att_animal_model:lysm_cre</v>
      </c>
      <c r="K15" s="9" t="s">
        <v>17</v>
      </c>
      <c r="L15" s="5" t="s">
        <v>312</v>
      </c>
      <c r="M15" s="5" t="s">
        <v>13</v>
      </c>
      <c r="N15" s="5" t="str">
        <f t="shared" si="2"/>
        <v>INSERT INTO attributes (parent_id, tag, name, priority, allow_as_filter, allow_for_dataset, allow_for_measurement, allow_for_users, allow_for_qc) VALUES (NULL, 'att_animal_model',  'Animal Model',  500,  TRUE, TRUE, TRUE, FALSE, FALSE);</v>
      </c>
      <c r="O15" s="5" t="str">
        <f t="shared" si="3"/>
        <v xml:space="preserve">INSERT INTO attribute_values (attribute_id, tag, name, details) VALUES ((SELECT id FROM attributes WHERE tag = 'att_animal_model' LIMIT 1),  'att_animal_model:lysm_cre',  'LysM-Cre',  'Macrophages/Neutrophils'); </v>
      </c>
    </row>
    <row r="16" spans="1:15" x14ac:dyDescent="0.15">
      <c r="A16" s="10" t="b">
        <f>FALSE()</f>
        <v>0</v>
      </c>
      <c r="B16" s="10"/>
      <c r="C16" s="5" t="s">
        <v>2462</v>
      </c>
      <c r="D16" s="5" t="s">
        <v>314</v>
      </c>
      <c r="E16" s="5" t="s">
        <v>13</v>
      </c>
      <c r="F16" s="5" t="s">
        <v>2451</v>
      </c>
      <c r="G16" s="5" t="s">
        <v>2452</v>
      </c>
      <c r="H16" s="5" t="str">
        <f t="shared" si="0"/>
        <v>att_animal_model</v>
      </c>
      <c r="I16" s="5" t="s">
        <v>313</v>
      </c>
      <c r="J16" s="5" t="str">
        <f t="shared" si="1"/>
        <v>att_animal_model:ms4a3_cre</v>
      </c>
      <c r="K16" s="9" t="s">
        <v>17</v>
      </c>
      <c r="L16" s="5" t="s">
        <v>315</v>
      </c>
      <c r="M16" s="5" t="s">
        <v>13</v>
      </c>
      <c r="N16" s="5" t="str">
        <f t="shared" si="2"/>
        <v>INSERT INTO attributes (parent_id, tag, name, priority, allow_as_filter, allow_for_dataset, allow_for_measurement, allow_for_users, allow_for_qc) VALUES (NULL, 'att_animal_model',  'Animal Model',  500,  TRUE, TRUE, TRUE, FALSE, FALSE);</v>
      </c>
      <c r="O16" s="5" t="str">
        <f t="shared" si="3"/>
        <v xml:space="preserve">INSERT INTO attribute_values (attribute_id, tag, name, details) VALUES ((SELECT id FROM attributes WHERE tag = 'att_animal_model' LIMIT 1),  'att_animal_model:ms4a3_cre',  'Ms4a3-Cre',  'Monocytes'); </v>
      </c>
    </row>
    <row r="17" spans="1:15" x14ac:dyDescent="0.15">
      <c r="A17" s="10" t="b">
        <f>FALSE()</f>
        <v>0</v>
      </c>
      <c r="B17" s="10"/>
      <c r="C17" s="5" t="s">
        <v>2463</v>
      </c>
      <c r="D17" s="5" t="s">
        <v>317</v>
      </c>
      <c r="E17" s="5" t="s">
        <v>13</v>
      </c>
      <c r="F17" s="5" t="s">
        <v>2451</v>
      </c>
      <c r="G17" s="5" t="s">
        <v>2452</v>
      </c>
      <c r="H17" s="5" t="str">
        <f t="shared" si="0"/>
        <v>att_animal_model</v>
      </c>
      <c r="I17" s="5" t="s">
        <v>316</v>
      </c>
      <c r="J17" s="5" t="str">
        <f t="shared" si="1"/>
        <v>att_animal_model:mt_nlrp3_cre</v>
      </c>
      <c r="K17" s="9" t="s">
        <v>17</v>
      </c>
      <c r="L17" s="5" t="s">
        <v>318</v>
      </c>
      <c r="M17" s="5" t="s">
        <v>13</v>
      </c>
      <c r="N17" s="5" t="str">
        <f t="shared" si="2"/>
        <v>INSERT INTO attributes (parent_id, tag, name, priority, allow_as_filter, allow_for_dataset, allow_for_measurement, allow_for_users, allow_for_qc) VALUES (NULL, 'att_animal_model',  'Animal Model',  500,  TRUE, TRUE, TRUE, FALSE, FALSE);</v>
      </c>
      <c r="O17" s="5"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0" t="b">
        <f>FALSE()</f>
        <v>0</v>
      </c>
      <c r="B18" s="10"/>
      <c r="C18" s="5" t="s">
        <v>2464</v>
      </c>
      <c r="D18" s="5" t="s">
        <v>320</v>
      </c>
      <c r="E18" s="5" t="s">
        <v>13</v>
      </c>
      <c r="F18" s="5" t="s">
        <v>2451</v>
      </c>
      <c r="G18" s="5" t="s">
        <v>2452</v>
      </c>
      <c r="H18" s="5" t="str">
        <f t="shared" si="0"/>
        <v>att_animal_model</v>
      </c>
      <c r="I18" s="5" t="s">
        <v>319</v>
      </c>
      <c r="J18" s="5" t="str">
        <f t="shared" si="1"/>
        <v>att_animal_model:nlrp3_flox</v>
      </c>
      <c r="K18" s="9" t="s">
        <v>17</v>
      </c>
      <c r="L18" s="5" t="s">
        <v>320</v>
      </c>
      <c r="M18" s="5" t="s">
        <v>13</v>
      </c>
      <c r="N18" s="5" t="str">
        <f t="shared" si="2"/>
        <v>INSERT INTO attributes (parent_id, tag, name, priority, allow_as_filter, allow_for_dataset, allow_for_measurement, allow_for_users, allow_for_qc) VALUES (NULL, 'att_animal_model',  'Animal Model',  500,  TRUE, TRUE, TRUE, FALSE, FALSE);</v>
      </c>
      <c r="O18" s="5" t="str">
        <f t="shared" si="3"/>
        <v xml:space="preserve">INSERT INTO attribute_values (attribute_id, tag, name, details) VALUES ((SELECT id FROM attributes WHERE tag = 'att_animal_model' LIMIT 1),  'att_animal_model:nlrp3_flox',  'Nlrp3-flox',  'Nlrp3-flox'); </v>
      </c>
    </row>
    <row r="19" spans="1:15" x14ac:dyDescent="0.15">
      <c r="A19" s="10" t="b">
        <f>FALSE()</f>
        <v>0</v>
      </c>
      <c r="B19" s="10"/>
      <c r="C19" s="5" t="s">
        <v>2465</v>
      </c>
      <c r="D19" s="5" t="s">
        <v>322</v>
      </c>
      <c r="E19" s="5" t="s">
        <v>13</v>
      </c>
      <c r="F19" s="5" t="s">
        <v>2451</v>
      </c>
      <c r="G19" s="5" t="s">
        <v>2452</v>
      </c>
      <c r="H19" s="5" t="str">
        <f t="shared" si="0"/>
        <v>att_animal_model</v>
      </c>
      <c r="I19" s="5" t="s">
        <v>321</v>
      </c>
      <c r="J19" s="5" t="str">
        <f t="shared" si="1"/>
        <v>att_animal_model:nlrp3_ko</v>
      </c>
      <c r="K19" s="9" t="s">
        <v>17</v>
      </c>
      <c r="L19" s="5" t="s">
        <v>322</v>
      </c>
      <c r="M19" s="5" t="s">
        <v>13</v>
      </c>
      <c r="N19" s="5" t="str">
        <f t="shared" si="2"/>
        <v>INSERT INTO attributes (parent_id, tag, name, priority, allow_as_filter, allow_for_dataset, allow_for_measurement, allow_for_users, allow_for_qc) VALUES (NULL, 'att_animal_model',  'Animal Model',  500,  TRUE, TRUE, TRUE, FALSE, FALSE);</v>
      </c>
      <c r="O19" s="5" t="str">
        <f t="shared" si="3"/>
        <v xml:space="preserve">INSERT INTO attribute_values (attribute_id, tag, name, details) VALUES ((SELECT id FROM attributes WHERE tag = 'att_animal_model' LIMIT 1),  'att_animal_model:nlrp3_ko',  'Nlrp3 ko',  'Nlrp3 ko'); </v>
      </c>
    </row>
    <row r="20" spans="1:15" x14ac:dyDescent="0.15">
      <c r="A20" s="10" t="b">
        <f>FALSE()</f>
        <v>0</v>
      </c>
      <c r="B20" s="10"/>
      <c r="C20" s="5" t="s">
        <v>323</v>
      </c>
      <c r="D20" s="5" t="s">
        <v>324</v>
      </c>
      <c r="E20" s="5" t="s">
        <v>13</v>
      </c>
      <c r="F20" s="5" t="s">
        <v>2451</v>
      </c>
      <c r="G20" s="5" t="s">
        <v>2452</v>
      </c>
      <c r="H20" s="5" t="str">
        <f t="shared" si="0"/>
        <v>att_animal_model</v>
      </c>
      <c r="I20" s="5" t="s">
        <v>323</v>
      </c>
      <c r="J20" s="5" t="str">
        <f t="shared" si="1"/>
        <v>att_animal_model:oaf</v>
      </c>
      <c r="K20" s="9" t="s">
        <v>17</v>
      </c>
      <c r="L20" s="5" t="s">
        <v>324</v>
      </c>
      <c r="M20" s="5" t="s">
        <v>13</v>
      </c>
      <c r="N20" s="5" t="str">
        <f t="shared" si="2"/>
        <v>INSERT INTO attributes (parent_id, tag, name, priority, allow_as_filter, allow_for_dataset, allow_for_measurement, allow_for_users, allow_for_qc) VALUES (NULL, 'att_animal_model',  'Animal Model',  500,  TRUE, TRUE, TRUE, FALSE, FALSE);</v>
      </c>
      <c r="O20" s="5" t="str">
        <f t="shared" si="3"/>
        <v xml:space="preserve">INSERT INTO attribute_values (attribute_id, tag, name, details) VALUES ((SELECT id FROM attributes WHERE tag = 'att_animal_model' LIMIT 1),  'att_animal_model:oaf',  'OAF',  'OAF'); </v>
      </c>
    </row>
    <row r="21" spans="1:15" x14ac:dyDescent="0.15">
      <c r="A21" s="10" t="b">
        <f>FALSE()</f>
        <v>0</v>
      </c>
      <c r="B21" s="10"/>
      <c r="C21" s="5" t="s">
        <v>2466</v>
      </c>
      <c r="D21" s="5" t="s">
        <v>326</v>
      </c>
      <c r="E21" s="5" t="s">
        <v>13</v>
      </c>
      <c r="F21" s="5" t="s">
        <v>2451</v>
      </c>
      <c r="G21" s="5" t="s">
        <v>2452</v>
      </c>
      <c r="H21" s="5" t="str">
        <f t="shared" si="0"/>
        <v>att_animal_model</v>
      </c>
      <c r="I21" s="5" t="s">
        <v>325</v>
      </c>
      <c r="J21" s="5" t="str">
        <f t="shared" si="1"/>
        <v>att_animal_model:r26_ert2cre</v>
      </c>
      <c r="K21" s="9" t="s">
        <v>17</v>
      </c>
      <c r="L21" s="5" t="s">
        <v>327</v>
      </c>
      <c r="M21" s="5" t="s">
        <v>13</v>
      </c>
      <c r="N21" s="5" t="str">
        <f t="shared" si="2"/>
        <v>INSERT INTO attributes (parent_id, tag, name, priority, allow_as_filter, allow_for_dataset, allow_for_measurement, allow_for_users, allow_for_qc) VALUES (NULL, 'att_animal_model',  'Animal Model',  500,  TRUE, TRUE, TRUE, FALSE, FALSE);</v>
      </c>
      <c r="O21" s="5" t="str">
        <f t="shared" si="3"/>
        <v xml:space="preserve">INSERT INTO attribute_values (attribute_id, tag, name, details) VALUES ((SELECT id FROM attributes WHERE tag = 'att_animal_model' LIMIT 1),  'att_animal_model:r26_ert2cre',  'R26 ERt2Cre',  'R26 Ert2Cre'); </v>
      </c>
    </row>
    <row r="22" spans="1:15" x14ac:dyDescent="0.15">
      <c r="A22" s="10" t="b">
        <f>FALSE()</f>
        <v>0</v>
      </c>
      <c r="B22" s="10"/>
      <c r="C22" s="5" t="s">
        <v>2467</v>
      </c>
      <c r="D22" s="10" t="s">
        <v>329</v>
      </c>
      <c r="E22" s="5" t="s">
        <v>13</v>
      </c>
      <c r="F22" s="5" t="s">
        <v>2451</v>
      </c>
      <c r="G22" s="5" t="s">
        <v>2452</v>
      </c>
      <c r="H22" s="5" t="str">
        <f t="shared" si="0"/>
        <v>att_animal_model</v>
      </c>
      <c r="I22" s="5" t="s">
        <v>328</v>
      </c>
      <c r="J22" s="5" t="str">
        <f t="shared" si="1"/>
        <v>att_animal_model:r26_metrs_flox</v>
      </c>
      <c r="K22" s="9" t="s">
        <v>17</v>
      </c>
      <c r="L22" s="5" t="s">
        <v>330</v>
      </c>
      <c r="M22" s="5" t="s">
        <v>13</v>
      </c>
      <c r="N22" s="5" t="str">
        <f t="shared" si="2"/>
        <v>INSERT INTO attributes (parent_id, tag, name, priority, allow_as_filter, allow_for_dataset, allow_for_measurement, allow_for_users, allow_for_qc) VALUES (NULL, 'att_animal_model',  'Animal Model',  500,  TRUE, TRUE, TRUE, FALSE, FALSE);</v>
      </c>
      <c r="O22" s="5"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0" t="b">
        <f>FALSE()</f>
        <v>0</v>
      </c>
      <c r="B23" s="10"/>
      <c r="C23" s="5" t="s">
        <v>2468</v>
      </c>
      <c r="D23" s="5" t="s">
        <v>332</v>
      </c>
      <c r="E23" s="5" t="s">
        <v>13</v>
      </c>
      <c r="F23" s="5" t="s">
        <v>2451</v>
      </c>
      <c r="G23" s="5" t="s">
        <v>2452</v>
      </c>
      <c r="H23" s="5" t="str">
        <f t="shared" si="0"/>
        <v>att_animal_model</v>
      </c>
      <c r="I23" s="5" t="s">
        <v>331</v>
      </c>
      <c r="J23" s="5" t="str">
        <f t="shared" si="1"/>
        <v>att_animal_model:r26_nlrp3_flox</v>
      </c>
      <c r="K23" s="9" t="s">
        <v>17</v>
      </c>
      <c r="L23" s="5" t="s">
        <v>332</v>
      </c>
      <c r="M23" s="5" t="s">
        <v>13</v>
      </c>
      <c r="N23" s="5" t="str">
        <f t="shared" si="2"/>
        <v>INSERT INTO attributes (parent_id, tag, name, priority, allow_as_filter, allow_for_dataset, allow_for_measurement, allow_for_users, allow_for_qc) VALUES (NULL, 'att_animal_model',  'Animal Model',  500,  TRUE, TRUE, TRUE, FALSE, FALSE);</v>
      </c>
      <c r="O23" s="5" t="str">
        <f t="shared" si="3"/>
        <v xml:space="preserve">INSERT INTO attribute_values (attribute_id, tag, name, details) VALUES ((SELECT id FROM attributes WHERE tag = 'att_animal_model' LIMIT 1),  'att_animal_model:r26_nlrp3_flox',  'R26 Nlrp3-flox',  'R26 Nlrp3-flox'); </v>
      </c>
    </row>
    <row r="24" spans="1:15" x14ac:dyDescent="0.15">
      <c r="A24" s="10" t="b">
        <f>FALSE()</f>
        <v>0</v>
      </c>
      <c r="B24" s="10"/>
      <c r="C24" s="5" t="s">
        <v>2469</v>
      </c>
      <c r="D24" s="5" t="s">
        <v>334</v>
      </c>
      <c r="E24" s="5" t="s">
        <v>13</v>
      </c>
      <c r="F24" s="5" t="s">
        <v>2451</v>
      </c>
      <c r="G24" s="5" t="s">
        <v>2452</v>
      </c>
      <c r="H24" s="5" t="str">
        <f t="shared" si="0"/>
        <v>att_animal_model</v>
      </c>
      <c r="I24" s="5" t="s">
        <v>333</v>
      </c>
      <c r="J24" s="5" t="str">
        <f t="shared" si="1"/>
        <v>att_animal_model:ribotag_lox</v>
      </c>
      <c r="K24" s="9" t="s">
        <v>17</v>
      </c>
      <c r="L24" s="5" t="s">
        <v>327</v>
      </c>
      <c r="M24" s="5" t="s">
        <v>13</v>
      </c>
      <c r="N24" s="5" t="str">
        <f t="shared" si="2"/>
        <v>INSERT INTO attributes (parent_id, tag, name, priority, allow_as_filter, allow_for_dataset, allow_for_measurement, allow_for_users, allow_for_qc) VALUES (NULL, 'att_animal_model',  'Animal Model',  500,  TRUE, TRUE, TRUE, FALSE, FALSE);</v>
      </c>
      <c r="O24" s="5" t="str">
        <f t="shared" si="3"/>
        <v xml:space="preserve">INSERT INTO attribute_values (attribute_id, tag, name, details) VALUES ((SELECT id FROM attributes WHERE tag = 'att_animal_model' LIMIT 1),  'att_animal_model:ribotag_lox',  'Ribotag-lox',  'R26 Ert2Cre'); </v>
      </c>
    </row>
    <row r="25" spans="1:15" x14ac:dyDescent="0.15">
      <c r="A25" s="10" t="b">
        <f>FALSE()</f>
        <v>0</v>
      </c>
      <c r="B25" s="10"/>
      <c r="C25" s="5" t="s">
        <v>2470</v>
      </c>
      <c r="D25" s="5" t="s">
        <v>336</v>
      </c>
      <c r="E25" s="5" t="s">
        <v>13</v>
      </c>
      <c r="F25" s="5" t="s">
        <v>2451</v>
      </c>
      <c r="G25" s="5" t="s">
        <v>2452</v>
      </c>
      <c r="H25" s="5" t="str">
        <f t="shared" si="0"/>
        <v>att_animal_model</v>
      </c>
      <c r="I25" s="5" t="s">
        <v>335</v>
      </c>
      <c r="J25" s="5" t="str">
        <f t="shared" si="1"/>
        <v>att_animal_model:sox10_cre</v>
      </c>
      <c r="K25" s="9" t="s">
        <v>17</v>
      </c>
      <c r="L25" s="5" t="s">
        <v>337</v>
      </c>
      <c r="M25" s="5" t="s">
        <v>13</v>
      </c>
      <c r="N25" s="5" t="str">
        <f t="shared" si="2"/>
        <v>INSERT INTO attributes (parent_id, tag, name, priority, allow_as_filter, allow_for_dataset, allow_for_measurement, allow_for_users, allow_for_qc) VALUES (NULL, 'att_animal_model',  'Animal Model',  500,  TRUE, TRUE, TRUE, FALSE, FALSE);</v>
      </c>
      <c r="O25" s="5" t="str">
        <f t="shared" si="3"/>
        <v xml:space="preserve">INSERT INTO attribute_values (attribute_id, tag, name, details) VALUES ((SELECT id FROM attributes WHERE tag = 'att_animal_model' LIMIT 1),  'att_animal_model:sox10_cre',  'Sox10-Cre',  'Neural crest ?'); </v>
      </c>
    </row>
    <row r="26" spans="1:15" x14ac:dyDescent="0.15">
      <c r="A26" s="10" t="b">
        <f>FALSE()</f>
        <v>0</v>
      </c>
      <c r="B26" s="10"/>
      <c r="C26" s="5" t="s">
        <v>2471</v>
      </c>
      <c r="D26" s="5" t="s">
        <v>339</v>
      </c>
      <c r="E26" s="5" t="s">
        <v>13</v>
      </c>
      <c r="F26" s="5" t="s">
        <v>2451</v>
      </c>
      <c r="G26" s="5" t="s">
        <v>2452</v>
      </c>
      <c r="H26" s="5" t="str">
        <f t="shared" si="0"/>
        <v>att_animal_model</v>
      </c>
      <c r="I26" s="5" t="s">
        <v>338</v>
      </c>
      <c r="J26" s="5" t="str">
        <f t="shared" si="1"/>
        <v>att_animal_model:ucp1_cre</v>
      </c>
      <c r="K26" s="9" t="s">
        <v>17</v>
      </c>
      <c r="L26" s="5" t="s">
        <v>340</v>
      </c>
      <c r="M26" s="5" t="s">
        <v>13</v>
      </c>
      <c r="N26" s="5" t="str">
        <f t="shared" si="2"/>
        <v>INSERT INTO attributes (parent_id, tag, name, priority, allow_as_filter, allow_for_dataset, allow_for_measurement, allow_for_users, allow_for_qc) VALUES (NULL, 'att_animal_model',  'Animal Model',  500,  TRUE, TRUE, TRUE, FALSE, FALSE);</v>
      </c>
      <c r="O26" s="5" t="str">
        <f t="shared" si="3"/>
        <v xml:space="preserve">INSERT INTO attribute_values (attribute_id, tag, name, details) VALUES ((SELECT id FROM attributes WHERE tag = 'att_animal_model' LIMIT 1),  'att_animal_model:ucp1_cre',  'UCP1-Cre',  'brown adipose tissue'); </v>
      </c>
    </row>
    <row r="27" spans="1:15" x14ac:dyDescent="0.15">
      <c r="A27" s="10" t="b">
        <f>FALSE()</f>
        <v>0</v>
      </c>
      <c r="B27" s="10"/>
      <c r="C27" s="5" t="s">
        <v>2472</v>
      </c>
      <c r="D27" s="5" t="s">
        <v>342</v>
      </c>
      <c r="E27" s="5" t="s">
        <v>13</v>
      </c>
      <c r="F27" s="5" t="s">
        <v>2451</v>
      </c>
      <c r="G27" s="5" t="s">
        <v>2452</v>
      </c>
      <c r="H27" s="5" t="str">
        <f t="shared" si="0"/>
        <v>att_animal_model</v>
      </c>
      <c r="I27" s="5" t="s">
        <v>341</v>
      </c>
      <c r="J27" s="5" t="str">
        <f t="shared" si="1"/>
        <v>att_animal_model:vil_cre</v>
      </c>
      <c r="K27" s="9" t="s">
        <v>17</v>
      </c>
      <c r="L27" s="5" t="s">
        <v>343</v>
      </c>
      <c r="M27" s="5" t="s">
        <v>13</v>
      </c>
      <c r="N27" s="5" t="str">
        <f t="shared" si="2"/>
        <v>INSERT INTO attributes (parent_id, tag, name, priority, allow_as_filter, allow_for_dataset, allow_for_measurement, allow_for_users, allow_for_qc) VALUES (NULL, 'att_animal_model',  'Animal Model',  500,  TRUE, TRUE, TRUE, FALSE, FALSE);</v>
      </c>
      <c r="O27" s="5" t="str">
        <f t="shared" si="3"/>
        <v xml:space="preserve">INSERT INTO attribute_values (attribute_id, tag, name, details) VALUES ((SELECT id FROM attributes WHERE tag = 'att_animal_model' LIMIT 1),  'att_animal_model:vil_cre',  'Vil-Cre',  'Intestinal epithelium'); </v>
      </c>
    </row>
    <row r="28" spans="1:15" x14ac:dyDescent="0.15">
      <c r="A28" s="10" t="b">
        <f>FALSE()</f>
        <v>0</v>
      </c>
      <c r="B28" s="10"/>
      <c r="C28" s="5">
        <v>7860</v>
      </c>
      <c r="D28" s="5" t="s">
        <v>432</v>
      </c>
      <c r="E28" s="5" t="s">
        <v>13</v>
      </c>
      <c r="F28" s="5" t="s">
        <v>2473</v>
      </c>
      <c r="G28" s="5" t="s">
        <v>2474</v>
      </c>
      <c r="H28" s="5" t="str">
        <f t="shared" si="0"/>
        <v>att_celllines</v>
      </c>
      <c r="I28" s="5" t="s">
        <v>431</v>
      </c>
      <c r="J28" s="5" t="str">
        <f t="shared" si="1"/>
        <v>att_celllines:786_0</v>
      </c>
      <c r="K28" s="9" t="s">
        <v>17</v>
      </c>
      <c r="L28" s="5" t="s">
        <v>433</v>
      </c>
      <c r="M28" s="5" t="s">
        <v>2475</v>
      </c>
      <c r="N28" s="5" t="str">
        <f t="shared" si="2"/>
        <v>INSERT INTO attributes (parent_id, tag, name, priority, allow_as_filter, allow_for_dataset, allow_for_measurement, allow_for_users, allow_for_qc) VALUES (NULL, 'att_celllines',  'Celllines',  500,  TRUE, TRUE, TRUE, FALSE, FALSE);</v>
      </c>
      <c r="O28" s="5" t="str">
        <f t="shared" si="3"/>
        <v xml:space="preserve">INSERT INTO attribute_values (attribute_id, tag, name, details) VALUES ((SELECT id FROM attributes WHERE tag = 'att_celllines' LIMIT 1),  'att_celllines:786_0',  '786-0',  'Human NCI-60 cell line; Renal Cancer'); </v>
      </c>
    </row>
    <row r="29" spans="1:15" x14ac:dyDescent="0.15">
      <c r="A29" s="10" t="b">
        <f>FALSE()</f>
        <v>0</v>
      </c>
      <c r="B29" s="10"/>
      <c r="C29" s="5" t="s">
        <v>434</v>
      </c>
      <c r="D29" s="5" t="s">
        <v>435</v>
      </c>
      <c r="E29" s="5" t="s">
        <v>13</v>
      </c>
      <c r="F29" s="5" t="s">
        <v>2473</v>
      </c>
      <c r="G29" s="5" t="s">
        <v>2474</v>
      </c>
      <c r="H29" s="5" t="str">
        <f t="shared" si="0"/>
        <v>att_celllines</v>
      </c>
      <c r="I29" s="5" t="s">
        <v>434</v>
      </c>
      <c r="J29" s="5" t="str">
        <f t="shared" si="1"/>
        <v>att_celllines:a498</v>
      </c>
      <c r="K29" s="9" t="s">
        <v>17</v>
      </c>
      <c r="L29" s="5" t="s">
        <v>433</v>
      </c>
      <c r="M29" s="5" t="s">
        <v>2475</v>
      </c>
      <c r="N29" s="5" t="str">
        <f t="shared" si="2"/>
        <v>INSERT INTO attributes (parent_id, tag, name, priority, allow_as_filter, allow_for_dataset, allow_for_measurement, allow_for_users, allow_for_qc) VALUES (NULL, 'att_celllines',  'Celllines',  500,  TRUE, TRUE, TRUE, FALSE, FALSE);</v>
      </c>
      <c r="O29" s="5" t="str">
        <f t="shared" si="3"/>
        <v xml:space="preserve">INSERT INTO attribute_values (attribute_id, tag, name, details) VALUES ((SELECT id FROM attributes WHERE tag = 'att_celllines' LIMIT 1),  'att_celllines:a498',  'A498',  'Human NCI-60 cell line; Renal Cancer'); </v>
      </c>
    </row>
    <row r="30" spans="1:15" x14ac:dyDescent="0.15">
      <c r="A30" s="10" t="b">
        <f>FALSE()</f>
        <v>0</v>
      </c>
      <c r="B30" s="10"/>
      <c r="C30" s="5" t="s">
        <v>436</v>
      </c>
      <c r="D30" s="5" t="s">
        <v>437</v>
      </c>
      <c r="E30" s="5" t="s">
        <v>13</v>
      </c>
      <c r="F30" s="5" t="s">
        <v>2473</v>
      </c>
      <c r="G30" s="5" t="s">
        <v>2474</v>
      </c>
      <c r="H30" s="5" t="str">
        <f t="shared" si="0"/>
        <v>att_celllines</v>
      </c>
      <c r="I30" s="5" t="s">
        <v>436</v>
      </c>
      <c r="J30" s="5" t="str">
        <f t="shared" si="1"/>
        <v>att_celllines:a549</v>
      </c>
      <c r="K30" s="9" t="s">
        <v>17</v>
      </c>
      <c r="L30" s="5" t="s">
        <v>438</v>
      </c>
      <c r="M30" s="5" t="s">
        <v>2475</v>
      </c>
      <c r="N30" s="5" t="str">
        <f t="shared" si="2"/>
        <v>INSERT INTO attributes (parent_id, tag, name, priority, allow_as_filter, allow_for_dataset, allow_for_measurement, allow_for_users, allow_for_qc) VALUES (NULL, 'att_celllines',  'Celllines',  500,  TRUE, TRUE, TRUE, FALSE, FALSE);</v>
      </c>
      <c r="O30" s="5"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0" t="b">
        <f>FALSE()</f>
        <v>0</v>
      </c>
      <c r="B31" s="10"/>
      <c r="C31" s="5" t="s">
        <v>439</v>
      </c>
      <c r="D31" s="5" t="s">
        <v>440</v>
      </c>
      <c r="E31" s="5" t="s">
        <v>13</v>
      </c>
      <c r="F31" s="5" t="s">
        <v>2473</v>
      </c>
      <c r="G31" s="5" t="s">
        <v>2474</v>
      </c>
      <c r="H31" s="5" t="str">
        <f t="shared" si="0"/>
        <v>att_celllines</v>
      </c>
      <c r="I31" s="5" t="s">
        <v>439</v>
      </c>
      <c r="J31" s="5" t="str">
        <f t="shared" si="1"/>
        <v>att_celllines:achn</v>
      </c>
      <c r="K31" s="9" t="s">
        <v>17</v>
      </c>
      <c r="L31" s="5" t="s">
        <v>433</v>
      </c>
      <c r="M31" s="5" t="s">
        <v>2475</v>
      </c>
      <c r="N31" s="5" t="str">
        <f t="shared" si="2"/>
        <v>INSERT INTO attributes (parent_id, tag, name, priority, allow_as_filter, allow_for_dataset, allow_for_measurement, allow_for_users, allow_for_qc) VALUES (NULL, 'att_celllines',  'Celllines',  500,  TRUE, TRUE, TRUE, FALSE, FALSE);</v>
      </c>
      <c r="O31" s="5" t="str">
        <f t="shared" si="3"/>
        <v xml:space="preserve">INSERT INTO attribute_values (attribute_id, tag, name, details) VALUES ((SELECT id FROM attributes WHERE tag = 'att_celllines' LIMIT 1),  'att_celllines:achn',  'ACHN',  'Human NCI-60 cell line; Renal Cancer'); </v>
      </c>
    </row>
    <row r="32" spans="1:15" x14ac:dyDescent="0.15">
      <c r="A32" s="10" t="b">
        <f>FALSE()</f>
        <v>0</v>
      </c>
      <c r="B32" s="10"/>
      <c r="C32" s="5" t="s">
        <v>441</v>
      </c>
      <c r="D32" s="5" t="s">
        <v>442</v>
      </c>
      <c r="E32" s="5" t="s">
        <v>13</v>
      </c>
      <c r="F32" s="5" t="s">
        <v>2473</v>
      </c>
      <c r="G32" s="5" t="s">
        <v>2474</v>
      </c>
      <c r="H32" s="5" t="str">
        <f t="shared" si="0"/>
        <v>att_celllines</v>
      </c>
      <c r="I32" s="5" t="s">
        <v>441</v>
      </c>
      <c r="J32" s="5" t="str">
        <f t="shared" si="1"/>
        <v>att_celllines:bmdc</v>
      </c>
      <c r="K32" s="9" t="s">
        <v>17</v>
      </c>
      <c r="L32" s="5" t="s">
        <v>442</v>
      </c>
      <c r="M32" s="5" t="s">
        <v>13</v>
      </c>
      <c r="N32" s="5" t="str">
        <f t="shared" si="2"/>
        <v>INSERT INTO attributes (parent_id, tag, name, priority, allow_as_filter, allow_for_dataset, allow_for_measurement, allow_for_users, allow_for_qc) VALUES (NULL, 'att_celllines',  'Celllines',  500,  TRUE, TRUE, TRUE, FALSE, FALSE);</v>
      </c>
      <c r="O32" s="5" t="str">
        <f t="shared" si="3"/>
        <v xml:space="preserve">INSERT INTO attribute_values (attribute_id, tag, name, details) VALUES ((SELECT id FROM attributes WHERE tag = 'att_celllines' LIMIT 1),  'att_celllines:bmdc',  'BMDC',  'BMDC'); </v>
      </c>
    </row>
    <row r="33" spans="1:15" x14ac:dyDescent="0.15">
      <c r="A33" s="10" t="b">
        <f>FALSE()</f>
        <v>0</v>
      </c>
      <c r="B33" s="10"/>
      <c r="C33" s="5" t="s">
        <v>443</v>
      </c>
      <c r="D33" s="5" t="s">
        <v>444</v>
      </c>
      <c r="E33" s="5" t="s">
        <v>13</v>
      </c>
      <c r="F33" s="5" t="s">
        <v>2473</v>
      </c>
      <c r="G33" s="5" t="s">
        <v>2474</v>
      </c>
      <c r="H33" s="5" t="str">
        <f t="shared" si="0"/>
        <v>att_celllines</v>
      </c>
      <c r="I33" s="5" t="s">
        <v>443</v>
      </c>
      <c r="J33" s="5" t="str">
        <f t="shared" si="1"/>
        <v>att_celllines:bmm</v>
      </c>
      <c r="K33" s="9" t="s">
        <v>17</v>
      </c>
      <c r="L33" s="5" t="s">
        <v>445</v>
      </c>
      <c r="M33" s="5" t="s">
        <v>13</v>
      </c>
      <c r="N33" s="5" t="str">
        <f t="shared" si="2"/>
        <v>INSERT INTO attributes (parent_id, tag, name, priority, allow_as_filter, allow_for_dataset, allow_for_measurement, allow_for_users, allow_for_qc) VALUES (NULL, 'att_celllines',  'Celllines',  500,  TRUE, TRUE, TRUE, FALSE, FALSE);</v>
      </c>
      <c r="O33" s="5" t="str">
        <f t="shared" si="3"/>
        <v xml:space="preserve">INSERT INTO attribute_values (attribute_id, tag, name, details) VALUES ((SELECT id FROM attributes WHERE tag = 'att_celllines' LIMIT 1),  'att_celllines:bmm',  'BMM',  'Bone-marrow-derived macrophages'); </v>
      </c>
    </row>
    <row r="34" spans="1:15" x14ac:dyDescent="0.15">
      <c r="A34" s="10" t="b">
        <f>FALSE()</f>
        <v>0</v>
      </c>
      <c r="B34" s="10"/>
      <c r="C34" s="5" t="s">
        <v>446</v>
      </c>
      <c r="D34" s="5" t="s">
        <v>447</v>
      </c>
      <c r="E34" s="5" t="s">
        <v>13</v>
      </c>
      <c r="F34" s="5" t="s">
        <v>2473</v>
      </c>
      <c r="G34" s="5" t="s">
        <v>2474</v>
      </c>
      <c r="H34" s="5" t="str">
        <f t="shared" si="0"/>
        <v>att_celllines</v>
      </c>
      <c r="I34" s="5" t="s">
        <v>446</v>
      </c>
      <c r="J34" s="5" t="str">
        <f t="shared" si="1"/>
        <v>att_celllines:bt549</v>
      </c>
      <c r="K34" s="9" t="s">
        <v>17</v>
      </c>
      <c r="L34" s="5" t="s">
        <v>448</v>
      </c>
      <c r="M34" s="5" t="s">
        <v>2475</v>
      </c>
      <c r="N34" s="5" t="str">
        <f t="shared" si="2"/>
        <v>INSERT INTO attributes (parent_id, tag, name, priority, allow_as_filter, allow_for_dataset, allow_for_measurement, allow_for_users, allow_for_qc) VALUES (NULL, 'att_celllines',  'Celllines',  500,  TRUE, TRUE, TRUE, FALSE, FALSE);</v>
      </c>
      <c r="O34" s="5" t="str">
        <f t="shared" si="3"/>
        <v xml:space="preserve">INSERT INTO attribute_values (attribute_id, tag, name, details) VALUES ((SELECT id FROM attributes WHERE tag = 'att_celllines' LIMIT 1),  'att_celllines:bt549',  'BT-549',  'Human NCI-60 cell line; Breast Cancer'); </v>
      </c>
    </row>
    <row r="35" spans="1:15" x14ac:dyDescent="0.15">
      <c r="A35" s="10" t="b">
        <f>FALSE()</f>
        <v>0</v>
      </c>
      <c r="B35" s="10"/>
      <c r="C35" s="5" t="s">
        <v>449</v>
      </c>
      <c r="D35" s="5" t="s">
        <v>450</v>
      </c>
      <c r="E35" s="5" t="s">
        <v>13</v>
      </c>
      <c r="F35" s="5" t="s">
        <v>2473</v>
      </c>
      <c r="G35" s="5" t="s">
        <v>2474</v>
      </c>
      <c r="H35" s="5" t="str">
        <f t="shared" si="0"/>
        <v>att_celllines</v>
      </c>
      <c r="I35" s="5" t="s">
        <v>449</v>
      </c>
      <c r="J35" s="5" t="str">
        <f t="shared" si="1"/>
        <v>att_celllines:caki1</v>
      </c>
      <c r="K35" s="9" t="s">
        <v>17</v>
      </c>
      <c r="L35" s="5" t="s">
        <v>433</v>
      </c>
      <c r="M35" s="5" t="s">
        <v>2475</v>
      </c>
      <c r="N35" s="5" t="str">
        <f t="shared" si="2"/>
        <v>INSERT INTO attributes (parent_id, tag, name, priority, allow_as_filter, allow_for_dataset, allow_for_measurement, allow_for_users, allow_for_qc) VALUES (NULL, 'att_celllines',  'Celllines',  500,  TRUE, TRUE, TRUE, FALSE, FALSE);</v>
      </c>
      <c r="O35" s="5" t="str">
        <f t="shared" si="3"/>
        <v xml:space="preserve">INSERT INTO attribute_values (attribute_id, tag, name, details) VALUES ((SELECT id FROM attributes WHERE tag = 'att_celllines' LIMIT 1),  'att_celllines:caki1',  'CAKI-1',  'Human NCI-60 cell line; Renal Cancer'); </v>
      </c>
    </row>
    <row r="36" spans="1:15" x14ac:dyDescent="0.15">
      <c r="A36" s="10" t="b">
        <f>FALSE()</f>
        <v>0</v>
      </c>
      <c r="B36" s="10"/>
      <c r="C36" s="5" t="s">
        <v>451</v>
      </c>
      <c r="D36" s="5" t="s">
        <v>452</v>
      </c>
      <c r="E36" s="5" t="s">
        <v>13</v>
      </c>
      <c r="F36" s="5" t="s">
        <v>2473</v>
      </c>
      <c r="G36" s="5" t="s">
        <v>2474</v>
      </c>
      <c r="H36" s="5" t="str">
        <f t="shared" si="0"/>
        <v>att_celllines</v>
      </c>
      <c r="I36" s="5" t="s">
        <v>451</v>
      </c>
      <c r="J36" s="5" t="str">
        <f t="shared" si="1"/>
        <v>att_celllines:cho</v>
      </c>
      <c r="K36" s="9" t="s">
        <v>17</v>
      </c>
      <c r="L36" s="5" t="s">
        <v>453</v>
      </c>
      <c r="M36" s="5" t="s">
        <v>2476</v>
      </c>
      <c r="N36" s="5" t="str">
        <f t="shared" si="2"/>
        <v>INSERT INTO attributes (parent_id, tag, name, priority, allow_as_filter, allow_for_dataset, allow_for_measurement, allow_for_users, allow_for_qc) VALUES (NULL, 'att_celllines',  'Celllines',  500,  TRUE, TRUE, TRUE, FALSE, FALSE);</v>
      </c>
      <c r="O36" s="5" t="str">
        <f t="shared" si="3"/>
        <v xml:space="preserve">INSERT INTO attribute_values (attribute_id, tag, name, details) VALUES ((SELECT id FROM attributes WHERE tag = 'att_celllines' LIMIT 1),  'att_celllines:cho',  'CHO',  'Chinese hamster ovary'); </v>
      </c>
    </row>
    <row r="37" spans="1:15" x14ac:dyDescent="0.15">
      <c r="A37" s="10" t="b">
        <f>FALSE()</f>
        <v>0</v>
      </c>
      <c r="B37" s="10"/>
      <c r="C37" s="5" t="s">
        <v>454</v>
      </c>
      <c r="D37" s="5" t="s">
        <v>455</v>
      </c>
      <c r="E37" s="5" t="s">
        <v>13</v>
      </c>
      <c r="F37" s="5" t="s">
        <v>2473</v>
      </c>
      <c r="G37" s="5" t="s">
        <v>2474</v>
      </c>
      <c r="H37" s="5" t="str">
        <f t="shared" si="0"/>
        <v>att_celllines</v>
      </c>
      <c r="I37" s="5" t="s">
        <v>454</v>
      </c>
      <c r="J37" s="5" t="str">
        <f t="shared" si="1"/>
        <v>att_celllines:colo205</v>
      </c>
      <c r="K37" s="9" t="s">
        <v>17</v>
      </c>
      <c r="L37" s="5" t="s">
        <v>456</v>
      </c>
      <c r="M37" s="5" t="s">
        <v>2475</v>
      </c>
      <c r="N37" s="5" t="str">
        <f t="shared" si="2"/>
        <v>INSERT INTO attributes (parent_id, tag, name, priority, allow_as_filter, allow_for_dataset, allow_for_measurement, allow_for_users, allow_for_qc) VALUES (NULL, 'att_celllines',  'Celllines',  500,  TRUE, TRUE, TRUE, FALSE, FALSE);</v>
      </c>
      <c r="O37" s="5" t="str">
        <f t="shared" si="3"/>
        <v xml:space="preserve">INSERT INTO attribute_values (attribute_id, tag, name, details) VALUES ((SELECT id FROM attributes WHERE tag = 'att_celllines' LIMIT 1),  'att_celllines:colo205',  'COLO205',  'Human NCI-60 cell line; Colon cancer'); </v>
      </c>
    </row>
    <row r="38" spans="1:15" x14ac:dyDescent="0.15">
      <c r="A38" s="10" t="b">
        <f>FALSE()</f>
        <v>0</v>
      </c>
      <c r="B38" s="10"/>
      <c r="C38" s="5" t="s">
        <v>457</v>
      </c>
      <c r="D38" s="5" t="s">
        <v>458</v>
      </c>
      <c r="E38" s="5" t="s">
        <v>13</v>
      </c>
      <c r="F38" s="5" t="s">
        <v>2473</v>
      </c>
      <c r="G38" s="5" t="s">
        <v>2474</v>
      </c>
      <c r="H38" s="5" t="str">
        <f t="shared" si="0"/>
        <v>att_celllines</v>
      </c>
      <c r="I38" s="5" t="s">
        <v>457</v>
      </c>
      <c r="J38" s="5" t="str">
        <f t="shared" si="1"/>
        <v>att_celllines:crfcem</v>
      </c>
      <c r="K38" s="9" t="s">
        <v>17</v>
      </c>
      <c r="L38" s="5" t="s">
        <v>459</v>
      </c>
      <c r="M38" s="5" t="s">
        <v>2475</v>
      </c>
      <c r="N38" s="5" t="str">
        <f t="shared" si="2"/>
        <v>INSERT INTO attributes (parent_id, tag, name, priority, allow_as_filter, allow_for_dataset, allow_for_measurement, allow_for_users, allow_for_qc) VALUES (NULL, 'att_celllines',  'Celllines',  500,  TRUE, TRUE, TRUE, FALSE, FALSE);</v>
      </c>
      <c r="O38" s="5" t="str">
        <f t="shared" si="3"/>
        <v xml:space="preserve">INSERT INTO attribute_values (attribute_id, tag, name, details) VALUES ((SELECT id FROM attributes WHERE tag = 'att_celllines' LIMIT 1),  'att_celllines:crfcem',  'CRF-CEM',  'Human NCI-60 cell line; Leukemia'); </v>
      </c>
    </row>
    <row r="39" spans="1:15" x14ac:dyDescent="0.15">
      <c r="A39" s="10" t="b">
        <f>FALSE()</f>
        <v>0</v>
      </c>
      <c r="B39" s="10"/>
      <c r="C39" s="5" t="s">
        <v>460</v>
      </c>
      <c r="D39" s="5" t="s">
        <v>461</v>
      </c>
      <c r="E39" s="5" t="s">
        <v>13</v>
      </c>
      <c r="F39" s="5" t="s">
        <v>2473</v>
      </c>
      <c r="G39" s="5" t="s">
        <v>2474</v>
      </c>
      <c r="H39" s="5" t="str">
        <f t="shared" si="0"/>
        <v>att_celllines</v>
      </c>
      <c r="I39" s="5" t="s">
        <v>460</v>
      </c>
      <c r="J39" s="5" t="str">
        <f t="shared" si="1"/>
        <v>att_celllines:du145</v>
      </c>
      <c r="K39" s="9" t="s">
        <v>17</v>
      </c>
      <c r="L39" s="5" t="s">
        <v>462</v>
      </c>
      <c r="M39" s="5" t="s">
        <v>2475</v>
      </c>
      <c r="N39" s="5" t="str">
        <f t="shared" si="2"/>
        <v>INSERT INTO attributes (parent_id, tag, name, priority, allow_as_filter, allow_for_dataset, allow_for_measurement, allow_for_users, allow_for_qc) VALUES (NULL, 'att_celllines',  'Celllines',  500,  TRUE, TRUE, TRUE, FALSE, FALSE);</v>
      </c>
      <c r="O39" s="5" t="str">
        <f t="shared" si="3"/>
        <v xml:space="preserve">INSERT INTO attribute_values (attribute_id, tag, name, details) VALUES ((SELECT id FROM attributes WHERE tag = 'att_celllines' LIMIT 1),  'att_celllines:du145',  'DU-145',  'Human NCI-60 cell line; Prostate Cancer'); </v>
      </c>
    </row>
    <row r="40" spans="1:15" x14ac:dyDescent="0.15">
      <c r="A40" s="10" t="b">
        <f>FALSE()</f>
        <v>0</v>
      </c>
      <c r="B40" s="10"/>
      <c r="C40" s="5" t="s">
        <v>463</v>
      </c>
      <c r="D40" s="5" t="s">
        <v>464</v>
      </c>
      <c r="E40" s="5" t="s">
        <v>13</v>
      </c>
      <c r="F40" s="5" t="s">
        <v>2473</v>
      </c>
      <c r="G40" s="5" t="s">
        <v>2474</v>
      </c>
      <c r="H40" s="5" t="str">
        <f t="shared" si="0"/>
        <v>att_celllines</v>
      </c>
      <c r="I40" s="5" t="s">
        <v>463</v>
      </c>
      <c r="J40" s="5" t="str">
        <f t="shared" si="1"/>
        <v>att_celllines:ekvx</v>
      </c>
      <c r="K40" s="9" t="s">
        <v>17</v>
      </c>
      <c r="L40" s="5" t="s">
        <v>438</v>
      </c>
      <c r="M40" s="5" t="s">
        <v>2475</v>
      </c>
      <c r="N40" s="5" t="str">
        <f t="shared" si="2"/>
        <v>INSERT INTO attributes (parent_id, tag, name, priority, allow_as_filter, allow_for_dataset, allow_for_measurement, allow_for_users, allow_for_qc) VALUES (NULL, 'att_celllines',  'Celllines',  500,  TRUE, TRUE, TRUE, FALSE, FALSE);</v>
      </c>
      <c r="O40" s="5"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0" t="b">
        <f>FALSE()</f>
        <v>0</v>
      </c>
      <c r="B41" s="10"/>
      <c r="C41" s="5" t="s">
        <v>465</v>
      </c>
      <c r="D41" s="5" t="s">
        <v>466</v>
      </c>
      <c r="E41" s="5" t="s">
        <v>13</v>
      </c>
      <c r="F41" s="5" t="s">
        <v>2473</v>
      </c>
      <c r="G41" s="5" t="s">
        <v>2474</v>
      </c>
      <c r="H41" s="5" t="str">
        <f t="shared" si="0"/>
        <v>att_celllines</v>
      </c>
      <c r="I41" s="5" t="s">
        <v>465</v>
      </c>
      <c r="J41" s="5" t="str">
        <f t="shared" si="1"/>
        <v>att_celllines:hcc2998</v>
      </c>
      <c r="K41" s="9" t="s">
        <v>17</v>
      </c>
      <c r="L41" s="5" t="s">
        <v>456</v>
      </c>
      <c r="M41" s="5" t="s">
        <v>2475</v>
      </c>
      <c r="N41" s="5" t="str">
        <f t="shared" si="2"/>
        <v>INSERT INTO attributes (parent_id, tag, name, priority, allow_as_filter, allow_for_dataset, allow_for_measurement, allow_for_users, allow_for_qc) VALUES (NULL, 'att_celllines',  'Celllines',  500,  TRUE, TRUE, TRUE, FALSE, FALSE);</v>
      </c>
      <c r="O41" s="5" t="str">
        <f t="shared" si="3"/>
        <v xml:space="preserve">INSERT INTO attribute_values (attribute_id, tag, name, details) VALUES ((SELECT id FROM attributes WHERE tag = 'att_celllines' LIMIT 1),  'att_celllines:hcc2998',  'HCC-2998',  'Human NCI-60 cell line; Colon cancer'); </v>
      </c>
    </row>
    <row r="42" spans="1:15" x14ac:dyDescent="0.15">
      <c r="A42" s="10" t="b">
        <f>FALSE()</f>
        <v>0</v>
      </c>
      <c r="B42" s="10"/>
      <c r="C42" s="5" t="s">
        <v>467</v>
      </c>
      <c r="D42" s="5" t="s">
        <v>468</v>
      </c>
      <c r="E42" s="5" t="s">
        <v>13</v>
      </c>
      <c r="F42" s="5" t="s">
        <v>2473</v>
      </c>
      <c r="G42" s="5" t="s">
        <v>2474</v>
      </c>
      <c r="H42" s="5" t="str">
        <f t="shared" si="0"/>
        <v>att_celllines</v>
      </c>
      <c r="I42" s="5" t="s">
        <v>467</v>
      </c>
      <c r="J42" s="5" t="str">
        <f t="shared" si="1"/>
        <v>att_celllines:hct116</v>
      </c>
      <c r="K42" s="9" t="s">
        <v>17</v>
      </c>
      <c r="L42" s="5" t="s">
        <v>456</v>
      </c>
      <c r="M42" s="5" t="s">
        <v>2475</v>
      </c>
      <c r="N42" s="5" t="str">
        <f t="shared" si="2"/>
        <v>INSERT INTO attributes (parent_id, tag, name, priority, allow_as_filter, allow_for_dataset, allow_for_measurement, allow_for_users, allow_for_qc) VALUES (NULL, 'att_celllines',  'Celllines',  500,  TRUE, TRUE, TRUE, FALSE, FALSE);</v>
      </c>
      <c r="O42" s="5" t="str">
        <f t="shared" si="3"/>
        <v xml:space="preserve">INSERT INTO attribute_values (attribute_id, tag, name, details) VALUES ((SELECT id FROM attributes WHERE tag = 'att_celllines' LIMIT 1),  'att_celllines:hct116',  'HCT-116',  'Human NCI-60 cell line; Colon cancer'); </v>
      </c>
    </row>
    <row r="43" spans="1:15" x14ac:dyDescent="0.15">
      <c r="A43" s="10" t="b">
        <f>FALSE()</f>
        <v>0</v>
      </c>
      <c r="B43" s="10"/>
      <c r="C43" s="5" t="s">
        <v>469</v>
      </c>
      <c r="D43" s="5" t="s">
        <v>470</v>
      </c>
      <c r="E43" s="5" t="s">
        <v>13</v>
      </c>
      <c r="F43" s="5" t="s">
        <v>2473</v>
      </c>
      <c r="G43" s="5" t="s">
        <v>2474</v>
      </c>
      <c r="H43" s="5" t="str">
        <f t="shared" si="0"/>
        <v>att_celllines</v>
      </c>
      <c r="I43" s="5" t="s">
        <v>469</v>
      </c>
      <c r="J43" s="5" t="str">
        <f t="shared" si="1"/>
        <v>att_celllines:hct15</v>
      </c>
      <c r="K43" s="9" t="s">
        <v>17</v>
      </c>
      <c r="L43" s="5" t="s">
        <v>456</v>
      </c>
      <c r="M43" s="5" t="s">
        <v>2475</v>
      </c>
      <c r="N43" s="5" t="str">
        <f t="shared" si="2"/>
        <v>INSERT INTO attributes (parent_id, tag, name, priority, allow_as_filter, allow_for_dataset, allow_for_measurement, allow_for_users, allow_for_qc) VALUES (NULL, 'att_celllines',  'Celllines',  500,  TRUE, TRUE, TRUE, FALSE, FALSE);</v>
      </c>
      <c r="O43" s="5" t="str">
        <f t="shared" si="3"/>
        <v xml:space="preserve">INSERT INTO attribute_values (attribute_id, tag, name, details) VALUES ((SELECT id FROM attributes WHERE tag = 'att_celllines' LIMIT 1),  'att_celllines:hct15',  'HCT-15',  'Human NCI-60 cell line; Colon cancer'); </v>
      </c>
    </row>
    <row r="44" spans="1:15" x14ac:dyDescent="0.15">
      <c r="A44" s="10" t="b">
        <f>FALSE()</f>
        <v>0</v>
      </c>
      <c r="B44" s="10"/>
      <c r="C44" s="5" t="s">
        <v>471</v>
      </c>
      <c r="D44" s="5" t="s">
        <v>472</v>
      </c>
      <c r="E44" s="5" t="s">
        <v>13</v>
      </c>
      <c r="F44" s="5" t="s">
        <v>2473</v>
      </c>
      <c r="G44" s="5" t="s">
        <v>2474</v>
      </c>
      <c r="H44" s="5" t="str">
        <f t="shared" si="0"/>
        <v>att_celllines</v>
      </c>
      <c r="I44" s="5" t="s">
        <v>471</v>
      </c>
      <c r="J44" s="5" t="str">
        <f t="shared" si="1"/>
        <v>att_celllines:hek293</v>
      </c>
      <c r="K44" s="9" t="s">
        <v>17</v>
      </c>
      <c r="L44" s="5" t="s">
        <v>473</v>
      </c>
      <c r="M44" s="5" t="s">
        <v>2476</v>
      </c>
      <c r="N44" s="5" t="str">
        <f t="shared" si="2"/>
        <v>INSERT INTO attributes (parent_id, tag, name, priority, allow_as_filter, allow_for_dataset, allow_for_measurement, allow_for_users, allow_for_qc) VALUES (NULL, 'att_celllines',  'Celllines',  500,  TRUE, TRUE, TRUE, FALSE, FALSE);</v>
      </c>
      <c r="O44" s="5"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0" t="b">
        <f>FALSE()</f>
        <v>0</v>
      </c>
      <c r="B45" s="10"/>
      <c r="C45" s="5" t="s">
        <v>474</v>
      </c>
      <c r="D45" s="5" t="s">
        <v>475</v>
      </c>
      <c r="E45" s="5" t="s">
        <v>13</v>
      </c>
      <c r="F45" s="5" t="s">
        <v>2473</v>
      </c>
      <c r="G45" s="5" t="s">
        <v>2474</v>
      </c>
      <c r="H45" s="5" t="str">
        <f t="shared" si="0"/>
        <v>att_celllines</v>
      </c>
      <c r="I45" s="5" t="s">
        <v>474</v>
      </c>
      <c r="J45" s="5" t="str">
        <f t="shared" si="1"/>
        <v>att_celllines:hek293t</v>
      </c>
      <c r="K45" s="9" t="s">
        <v>17</v>
      </c>
      <c r="L45" s="5" t="s">
        <v>476</v>
      </c>
      <c r="M45" s="5" t="s">
        <v>2476</v>
      </c>
      <c r="N45" s="5" t="str">
        <f t="shared" si="2"/>
        <v>INSERT INTO attributes (parent_id, tag, name, priority, allow_as_filter, allow_for_dataset, allow_for_measurement, allow_for_users, allow_for_qc) VALUES (NULL, 'att_celllines',  'Celllines',  500,  TRUE, TRUE, TRUE, FALSE, FALSE);</v>
      </c>
      <c r="O45" s="5"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0" t="b">
        <f>FALSE()</f>
        <v>0</v>
      </c>
      <c r="B46" s="10"/>
      <c r="C46" s="5" t="s">
        <v>477</v>
      </c>
      <c r="D46" s="5" t="s">
        <v>478</v>
      </c>
      <c r="E46" s="5" t="s">
        <v>13</v>
      </c>
      <c r="F46" s="5" t="s">
        <v>2473</v>
      </c>
      <c r="G46" s="5" t="s">
        <v>2474</v>
      </c>
      <c r="H46" s="5" t="str">
        <f t="shared" si="0"/>
        <v>att_celllines</v>
      </c>
      <c r="I46" s="5" t="s">
        <v>477</v>
      </c>
      <c r="J46" s="5" t="str">
        <f t="shared" si="1"/>
        <v>att_celllines:hela</v>
      </c>
      <c r="K46" s="9" t="s">
        <v>17</v>
      </c>
      <c r="L46" s="5" t="s">
        <v>479</v>
      </c>
      <c r="M46" s="5" t="s">
        <v>2476</v>
      </c>
      <c r="N46" s="5" t="str">
        <f t="shared" si="2"/>
        <v>INSERT INTO attributes (parent_id, tag, name, priority, allow_as_filter, allow_for_dataset, allow_for_measurement, allow_for_users, allow_for_qc) VALUES (NULL, 'att_celllines',  'Celllines',  500,  TRUE, TRUE, TRUE, FALSE, FALSE);</v>
      </c>
      <c r="O46" s="5"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0" t="b">
        <f>FALSE()</f>
        <v>0</v>
      </c>
      <c r="B47" s="10"/>
      <c r="C47" s="5" t="s">
        <v>480</v>
      </c>
      <c r="D47" s="5" t="s">
        <v>481</v>
      </c>
      <c r="E47" s="5" t="s">
        <v>13</v>
      </c>
      <c r="F47" s="5" t="s">
        <v>2473</v>
      </c>
      <c r="G47" s="5" t="s">
        <v>2474</v>
      </c>
      <c r="H47" s="5" t="str">
        <f t="shared" si="0"/>
        <v>att_celllines</v>
      </c>
      <c r="I47" s="5" t="s">
        <v>480</v>
      </c>
      <c r="J47" s="5" t="str">
        <f t="shared" si="1"/>
        <v>att_celllines:hl60</v>
      </c>
      <c r="K47" s="9" t="s">
        <v>17</v>
      </c>
      <c r="L47" s="5" t="s">
        <v>459</v>
      </c>
      <c r="M47" s="5" t="s">
        <v>2475</v>
      </c>
      <c r="N47" s="5" t="str">
        <f t="shared" si="2"/>
        <v>INSERT INTO attributes (parent_id, tag, name, priority, allow_as_filter, allow_for_dataset, allow_for_measurement, allow_for_users, allow_for_qc) VALUES (NULL, 'att_celllines',  'Celllines',  500,  TRUE, TRUE, TRUE, FALSE, FALSE);</v>
      </c>
      <c r="O47" s="5" t="str">
        <f t="shared" si="3"/>
        <v xml:space="preserve">INSERT INTO attribute_values (attribute_id, tag, name, details) VALUES ((SELECT id FROM attributes WHERE tag = 'att_celllines' LIMIT 1),  'att_celllines:hl60',  'HL-60',  'Human NCI-60 cell line; Leukemia'); </v>
      </c>
    </row>
    <row r="48" spans="1:15" x14ac:dyDescent="0.15">
      <c r="A48" s="10" t="b">
        <f>FALSE()</f>
        <v>0</v>
      </c>
      <c r="B48" s="10"/>
      <c r="C48" s="5" t="s">
        <v>482</v>
      </c>
      <c r="D48" s="5" t="s">
        <v>483</v>
      </c>
      <c r="E48" s="5" t="s">
        <v>13</v>
      </c>
      <c r="F48" s="5" t="s">
        <v>2473</v>
      </c>
      <c r="G48" s="5" t="s">
        <v>2474</v>
      </c>
      <c r="H48" s="5" t="str">
        <f t="shared" si="0"/>
        <v>att_celllines</v>
      </c>
      <c r="I48" s="5" t="s">
        <v>482</v>
      </c>
      <c r="J48" s="5" t="str">
        <f t="shared" si="1"/>
        <v>att_celllines:hop62</v>
      </c>
      <c r="K48" s="9" t="s">
        <v>17</v>
      </c>
      <c r="L48" s="5" t="s">
        <v>438</v>
      </c>
      <c r="M48" s="5" t="s">
        <v>2475</v>
      </c>
      <c r="N48" s="5" t="str">
        <f t="shared" si="2"/>
        <v>INSERT INTO attributes (parent_id, tag, name, priority, allow_as_filter, allow_for_dataset, allow_for_measurement, allow_for_users, allow_for_qc) VALUES (NULL, 'att_celllines',  'Celllines',  500,  TRUE, TRUE, TRUE, FALSE, FALSE);</v>
      </c>
      <c r="O48" s="5"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0" t="b">
        <f>FALSE()</f>
        <v>0</v>
      </c>
      <c r="B49" s="10"/>
      <c r="C49" s="5" t="s">
        <v>484</v>
      </c>
      <c r="D49" s="5" t="s">
        <v>485</v>
      </c>
      <c r="E49" s="5" t="s">
        <v>13</v>
      </c>
      <c r="F49" s="5" t="s">
        <v>2473</v>
      </c>
      <c r="G49" s="5" t="s">
        <v>2474</v>
      </c>
      <c r="H49" s="5" t="str">
        <f t="shared" si="0"/>
        <v>att_celllines</v>
      </c>
      <c r="I49" s="5" t="s">
        <v>484</v>
      </c>
      <c r="J49" s="5" t="str">
        <f t="shared" si="1"/>
        <v>att_celllines:hop92</v>
      </c>
      <c r="K49" s="9" t="s">
        <v>17</v>
      </c>
      <c r="L49" s="5" t="s">
        <v>438</v>
      </c>
      <c r="M49" s="5" t="s">
        <v>2475</v>
      </c>
      <c r="N49" s="5" t="str">
        <f t="shared" si="2"/>
        <v>INSERT INTO attributes (parent_id, tag, name, priority, allow_as_filter, allow_for_dataset, allow_for_measurement, allow_for_users, allow_for_qc) VALUES (NULL, 'att_celllines',  'Celllines',  500,  TRUE, TRUE, TRUE, FALSE, FALSE);</v>
      </c>
      <c r="O49" s="5"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0" t="b">
        <f>FALSE()</f>
        <v>0</v>
      </c>
      <c r="B50" s="10"/>
      <c r="C50" s="5" t="s">
        <v>486</v>
      </c>
      <c r="D50" s="5" t="s">
        <v>487</v>
      </c>
      <c r="E50" s="5" t="s">
        <v>13</v>
      </c>
      <c r="F50" s="5" t="s">
        <v>2473</v>
      </c>
      <c r="G50" s="5" t="s">
        <v>2474</v>
      </c>
      <c r="H50" s="5" t="str">
        <f t="shared" si="0"/>
        <v>att_celllines</v>
      </c>
      <c r="I50" s="5" t="s">
        <v>486</v>
      </c>
      <c r="J50" s="5" t="str">
        <f t="shared" si="1"/>
        <v>att_celllines:hs578t</v>
      </c>
      <c r="K50" s="9" t="s">
        <v>17</v>
      </c>
      <c r="L50" s="5" t="s">
        <v>448</v>
      </c>
      <c r="M50" s="5" t="s">
        <v>2475</v>
      </c>
      <c r="N50" s="5" t="str">
        <f t="shared" si="2"/>
        <v>INSERT INTO attributes (parent_id, tag, name, priority, allow_as_filter, allow_for_dataset, allow_for_measurement, allow_for_users, allow_for_qc) VALUES (NULL, 'att_celllines',  'Celllines',  500,  TRUE, TRUE, TRUE, FALSE, FALSE);</v>
      </c>
      <c r="O50" s="5" t="str">
        <f t="shared" si="3"/>
        <v xml:space="preserve">INSERT INTO attribute_values (attribute_id, tag, name, details) VALUES ((SELECT id FROM attributes WHERE tag = 'att_celllines' LIMIT 1),  'att_celllines:hs578t',  'HS 578T',  'Human NCI-60 cell line; Breast Cancer'); </v>
      </c>
    </row>
    <row r="51" spans="1:15" x14ac:dyDescent="0.15">
      <c r="A51" s="10" t="b">
        <f>FALSE()</f>
        <v>0</v>
      </c>
      <c r="B51" s="10"/>
      <c r="C51" s="5" t="s">
        <v>488</v>
      </c>
      <c r="D51" s="5" t="s">
        <v>489</v>
      </c>
      <c r="E51" s="5" t="s">
        <v>13</v>
      </c>
      <c r="F51" s="5" t="s">
        <v>2473</v>
      </c>
      <c r="G51" s="5" t="s">
        <v>2474</v>
      </c>
      <c r="H51" s="5" t="str">
        <f t="shared" si="0"/>
        <v>att_celllines</v>
      </c>
      <c r="I51" s="5" t="s">
        <v>488</v>
      </c>
      <c r="J51" s="5" t="str">
        <f t="shared" si="1"/>
        <v>att_celllines:ht29</v>
      </c>
      <c r="K51" s="9" t="s">
        <v>17</v>
      </c>
      <c r="L51" s="5" t="s">
        <v>456</v>
      </c>
      <c r="M51" s="5" t="s">
        <v>2475</v>
      </c>
      <c r="N51" s="5" t="str">
        <f t="shared" si="2"/>
        <v>INSERT INTO attributes (parent_id, tag, name, priority, allow_as_filter, allow_for_dataset, allow_for_measurement, allow_for_users, allow_for_qc) VALUES (NULL, 'att_celllines',  'Celllines',  500,  TRUE, TRUE, TRUE, FALSE, FALSE);</v>
      </c>
      <c r="O51" s="5" t="str">
        <f t="shared" si="3"/>
        <v xml:space="preserve">INSERT INTO attribute_values (attribute_id, tag, name, details) VALUES ((SELECT id FROM attributes WHERE tag = 'att_celllines' LIMIT 1),  'att_celllines:ht29',  'HT29',  'Human NCI-60 cell line; Colon cancer'); </v>
      </c>
    </row>
    <row r="52" spans="1:15" x14ac:dyDescent="0.15">
      <c r="A52" s="10" t="b">
        <f>FALSE()</f>
        <v>0</v>
      </c>
      <c r="B52" s="10"/>
      <c r="C52" s="5" t="s">
        <v>490</v>
      </c>
      <c r="D52" s="5" t="s">
        <v>491</v>
      </c>
      <c r="E52" s="5" t="s">
        <v>13</v>
      </c>
      <c r="F52" s="5" t="s">
        <v>2473</v>
      </c>
      <c r="G52" s="5" t="s">
        <v>2474</v>
      </c>
      <c r="H52" s="5" t="str">
        <f t="shared" si="0"/>
        <v>att_celllines</v>
      </c>
      <c r="I52" s="5" t="s">
        <v>490</v>
      </c>
      <c r="J52" s="5" t="str">
        <f t="shared" si="1"/>
        <v>att_celllines:igrov1</v>
      </c>
      <c r="K52" s="9" t="s">
        <v>17</v>
      </c>
      <c r="L52" s="5" t="s">
        <v>492</v>
      </c>
      <c r="M52" s="5" t="s">
        <v>2475</v>
      </c>
      <c r="N52" s="5" t="str">
        <f t="shared" si="2"/>
        <v>INSERT INTO attributes (parent_id, tag, name, priority, allow_as_filter, allow_for_dataset, allow_for_measurement, allow_for_users, allow_for_qc) VALUES (NULL, 'att_celllines',  'Celllines',  500,  TRUE, TRUE, TRUE, FALSE, FALSE);</v>
      </c>
      <c r="O52" s="5" t="str">
        <f t="shared" si="3"/>
        <v xml:space="preserve">INSERT INTO attribute_values (attribute_id, tag, name, details) VALUES ((SELECT id FROM attributes WHERE tag = 'att_celllines' LIMIT 1),  'att_celllines:igrov1',  'IGR-OV1',  'Human NCI-60 cell line; Ovarian Cancer'); </v>
      </c>
    </row>
    <row r="53" spans="1:15" x14ac:dyDescent="0.15">
      <c r="A53" s="10" t="b">
        <f>FALSE()</f>
        <v>0</v>
      </c>
      <c r="B53" s="10"/>
      <c r="C53" s="5" t="s">
        <v>496</v>
      </c>
      <c r="D53" s="5" t="s">
        <v>497</v>
      </c>
      <c r="E53" s="5" t="s">
        <v>13</v>
      </c>
      <c r="F53" s="5" t="s">
        <v>2473</v>
      </c>
      <c r="G53" s="5" t="s">
        <v>2474</v>
      </c>
      <c r="H53" s="5" t="str">
        <f t="shared" si="0"/>
        <v>att_celllines</v>
      </c>
      <c r="I53" s="5" t="s">
        <v>496</v>
      </c>
      <c r="J53" s="5" t="str">
        <f t="shared" si="1"/>
        <v>att_celllines:jeko1</v>
      </c>
      <c r="K53" s="9" t="s">
        <v>17</v>
      </c>
      <c r="L53" s="5" t="s">
        <v>498</v>
      </c>
      <c r="M53" s="5" t="s">
        <v>13</v>
      </c>
      <c r="N53" s="5" t="str">
        <f t="shared" si="2"/>
        <v>INSERT INTO attributes (parent_id, tag, name, priority, allow_as_filter, allow_for_dataset, allow_for_measurement, allow_for_users, allow_for_qc) VALUES (NULL, 'att_celllines',  'Celllines',  500,  TRUE, TRUE, TRUE, FALSE, FALSE);</v>
      </c>
      <c r="O53" s="5" t="str">
        <f t="shared" si="3"/>
        <v xml:space="preserve">INSERT INTO attribute_values (attribute_id, tag, name, details) VALUES ((SELECT id FROM attributes WHERE tag = 'att_celllines' LIMIT 1),  'att_celllines:jeko1',  'JeKo-1',  'Human Mantle cell lymphoma'); </v>
      </c>
    </row>
    <row r="54" spans="1:15" x14ac:dyDescent="0.15">
      <c r="A54" s="10" t="b">
        <f>FALSE()</f>
        <v>0</v>
      </c>
      <c r="B54" s="10"/>
      <c r="C54" s="5" t="s">
        <v>499</v>
      </c>
      <c r="D54" s="5" t="s">
        <v>500</v>
      </c>
      <c r="E54" s="5" t="s">
        <v>13</v>
      </c>
      <c r="F54" s="5" t="s">
        <v>2473</v>
      </c>
      <c r="G54" s="5" t="s">
        <v>2474</v>
      </c>
      <c r="H54" s="5" t="str">
        <f t="shared" si="0"/>
        <v>att_celllines</v>
      </c>
      <c r="I54" s="5" t="s">
        <v>499</v>
      </c>
      <c r="J54" s="5" t="str">
        <f t="shared" si="1"/>
        <v>att_celllines:jurkat</v>
      </c>
      <c r="K54" s="9" t="s">
        <v>17</v>
      </c>
      <c r="L54" s="5" t="s">
        <v>501</v>
      </c>
      <c r="M54" s="5" t="s">
        <v>13</v>
      </c>
      <c r="N54" s="5" t="str">
        <f t="shared" si="2"/>
        <v>INSERT INTO attributes (parent_id, tag, name, priority, allow_as_filter, allow_for_dataset, allow_for_measurement, allow_for_users, allow_for_qc) VALUES (NULL, 'att_celllines',  'Celllines',  500,  TRUE, TRUE, TRUE, FALSE, FALSE);</v>
      </c>
      <c r="O54" s="5"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0" t="b">
        <f>FALSE()</f>
        <v>0</v>
      </c>
      <c r="B55" s="10"/>
      <c r="C55" s="5" t="s">
        <v>502</v>
      </c>
      <c r="D55" s="5" t="s">
        <v>503</v>
      </c>
      <c r="E55" s="5" t="s">
        <v>13</v>
      </c>
      <c r="F55" s="5" t="s">
        <v>2473</v>
      </c>
      <c r="G55" s="5" t="s">
        <v>2474</v>
      </c>
      <c r="H55" s="5" t="str">
        <f t="shared" si="0"/>
        <v>att_celllines</v>
      </c>
      <c r="I55" s="5" t="s">
        <v>502</v>
      </c>
      <c r="J55" s="5" t="str">
        <f t="shared" si="1"/>
        <v>att_celllines:jvm13</v>
      </c>
      <c r="K55" s="9" t="s">
        <v>17</v>
      </c>
      <c r="L55" s="5" t="s">
        <v>498</v>
      </c>
      <c r="M55" s="5" t="s">
        <v>13</v>
      </c>
      <c r="N55" s="5" t="str">
        <f t="shared" si="2"/>
        <v>INSERT INTO attributes (parent_id, tag, name, priority, allow_as_filter, allow_for_dataset, allow_for_measurement, allow_for_users, allow_for_qc) VALUES (NULL, 'att_celllines',  'Celllines',  500,  TRUE, TRUE, TRUE, FALSE, FALSE);</v>
      </c>
      <c r="O55" s="5" t="str">
        <f t="shared" si="3"/>
        <v xml:space="preserve">INSERT INTO attribute_values (attribute_id, tag, name, details) VALUES ((SELECT id FROM attributes WHERE tag = 'att_celllines' LIMIT 1),  'att_celllines:jvm13',  'JVM-13',  'Human Mantle cell lymphoma'); </v>
      </c>
    </row>
    <row r="56" spans="1:15" x14ac:dyDescent="0.15">
      <c r="A56" s="10" t="b">
        <f>FALSE()</f>
        <v>0</v>
      </c>
      <c r="B56" s="10"/>
      <c r="C56" s="5" t="s">
        <v>504</v>
      </c>
      <c r="D56" s="5" t="s">
        <v>505</v>
      </c>
      <c r="E56" s="5" t="s">
        <v>13</v>
      </c>
      <c r="F56" s="5" t="s">
        <v>2473</v>
      </c>
      <c r="G56" s="5" t="s">
        <v>2474</v>
      </c>
      <c r="H56" s="5" t="str">
        <f t="shared" si="0"/>
        <v>att_celllines</v>
      </c>
      <c r="I56" s="5" t="s">
        <v>504</v>
      </c>
      <c r="J56" s="5" t="str">
        <f t="shared" si="1"/>
        <v>att_celllines:jvm2</v>
      </c>
      <c r="K56" s="9" t="s">
        <v>17</v>
      </c>
      <c r="L56" s="5" t="s">
        <v>498</v>
      </c>
      <c r="M56" s="5" t="s">
        <v>13</v>
      </c>
      <c r="N56" s="5" t="str">
        <f t="shared" si="2"/>
        <v>INSERT INTO attributes (parent_id, tag, name, priority, allow_as_filter, allow_for_dataset, allow_for_measurement, allow_for_users, allow_for_qc) VALUES (NULL, 'att_celllines',  'Celllines',  500,  TRUE, TRUE, TRUE, FALSE, FALSE);</v>
      </c>
      <c r="O56" s="5" t="str">
        <f t="shared" si="3"/>
        <v xml:space="preserve">INSERT INTO attribute_values (attribute_id, tag, name, details) VALUES ((SELECT id FROM attributes WHERE tag = 'att_celllines' LIMIT 1),  'att_celllines:jvm2',  'JVM-2',  'Human Mantle cell lymphoma'); </v>
      </c>
    </row>
    <row r="57" spans="1:15" x14ac:dyDescent="0.15">
      <c r="A57" s="10" t="b">
        <f>FALSE()</f>
        <v>0</v>
      </c>
      <c r="B57" s="10"/>
      <c r="C57" s="5" t="s">
        <v>506</v>
      </c>
      <c r="D57" s="5" t="s">
        <v>507</v>
      </c>
      <c r="E57" s="5" t="s">
        <v>13</v>
      </c>
      <c r="F57" s="5" t="s">
        <v>2473</v>
      </c>
      <c r="G57" s="5" t="s">
        <v>2474</v>
      </c>
      <c r="H57" s="5" t="str">
        <f t="shared" si="0"/>
        <v>att_celllines</v>
      </c>
      <c r="I57" s="5" t="s">
        <v>506</v>
      </c>
      <c r="J57" s="5" t="str">
        <f t="shared" si="1"/>
        <v>att_celllines:k562</v>
      </c>
      <c r="K57" s="9" t="s">
        <v>17</v>
      </c>
      <c r="L57" s="5" t="s">
        <v>459</v>
      </c>
      <c r="M57" s="5" t="s">
        <v>2475</v>
      </c>
      <c r="N57" s="5" t="str">
        <f t="shared" si="2"/>
        <v>INSERT INTO attributes (parent_id, tag, name, priority, allow_as_filter, allow_for_dataset, allow_for_measurement, allow_for_users, allow_for_qc) VALUES (NULL, 'att_celllines',  'Celllines',  500,  TRUE, TRUE, TRUE, FALSE, FALSE);</v>
      </c>
      <c r="O57" s="5" t="str">
        <f t="shared" si="3"/>
        <v xml:space="preserve">INSERT INTO attribute_values (attribute_id, tag, name, details) VALUES ((SELECT id FROM attributes WHERE tag = 'att_celllines' LIMIT 1),  'att_celllines:k562',  'K-562',  'Human NCI-60 cell line; Leukemia'); </v>
      </c>
    </row>
    <row r="58" spans="1:15" x14ac:dyDescent="0.15">
      <c r="A58" s="10" t="b">
        <f>FALSE()</f>
        <v>0</v>
      </c>
      <c r="B58" s="10"/>
      <c r="C58" s="5" t="s">
        <v>508</v>
      </c>
      <c r="D58" s="5" t="s">
        <v>509</v>
      </c>
      <c r="E58" s="5" t="s">
        <v>13</v>
      </c>
      <c r="F58" s="5" t="s">
        <v>2473</v>
      </c>
      <c r="G58" s="5" t="s">
        <v>2474</v>
      </c>
      <c r="H58" s="5" t="str">
        <f t="shared" si="0"/>
        <v>att_celllines</v>
      </c>
      <c r="I58" s="5" t="s">
        <v>508</v>
      </c>
      <c r="J58" s="5" t="str">
        <f t="shared" si="1"/>
        <v>att_celllines:km12</v>
      </c>
      <c r="K58" s="9" t="s">
        <v>17</v>
      </c>
      <c r="L58" s="5" t="s">
        <v>456</v>
      </c>
      <c r="M58" s="5" t="s">
        <v>2475</v>
      </c>
      <c r="N58" s="5" t="str">
        <f t="shared" si="2"/>
        <v>INSERT INTO attributes (parent_id, tag, name, priority, allow_as_filter, allow_for_dataset, allow_for_measurement, allow_for_users, allow_for_qc) VALUES (NULL, 'att_celllines',  'Celllines',  500,  TRUE, TRUE, TRUE, FALSE, FALSE);</v>
      </c>
      <c r="O58" s="5" t="str">
        <f t="shared" si="3"/>
        <v xml:space="preserve">INSERT INTO attribute_values (attribute_id, tag, name, details) VALUES ((SELECT id FROM attributes WHERE tag = 'att_celllines' LIMIT 1),  'att_celllines:km12',  'KM12',  'Human NCI-60 cell line; Colon cancer'); </v>
      </c>
    </row>
    <row r="59" spans="1:15" x14ac:dyDescent="0.15">
      <c r="A59" s="10" t="b">
        <f>FALSE()</f>
        <v>0</v>
      </c>
      <c r="B59" s="10"/>
      <c r="C59" s="5" t="s">
        <v>510</v>
      </c>
      <c r="D59" s="5" t="s">
        <v>511</v>
      </c>
      <c r="E59" s="5" t="s">
        <v>13</v>
      </c>
      <c r="F59" s="5" t="s">
        <v>2473</v>
      </c>
      <c r="G59" s="5" t="s">
        <v>2474</v>
      </c>
      <c r="H59" s="5" t="str">
        <f t="shared" si="0"/>
        <v>att_celllines</v>
      </c>
      <c r="I59" s="5" t="s">
        <v>510</v>
      </c>
      <c r="J59" s="5" t="str">
        <f t="shared" si="1"/>
        <v>att_celllines:lox_imvi</v>
      </c>
      <c r="K59" s="9" t="s">
        <v>17</v>
      </c>
      <c r="L59" s="5" t="s">
        <v>512</v>
      </c>
      <c r="M59" s="5" t="s">
        <v>2475</v>
      </c>
      <c r="N59" s="5" t="str">
        <f t="shared" si="2"/>
        <v>INSERT INTO attributes (parent_id, tag, name, priority, allow_as_filter, allow_for_dataset, allow_for_measurement, allow_for_users, allow_for_qc) VALUES (NULL, 'att_celllines',  'Celllines',  500,  TRUE, TRUE, TRUE, FALSE, FALSE);</v>
      </c>
      <c r="O59" s="5" t="str">
        <f t="shared" si="3"/>
        <v xml:space="preserve">INSERT INTO attribute_values (attribute_id, tag, name, details) VALUES ((SELECT id FROM attributes WHERE tag = 'att_celllines' LIMIT 1),  'att_celllines:lox_imvi',  'LOX IMVI',  'Human NCI-60 cell line; Melanoma'); </v>
      </c>
    </row>
    <row r="60" spans="1:15" x14ac:dyDescent="0.15">
      <c r="A60" s="10" t="b">
        <f>FALSE()</f>
        <v>0</v>
      </c>
      <c r="B60" s="10"/>
      <c r="C60" s="5" t="s">
        <v>513</v>
      </c>
      <c r="D60" s="5" t="s">
        <v>514</v>
      </c>
      <c r="E60" s="5" t="s">
        <v>13</v>
      </c>
      <c r="F60" s="5" t="s">
        <v>2473</v>
      </c>
      <c r="G60" s="5" t="s">
        <v>2474</v>
      </c>
      <c r="H60" s="5" t="str">
        <f t="shared" si="0"/>
        <v>att_celllines</v>
      </c>
      <c r="I60" s="5" t="s">
        <v>513</v>
      </c>
      <c r="J60" s="5" t="str">
        <f t="shared" si="1"/>
        <v>att_celllines:m14</v>
      </c>
      <c r="K60" s="9" t="s">
        <v>17</v>
      </c>
      <c r="L60" s="5" t="s">
        <v>512</v>
      </c>
      <c r="M60" s="5" t="s">
        <v>2475</v>
      </c>
      <c r="N60" s="5" t="str">
        <f t="shared" si="2"/>
        <v>INSERT INTO attributes (parent_id, tag, name, priority, allow_as_filter, allow_for_dataset, allow_for_measurement, allow_for_users, allow_for_qc) VALUES (NULL, 'att_celllines',  'Celllines',  500,  TRUE, TRUE, TRUE, FALSE, FALSE);</v>
      </c>
      <c r="O60" s="5" t="str">
        <f t="shared" si="3"/>
        <v xml:space="preserve">INSERT INTO attribute_values (attribute_id, tag, name, details) VALUES ((SELECT id FROM attributes WHERE tag = 'att_celllines' LIMIT 1),  'att_celllines:m14',  'M14',  'Human NCI-60 cell line; Melanoma'); </v>
      </c>
    </row>
    <row r="61" spans="1:15" x14ac:dyDescent="0.15">
      <c r="A61" s="10" t="b">
        <f>FALSE()</f>
        <v>0</v>
      </c>
      <c r="B61" s="10"/>
      <c r="C61" s="5" t="s">
        <v>515</v>
      </c>
      <c r="D61" s="5" t="s">
        <v>516</v>
      </c>
      <c r="E61" s="5" t="s">
        <v>13</v>
      </c>
      <c r="F61" s="5" t="s">
        <v>2473</v>
      </c>
      <c r="G61" s="5" t="s">
        <v>2474</v>
      </c>
      <c r="H61" s="5" t="str">
        <f t="shared" si="0"/>
        <v>att_celllines</v>
      </c>
      <c r="I61" s="5" t="s">
        <v>515</v>
      </c>
      <c r="J61" s="5" t="str">
        <f t="shared" si="1"/>
        <v>att_celllines:malme3m</v>
      </c>
      <c r="K61" s="9" t="s">
        <v>17</v>
      </c>
      <c r="L61" s="5" t="s">
        <v>512</v>
      </c>
      <c r="M61" s="5" t="s">
        <v>2475</v>
      </c>
      <c r="N61" s="5" t="str">
        <f t="shared" si="2"/>
        <v>INSERT INTO attributes (parent_id, tag, name, priority, allow_as_filter, allow_for_dataset, allow_for_measurement, allow_for_users, allow_for_qc) VALUES (NULL, 'att_celllines',  'Celllines',  500,  TRUE, TRUE, TRUE, FALSE, FALSE);</v>
      </c>
      <c r="O61" s="5" t="str">
        <f t="shared" si="3"/>
        <v xml:space="preserve">INSERT INTO attribute_values (attribute_id, tag, name, details) VALUES ((SELECT id FROM attributes WHERE tag = 'att_celllines' LIMIT 1),  'att_celllines:malme3m',  'MALME-3M',  'Human NCI-60 cell line; Melanoma'); </v>
      </c>
    </row>
    <row r="62" spans="1:15" x14ac:dyDescent="0.15">
      <c r="A62" s="10" t="b">
        <f>FALSE()</f>
        <v>0</v>
      </c>
      <c r="B62" s="10"/>
      <c r="C62" s="5" t="s">
        <v>517</v>
      </c>
      <c r="D62" s="5" t="s">
        <v>518</v>
      </c>
      <c r="E62" s="5" t="s">
        <v>13</v>
      </c>
      <c r="F62" s="5" t="s">
        <v>2473</v>
      </c>
      <c r="G62" s="5" t="s">
        <v>2474</v>
      </c>
      <c r="H62" s="5" t="str">
        <f t="shared" si="0"/>
        <v>att_celllines</v>
      </c>
      <c r="I62" s="5" t="s">
        <v>517</v>
      </c>
      <c r="J62" s="5" t="str">
        <f t="shared" si="1"/>
        <v>att_celllines:maver1</v>
      </c>
      <c r="K62" s="9" t="s">
        <v>17</v>
      </c>
      <c r="L62" s="5" t="s">
        <v>498</v>
      </c>
      <c r="M62" s="5" t="s">
        <v>13</v>
      </c>
      <c r="N62" s="5" t="str">
        <f t="shared" si="2"/>
        <v>INSERT INTO attributes (parent_id, tag, name, priority, allow_as_filter, allow_for_dataset, allow_for_measurement, allow_for_users, allow_for_qc) VALUES (NULL, 'att_celllines',  'Celllines',  500,  TRUE, TRUE, TRUE, FALSE, FALSE);</v>
      </c>
      <c r="O62" s="5" t="str">
        <f t="shared" si="3"/>
        <v xml:space="preserve">INSERT INTO attribute_values (attribute_id, tag, name, details) VALUES ((SELECT id FROM attributes WHERE tag = 'att_celllines' LIMIT 1),  'att_celllines:maver1',  'MAVER-1',  'Human Mantle cell lymphoma'); </v>
      </c>
    </row>
    <row r="63" spans="1:15" x14ac:dyDescent="0.15">
      <c r="A63" s="10" t="b">
        <f>FALSE()</f>
        <v>0</v>
      </c>
      <c r="B63" s="10"/>
      <c r="C63" s="5" t="s">
        <v>519</v>
      </c>
      <c r="D63" s="5" t="s">
        <v>520</v>
      </c>
      <c r="E63" s="5" t="s">
        <v>13</v>
      </c>
      <c r="F63" s="5" t="s">
        <v>2473</v>
      </c>
      <c r="G63" s="5" t="s">
        <v>2474</v>
      </c>
      <c r="H63" s="5" t="str">
        <f t="shared" si="0"/>
        <v>att_celllines</v>
      </c>
      <c r="I63" s="5" t="s">
        <v>519</v>
      </c>
      <c r="J63" s="5" t="str">
        <f t="shared" si="1"/>
        <v>att_celllines:mcf7</v>
      </c>
      <c r="K63" s="9" t="s">
        <v>17</v>
      </c>
      <c r="L63" s="5" t="s">
        <v>448</v>
      </c>
      <c r="M63" s="5" t="s">
        <v>2475</v>
      </c>
      <c r="N63" s="5" t="str">
        <f t="shared" si="2"/>
        <v>INSERT INTO attributes (parent_id, tag, name, priority, allow_as_filter, allow_for_dataset, allow_for_measurement, allow_for_users, allow_for_qc) VALUES (NULL, 'att_celllines',  'Celllines',  500,  TRUE, TRUE, TRUE, FALSE, FALSE);</v>
      </c>
      <c r="O63" s="5" t="str">
        <f t="shared" si="3"/>
        <v xml:space="preserve">INSERT INTO attribute_values (attribute_id, tag, name, details) VALUES ((SELECT id FROM attributes WHERE tag = 'att_celllines' LIMIT 1),  'att_celllines:mcf7',  'MCF7',  'Human NCI-60 cell line; Breast Cancer'); </v>
      </c>
    </row>
    <row r="64" spans="1:15" x14ac:dyDescent="0.15">
      <c r="A64" s="10" t="b">
        <f>FALSE()</f>
        <v>0</v>
      </c>
      <c r="B64" s="10"/>
      <c r="C64" s="5" t="s">
        <v>521</v>
      </c>
      <c r="D64" s="5" t="s">
        <v>522</v>
      </c>
      <c r="E64" s="5" t="s">
        <v>13</v>
      </c>
      <c r="F64" s="5" t="s">
        <v>2473</v>
      </c>
      <c r="G64" s="5" t="s">
        <v>2474</v>
      </c>
      <c r="H64" s="5" t="str">
        <f t="shared" si="0"/>
        <v>att_celllines</v>
      </c>
      <c r="I64" s="5" t="s">
        <v>521</v>
      </c>
      <c r="J64" s="5" t="str">
        <f t="shared" si="1"/>
        <v>att_celllines:mdamb231</v>
      </c>
      <c r="K64" s="9" t="s">
        <v>17</v>
      </c>
      <c r="L64" s="5" t="s">
        <v>448</v>
      </c>
      <c r="M64" s="5" t="s">
        <v>2475</v>
      </c>
      <c r="N64" s="5" t="str">
        <f t="shared" si="2"/>
        <v>INSERT INTO attributes (parent_id, tag, name, priority, allow_as_filter, allow_for_dataset, allow_for_measurement, allow_for_users, allow_for_qc) VALUES (NULL, 'att_celllines',  'Celllines',  500,  TRUE, TRUE, TRUE, FALSE, FALSE);</v>
      </c>
      <c r="O64" s="5"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0" t="b">
        <f>FALSE()</f>
        <v>0</v>
      </c>
      <c r="B65" s="10"/>
      <c r="C65" s="5" t="s">
        <v>523</v>
      </c>
      <c r="D65" s="5" t="s">
        <v>524</v>
      </c>
      <c r="E65" s="5" t="s">
        <v>13</v>
      </c>
      <c r="F65" s="5" t="s">
        <v>2473</v>
      </c>
      <c r="G65" s="5" t="s">
        <v>2474</v>
      </c>
      <c r="H65" s="5" t="str">
        <f t="shared" si="0"/>
        <v>att_celllines</v>
      </c>
      <c r="I65" s="5" t="s">
        <v>523</v>
      </c>
      <c r="J65" s="5" t="str">
        <f t="shared" si="1"/>
        <v>att_celllines:mdamb435</v>
      </c>
      <c r="K65" s="9" t="s">
        <v>17</v>
      </c>
      <c r="L65" s="5" t="s">
        <v>512</v>
      </c>
      <c r="M65" s="5" t="s">
        <v>2475</v>
      </c>
      <c r="N65" s="5" t="str">
        <f t="shared" si="2"/>
        <v>INSERT INTO attributes (parent_id, tag, name, priority, allow_as_filter, allow_for_dataset, allow_for_measurement, allow_for_users, allow_for_qc) VALUES (NULL, 'att_celllines',  'Celllines',  500,  TRUE, TRUE, TRUE, FALSE, FALSE);</v>
      </c>
      <c r="O65" s="5" t="str">
        <f t="shared" si="3"/>
        <v xml:space="preserve">INSERT INTO attribute_values (attribute_id, tag, name, details) VALUES ((SELECT id FROM attributes WHERE tag = 'att_celllines' LIMIT 1),  'att_celllines:mdamb435',  'MDA-MB-435',  'Human NCI-60 cell line; Melanoma'); </v>
      </c>
    </row>
    <row r="66" spans="1:15" x14ac:dyDescent="0.15">
      <c r="A66" s="10" t="b">
        <f>FALSE()</f>
        <v>0</v>
      </c>
      <c r="B66" s="10"/>
      <c r="C66" s="5" t="s">
        <v>525</v>
      </c>
      <c r="D66" s="5" t="s">
        <v>526</v>
      </c>
      <c r="E66" s="5" t="s">
        <v>13</v>
      </c>
      <c r="F66" s="5" t="s">
        <v>2473</v>
      </c>
      <c r="G66" s="5" t="s">
        <v>2474</v>
      </c>
      <c r="H66" s="5" t="str">
        <f t="shared" ref="H66:H129" si="4">"att_"&amp;G66</f>
        <v>att_celllines</v>
      </c>
      <c r="I66" s="5" t="s">
        <v>525</v>
      </c>
      <c r="J66" s="5" t="str">
        <f t="shared" ref="J66:J129" si="5">H66&amp;":"&amp;I66</f>
        <v>att_celllines:mdamb468</v>
      </c>
      <c r="K66" s="9" t="s">
        <v>17</v>
      </c>
      <c r="L66" s="5" t="s">
        <v>448</v>
      </c>
      <c r="M66" s="5" t="s">
        <v>2475</v>
      </c>
      <c r="N66" s="5"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5"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0" t="b">
        <f>FALSE()</f>
        <v>0</v>
      </c>
      <c r="B67" s="10"/>
      <c r="C67" s="5" t="s">
        <v>530</v>
      </c>
      <c r="D67" s="5" t="s">
        <v>531</v>
      </c>
      <c r="E67" s="5" t="s">
        <v>13</v>
      </c>
      <c r="F67" s="5" t="s">
        <v>2473</v>
      </c>
      <c r="G67" s="5" t="s">
        <v>2474</v>
      </c>
      <c r="H67" s="5" t="str">
        <f t="shared" si="4"/>
        <v>att_celllines</v>
      </c>
      <c r="I67" s="5" t="s">
        <v>530</v>
      </c>
      <c r="J67" s="5" t="str">
        <f t="shared" si="5"/>
        <v>att_celllines:mino</v>
      </c>
      <c r="K67" s="9" t="s">
        <v>17</v>
      </c>
      <c r="L67" s="5" t="s">
        <v>498</v>
      </c>
      <c r="M67" s="5" t="s">
        <v>13</v>
      </c>
      <c r="N67" s="5" t="str">
        <f t="shared" si="6"/>
        <v>INSERT INTO attributes (parent_id, tag, name, priority, allow_as_filter, allow_for_dataset, allow_for_measurement, allow_for_users, allow_for_qc) VALUES (NULL, 'att_celllines',  'Celllines',  500,  TRUE, TRUE, TRUE, FALSE, FALSE);</v>
      </c>
      <c r="O67" s="5" t="str">
        <f t="shared" si="7"/>
        <v xml:space="preserve">INSERT INTO attribute_values (attribute_id, tag, name, details) VALUES ((SELECT id FROM attributes WHERE tag = 'att_celllines' LIMIT 1),  'att_celllines:mino',  'Mino',  'Human Mantle cell lymphoma'); </v>
      </c>
    </row>
    <row r="68" spans="1:15" x14ac:dyDescent="0.15">
      <c r="A68" s="10" t="b">
        <f>FALSE()</f>
        <v>0</v>
      </c>
      <c r="B68" s="10"/>
      <c r="C68" s="5" t="s">
        <v>532</v>
      </c>
      <c r="D68" s="5" t="s">
        <v>533</v>
      </c>
      <c r="E68" s="5" t="s">
        <v>13</v>
      </c>
      <c r="F68" s="5" t="s">
        <v>2473</v>
      </c>
      <c r="G68" s="5" t="s">
        <v>2474</v>
      </c>
      <c r="H68" s="5" t="str">
        <f t="shared" si="4"/>
        <v>att_celllines</v>
      </c>
      <c r="I68" s="5" t="s">
        <v>532</v>
      </c>
      <c r="J68" s="5" t="str">
        <f t="shared" si="5"/>
        <v>att_celllines:molt4</v>
      </c>
      <c r="K68" s="9" t="s">
        <v>17</v>
      </c>
      <c r="L68" s="5" t="s">
        <v>459</v>
      </c>
      <c r="M68" s="5" t="s">
        <v>2475</v>
      </c>
      <c r="N68" s="5" t="str">
        <f t="shared" si="6"/>
        <v>INSERT INTO attributes (parent_id, tag, name, priority, allow_as_filter, allow_for_dataset, allow_for_measurement, allow_for_users, allow_for_qc) VALUES (NULL, 'att_celllines',  'Celllines',  500,  TRUE, TRUE, TRUE, FALSE, FALSE);</v>
      </c>
      <c r="O68" s="5" t="str">
        <f t="shared" si="7"/>
        <v xml:space="preserve">INSERT INTO attribute_values (attribute_id, tag, name, details) VALUES ((SELECT id FROM attributes WHERE tag = 'att_celllines' LIMIT 1),  'att_celllines:molt4',  'MOLT-4',  'Human NCI-60 cell line; Leukemia'); </v>
      </c>
    </row>
    <row r="69" spans="1:15" x14ac:dyDescent="0.15">
      <c r="A69" s="10" t="b">
        <f>FALSE()</f>
        <v>0</v>
      </c>
      <c r="B69" s="10"/>
      <c r="C69" s="5" t="s">
        <v>534</v>
      </c>
      <c r="D69" s="5" t="s">
        <v>535</v>
      </c>
      <c r="E69" s="5" t="s">
        <v>13</v>
      </c>
      <c r="F69" s="5" t="s">
        <v>2473</v>
      </c>
      <c r="G69" s="5" t="s">
        <v>2474</v>
      </c>
      <c r="H69" s="5" t="str">
        <f t="shared" si="4"/>
        <v>att_celllines</v>
      </c>
      <c r="I69" s="5" t="s">
        <v>534</v>
      </c>
      <c r="J69" s="5" t="str">
        <f t="shared" si="5"/>
        <v>att_celllines:nceb1</v>
      </c>
      <c r="K69" s="9" t="s">
        <v>17</v>
      </c>
      <c r="L69" s="5" t="s">
        <v>498</v>
      </c>
      <c r="M69" s="5" t="s">
        <v>13</v>
      </c>
      <c r="N69" s="5" t="str">
        <f t="shared" si="6"/>
        <v>INSERT INTO attributes (parent_id, tag, name, priority, allow_as_filter, allow_for_dataset, allow_for_measurement, allow_for_users, allow_for_qc) VALUES (NULL, 'att_celllines',  'Celllines',  500,  TRUE, TRUE, TRUE, FALSE, FALSE);</v>
      </c>
      <c r="O69" s="5" t="str">
        <f t="shared" si="7"/>
        <v xml:space="preserve">INSERT INTO attribute_values (attribute_id, tag, name, details) VALUES ((SELECT id FROM attributes WHERE tag = 'att_celllines' LIMIT 1),  'att_celllines:nceb1',  'NCEB-1',  'Human Mantle cell lymphoma'); </v>
      </c>
    </row>
    <row r="70" spans="1:15" x14ac:dyDescent="0.15">
      <c r="A70" s="10" t="b">
        <f>FALSE()</f>
        <v>0</v>
      </c>
      <c r="B70" s="10"/>
      <c r="C70" s="5" t="s">
        <v>537</v>
      </c>
      <c r="D70" s="5" t="s">
        <v>538</v>
      </c>
      <c r="E70" s="5" t="s">
        <v>13</v>
      </c>
      <c r="F70" s="5" t="s">
        <v>2473</v>
      </c>
      <c r="G70" s="5" t="s">
        <v>2474</v>
      </c>
      <c r="H70" s="5" t="str">
        <f t="shared" si="4"/>
        <v>att_celllines</v>
      </c>
      <c r="I70" s="5" t="s">
        <v>536</v>
      </c>
      <c r="J70" s="5" t="str">
        <f t="shared" si="5"/>
        <v>att_celllines:nci_adrres</v>
      </c>
      <c r="K70" s="9" t="s">
        <v>17</v>
      </c>
      <c r="L70" s="5" t="s">
        <v>492</v>
      </c>
      <c r="M70" s="5" t="s">
        <v>2475</v>
      </c>
      <c r="N70" s="5" t="str">
        <f t="shared" si="6"/>
        <v>INSERT INTO attributes (parent_id, tag, name, priority, allow_as_filter, allow_for_dataset, allow_for_measurement, allow_for_users, allow_for_qc) VALUES (NULL, 'att_celllines',  'Celllines',  500,  TRUE, TRUE, TRUE, FALSE, FALSE);</v>
      </c>
      <c r="O70" s="5"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0" t="b">
        <f>FALSE()</f>
        <v>0</v>
      </c>
      <c r="B71" s="10"/>
      <c r="C71" s="5" t="s">
        <v>540</v>
      </c>
      <c r="D71" s="5" t="s">
        <v>541</v>
      </c>
      <c r="E71" s="5" t="s">
        <v>13</v>
      </c>
      <c r="F71" s="5" t="s">
        <v>2473</v>
      </c>
      <c r="G71" s="5" t="s">
        <v>2474</v>
      </c>
      <c r="H71" s="5" t="str">
        <f t="shared" si="4"/>
        <v>att_celllines</v>
      </c>
      <c r="I71" s="5" t="s">
        <v>539</v>
      </c>
      <c r="J71" s="5" t="str">
        <f t="shared" si="5"/>
        <v>att_celllines:nci_h226</v>
      </c>
      <c r="K71" s="9" t="s">
        <v>17</v>
      </c>
      <c r="L71" s="5" t="s">
        <v>438</v>
      </c>
      <c r="M71" s="5" t="s">
        <v>2475</v>
      </c>
      <c r="N71" s="5" t="str">
        <f t="shared" si="6"/>
        <v>INSERT INTO attributes (parent_id, tag, name, priority, allow_as_filter, allow_for_dataset, allow_for_measurement, allow_for_users, allow_for_qc) VALUES (NULL, 'att_celllines',  'Celllines',  500,  TRUE, TRUE, TRUE, FALSE, FALSE);</v>
      </c>
      <c r="O71" s="5"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0" t="b">
        <f>FALSE()</f>
        <v>0</v>
      </c>
      <c r="B72" s="10"/>
      <c r="C72" s="5" t="s">
        <v>543</v>
      </c>
      <c r="D72" s="5" t="s">
        <v>544</v>
      </c>
      <c r="E72" s="5" t="s">
        <v>13</v>
      </c>
      <c r="F72" s="5" t="s">
        <v>2473</v>
      </c>
      <c r="G72" s="5" t="s">
        <v>2474</v>
      </c>
      <c r="H72" s="5" t="str">
        <f t="shared" si="4"/>
        <v>att_celllines</v>
      </c>
      <c r="I72" s="5" t="s">
        <v>542</v>
      </c>
      <c r="J72" s="5" t="str">
        <f t="shared" si="5"/>
        <v>att_celllines:nci_h23</v>
      </c>
      <c r="K72" s="9" t="s">
        <v>17</v>
      </c>
      <c r="L72" s="5" t="s">
        <v>438</v>
      </c>
      <c r="M72" s="5" t="s">
        <v>2475</v>
      </c>
      <c r="N72" s="5" t="str">
        <f t="shared" si="6"/>
        <v>INSERT INTO attributes (parent_id, tag, name, priority, allow_as_filter, allow_for_dataset, allow_for_measurement, allow_for_users, allow_for_qc) VALUES (NULL, 'att_celllines',  'Celllines',  500,  TRUE, TRUE, TRUE, FALSE, FALSE);</v>
      </c>
      <c r="O72" s="5"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0" t="b">
        <f>FALSE()</f>
        <v>0</v>
      </c>
      <c r="B73" s="10"/>
      <c r="C73" s="5" t="s">
        <v>546</v>
      </c>
      <c r="D73" s="5" t="s">
        <v>547</v>
      </c>
      <c r="E73" s="5" t="s">
        <v>13</v>
      </c>
      <c r="F73" s="5" t="s">
        <v>2473</v>
      </c>
      <c r="G73" s="5" t="s">
        <v>2474</v>
      </c>
      <c r="H73" s="5" t="str">
        <f t="shared" si="4"/>
        <v>att_celllines</v>
      </c>
      <c r="I73" s="5" t="s">
        <v>545</v>
      </c>
      <c r="J73" s="5" t="str">
        <f t="shared" si="5"/>
        <v>att_celllines:nci_h322m</v>
      </c>
      <c r="K73" s="9" t="s">
        <v>17</v>
      </c>
      <c r="L73" s="5" t="s">
        <v>438</v>
      </c>
      <c r="M73" s="5" t="s">
        <v>2475</v>
      </c>
      <c r="N73" s="5" t="str">
        <f t="shared" si="6"/>
        <v>INSERT INTO attributes (parent_id, tag, name, priority, allow_as_filter, allow_for_dataset, allow_for_measurement, allow_for_users, allow_for_qc) VALUES (NULL, 'att_celllines',  'Celllines',  500,  TRUE, TRUE, TRUE, FALSE, FALSE);</v>
      </c>
      <c r="O73" s="5"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0" t="b">
        <f>FALSE()</f>
        <v>0</v>
      </c>
      <c r="B74" s="10"/>
      <c r="C74" s="5" t="s">
        <v>549</v>
      </c>
      <c r="D74" s="5" t="s">
        <v>550</v>
      </c>
      <c r="E74" s="5" t="s">
        <v>13</v>
      </c>
      <c r="F74" s="5" t="s">
        <v>2473</v>
      </c>
      <c r="G74" s="5" t="s">
        <v>2474</v>
      </c>
      <c r="H74" s="5" t="str">
        <f t="shared" si="4"/>
        <v>att_celllines</v>
      </c>
      <c r="I74" s="5" t="s">
        <v>548</v>
      </c>
      <c r="J74" s="5" t="str">
        <f t="shared" si="5"/>
        <v>att_celllines:nci_h460</v>
      </c>
      <c r="K74" s="9" t="s">
        <v>17</v>
      </c>
      <c r="L74" s="5" t="s">
        <v>438</v>
      </c>
      <c r="M74" s="5" t="s">
        <v>2475</v>
      </c>
      <c r="N74" s="5" t="str">
        <f t="shared" si="6"/>
        <v>INSERT INTO attributes (parent_id, tag, name, priority, allow_as_filter, allow_for_dataset, allow_for_measurement, allow_for_users, allow_for_qc) VALUES (NULL, 'att_celllines',  'Celllines',  500,  TRUE, TRUE, TRUE, FALSE, FALSE);</v>
      </c>
      <c r="O74" s="5"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0" t="b">
        <f>FALSE()</f>
        <v>0</v>
      </c>
      <c r="B75" s="10"/>
      <c r="C75" s="5" t="s">
        <v>552</v>
      </c>
      <c r="D75" s="5" t="s">
        <v>553</v>
      </c>
      <c r="E75" s="5" t="s">
        <v>13</v>
      </c>
      <c r="F75" s="5" t="s">
        <v>2473</v>
      </c>
      <c r="G75" s="5" t="s">
        <v>2474</v>
      </c>
      <c r="H75" s="5" t="str">
        <f t="shared" si="4"/>
        <v>att_celllines</v>
      </c>
      <c r="I75" s="5" t="s">
        <v>551</v>
      </c>
      <c r="J75" s="5" t="str">
        <f t="shared" si="5"/>
        <v>att_celllines:nci_h522</v>
      </c>
      <c r="K75" s="9" t="s">
        <v>17</v>
      </c>
      <c r="L75" s="5" t="s">
        <v>438</v>
      </c>
      <c r="M75" s="5" t="s">
        <v>2475</v>
      </c>
      <c r="N75" s="5" t="str">
        <f t="shared" si="6"/>
        <v>INSERT INTO attributes (parent_id, tag, name, priority, allow_as_filter, allow_for_dataset, allow_for_measurement, allow_for_users, allow_for_qc) VALUES (NULL, 'att_celllines',  'Celllines',  500,  TRUE, TRUE, TRUE, FALSE, FALSE);</v>
      </c>
      <c r="O75" s="5"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0" t="b">
        <f>FALSE()</f>
        <v>0</v>
      </c>
      <c r="B76" s="10"/>
      <c r="C76" s="5" t="s">
        <v>554</v>
      </c>
      <c r="D76" s="5" t="s">
        <v>555</v>
      </c>
      <c r="E76" s="5" t="s">
        <v>13</v>
      </c>
      <c r="F76" s="5" t="s">
        <v>2473</v>
      </c>
      <c r="G76" s="5" t="s">
        <v>2474</v>
      </c>
      <c r="H76" s="5" t="str">
        <f t="shared" si="4"/>
        <v>att_celllines</v>
      </c>
      <c r="I76" s="5" t="s">
        <v>554</v>
      </c>
      <c r="J76" s="5" t="str">
        <f t="shared" si="5"/>
        <v>att_celllines:ovcar3</v>
      </c>
      <c r="K76" s="9" t="s">
        <v>17</v>
      </c>
      <c r="L76" s="5" t="s">
        <v>492</v>
      </c>
      <c r="M76" s="5" t="s">
        <v>2475</v>
      </c>
      <c r="N76" s="5" t="str">
        <f t="shared" si="6"/>
        <v>INSERT INTO attributes (parent_id, tag, name, priority, allow_as_filter, allow_for_dataset, allow_for_measurement, allow_for_users, allow_for_qc) VALUES (NULL, 'att_celllines',  'Celllines',  500,  TRUE, TRUE, TRUE, FALSE, FALSE);</v>
      </c>
      <c r="O76" s="5" t="str">
        <f t="shared" si="7"/>
        <v xml:space="preserve">INSERT INTO attribute_values (attribute_id, tag, name, details) VALUES ((SELECT id FROM attributes WHERE tag = 'att_celllines' LIMIT 1),  'att_celllines:ovcar3',  'OVCAR-3',  'Human NCI-60 cell line; Ovarian Cancer'); </v>
      </c>
    </row>
    <row r="77" spans="1:15" x14ac:dyDescent="0.15">
      <c r="A77" s="10" t="b">
        <f>FALSE()</f>
        <v>0</v>
      </c>
      <c r="B77" s="10"/>
      <c r="C77" s="5" t="s">
        <v>556</v>
      </c>
      <c r="D77" s="5" t="s">
        <v>557</v>
      </c>
      <c r="E77" s="5" t="s">
        <v>13</v>
      </c>
      <c r="F77" s="5" t="s">
        <v>2473</v>
      </c>
      <c r="G77" s="5" t="s">
        <v>2474</v>
      </c>
      <c r="H77" s="5" t="str">
        <f t="shared" si="4"/>
        <v>att_celllines</v>
      </c>
      <c r="I77" s="5" t="s">
        <v>556</v>
      </c>
      <c r="J77" s="5" t="str">
        <f t="shared" si="5"/>
        <v>att_celllines:ovcar4</v>
      </c>
      <c r="K77" s="9" t="s">
        <v>17</v>
      </c>
      <c r="L77" s="5" t="s">
        <v>492</v>
      </c>
      <c r="M77" s="5" t="s">
        <v>2475</v>
      </c>
      <c r="N77" s="5" t="str">
        <f t="shared" si="6"/>
        <v>INSERT INTO attributes (parent_id, tag, name, priority, allow_as_filter, allow_for_dataset, allow_for_measurement, allow_for_users, allow_for_qc) VALUES (NULL, 'att_celllines',  'Celllines',  500,  TRUE, TRUE, TRUE, FALSE, FALSE);</v>
      </c>
      <c r="O77" s="5" t="str">
        <f t="shared" si="7"/>
        <v xml:space="preserve">INSERT INTO attribute_values (attribute_id, tag, name, details) VALUES ((SELECT id FROM attributes WHERE tag = 'att_celllines' LIMIT 1),  'att_celllines:ovcar4',  'OVCAR-4',  'Human NCI-60 cell line; Ovarian Cancer'); </v>
      </c>
    </row>
    <row r="78" spans="1:15" x14ac:dyDescent="0.15">
      <c r="A78" s="10" t="b">
        <f>FALSE()</f>
        <v>0</v>
      </c>
      <c r="B78" s="10"/>
      <c r="C78" s="5" t="s">
        <v>558</v>
      </c>
      <c r="D78" s="5" t="s">
        <v>559</v>
      </c>
      <c r="E78" s="5" t="s">
        <v>13</v>
      </c>
      <c r="F78" s="5" t="s">
        <v>2473</v>
      </c>
      <c r="G78" s="5" t="s">
        <v>2474</v>
      </c>
      <c r="H78" s="5" t="str">
        <f t="shared" si="4"/>
        <v>att_celllines</v>
      </c>
      <c r="I78" s="5" t="s">
        <v>558</v>
      </c>
      <c r="J78" s="5" t="str">
        <f t="shared" si="5"/>
        <v>att_celllines:ovcar5</v>
      </c>
      <c r="K78" s="9" t="s">
        <v>17</v>
      </c>
      <c r="L78" s="5" t="s">
        <v>492</v>
      </c>
      <c r="M78" s="5" t="s">
        <v>2475</v>
      </c>
      <c r="N78" s="5" t="str">
        <f t="shared" si="6"/>
        <v>INSERT INTO attributes (parent_id, tag, name, priority, allow_as_filter, allow_for_dataset, allow_for_measurement, allow_for_users, allow_for_qc) VALUES (NULL, 'att_celllines',  'Celllines',  500,  TRUE, TRUE, TRUE, FALSE, FALSE);</v>
      </c>
      <c r="O78" s="5" t="str">
        <f t="shared" si="7"/>
        <v xml:space="preserve">INSERT INTO attribute_values (attribute_id, tag, name, details) VALUES ((SELECT id FROM attributes WHERE tag = 'att_celllines' LIMIT 1),  'att_celllines:ovcar5',  'OVCAR-5',  'Human NCI-60 cell line; Ovarian Cancer'); </v>
      </c>
    </row>
    <row r="79" spans="1:15" x14ac:dyDescent="0.15">
      <c r="A79" s="10" t="b">
        <f>FALSE()</f>
        <v>0</v>
      </c>
      <c r="B79" s="10"/>
      <c r="C79" s="5" t="s">
        <v>560</v>
      </c>
      <c r="D79" s="5" t="s">
        <v>561</v>
      </c>
      <c r="E79" s="5" t="s">
        <v>13</v>
      </c>
      <c r="F79" s="5" t="s">
        <v>2473</v>
      </c>
      <c r="G79" s="5" t="s">
        <v>2474</v>
      </c>
      <c r="H79" s="5" t="str">
        <f t="shared" si="4"/>
        <v>att_celllines</v>
      </c>
      <c r="I79" s="5" t="s">
        <v>560</v>
      </c>
      <c r="J79" s="5" t="str">
        <f t="shared" si="5"/>
        <v>att_celllines:ovcar8</v>
      </c>
      <c r="K79" s="9" t="s">
        <v>17</v>
      </c>
      <c r="L79" s="5" t="s">
        <v>492</v>
      </c>
      <c r="M79" s="5" t="s">
        <v>2475</v>
      </c>
      <c r="N79" s="5" t="str">
        <f t="shared" si="6"/>
        <v>INSERT INTO attributes (parent_id, tag, name, priority, allow_as_filter, allow_for_dataset, allow_for_measurement, allow_for_users, allow_for_qc) VALUES (NULL, 'att_celllines',  'Celllines',  500,  TRUE, TRUE, TRUE, FALSE, FALSE);</v>
      </c>
      <c r="O79" s="5" t="str">
        <f t="shared" si="7"/>
        <v xml:space="preserve">INSERT INTO attribute_values (attribute_id, tag, name, details) VALUES ((SELECT id FROM attributes WHERE tag = 'att_celllines' LIMIT 1),  'att_celllines:ovcar8',  'OVCAR-8',  'Human NCI-60 cell line; Ovarian Cancer'); </v>
      </c>
    </row>
    <row r="80" spans="1:15" x14ac:dyDescent="0.15">
      <c r="A80" s="10" t="b">
        <f>FALSE()</f>
        <v>0</v>
      </c>
      <c r="B80" s="10"/>
      <c r="C80" s="5" t="s">
        <v>562</v>
      </c>
      <c r="D80" s="5" t="s">
        <v>563</v>
      </c>
      <c r="E80" s="5" t="s">
        <v>13</v>
      </c>
      <c r="F80" s="5" t="s">
        <v>2473</v>
      </c>
      <c r="G80" s="5" t="s">
        <v>2474</v>
      </c>
      <c r="H80" s="5" t="str">
        <f t="shared" si="4"/>
        <v>att_celllines</v>
      </c>
      <c r="I80" s="5" t="s">
        <v>562</v>
      </c>
      <c r="J80" s="5" t="str">
        <f t="shared" si="5"/>
        <v>att_celllines:p388</v>
      </c>
      <c r="K80" s="9" t="s">
        <v>17</v>
      </c>
      <c r="L80" s="5" t="s">
        <v>564</v>
      </c>
      <c r="M80" s="5" t="s">
        <v>13</v>
      </c>
      <c r="N80" s="5" t="str">
        <f t="shared" si="6"/>
        <v>INSERT INTO attributes (parent_id, tag, name, priority, allow_as_filter, allow_for_dataset, allow_for_measurement, allow_for_users, allow_for_qc) VALUES (NULL, 'att_celllines',  'Celllines',  500,  TRUE, TRUE, TRUE, FALSE, FALSE);</v>
      </c>
      <c r="O80" s="5" t="str">
        <f t="shared" si="7"/>
        <v xml:space="preserve">INSERT INTO attribute_values (attribute_id, tag, name, details) VALUES ((SELECT id FROM attributes WHERE tag = 'att_celllines' LIMIT 1),  'att_celllines:p388',  'P388',  'Leukemia'); </v>
      </c>
    </row>
    <row r="81" spans="1:15" x14ac:dyDescent="0.15">
      <c r="A81" s="10" t="b">
        <f>FALSE()</f>
        <v>0</v>
      </c>
      <c r="B81" s="10"/>
      <c r="C81" s="5" t="s">
        <v>565</v>
      </c>
      <c r="D81" s="5" t="s">
        <v>566</v>
      </c>
      <c r="E81" s="5" t="s">
        <v>13</v>
      </c>
      <c r="F81" s="5" t="s">
        <v>2473</v>
      </c>
      <c r="G81" s="5" t="s">
        <v>2474</v>
      </c>
      <c r="H81" s="5" t="str">
        <f t="shared" si="4"/>
        <v>att_celllines</v>
      </c>
      <c r="I81" s="5" t="s">
        <v>565</v>
      </c>
      <c r="J81" s="5" t="str">
        <f t="shared" si="5"/>
        <v>att_celllines:pc3</v>
      </c>
      <c r="K81" s="9" t="s">
        <v>17</v>
      </c>
      <c r="L81" s="5" t="s">
        <v>462</v>
      </c>
      <c r="M81" s="5" t="s">
        <v>2475</v>
      </c>
      <c r="N81" s="5" t="str">
        <f t="shared" si="6"/>
        <v>INSERT INTO attributes (parent_id, tag, name, priority, allow_as_filter, allow_for_dataset, allow_for_measurement, allow_for_users, allow_for_qc) VALUES (NULL, 'att_celllines',  'Celllines',  500,  TRUE, TRUE, TRUE, FALSE, FALSE);</v>
      </c>
      <c r="O81" s="5" t="str">
        <f t="shared" si="7"/>
        <v xml:space="preserve">INSERT INTO attribute_values (attribute_id, tag, name, details) VALUES ((SELECT id FROM attributes WHERE tag = 'att_celllines' LIMIT 1),  'att_celllines:pc3',  'PC-3',  'Human NCI-60 cell line; Prostate Cancer'); </v>
      </c>
    </row>
    <row r="82" spans="1:15" x14ac:dyDescent="0.15">
      <c r="A82" s="10" t="b">
        <f>FALSE()</f>
        <v>0</v>
      </c>
      <c r="B82" s="10"/>
      <c r="C82" s="5" t="s">
        <v>567</v>
      </c>
      <c r="D82" s="5" t="s">
        <v>568</v>
      </c>
      <c r="E82" s="5" t="s">
        <v>13</v>
      </c>
      <c r="F82" s="5" t="s">
        <v>2473</v>
      </c>
      <c r="G82" s="5" t="s">
        <v>2474</v>
      </c>
      <c r="H82" s="5" t="str">
        <f t="shared" si="4"/>
        <v>att_celllines</v>
      </c>
      <c r="I82" s="5" t="s">
        <v>567</v>
      </c>
      <c r="J82" s="5" t="str">
        <f t="shared" si="5"/>
        <v>att_celllines:rec1</v>
      </c>
      <c r="K82" s="9" t="s">
        <v>17</v>
      </c>
      <c r="L82" s="5" t="s">
        <v>498</v>
      </c>
      <c r="M82" s="5" t="s">
        <v>13</v>
      </c>
      <c r="N82" s="5" t="str">
        <f t="shared" si="6"/>
        <v>INSERT INTO attributes (parent_id, tag, name, priority, allow_as_filter, allow_for_dataset, allow_for_measurement, allow_for_users, allow_for_qc) VALUES (NULL, 'att_celllines',  'Celllines',  500,  TRUE, TRUE, TRUE, FALSE, FALSE);</v>
      </c>
      <c r="O82" s="5" t="str">
        <f t="shared" si="7"/>
        <v xml:space="preserve">INSERT INTO attribute_values (attribute_id, tag, name, details) VALUES ((SELECT id FROM attributes WHERE tag = 'att_celllines' LIMIT 1),  'att_celllines:rec1',  'REC-1',  'Human Mantle cell lymphoma'); </v>
      </c>
    </row>
    <row r="83" spans="1:15" x14ac:dyDescent="0.15">
      <c r="A83" s="10" t="b">
        <f>FALSE()</f>
        <v>0</v>
      </c>
      <c r="B83" s="10"/>
      <c r="C83" s="5" t="s">
        <v>569</v>
      </c>
      <c r="D83" s="5" t="s">
        <v>570</v>
      </c>
      <c r="E83" s="5" t="s">
        <v>13</v>
      </c>
      <c r="F83" s="5" t="s">
        <v>2473</v>
      </c>
      <c r="G83" s="5" t="s">
        <v>2474</v>
      </c>
      <c r="H83" s="5" t="str">
        <f t="shared" si="4"/>
        <v>att_celllines</v>
      </c>
      <c r="I83" s="5" t="s">
        <v>569</v>
      </c>
      <c r="J83" s="5" t="str">
        <f t="shared" si="5"/>
        <v>att_celllines:rpmi8226</v>
      </c>
      <c r="K83" s="9" t="s">
        <v>17</v>
      </c>
      <c r="L83" s="5" t="s">
        <v>459</v>
      </c>
      <c r="M83" s="5" t="s">
        <v>2475</v>
      </c>
      <c r="N83" s="5" t="str">
        <f t="shared" si="6"/>
        <v>INSERT INTO attributes (parent_id, tag, name, priority, allow_as_filter, allow_for_dataset, allow_for_measurement, allow_for_users, allow_for_qc) VALUES (NULL, 'att_celllines',  'Celllines',  500,  TRUE, TRUE, TRUE, FALSE, FALSE);</v>
      </c>
      <c r="O83" s="5" t="str">
        <f t="shared" si="7"/>
        <v xml:space="preserve">INSERT INTO attribute_values (attribute_id, tag, name, details) VALUES ((SELECT id FROM attributes WHERE tag = 'att_celllines' LIMIT 1),  'att_celllines:rpmi8226',  'RPMI-8226',  'Human NCI-60 cell line; Leukemia'); </v>
      </c>
    </row>
    <row r="84" spans="1:15" x14ac:dyDescent="0.15">
      <c r="A84" s="10" t="b">
        <f>FALSE()</f>
        <v>0</v>
      </c>
      <c r="B84" s="10"/>
      <c r="C84" s="5" t="s">
        <v>571</v>
      </c>
      <c r="D84" s="5" t="s">
        <v>572</v>
      </c>
      <c r="E84" s="5" t="s">
        <v>13</v>
      </c>
      <c r="F84" s="5" t="s">
        <v>2473</v>
      </c>
      <c r="G84" s="5" t="s">
        <v>2474</v>
      </c>
      <c r="H84" s="5" t="str">
        <f t="shared" si="4"/>
        <v>att_celllines</v>
      </c>
      <c r="I84" s="5" t="s">
        <v>571</v>
      </c>
      <c r="J84" s="5" t="str">
        <f t="shared" si="5"/>
        <v>att_celllines:rxf393</v>
      </c>
      <c r="K84" s="9" t="s">
        <v>17</v>
      </c>
      <c r="L84" s="5" t="s">
        <v>433</v>
      </c>
      <c r="M84" s="5" t="s">
        <v>2475</v>
      </c>
      <c r="N84" s="5" t="str">
        <f t="shared" si="6"/>
        <v>INSERT INTO attributes (parent_id, tag, name, priority, allow_as_filter, allow_for_dataset, allow_for_measurement, allow_for_users, allow_for_qc) VALUES (NULL, 'att_celllines',  'Celllines',  500,  TRUE, TRUE, TRUE, FALSE, FALSE);</v>
      </c>
      <c r="O84" s="5" t="str">
        <f t="shared" si="7"/>
        <v xml:space="preserve">INSERT INTO attribute_values (attribute_id, tag, name, details) VALUES ((SELECT id FROM attributes WHERE tag = 'att_celllines' LIMIT 1),  'att_celllines:rxf393',  'RXF 393',  'Human NCI-60 cell line; Renal Cancer'); </v>
      </c>
    </row>
    <row r="85" spans="1:15" x14ac:dyDescent="0.15">
      <c r="A85" s="10" t="b">
        <f>FALSE()</f>
        <v>0</v>
      </c>
      <c r="B85" s="10"/>
      <c r="C85" s="5" t="s">
        <v>573</v>
      </c>
      <c r="D85" s="5" t="s">
        <v>574</v>
      </c>
      <c r="E85" s="5" t="s">
        <v>13</v>
      </c>
      <c r="F85" s="5" t="s">
        <v>2473</v>
      </c>
      <c r="G85" s="5" t="s">
        <v>2474</v>
      </c>
      <c r="H85" s="5" t="str">
        <f t="shared" si="4"/>
        <v>att_celllines</v>
      </c>
      <c r="I85" s="5" t="s">
        <v>573</v>
      </c>
      <c r="J85" s="5" t="str">
        <f t="shared" si="5"/>
        <v>att_celllines:sf268</v>
      </c>
      <c r="K85" s="9" t="s">
        <v>17</v>
      </c>
      <c r="L85" s="5" t="s">
        <v>575</v>
      </c>
      <c r="M85" s="5" t="s">
        <v>2475</v>
      </c>
      <c r="N85" s="5" t="str">
        <f t="shared" si="6"/>
        <v>INSERT INTO attributes (parent_id, tag, name, priority, allow_as_filter, allow_for_dataset, allow_for_measurement, allow_for_users, allow_for_qc) VALUES (NULL, 'att_celllines',  'Celllines',  500,  TRUE, TRUE, TRUE, FALSE, FALSE);</v>
      </c>
      <c r="O85" s="5"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0" t="b">
        <f>FALSE()</f>
        <v>0</v>
      </c>
      <c r="B86" s="10"/>
      <c r="C86" s="5" t="s">
        <v>576</v>
      </c>
      <c r="D86" s="5" t="s">
        <v>577</v>
      </c>
      <c r="E86" s="5" t="s">
        <v>13</v>
      </c>
      <c r="F86" s="5" t="s">
        <v>2473</v>
      </c>
      <c r="G86" s="5" t="s">
        <v>2474</v>
      </c>
      <c r="H86" s="5" t="str">
        <f t="shared" si="4"/>
        <v>att_celllines</v>
      </c>
      <c r="I86" s="5" t="s">
        <v>576</v>
      </c>
      <c r="J86" s="5" t="str">
        <f t="shared" si="5"/>
        <v>att_celllines:sf295</v>
      </c>
      <c r="K86" s="9" t="s">
        <v>17</v>
      </c>
      <c r="L86" s="5" t="s">
        <v>575</v>
      </c>
      <c r="M86" s="5" t="s">
        <v>2475</v>
      </c>
      <c r="N86" s="5" t="str">
        <f t="shared" si="6"/>
        <v>INSERT INTO attributes (parent_id, tag, name, priority, allow_as_filter, allow_for_dataset, allow_for_measurement, allow_for_users, allow_for_qc) VALUES (NULL, 'att_celllines',  'Celllines',  500,  TRUE, TRUE, TRUE, FALSE, FALSE);</v>
      </c>
      <c r="O86" s="5"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0" t="b">
        <f>FALSE()</f>
        <v>0</v>
      </c>
      <c r="B87" s="10"/>
      <c r="C87" s="5" t="s">
        <v>578</v>
      </c>
      <c r="D87" s="5" t="s">
        <v>579</v>
      </c>
      <c r="E87" s="5" t="s">
        <v>13</v>
      </c>
      <c r="F87" s="5" t="s">
        <v>2473</v>
      </c>
      <c r="G87" s="5" t="s">
        <v>2474</v>
      </c>
      <c r="H87" s="5" t="str">
        <f t="shared" si="4"/>
        <v>att_celllines</v>
      </c>
      <c r="I87" s="5" t="s">
        <v>578</v>
      </c>
      <c r="J87" s="5" t="str">
        <f t="shared" si="5"/>
        <v>att_celllines:sf539</v>
      </c>
      <c r="K87" s="9" t="s">
        <v>17</v>
      </c>
      <c r="L87" s="5" t="s">
        <v>575</v>
      </c>
      <c r="M87" s="5" t="s">
        <v>2475</v>
      </c>
      <c r="N87" s="5" t="str">
        <f t="shared" si="6"/>
        <v>INSERT INTO attributes (parent_id, tag, name, priority, allow_as_filter, allow_for_dataset, allow_for_measurement, allow_for_users, allow_for_qc) VALUES (NULL, 'att_celllines',  'Celllines',  500,  TRUE, TRUE, TRUE, FALSE, FALSE);</v>
      </c>
      <c r="O87" s="5"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0" t="b">
        <f>FALSE()</f>
        <v>0</v>
      </c>
      <c r="B88" s="10"/>
      <c r="C88" s="5" t="s">
        <v>580</v>
      </c>
      <c r="D88" s="5" t="s">
        <v>581</v>
      </c>
      <c r="E88" s="5" t="s">
        <v>13</v>
      </c>
      <c r="F88" s="5" t="s">
        <v>2473</v>
      </c>
      <c r="G88" s="5" t="s">
        <v>2474</v>
      </c>
      <c r="H88" s="5" t="str">
        <f t="shared" si="4"/>
        <v>att_celllines</v>
      </c>
      <c r="I88" s="5" t="s">
        <v>580</v>
      </c>
      <c r="J88" s="5" t="str">
        <f t="shared" si="5"/>
        <v>att_celllines:skmel2</v>
      </c>
      <c r="K88" s="9" t="s">
        <v>17</v>
      </c>
      <c r="L88" s="5" t="s">
        <v>512</v>
      </c>
      <c r="M88" s="5" t="s">
        <v>2475</v>
      </c>
      <c r="N88" s="5" t="str">
        <f t="shared" si="6"/>
        <v>INSERT INTO attributes (parent_id, tag, name, priority, allow_as_filter, allow_for_dataset, allow_for_measurement, allow_for_users, allow_for_qc) VALUES (NULL, 'att_celllines',  'Celllines',  500,  TRUE, TRUE, TRUE, FALSE, FALSE);</v>
      </c>
      <c r="O88" s="5" t="str">
        <f t="shared" si="7"/>
        <v xml:space="preserve">INSERT INTO attribute_values (attribute_id, tag, name, details) VALUES ((SELECT id FROM attributes WHERE tag = 'att_celllines' LIMIT 1),  'att_celllines:skmel2',  'SK-MEL-2',  'Human NCI-60 cell line; Melanoma'); </v>
      </c>
    </row>
    <row r="89" spans="1:15" x14ac:dyDescent="0.15">
      <c r="A89" s="10" t="b">
        <f>FALSE()</f>
        <v>0</v>
      </c>
      <c r="B89" s="10"/>
      <c r="C89" s="5" t="s">
        <v>582</v>
      </c>
      <c r="D89" s="5" t="s">
        <v>583</v>
      </c>
      <c r="E89" s="5" t="s">
        <v>13</v>
      </c>
      <c r="F89" s="5" t="s">
        <v>2473</v>
      </c>
      <c r="G89" s="5" t="s">
        <v>2474</v>
      </c>
      <c r="H89" s="5" t="str">
        <f t="shared" si="4"/>
        <v>att_celllines</v>
      </c>
      <c r="I89" s="5" t="s">
        <v>582</v>
      </c>
      <c r="J89" s="5" t="str">
        <f t="shared" si="5"/>
        <v>att_celllines:skmel28</v>
      </c>
      <c r="K89" s="9" t="s">
        <v>17</v>
      </c>
      <c r="L89" s="5" t="s">
        <v>512</v>
      </c>
      <c r="M89" s="5" t="s">
        <v>2475</v>
      </c>
      <c r="N89" s="5" t="str">
        <f t="shared" si="6"/>
        <v>INSERT INTO attributes (parent_id, tag, name, priority, allow_as_filter, allow_for_dataset, allow_for_measurement, allow_for_users, allow_for_qc) VALUES (NULL, 'att_celllines',  'Celllines',  500,  TRUE, TRUE, TRUE, FALSE, FALSE);</v>
      </c>
      <c r="O89" s="5" t="str">
        <f t="shared" si="7"/>
        <v xml:space="preserve">INSERT INTO attribute_values (attribute_id, tag, name, details) VALUES ((SELECT id FROM attributes WHERE tag = 'att_celllines' LIMIT 1),  'att_celllines:skmel28',  'SK-MEL-28',  'Human NCI-60 cell line; Melanoma'); </v>
      </c>
    </row>
    <row r="90" spans="1:15" x14ac:dyDescent="0.15">
      <c r="A90" s="10" t="b">
        <f>FALSE()</f>
        <v>0</v>
      </c>
      <c r="B90" s="10"/>
      <c r="C90" s="5" t="s">
        <v>584</v>
      </c>
      <c r="D90" s="5" t="s">
        <v>585</v>
      </c>
      <c r="E90" s="5" t="s">
        <v>13</v>
      </c>
      <c r="F90" s="5" t="s">
        <v>2473</v>
      </c>
      <c r="G90" s="5" t="s">
        <v>2474</v>
      </c>
      <c r="H90" s="5" t="str">
        <f t="shared" si="4"/>
        <v>att_celllines</v>
      </c>
      <c r="I90" s="5" t="s">
        <v>584</v>
      </c>
      <c r="J90" s="5" t="str">
        <f t="shared" si="5"/>
        <v>att_celllines:skmel5</v>
      </c>
      <c r="K90" s="9" t="s">
        <v>17</v>
      </c>
      <c r="L90" s="5" t="s">
        <v>512</v>
      </c>
      <c r="M90" s="5" t="s">
        <v>2475</v>
      </c>
      <c r="N90" s="5" t="str">
        <f t="shared" si="6"/>
        <v>INSERT INTO attributes (parent_id, tag, name, priority, allow_as_filter, allow_for_dataset, allow_for_measurement, allow_for_users, allow_for_qc) VALUES (NULL, 'att_celllines',  'Celllines',  500,  TRUE, TRUE, TRUE, FALSE, FALSE);</v>
      </c>
      <c r="O90" s="5" t="str">
        <f t="shared" si="7"/>
        <v xml:space="preserve">INSERT INTO attribute_values (attribute_id, tag, name, details) VALUES ((SELECT id FROM attributes WHERE tag = 'att_celllines' LIMIT 1),  'att_celllines:skmel5',  'SK-MEL-5',  'Human NCI-60 cell line; Melanoma'); </v>
      </c>
    </row>
    <row r="91" spans="1:15" x14ac:dyDescent="0.15">
      <c r="A91" s="10" t="b">
        <f>FALSE()</f>
        <v>0</v>
      </c>
      <c r="B91" s="10"/>
      <c r="C91" s="5" t="s">
        <v>586</v>
      </c>
      <c r="D91" s="5" t="s">
        <v>587</v>
      </c>
      <c r="E91" s="5" t="s">
        <v>13</v>
      </c>
      <c r="F91" s="5" t="s">
        <v>2473</v>
      </c>
      <c r="G91" s="5" t="s">
        <v>2474</v>
      </c>
      <c r="H91" s="5" t="str">
        <f t="shared" si="4"/>
        <v>att_celllines</v>
      </c>
      <c r="I91" s="5" t="s">
        <v>586</v>
      </c>
      <c r="J91" s="5" t="str">
        <f t="shared" si="5"/>
        <v>att_celllines:skov3</v>
      </c>
      <c r="K91" s="9" t="s">
        <v>17</v>
      </c>
      <c r="L91" s="5" t="s">
        <v>492</v>
      </c>
      <c r="M91" s="5" t="s">
        <v>2475</v>
      </c>
      <c r="N91" s="5" t="str">
        <f t="shared" si="6"/>
        <v>INSERT INTO attributes (parent_id, tag, name, priority, allow_as_filter, allow_for_dataset, allow_for_measurement, allow_for_users, allow_for_qc) VALUES (NULL, 'att_celllines',  'Celllines',  500,  TRUE, TRUE, TRUE, FALSE, FALSE);</v>
      </c>
      <c r="O91" s="5" t="str">
        <f t="shared" si="7"/>
        <v xml:space="preserve">INSERT INTO attribute_values (attribute_id, tag, name, details) VALUES ((SELECT id FROM attributes WHERE tag = 'att_celllines' LIMIT 1),  'att_celllines:skov3',  'SK-OV-3',  'Human NCI-60 cell line; Ovarian Cancer'); </v>
      </c>
    </row>
    <row r="92" spans="1:15" x14ac:dyDescent="0.15">
      <c r="A92" s="10" t="b">
        <f>FALSE()</f>
        <v>0</v>
      </c>
      <c r="B92" s="10"/>
      <c r="C92" s="5" t="s">
        <v>588</v>
      </c>
      <c r="D92" s="5" t="s">
        <v>589</v>
      </c>
      <c r="E92" s="5" t="s">
        <v>13</v>
      </c>
      <c r="F92" s="5" t="s">
        <v>2473</v>
      </c>
      <c r="G92" s="5" t="s">
        <v>2474</v>
      </c>
      <c r="H92" s="5" t="str">
        <f t="shared" si="4"/>
        <v>att_celllines</v>
      </c>
      <c r="I92" s="5" t="s">
        <v>588</v>
      </c>
      <c r="J92" s="5" t="str">
        <f t="shared" si="5"/>
        <v>att_celllines:sn12c</v>
      </c>
      <c r="K92" s="9" t="s">
        <v>17</v>
      </c>
      <c r="L92" s="5" t="s">
        <v>433</v>
      </c>
      <c r="M92" s="5" t="s">
        <v>2475</v>
      </c>
      <c r="N92" s="5" t="str">
        <f t="shared" si="6"/>
        <v>INSERT INTO attributes (parent_id, tag, name, priority, allow_as_filter, allow_for_dataset, allow_for_measurement, allow_for_users, allow_for_qc) VALUES (NULL, 'att_celllines',  'Celllines',  500,  TRUE, TRUE, TRUE, FALSE, FALSE);</v>
      </c>
      <c r="O92" s="5" t="str">
        <f t="shared" si="7"/>
        <v xml:space="preserve">INSERT INTO attribute_values (attribute_id, tag, name, details) VALUES ((SELECT id FROM attributes WHERE tag = 'att_celllines' LIMIT 1),  'att_celllines:sn12c',  'SN12C',  'Human NCI-60 cell line; Renal Cancer'); </v>
      </c>
    </row>
    <row r="93" spans="1:15" x14ac:dyDescent="0.15">
      <c r="A93" s="10" t="b">
        <f>FALSE()</f>
        <v>0</v>
      </c>
      <c r="B93" s="10"/>
      <c r="C93" s="5" t="s">
        <v>590</v>
      </c>
      <c r="D93" s="5" t="s">
        <v>591</v>
      </c>
      <c r="E93" s="5" t="s">
        <v>13</v>
      </c>
      <c r="F93" s="5" t="s">
        <v>2473</v>
      </c>
      <c r="G93" s="5" t="s">
        <v>2474</v>
      </c>
      <c r="H93" s="5" t="str">
        <f t="shared" si="4"/>
        <v>att_celllines</v>
      </c>
      <c r="I93" s="5" t="s">
        <v>590</v>
      </c>
      <c r="J93" s="5" t="str">
        <f t="shared" si="5"/>
        <v>att_celllines:snb19</v>
      </c>
      <c r="K93" s="9" t="s">
        <v>17</v>
      </c>
      <c r="L93" s="5" t="s">
        <v>575</v>
      </c>
      <c r="M93" s="5" t="s">
        <v>2475</v>
      </c>
      <c r="N93" s="5" t="str">
        <f t="shared" si="6"/>
        <v>INSERT INTO attributes (parent_id, tag, name, priority, allow_as_filter, allow_for_dataset, allow_for_measurement, allow_for_users, allow_for_qc) VALUES (NULL, 'att_celllines',  'Celllines',  500,  TRUE, TRUE, TRUE, FALSE, FALSE);</v>
      </c>
      <c r="O93" s="5"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0" t="b">
        <f>FALSE()</f>
        <v>0</v>
      </c>
      <c r="B94" s="10"/>
      <c r="C94" s="5" t="s">
        <v>592</v>
      </c>
      <c r="D94" s="5" t="s">
        <v>593</v>
      </c>
      <c r="E94" s="5" t="s">
        <v>13</v>
      </c>
      <c r="F94" s="5" t="s">
        <v>2473</v>
      </c>
      <c r="G94" s="5" t="s">
        <v>2474</v>
      </c>
      <c r="H94" s="5" t="str">
        <f t="shared" si="4"/>
        <v>att_celllines</v>
      </c>
      <c r="I94" s="5" t="s">
        <v>592</v>
      </c>
      <c r="J94" s="5" t="str">
        <f t="shared" si="5"/>
        <v>att_celllines:snb75</v>
      </c>
      <c r="K94" s="9" t="s">
        <v>17</v>
      </c>
      <c r="L94" s="5" t="s">
        <v>575</v>
      </c>
      <c r="M94" s="5" t="s">
        <v>2475</v>
      </c>
      <c r="N94" s="5" t="str">
        <f t="shared" si="6"/>
        <v>INSERT INTO attributes (parent_id, tag, name, priority, allow_as_filter, allow_for_dataset, allow_for_measurement, allow_for_users, allow_for_qc) VALUES (NULL, 'att_celllines',  'Celllines',  500,  TRUE, TRUE, TRUE, FALSE, FALSE);</v>
      </c>
      <c r="O94" s="5"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0" t="b">
        <f>FALSE()</f>
        <v>0</v>
      </c>
      <c r="B95" s="10"/>
      <c r="C95" s="5" t="s">
        <v>594</v>
      </c>
      <c r="D95" s="5" t="s">
        <v>595</v>
      </c>
      <c r="E95" s="5" t="s">
        <v>13</v>
      </c>
      <c r="F95" s="5" t="s">
        <v>2473</v>
      </c>
      <c r="G95" s="5" t="s">
        <v>2474</v>
      </c>
      <c r="H95" s="5" t="str">
        <f t="shared" si="4"/>
        <v>att_celllines</v>
      </c>
      <c r="I95" s="5" t="s">
        <v>594</v>
      </c>
      <c r="J95" s="5" t="str">
        <f t="shared" si="5"/>
        <v>att_celllines:sr</v>
      </c>
      <c r="K95" s="9" t="s">
        <v>17</v>
      </c>
      <c r="L95" s="5" t="s">
        <v>459</v>
      </c>
      <c r="M95" s="5" t="s">
        <v>2475</v>
      </c>
      <c r="N95" s="5" t="str">
        <f t="shared" si="6"/>
        <v>INSERT INTO attributes (parent_id, tag, name, priority, allow_as_filter, allow_for_dataset, allow_for_measurement, allow_for_users, allow_for_qc) VALUES (NULL, 'att_celllines',  'Celllines',  500,  TRUE, TRUE, TRUE, FALSE, FALSE);</v>
      </c>
      <c r="O95" s="5" t="str">
        <f t="shared" si="7"/>
        <v xml:space="preserve">INSERT INTO attribute_values (attribute_id, tag, name, details) VALUES ((SELECT id FROM attributes WHERE tag = 'att_celllines' LIMIT 1),  'att_celllines:sr',  'SR',  'Human NCI-60 cell line; Leukemia'); </v>
      </c>
    </row>
    <row r="96" spans="1:15" x14ac:dyDescent="0.15">
      <c r="A96" s="10" t="b">
        <f>FALSE()</f>
        <v>0</v>
      </c>
      <c r="B96" s="10"/>
      <c r="C96" s="5" t="s">
        <v>596</v>
      </c>
      <c r="D96" s="5" t="s">
        <v>597</v>
      </c>
      <c r="E96" s="5" t="s">
        <v>13</v>
      </c>
      <c r="F96" s="5" t="s">
        <v>2473</v>
      </c>
      <c r="G96" s="5" t="s">
        <v>2474</v>
      </c>
      <c r="H96" s="5" t="str">
        <f t="shared" si="4"/>
        <v>att_celllines</v>
      </c>
      <c r="I96" s="5" t="s">
        <v>596</v>
      </c>
      <c r="J96" s="5" t="str">
        <f t="shared" si="5"/>
        <v>att_celllines:sw620</v>
      </c>
      <c r="K96" s="9" t="s">
        <v>17</v>
      </c>
      <c r="L96" s="5" t="s">
        <v>456</v>
      </c>
      <c r="M96" s="5" t="s">
        <v>2475</v>
      </c>
      <c r="N96" s="5" t="str">
        <f t="shared" si="6"/>
        <v>INSERT INTO attributes (parent_id, tag, name, priority, allow_as_filter, allow_for_dataset, allow_for_measurement, allow_for_users, allow_for_qc) VALUES (NULL, 'att_celllines',  'Celllines',  500,  TRUE, TRUE, TRUE, FALSE, FALSE);</v>
      </c>
      <c r="O96" s="5" t="str">
        <f t="shared" si="7"/>
        <v xml:space="preserve">INSERT INTO attribute_values (attribute_id, tag, name, details) VALUES ((SELECT id FROM attributes WHERE tag = 'att_celllines' LIMIT 1),  'att_celllines:sw620',  'SW-620',  'Human NCI-60 cell line; Colon cancer'); </v>
      </c>
    </row>
    <row r="97" spans="1:15" x14ac:dyDescent="0.15">
      <c r="A97" s="10" t="b">
        <f>FALSE()</f>
        <v>0</v>
      </c>
      <c r="B97" s="10"/>
      <c r="C97" s="5" t="s">
        <v>598</v>
      </c>
      <c r="D97" s="5" t="s">
        <v>599</v>
      </c>
      <c r="E97" s="5" t="s">
        <v>13</v>
      </c>
      <c r="F97" s="5" t="s">
        <v>2473</v>
      </c>
      <c r="G97" s="5" t="s">
        <v>2474</v>
      </c>
      <c r="H97" s="5" t="str">
        <f t="shared" si="4"/>
        <v>att_celllines</v>
      </c>
      <c r="I97" s="5" t="s">
        <v>598</v>
      </c>
      <c r="J97" s="5" t="str">
        <f t="shared" si="5"/>
        <v>att_celllines:t47d</v>
      </c>
      <c r="K97" s="9" t="s">
        <v>17</v>
      </c>
      <c r="L97" s="5" t="s">
        <v>448</v>
      </c>
      <c r="M97" s="5" t="s">
        <v>2475</v>
      </c>
      <c r="N97" s="5" t="str">
        <f t="shared" si="6"/>
        <v>INSERT INTO attributes (parent_id, tag, name, priority, allow_as_filter, allow_for_dataset, allow_for_measurement, allow_for_users, allow_for_qc) VALUES (NULL, 'att_celllines',  'Celllines',  500,  TRUE, TRUE, TRUE, FALSE, FALSE);</v>
      </c>
      <c r="O97" s="5" t="str">
        <f t="shared" si="7"/>
        <v xml:space="preserve">INSERT INTO attribute_values (attribute_id, tag, name, details) VALUES ((SELECT id FROM attributes WHERE tag = 'att_celllines' LIMIT 1),  'att_celllines:t47d',  'T-47D',  'Human NCI-60 cell line; Breast Cancer'); </v>
      </c>
    </row>
    <row r="98" spans="1:15" x14ac:dyDescent="0.15">
      <c r="A98" s="10" t="b">
        <f>FALSE()</f>
        <v>0</v>
      </c>
      <c r="B98" s="10"/>
      <c r="C98" s="5" t="s">
        <v>600</v>
      </c>
      <c r="D98" s="5" t="s">
        <v>601</v>
      </c>
      <c r="E98" s="5" t="s">
        <v>13</v>
      </c>
      <c r="F98" s="5" t="s">
        <v>2473</v>
      </c>
      <c r="G98" s="5" t="s">
        <v>2474</v>
      </c>
      <c r="H98" s="5" t="str">
        <f t="shared" si="4"/>
        <v>att_celllines</v>
      </c>
      <c r="I98" s="5" t="s">
        <v>600</v>
      </c>
      <c r="J98" s="5" t="str">
        <f t="shared" si="5"/>
        <v>att_celllines:thp1</v>
      </c>
      <c r="K98" s="9" t="s">
        <v>17</v>
      </c>
      <c r="L98" s="5" t="s">
        <v>602</v>
      </c>
      <c r="M98" s="5" t="s">
        <v>13</v>
      </c>
      <c r="N98" s="5" t="str">
        <f t="shared" si="6"/>
        <v>INSERT INTO attributes (parent_id, tag, name, priority, allow_as_filter, allow_for_dataset, allow_for_measurement, allow_for_users, allow_for_qc) VALUES (NULL, 'att_celllines',  'Celllines',  500,  TRUE, TRUE, TRUE, FALSE, FALSE);</v>
      </c>
      <c r="O98" s="5" t="str">
        <f t="shared" si="7"/>
        <v xml:space="preserve">INSERT INTO attribute_values (attribute_id, tag, name, details) VALUES ((SELECT id FROM attributes WHERE tag = 'att_celllines' LIMIT 1),  'att_celllines:thp1',  'THP1',  'Human acute monocytic leukemia cell line'); </v>
      </c>
    </row>
    <row r="99" spans="1:15" x14ac:dyDescent="0.15">
      <c r="A99" s="10" t="b">
        <f>FALSE()</f>
        <v>0</v>
      </c>
      <c r="B99" s="10"/>
      <c r="C99" s="5" t="s">
        <v>603</v>
      </c>
      <c r="D99" s="5" t="s">
        <v>604</v>
      </c>
      <c r="E99" s="5" t="s">
        <v>13</v>
      </c>
      <c r="F99" s="5" t="s">
        <v>2473</v>
      </c>
      <c r="G99" s="5" t="s">
        <v>2474</v>
      </c>
      <c r="H99" s="5" t="str">
        <f t="shared" si="4"/>
        <v>att_celllines</v>
      </c>
      <c r="I99" s="5" t="s">
        <v>603</v>
      </c>
      <c r="J99" s="5" t="str">
        <f t="shared" si="5"/>
        <v>att_celllines:tk10</v>
      </c>
      <c r="K99" s="9" t="s">
        <v>17</v>
      </c>
      <c r="L99" s="5" t="s">
        <v>433</v>
      </c>
      <c r="M99" s="5" t="s">
        <v>2475</v>
      </c>
      <c r="N99" s="5" t="str">
        <f t="shared" si="6"/>
        <v>INSERT INTO attributes (parent_id, tag, name, priority, allow_as_filter, allow_for_dataset, allow_for_measurement, allow_for_users, allow_for_qc) VALUES (NULL, 'att_celllines',  'Celllines',  500,  TRUE, TRUE, TRUE, FALSE, FALSE);</v>
      </c>
      <c r="O99" s="5" t="str">
        <f t="shared" si="7"/>
        <v xml:space="preserve">INSERT INTO attribute_values (attribute_id, tag, name, details) VALUES ((SELECT id FROM attributes WHERE tag = 'att_celllines' LIMIT 1),  'att_celllines:tk10',  'TK-10',  'Human NCI-60 cell line; Renal Cancer'); </v>
      </c>
    </row>
    <row r="100" spans="1:15" x14ac:dyDescent="0.15">
      <c r="A100" s="10" t="b">
        <f>FALSE()</f>
        <v>0</v>
      </c>
      <c r="B100" s="10"/>
      <c r="C100" s="5" t="s">
        <v>605</v>
      </c>
      <c r="D100" s="5" t="s">
        <v>606</v>
      </c>
      <c r="E100" s="5" t="s">
        <v>13</v>
      </c>
      <c r="F100" s="5" t="s">
        <v>2473</v>
      </c>
      <c r="G100" s="5" t="s">
        <v>2474</v>
      </c>
      <c r="H100" s="5" t="str">
        <f t="shared" si="4"/>
        <v>att_celllines</v>
      </c>
      <c r="I100" s="5" t="s">
        <v>605</v>
      </c>
      <c r="J100" s="5" t="str">
        <f t="shared" si="5"/>
        <v>att_celllines:u251</v>
      </c>
      <c r="K100" s="9" t="s">
        <v>17</v>
      </c>
      <c r="L100" s="5" t="s">
        <v>575</v>
      </c>
      <c r="M100" s="5" t="s">
        <v>2475</v>
      </c>
      <c r="N100" s="5" t="str">
        <f t="shared" si="6"/>
        <v>INSERT INTO attributes (parent_id, tag, name, priority, allow_as_filter, allow_for_dataset, allow_for_measurement, allow_for_users, allow_for_qc) VALUES (NULL, 'att_celllines',  'Celllines',  500,  TRUE, TRUE, TRUE, FALSE, FALSE);</v>
      </c>
      <c r="O100" s="5"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0" t="b">
        <f>FALSE()</f>
        <v>0</v>
      </c>
      <c r="B101" s="10"/>
      <c r="C101" s="5" t="s">
        <v>607</v>
      </c>
      <c r="D101" s="5" t="s">
        <v>608</v>
      </c>
      <c r="E101" s="5" t="s">
        <v>13</v>
      </c>
      <c r="F101" s="5" t="s">
        <v>2473</v>
      </c>
      <c r="G101" s="5" t="s">
        <v>2474</v>
      </c>
      <c r="H101" s="5" t="str">
        <f t="shared" si="4"/>
        <v>att_celllines</v>
      </c>
      <c r="I101" s="5" t="s">
        <v>607</v>
      </c>
      <c r="J101" s="5" t="str">
        <f t="shared" si="5"/>
        <v>att_celllines:u937</v>
      </c>
      <c r="K101" s="9" t="s">
        <v>17</v>
      </c>
      <c r="L101" s="5" t="s">
        <v>609</v>
      </c>
      <c r="M101" s="5" t="s">
        <v>13</v>
      </c>
      <c r="N101" s="5" t="str">
        <f t="shared" si="6"/>
        <v>INSERT INTO attributes (parent_id, tag, name, priority, allow_as_filter, allow_for_dataset, allow_for_measurement, allow_for_users, allow_for_qc) VALUES (NULL, 'att_celllines',  'Celllines',  500,  TRUE, TRUE, TRUE, FALSE, FALSE);</v>
      </c>
      <c r="O101" s="5"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0" t="b">
        <f>FALSE()</f>
        <v>0</v>
      </c>
      <c r="B102" s="10"/>
      <c r="C102" s="5" t="s">
        <v>610</v>
      </c>
      <c r="D102" s="5" t="s">
        <v>611</v>
      </c>
      <c r="E102" s="5" t="s">
        <v>13</v>
      </c>
      <c r="F102" s="5" t="s">
        <v>2473</v>
      </c>
      <c r="G102" s="5" t="s">
        <v>2474</v>
      </c>
      <c r="H102" s="5" t="str">
        <f t="shared" si="4"/>
        <v>att_celllines</v>
      </c>
      <c r="I102" s="5" t="s">
        <v>610</v>
      </c>
      <c r="J102" s="5" t="str">
        <f t="shared" si="5"/>
        <v>att_celllines:uacc257</v>
      </c>
      <c r="K102" s="9" t="s">
        <v>17</v>
      </c>
      <c r="L102" s="5" t="s">
        <v>512</v>
      </c>
      <c r="M102" s="5" t="s">
        <v>2475</v>
      </c>
      <c r="N102" s="5" t="str">
        <f t="shared" si="6"/>
        <v>INSERT INTO attributes (parent_id, tag, name, priority, allow_as_filter, allow_for_dataset, allow_for_measurement, allow_for_users, allow_for_qc) VALUES (NULL, 'att_celllines',  'Celllines',  500,  TRUE, TRUE, TRUE, FALSE, FALSE);</v>
      </c>
      <c r="O102" s="5" t="str">
        <f t="shared" si="7"/>
        <v xml:space="preserve">INSERT INTO attribute_values (attribute_id, tag, name, details) VALUES ((SELECT id FROM attributes WHERE tag = 'att_celllines' LIMIT 1),  'att_celllines:uacc257',  'UACC-257',  'Human NCI-60 cell line; Melanoma'); </v>
      </c>
    </row>
    <row r="103" spans="1:15" x14ac:dyDescent="0.15">
      <c r="A103" s="10" t="b">
        <f>FALSE()</f>
        <v>0</v>
      </c>
      <c r="B103" s="10"/>
      <c r="C103" s="5" t="s">
        <v>612</v>
      </c>
      <c r="D103" s="5" t="s">
        <v>613</v>
      </c>
      <c r="E103" s="5" t="s">
        <v>13</v>
      </c>
      <c r="F103" s="5" t="s">
        <v>2473</v>
      </c>
      <c r="G103" s="5" t="s">
        <v>2474</v>
      </c>
      <c r="H103" s="5" t="str">
        <f t="shared" si="4"/>
        <v>att_celllines</v>
      </c>
      <c r="I103" s="5" t="s">
        <v>612</v>
      </c>
      <c r="J103" s="5" t="str">
        <f t="shared" si="5"/>
        <v>att_celllines:uacc62</v>
      </c>
      <c r="K103" s="9" t="s">
        <v>17</v>
      </c>
      <c r="L103" s="5" t="s">
        <v>512</v>
      </c>
      <c r="M103" s="5" t="s">
        <v>2475</v>
      </c>
      <c r="N103" s="5" t="str">
        <f t="shared" si="6"/>
        <v>INSERT INTO attributes (parent_id, tag, name, priority, allow_as_filter, allow_for_dataset, allow_for_measurement, allow_for_users, allow_for_qc) VALUES (NULL, 'att_celllines',  'Celllines',  500,  TRUE, TRUE, TRUE, FALSE, FALSE);</v>
      </c>
      <c r="O103" s="5" t="str">
        <f t="shared" si="7"/>
        <v xml:space="preserve">INSERT INTO attribute_values (attribute_id, tag, name, details) VALUES ((SELECT id FROM attributes WHERE tag = 'att_celllines' LIMIT 1),  'att_celllines:uacc62',  'UACC-62',  'Human NCI-60 cell line; Melanoma'); </v>
      </c>
    </row>
    <row r="104" spans="1:15" x14ac:dyDescent="0.15">
      <c r="A104" s="10" t="b">
        <f>FALSE()</f>
        <v>0</v>
      </c>
      <c r="B104" s="10"/>
      <c r="C104" s="5" t="s">
        <v>614</v>
      </c>
      <c r="D104" s="5" t="s">
        <v>615</v>
      </c>
      <c r="E104" s="5" t="s">
        <v>13</v>
      </c>
      <c r="F104" s="5" t="s">
        <v>2473</v>
      </c>
      <c r="G104" s="5" t="s">
        <v>2474</v>
      </c>
      <c r="H104" s="5" t="str">
        <f t="shared" si="4"/>
        <v>att_celllines</v>
      </c>
      <c r="I104" s="5" t="s">
        <v>614</v>
      </c>
      <c r="J104" s="5" t="str">
        <f t="shared" si="5"/>
        <v>att_celllines:uo31</v>
      </c>
      <c r="K104" s="9" t="s">
        <v>17</v>
      </c>
      <c r="L104" s="5" t="s">
        <v>433</v>
      </c>
      <c r="M104" s="5" t="s">
        <v>2475</v>
      </c>
      <c r="N104" s="5" t="str">
        <f t="shared" si="6"/>
        <v>INSERT INTO attributes (parent_id, tag, name, priority, allow_as_filter, allow_for_dataset, allow_for_measurement, allow_for_users, allow_for_qc) VALUES (NULL, 'att_celllines',  'Celllines',  500,  TRUE, TRUE, TRUE, FALSE, FALSE);</v>
      </c>
      <c r="O104" s="5" t="str">
        <f t="shared" si="7"/>
        <v xml:space="preserve">INSERT INTO attribute_values (attribute_id, tag, name, details) VALUES ((SELECT id FROM attributes WHERE tag = 'att_celllines' LIMIT 1),  'att_celllines:uo31',  'UO-31',  'Human NCI-60 cell line; Renal Cancer'); </v>
      </c>
    </row>
    <row r="105" spans="1:15" x14ac:dyDescent="0.15">
      <c r="A105" s="10" t="b">
        <f>FALSE()</f>
        <v>0</v>
      </c>
      <c r="B105" s="10"/>
      <c r="C105" s="5" t="s">
        <v>616</v>
      </c>
      <c r="D105" s="5" t="s">
        <v>617</v>
      </c>
      <c r="E105" s="5" t="s">
        <v>13</v>
      </c>
      <c r="F105" s="5" t="s">
        <v>2473</v>
      </c>
      <c r="G105" s="5" t="s">
        <v>2474</v>
      </c>
      <c r="H105" s="5" t="str">
        <f t="shared" si="4"/>
        <v>att_celllines</v>
      </c>
      <c r="I105" s="5" t="s">
        <v>616</v>
      </c>
      <c r="J105" s="5" t="str">
        <f t="shared" si="5"/>
        <v>att_celllines:z138</v>
      </c>
      <c r="K105" s="9" t="s">
        <v>17</v>
      </c>
      <c r="L105" s="5" t="s">
        <v>498</v>
      </c>
      <c r="M105" s="5" t="s">
        <v>13</v>
      </c>
      <c r="N105" s="5" t="str">
        <f t="shared" si="6"/>
        <v>INSERT INTO attributes (parent_id, tag, name, priority, allow_as_filter, allow_for_dataset, allow_for_measurement, allow_for_users, allow_for_qc) VALUES (NULL, 'att_celllines',  'Celllines',  500,  TRUE, TRUE, TRUE, FALSE, FALSE);</v>
      </c>
      <c r="O105" s="5" t="str">
        <f t="shared" si="7"/>
        <v xml:space="preserve">INSERT INTO attribute_values (attribute_id, tag, name, details) VALUES ((SELECT id FROM attributes WHERE tag = 'att_celllines' LIMIT 1),  'att_celllines:z138',  'Z-138',  'Human Mantle cell lymphoma'); </v>
      </c>
    </row>
    <row r="106" spans="1:15" x14ac:dyDescent="0.15">
      <c r="A106" s="10" t="b">
        <f>FALSE()</f>
        <v>0</v>
      </c>
      <c r="B106" s="10"/>
      <c r="C106" s="5" t="s">
        <v>345</v>
      </c>
      <c r="D106" s="5" t="s">
        <v>346</v>
      </c>
      <c r="E106" s="5" t="s">
        <v>13</v>
      </c>
      <c r="F106" s="5" t="s">
        <v>2477</v>
      </c>
      <c r="G106" s="5" t="s">
        <v>2478</v>
      </c>
      <c r="H106" s="5" t="str">
        <f t="shared" si="4"/>
        <v>att_cells</v>
      </c>
      <c r="I106" s="5" t="s">
        <v>344</v>
      </c>
      <c r="J106" s="5" t="str">
        <f t="shared" si="5"/>
        <v>att_cells:adipose_macrophages</v>
      </c>
      <c r="K106" s="9" t="s">
        <v>17</v>
      </c>
      <c r="L106" s="5" t="s">
        <v>347</v>
      </c>
      <c r="M106" s="5" t="s">
        <v>13</v>
      </c>
      <c r="N106" s="5" t="str">
        <f t="shared" si="6"/>
        <v>INSERT INTO attributes (parent_id, tag, name, priority, allow_as_filter, allow_for_dataset, allow_for_measurement, allow_for_users, allow_for_qc) VALUES (NULL, 'att_cells',  'Cells',  500,  TRUE, TRUE, TRUE, FALSE, FALSE);</v>
      </c>
      <c r="O106" s="5"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0" t="b">
        <f>FALSE()</f>
        <v>0</v>
      </c>
      <c r="B107" s="10"/>
      <c r="C107" s="5" t="s">
        <v>348</v>
      </c>
      <c r="D107" s="5" t="s">
        <v>306</v>
      </c>
      <c r="E107" s="5" t="s">
        <v>13</v>
      </c>
      <c r="F107" s="5" t="s">
        <v>2477</v>
      </c>
      <c r="G107" s="5" t="s">
        <v>2478</v>
      </c>
      <c r="H107" s="5" t="str">
        <f t="shared" si="4"/>
        <v>att_cells</v>
      </c>
      <c r="I107" s="5" t="s">
        <v>348</v>
      </c>
      <c r="J107" s="5" t="str">
        <f t="shared" si="5"/>
        <v>att_cells:astrocytes</v>
      </c>
      <c r="K107" s="9" t="s">
        <v>17</v>
      </c>
      <c r="L107" s="5" t="s">
        <v>306</v>
      </c>
      <c r="M107" s="5" t="s">
        <v>13</v>
      </c>
      <c r="N107" s="5" t="str">
        <f t="shared" si="6"/>
        <v>INSERT INTO attributes (parent_id, tag, name, priority, allow_as_filter, allow_for_dataset, allow_for_measurement, allow_for_users, allow_for_qc) VALUES (NULL, 'att_cells',  'Cells',  500,  TRUE, TRUE, TRUE, FALSE, FALSE);</v>
      </c>
      <c r="O107" s="5" t="str">
        <f t="shared" si="7"/>
        <v xml:space="preserve">INSERT INTO attribute_values (attribute_id, tag, name, details) VALUES ((SELECT id FROM attributes WHERE tag = 'att_cells' LIMIT 1),  'att_cells:astrocytes',  'Astrocytes',  'Astrocytes'); </v>
      </c>
    </row>
    <row r="108" spans="1:15" x14ac:dyDescent="0.15">
      <c r="A108" s="10" t="b">
        <f>FALSE()</f>
        <v>0</v>
      </c>
      <c r="B108" s="10"/>
      <c r="C108" s="5" t="s">
        <v>349</v>
      </c>
      <c r="D108" s="5" t="s">
        <v>350</v>
      </c>
      <c r="E108" s="5" t="s">
        <v>13</v>
      </c>
      <c r="F108" s="5" t="s">
        <v>2477</v>
      </c>
      <c r="G108" s="5" t="s">
        <v>2478</v>
      </c>
      <c r="H108" s="5" t="str">
        <f t="shared" si="4"/>
        <v>att_cells</v>
      </c>
      <c r="I108" s="5" t="s">
        <v>349</v>
      </c>
      <c r="J108" s="5" t="str">
        <f t="shared" si="5"/>
        <v>att_cells:basophils</v>
      </c>
      <c r="K108" s="9" t="s">
        <v>17</v>
      </c>
      <c r="L108" s="5" t="s">
        <v>351</v>
      </c>
      <c r="M108" s="5" t="s">
        <v>13</v>
      </c>
      <c r="N108" s="5" t="str">
        <f t="shared" si="6"/>
        <v>INSERT INTO attributes (parent_id, tag, name, priority, allow_as_filter, allow_for_dataset, allow_for_measurement, allow_for_users, allow_for_qc) VALUES (NULL, 'att_cells',  'Cells',  500,  TRUE, TRUE, TRUE, FALSE, FALSE);</v>
      </c>
      <c r="O108" s="5" t="str">
        <f t="shared" si="7"/>
        <v xml:space="preserve">INSERT INTO attribute_values (attribute_id, tag, name, details) VALUES ((SELECT id FROM attributes WHERE tag = 'att_cells' LIMIT 1),  'att_cells:basophils',  'Basophils',  '&lt; 1% of leukocytes'); </v>
      </c>
    </row>
    <row r="109" spans="1:15" x14ac:dyDescent="0.15">
      <c r="A109" s="10" t="b">
        <f>FALSE()</f>
        <v>0</v>
      </c>
      <c r="B109" s="10"/>
      <c r="C109" s="5" t="s">
        <v>352</v>
      </c>
      <c r="D109" s="5" t="s">
        <v>353</v>
      </c>
      <c r="E109" s="5" t="s">
        <v>13</v>
      </c>
      <c r="F109" s="5" t="s">
        <v>2477</v>
      </c>
      <c r="G109" s="5" t="s">
        <v>2478</v>
      </c>
      <c r="H109" s="5" t="str">
        <f t="shared" si="4"/>
        <v>att_cells</v>
      </c>
      <c r="I109" s="5" t="s">
        <v>352</v>
      </c>
      <c r="J109" s="5" t="str">
        <f t="shared" si="5"/>
        <v>att_cells:bcells</v>
      </c>
      <c r="K109" s="9" t="s">
        <v>17</v>
      </c>
      <c r="L109" s="5" t="s">
        <v>353</v>
      </c>
      <c r="M109" s="5" t="s">
        <v>13</v>
      </c>
      <c r="N109" s="5" t="str">
        <f t="shared" si="6"/>
        <v>INSERT INTO attributes (parent_id, tag, name, priority, allow_as_filter, allow_for_dataset, allow_for_measurement, allow_for_users, allow_for_qc) VALUES (NULL, 'att_cells',  'Cells',  500,  TRUE, TRUE, TRUE, FALSE, FALSE);</v>
      </c>
      <c r="O109" s="5" t="str">
        <f t="shared" si="7"/>
        <v xml:space="preserve">INSERT INTO attribute_values (attribute_id, tag, name, details) VALUES ((SELECT id FROM attributes WHERE tag = 'att_cells' LIMIT 1),  'att_cells:bcells',  'B cells',  'B cells'); </v>
      </c>
    </row>
    <row r="110" spans="1:15" x14ac:dyDescent="0.15">
      <c r="A110" s="10" t="b">
        <f>FALSE()</f>
        <v>0</v>
      </c>
      <c r="B110" s="10"/>
      <c r="C110" s="5" t="s">
        <v>354</v>
      </c>
      <c r="D110" s="5" t="s">
        <v>355</v>
      </c>
      <c r="E110" s="5" t="s">
        <v>13</v>
      </c>
      <c r="F110" s="5" t="s">
        <v>2477</v>
      </c>
      <c r="G110" s="5" t="s">
        <v>2478</v>
      </c>
      <c r="H110" s="5" t="str">
        <f t="shared" si="4"/>
        <v>att_cells</v>
      </c>
      <c r="I110" s="5" t="s">
        <v>354</v>
      </c>
      <c r="J110" s="5" t="str">
        <f t="shared" si="5"/>
        <v>att_cells:cytotoxict</v>
      </c>
      <c r="K110" s="9" t="s">
        <v>17</v>
      </c>
      <c r="L110" s="5" t="s">
        <v>356</v>
      </c>
      <c r="M110" s="5" t="s">
        <v>13</v>
      </c>
      <c r="N110" s="5" t="str">
        <f t="shared" si="6"/>
        <v>INSERT INTO attributes (parent_id, tag, name, priority, allow_as_filter, allow_for_dataset, allow_for_measurement, allow_for_users, allow_for_qc) VALUES (NULL, 'att_cells',  'Cells',  500,  TRUE, TRUE, TRUE, FALSE, FALSE);</v>
      </c>
      <c r="O110" s="5" t="str">
        <f t="shared" si="7"/>
        <v xml:space="preserve">INSERT INTO attribute_values (attribute_id, tag, name, details) VALUES ((SELECT id FROM attributes WHERE tag = 'att_cells' LIMIT 1),  'att_cells:cytotoxict',  'Cytotoxic T cells',  'CD8+ cytotoxic T cells'); </v>
      </c>
    </row>
    <row r="111" spans="1:15" x14ac:dyDescent="0.15">
      <c r="A111" s="10" t="b">
        <f>FALSE()</f>
        <v>0</v>
      </c>
      <c r="B111" s="10"/>
      <c r="C111" s="5" t="s">
        <v>357</v>
      </c>
      <c r="D111" s="5" t="s">
        <v>358</v>
      </c>
      <c r="E111" s="5" t="s">
        <v>13</v>
      </c>
      <c r="F111" s="5" t="s">
        <v>2477</v>
      </c>
      <c r="G111" s="5" t="s">
        <v>2478</v>
      </c>
      <c r="H111" s="5" t="str">
        <f t="shared" si="4"/>
        <v>att_cells</v>
      </c>
      <c r="I111" s="5" t="s">
        <v>357</v>
      </c>
      <c r="J111" s="5" t="str">
        <f t="shared" si="5"/>
        <v>att_cells:endothelial</v>
      </c>
      <c r="K111" s="9" t="s">
        <v>17</v>
      </c>
      <c r="L111" s="5" t="s">
        <v>359</v>
      </c>
      <c r="M111" s="5" t="s">
        <v>13</v>
      </c>
      <c r="N111" s="5" t="str">
        <f t="shared" si="6"/>
        <v>INSERT INTO attributes (parent_id, tag, name, priority, allow_as_filter, allow_for_dataset, allow_for_measurement, allow_for_users, allow_for_qc) VALUES (NULL, 'att_cells',  'Cells',  500,  TRUE, TRUE, TRUE, FALSE, FALSE);</v>
      </c>
      <c r="O111" s="5"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0" t="b">
        <f>FALSE()</f>
        <v>0</v>
      </c>
      <c r="B112" s="10"/>
      <c r="C112" s="5" t="s">
        <v>360</v>
      </c>
      <c r="D112" s="5" t="s">
        <v>361</v>
      </c>
      <c r="E112" s="5" t="s">
        <v>13</v>
      </c>
      <c r="F112" s="5" t="s">
        <v>2477</v>
      </c>
      <c r="G112" s="5" t="s">
        <v>2478</v>
      </c>
      <c r="H112" s="5" t="str">
        <f t="shared" si="4"/>
        <v>att_cells</v>
      </c>
      <c r="I112" s="5" t="s">
        <v>360</v>
      </c>
      <c r="J112" s="5" t="str">
        <f t="shared" si="5"/>
        <v>att_cells:eosinophils</v>
      </c>
      <c r="K112" s="9" t="s">
        <v>17</v>
      </c>
      <c r="L112" s="5" t="s">
        <v>362</v>
      </c>
      <c r="M112" s="5" t="s">
        <v>13</v>
      </c>
      <c r="N112" s="5" t="str">
        <f t="shared" si="6"/>
        <v>INSERT INTO attributes (parent_id, tag, name, priority, allow_as_filter, allow_for_dataset, allow_for_measurement, allow_for_users, allow_for_qc) VALUES (NULL, 'att_cells',  'Cells',  500,  TRUE, TRUE, TRUE, FALSE, FALSE);</v>
      </c>
      <c r="O112" s="5" t="str">
        <f t="shared" si="7"/>
        <v xml:space="preserve">INSERT INTO attribute_values (attribute_id, tag, name, details) VALUES ((SELECT id FROM attributes WHERE tag = 'att_cells' LIMIT 1),  'att_cells:eosinophils',  'Eosinophils',  '2% of leukocytes'); </v>
      </c>
    </row>
    <row r="113" spans="1:15" x14ac:dyDescent="0.15">
      <c r="A113" s="10" t="b">
        <f>FALSE()</f>
        <v>0</v>
      </c>
      <c r="B113" s="10"/>
      <c r="C113" s="5" t="s">
        <v>363</v>
      </c>
      <c r="D113" s="5" t="s">
        <v>364</v>
      </c>
      <c r="E113" s="5" t="s">
        <v>13</v>
      </c>
      <c r="F113" s="5" t="s">
        <v>2477</v>
      </c>
      <c r="G113" s="5" t="s">
        <v>2478</v>
      </c>
      <c r="H113" s="5" t="str">
        <f t="shared" si="4"/>
        <v>att_cells</v>
      </c>
      <c r="I113" s="5" t="s">
        <v>363</v>
      </c>
      <c r="J113" s="5" t="str">
        <f t="shared" si="5"/>
        <v>att_cells:epithelioid</v>
      </c>
      <c r="K113" s="9" t="s">
        <v>17</v>
      </c>
      <c r="L113" s="5" t="s">
        <v>365</v>
      </c>
      <c r="M113" s="5" t="s">
        <v>13</v>
      </c>
      <c r="N113" s="5" t="str">
        <f t="shared" si="6"/>
        <v>INSERT INTO attributes (parent_id, tag, name, priority, allow_as_filter, allow_for_dataset, allow_for_measurement, allow_for_users, allow_for_qc) VALUES (NULL, 'att_cells',  'Cells',  500,  TRUE, TRUE, TRUE, FALSE, FALSE);</v>
      </c>
      <c r="O113" s="5" t="str">
        <f t="shared" si="7"/>
        <v xml:space="preserve">INSERT INTO attribute_values (attribute_id, tag, name, details) VALUES ((SELECT id FROM attributes WHERE tag = 'att_cells' LIMIT 1),  'att_cells:epithelioid',  'Epithelioid',  'Granulomas'); </v>
      </c>
    </row>
    <row r="114" spans="1:15" x14ac:dyDescent="0.15">
      <c r="A114" s="10" t="b">
        <f>FALSE()</f>
        <v>0</v>
      </c>
      <c r="B114" s="10"/>
      <c r="C114" s="5" t="s">
        <v>366</v>
      </c>
      <c r="D114" s="5" t="s">
        <v>367</v>
      </c>
      <c r="E114" s="5" t="s">
        <v>13</v>
      </c>
      <c r="F114" s="5" t="s">
        <v>2477</v>
      </c>
      <c r="G114" s="5" t="s">
        <v>2478</v>
      </c>
      <c r="H114" s="5" t="str">
        <f t="shared" si="4"/>
        <v>att_cells</v>
      </c>
      <c r="I114" s="5" t="s">
        <v>366</v>
      </c>
      <c r="J114" s="5" t="str">
        <f t="shared" si="5"/>
        <v>att_cells:erythrocytes</v>
      </c>
      <c r="K114" s="9" t="s">
        <v>17</v>
      </c>
      <c r="L114" s="5" t="s">
        <v>368</v>
      </c>
      <c r="M114" s="5" t="s">
        <v>13</v>
      </c>
      <c r="N114" s="5" t="str">
        <f t="shared" si="6"/>
        <v>INSERT INTO attributes (parent_id, tag, name, priority, allow_as_filter, allow_for_dataset, allow_for_measurement, allow_for_users, allow_for_qc) VALUES (NULL, 'att_cells',  'Cells',  500,  TRUE, TRUE, TRUE, FALSE, FALSE);</v>
      </c>
      <c r="O114" s="5" t="str">
        <f t="shared" si="7"/>
        <v xml:space="preserve">INSERT INTO attribute_values (attribute_id, tag, name, details) VALUES ((SELECT id FROM attributes WHERE tag = 'att_cells' LIMIT 1),  'att_cells:erythrocytes',  'Erythrocytes',  'Red blood cells'); </v>
      </c>
    </row>
    <row r="115" spans="1:15" x14ac:dyDescent="0.15">
      <c r="A115" s="10" t="b">
        <f>FALSE()</f>
        <v>0</v>
      </c>
      <c r="B115" s="10"/>
      <c r="C115" s="5" t="s">
        <v>369</v>
      </c>
      <c r="D115" s="5" t="s">
        <v>370</v>
      </c>
      <c r="E115" s="5" t="s">
        <v>13</v>
      </c>
      <c r="F115" s="5" t="s">
        <v>2477</v>
      </c>
      <c r="G115" s="5" t="s">
        <v>2478</v>
      </c>
      <c r="H115" s="5" t="str">
        <f t="shared" si="4"/>
        <v>att_cells</v>
      </c>
      <c r="I115" s="5" t="s">
        <v>369</v>
      </c>
      <c r="J115" s="5" t="str">
        <f t="shared" si="5"/>
        <v>att_cells:gammadeltat</v>
      </c>
      <c r="K115" s="9" t="s">
        <v>17</v>
      </c>
      <c r="L115" s="5" t="s">
        <v>371</v>
      </c>
      <c r="M115" s="5" t="s">
        <v>13</v>
      </c>
      <c r="N115" s="5" t="str">
        <f t="shared" si="6"/>
        <v>INSERT INTO attributes (parent_id, tag, name, priority, allow_as_filter, allow_for_dataset, allow_for_measurement, allow_for_users, allow_for_qc) VALUES (NULL, 'att_cells',  'Cells',  500,  TRUE, TRUE, TRUE, FALSE, FALSE);</v>
      </c>
      <c r="O115" s="5" t="str">
        <f t="shared" si="7"/>
        <v xml:space="preserve">INSERT INTO attribute_values (attribute_id, tag, name, details) VALUES ((SELECT id FROM attributes WHERE tag = 'att_cells' LIMIT 1),  'att_cells:gammadeltat',  'Gamma Delta T cells',  'Gamma delta T cells'); </v>
      </c>
    </row>
    <row r="116" spans="1:15" x14ac:dyDescent="0.15">
      <c r="A116" s="10" t="b">
        <f>FALSE()</f>
        <v>0</v>
      </c>
      <c r="B116" s="10"/>
      <c r="C116" s="5" t="s">
        <v>372</v>
      </c>
      <c r="D116" s="5" t="s">
        <v>373</v>
      </c>
      <c r="E116" s="5" t="s">
        <v>13</v>
      </c>
      <c r="F116" s="5" t="s">
        <v>2477</v>
      </c>
      <c r="G116" s="5" t="s">
        <v>2478</v>
      </c>
      <c r="H116" s="5" t="str">
        <f t="shared" si="4"/>
        <v>att_cells</v>
      </c>
      <c r="I116" s="5" t="s">
        <v>372</v>
      </c>
      <c r="J116" s="5" t="str">
        <f t="shared" si="5"/>
        <v>att_cells:hofbauer</v>
      </c>
      <c r="K116" s="9" t="s">
        <v>17</v>
      </c>
      <c r="L116" s="5" t="s">
        <v>374</v>
      </c>
      <c r="M116" s="5" t="s">
        <v>13</v>
      </c>
      <c r="N116" s="5" t="str">
        <f t="shared" si="6"/>
        <v>INSERT INTO attributes (parent_id, tag, name, priority, allow_as_filter, allow_for_dataset, allow_for_measurement, allow_for_users, allow_for_qc) VALUES (NULL, 'att_cells',  'Cells',  500,  TRUE, TRUE, TRUE, FALSE, FALSE);</v>
      </c>
      <c r="O116" s="5" t="str">
        <f t="shared" si="7"/>
        <v xml:space="preserve">INSERT INTO attribute_values (attribute_id, tag, name, details) VALUES ((SELECT id FROM attributes WHERE tag = 'att_cells' LIMIT 1),  'att_cells:hofbauer',  'Hofbauer',  'Hofbauer cells; Placenta'); </v>
      </c>
    </row>
    <row r="117" spans="1:15" x14ac:dyDescent="0.15">
      <c r="A117" s="10" t="b">
        <f>FALSE()</f>
        <v>0</v>
      </c>
      <c r="B117" s="10"/>
      <c r="C117" s="5" t="s">
        <v>375</v>
      </c>
      <c r="D117" s="5" t="s">
        <v>376</v>
      </c>
      <c r="E117" s="5" t="s">
        <v>13</v>
      </c>
      <c r="F117" s="5" t="s">
        <v>2477</v>
      </c>
      <c r="G117" s="5" t="s">
        <v>2478</v>
      </c>
      <c r="H117" s="5" t="str">
        <f t="shared" si="4"/>
        <v>att_cells</v>
      </c>
      <c r="I117" s="5" t="s">
        <v>375</v>
      </c>
      <c r="J117" s="5" t="str">
        <f t="shared" si="5"/>
        <v>att_cells:keratinocytes</v>
      </c>
      <c r="K117" s="9" t="s">
        <v>17</v>
      </c>
      <c r="L117" s="5" t="s">
        <v>377</v>
      </c>
      <c r="M117" s="5" t="s">
        <v>13</v>
      </c>
      <c r="N117" s="5" t="str">
        <f t="shared" si="6"/>
        <v>INSERT INTO attributes (parent_id, tag, name, priority, allow_as_filter, allow_for_dataset, allow_for_measurement, allow_for_users, allow_for_qc) VALUES (NULL, 'att_cells',  'Cells',  500,  TRUE, TRUE, TRUE, FALSE, FALSE);</v>
      </c>
      <c r="O117" s="5"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0" t="b">
        <f>FALSE()</f>
        <v>0</v>
      </c>
      <c r="B118" s="10"/>
      <c r="C118" s="5" t="s">
        <v>378</v>
      </c>
      <c r="D118" s="5" t="s">
        <v>379</v>
      </c>
      <c r="E118" s="5" t="s">
        <v>13</v>
      </c>
      <c r="F118" s="5" t="s">
        <v>2477</v>
      </c>
      <c r="G118" s="5" t="s">
        <v>2478</v>
      </c>
      <c r="H118" s="5" t="str">
        <f t="shared" si="4"/>
        <v>att_cells</v>
      </c>
      <c r="I118" s="5" t="s">
        <v>378</v>
      </c>
      <c r="J118" s="5" t="str">
        <f t="shared" si="5"/>
        <v>att_cells:kupffer</v>
      </c>
      <c r="K118" s="9" t="s">
        <v>17</v>
      </c>
      <c r="L118" s="5" t="s">
        <v>380</v>
      </c>
      <c r="M118" s="5" t="s">
        <v>13</v>
      </c>
      <c r="N118" s="5" t="str">
        <f t="shared" si="6"/>
        <v>INSERT INTO attributes (parent_id, tag, name, priority, allow_as_filter, allow_for_dataset, allow_for_measurement, allow_for_users, allow_for_qc) VALUES (NULL, 'att_cells',  'Cells',  500,  TRUE, TRUE, TRUE, FALSE, FALSE);</v>
      </c>
      <c r="O118" s="5" t="str">
        <f t="shared" si="7"/>
        <v xml:space="preserve">INSERT INTO attribute_values (attribute_id, tag, name, details) VALUES ((SELECT id FROM attributes WHERE tag = 'att_cells' LIMIT 1),  'att_cells:kupffer',  'Kupffer',  'Kupffer cells; Liver'); </v>
      </c>
    </row>
    <row r="119" spans="1:15" x14ac:dyDescent="0.15">
      <c r="A119" s="10" t="b">
        <f>FALSE()</f>
        <v>0</v>
      </c>
      <c r="B119" s="10"/>
      <c r="C119" s="5" t="s">
        <v>381</v>
      </c>
      <c r="D119" s="5" t="s">
        <v>382</v>
      </c>
      <c r="E119" s="5" t="s">
        <v>13</v>
      </c>
      <c r="F119" s="5" t="s">
        <v>2477</v>
      </c>
      <c r="G119" s="5" t="s">
        <v>2478</v>
      </c>
      <c r="H119" s="5" t="str">
        <f t="shared" si="4"/>
        <v>att_cells</v>
      </c>
      <c r="I119" s="5" t="s">
        <v>381</v>
      </c>
      <c r="J119" s="5" t="str">
        <f t="shared" si="5"/>
        <v>att_cells:langerhans</v>
      </c>
      <c r="K119" s="9" t="s">
        <v>17</v>
      </c>
      <c r="L119" s="5" t="s">
        <v>383</v>
      </c>
      <c r="M119" s="5" t="s">
        <v>13</v>
      </c>
      <c r="N119" s="5" t="str">
        <f t="shared" si="6"/>
        <v>INSERT INTO attributes (parent_id, tag, name, priority, allow_as_filter, allow_for_dataset, allow_for_measurement, allow_for_users, allow_for_qc) VALUES (NULL, 'att_cells',  'Cells',  500,  TRUE, TRUE, TRUE, FALSE, FALSE);</v>
      </c>
      <c r="O119" s="5" t="str">
        <f t="shared" si="7"/>
        <v xml:space="preserve">INSERT INTO attribute_values (attribute_id, tag, name, details) VALUES ((SELECT id FROM attributes WHERE tag = 'att_cells' LIMIT 1),  'att_cells:langerhans',  'Langerhans',  'Langerhans cells; Skin'); </v>
      </c>
    </row>
    <row r="120" spans="1:15" x14ac:dyDescent="0.15">
      <c r="A120" s="10" t="b">
        <f>FALSE()</f>
        <v>0</v>
      </c>
      <c r="B120" s="10"/>
      <c r="C120" s="5" t="s">
        <v>384</v>
      </c>
      <c r="D120" s="5" t="s">
        <v>385</v>
      </c>
      <c r="E120" s="5" t="s">
        <v>13</v>
      </c>
      <c r="F120" s="5" t="s">
        <v>2477</v>
      </c>
      <c r="G120" s="5" t="s">
        <v>2478</v>
      </c>
      <c r="H120" s="5" t="str">
        <f t="shared" si="4"/>
        <v>att_cells</v>
      </c>
      <c r="I120" s="5" t="s">
        <v>384</v>
      </c>
      <c r="J120" s="5" t="str">
        <f t="shared" si="5"/>
        <v>att_cells:leukocytes</v>
      </c>
      <c r="K120" s="9" t="s">
        <v>17</v>
      </c>
      <c r="L120" s="5" t="s">
        <v>386</v>
      </c>
      <c r="M120" s="5" t="s">
        <v>13</v>
      </c>
      <c r="N120" s="5" t="str">
        <f t="shared" si="6"/>
        <v>INSERT INTO attributes (parent_id, tag, name, priority, allow_as_filter, allow_for_dataset, allow_for_measurement, allow_for_users, allow_for_qc) VALUES (NULL, 'att_cells',  'Cells',  500,  TRUE, TRUE, TRUE, FALSE, FALSE);</v>
      </c>
      <c r="O120" s="5" t="str">
        <f t="shared" si="7"/>
        <v xml:space="preserve">INSERT INTO attribute_values (attribute_id, tag, name, details) VALUES ((SELECT id FROM attributes WHERE tag = 'att_cells' LIMIT 1),  'att_cells:leukocytes',  'Leukocytes',  'White blood cells'); </v>
      </c>
    </row>
    <row r="121" spans="1:15" x14ac:dyDescent="0.15">
      <c r="A121" s="10" t="b">
        <f>FALSE()</f>
        <v>0</v>
      </c>
      <c r="B121" s="10"/>
      <c r="C121" s="5" t="s">
        <v>387</v>
      </c>
      <c r="D121" s="5" t="s">
        <v>388</v>
      </c>
      <c r="E121" s="5" t="s">
        <v>13</v>
      </c>
      <c r="F121" s="5" t="s">
        <v>2477</v>
      </c>
      <c r="G121" s="5" t="s">
        <v>2478</v>
      </c>
      <c r="H121" s="5" t="str">
        <f t="shared" si="4"/>
        <v>att_cells</v>
      </c>
      <c r="I121" s="5" t="s">
        <v>387</v>
      </c>
      <c r="J121" s="5" t="str">
        <f t="shared" si="5"/>
        <v>att_cells:lymphocytes</v>
      </c>
      <c r="K121" s="9" t="s">
        <v>17</v>
      </c>
      <c r="L121" s="5" t="s">
        <v>389</v>
      </c>
      <c r="M121" s="5" t="s">
        <v>13</v>
      </c>
      <c r="N121" s="5" t="str">
        <f t="shared" si="6"/>
        <v>INSERT INTO attributes (parent_id, tag, name, priority, allow_as_filter, allow_for_dataset, allow_for_measurement, allow_for_users, allow_for_qc) VALUES (NULL, 'att_cells',  'Cells',  500,  TRUE, TRUE, TRUE, FALSE, FALSE);</v>
      </c>
      <c r="O121" s="5"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0" t="b">
        <f>FALSE()</f>
        <v>0</v>
      </c>
      <c r="B122" s="10"/>
      <c r="C122" s="5" t="s">
        <v>390</v>
      </c>
      <c r="D122" s="5" t="s">
        <v>391</v>
      </c>
      <c r="E122" s="5" t="s">
        <v>13</v>
      </c>
      <c r="F122" s="5" t="s">
        <v>2477</v>
      </c>
      <c r="G122" s="5" t="s">
        <v>2478</v>
      </c>
      <c r="H122" s="5" t="str">
        <f t="shared" si="4"/>
        <v>att_cells</v>
      </c>
      <c r="I122" s="5" t="s">
        <v>390</v>
      </c>
      <c r="J122" s="5" t="str">
        <f t="shared" si="5"/>
        <v>att_cells:macrophage</v>
      </c>
      <c r="K122" s="9" t="s">
        <v>17</v>
      </c>
      <c r="L122" s="5" t="s">
        <v>391</v>
      </c>
      <c r="M122" s="5" t="s">
        <v>13</v>
      </c>
      <c r="N122" s="5" t="str">
        <f t="shared" si="6"/>
        <v>INSERT INTO attributes (parent_id, tag, name, priority, allow_as_filter, allow_for_dataset, allow_for_measurement, allow_for_users, allow_for_qc) VALUES (NULL, 'att_cells',  'Cells',  500,  TRUE, TRUE, TRUE, FALSE, FALSE);</v>
      </c>
      <c r="O122" s="5" t="str">
        <f t="shared" si="7"/>
        <v xml:space="preserve">INSERT INTO attribute_values (attribute_id, tag, name, details) VALUES ((SELECT id FROM attributes WHERE tag = 'att_cells' LIMIT 1),  'att_cells:macrophage',  'Macrophage',  'Macrophage'); </v>
      </c>
    </row>
    <row r="123" spans="1:15" x14ac:dyDescent="0.15">
      <c r="A123" s="10" t="b">
        <f>FALSE()</f>
        <v>0</v>
      </c>
      <c r="B123" s="10"/>
      <c r="C123" s="5" t="s">
        <v>392</v>
      </c>
      <c r="D123" s="5" t="s">
        <v>393</v>
      </c>
      <c r="E123" s="5" t="s">
        <v>13</v>
      </c>
      <c r="F123" s="5" t="s">
        <v>2477</v>
      </c>
      <c r="G123" s="5" t="s">
        <v>2478</v>
      </c>
      <c r="H123" s="5" t="str">
        <f t="shared" si="4"/>
        <v>att_cells</v>
      </c>
      <c r="I123" s="5" t="s">
        <v>392</v>
      </c>
      <c r="J123" s="5" t="str">
        <f t="shared" si="5"/>
        <v>att_cells:microglia</v>
      </c>
      <c r="K123" s="9" t="s">
        <v>17</v>
      </c>
      <c r="L123" s="5" t="s">
        <v>394</v>
      </c>
      <c r="M123" s="5" t="s">
        <v>13</v>
      </c>
      <c r="N123" s="5" t="str">
        <f t="shared" si="6"/>
        <v>INSERT INTO attributes (parent_id, tag, name, priority, allow_as_filter, allow_for_dataset, allow_for_measurement, allow_for_users, allow_for_qc) VALUES (NULL, 'att_cells',  'Cells',  500,  TRUE, TRUE, TRUE, FALSE, FALSE);</v>
      </c>
      <c r="O123" s="5" t="str">
        <f t="shared" si="7"/>
        <v xml:space="preserve">INSERT INTO attribute_values (attribute_id, tag, name, details) VALUES ((SELECT id FROM attributes WHERE tag = 'att_cells' LIMIT 1),  'att_cells:microglia',  'Microglia',  'Microglia; Central nervous system'); </v>
      </c>
    </row>
    <row r="124" spans="1:15" x14ac:dyDescent="0.15">
      <c r="A124" s="10" t="b">
        <f>FALSE()</f>
        <v>0</v>
      </c>
      <c r="B124" s="10"/>
      <c r="C124" s="5" t="s">
        <v>395</v>
      </c>
      <c r="D124" s="5" t="s">
        <v>396</v>
      </c>
      <c r="E124" s="5" t="s">
        <v>13</v>
      </c>
      <c r="F124" s="5" t="s">
        <v>2477</v>
      </c>
      <c r="G124" s="5" t="s">
        <v>2478</v>
      </c>
      <c r="H124" s="5" t="str">
        <f t="shared" si="4"/>
        <v>att_cells</v>
      </c>
      <c r="I124" s="5" t="s">
        <v>395</v>
      </c>
      <c r="J124" s="5" t="str">
        <f t="shared" si="5"/>
        <v>att_cells:monoblast</v>
      </c>
      <c r="K124" s="9" t="s">
        <v>17</v>
      </c>
      <c r="L124" s="5" t="s">
        <v>396</v>
      </c>
      <c r="M124" s="5" t="s">
        <v>13</v>
      </c>
      <c r="N124" s="5" t="str">
        <f t="shared" si="6"/>
        <v>INSERT INTO attributes (parent_id, tag, name, priority, allow_as_filter, allow_for_dataset, allow_for_measurement, allow_for_users, allow_for_qc) VALUES (NULL, 'att_cells',  'Cells',  500,  TRUE, TRUE, TRUE, FALSE, FALSE);</v>
      </c>
      <c r="O124" s="5" t="str">
        <f t="shared" si="7"/>
        <v xml:space="preserve">INSERT INTO attribute_values (attribute_id, tag, name, details) VALUES ((SELECT id FROM attributes WHERE tag = 'att_cells' LIMIT 1),  'att_cells:monoblast',  'Monoblast',  'Monoblast'); </v>
      </c>
    </row>
    <row r="125" spans="1:15" x14ac:dyDescent="0.15">
      <c r="A125" s="10" t="b">
        <f>FALSE()</f>
        <v>0</v>
      </c>
      <c r="B125" s="10"/>
      <c r="C125" s="5" t="s">
        <v>397</v>
      </c>
      <c r="D125" s="5" t="s">
        <v>315</v>
      </c>
      <c r="E125" s="5" t="s">
        <v>13</v>
      </c>
      <c r="F125" s="5" t="s">
        <v>2477</v>
      </c>
      <c r="G125" s="5" t="s">
        <v>2478</v>
      </c>
      <c r="H125" s="5" t="str">
        <f t="shared" si="4"/>
        <v>att_cells</v>
      </c>
      <c r="I125" s="5" t="s">
        <v>397</v>
      </c>
      <c r="J125" s="5" t="str">
        <f t="shared" si="5"/>
        <v>att_cells:monocytes</v>
      </c>
      <c r="K125" s="9" t="s">
        <v>17</v>
      </c>
      <c r="L125" s="5" t="s">
        <v>398</v>
      </c>
      <c r="M125" s="5" t="s">
        <v>13</v>
      </c>
      <c r="N125" s="5" t="str">
        <f t="shared" si="6"/>
        <v>INSERT INTO attributes (parent_id, tag, name, priority, allow_as_filter, allow_for_dataset, allow_for_measurement, allow_for_users, allow_for_qc) VALUES (NULL, 'att_cells',  'Cells',  500,  TRUE, TRUE, TRUE, FALSE, FALSE);</v>
      </c>
      <c r="O125" s="5" t="str">
        <f t="shared" si="7"/>
        <v xml:space="preserve">INSERT INTO attribute_values (attribute_id, tag, name, details) VALUES ((SELECT id FROM attributes WHERE tag = 'att_cells' LIMIT 1),  'att_cells:monocytes',  'Monocytes',  '5% of leukocytes'); </v>
      </c>
    </row>
    <row r="126" spans="1:15" x14ac:dyDescent="0.15">
      <c r="A126" s="10" t="b">
        <f>FALSE()</f>
        <v>0</v>
      </c>
      <c r="B126" s="10"/>
      <c r="C126" s="5" t="s">
        <v>399</v>
      </c>
      <c r="D126" s="5" t="s">
        <v>400</v>
      </c>
      <c r="E126" s="5" t="s">
        <v>13</v>
      </c>
      <c r="F126" s="5" t="s">
        <v>2477</v>
      </c>
      <c r="G126" s="5" t="s">
        <v>2478</v>
      </c>
      <c r="H126" s="5" t="str">
        <f t="shared" si="4"/>
        <v>att_cells</v>
      </c>
      <c r="I126" s="5" t="s">
        <v>399</v>
      </c>
      <c r="J126" s="5" t="str">
        <f t="shared" si="5"/>
        <v>att_cells:neutrophils</v>
      </c>
      <c r="K126" s="9" t="s">
        <v>17</v>
      </c>
      <c r="L126" s="5" t="s">
        <v>401</v>
      </c>
      <c r="M126" s="5" t="s">
        <v>13</v>
      </c>
      <c r="N126" s="5" t="str">
        <f t="shared" si="6"/>
        <v>INSERT INTO attributes (parent_id, tag, name, priority, allow_as_filter, allow_for_dataset, allow_for_measurement, allow_for_users, allow_for_qc) VALUES (NULL, 'att_cells',  'Cells',  500,  TRUE, TRUE, TRUE, FALSE, FALSE);</v>
      </c>
      <c r="O126" s="5" t="str">
        <f t="shared" si="7"/>
        <v xml:space="preserve">INSERT INTO attribute_values (attribute_id, tag, name, details) VALUES ((SELECT id FROM attributes WHERE tag = 'att_cells' LIMIT 1),  'att_cells:neutrophils',  'Neutrophils',  '62% of leukocytes'); </v>
      </c>
    </row>
    <row r="127" spans="1:15" x14ac:dyDescent="0.15">
      <c r="A127" s="10" t="b">
        <f>FALSE()</f>
        <v>0</v>
      </c>
      <c r="B127" s="10"/>
      <c r="C127" s="5" t="s">
        <v>402</v>
      </c>
      <c r="D127" s="5" t="s">
        <v>403</v>
      </c>
      <c r="E127" s="5" t="s">
        <v>13</v>
      </c>
      <c r="F127" s="5" t="s">
        <v>2477</v>
      </c>
      <c r="G127" s="5" t="s">
        <v>2478</v>
      </c>
      <c r="H127" s="5" t="str">
        <f t="shared" si="4"/>
        <v>att_cells</v>
      </c>
      <c r="I127" s="5" t="s">
        <v>402</v>
      </c>
      <c r="J127" s="5" t="str">
        <f t="shared" si="5"/>
        <v>att_cells:nk</v>
      </c>
      <c r="K127" s="9" t="s">
        <v>17</v>
      </c>
      <c r="L127" s="5" t="s">
        <v>404</v>
      </c>
      <c r="M127" s="5" t="s">
        <v>13</v>
      </c>
      <c r="N127" s="5" t="str">
        <f t="shared" si="6"/>
        <v>INSERT INTO attributes (parent_id, tag, name, priority, allow_as_filter, allow_for_dataset, allow_for_measurement, allow_for_users, allow_for_qc) VALUES (NULL, 'att_cells',  'Cells',  500,  TRUE, TRUE, TRUE, FALSE, FALSE);</v>
      </c>
      <c r="O127" s="5" t="str">
        <f t="shared" si="7"/>
        <v xml:space="preserve">INSERT INTO attribute_values (attribute_id, tag, name, details) VALUES ((SELECT id FROM attributes WHERE tag = 'att_cells' LIMIT 1),  'att_cells:nk',  'Natural Killer cells (NK)',  'Natural killer cells'); </v>
      </c>
    </row>
    <row r="128" spans="1:15" x14ac:dyDescent="0.15">
      <c r="A128" s="10" t="b">
        <f>FALSE()</f>
        <v>0</v>
      </c>
      <c r="B128" s="10"/>
      <c r="C128" s="5" t="s">
        <v>405</v>
      </c>
      <c r="D128" s="5" t="s">
        <v>406</v>
      </c>
      <c r="E128" s="5" t="s">
        <v>13</v>
      </c>
      <c r="F128" s="5" t="s">
        <v>2477</v>
      </c>
      <c r="G128" s="5" t="s">
        <v>2478</v>
      </c>
      <c r="H128" s="5" t="str">
        <f t="shared" si="4"/>
        <v>att_cells</v>
      </c>
      <c r="I128" s="5" t="s">
        <v>405</v>
      </c>
      <c r="J128" s="5" t="str">
        <f t="shared" si="5"/>
        <v>att_cells:osteoblast</v>
      </c>
      <c r="K128" s="9" t="s">
        <v>17</v>
      </c>
      <c r="L128" s="5" t="s">
        <v>407</v>
      </c>
      <c r="M128" s="5" t="s">
        <v>13</v>
      </c>
      <c r="N128" s="5" t="str">
        <f t="shared" si="6"/>
        <v>INSERT INTO attributes (parent_id, tag, name, priority, allow_as_filter, allow_for_dataset, allow_for_measurement, allow_for_users, allow_for_qc) VALUES (NULL, 'att_cells',  'Cells',  500,  TRUE, TRUE, TRUE, FALSE, FALSE);</v>
      </c>
      <c r="O128" s="5" t="str">
        <f t="shared" si="7"/>
        <v xml:space="preserve">INSERT INTO attribute_values (attribute_id, tag, name, details) VALUES ((SELECT id FROM attributes WHERE tag = 'att_cells' LIMIT 1),  'att_cells:osteoblast',  'Osteoblast',  'forms bone matrix'); </v>
      </c>
    </row>
    <row r="129" spans="1:15" x14ac:dyDescent="0.15">
      <c r="A129" s="10" t="b">
        <f>FALSE()</f>
        <v>0</v>
      </c>
      <c r="B129" s="10"/>
      <c r="C129" s="5" t="s">
        <v>408</v>
      </c>
      <c r="D129" s="5" t="s">
        <v>409</v>
      </c>
      <c r="E129" s="5" t="s">
        <v>13</v>
      </c>
      <c r="F129" s="5" t="s">
        <v>2477</v>
      </c>
      <c r="G129" s="5" t="s">
        <v>2478</v>
      </c>
      <c r="H129" s="5" t="str">
        <f t="shared" si="4"/>
        <v>att_cells</v>
      </c>
      <c r="I129" s="5" t="s">
        <v>408</v>
      </c>
      <c r="J129" s="5" t="str">
        <f t="shared" si="5"/>
        <v>att_cells:osteoclast</v>
      </c>
      <c r="K129" s="9" t="s">
        <v>17</v>
      </c>
      <c r="L129" s="5" t="s">
        <v>410</v>
      </c>
      <c r="M129" s="5" t="s">
        <v>13</v>
      </c>
      <c r="N129" s="5" t="str">
        <f t="shared" si="6"/>
        <v>INSERT INTO attributes (parent_id, tag, name, priority, allow_as_filter, allow_for_dataset, allow_for_measurement, allow_for_users, allow_for_qc) VALUES (NULL, 'att_cells',  'Cells',  500,  TRUE, TRUE, TRUE, FALSE, FALSE);</v>
      </c>
      <c r="O129" s="5" t="str">
        <f t="shared" si="7"/>
        <v xml:space="preserve">INSERT INTO attribute_values (attribute_id, tag, name, details) VALUES ((SELECT id FROM attributes WHERE tag = 'att_cells' LIMIT 1),  'att_cells:osteoclast',  'Osteoclast',  'resorbs bone'); </v>
      </c>
    </row>
    <row r="130" spans="1:15" x14ac:dyDescent="0.15">
      <c r="A130" s="10" t="b">
        <f>FALSE()</f>
        <v>0</v>
      </c>
      <c r="B130" s="10"/>
      <c r="C130" s="5" t="s">
        <v>411</v>
      </c>
      <c r="D130" s="5" t="s">
        <v>412</v>
      </c>
      <c r="E130" s="5" t="s">
        <v>13</v>
      </c>
      <c r="F130" s="5" t="s">
        <v>2477</v>
      </c>
      <c r="G130" s="5" t="s">
        <v>2478</v>
      </c>
      <c r="H130" s="5" t="str">
        <f t="shared" ref="H130:H193" si="8">"att_"&amp;G130</f>
        <v>att_cells</v>
      </c>
      <c r="I130" s="5" t="s">
        <v>411</v>
      </c>
      <c r="J130" s="5" t="str">
        <f t="shared" ref="J130:J193" si="9">H130&amp;":"&amp;I130</f>
        <v>att_cells:osteocytes</v>
      </c>
      <c r="K130" s="9" t="s">
        <v>17</v>
      </c>
      <c r="L130" s="5" t="s">
        <v>413</v>
      </c>
      <c r="M130" s="5" t="s">
        <v>13</v>
      </c>
      <c r="N130" s="5"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5"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0" t="b">
        <f>FALSE()</f>
        <v>0</v>
      </c>
      <c r="B131" s="10"/>
      <c r="C131" s="5" t="s">
        <v>414</v>
      </c>
      <c r="D131" s="5" t="s">
        <v>415</v>
      </c>
      <c r="E131" s="5" t="s">
        <v>13</v>
      </c>
      <c r="F131" s="5" t="s">
        <v>2477</v>
      </c>
      <c r="G131" s="5" t="s">
        <v>2478</v>
      </c>
      <c r="H131" s="5" t="str">
        <f t="shared" si="8"/>
        <v>att_cells</v>
      </c>
      <c r="I131" s="5" t="s">
        <v>414</v>
      </c>
      <c r="J131" s="5" t="str">
        <f t="shared" si="9"/>
        <v>att_cells:osteogenic</v>
      </c>
      <c r="K131" s="9" t="s">
        <v>17</v>
      </c>
      <c r="L131" s="5" t="s">
        <v>416</v>
      </c>
      <c r="M131" s="5" t="s">
        <v>13</v>
      </c>
      <c r="N131" s="5" t="str">
        <f t="shared" si="10"/>
        <v>INSERT INTO attributes (parent_id, tag, name, priority, allow_as_filter, allow_for_dataset, allow_for_measurement, allow_for_users, allow_for_qc) VALUES (NULL, 'att_cells',  'Cells',  500,  TRUE, TRUE, TRUE, FALSE, FALSE);</v>
      </c>
      <c r="O131" s="5" t="str">
        <f t="shared" si="11"/>
        <v xml:space="preserve">INSERT INTO attribute_values (attribute_id, tag, name, details) VALUES ((SELECT id FROM attributes WHERE tag = 'att_cells' LIMIT 1),  'att_cells:osteogenic',  'Osteogenic',  'Stem cell'); </v>
      </c>
    </row>
    <row r="132" spans="1:15" x14ac:dyDescent="0.15">
      <c r="A132" s="10" t="b">
        <f>FALSE()</f>
        <v>0</v>
      </c>
      <c r="B132" s="10"/>
      <c r="C132" s="5" t="s">
        <v>417</v>
      </c>
      <c r="D132" s="5" t="s">
        <v>418</v>
      </c>
      <c r="E132" s="5" t="s">
        <v>13</v>
      </c>
      <c r="F132" s="5" t="s">
        <v>2477</v>
      </c>
      <c r="G132" s="5" t="s">
        <v>2478</v>
      </c>
      <c r="H132" s="5" t="str">
        <f t="shared" si="8"/>
        <v>att_cells</v>
      </c>
      <c r="I132" s="5" t="s">
        <v>417</v>
      </c>
      <c r="J132" s="5" t="str">
        <f t="shared" si="9"/>
        <v>att_cells:regt</v>
      </c>
      <c r="K132" s="9" t="s">
        <v>17</v>
      </c>
      <c r="L132" s="5" t="s">
        <v>419</v>
      </c>
      <c r="M132" s="5" t="s">
        <v>13</v>
      </c>
      <c r="N132" s="5" t="str">
        <f t="shared" si="10"/>
        <v>INSERT INTO attributes (parent_id, tag, name, priority, allow_as_filter, allow_for_dataset, allow_for_measurement, allow_for_users, allow_for_qc) VALUES (NULL, 'att_cells',  'Cells',  500,  TRUE, TRUE, TRUE, FALSE, FALSE);</v>
      </c>
      <c r="O132" s="5" t="str">
        <f t="shared" si="11"/>
        <v xml:space="preserve">INSERT INTO attribute_values (attribute_id, tag, name, details) VALUES ((SELECT id FROM attributes WHERE tag = 'att_cells' LIMIT 1),  'att_cells:regt',  'Regulatory T cells (RegT)',  'Regulatory T Cell'); </v>
      </c>
    </row>
    <row r="133" spans="1:15" x14ac:dyDescent="0.15">
      <c r="A133" s="10" t="b">
        <f>FALSE()</f>
        <v>0</v>
      </c>
      <c r="B133" s="10"/>
      <c r="C133" s="5" t="s">
        <v>420</v>
      </c>
      <c r="D133" s="5" t="s">
        <v>421</v>
      </c>
      <c r="E133" s="5" t="s">
        <v>13</v>
      </c>
      <c r="F133" s="5" t="s">
        <v>2477</v>
      </c>
      <c r="G133" s="5" t="s">
        <v>2478</v>
      </c>
      <c r="H133" s="5" t="str">
        <f t="shared" si="8"/>
        <v>att_cells</v>
      </c>
      <c r="I133" s="5" t="s">
        <v>420</v>
      </c>
      <c r="J133" s="5" t="str">
        <f t="shared" si="9"/>
        <v>att_cells:stemcells</v>
      </c>
      <c r="K133" s="9" t="s">
        <v>17</v>
      </c>
      <c r="L133" s="5" t="s">
        <v>422</v>
      </c>
      <c r="M133" s="5" t="s">
        <v>13</v>
      </c>
      <c r="N133" s="5" t="str">
        <f t="shared" si="10"/>
        <v>INSERT INTO attributes (parent_id, tag, name, priority, allow_as_filter, allow_for_dataset, allow_for_measurement, allow_for_users, allow_for_qc) VALUES (NULL, 'att_cells',  'Cells',  500,  TRUE, TRUE, TRUE, FALSE, FALSE);</v>
      </c>
      <c r="O133" s="5" t="str">
        <f t="shared" si="11"/>
        <v xml:space="preserve">INSERT INTO attribute_values (attribute_id, tag, name, details) VALUES ((SELECT id FROM attributes WHERE tag = 'att_cells' LIMIT 1),  'att_cells:stemcells',  'Stem Cells',  'Stem or Blast cells'); </v>
      </c>
    </row>
    <row r="134" spans="1:15" x14ac:dyDescent="0.15">
      <c r="A134" s="10" t="b">
        <f>FALSE()</f>
        <v>0</v>
      </c>
      <c r="B134" s="10"/>
      <c r="C134" s="5" t="s">
        <v>423</v>
      </c>
      <c r="D134" s="5" t="s">
        <v>424</v>
      </c>
      <c r="E134" s="5" t="s">
        <v>13</v>
      </c>
      <c r="F134" s="5" t="s">
        <v>2477</v>
      </c>
      <c r="G134" s="5" t="s">
        <v>2478</v>
      </c>
      <c r="H134" s="5" t="str">
        <f t="shared" si="8"/>
        <v>att_cells</v>
      </c>
      <c r="I134" s="5" t="s">
        <v>423</v>
      </c>
      <c r="J134" s="5" t="str">
        <f t="shared" si="9"/>
        <v>att_cells:tcells</v>
      </c>
      <c r="K134" s="9" t="s">
        <v>17</v>
      </c>
      <c r="L134" s="5" t="s">
        <v>424</v>
      </c>
      <c r="M134" s="5" t="s">
        <v>13</v>
      </c>
      <c r="N134" s="5" t="str">
        <f t="shared" si="10"/>
        <v>INSERT INTO attributes (parent_id, tag, name, priority, allow_as_filter, allow_for_dataset, allow_for_measurement, allow_for_users, allow_for_qc) VALUES (NULL, 'att_cells',  'Cells',  500,  TRUE, TRUE, TRUE, FALSE, FALSE);</v>
      </c>
      <c r="O134" s="5" t="str">
        <f t="shared" si="11"/>
        <v xml:space="preserve">INSERT INTO attribute_values (attribute_id, tag, name, details) VALUES ((SELECT id FROM attributes WHERE tag = 'att_cells' LIMIT 1),  'att_cells:tcells',  'T cells',  'T cells'); </v>
      </c>
    </row>
    <row r="135" spans="1:15" x14ac:dyDescent="0.15">
      <c r="A135" s="10" t="b">
        <f>FALSE()</f>
        <v>0</v>
      </c>
      <c r="B135" s="10"/>
      <c r="C135" s="5" t="s">
        <v>425</v>
      </c>
      <c r="D135" s="5" t="s">
        <v>426</v>
      </c>
      <c r="E135" s="5" t="s">
        <v>13</v>
      </c>
      <c r="F135" s="5" t="s">
        <v>2477</v>
      </c>
      <c r="G135" s="5" t="s">
        <v>2478</v>
      </c>
      <c r="H135" s="5" t="str">
        <f t="shared" si="8"/>
        <v>att_cells</v>
      </c>
      <c r="I135" s="5" t="s">
        <v>425</v>
      </c>
      <c r="J135" s="5" t="str">
        <f t="shared" si="9"/>
        <v>att_cells:thelper</v>
      </c>
      <c r="K135" s="9" t="s">
        <v>17</v>
      </c>
      <c r="L135" s="5" t="s">
        <v>427</v>
      </c>
      <c r="M135" s="5" t="s">
        <v>13</v>
      </c>
      <c r="N135" s="5" t="str">
        <f t="shared" si="10"/>
        <v>INSERT INTO attributes (parent_id, tag, name, priority, allow_as_filter, allow_for_dataset, allow_for_measurement, allow_for_users, allow_for_qc) VALUES (NULL, 'att_cells',  'Cells',  500,  TRUE, TRUE, TRUE, FALSE, FALSE);</v>
      </c>
      <c r="O135" s="5" t="str">
        <f t="shared" si="11"/>
        <v xml:space="preserve">INSERT INTO attribute_values (attribute_id, tag, name, details) VALUES ((SELECT id FROM attributes WHERE tag = 'att_cells' LIMIT 1),  'att_cells:thelper',  'T Helper cells (Th)',  'CD4+ T helper cells'); </v>
      </c>
    </row>
    <row r="136" spans="1:15" x14ac:dyDescent="0.15">
      <c r="A136" s="10" t="b">
        <f>FALSE()</f>
        <v>0</v>
      </c>
      <c r="B136" s="10"/>
      <c r="C136" s="5" t="s">
        <v>428</v>
      </c>
      <c r="D136" s="5" t="s">
        <v>429</v>
      </c>
      <c r="E136" s="5" t="s">
        <v>13</v>
      </c>
      <c r="F136" s="5" t="s">
        <v>2477</v>
      </c>
      <c r="G136" s="5" t="s">
        <v>2478</v>
      </c>
      <c r="H136" s="5" t="str">
        <f t="shared" si="8"/>
        <v>att_cells</v>
      </c>
      <c r="I136" s="5" t="s">
        <v>428</v>
      </c>
      <c r="J136" s="5" t="str">
        <f t="shared" si="9"/>
        <v>att_cells:thrombocytes</v>
      </c>
      <c r="K136" s="9" t="s">
        <v>17</v>
      </c>
      <c r="L136" s="5" t="s">
        <v>430</v>
      </c>
      <c r="M136" s="5" t="s">
        <v>13</v>
      </c>
      <c r="N136" s="5" t="str">
        <f t="shared" si="10"/>
        <v>INSERT INTO attributes (parent_id, tag, name, priority, allow_as_filter, allow_for_dataset, allow_for_measurement, allow_for_users, allow_for_qc) VALUES (NULL, 'att_cells',  'Cells',  500,  TRUE, TRUE, TRUE, FALSE, FALSE);</v>
      </c>
      <c r="O136" s="5" t="str">
        <f t="shared" si="11"/>
        <v xml:space="preserve">INSERT INTO attribute_values (attribute_id, tag, name, details) VALUES ((SELECT id FROM attributes WHERE tag = 'att_cells' LIMIT 1),  'att_cells:thrombocytes',  'Thrombocytes',  'Platelets'); </v>
      </c>
    </row>
    <row r="137" spans="1:15" x14ac:dyDescent="0.15">
      <c r="A137" s="10" t="b">
        <f>FALSE()</f>
        <v>0</v>
      </c>
      <c r="B137" s="10"/>
      <c r="C137" s="5" t="s">
        <v>661</v>
      </c>
      <c r="D137" s="5" t="s">
        <v>662</v>
      </c>
      <c r="E137" s="5" t="s">
        <v>13</v>
      </c>
      <c r="F137" s="5" t="s">
        <v>2479</v>
      </c>
      <c r="G137" s="5" t="s">
        <v>2480</v>
      </c>
      <c r="H137" s="5" t="str">
        <f t="shared" si="8"/>
        <v>att_compound</v>
      </c>
      <c r="I137" s="5" t="s">
        <v>661</v>
      </c>
      <c r="J137" s="5" t="str">
        <f t="shared" si="9"/>
        <v>att_compound:anisomycin</v>
      </c>
      <c r="K137" s="9" t="s">
        <v>17</v>
      </c>
      <c r="L137" s="5" t="s">
        <v>662</v>
      </c>
      <c r="M137" s="5" t="s">
        <v>13</v>
      </c>
      <c r="N137" s="5" t="str">
        <f t="shared" si="10"/>
        <v>INSERT INTO attributes (parent_id, tag, name, priority, allow_as_filter, allow_for_dataset, allow_for_measurement, allow_for_users, allow_for_qc) VALUES (NULL, 'att_compound',  'Compound',  500,  TRUE, TRUE, TRUE, FALSE, FALSE);</v>
      </c>
      <c r="O137" s="5" t="str">
        <f t="shared" si="11"/>
        <v xml:space="preserve">INSERT INTO attribute_values (attribute_id, tag, name, details) VALUES ((SELECT id FROM attributes WHERE tag = 'att_compound' LIMIT 1),  'att_compound:anisomycin',  'Anisomycin',  'Anisomycin'); </v>
      </c>
    </row>
    <row r="138" spans="1:15" x14ac:dyDescent="0.15">
      <c r="A138" s="10" t="b">
        <f>FALSE()</f>
        <v>0</v>
      </c>
      <c r="B138" s="10"/>
      <c r="C138" s="5" t="s">
        <v>666</v>
      </c>
      <c r="D138" s="5" t="s">
        <v>667</v>
      </c>
      <c r="E138" s="5" t="s">
        <v>13</v>
      </c>
      <c r="F138" s="5" t="s">
        <v>2479</v>
      </c>
      <c r="G138" s="5" t="s">
        <v>2480</v>
      </c>
      <c r="H138" s="5" t="str">
        <f t="shared" si="8"/>
        <v>att_compound</v>
      </c>
      <c r="I138" s="5" t="s">
        <v>666</v>
      </c>
      <c r="J138" s="5" t="str">
        <f t="shared" si="9"/>
        <v>att_compound:atp</v>
      </c>
      <c r="K138" s="9" t="s">
        <v>17</v>
      </c>
      <c r="L138" s="5" t="s">
        <v>668</v>
      </c>
      <c r="M138" s="5" t="s">
        <v>13</v>
      </c>
      <c r="N138" s="5" t="str">
        <f t="shared" si="10"/>
        <v>INSERT INTO attributes (parent_id, tag, name, priority, allow_as_filter, allow_for_dataset, allow_for_measurement, allow_for_users, allow_for_qc) VALUES (NULL, 'att_compound',  'Compound',  500,  TRUE, TRUE, TRUE, FALSE, FALSE);</v>
      </c>
      <c r="O138" s="5" t="str">
        <f t="shared" si="11"/>
        <v xml:space="preserve">INSERT INTO attribute_values (attribute_id, tag, name, details) VALUES ((SELECT id FROM attributes WHERE tag = 'att_compound' LIMIT 1),  'att_compound:atp',  'ATP',  'Adenosine triphosphate'); </v>
      </c>
    </row>
    <row r="139" spans="1:15" x14ac:dyDescent="0.15">
      <c r="A139" s="10" t="b">
        <f>FALSE()</f>
        <v>0</v>
      </c>
      <c r="B139" s="10"/>
      <c r="C139" s="5" t="s">
        <v>669</v>
      </c>
      <c r="D139" s="5" t="s">
        <v>669</v>
      </c>
      <c r="E139" s="5" t="s">
        <v>13</v>
      </c>
      <c r="F139" s="5" t="s">
        <v>2479</v>
      </c>
      <c r="G139" s="5" t="s">
        <v>2480</v>
      </c>
      <c r="H139" s="5" t="str">
        <f t="shared" si="8"/>
        <v>att_compound</v>
      </c>
      <c r="I139" s="5" t="s">
        <v>669</v>
      </c>
      <c r="J139" s="5" t="str">
        <f t="shared" si="9"/>
        <v>att_compound:berzosertib</v>
      </c>
      <c r="K139" s="9" t="s">
        <v>17</v>
      </c>
      <c r="L139" s="5" t="s">
        <v>670</v>
      </c>
      <c r="M139" s="5" t="s">
        <v>13</v>
      </c>
      <c r="N139" s="5" t="str">
        <f t="shared" si="10"/>
        <v>INSERT INTO attributes (parent_id, tag, name, priority, allow_as_filter, allow_for_dataset, allow_for_measurement, allow_for_users, allow_for_qc) VALUES (NULL, 'att_compound',  'Compound',  500,  TRUE, TRUE, TRUE, FALSE, FALSE);</v>
      </c>
      <c r="O139" s="5" t="str">
        <f t="shared" si="11"/>
        <v xml:space="preserve">INSERT INTO attribute_values (attribute_id, tag, name, details) VALUES ((SELECT id FROM attributes WHERE tag = 'att_compound' LIMIT 1),  'att_compound:berzosertib',  'berzosertib',  'Berzosertib'); </v>
      </c>
    </row>
    <row r="140" spans="1:15" x14ac:dyDescent="0.15">
      <c r="A140" s="10" t="b">
        <f>FALSE()</f>
        <v>0</v>
      </c>
      <c r="B140" s="10"/>
      <c r="C140" s="5" t="s">
        <v>671</v>
      </c>
      <c r="D140" s="5" t="s">
        <v>671</v>
      </c>
      <c r="E140" s="5" t="s">
        <v>13</v>
      </c>
      <c r="F140" s="5" t="s">
        <v>2479</v>
      </c>
      <c r="G140" s="5" t="s">
        <v>2480</v>
      </c>
      <c r="H140" s="5" t="str">
        <f t="shared" si="8"/>
        <v>att_compound</v>
      </c>
      <c r="I140" s="5" t="s">
        <v>671</v>
      </c>
      <c r="J140" s="5" t="str">
        <f t="shared" si="9"/>
        <v>att_compound:bortezomib</v>
      </c>
      <c r="K140" s="9" t="s">
        <v>17</v>
      </c>
      <c r="L140" s="5" t="s">
        <v>672</v>
      </c>
      <c r="M140" s="5" t="s">
        <v>13</v>
      </c>
      <c r="N140" s="5" t="str">
        <f t="shared" si="10"/>
        <v>INSERT INTO attributes (parent_id, tag, name, priority, allow_as_filter, allow_for_dataset, allow_for_measurement, allow_for_users, allow_for_qc) VALUES (NULL, 'att_compound',  'Compound',  500,  TRUE, TRUE, TRUE, FALSE, FALSE);</v>
      </c>
      <c r="O140" s="5" t="str">
        <f t="shared" si="11"/>
        <v xml:space="preserve">INSERT INTO attribute_values (attribute_id, tag, name, details) VALUES ((SELECT id FROM attributes WHERE tag = 'att_compound' LIMIT 1),  'att_compound:bortezomib',  'bortezomib',  'Bortezomib'); </v>
      </c>
    </row>
    <row r="141" spans="1:15" s="12" customFormat="1" x14ac:dyDescent="0.15">
      <c r="A141" s="11" t="b">
        <f>FALSE()</f>
        <v>0</v>
      </c>
      <c r="B141" s="11"/>
      <c r="C141" s="12" t="s">
        <v>2481</v>
      </c>
      <c r="D141" s="12" t="s">
        <v>2482</v>
      </c>
      <c r="E141" s="12" t="s">
        <v>13</v>
      </c>
      <c r="F141" s="12" t="s">
        <v>2479</v>
      </c>
      <c r="G141" s="12" t="s">
        <v>2480</v>
      </c>
      <c r="H141" s="12" t="str">
        <f t="shared" si="8"/>
        <v>att_compound</v>
      </c>
      <c r="I141" s="12" t="s">
        <v>2481</v>
      </c>
      <c r="J141" s="12" t="str">
        <f t="shared" si="9"/>
        <v>att_compound:cgas</v>
      </c>
      <c r="K141" s="13" t="s">
        <v>17</v>
      </c>
      <c r="L141" s="12" t="s">
        <v>2482</v>
      </c>
      <c r="M141" s="12" t="s">
        <v>13</v>
      </c>
      <c r="N141" s="12" t="str">
        <f t="shared" si="10"/>
        <v>INSERT INTO attributes (parent_id, tag, name, priority, allow_as_filter, allow_for_dataset, allow_for_measurement, allow_for_users, allow_for_qc) VALUES (NULL, 'att_compound',  'Compound',  500,  TRUE, TRUE, TRUE, FALSE, FALSE);</v>
      </c>
      <c r="O141" s="12" t="str">
        <f t="shared" si="11"/>
        <v xml:space="preserve">INSERT INTO attribute_values (attribute_id, tag, name, details) VALUES ((SELECT id FROM attributes WHERE tag = 'att_compound' LIMIT 1),  'att_compound:cgas',  'cGAS',  'cGAS'); </v>
      </c>
    </row>
    <row r="142" spans="1:15" x14ac:dyDescent="0.15">
      <c r="A142" s="10" t="b">
        <f>FALSE()</f>
        <v>0</v>
      </c>
      <c r="B142" s="10"/>
      <c r="C142" s="5" t="s">
        <v>676</v>
      </c>
      <c r="D142" s="5" t="s">
        <v>676</v>
      </c>
      <c r="E142" s="5" t="s">
        <v>13</v>
      </c>
      <c r="F142" s="5" t="s">
        <v>2479</v>
      </c>
      <c r="G142" s="5" t="s">
        <v>2480</v>
      </c>
      <c r="H142" s="5" t="str">
        <f t="shared" si="8"/>
        <v>att_compound</v>
      </c>
      <c r="I142" s="5" t="s">
        <v>676</v>
      </c>
      <c r="J142" s="5" t="str">
        <f t="shared" si="9"/>
        <v>att_compound:cycloheximide</v>
      </c>
      <c r="K142" s="9" t="s">
        <v>17</v>
      </c>
      <c r="L142" s="5" t="s">
        <v>677</v>
      </c>
      <c r="M142" s="5" t="s">
        <v>13</v>
      </c>
      <c r="N142" s="5" t="str">
        <f t="shared" si="10"/>
        <v>INSERT INTO attributes (parent_id, tag, name, priority, allow_as_filter, allow_for_dataset, allow_for_measurement, allow_for_users, allow_for_qc) VALUES (NULL, 'att_compound',  'Compound',  500,  TRUE, TRUE, TRUE, FALSE, FALSE);</v>
      </c>
      <c r="O142" s="5" t="str">
        <f t="shared" si="11"/>
        <v xml:space="preserve">INSERT INTO attribute_values (attribute_id, tag, name, details) VALUES ((SELECT id FROM attributes WHERE tag = 'att_compound' LIMIT 1),  'att_compound:cycloheximide',  'cycloheximide',  'Cycloheximide'); </v>
      </c>
    </row>
    <row r="143" spans="1:15" x14ac:dyDescent="0.15">
      <c r="A143" s="10" t="b">
        <f>FALSE()</f>
        <v>0</v>
      </c>
      <c r="B143" s="10"/>
      <c r="C143" s="5" t="s">
        <v>2483</v>
      </c>
      <c r="D143" s="5" t="s">
        <v>2484</v>
      </c>
      <c r="E143" s="5" t="s">
        <v>13</v>
      </c>
      <c r="F143" s="5" t="s">
        <v>2479</v>
      </c>
      <c r="G143" s="5" t="s">
        <v>2480</v>
      </c>
      <c r="H143" s="5" t="str">
        <f t="shared" si="8"/>
        <v>att_compound</v>
      </c>
      <c r="I143" s="5" t="s">
        <v>2483</v>
      </c>
      <c r="J143" s="5" t="str">
        <f t="shared" si="9"/>
        <v>att_compound:diabzi</v>
      </c>
      <c r="K143" s="9" t="s">
        <v>17</v>
      </c>
      <c r="L143" s="5" t="s">
        <v>2484</v>
      </c>
      <c r="M143" s="5" t="s">
        <v>13</v>
      </c>
      <c r="N143" s="5" t="str">
        <f t="shared" si="10"/>
        <v>INSERT INTO attributes (parent_id, tag, name, priority, allow_as_filter, allow_for_dataset, allow_for_measurement, allow_for_users, allow_for_qc) VALUES (NULL, 'att_compound',  'Compound',  500,  TRUE, TRUE, TRUE, FALSE, FALSE);</v>
      </c>
      <c r="O143" s="5" t="str">
        <f t="shared" si="11"/>
        <v xml:space="preserve">INSERT INTO attribute_values (attribute_id, tag, name, details) VALUES ((SELECT id FROM attributes WHERE tag = 'att_compound' LIMIT 1),  'att_compound:diabzi',  'diABZI',  'diABZI'); </v>
      </c>
    </row>
    <row r="144" spans="1:15" x14ac:dyDescent="0.15">
      <c r="A144" s="10" t="b">
        <f>FALSE()</f>
        <v>0</v>
      </c>
      <c r="B144" s="10"/>
      <c r="C144" s="5" t="s">
        <v>678</v>
      </c>
      <c r="D144" s="5" t="s">
        <v>679</v>
      </c>
      <c r="E144" s="5" t="s">
        <v>13</v>
      </c>
      <c r="F144" s="5" t="s">
        <v>2479</v>
      </c>
      <c r="G144" s="5" t="s">
        <v>2480</v>
      </c>
      <c r="H144" s="5" t="str">
        <f t="shared" si="8"/>
        <v>att_compound</v>
      </c>
      <c r="I144" s="5" t="s">
        <v>678</v>
      </c>
      <c r="J144" s="5" t="str">
        <f t="shared" si="9"/>
        <v>att_compound:dmso</v>
      </c>
      <c r="K144" s="9" t="s">
        <v>17</v>
      </c>
      <c r="L144" s="5" t="s">
        <v>2485</v>
      </c>
      <c r="M144" s="5" t="s">
        <v>13</v>
      </c>
      <c r="N144" s="5" t="str">
        <f t="shared" si="10"/>
        <v>INSERT INTO attributes (parent_id, tag, name, priority, allow_as_filter, allow_for_dataset, allow_for_measurement, allow_for_users, allow_for_qc) VALUES (NULL, 'att_compound',  'Compound',  500,  TRUE, TRUE, TRUE, FALSE, FALSE);</v>
      </c>
      <c r="O144" s="5" t="str">
        <f t="shared" si="11"/>
        <v xml:space="preserve">INSERT INTO attribute_values (attribute_id, tag, name, details) VALUES ((SELECT id FROM attributes WHERE tag = 'att_compound' LIMIT 1),  'att_compound:dmso',  'DMSO',  'Dimethyl Sulfoxide'); </v>
      </c>
    </row>
    <row r="145" spans="1:15" x14ac:dyDescent="0.15">
      <c r="A145" s="10" t="b">
        <f>FALSE()</f>
        <v>0</v>
      </c>
      <c r="B145" s="10"/>
      <c r="C145" s="5" t="s">
        <v>681</v>
      </c>
      <c r="D145" s="5" t="s">
        <v>681</v>
      </c>
      <c r="E145" s="5" t="s">
        <v>13</v>
      </c>
      <c r="F145" s="5" t="s">
        <v>2479</v>
      </c>
      <c r="G145" s="5" t="s">
        <v>2480</v>
      </c>
      <c r="H145" s="5" t="str">
        <f t="shared" si="8"/>
        <v>att_compound</v>
      </c>
      <c r="I145" s="5" t="s">
        <v>681</v>
      </c>
      <c r="J145" s="5" t="str">
        <f t="shared" si="9"/>
        <v>att_compound:doxorubicin</v>
      </c>
      <c r="K145" s="9" t="s">
        <v>17</v>
      </c>
      <c r="L145" s="5" t="s">
        <v>682</v>
      </c>
      <c r="M145" s="5" t="s">
        <v>13</v>
      </c>
      <c r="N145" s="5" t="str">
        <f t="shared" si="10"/>
        <v>INSERT INTO attributes (parent_id, tag, name, priority, allow_as_filter, allow_for_dataset, allow_for_measurement, allow_for_users, allow_for_qc) VALUES (NULL, 'att_compound',  'Compound',  500,  TRUE, TRUE, TRUE, FALSE, FALSE);</v>
      </c>
      <c r="O145" s="5" t="str">
        <f t="shared" si="11"/>
        <v xml:space="preserve">INSERT INTO attribute_values (attribute_id, tag, name, details) VALUES ((SELECT id FROM attributes WHERE tag = 'att_compound' LIMIT 1),  'att_compound:doxorubicin',  'doxorubicin',  'Doxorubicin'); </v>
      </c>
    </row>
    <row r="146" spans="1:15" x14ac:dyDescent="0.15">
      <c r="A146" s="10" t="b">
        <f>FALSE()</f>
        <v>0</v>
      </c>
      <c r="B146" s="10"/>
      <c r="C146" s="5" t="s">
        <v>684</v>
      </c>
      <c r="D146" s="5" t="s">
        <v>684</v>
      </c>
      <c r="E146" s="5" t="s">
        <v>13</v>
      </c>
      <c r="F146" s="5" t="s">
        <v>2479</v>
      </c>
      <c r="G146" s="5" t="s">
        <v>2480</v>
      </c>
      <c r="H146" s="5" t="str">
        <f t="shared" si="8"/>
        <v>att_compound</v>
      </c>
      <c r="I146" s="5" t="s">
        <v>684</v>
      </c>
      <c r="J146" s="5" t="str">
        <f t="shared" si="9"/>
        <v>att_compound:doxycycline</v>
      </c>
      <c r="K146" s="9" t="s">
        <v>17</v>
      </c>
      <c r="L146" s="5" t="s">
        <v>685</v>
      </c>
      <c r="M146" s="5" t="s">
        <v>13</v>
      </c>
      <c r="N146" s="5" t="str">
        <f t="shared" si="10"/>
        <v>INSERT INTO attributes (parent_id, tag, name, priority, allow_as_filter, allow_for_dataset, allow_for_measurement, allow_for_users, allow_for_qc) VALUES (NULL, 'att_compound',  'Compound',  500,  TRUE, TRUE, TRUE, FALSE, FALSE);</v>
      </c>
      <c r="O146" s="5" t="str">
        <f t="shared" si="11"/>
        <v xml:space="preserve">INSERT INTO attribute_values (attribute_id, tag, name, details) VALUES ((SELECT id FROM attributes WHERE tag = 'att_compound' LIMIT 1),  'att_compound:doxycycline',  'doxycycline',  'Doxycycline'); </v>
      </c>
    </row>
    <row r="147" spans="1:15" x14ac:dyDescent="0.15">
      <c r="A147" s="10" t="b">
        <f>FALSE()</f>
        <v>0</v>
      </c>
      <c r="B147" s="10"/>
      <c r="C147" s="5" t="s">
        <v>687</v>
      </c>
      <c r="D147" s="5" t="s">
        <v>687</v>
      </c>
      <c r="E147" s="5" t="s">
        <v>13</v>
      </c>
      <c r="F147" s="5" t="s">
        <v>2479</v>
      </c>
      <c r="G147" s="5" t="s">
        <v>2480</v>
      </c>
      <c r="H147" s="5" t="str">
        <f t="shared" si="8"/>
        <v>att_compound</v>
      </c>
      <c r="I147" s="5" t="s">
        <v>687</v>
      </c>
      <c r="J147" s="5" t="str">
        <f t="shared" si="9"/>
        <v>att_compound:etoposide</v>
      </c>
      <c r="K147" s="9" t="s">
        <v>17</v>
      </c>
      <c r="L147" s="5" t="s">
        <v>687</v>
      </c>
      <c r="M147" s="5" t="s">
        <v>13</v>
      </c>
      <c r="N147" s="5" t="str">
        <f t="shared" si="10"/>
        <v>INSERT INTO attributes (parent_id, tag, name, priority, allow_as_filter, allow_for_dataset, allow_for_measurement, allow_for_users, allow_for_qc) VALUES (NULL, 'att_compound',  'Compound',  500,  TRUE, TRUE, TRUE, FALSE, FALSE);</v>
      </c>
      <c r="O147" s="5" t="str">
        <f t="shared" si="11"/>
        <v xml:space="preserve">INSERT INTO attribute_values (attribute_id, tag, name, details) VALUES ((SELECT id FROM attributes WHERE tag = 'att_compound' LIMIT 1),  'att_compound:etoposide',  'etoposide',  'etoposide'); </v>
      </c>
    </row>
    <row r="148" spans="1:15" x14ac:dyDescent="0.15">
      <c r="A148" s="10" t="b">
        <f>FALSE()</f>
        <v>0</v>
      </c>
      <c r="B148" s="10"/>
      <c r="C148" s="5" t="s">
        <v>2486</v>
      </c>
      <c r="D148" s="5" t="s">
        <v>2486</v>
      </c>
      <c r="E148" s="5" t="s">
        <v>13</v>
      </c>
      <c r="F148" s="5" t="s">
        <v>2479</v>
      </c>
      <c r="G148" s="5" t="s">
        <v>2480</v>
      </c>
      <c r="H148" s="5" t="str">
        <f t="shared" si="8"/>
        <v>att_compound</v>
      </c>
      <c r="I148" s="5" t="s">
        <v>2486</v>
      </c>
      <c r="J148" s="5" t="str">
        <f t="shared" si="9"/>
        <v>att_compound:lactimidomycin</v>
      </c>
      <c r="K148" s="9" t="s">
        <v>17</v>
      </c>
      <c r="L148" s="5" t="s">
        <v>2487</v>
      </c>
      <c r="M148" s="5" t="s">
        <v>13</v>
      </c>
      <c r="N148" s="5" t="str">
        <f t="shared" si="10"/>
        <v>INSERT INTO attributes (parent_id, tag, name, priority, allow_as_filter, allow_for_dataset, allow_for_measurement, allow_for_users, allow_for_qc) VALUES (NULL, 'att_compound',  'Compound',  500,  TRUE, TRUE, TRUE, FALSE, FALSE);</v>
      </c>
      <c r="O148" s="5" t="str">
        <f t="shared" si="11"/>
        <v xml:space="preserve">INSERT INTO attribute_values (attribute_id, tag, name, details) VALUES ((SELECT id FROM attributes WHERE tag = 'att_compound' LIMIT 1),  'att_compound:lactimidomycin',  'lactimidomycin',  'Lactimidomycin'); </v>
      </c>
    </row>
    <row r="149" spans="1:15" x14ac:dyDescent="0.15">
      <c r="A149" s="10" t="b">
        <f>FALSE()</f>
        <v>0</v>
      </c>
      <c r="B149" s="10"/>
      <c r="C149" s="5" t="s">
        <v>2488</v>
      </c>
      <c r="D149" s="5" t="s">
        <v>2489</v>
      </c>
      <c r="E149" s="5" t="s">
        <v>13</v>
      </c>
      <c r="F149" s="5" t="s">
        <v>2479</v>
      </c>
      <c r="G149" s="5" t="s">
        <v>2480</v>
      </c>
      <c r="H149" s="5" t="str">
        <f t="shared" si="8"/>
        <v>att_compound</v>
      </c>
      <c r="I149" s="5" t="s">
        <v>2488</v>
      </c>
      <c r="J149" s="5" t="str">
        <f t="shared" si="9"/>
        <v>att_compound:lps</v>
      </c>
      <c r="K149" s="9" t="s">
        <v>17</v>
      </c>
      <c r="L149" s="5" t="s">
        <v>2490</v>
      </c>
      <c r="M149" s="5" t="s">
        <v>13</v>
      </c>
      <c r="N149" s="5" t="str">
        <f t="shared" si="10"/>
        <v>INSERT INTO attributes (parent_id, tag, name, priority, allow_as_filter, allow_for_dataset, allow_for_measurement, allow_for_users, allow_for_qc) VALUES (NULL, 'att_compound',  'Compound',  500,  TRUE, TRUE, TRUE, FALSE, FALSE);</v>
      </c>
      <c r="O149" s="5" t="str">
        <f t="shared" si="11"/>
        <v xml:space="preserve">INSERT INTO attribute_values (attribute_id, tag, name, details) VALUES ((SELECT id FROM attributes WHERE tag = 'att_compound' LIMIT 1),  'att_compound:lps',  'LPS',  'Lipopolysaccharide'); </v>
      </c>
    </row>
    <row r="150" spans="1:15" x14ac:dyDescent="0.15">
      <c r="A150" s="10" t="b">
        <f>FALSE()</f>
        <v>0</v>
      </c>
      <c r="B150" s="10"/>
      <c r="C150" s="5" t="s">
        <v>2491</v>
      </c>
      <c r="D150" s="5" t="s">
        <v>2492</v>
      </c>
      <c r="E150" s="5" t="s">
        <v>13</v>
      </c>
      <c r="F150" s="5" t="s">
        <v>2479</v>
      </c>
      <c r="G150" s="5" t="s">
        <v>2480</v>
      </c>
      <c r="H150" s="5" t="str">
        <f t="shared" si="8"/>
        <v>att_compound</v>
      </c>
      <c r="I150" s="5" t="s">
        <v>2491</v>
      </c>
      <c r="J150" s="5" t="str">
        <f t="shared" si="9"/>
        <v>att_compound:niap</v>
      </c>
      <c r="K150" s="9" t="s">
        <v>17</v>
      </c>
      <c r="L150" s="5" t="s">
        <v>2492</v>
      </c>
      <c r="M150" s="5" t="s">
        <v>13</v>
      </c>
      <c r="N150" s="5" t="str">
        <f t="shared" si="10"/>
        <v>INSERT INTO attributes (parent_id, tag, name, priority, allow_as_filter, allow_for_dataset, allow_for_measurement, allow_for_users, allow_for_qc) VALUES (NULL, 'att_compound',  'Compound',  500,  TRUE, TRUE, TRUE, FALSE, FALSE);</v>
      </c>
      <c r="O150" s="5" t="str">
        <f t="shared" si="11"/>
        <v xml:space="preserve">INSERT INTO attribute_values (attribute_id, tag, name, details) VALUES ((SELECT id FROM attributes WHERE tag = 'att_compound' LIMIT 1),  'att_compound:niap',  'nIAP',  'nIAP'); </v>
      </c>
    </row>
    <row r="151" spans="1:15" x14ac:dyDescent="0.15">
      <c r="A151" s="10" t="b">
        <f>FALSE()</f>
        <v>0</v>
      </c>
      <c r="B151" s="10"/>
      <c r="C151" s="5" t="s">
        <v>2493</v>
      </c>
      <c r="D151" s="5" t="s">
        <v>2494</v>
      </c>
      <c r="E151" s="5" t="s">
        <v>13</v>
      </c>
      <c r="F151" s="5" t="s">
        <v>2479</v>
      </c>
      <c r="G151" s="5" t="s">
        <v>2480</v>
      </c>
      <c r="H151" s="5" t="str">
        <f t="shared" si="8"/>
        <v>att_compound</v>
      </c>
      <c r="I151" s="5" t="s">
        <v>2493</v>
      </c>
      <c r="J151" s="5" t="str">
        <f t="shared" si="9"/>
        <v>att_compound:pam</v>
      </c>
      <c r="K151" s="9" t="s">
        <v>17</v>
      </c>
      <c r="L151" s="5" t="s">
        <v>2495</v>
      </c>
      <c r="M151" s="5" t="s">
        <v>13</v>
      </c>
      <c r="N151" s="5" t="str">
        <f t="shared" si="10"/>
        <v>INSERT INTO attributes (parent_id, tag, name, priority, allow_as_filter, allow_for_dataset, allow_for_measurement, allow_for_users, allow_for_qc) VALUES (NULL, 'att_compound',  'Compound',  500,  TRUE, TRUE, TRUE, FALSE, FALSE);</v>
      </c>
      <c r="O151" s="5" t="str">
        <f t="shared" si="11"/>
        <v xml:space="preserve">INSERT INTO attribute_values (attribute_id, tag, name, details) VALUES ((SELECT id FROM attributes WHERE tag = 'att_compound' LIMIT 1),  'att_compound:pam',  'PAM',  'Polyacrylamide'); </v>
      </c>
    </row>
    <row r="152" spans="1:15" x14ac:dyDescent="0.15">
      <c r="A152" s="10" t="b">
        <f>FALSE()</f>
        <v>0</v>
      </c>
      <c r="B152" s="10"/>
      <c r="C152" s="5" t="s">
        <v>2496</v>
      </c>
      <c r="D152" s="5" t="s">
        <v>2497</v>
      </c>
      <c r="E152" s="5" t="s">
        <v>13</v>
      </c>
      <c r="F152" s="5" t="s">
        <v>2479</v>
      </c>
      <c r="G152" s="5" t="s">
        <v>2480</v>
      </c>
      <c r="H152" s="5" t="str">
        <f t="shared" si="8"/>
        <v>att_compound</v>
      </c>
      <c r="I152" s="5" t="s">
        <v>2496</v>
      </c>
      <c r="J152" s="5" t="str">
        <f t="shared" si="9"/>
        <v>att_compound:r837</v>
      </c>
      <c r="K152" s="9" t="s">
        <v>17</v>
      </c>
      <c r="L152" s="5" t="s">
        <v>2498</v>
      </c>
      <c r="M152" s="5" t="s">
        <v>13</v>
      </c>
      <c r="N152" s="5" t="str">
        <f t="shared" si="10"/>
        <v>INSERT INTO attributes (parent_id, tag, name, priority, allow_as_filter, allow_for_dataset, allow_for_measurement, allow_for_users, allow_for_qc) VALUES (NULL, 'att_compound',  'Compound',  500,  TRUE, TRUE, TRUE, FALSE, FALSE);</v>
      </c>
      <c r="O152" s="5"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0" t="b">
        <f>FALSE()</f>
        <v>0</v>
      </c>
      <c r="B153" s="10"/>
      <c r="C153" s="5" t="s">
        <v>2499</v>
      </c>
      <c r="D153" s="5" t="s">
        <v>2500</v>
      </c>
      <c r="E153" s="5" t="s">
        <v>13</v>
      </c>
      <c r="F153" s="5" t="s">
        <v>2479</v>
      </c>
      <c r="G153" s="5" t="s">
        <v>2480</v>
      </c>
      <c r="H153" s="5" t="str">
        <f t="shared" si="8"/>
        <v>att_compound</v>
      </c>
      <c r="I153" s="5" t="s">
        <v>2499</v>
      </c>
      <c r="J153" s="5" t="str">
        <f t="shared" si="9"/>
        <v>att_compound:r848</v>
      </c>
      <c r="K153" s="9" t="s">
        <v>17</v>
      </c>
      <c r="L153" s="5" t="s">
        <v>2501</v>
      </c>
      <c r="M153" s="5" t="s">
        <v>13</v>
      </c>
      <c r="N153" s="5" t="str">
        <f t="shared" si="10"/>
        <v>INSERT INTO attributes (parent_id, tag, name, priority, allow_as_filter, allow_for_dataset, allow_for_measurement, allow_for_users, allow_for_qc) VALUES (NULL, 'att_compound',  'Compound',  500,  TRUE, TRUE, TRUE, FALSE, FALSE);</v>
      </c>
      <c r="O153" s="5"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0" t="b">
        <f>FALSE()</f>
        <v>0</v>
      </c>
      <c r="B154" s="10"/>
      <c r="C154" s="5" t="s">
        <v>708</v>
      </c>
      <c r="D154" s="5" t="s">
        <v>708</v>
      </c>
      <c r="E154" s="5" t="s">
        <v>13</v>
      </c>
      <c r="F154" s="5" t="s">
        <v>2479</v>
      </c>
      <c r="G154" s="5" t="s">
        <v>2480</v>
      </c>
      <c r="H154" s="5" t="str">
        <f t="shared" si="8"/>
        <v>att_compound</v>
      </c>
      <c r="I154" s="5" t="s">
        <v>708</v>
      </c>
      <c r="J154" s="5" t="str">
        <f t="shared" si="9"/>
        <v>att_compound:tamoxifen</v>
      </c>
      <c r="K154" s="9" t="s">
        <v>17</v>
      </c>
      <c r="L154" s="5" t="s">
        <v>709</v>
      </c>
      <c r="M154" s="5" t="s">
        <v>13</v>
      </c>
      <c r="N154" s="5" t="str">
        <f t="shared" si="10"/>
        <v>INSERT INTO attributes (parent_id, tag, name, priority, allow_as_filter, allow_for_dataset, allow_for_measurement, allow_for_users, allow_for_qc) VALUES (NULL, 'att_compound',  'Compound',  500,  TRUE, TRUE, TRUE, FALSE, FALSE);</v>
      </c>
      <c r="O154" s="5" t="str">
        <f t="shared" si="11"/>
        <v xml:space="preserve">INSERT INTO attribute_values (attribute_id, tag, name, details) VALUES ((SELECT id FROM attributes WHERE tag = 'att_compound' LIMIT 1),  'att_compound:tamoxifen',  'tamoxifen',  'Tamoxifen'); </v>
      </c>
    </row>
    <row r="155" spans="1:15" x14ac:dyDescent="0.15">
      <c r="A155" s="10" t="b">
        <f>FALSE()</f>
        <v>0</v>
      </c>
      <c r="B155" s="10"/>
      <c r="C155" s="5" t="s">
        <v>713</v>
      </c>
      <c r="D155" s="5" t="s">
        <v>713</v>
      </c>
      <c r="E155" s="5" t="s">
        <v>13</v>
      </c>
      <c r="F155" s="5" t="s">
        <v>2479</v>
      </c>
      <c r="G155" s="5" t="s">
        <v>2480</v>
      </c>
      <c r="H155" s="5" t="str">
        <f t="shared" si="8"/>
        <v>att_compound</v>
      </c>
      <c r="I155" s="5" t="s">
        <v>713</v>
      </c>
      <c r="J155" s="5" t="str">
        <f t="shared" si="9"/>
        <v>att_compound:trametinib</v>
      </c>
      <c r="K155" s="9" t="s">
        <v>17</v>
      </c>
      <c r="L155" s="5" t="s">
        <v>714</v>
      </c>
      <c r="M155" s="5" t="s">
        <v>13</v>
      </c>
      <c r="N155" s="5" t="str">
        <f t="shared" si="10"/>
        <v>INSERT INTO attributes (parent_id, tag, name, priority, allow_as_filter, allow_for_dataset, allow_for_measurement, allow_for_users, allow_for_qc) VALUES (NULL, 'att_compound',  'Compound',  500,  TRUE, TRUE, TRUE, FALSE, FALSE);</v>
      </c>
      <c r="O155" s="5" t="str">
        <f t="shared" si="11"/>
        <v xml:space="preserve">INSERT INTO attribute_values (attribute_id, tag, name, details) VALUES ((SELECT id FROM attributes WHERE tag = 'att_compound' LIMIT 1),  'att_compound:trametinib',  'trametinib',  'Trametinib'); </v>
      </c>
    </row>
    <row r="156" spans="1:15" x14ac:dyDescent="0.15">
      <c r="A156" s="10" t="b">
        <f>FALSE()</f>
        <v>0</v>
      </c>
      <c r="B156" s="10"/>
      <c r="C156" s="5" t="s">
        <v>715</v>
      </c>
      <c r="D156" s="5" t="s">
        <v>716</v>
      </c>
      <c r="E156" s="5" t="s">
        <v>13</v>
      </c>
      <c r="F156" s="5" t="s">
        <v>2479</v>
      </c>
      <c r="G156" s="5" t="s">
        <v>2480</v>
      </c>
      <c r="H156" s="5" t="str">
        <f t="shared" si="8"/>
        <v>att_compound</v>
      </c>
      <c r="I156" s="5" t="s">
        <v>715</v>
      </c>
      <c r="J156" s="5" t="str">
        <f t="shared" si="9"/>
        <v>att_compound:unstimulated</v>
      </c>
      <c r="K156" s="9" t="s">
        <v>17</v>
      </c>
      <c r="L156" s="5" t="s">
        <v>717</v>
      </c>
      <c r="M156" s="5" t="s">
        <v>13</v>
      </c>
      <c r="N156" s="5" t="str">
        <f t="shared" si="10"/>
        <v>INSERT INTO attributes (parent_id, tag, name, priority, allow_as_filter, allow_for_dataset, allow_for_measurement, allow_for_users, allow_for_qc) VALUES (NULL, 'att_compound',  'Compound',  500,  TRUE, TRUE, TRUE, FALSE, FALSE);</v>
      </c>
      <c r="O156" s="5"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0" t="b">
        <f>FALSE()</f>
        <v>0</v>
      </c>
      <c r="B157" s="10"/>
      <c r="C157" s="5" t="s">
        <v>718</v>
      </c>
      <c r="D157" s="5" t="s">
        <v>718</v>
      </c>
      <c r="E157" s="5" t="s">
        <v>13</v>
      </c>
      <c r="F157" s="5" t="s">
        <v>2502</v>
      </c>
      <c r="G157" s="5" t="s">
        <v>2503</v>
      </c>
      <c r="H157" s="5" t="str">
        <f t="shared" si="8"/>
        <v>att_context</v>
      </c>
      <c r="I157" s="5" t="s">
        <v>718</v>
      </c>
      <c r="J157" s="5" t="str">
        <f t="shared" si="9"/>
        <v>att_context:microenvironment</v>
      </c>
      <c r="K157" s="9" t="s">
        <v>17</v>
      </c>
      <c r="L157" s="5" t="s">
        <v>718</v>
      </c>
      <c r="M157" s="5" t="s">
        <v>13</v>
      </c>
      <c r="N157" s="5" t="str">
        <f t="shared" si="10"/>
        <v>INSERT INTO attributes (parent_id, tag, name, priority, allow_as_filter, allow_for_dataset, allow_for_measurement, allow_for_users, allow_for_qc) VALUES (NULL, 'att_context',  'Context',  500,  TRUE, TRUE, TRUE, FALSE, FALSE);</v>
      </c>
      <c r="O157" s="5" t="str">
        <f t="shared" si="11"/>
        <v xml:space="preserve">INSERT INTO attribute_values (attribute_id, tag, name, details) VALUES ((SELECT id FROM attributes WHERE tag = 'att_context' LIMIT 1),  'att_context:microenvironment',  'microenvironment',  'microenvironment'); </v>
      </c>
    </row>
    <row r="158" spans="1:15" x14ac:dyDescent="0.15">
      <c r="A158" s="9" t="s">
        <v>17</v>
      </c>
      <c r="B158" s="9"/>
      <c r="C158" s="5" t="s">
        <v>928</v>
      </c>
      <c r="D158" s="5" t="s">
        <v>927</v>
      </c>
      <c r="E158" s="5" t="s">
        <v>13</v>
      </c>
      <c r="F158" s="5" t="s">
        <v>2504</v>
      </c>
      <c r="G158" s="5" t="s">
        <v>2505</v>
      </c>
      <c r="H158" s="5" t="str">
        <f t="shared" si="8"/>
        <v>att_dataset</v>
      </c>
      <c r="I158" s="5" t="s">
        <v>928</v>
      </c>
      <c r="J158" s="5" t="str">
        <f t="shared" si="9"/>
        <v>att_dataset:database search</v>
      </c>
      <c r="K158" s="9" t="s">
        <v>17</v>
      </c>
      <c r="L158" s="5" t="s">
        <v>928</v>
      </c>
      <c r="M158" s="5" t="s">
        <v>13</v>
      </c>
      <c r="N158" s="5" t="str">
        <f t="shared" si="10"/>
        <v>INSERT INTO attributes (parent_id, tag, name, priority, allow_as_filter, allow_for_dataset, allow_for_measurement, allow_for_users, allow_for_qc) VALUES (NULL, 'att_dataset',  'Spectral Interpretation',  500,  TRUE, TRUE, TRUE, FALSE, FALSE);</v>
      </c>
      <c r="O158" s="5" t="str">
        <f t="shared" si="11"/>
        <v xml:space="preserve">INSERT INTO attribute_values (attribute_id, tag, name, details) VALUES ((SELECT id FROM attributes WHERE tag = 'att_dataset' LIMIT 1),  'att_dataset:database search',  'Database search',  'database search'); </v>
      </c>
    </row>
    <row r="159" spans="1:15" x14ac:dyDescent="0.15">
      <c r="A159" s="9" t="s">
        <v>17</v>
      </c>
      <c r="B159" s="9"/>
      <c r="C159" s="5" t="s">
        <v>930</v>
      </c>
      <c r="D159" s="5" t="s">
        <v>930</v>
      </c>
      <c r="E159" s="5" t="s">
        <v>13</v>
      </c>
      <c r="F159" s="5" t="s">
        <v>2504</v>
      </c>
      <c r="G159" s="5" t="s">
        <v>2505</v>
      </c>
      <c r="H159" s="5" t="str">
        <f t="shared" si="8"/>
        <v>att_dataset</v>
      </c>
      <c r="I159" s="5" t="s">
        <v>930</v>
      </c>
      <c r="J159" s="5" t="str">
        <f t="shared" si="9"/>
        <v>att_dataset:de novo</v>
      </c>
      <c r="K159" s="9" t="s">
        <v>17</v>
      </c>
      <c r="L159" s="5" t="s">
        <v>930</v>
      </c>
      <c r="M159" s="5" t="s">
        <v>13</v>
      </c>
      <c r="N159" s="5" t="str">
        <f t="shared" si="10"/>
        <v>INSERT INTO attributes (parent_id, tag, name, priority, allow_as_filter, allow_for_dataset, allow_for_measurement, allow_for_users, allow_for_qc) VALUES (NULL, 'att_dataset',  'Spectral Interpretation',  500,  TRUE, TRUE, TRUE, FALSE, FALSE);</v>
      </c>
      <c r="O159" s="5" t="str">
        <f t="shared" si="11"/>
        <v xml:space="preserve">INSERT INTO attribute_values (attribute_id, tag, name, details) VALUES ((SELECT id FROM attributes WHERE tag = 'att_dataset' LIMIT 1),  'att_dataset:de novo',  'de novo',  'de novo'); </v>
      </c>
    </row>
    <row r="160" spans="1:15" x14ac:dyDescent="0.15">
      <c r="A160" s="10" t="b">
        <f>FALSE()</f>
        <v>0</v>
      </c>
      <c r="B160" s="10"/>
      <c r="C160" s="5" t="s">
        <v>1000</v>
      </c>
      <c r="D160" s="5" t="s">
        <v>1001</v>
      </c>
      <c r="E160" s="5" t="s">
        <v>13</v>
      </c>
      <c r="F160" s="5" t="s">
        <v>82</v>
      </c>
      <c r="G160" s="5" t="s">
        <v>2506</v>
      </c>
      <c r="H160" s="5" t="str">
        <f t="shared" si="8"/>
        <v>att_disease</v>
      </c>
      <c r="I160" s="5" t="s">
        <v>1000</v>
      </c>
      <c r="J160" s="5" t="str">
        <f t="shared" si="9"/>
        <v>att_disease:als</v>
      </c>
      <c r="K160" s="9" t="s">
        <v>17</v>
      </c>
      <c r="L160" s="5" t="s">
        <v>1002</v>
      </c>
      <c r="M160" s="5" t="s">
        <v>13</v>
      </c>
      <c r="N160" s="5" t="str">
        <f t="shared" si="10"/>
        <v>INSERT INTO attributes (parent_id, tag, name, priority, allow_as_filter, allow_for_dataset, allow_for_measurement, allow_for_users, allow_for_qc) VALUES (NULL, 'att_disease',  'Disease',  500,  TRUE, TRUE, TRUE, FALSE, FALSE);</v>
      </c>
      <c r="O160" s="5" t="str">
        <f t="shared" si="11"/>
        <v xml:space="preserve">INSERT INTO attribute_values (attribute_id, tag, name, details) VALUES ((SELECT id FROM attributes WHERE tag = 'att_disease' LIMIT 1),  'att_disease:als',  'ALS',  'Amyotrophic lateral sclerosis'); </v>
      </c>
    </row>
    <row r="161" spans="1:15" x14ac:dyDescent="0.15">
      <c r="A161" s="10" t="b">
        <f>FALSE()</f>
        <v>0</v>
      </c>
      <c r="B161" s="10"/>
      <c r="C161" s="5" t="s">
        <v>1003</v>
      </c>
      <c r="D161" s="5" t="s">
        <v>1004</v>
      </c>
      <c r="E161" s="5" t="s">
        <v>13</v>
      </c>
      <c r="F161" s="5" t="s">
        <v>82</v>
      </c>
      <c r="G161" s="5" t="s">
        <v>2506</v>
      </c>
      <c r="H161" s="5" t="str">
        <f t="shared" si="8"/>
        <v>att_disease</v>
      </c>
      <c r="I161" s="5" t="s">
        <v>1003</v>
      </c>
      <c r="J161" s="5" t="str">
        <f t="shared" si="9"/>
        <v>att_disease:alzheimer</v>
      </c>
      <c r="K161" s="9" t="s">
        <v>17</v>
      </c>
      <c r="L161" s="5" t="s">
        <v>1005</v>
      </c>
      <c r="M161" s="5" t="s">
        <v>13</v>
      </c>
      <c r="N161" s="5" t="str">
        <f t="shared" si="10"/>
        <v>INSERT INTO attributes (parent_id, tag, name, priority, allow_as_filter, allow_for_dataset, allow_for_measurement, allow_for_users, allow_for_qc) VALUES (NULL, 'att_disease',  'Disease',  500,  TRUE, TRUE, TRUE, FALSE, FALSE);</v>
      </c>
      <c r="O161" s="5" t="str">
        <f t="shared" si="11"/>
        <v xml:space="preserve">INSERT INTO attribute_values (attribute_id, tag, name, details) VALUES ((SELECT id FROM attributes WHERE tag = 'att_disease' LIMIT 1),  'att_disease:alzheimer',  'Alzheimer',  'Alzheimer's disease'); </v>
      </c>
    </row>
    <row r="162" spans="1:15" x14ac:dyDescent="0.15">
      <c r="A162" s="10" t="b">
        <f>FALSE()</f>
        <v>0</v>
      </c>
      <c r="B162" s="10"/>
      <c r="C162" s="5" t="s">
        <v>1006</v>
      </c>
      <c r="D162" s="5" t="s">
        <v>1007</v>
      </c>
      <c r="E162" s="5" t="s">
        <v>13</v>
      </c>
      <c r="F162" s="5" t="s">
        <v>82</v>
      </c>
      <c r="G162" s="5" t="s">
        <v>2506</v>
      </c>
      <c r="H162" s="5" t="str">
        <f t="shared" si="8"/>
        <v>att_disease</v>
      </c>
      <c r="I162" s="5" t="s">
        <v>1006</v>
      </c>
      <c r="J162" s="5" t="str">
        <f t="shared" si="9"/>
        <v>att_disease:autoimmune</v>
      </c>
      <c r="K162" s="9" t="s">
        <v>17</v>
      </c>
      <c r="L162" s="5" t="s">
        <v>1008</v>
      </c>
      <c r="M162" s="5" t="s">
        <v>13</v>
      </c>
      <c r="N162" s="5" t="str">
        <f t="shared" si="10"/>
        <v>INSERT INTO attributes (parent_id, tag, name, priority, allow_as_filter, allow_for_dataset, allow_for_measurement, allow_for_users, allow_for_qc) VALUES (NULL, 'att_disease',  'Disease',  500,  TRUE, TRUE, TRUE, FALSE, FALSE);</v>
      </c>
      <c r="O162" s="5" t="str">
        <f t="shared" si="11"/>
        <v xml:space="preserve">INSERT INTO attribute_values (attribute_id, tag, name, details) VALUES ((SELECT id FROM attributes WHERE tag = 'att_disease' LIMIT 1),  'att_disease:autoimmune',  'Autoimmune',  'Autoimmune disease'); </v>
      </c>
    </row>
    <row r="163" spans="1:15" x14ac:dyDescent="0.15">
      <c r="A163" s="10" t="b">
        <f>FALSE()</f>
        <v>0</v>
      </c>
      <c r="B163" s="10"/>
      <c r="C163" s="5" t="s">
        <v>1009</v>
      </c>
      <c r="D163" s="5" t="s">
        <v>1010</v>
      </c>
      <c r="E163" s="5" t="s">
        <v>13</v>
      </c>
      <c r="F163" s="5" t="s">
        <v>82</v>
      </c>
      <c r="G163" s="5" t="s">
        <v>2506</v>
      </c>
      <c r="H163" s="5" t="str">
        <f t="shared" si="8"/>
        <v>att_disease</v>
      </c>
      <c r="I163" s="5" t="s">
        <v>1009</v>
      </c>
      <c r="J163" s="5" t="str">
        <f t="shared" si="9"/>
        <v>att_disease:cancer</v>
      </c>
      <c r="K163" s="9" t="s">
        <v>17</v>
      </c>
      <c r="L163" s="5" t="s">
        <v>1011</v>
      </c>
      <c r="M163" s="5" t="s">
        <v>13</v>
      </c>
      <c r="N163" s="5" t="str">
        <f t="shared" si="10"/>
        <v>INSERT INTO attributes (parent_id, tag, name, priority, allow_as_filter, allow_for_dataset, allow_for_measurement, allow_for_users, allow_for_qc) VALUES (NULL, 'att_disease',  'Disease',  500,  TRUE, TRUE, TRUE, FALSE, FALSE);</v>
      </c>
      <c r="O163" s="5" t="str">
        <f t="shared" si="11"/>
        <v xml:space="preserve">INSERT INTO attribute_values (attribute_id, tag, name, details) VALUES ((SELECT id FROM attributes WHERE tag = 'att_disease' LIMIT 1),  'att_disease:cancer',  'Cancer',  'Diseases of abnormal cells grow'); </v>
      </c>
    </row>
    <row r="164" spans="1:15" x14ac:dyDescent="0.15">
      <c r="A164" s="10" t="b">
        <f>FALSE()</f>
        <v>0</v>
      </c>
      <c r="B164" s="10"/>
      <c r="C164" s="5" t="s">
        <v>1013</v>
      </c>
      <c r="D164" s="5" t="s">
        <v>1014</v>
      </c>
      <c r="E164" s="5" t="s">
        <v>13</v>
      </c>
      <c r="F164" s="5" t="s">
        <v>82</v>
      </c>
      <c r="G164" s="5" t="s">
        <v>2506</v>
      </c>
      <c r="H164" s="5" t="str">
        <f t="shared" si="8"/>
        <v>att_disease</v>
      </c>
      <c r="I164" s="5" t="s">
        <v>1012</v>
      </c>
      <c r="J164" s="5" t="str">
        <f t="shared" si="9"/>
        <v>att_disease:cardiovascular_diseases</v>
      </c>
      <c r="K164" s="9" t="s">
        <v>17</v>
      </c>
      <c r="L164" s="5" t="s">
        <v>1015</v>
      </c>
      <c r="M164" s="5" t="s">
        <v>13</v>
      </c>
      <c r="N164" s="5" t="str">
        <f t="shared" si="10"/>
        <v>INSERT INTO attributes (parent_id, tag, name, priority, allow_as_filter, allow_for_dataset, allow_for_measurement, allow_for_users, allow_for_qc) VALUES (NULL, 'att_disease',  'Disease',  500,  TRUE, TRUE, TRUE, FALSE, FALSE);</v>
      </c>
      <c r="O164" s="5"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0" t="b">
        <f>FALSE()</f>
        <v>0</v>
      </c>
      <c r="B165" s="10"/>
      <c r="C165" s="5" t="s">
        <v>1016</v>
      </c>
      <c r="D165" s="5" t="s">
        <v>1018</v>
      </c>
      <c r="E165" s="5" t="s">
        <v>13</v>
      </c>
      <c r="F165" s="5" t="s">
        <v>82</v>
      </c>
      <c r="G165" s="5" t="s">
        <v>2506</v>
      </c>
      <c r="H165" s="5" t="str">
        <f t="shared" si="8"/>
        <v>att_disease</v>
      </c>
      <c r="I165" s="5" t="s">
        <v>1016</v>
      </c>
      <c r="J165" s="5" t="str">
        <f t="shared" si="9"/>
        <v>att_disease:chronic_inflammation</v>
      </c>
      <c r="K165" s="9" t="s">
        <v>17</v>
      </c>
      <c r="L165" s="5" t="s">
        <v>1019</v>
      </c>
      <c r="M165" s="5" t="s">
        <v>13</v>
      </c>
      <c r="N165" s="5" t="str">
        <f t="shared" si="10"/>
        <v>INSERT INTO attributes (parent_id, tag, name, priority, allow_as_filter, allow_for_dataset, allow_for_measurement, allow_for_users, allow_for_qc) VALUES (NULL, 'att_disease',  'Disease',  500,  TRUE, TRUE, TRUE, FALSE, FALSE);</v>
      </c>
      <c r="O165" s="5"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0" t="b">
        <f>FALSE()</f>
        <v>0</v>
      </c>
      <c r="B166" s="10"/>
      <c r="C166" s="5" t="s">
        <v>1020</v>
      </c>
      <c r="D166" s="5" t="s">
        <v>1021</v>
      </c>
      <c r="E166" s="5" t="s">
        <v>13</v>
      </c>
      <c r="F166" s="5" t="s">
        <v>82</v>
      </c>
      <c r="G166" s="5" t="s">
        <v>2506</v>
      </c>
      <c r="H166" s="5" t="str">
        <f t="shared" si="8"/>
        <v>att_disease</v>
      </c>
      <c r="I166" s="5" t="s">
        <v>1020</v>
      </c>
      <c r="J166" s="5" t="str">
        <f t="shared" si="9"/>
        <v>att_disease:coeliac</v>
      </c>
      <c r="K166" s="9" t="s">
        <v>17</v>
      </c>
      <c r="L166" s="5" t="s">
        <v>1022</v>
      </c>
      <c r="M166" s="5" t="s">
        <v>13</v>
      </c>
      <c r="N166" s="5" t="str">
        <f t="shared" si="10"/>
        <v>INSERT INTO attributes (parent_id, tag, name, priority, allow_as_filter, allow_for_dataset, allow_for_measurement, allow_for_users, allow_for_qc) VALUES (NULL, 'att_disease',  'Disease',  500,  TRUE, TRUE, TRUE, FALSE, FALSE);</v>
      </c>
      <c r="O166" s="5" t="str">
        <f t="shared" si="11"/>
        <v xml:space="preserve">INSERT INTO attribute_values (attribute_id, tag, name, details) VALUES ((SELECT id FROM attributes WHERE tag = 'att_disease' LIMIT 1),  'att_disease:coeliac',  'Coeliac',  'Coeliac disease'); </v>
      </c>
    </row>
    <row r="167" spans="1:15" x14ac:dyDescent="0.15">
      <c r="A167" s="10" t="b">
        <f>FALSE()</f>
        <v>0</v>
      </c>
      <c r="B167" s="10"/>
      <c r="C167" s="5" t="s">
        <v>1023</v>
      </c>
      <c r="D167" s="5" t="s">
        <v>1024</v>
      </c>
      <c r="E167" s="5" t="s">
        <v>13</v>
      </c>
      <c r="F167" s="5" t="s">
        <v>82</v>
      </c>
      <c r="G167" s="5" t="s">
        <v>2506</v>
      </c>
      <c r="H167" s="5" t="str">
        <f t="shared" si="8"/>
        <v>att_disease</v>
      </c>
      <c r="I167" s="5" t="s">
        <v>1023</v>
      </c>
      <c r="J167" s="5" t="str">
        <f t="shared" si="9"/>
        <v>att_disease:covid19</v>
      </c>
      <c r="K167" s="9" t="s">
        <v>17</v>
      </c>
      <c r="L167" s="5" t="s">
        <v>1025</v>
      </c>
      <c r="M167" s="5" t="s">
        <v>13</v>
      </c>
      <c r="N167" s="5" t="str">
        <f t="shared" si="10"/>
        <v>INSERT INTO attributes (parent_id, tag, name, priority, allow_as_filter, allow_for_dataset, allow_for_measurement, allow_for_users, allow_for_qc) VALUES (NULL, 'att_disease',  'Disease',  500,  TRUE, TRUE, TRUE, FALSE, FALSE);</v>
      </c>
      <c r="O167" s="5" t="str">
        <f t="shared" si="11"/>
        <v xml:space="preserve">INSERT INTO attribute_values (attribute_id, tag, name, details) VALUES ((SELECT id FROM attributes WHERE tag = 'att_disease' LIMIT 1),  'att_disease:covid19',  'COVID19',  'coronavirus disease'); </v>
      </c>
    </row>
    <row r="168" spans="1:15" x14ac:dyDescent="0.15">
      <c r="A168" s="10" t="b">
        <f>FALSE()</f>
        <v>0</v>
      </c>
      <c r="B168" s="10"/>
      <c r="C168" s="5" t="s">
        <v>1026</v>
      </c>
      <c r="D168" s="5" t="s">
        <v>1027</v>
      </c>
      <c r="E168" s="5" t="s">
        <v>13</v>
      </c>
      <c r="F168" s="5" t="s">
        <v>82</v>
      </c>
      <c r="G168" s="5" t="s">
        <v>2506</v>
      </c>
      <c r="H168" s="5" t="str">
        <f t="shared" si="8"/>
        <v>att_disease</v>
      </c>
      <c r="I168" s="5" t="s">
        <v>1026</v>
      </c>
      <c r="J168" s="5" t="str">
        <f t="shared" si="9"/>
        <v>att_disease:dementia</v>
      </c>
      <c r="K168" s="9" t="s">
        <v>17</v>
      </c>
      <c r="L168" s="5" t="s">
        <v>1027</v>
      </c>
      <c r="M168" s="5" t="s">
        <v>13</v>
      </c>
      <c r="N168" s="5" t="str">
        <f t="shared" si="10"/>
        <v>INSERT INTO attributes (parent_id, tag, name, priority, allow_as_filter, allow_for_dataset, allow_for_measurement, allow_for_users, allow_for_qc) VALUES (NULL, 'att_disease',  'Disease',  500,  TRUE, TRUE, TRUE, FALSE, FALSE);</v>
      </c>
      <c r="O168" s="5" t="str">
        <f t="shared" si="11"/>
        <v xml:space="preserve">INSERT INTO attribute_values (attribute_id, tag, name, details) VALUES ((SELECT id FROM attributes WHERE tag = 'att_disease' LIMIT 1),  'att_disease:dementia',  'Dementia',  'Dementia'); </v>
      </c>
    </row>
    <row r="169" spans="1:15" x14ac:dyDescent="0.15">
      <c r="A169" s="10" t="b">
        <f>FALSE()</f>
        <v>0</v>
      </c>
      <c r="B169" s="10"/>
      <c r="C169" s="5" t="s">
        <v>1028</v>
      </c>
      <c r="D169" s="5" t="s">
        <v>1029</v>
      </c>
      <c r="E169" s="5" t="s">
        <v>13</v>
      </c>
      <c r="F169" s="5" t="s">
        <v>82</v>
      </c>
      <c r="G169" s="5" t="s">
        <v>2506</v>
      </c>
      <c r="H169" s="5" t="str">
        <f t="shared" si="8"/>
        <v>att_disease</v>
      </c>
      <c r="I169" s="5" t="s">
        <v>1028</v>
      </c>
      <c r="J169" s="5" t="str">
        <f t="shared" si="9"/>
        <v>att_disease:demyelinating</v>
      </c>
      <c r="K169" s="9" t="s">
        <v>17</v>
      </c>
      <c r="L169" s="5" t="s">
        <v>1030</v>
      </c>
      <c r="M169" s="5" t="s">
        <v>13</v>
      </c>
      <c r="N169" s="5" t="str">
        <f t="shared" si="10"/>
        <v>INSERT INTO attributes (parent_id, tag, name, priority, allow_as_filter, allow_for_dataset, allow_for_measurement, allow_for_users, allow_for_qc) VALUES (NULL, 'att_disease',  'Disease',  500,  TRUE, TRUE, TRUE, FALSE, FALSE);</v>
      </c>
      <c r="O169" s="5" t="str">
        <f t="shared" si="11"/>
        <v xml:space="preserve">INSERT INTO attribute_values (attribute_id, tag, name, details) VALUES ((SELECT id FROM attributes WHERE tag = 'att_disease' LIMIT 1),  'att_disease:demyelinating',  'Demyelinating',  'Demyelinating disease'); </v>
      </c>
    </row>
    <row r="170" spans="1:15" x14ac:dyDescent="0.15">
      <c r="A170" s="10" t="b">
        <f>FALSE()</f>
        <v>0</v>
      </c>
      <c r="B170" s="10"/>
      <c r="C170" s="5" t="s">
        <v>1031</v>
      </c>
      <c r="D170" s="5" t="s">
        <v>1032</v>
      </c>
      <c r="E170" s="5" t="s">
        <v>13</v>
      </c>
      <c r="F170" s="5" t="s">
        <v>82</v>
      </c>
      <c r="G170" s="5" t="s">
        <v>2506</v>
      </c>
      <c r="H170" s="5" t="str">
        <f t="shared" si="8"/>
        <v>att_disease</v>
      </c>
      <c r="I170" s="5" t="s">
        <v>1031</v>
      </c>
      <c r="J170" s="5" t="str">
        <f t="shared" si="9"/>
        <v>att_disease:diabetes</v>
      </c>
      <c r="K170" s="9" t="s">
        <v>17</v>
      </c>
      <c r="L170" s="5" t="s">
        <v>1032</v>
      </c>
      <c r="M170" s="5" t="s">
        <v>13</v>
      </c>
      <c r="N170" s="5" t="str">
        <f t="shared" si="10"/>
        <v>INSERT INTO attributes (parent_id, tag, name, priority, allow_as_filter, allow_for_dataset, allow_for_measurement, allow_for_users, allow_for_qc) VALUES (NULL, 'att_disease',  'Disease',  500,  TRUE, TRUE, TRUE, FALSE, FALSE);</v>
      </c>
      <c r="O170" s="5" t="str">
        <f t="shared" si="11"/>
        <v xml:space="preserve">INSERT INTO attribute_values (attribute_id, tag, name, details) VALUES ((SELECT id FROM attributes WHERE tag = 'att_disease' LIMIT 1),  'att_disease:diabetes',  'Diabetes',  'Diabetes'); </v>
      </c>
    </row>
    <row r="171" spans="1:15" x14ac:dyDescent="0.15">
      <c r="A171" s="10" t="b">
        <f>FALSE()</f>
        <v>0</v>
      </c>
      <c r="B171" s="10"/>
      <c r="C171" s="5" t="s">
        <v>1033</v>
      </c>
      <c r="D171" s="5" t="s">
        <v>1034</v>
      </c>
      <c r="E171" s="5" t="s">
        <v>13</v>
      </c>
      <c r="F171" s="5" t="s">
        <v>82</v>
      </c>
      <c r="G171" s="5" t="s">
        <v>2506</v>
      </c>
      <c r="H171" s="5" t="str">
        <f t="shared" si="8"/>
        <v>att_disease</v>
      </c>
      <c r="I171" s="5" t="s">
        <v>1033</v>
      </c>
      <c r="J171" s="5" t="str">
        <f t="shared" si="9"/>
        <v>att_disease:glioblastoma</v>
      </c>
      <c r="K171" s="9" t="s">
        <v>17</v>
      </c>
      <c r="L171" s="5" t="s">
        <v>1035</v>
      </c>
      <c r="M171" s="5" t="s">
        <v>13</v>
      </c>
      <c r="N171" s="5" t="str">
        <f t="shared" si="10"/>
        <v>INSERT INTO attributes (parent_id, tag, name, priority, allow_as_filter, allow_for_dataset, allow_for_measurement, allow_for_users, allow_for_qc) VALUES (NULL, 'att_disease',  'Disease',  500,  TRUE, TRUE, TRUE, FALSE, FALSE);</v>
      </c>
      <c r="O171" s="5" t="str">
        <f t="shared" si="11"/>
        <v xml:space="preserve">INSERT INTO attribute_values (attribute_id, tag, name, details) VALUES ((SELECT id FROM attributes WHERE tag = 'att_disease' LIMIT 1),  'att_disease:glioblastoma',  'Glioblastoma',  'Grade IV Astrocytoma'); </v>
      </c>
    </row>
    <row r="172" spans="1:15" x14ac:dyDescent="0.15">
      <c r="A172" s="10" t="b">
        <f>FALSE()</f>
        <v>0</v>
      </c>
      <c r="B172" s="10"/>
      <c r="C172" s="5" t="s">
        <v>1036</v>
      </c>
      <c r="D172" s="5" t="s">
        <v>1037</v>
      </c>
      <c r="E172" s="5" t="s">
        <v>13</v>
      </c>
      <c r="F172" s="5" t="s">
        <v>82</v>
      </c>
      <c r="G172" s="5" t="s">
        <v>2506</v>
      </c>
      <c r="H172" s="5" t="str">
        <f t="shared" si="8"/>
        <v>att_disease</v>
      </c>
      <c r="I172" s="5" t="s">
        <v>1036</v>
      </c>
      <c r="J172" s="5" t="str">
        <f t="shared" si="9"/>
        <v>att_disease:hiv</v>
      </c>
      <c r="K172" s="9" t="s">
        <v>17</v>
      </c>
      <c r="L172" s="5" t="s">
        <v>1038</v>
      </c>
      <c r="M172" s="5" t="s">
        <v>13</v>
      </c>
      <c r="N172" s="5" t="str">
        <f t="shared" si="10"/>
        <v>INSERT INTO attributes (parent_id, tag, name, priority, allow_as_filter, allow_for_dataset, allow_for_measurement, allow_for_users, allow_for_qc) VALUES (NULL, 'att_disease',  'Disease',  500,  TRUE, TRUE, TRUE, FALSE, FALSE);</v>
      </c>
      <c r="O172" s="5" t="str">
        <f t="shared" si="11"/>
        <v xml:space="preserve">INSERT INTO attribute_values (attribute_id, tag, name, details) VALUES ((SELECT id FROM attributes WHERE tag = 'att_disease' LIMIT 1),  'att_disease:hiv',  'HIV',  'HIV disease'); </v>
      </c>
    </row>
    <row r="173" spans="1:15" x14ac:dyDescent="0.15">
      <c r="A173" s="10" t="b">
        <f>FALSE()</f>
        <v>0</v>
      </c>
      <c r="B173" s="10"/>
      <c r="C173" s="5" t="s">
        <v>1039</v>
      </c>
      <c r="D173" s="5" t="s">
        <v>1040</v>
      </c>
      <c r="E173" s="5" t="s">
        <v>13</v>
      </c>
      <c r="F173" s="5" t="s">
        <v>82</v>
      </c>
      <c r="G173" s="5" t="s">
        <v>2506</v>
      </c>
      <c r="H173" s="5" t="str">
        <f t="shared" si="8"/>
        <v>att_disease</v>
      </c>
      <c r="I173" s="5" t="s">
        <v>1039</v>
      </c>
      <c r="J173" s="5" t="str">
        <f t="shared" si="9"/>
        <v>att_disease:huntington</v>
      </c>
      <c r="K173" s="9" t="s">
        <v>17</v>
      </c>
      <c r="L173" s="5" t="s">
        <v>1041</v>
      </c>
      <c r="M173" s="5" t="s">
        <v>13</v>
      </c>
      <c r="N173" s="5" t="str">
        <f t="shared" si="10"/>
        <v>INSERT INTO attributes (parent_id, tag, name, priority, allow_as_filter, allow_for_dataset, allow_for_measurement, allow_for_users, allow_for_qc) VALUES (NULL, 'att_disease',  'Disease',  500,  TRUE, TRUE, TRUE, FALSE, FALSE);</v>
      </c>
      <c r="O173" s="5" t="str">
        <f t="shared" si="11"/>
        <v xml:space="preserve">INSERT INTO attribute_values (attribute_id, tag, name, details) VALUES ((SELECT id FROM attributes WHERE tag = 'att_disease' LIMIT 1),  'att_disease:huntington',  'Huntington',  'Huntington's disease'); </v>
      </c>
    </row>
    <row r="174" spans="1:15" x14ac:dyDescent="0.15">
      <c r="A174" s="10" t="b">
        <f>FALSE()</f>
        <v>0</v>
      </c>
      <c r="B174" s="10"/>
      <c r="C174" s="5" t="s">
        <v>1042</v>
      </c>
      <c r="D174" s="5" t="s">
        <v>1043</v>
      </c>
      <c r="E174" s="5" t="s">
        <v>13</v>
      </c>
      <c r="F174" s="5" t="s">
        <v>82</v>
      </c>
      <c r="G174" s="5" t="s">
        <v>2506</v>
      </c>
      <c r="H174" s="5" t="str">
        <f t="shared" si="8"/>
        <v>att_disease</v>
      </c>
      <c r="I174" s="5" t="s">
        <v>1042</v>
      </c>
      <c r="J174" s="5" t="str">
        <f t="shared" si="9"/>
        <v>att_disease:ibd</v>
      </c>
      <c r="K174" s="9" t="s">
        <v>17</v>
      </c>
      <c r="L174" s="5" t="s">
        <v>1044</v>
      </c>
      <c r="M174" s="5" t="s">
        <v>13</v>
      </c>
      <c r="N174" s="5" t="str">
        <f t="shared" si="10"/>
        <v>INSERT INTO attributes (parent_id, tag, name, priority, allow_as_filter, allow_for_dataset, allow_for_measurement, allow_for_users, allow_for_qc) VALUES (NULL, 'att_disease',  'Disease',  500,  TRUE, TRUE, TRUE, FALSE, FALSE);</v>
      </c>
      <c r="O174" s="5" t="str">
        <f t="shared" si="11"/>
        <v xml:space="preserve">INSERT INTO attribute_values (attribute_id, tag, name, details) VALUES ((SELECT id FROM attributes WHERE tag = 'att_disease' LIMIT 1),  'att_disease:ibd',  'IBD',  'Inflammatory bowel disease'); </v>
      </c>
    </row>
    <row r="175" spans="1:15" x14ac:dyDescent="0.15">
      <c r="A175" s="10" t="b">
        <f>FALSE()</f>
        <v>0</v>
      </c>
      <c r="B175" s="10"/>
      <c r="C175" s="5" t="s">
        <v>1045</v>
      </c>
      <c r="D175" s="5" t="s">
        <v>1046</v>
      </c>
      <c r="E175" s="5" t="s">
        <v>13</v>
      </c>
      <c r="F175" s="5" t="s">
        <v>82</v>
      </c>
      <c r="G175" s="5" t="s">
        <v>2506</v>
      </c>
      <c r="H175" s="5" t="str">
        <f t="shared" si="8"/>
        <v>att_disease</v>
      </c>
      <c r="I175" s="5" t="s">
        <v>1045</v>
      </c>
      <c r="J175" s="5" t="str">
        <f t="shared" si="9"/>
        <v>att_disease:infection</v>
      </c>
      <c r="K175" s="9" t="s">
        <v>17</v>
      </c>
      <c r="L175" s="5" t="s">
        <v>1047</v>
      </c>
      <c r="M175" s="5" t="s">
        <v>13</v>
      </c>
      <c r="N175" s="5" t="str">
        <f t="shared" si="10"/>
        <v>INSERT INTO attributes (parent_id, tag, name, priority, allow_as_filter, allow_for_dataset, allow_for_measurement, allow_for_users, allow_for_qc) VALUES (NULL, 'att_disease',  'Disease',  500,  TRUE, TRUE, TRUE, FALSE, FALSE);</v>
      </c>
      <c r="O175" s="5"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0" t="b">
        <f>FALSE()</f>
        <v>0</v>
      </c>
      <c r="B176" s="10"/>
      <c r="C176" s="5" t="s">
        <v>1048</v>
      </c>
      <c r="D176" s="5" t="s">
        <v>1049</v>
      </c>
      <c r="E176" s="5" t="s">
        <v>13</v>
      </c>
      <c r="F176" s="5" t="s">
        <v>82</v>
      </c>
      <c r="G176" s="5" t="s">
        <v>2506</v>
      </c>
      <c r="H176" s="5" t="str">
        <f t="shared" si="8"/>
        <v>att_disease</v>
      </c>
      <c r="I176" s="5" t="s">
        <v>1048</v>
      </c>
      <c r="J176" s="5" t="str">
        <f t="shared" si="9"/>
        <v>att_disease:influenza</v>
      </c>
      <c r="K176" s="9" t="s">
        <v>17</v>
      </c>
      <c r="L176" s="5" t="s">
        <v>1050</v>
      </c>
      <c r="M176" s="5" t="s">
        <v>13</v>
      </c>
      <c r="N176" s="5" t="str">
        <f t="shared" si="10"/>
        <v>INSERT INTO attributes (parent_id, tag, name, priority, allow_as_filter, allow_for_dataset, allow_for_measurement, allow_for_users, allow_for_qc) VALUES (NULL, 'att_disease',  'Disease',  500,  TRUE, TRUE, TRUE, FALSE, FALSE);</v>
      </c>
      <c r="O176" s="5"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0" t="b">
        <f>FALSE()</f>
        <v>0</v>
      </c>
      <c r="B177" s="10"/>
      <c r="C177" s="5" t="s">
        <v>1051</v>
      </c>
      <c r="D177" s="5" t="s">
        <v>564</v>
      </c>
      <c r="E177" s="5" t="s">
        <v>13</v>
      </c>
      <c r="F177" s="5" t="s">
        <v>82</v>
      </c>
      <c r="G177" s="5" t="s">
        <v>2506</v>
      </c>
      <c r="H177" s="5" t="str">
        <f t="shared" si="8"/>
        <v>att_disease</v>
      </c>
      <c r="I177" s="5" t="s">
        <v>1051</v>
      </c>
      <c r="J177" s="5" t="str">
        <f t="shared" si="9"/>
        <v>att_disease:leukemia</v>
      </c>
      <c r="K177" s="9" t="s">
        <v>17</v>
      </c>
      <c r="L177" s="5" t="s">
        <v>1052</v>
      </c>
      <c r="M177" s="5" t="s">
        <v>13</v>
      </c>
      <c r="N177" s="5" t="str">
        <f t="shared" si="10"/>
        <v>INSERT INTO attributes (parent_id, tag, name, priority, allow_as_filter, allow_for_dataset, allow_for_measurement, allow_for_users, allow_for_qc) VALUES (NULL, 'att_disease',  'Disease',  500,  TRUE, TRUE, TRUE, FALSE, FALSE);</v>
      </c>
      <c r="O177" s="5"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0" t="b">
        <f>FALSE()</f>
        <v>0</v>
      </c>
      <c r="B178" s="10"/>
      <c r="C178" s="5" t="s">
        <v>1053</v>
      </c>
      <c r="D178" s="5" t="s">
        <v>1054</v>
      </c>
      <c r="E178" s="5" t="s">
        <v>13</v>
      </c>
      <c r="F178" s="5" t="s">
        <v>82</v>
      </c>
      <c r="G178" s="5" t="s">
        <v>2506</v>
      </c>
      <c r="H178" s="5" t="str">
        <f t="shared" si="8"/>
        <v>att_disease</v>
      </c>
      <c r="I178" s="5" t="s">
        <v>1053</v>
      </c>
      <c r="J178" s="5" t="str">
        <f t="shared" si="9"/>
        <v>att_disease:lymphoma</v>
      </c>
      <c r="K178" s="9" t="s">
        <v>17</v>
      </c>
      <c r="L178" s="5" t="s">
        <v>1055</v>
      </c>
      <c r="M178" s="5" t="s">
        <v>13</v>
      </c>
      <c r="N178" s="5" t="str">
        <f t="shared" si="10"/>
        <v>INSERT INTO attributes (parent_id, tag, name, priority, allow_as_filter, allow_for_dataset, allow_for_measurement, allow_for_users, allow_for_qc) VALUES (NULL, 'att_disease',  'Disease',  500,  TRUE, TRUE, TRUE, FALSE, FALSE);</v>
      </c>
      <c r="O178" s="5"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0" t="b">
        <f>FALSE()</f>
        <v>0</v>
      </c>
      <c r="B179" s="10"/>
      <c r="C179" s="5" t="s">
        <v>1056</v>
      </c>
      <c r="D179" s="5" t="s">
        <v>1057</v>
      </c>
      <c r="E179" s="5" t="s">
        <v>13</v>
      </c>
      <c r="F179" s="5" t="s">
        <v>82</v>
      </c>
      <c r="G179" s="5" t="s">
        <v>2506</v>
      </c>
      <c r="H179" s="5" t="str">
        <f t="shared" si="8"/>
        <v>att_disease</v>
      </c>
      <c r="I179" s="5" t="s">
        <v>1056</v>
      </c>
      <c r="J179" s="5" t="str">
        <f t="shared" si="9"/>
        <v>att_disease:malaria</v>
      </c>
      <c r="K179" s="9" t="s">
        <v>17</v>
      </c>
      <c r="L179" s="5" t="s">
        <v>1058</v>
      </c>
      <c r="M179" s="5" t="s">
        <v>13</v>
      </c>
      <c r="N179" s="5" t="str">
        <f t="shared" si="10"/>
        <v>INSERT INTO attributes (parent_id, tag, name, priority, allow_as_filter, allow_for_dataset, allow_for_measurement, allow_for_users, allow_for_qc) VALUES (NULL, 'att_disease',  'Disease',  500,  TRUE, TRUE, TRUE, FALSE, FALSE);</v>
      </c>
      <c r="O179" s="5" t="str">
        <f t="shared" si="11"/>
        <v xml:space="preserve">INSERT INTO attribute_values (attribute_id, tag, name, details) VALUES ((SELECT id FROM attributes WHERE tag = 'att_disease' LIMIT 1),  'att_disease:malaria',  'Malaria',  'Fatal disease caused by a parasite'); </v>
      </c>
    </row>
    <row r="180" spans="1:15" x14ac:dyDescent="0.15">
      <c r="A180" s="10" t="b">
        <f>FALSE()</f>
        <v>0</v>
      </c>
      <c r="B180" s="10"/>
      <c r="C180" s="5" t="s">
        <v>21</v>
      </c>
      <c r="D180" s="5" t="s">
        <v>1059</v>
      </c>
      <c r="E180" s="5" t="s">
        <v>13</v>
      </c>
      <c r="F180" s="5" t="s">
        <v>82</v>
      </c>
      <c r="G180" s="5" t="s">
        <v>2506</v>
      </c>
      <c r="H180" s="5" t="str">
        <f t="shared" si="8"/>
        <v>att_disease</v>
      </c>
      <c r="I180" s="5" t="s">
        <v>21</v>
      </c>
      <c r="J180" s="5" t="str">
        <f t="shared" si="9"/>
        <v>att_disease:ms</v>
      </c>
      <c r="K180" s="9" t="s">
        <v>17</v>
      </c>
      <c r="L180" s="5" t="s">
        <v>1060</v>
      </c>
      <c r="M180" s="5" t="s">
        <v>13</v>
      </c>
      <c r="N180" s="5" t="str">
        <f t="shared" si="10"/>
        <v>INSERT INTO attributes (parent_id, tag, name, priority, allow_as_filter, allow_for_dataset, allow_for_measurement, allow_for_users, allow_for_qc) VALUES (NULL, 'att_disease',  'Disease',  500,  TRUE, TRUE, TRUE, FALSE, FALSE);</v>
      </c>
      <c r="O180" s="5" t="str">
        <f t="shared" si="11"/>
        <v xml:space="preserve">INSERT INTO attribute_values (attribute_id, tag, name, details) VALUES ((SELECT id FROM attributes WHERE tag = 'att_disease' LIMIT 1),  'att_disease:ms',  'MS',  'Multiple sclerosis'); </v>
      </c>
    </row>
    <row r="181" spans="1:15" x14ac:dyDescent="0.15">
      <c r="A181" s="10" t="b">
        <f>FALSE()</f>
        <v>0</v>
      </c>
      <c r="B181" s="10"/>
      <c r="C181" s="5" t="s">
        <v>1061</v>
      </c>
      <c r="D181" s="5" t="s">
        <v>1062</v>
      </c>
      <c r="E181" s="5" t="s">
        <v>13</v>
      </c>
      <c r="F181" s="5" t="s">
        <v>82</v>
      </c>
      <c r="G181" s="5" t="s">
        <v>2506</v>
      </c>
      <c r="H181" s="5" t="str">
        <f t="shared" si="8"/>
        <v>att_disease</v>
      </c>
      <c r="I181" s="5" t="s">
        <v>1061</v>
      </c>
      <c r="J181" s="5" t="str">
        <f t="shared" si="9"/>
        <v>att_disease:msa</v>
      </c>
      <c r="K181" s="9" t="s">
        <v>17</v>
      </c>
      <c r="L181" s="5" t="s">
        <v>1063</v>
      </c>
      <c r="M181" s="5" t="s">
        <v>13</v>
      </c>
      <c r="N181" s="5" t="str">
        <f t="shared" si="10"/>
        <v>INSERT INTO attributes (parent_id, tag, name, priority, allow_as_filter, allow_for_dataset, allow_for_measurement, allow_for_users, allow_for_qc) VALUES (NULL, 'att_disease',  'Disease',  500,  TRUE, TRUE, TRUE, FALSE, FALSE);</v>
      </c>
      <c r="O181" s="5" t="str">
        <f t="shared" si="11"/>
        <v xml:space="preserve">INSERT INTO attribute_values (attribute_id, tag, name, details) VALUES ((SELECT id FROM attributes WHERE tag = 'att_disease' LIMIT 1),  'att_disease:msa',  'MSA',  'Multiple system atrophy'); </v>
      </c>
    </row>
    <row r="182" spans="1:15" x14ac:dyDescent="0.15">
      <c r="A182" s="10" t="b">
        <f>FALSE()</f>
        <v>0</v>
      </c>
      <c r="B182" s="10"/>
      <c r="C182" s="5" t="s">
        <v>1064</v>
      </c>
      <c r="D182" s="5" t="s">
        <v>1065</v>
      </c>
      <c r="E182" s="5" t="s">
        <v>13</v>
      </c>
      <c r="F182" s="5" t="s">
        <v>82</v>
      </c>
      <c r="G182" s="5" t="s">
        <v>2506</v>
      </c>
      <c r="H182" s="5" t="str">
        <f t="shared" si="8"/>
        <v>att_disease</v>
      </c>
      <c r="I182" s="5" t="s">
        <v>1064</v>
      </c>
      <c r="J182" s="5" t="str">
        <f t="shared" si="9"/>
        <v>att_disease:neurodegenerative</v>
      </c>
      <c r="K182" s="9" t="s">
        <v>17</v>
      </c>
      <c r="L182" s="5" t="s">
        <v>1066</v>
      </c>
      <c r="M182" s="5" t="s">
        <v>13</v>
      </c>
      <c r="N182" s="5" t="str">
        <f t="shared" si="10"/>
        <v>INSERT INTO attributes (parent_id, tag, name, priority, allow_as_filter, allow_for_dataset, allow_for_measurement, allow_for_users, allow_for_qc) VALUES (NULL, 'att_disease',  'Disease',  500,  TRUE, TRUE, TRUE, FALSE, FALSE);</v>
      </c>
      <c r="O182" s="5"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0" t="b">
        <f>FALSE()</f>
        <v>0</v>
      </c>
      <c r="B183" s="10"/>
      <c r="C183" s="5" t="s">
        <v>1067</v>
      </c>
      <c r="D183" s="5" t="s">
        <v>1068</v>
      </c>
      <c r="E183" s="5" t="s">
        <v>13</v>
      </c>
      <c r="F183" s="5" t="s">
        <v>82</v>
      </c>
      <c r="G183" s="5" t="s">
        <v>2506</v>
      </c>
      <c r="H183" s="5" t="str">
        <f t="shared" si="8"/>
        <v>att_disease</v>
      </c>
      <c r="I183" s="5" t="s">
        <v>1067</v>
      </c>
      <c r="J183" s="5" t="str">
        <f t="shared" si="9"/>
        <v>att_disease:parkinson</v>
      </c>
      <c r="K183" s="9" t="s">
        <v>17</v>
      </c>
      <c r="L183" s="5" t="s">
        <v>1069</v>
      </c>
      <c r="M183" s="5" t="s">
        <v>13</v>
      </c>
      <c r="N183" s="5" t="str">
        <f t="shared" si="10"/>
        <v>INSERT INTO attributes (parent_id, tag, name, priority, allow_as_filter, allow_for_dataset, allow_for_measurement, allow_for_users, allow_for_qc) VALUES (NULL, 'att_disease',  'Disease',  500,  TRUE, TRUE, TRUE, FALSE, FALSE);</v>
      </c>
      <c r="O183" s="5" t="str">
        <f t="shared" si="11"/>
        <v xml:space="preserve">INSERT INTO attribute_values (attribute_id, tag, name, details) VALUES ((SELECT id FROM attributes WHERE tag = 'att_disease' LIMIT 1),  'att_disease:parkinson',  'Parkinson',  'Parkinson's disease'); </v>
      </c>
    </row>
    <row r="184" spans="1:15" x14ac:dyDescent="0.15">
      <c r="A184" s="10" t="b">
        <f>FALSE()</f>
        <v>0</v>
      </c>
      <c r="B184" s="10"/>
      <c r="C184" s="5" t="s">
        <v>1070</v>
      </c>
      <c r="D184" s="5" t="s">
        <v>1071</v>
      </c>
      <c r="E184" s="5" t="s">
        <v>13</v>
      </c>
      <c r="F184" s="5" t="s">
        <v>82</v>
      </c>
      <c r="G184" s="5" t="s">
        <v>2506</v>
      </c>
      <c r="H184" s="5" t="str">
        <f t="shared" si="8"/>
        <v>att_disease</v>
      </c>
      <c r="I184" s="5" t="s">
        <v>1070</v>
      </c>
      <c r="J184" s="5" t="str">
        <f t="shared" si="9"/>
        <v>att_disease:prion</v>
      </c>
      <c r="K184" s="9" t="s">
        <v>17</v>
      </c>
      <c r="L184" s="5" t="s">
        <v>1072</v>
      </c>
      <c r="M184" s="5" t="s">
        <v>13</v>
      </c>
      <c r="N184" s="5" t="str">
        <f t="shared" si="10"/>
        <v>INSERT INTO attributes (parent_id, tag, name, priority, allow_as_filter, allow_for_dataset, allow_for_measurement, allow_for_users, allow_for_qc) VALUES (NULL, 'att_disease',  'Disease',  500,  TRUE, TRUE, TRUE, FALSE, FALSE);</v>
      </c>
      <c r="O184" s="5" t="str">
        <f t="shared" si="11"/>
        <v xml:space="preserve">INSERT INTO attribute_values (attribute_id, tag, name, details) VALUES ((SELECT id FROM attributes WHERE tag = 'att_disease' LIMIT 1),  'att_disease:prion',  'Prion',  'Prion disease'); </v>
      </c>
    </row>
    <row r="185" spans="1:15" x14ac:dyDescent="0.15">
      <c r="A185" s="10" t="b">
        <f>FALSE()</f>
        <v>0</v>
      </c>
      <c r="B185" s="10"/>
      <c r="C185" s="5" t="s">
        <v>1073</v>
      </c>
      <c r="D185" s="5" t="s">
        <v>1074</v>
      </c>
      <c r="E185" s="5" t="s">
        <v>13</v>
      </c>
      <c r="F185" s="5" t="s">
        <v>82</v>
      </c>
      <c r="G185" s="5" t="s">
        <v>2506</v>
      </c>
      <c r="H185" s="5" t="str">
        <f t="shared" si="8"/>
        <v>att_disease</v>
      </c>
      <c r="I185" s="5" t="s">
        <v>1073</v>
      </c>
      <c r="J185" s="5" t="str">
        <f t="shared" si="9"/>
        <v>att_disease:rheumatoid</v>
      </c>
      <c r="K185" s="9" t="s">
        <v>17</v>
      </c>
      <c r="L185" s="5" t="s">
        <v>1075</v>
      </c>
      <c r="M185" s="5" t="s">
        <v>13</v>
      </c>
      <c r="N185" s="5" t="str">
        <f t="shared" si="10"/>
        <v>INSERT INTO attributes (parent_id, tag, name, priority, allow_as_filter, allow_for_dataset, allow_for_measurement, allow_for_users, allow_for_qc) VALUES (NULL, 'att_disease',  'Disease',  500,  TRUE, TRUE, TRUE, FALSE, FALSE);</v>
      </c>
      <c r="O185" s="5" t="str">
        <f t="shared" si="11"/>
        <v xml:space="preserve">INSERT INTO attribute_values (attribute_id, tag, name, details) VALUES ((SELECT id FROM attributes WHERE tag = 'att_disease' LIMIT 1),  'att_disease:rheumatoid',  'Rheumatoid',  'Rheumatoid arthritis'); </v>
      </c>
    </row>
    <row r="186" spans="1:15" x14ac:dyDescent="0.15">
      <c r="A186" s="10" t="b">
        <f>FALSE()</f>
        <v>0</v>
      </c>
      <c r="B186" s="10"/>
      <c r="C186" s="5" t="s">
        <v>1076</v>
      </c>
      <c r="D186" s="5" t="s">
        <v>1077</v>
      </c>
      <c r="E186" s="5" t="s">
        <v>13</v>
      </c>
      <c r="F186" s="5" t="s">
        <v>82</v>
      </c>
      <c r="G186" s="5" t="s">
        <v>2506</v>
      </c>
      <c r="H186" s="5" t="str">
        <f t="shared" si="8"/>
        <v>att_disease</v>
      </c>
      <c r="I186" s="5" t="s">
        <v>1076</v>
      </c>
      <c r="J186" s="5" t="str">
        <f t="shared" si="9"/>
        <v>att_disease:stress</v>
      </c>
      <c r="K186" s="9" t="s">
        <v>17</v>
      </c>
      <c r="L186" s="5" t="s">
        <v>1078</v>
      </c>
      <c r="M186" s="5" t="s">
        <v>13</v>
      </c>
      <c r="N186" s="5" t="str">
        <f t="shared" si="10"/>
        <v>INSERT INTO attributes (parent_id, tag, name, priority, allow_as_filter, allow_for_dataset, allow_for_measurement, allow_for_users, allow_for_qc) VALUES (NULL, 'att_disease',  'Disease',  500,  TRUE, TRUE, TRUE, FALSE, FALSE);</v>
      </c>
      <c r="O186" s="5"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0" t="b">
        <f>FALSE()</f>
        <v>0</v>
      </c>
      <c r="B187" s="10"/>
      <c r="C187" s="5" t="s">
        <v>1079</v>
      </c>
      <c r="D187" s="5" t="s">
        <v>1080</v>
      </c>
      <c r="E187" s="5" t="s">
        <v>13</v>
      </c>
      <c r="F187" s="5" t="s">
        <v>82</v>
      </c>
      <c r="G187" s="5" t="s">
        <v>2506</v>
      </c>
      <c r="H187" s="5" t="str">
        <f t="shared" si="8"/>
        <v>att_disease</v>
      </c>
      <c r="I187" s="5" t="s">
        <v>1079</v>
      </c>
      <c r="J187" s="5" t="str">
        <f t="shared" si="9"/>
        <v>att_disease:stroke</v>
      </c>
      <c r="K187" s="9" t="s">
        <v>17</v>
      </c>
      <c r="L187" s="5" t="s">
        <v>1081</v>
      </c>
      <c r="M187" s="5" t="s">
        <v>13</v>
      </c>
      <c r="N187" s="5" t="str">
        <f t="shared" si="10"/>
        <v>INSERT INTO attributes (parent_id, tag, name, priority, allow_as_filter, allow_for_dataset, allow_for_measurement, allow_for_users, allow_for_qc) VALUES (NULL, 'att_disease',  'Disease',  500,  TRUE, TRUE, TRUE, FALSE, FALSE);</v>
      </c>
      <c r="O187" s="5"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0" t="b">
        <f>FALSE()</f>
        <v>0</v>
      </c>
      <c r="B188" s="10"/>
      <c r="C188" s="5" t="s">
        <v>1082</v>
      </c>
      <c r="D188" s="5" t="s">
        <v>1083</v>
      </c>
      <c r="E188" s="5" t="s">
        <v>13</v>
      </c>
      <c r="F188" s="5" t="s">
        <v>82</v>
      </c>
      <c r="G188" s="5" t="s">
        <v>2506</v>
      </c>
      <c r="H188" s="5" t="str">
        <f t="shared" si="8"/>
        <v>att_disease</v>
      </c>
      <c r="I188" s="5" t="s">
        <v>1082</v>
      </c>
      <c r="J188" s="5" t="str">
        <f t="shared" si="9"/>
        <v>att_disease:tuberculosis</v>
      </c>
      <c r="K188" s="9" t="s">
        <v>17</v>
      </c>
      <c r="L188" s="5" t="s">
        <v>1084</v>
      </c>
      <c r="M188" s="5" t="s">
        <v>13</v>
      </c>
      <c r="N188" s="5" t="str">
        <f t="shared" si="10"/>
        <v>INSERT INTO attributes (parent_id, tag, name, priority, allow_as_filter, allow_for_dataset, allow_for_measurement, allow_for_users, allow_for_qc) VALUES (NULL, 'att_disease',  'Disease',  500,  TRUE, TRUE, TRUE, FALSE, FALSE);</v>
      </c>
      <c r="O188" s="5"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9" t="s">
        <v>17</v>
      </c>
      <c r="B189" s="9"/>
      <c r="C189" s="5" t="s">
        <v>1091</v>
      </c>
      <c r="D189" s="5" t="s">
        <v>1092</v>
      </c>
      <c r="E189" s="5" t="s">
        <v>13</v>
      </c>
      <c r="F189" s="5" t="s">
        <v>86</v>
      </c>
      <c r="G189" s="5" t="s">
        <v>2507</v>
      </c>
      <c r="H189" s="5" t="str">
        <f t="shared" si="8"/>
        <v>att_experiment</v>
      </c>
      <c r="I189" s="5" t="s">
        <v>1091</v>
      </c>
      <c r="J189" s="5" t="str">
        <f t="shared" si="9"/>
        <v>att_experiment:acetylome</v>
      </c>
      <c r="K189" s="9" t="s">
        <v>17</v>
      </c>
      <c r="L189" s="5" t="s">
        <v>1092</v>
      </c>
      <c r="M189" s="5" t="s">
        <v>13</v>
      </c>
      <c r="N189" s="5" t="str">
        <f t="shared" si="10"/>
        <v>INSERT INTO attributes (parent_id, tag, name, priority, allow_as_filter, allow_for_dataset, allow_for_measurement, allow_for_users, allow_for_qc) VALUES (NULL, 'att_experiment',  'Experiment Type',  500,  TRUE, TRUE, TRUE, FALSE, FALSE);</v>
      </c>
      <c r="O189" s="5" t="str">
        <f t="shared" si="11"/>
        <v xml:space="preserve">INSERT INTO attribute_values (attribute_id, tag, name, details) VALUES ((SELECT id FROM attributes WHERE tag = 'att_experiment' LIMIT 1),  'att_experiment:acetylome',  'Acetylome',  'Acetylome'); </v>
      </c>
    </row>
    <row r="190" spans="1:15" x14ac:dyDescent="0.15">
      <c r="A190" s="9" t="s">
        <v>17</v>
      </c>
      <c r="B190" s="9"/>
      <c r="C190" s="5" t="s">
        <v>1093</v>
      </c>
      <c r="D190" s="5" t="s">
        <v>1094</v>
      </c>
      <c r="E190" s="5" t="s">
        <v>13</v>
      </c>
      <c r="F190" s="5" t="s">
        <v>86</v>
      </c>
      <c r="G190" s="5" t="s">
        <v>2507</v>
      </c>
      <c r="H190" s="5" t="str">
        <f t="shared" si="8"/>
        <v>att_experiment</v>
      </c>
      <c r="I190" s="5" t="s">
        <v>1093</v>
      </c>
      <c r="J190" s="5" t="str">
        <f t="shared" si="9"/>
        <v>att_experiment:dvp</v>
      </c>
      <c r="K190" s="9" t="s">
        <v>17</v>
      </c>
      <c r="L190" s="5" t="s">
        <v>1095</v>
      </c>
      <c r="M190" s="5" t="s">
        <v>13</v>
      </c>
      <c r="N190" s="5" t="str">
        <f t="shared" si="10"/>
        <v>INSERT INTO attributes (parent_id, tag, name, priority, allow_as_filter, allow_for_dataset, allow_for_measurement, allow_for_users, allow_for_qc) VALUES (NULL, 'att_experiment',  'Experiment Type',  500,  TRUE, TRUE, TRUE, FALSE, FALSE);</v>
      </c>
      <c r="O190" s="5" t="str">
        <f t="shared" si="11"/>
        <v xml:space="preserve">INSERT INTO attribute_values (attribute_id, tag, name, details) VALUES ((SELECT id FROM attributes WHERE tag = 'att_experiment' LIMIT 1),  'att_experiment:dvp',  'DVP',  'Fractionated Samples (DVP)'); </v>
      </c>
    </row>
    <row r="191" spans="1:15" x14ac:dyDescent="0.15">
      <c r="A191" s="9" t="s">
        <v>17</v>
      </c>
      <c r="B191" s="9"/>
      <c r="C191" s="5" t="s">
        <v>1096</v>
      </c>
      <c r="D191" s="5" t="s">
        <v>1098</v>
      </c>
      <c r="E191" s="5" t="s">
        <v>13</v>
      </c>
      <c r="F191" s="5" t="s">
        <v>86</v>
      </c>
      <c r="G191" s="5" t="s">
        <v>2507</v>
      </c>
      <c r="H191" s="5" t="str">
        <f t="shared" si="8"/>
        <v>att_experiment</v>
      </c>
      <c r="I191" s="5" t="s">
        <v>1096</v>
      </c>
      <c r="J191" s="5" t="str">
        <f t="shared" si="9"/>
        <v>att_experiment:expression_proteome</v>
      </c>
      <c r="K191" s="9" t="s">
        <v>17</v>
      </c>
      <c r="L191" s="5" t="s">
        <v>1098</v>
      </c>
      <c r="M191" s="5" t="s">
        <v>13</v>
      </c>
      <c r="N191" s="5" t="str">
        <f t="shared" si="10"/>
        <v>INSERT INTO attributes (parent_id, tag, name, priority, allow_as_filter, allow_for_dataset, allow_for_measurement, allow_for_users, allow_for_qc) VALUES (NULL, 'att_experiment',  'Experiment Type',  500,  TRUE, TRUE, TRUE, FALSE, FALSE);</v>
      </c>
      <c r="O191" s="5"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9" t="s">
        <v>17</v>
      </c>
      <c r="B192" s="9"/>
      <c r="C192" s="5" t="s">
        <v>1099</v>
      </c>
      <c r="D192" s="5" t="s">
        <v>1100</v>
      </c>
      <c r="E192" s="5" t="s">
        <v>13</v>
      </c>
      <c r="F192" s="5" t="s">
        <v>86</v>
      </c>
      <c r="G192" s="5" t="s">
        <v>2507</v>
      </c>
      <c r="H192" s="5" t="str">
        <f t="shared" si="8"/>
        <v>att_experiment</v>
      </c>
      <c r="I192" s="5" t="s">
        <v>1099</v>
      </c>
      <c r="J192" s="5" t="str">
        <f t="shared" si="9"/>
        <v>att_experiment:interaction</v>
      </c>
      <c r="K192" s="9" t="s">
        <v>17</v>
      </c>
      <c r="L192" s="5" t="s">
        <v>1100</v>
      </c>
      <c r="M192" s="5" t="s">
        <v>13</v>
      </c>
      <c r="N192" s="5" t="str">
        <f t="shared" si="10"/>
        <v>INSERT INTO attributes (parent_id, tag, name, priority, allow_as_filter, allow_for_dataset, allow_for_measurement, allow_for_users, allow_for_qc) VALUES (NULL, 'att_experiment',  'Experiment Type',  500,  TRUE, TRUE, TRUE, FALSE, FALSE);</v>
      </c>
      <c r="O192" s="5"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9" t="s">
        <v>17</v>
      </c>
      <c r="B193" s="9"/>
      <c r="C193" s="5" t="s">
        <v>1101</v>
      </c>
      <c r="D193" s="5" t="s">
        <v>1102</v>
      </c>
      <c r="E193" s="5" t="s">
        <v>13</v>
      </c>
      <c r="F193" s="5" t="s">
        <v>86</v>
      </c>
      <c r="G193" s="5" t="s">
        <v>2507</v>
      </c>
      <c r="H193" s="5" t="str">
        <f t="shared" si="8"/>
        <v>att_experiment</v>
      </c>
      <c r="I193" s="5" t="s">
        <v>1101</v>
      </c>
      <c r="J193" s="5" t="str">
        <f t="shared" si="9"/>
        <v>att_experiment:metrs</v>
      </c>
      <c r="K193" s="9" t="s">
        <v>17</v>
      </c>
      <c r="L193" s="5" t="s">
        <v>1102</v>
      </c>
      <c r="M193" s="5" t="s">
        <v>13</v>
      </c>
      <c r="N193" s="5" t="str">
        <f t="shared" si="10"/>
        <v>INSERT INTO attributes (parent_id, tag, name, priority, allow_as_filter, allow_for_dataset, allow_for_measurement, allow_for_users, allow_for_qc) VALUES (NULL, 'att_experiment',  'Experiment Type',  500,  TRUE, TRUE, TRUE, FALSE, FALSE);</v>
      </c>
      <c r="O193" s="5" t="str">
        <f t="shared" si="11"/>
        <v xml:space="preserve">INSERT INTO attribute_values (attribute_id, tag, name, details) VALUES ((SELECT id FROM attributes WHERE tag = 'att_experiment' LIMIT 1),  'att_experiment:metrs',  'MetRS',  'MetRS'); </v>
      </c>
    </row>
    <row r="194" spans="1:15" x14ac:dyDescent="0.15">
      <c r="A194" s="9" t="s">
        <v>17</v>
      </c>
      <c r="B194" s="9"/>
      <c r="C194" s="5" t="s">
        <v>2508</v>
      </c>
      <c r="D194" s="5" t="s">
        <v>1105</v>
      </c>
      <c r="E194" s="5" t="s">
        <v>13</v>
      </c>
      <c r="F194" s="5" t="s">
        <v>86</v>
      </c>
      <c r="G194" s="5" t="s">
        <v>2507</v>
      </c>
      <c r="H194" s="5" t="str">
        <f t="shared" ref="H194:H221" si="12">"att_"&amp;G194</f>
        <v>att_experiment</v>
      </c>
      <c r="I194" s="5" t="s">
        <v>1103</v>
      </c>
      <c r="J194" s="5" t="str">
        <f t="shared" ref="J194:J221" si="13">H194&amp;":"&amp;I194</f>
        <v>att_experiment:neo_nterm_enrichment</v>
      </c>
      <c r="K194" s="9" t="s">
        <v>17</v>
      </c>
      <c r="L194" s="5" t="s">
        <v>1105</v>
      </c>
      <c r="M194" s="5" t="s">
        <v>13</v>
      </c>
      <c r="N194" s="5"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5"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9" t="s">
        <v>17</v>
      </c>
      <c r="B195" s="9"/>
      <c r="C195" s="5" t="s">
        <v>2509</v>
      </c>
      <c r="D195" s="5" t="s">
        <v>2510</v>
      </c>
      <c r="E195" s="5" t="s">
        <v>13</v>
      </c>
      <c r="F195" s="5" t="s">
        <v>86</v>
      </c>
      <c r="G195" s="5" t="s">
        <v>2507</v>
      </c>
      <c r="H195" s="5" t="str">
        <f t="shared" si="12"/>
        <v>att_experiment</v>
      </c>
      <c r="I195" s="5" t="s">
        <v>2509</v>
      </c>
      <c r="J195" s="5" t="str">
        <f t="shared" si="13"/>
        <v>att_experiment:other_ptm</v>
      </c>
      <c r="K195" s="9" t="s">
        <v>17</v>
      </c>
      <c r="L195" s="5" t="s">
        <v>2510</v>
      </c>
      <c r="M195" s="5" t="s">
        <v>13</v>
      </c>
      <c r="N195" s="5" t="str">
        <f t="shared" si="14"/>
        <v>INSERT INTO attributes (parent_id, tag, name, priority, allow_as_filter, allow_for_dataset, allow_for_measurement, allow_for_users, allow_for_qc) VALUES (NULL, 'att_experiment',  'Experiment Type',  500,  TRUE, TRUE, TRUE, FALSE, FALSE);</v>
      </c>
      <c r="O195" s="5" t="str">
        <f t="shared" si="15"/>
        <v xml:space="preserve">INSERT INTO attribute_values (attribute_id, tag, name, details) VALUES ((SELECT id FROM attributes WHERE tag = 'att_experiment' LIMIT 1),  'att_experiment:other_ptm',  'other PTMs',  'other PTMs'); </v>
      </c>
    </row>
    <row r="196" spans="1:15" x14ac:dyDescent="0.15">
      <c r="A196" s="9" t="s">
        <v>17</v>
      </c>
      <c r="B196" s="9"/>
      <c r="C196" s="5" t="s">
        <v>1106</v>
      </c>
      <c r="D196" s="5" t="s">
        <v>1107</v>
      </c>
      <c r="E196" s="5" t="s">
        <v>13</v>
      </c>
      <c r="F196" s="5" t="s">
        <v>86</v>
      </c>
      <c r="G196" s="5" t="s">
        <v>2507</v>
      </c>
      <c r="H196" s="5" t="str">
        <f t="shared" si="12"/>
        <v>att_experiment</v>
      </c>
      <c r="I196" s="5" t="s">
        <v>1106</v>
      </c>
      <c r="J196" s="5" t="str">
        <f t="shared" si="13"/>
        <v>att_experiment:oxinome</v>
      </c>
      <c r="K196" s="9" t="s">
        <v>17</v>
      </c>
      <c r="L196" s="5" t="s">
        <v>1107</v>
      </c>
      <c r="M196" s="5" t="s">
        <v>13</v>
      </c>
      <c r="N196" s="5" t="str">
        <f t="shared" si="14"/>
        <v>INSERT INTO attributes (parent_id, tag, name, priority, allow_as_filter, allow_for_dataset, allow_for_measurement, allow_for_users, allow_for_qc) VALUES (NULL, 'att_experiment',  'Experiment Type',  500,  TRUE, TRUE, TRUE, FALSE, FALSE);</v>
      </c>
      <c r="O196" s="5" t="str">
        <f t="shared" si="15"/>
        <v xml:space="preserve">INSERT INTO attribute_values (attribute_id, tag, name, details) VALUES ((SELECT id FROM attributes WHERE tag = 'att_experiment' LIMIT 1),  'att_experiment:oxinome',  'Oxinome',  'Oxinome'); </v>
      </c>
    </row>
    <row r="197" spans="1:15" x14ac:dyDescent="0.15">
      <c r="A197" s="9" t="s">
        <v>17</v>
      </c>
      <c r="B197" s="9"/>
      <c r="C197" s="5" t="s">
        <v>1108</v>
      </c>
      <c r="D197" s="5" t="s">
        <v>1109</v>
      </c>
      <c r="E197" s="5" t="s">
        <v>13</v>
      </c>
      <c r="F197" s="5" t="s">
        <v>86</v>
      </c>
      <c r="G197" s="5" t="s">
        <v>2507</v>
      </c>
      <c r="H197" s="5" t="str">
        <f t="shared" si="12"/>
        <v>att_experiment</v>
      </c>
      <c r="I197" s="5" t="s">
        <v>1108</v>
      </c>
      <c r="J197" s="5" t="str">
        <f t="shared" si="13"/>
        <v>att_experiment:phosphoproteome</v>
      </c>
      <c r="K197" s="9" t="s">
        <v>17</v>
      </c>
      <c r="L197" s="5" t="s">
        <v>1109</v>
      </c>
      <c r="M197" s="5" t="s">
        <v>13</v>
      </c>
      <c r="N197" s="5" t="str">
        <f t="shared" si="14"/>
        <v>INSERT INTO attributes (parent_id, tag, name, priority, allow_as_filter, allow_for_dataset, allow_for_measurement, allow_for_users, allow_for_qc) VALUES (NULL, 'att_experiment',  'Experiment Type',  500,  TRUE, TRUE, TRUE, FALSE, FALSE);</v>
      </c>
      <c r="O197" s="5"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9" t="s">
        <v>17</v>
      </c>
      <c r="B198" s="9"/>
      <c r="C198" s="5" t="s">
        <v>2511</v>
      </c>
      <c r="D198" s="5" t="s">
        <v>1111</v>
      </c>
      <c r="E198" s="5" t="s">
        <v>13</v>
      </c>
      <c r="F198" s="5" t="s">
        <v>86</v>
      </c>
      <c r="G198" s="5" t="s">
        <v>2507</v>
      </c>
      <c r="H198" s="5" t="str">
        <f t="shared" si="12"/>
        <v>att_experiment</v>
      </c>
      <c r="I198" s="5" t="s">
        <v>1110</v>
      </c>
      <c r="J198" s="5" t="str">
        <f t="shared" si="13"/>
        <v>att_experiment:pulse_silac</v>
      </c>
      <c r="K198" s="9" t="s">
        <v>17</v>
      </c>
      <c r="L198" s="5" t="s">
        <v>1111</v>
      </c>
      <c r="M198" s="5" t="s">
        <v>13</v>
      </c>
      <c r="N198" s="5" t="str">
        <f t="shared" si="14"/>
        <v>INSERT INTO attributes (parent_id, tag, name, priority, allow_as_filter, allow_for_dataset, allow_for_measurement, allow_for_users, allow_for_qc) VALUES (NULL, 'att_experiment',  'Experiment Type',  500,  TRUE, TRUE, TRUE, FALSE, FALSE);</v>
      </c>
      <c r="O198" s="5" t="str">
        <f t="shared" si="15"/>
        <v xml:space="preserve">INSERT INTO attribute_values (attribute_id, tag, name, details) VALUES ((SELECT id FROM attributes WHERE tag = 'att_experiment' LIMIT 1),  'att_experiment:pulse_silac',  'Pulse-SILAC',  'Pulse-SILAC'); </v>
      </c>
    </row>
    <row r="199" spans="1:15" x14ac:dyDescent="0.15">
      <c r="A199" s="9" t="s">
        <v>17</v>
      </c>
      <c r="B199" s="9"/>
      <c r="C199" s="5" t="s">
        <v>1112</v>
      </c>
      <c r="D199" s="5" t="s">
        <v>1113</v>
      </c>
      <c r="E199" s="5" t="s">
        <v>13</v>
      </c>
      <c r="F199" s="5" t="s">
        <v>86</v>
      </c>
      <c r="G199" s="5" t="s">
        <v>2507</v>
      </c>
      <c r="H199" s="5" t="str">
        <f t="shared" si="12"/>
        <v>att_experiment</v>
      </c>
      <c r="I199" s="5" t="s">
        <v>1112</v>
      </c>
      <c r="J199" s="5" t="str">
        <f t="shared" si="13"/>
        <v>att_experiment:secretome</v>
      </c>
      <c r="K199" s="9" t="s">
        <v>17</v>
      </c>
      <c r="L199" s="5" t="s">
        <v>1113</v>
      </c>
      <c r="M199" s="5" t="s">
        <v>13</v>
      </c>
      <c r="N199" s="5" t="str">
        <f t="shared" si="14"/>
        <v>INSERT INTO attributes (parent_id, tag, name, priority, allow_as_filter, allow_for_dataset, allow_for_measurement, allow_for_users, allow_for_qc) VALUES (NULL, 'att_experiment',  'Experiment Type',  500,  TRUE, TRUE, TRUE, FALSE, FALSE);</v>
      </c>
      <c r="O199" s="5" t="str">
        <f t="shared" si="15"/>
        <v xml:space="preserve">INSERT INTO attribute_values (attribute_id, tag, name, details) VALUES ((SELECT id FROM attributes WHERE tag = 'att_experiment' LIMIT 1),  'att_experiment:secretome',  'Secretome',  'Secretome'); </v>
      </c>
    </row>
    <row r="200" spans="1:15" x14ac:dyDescent="0.15">
      <c r="A200" s="9" t="s">
        <v>17</v>
      </c>
      <c r="B200" s="9"/>
      <c r="C200" s="5" t="s">
        <v>1114</v>
      </c>
      <c r="D200" s="5" t="s">
        <v>1115</v>
      </c>
      <c r="E200" s="5" t="s">
        <v>13</v>
      </c>
      <c r="F200" s="5" t="s">
        <v>86</v>
      </c>
      <c r="G200" s="5" t="s">
        <v>2507</v>
      </c>
      <c r="H200" s="5" t="str">
        <f t="shared" si="12"/>
        <v>att_experiment</v>
      </c>
      <c r="I200" s="5" t="s">
        <v>1114</v>
      </c>
      <c r="J200" s="5" t="str">
        <f t="shared" si="13"/>
        <v>att_experiment:spatial</v>
      </c>
      <c r="K200" s="9" t="s">
        <v>17</v>
      </c>
      <c r="L200" s="5" t="s">
        <v>1115</v>
      </c>
      <c r="M200" s="5" t="s">
        <v>13</v>
      </c>
      <c r="N200" s="5" t="str">
        <f t="shared" si="14"/>
        <v>INSERT INTO attributes (parent_id, tag, name, priority, allow_as_filter, allow_for_dataset, allow_for_measurement, allow_for_users, allow_for_qc) VALUES (NULL, 'att_experiment',  'Experiment Type',  500,  TRUE, TRUE, TRUE, FALSE, FALSE);</v>
      </c>
      <c r="O200" s="5" t="str">
        <f t="shared" si="15"/>
        <v xml:space="preserve">INSERT INTO attribute_values (attribute_id, tag, name, details) VALUES ((SELECT id FROM attributes WHERE tag = 'att_experiment' LIMIT 1),  'att_experiment:spatial',  'Spatial Proteome',  'Spatial Proteome'); </v>
      </c>
    </row>
    <row r="201" spans="1:15" x14ac:dyDescent="0.15">
      <c r="A201" s="9" t="s">
        <v>17</v>
      </c>
      <c r="B201" s="9"/>
      <c r="C201" s="5" t="s">
        <v>1116</v>
      </c>
      <c r="D201" s="5" t="s">
        <v>1117</v>
      </c>
      <c r="E201" s="5" t="s">
        <v>13</v>
      </c>
      <c r="F201" s="5" t="s">
        <v>86</v>
      </c>
      <c r="G201" s="5" t="s">
        <v>2507</v>
      </c>
      <c r="H201" s="5" t="str">
        <f t="shared" si="12"/>
        <v>att_experiment</v>
      </c>
      <c r="I201" s="5" t="s">
        <v>1116</v>
      </c>
      <c r="J201" s="5" t="str">
        <f t="shared" si="13"/>
        <v>att_experiment:ubiquitinome</v>
      </c>
      <c r="K201" s="9" t="s">
        <v>17</v>
      </c>
      <c r="L201" s="5" t="s">
        <v>1117</v>
      </c>
      <c r="M201" s="5" t="s">
        <v>13</v>
      </c>
      <c r="N201" s="5" t="str">
        <f t="shared" si="14"/>
        <v>INSERT INTO attributes (parent_id, tag, name, priority, allow_as_filter, allow_for_dataset, allow_for_measurement, allow_for_users, allow_for_qc) VALUES (NULL, 'att_experiment',  'Experiment Type',  500,  TRUE, TRUE, TRUE, FALSE, FALSE);</v>
      </c>
      <c r="O201" s="5" t="str">
        <f t="shared" si="15"/>
        <v xml:space="preserve">INSERT INTO attribute_values (attribute_id, tag, name, details) VALUES ((SELECT id FROM attributes WHERE tag = 'att_experiment' LIMIT 1),  'att_experiment:ubiquitinome',  'Ubiquitinome',  'Ubiquitinome'); </v>
      </c>
    </row>
    <row r="202" spans="1:15" x14ac:dyDescent="0.15">
      <c r="A202" s="10" t="b">
        <f>FALSE()</f>
        <v>0</v>
      </c>
      <c r="C202" s="5" t="s">
        <v>1124</v>
      </c>
      <c r="D202" s="5" t="s">
        <v>1126</v>
      </c>
      <c r="E202" s="5" t="s">
        <v>13</v>
      </c>
      <c r="F202" s="5" t="s">
        <v>2512</v>
      </c>
      <c r="G202" s="5" t="s">
        <v>2513</v>
      </c>
      <c r="H202" s="5" t="str">
        <f t="shared" si="12"/>
        <v>att_fluid</v>
      </c>
      <c r="I202" s="5" t="s">
        <v>1124</v>
      </c>
      <c r="J202" s="5" t="str">
        <f t="shared" si="13"/>
        <v>att_fluid:bal</v>
      </c>
      <c r="K202" s="9" t="s">
        <v>17</v>
      </c>
      <c r="L202" s="5" t="s">
        <v>1127</v>
      </c>
      <c r="M202" s="5" t="s">
        <v>13</v>
      </c>
      <c r="N202" s="5" t="str">
        <f t="shared" si="14"/>
        <v>INSERT INTO attributes (parent_id, tag, name, priority, allow_as_filter, allow_for_dataset, allow_for_measurement, allow_for_users, allow_for_qc) VALUES (NULL, 'att_fluid',  'Fluid',  500,  TRUE, TRUE, TRUE, FALSE, FALSE);</v>
      </c>
      <c r="O202" s="5" t="str">
        <f t="shared" si="15"/>
        <v xml:space="preserve">INSERT INTO attribute_values (attribute_id, tag, name, details) VALUES ((SELECT id FROM attributes WHERE tag = 'att_fluid' LIMIT 1),  'att_fluid:bal',  'Bal',  'Bronchoalveolar lavage (BAL)'); </v>
      </c>
    </row>
    <row r="203" spans="1:15" x14ac:dyDescent="0.15">
      <c r="A203" s="10" t="b">
        <f>FALSE()</f>
        <v>0</v>
      </c>
      <c r="B203" s="10"/>
      <c r="C203" s="5" t="s">
        <v>1128</v>
      </c>
      <c r="D203" s="5" t="s">
        <v>1129</v>
      </c>
      <c r="E203" s="5" t="s">
        <v>13</v>
      </c>
      <c r="F203" s="5" t="s">
        <v>2512</v>
      </c>
      <c r="G203" s="5" t="s">
        <v>2513</v>
      </c>
      <c r="H203" s="5" t="str">
        <f t="shared" si="12"/>
        <v>att_fluid</v>
      </c>
      <c r="I203" s="5" t="s">
        <v>1128</v>
      </c>
      <c r="J203" s="5" t="str">
        <f t="shared" si="13"/>
        <v>att_fluid:cerebrospinal</v>
      </c>
      <c r="K203" s="9" t="s">
        <v>17</v>
      </c>
      <c r="L203" s="5" t="s">
        <v>1130</v>
      </c>
      <c r="M203" s="5" t="s">
        <v>13</v>
      </c>
      <c r="N203" s="5" t="str">
        <f t="shared" si="14"/>
        <v>INSERT INTO attributes (parent_id, tag, name, priority, allow_as_filter, allow_for_dataset, allow_for_measurement, allow_for_users, allow_for_qc) VALUES (NULL, 'att_fluid',  'Fluid',  500,  TRUE, TRUE, TRUE, FALSE, FALSE);</v>
      </c>
      <c r="O203" s="5" t="str">
        <f t="shared" si="15"/>
        <v xml:space="preserve">INSERT INTO attribute_values (attribute_id, tag, name, details) VALUES ((SELECT id FROM attributes WHERE tag = 'att_fluid' LIMIT 1),  'att_fluid:cerebrospinal',  'Cerebrospinal',  'Cerebrospinal fluid (CSF)'); </v>
      </c>
    </row>
    <row r="204" spans="1:15" x14ac:dyDescent="0.15">
      <c r="A204" s="10" t="b">
        <f>FALSE()</f>
        <v>0</v>
      </c>
      <c r="B204" s="10"/>
      <c r="C204" s="5" t="s">
        <v>1131</v>
      </c>
      <c r="D204" s="5" t="s">
        <v>1132</v>
      </c>
      <c r="E204" s="5" t="s">
        <v>13</v>
      </c>
      <c r="F204" s="5" t="s">
        <v>2512</v>
      </c>
      <c r="G204" s="5" t="s">
        <v>2513</v>
      </c>
      <c r="H204" s="5" t="str">
        <f t="shared" si="12"/>
        <v>att_fluid</v>
      </c>
      <c r="I204" s="5" t="s">
        <v>1131</v>
      </c>
      <c r="J204" s="5" t="str">
        <f t="shared" si="13"/>
        <v>att_fluid:feces</v>
      </c>
      <c r="K204" s="9" t="s">
        <v>17</v>
      </c>
      <c r="L204" s="5" t="s">
        <v>1133</v>
      </c>
      <c r="M204" s="5" t="s">
        <v>13</v>
      </c>
      <c r="N204" s="5" t="str">
        <f t="shared" si="14"/>
        <v>INSERT INTO attributes (parent_id, tag, name, priority, allow_as_filter, allow_for_dataset, allow_for_measurement, allow_for_users, allow_for_qc) VALUES (NULL, 'att_fluid',  'Fluid',  500,  TRUE, TRUE, TRUE, FALSE, FALSE);</v>
      </c>
      <c r="O204" s="5" t="str">
        <f t="shared" si="15"/>
        <v xml:space="preserve">INSERT INTO attribute_values (attribute_id, tag, name, details) VALUES ((SELECT id FROM attributes WHERE tag = 'att_fluid' LIMIT 1),  'att_fluid:feces',  'Feces',  'Poop'); </v>
      </c>
    </row>
    <row r="205" spans="1:15" x14ac:dyDescent="0.15">
      <c r="A205" s="10" t="b">
        <f>FALSE()</f>
        <v>0</v>
      </c>
      <c r="B205" s="10"/>
      <c r="C205" s="5" t="s">
        <v>1134</v>
      </c>
      <c r="D205" s="5" t="s">
        <v>1135</v>
      </c>
      <c r="E205" s="5" t="s">
        <v>13</v>
      </c>
      <c r="F205" s="5" t="s">
        <v>2512</v>
      </c>
      <c r="G205" s="5" t="s">
        <v>2513</v>
      </c>
      <c r="H205" s="5" t="str">
        <f t="shared" si="12"/>
        <v>att_fluid</v>
      </c>
      <c r="I205" s="5" t="s">
        <v>1134</v>
      </c>
      <c r="J205" s="5" t="str">
        <f t="shared" si="13"/>
        <v>att_fluid:interstitial</v>
      </c>
      <c r="K205" s="9" t="s">
        <v>17</v>
      </c>
      <c r="L205" s="5" t="s">
        <v>1136</v>
      </c>
      <c r="M205" s="5" t="s">
        <v>13</v>
      </c>
      <c r="N205" s="5" t="str">
        <f t="shared" si="14"/>
        <v>INSERT INTO attributes (parent_id, tag, name, priority, allow_as_filter, allow_for_dataset, allow_for_measurement, allow_for_users, allow_for_qc) VALUES (NULL, 'att_fluid',  'Fluid',  500,  TRUE, TRUE, TRUE, FALSE, FALSE);</v>
      </c>
      <c r="O205" s="5" t="str">
        <f t="shared" si="15"/>
        <v xml:space="preserve">INSERT INTO attribute_values (attribute_id, tag, name, details) VALUES ((SELECT id FROM attributes WHERE tag = 'att_fluid' LIMIT 1),  'att_fluid:interstitial',  'Interstitial',  'Interstitial fluid'); </v>
      </c>
    </row>
    <row r="206" spans="1:15" x14ac:dyDescent="0.15">
      <c r="A206" s="10" t="b">
        <f>FALSE()</f>
        <v>0</v>
      </c>
      <c r="B206" s="10"/>
      <c r="C206" s="5" t="s">
        <v>1137</v>
      </c>
      <c r="D206" s="5" t="s">
        <v>1138</v>
      </c>
      <c r="E206" s="5" t="s">
        <v>13</v>
      </c>
      <c r="F206" s="5" t="s">
        <v>2512</v>
      </c>
      <c r="G206" s="5" t="s">
        <v>2513</v>
      </c>
      <c r="H206" s="5" t="str">
        <f t="shared" si="12"/>
        <v>att_fluid</v>
      </c>
      <c r="I206" s="5" t="s">
        <v>1137</v>
      </c>
      <c r="J206" s="5" t="str">
        <f t="shared" si="13"/>
        <v>att_fluid:lymph</v>
      </c>
      <c r="K206" s="9" t="s">
        <v>17</v>
      </c>
      <c r="L206" s="5" t="s">
        <v>1139</v>
      </c>
      <c r="M206" s="5" t="s">
        <v>13</v>
      </c>
      <c r="N206" s="5" t="str">
        <f t="shared" si="14"/>
        <v>INSERT INTO attributes (parent_id, tag, name, priority, allow_as_filter, allow_for_dataset, allow_for_measurement, allow_for_users, allow_for_qc) VALUES (NULL, 'att_fluid',  'Fluid',  500,  TRUE, TRUE, TRUE, FALSE, FALSE);</v>
      </c>
      <c r="O206" s="5"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0" t="b">
        <f>FALSE()</f>
        <v>0</v>
      </c>
      <c r="B207" s="10"/>
      <c r="C207" s="5" t="s">
        <v>1140</v>
      </c>
      <c r="D207" s="5" t="s">
        <v>1141</v>
      </c>
      <c r="E207" s="5" t="s">
        <v>13</v>
      </c>
      <c r="F207" s="5" t="s">
        <v>2512</v>
      </c>
      <c r="G207" s="5" t="s">
        <v>2513</v>
      </c>
      <c r="H207" s="5" t="str">
        <f t="shared" si="12"/>
        <v>att_fluid</v>
      </c>
      <c r="I207" s="5" t="s">
        <v>1140</v>
      </c>
      <c r="J207" s="5" t="str">
        <f t="shared" si="13"/>
        <v>att_fluid:peritoneal</v>
      </c>
      <c r="K207" s="9" t="s">
        <v>17</v>
      </c>
      <c r="L207" s="5" t="s">
        <v>1142</v>
      </c>
      <c r="M207" s="5" t="s">
        <v>13</v>
      </c>
      <c r="N207" s="5" t="str">
        <f t="shared" si="14"/>
        <v>INSERT INTO attributes (parent_id, tag, name, priority, allow_as_filter, allow_for_dataset, allow_for_measurement, allow_for_users, allow_for_qc) VALUES (NULL, 'att_fluid',  'Fluid',  500,  TRUE, TRUE, TRUE, FALSE, FALSE);</v>
      </c>
      <c r="O207" s="5" t="str">
        <f t="shared" si="15"/>
        <v xml:space="preserve">INSERT INTO attribute_values (attribute_id, tag, name, details) VALUES ((SELECT id FROM attributes WHERE tag = 'att_fluid' LIMIT 1),  'att_fluid:peritoneal',  'Peritoneal',  'Peritoneal fluid'); </v>
      </c>
    </row>
    <row r="208" spans="1:15" x14ac:dyDescent="0.15">
      <c r="A208" s="10" t="b">
        <f>FALSE()</f>
        <v>0</v>
      </c>
      <c r="B208" s="10"/>
      <c r="C208" s="5" t="s">
        <v>1143</v>
      </c>
      <c r="D208" s="5" t="s">
        <v>1144</v>
      </c>
      <c r="E208" s="5" t="s">
        <v>13</v>
      </c>
      <c r="F208" s="5" t="s">
        <v>2512</v>
      </c>
      <c r="G208" s="5" t="s">
        <v>2513</v>
      </c>
      <c r="H208" s="5" t="str">
        <f t="shared" si="12"/>
        <v>att_fluid</v>
      </c>
      <c r="I208" s="5" t="s">
        <v>1143</v>
      </c>
      <c r="J208" s="5" t="str">
        <f t="shared" si="13"/>
        <v>att_fluid:plasma</v>
      </c>
      <c r="K208" s="9" t="s">
        <v>17</v>
      </c>
      <c r="L208" s="5" t="s">
        <v>1145</v>
      </c>
      <c r="M208" s="5" t="s">
        <v>13</v>
      </c>
      <c r="N208" s="5" t="str">
        <f t="shared" si="14"/>
        <v>INSERT INTO attributes (parent_id, tag, name, priority, allow_as_filter, allow_for_dataset, allow_for_measurement, allow_for_users, allow_for_qc) VALUES (NULL, 'att_fluid',  'Fluid',  500,  TRUE, TRUE, TRUE, FALSE, FALSE);</v>
      </c>
      <c r="O208" s="5" t="str">
        <f t="shared" si="15"/>
        <v xml:space="preserve">INSERT INTO attribute_values (attribute_id, tag, name, details) VALUES ((SELECT id FROM attributes WHERE tag = 'att_fluid' LIMIT 1),  'att_fluid:plasma',  'Plasma',  'Blood Plasma'); </v>
      </c>
    </row>
    <row r="209" spans="1:15" x14ac:dyDescent="0.15">
      <c r="A209" s="10" t="b">
        <f>FALSE()</f>
        <v>0</v>
      </c>
      <c r="B209" s="10"/>
      <c r="C209" s="5" t="s">
        <v>1146</v>
      </c>
      <c r="D209" s="5" t="s">
        <v>1147</v>
      </c>
      <c r="E209" s="5" t="s">
        <v>13</v>
      </c>
      <c r="F209" s="5" t="s">
        <v>2512</v>
      </c>
      <c r="G209" s="5" t="s">
        <v>2513</v>
      </c>
      <c r="H209" s="5" t="str">
        <f t="shared" si="12"/>
        <v>att_fluid</v>
      </c>
      <c r="I209" s="5" t="s">
        <v>1146</v>
      </c>
      <c r="J209" s="5" t="str">
        <f t="shared" si="13"/>
        <v>att_fluid:pleural</v>
      </c>
      <c r="K209" s="9" t="s">
        <v>17</v>
      </c>
      <c r="L209" s="5" t="s">
        <v>1148</v>
      </c>
      <c r="M209" s="5" t="s">
        <v>13</v>
      </c>
      <c r="N209" s="5" t="str">
        <f t="shared" si="14"/>
        <v>INSERT INTO attributes (parent_id, tag, name, priority, allow_as_filter, allow_for_dataset, allow_for_measurement, allow_for_users, allow_for_qc) VALUES (NULL, 'att_fluid',  'Fluid',  500,  TRUE, TRUE, TRUE, FALSE, FALSE);</v>
      </c>
      <c r="O209" s="5" t="str">
        <f t="shared" si="15"/>
        <v xml:space="preserve">INSERT INTO attribute_values (attribute_id, tag, name, details) VALUES ((SELECT id FROM attributes WHERE tag = 'att_fluid' LIMIT 1),  'att_fluid:pleural',  'Pleural',  'Pleural fluid'); </v>
      </c>
    </row>
    <row r="210" spans="1:15" x14ac:dyDescent="0.15">
      <c r="A210" s="10" t="b">
        <f>FALSE()</f>
        <v>0</v>
      </c>
      <c r="B210" s="10"/>
      <c r="C210" s="5" t="s">
        <v>1149</v>
      </c>
      <c r="D210" s="5" t="s">
        <v>1150</v>
      </c>
      <c r="E210" s="5" t="s">
        <v>13</v>
      </c>
      <c r="F210" s="5" t="s">
        <v>2512</v>
      </c>
      <c r="G210" s="5" t="s">
        <v>2513</v>
      </c>
      <c r="H210" s="5" t="str">
        <f t="shared" si="12"/>
        <v>att_fluid</v>
      </c>
      <c r="I210" s="5" t="s">
        <v>1149</v>
      </c>
      <c r="J210" s="5" t="str">
        <f t="shared" si="13"/>
        <v>att_fluid:saliva</v>
      </c>
      <c r="K210" s="9" t="s">
        <v>17</v>
      </c>
      <c r="L210" s="5" t="s">
        <v>1151</v>
      </c>
      <c r="M210" s="5" t="s">
        <v>13</v>
      </c>
      <c r="N210" s="5" t="str">
        <f t="shared" si="14"/>
        <v>INSERT INTO attributes (parent_id, tag, name, priority, allow_as_filter, allow_for_dataset, allow_for_measurement, allow_for_users, allow_for_qc) VALUES (NULL, 'att_fluid',  'Fluid',  500,  TRUE, TRUE, TRUE, FALSE, FALSE);</v>
      </c>
      <c r="O210" s="5" t="str">
        <f t="shared" si="15"/>
        <v xml:space="preserve">INSERT INTO attribute_values (attribute_id, tag, name, details) VALUES ((SELECT id FROM attributes WHERE tag = 'att_fluid' LIMIT 1),  'att_fluid:saliva',  'Saliva',  'Spit'); </v>
      </c>
    </row>
    <row r="211" spans="1:15" x14ac:dyDescent="0.15">
      <c r="A211" s="10" t="b">
        <f>FALSE()</f>
        <v>0</v>
      </c>
      <c r="B211" s="10"/>
      <c r="C211" s="5" t="s">
        <v>1152</v>
      </c>
      <c r="D211" s="5" t="s">
        <v>1153</v>
      </c>
      <c r="E211" s="5" t="s">
        <v>13</v>
      </c>
      <c r="F211" s="5" t="s">
        <v>2512</v>
      </c>
      <c r="G211" s="5" t="s">
        <v>2513</v>
      </c>
      <c r="H211" s="5" t="str">
        <f t="shared" si="12"/>
        <v>att_fluid</v>
      </c>
      <c r="I211" s="5" t="s">
        <v>1152</v>
      </c>
      <c r="J211" s="5" t="str">
        <f t="shared" si="13"/>
        <v>att_fluid:seminal</v>
      </c>
      <c r="K211" s="9" t="s">
        <v>17</v>
      </c>
      <c r="L211" s="5" t="s">
        <v>1154</v>
      </c>
      <c r="M211" s="5" t="s">
        <v>13</v>
      </c>
      <c r="N211" s="5" t="str">
        <f t="shared" si="14"/>
        <v>INSERT INTO attributes (parent_id, tag, name, priority, allow_as_filter, allow_for_dataset, allow_for_measurement, allow_for_users, allow_for_qc) VALUES (NULL, 'att_fluid',  'Fluid',  500,  TRUE, TRUE, TRUE, FALSE, FALSE);</v>
      </c>
      <c r="O211" s="5" t="str">
        <f t="shared" si="15"/>
        <v xml:space="preserve">INSERT INTO attribute_values (attribute_id, tag, name, details) VALUES ((SELECT id FROM attributes WHERE tag = 'att_fluid' LIMIT 1),  'att_fluid:seminal',  'Seminal',  'Semen; Seminal fluid'); </v>
      </c>
    </row>
    <row r="212" spans="1:15" x14ac:dyDescent="0.15">
      <c r="A212" s="10" t="b">
        <f>FALSE()</f>
        <v>0</v>
      </c>
      <c r="B212" s="10"/>
      <c r="C212" s="5" t="s">
        <v>1155</v>
      </c>
      <c r="D212" s="5" t="s">
        <v>1156</v>
      </c>
      <c r="E212" s="5" t="s">
        <v>13</v>
      </c>
      <c r="F212" s="5" t="s">
        <v>2512</v>
      </c>
      <c r="G212" s="5" t="s">
        <v>2513</v>
      </c>
      <c r="H212" s="5" t="str">
        <f t="shared" si="12"/>
        <v>att_fluid</v>
      </c>
      <c r="I212" s="5" t="s">
        <v>1155</v>
      </c>
      <c r="J212" s="5" t="str">
        <f t="shared" si="13"/>
        <v>att_fluid:serum</v>
      </c>
      <c r="K212" s="9" t="s">
        <v>17</v>
      </c>
      <c r="L212" s="5" t="s">
        <v>1157</v>
      </c>
      <c r="M212" s="5" t="s">
        <v>13</v>
      </c>
      <c r="N212" s="5" t="str">
        <f t="shared" si="14"/>
        <v>INSERT INTO attributes (parent_id, tag, name, priority, allow_as_filter, allow_for_dataset, allow_for_measurement, allow_for_users, allow_for_qc) VALUES (NULL, 'att_fluid',  'Fluid',  500,  TRUE, TRUE, TRUE, FALSE, FALSE);</v>
      </c>
      <c r="O212" s="5" t="str">
        <f t="shared" si="15"/>
        <v xml:space="preserve">INSERT INTO attribute_values (attribute_id, tag, name, details) VALUES ((SELECT id FROM attributes WHERE tag = 'att_fluid' LIMIT 1),  'att_fluid:serum',  'Serum',  'Blood Serum'); </v>
      </c>
    </row>
    <row r="213" spans="1:15" x14ac:dyDescent="0.15">
      <c r="A213" s="10" t="b">
        <f>FALSE()</f>
        <v>0</v>
      </c>
      <c r="B213" s="10"/>
      <c r="C213" s="5" t="s">
        <v>1158</v>
      </c>
      <c r="D213" s="5" t="s">
        <v>1159</v>
      </c>
      <c r="E213" s="5" t="s">
        <v>13</v>
      </c>
      <c r="F213" s="5" t="s">
        <v>2512</v>
      </c>
      <c r="G213" s="5" t="s">
        <v>2513</v>
      </c>
      <c r="H213" s="5" t="str">
        <f t="shared" si="12"/>
        <v>att_fluid</v>
      </c>
      <c r="I213" s="5" t="s">
        <v>1158</v>
      </c>
      <c r="J213" s="5" t="str">
        <f t="shared" si="13"/>
        <v>att_fluid:urine</v>
      </c>
      <c r="K213" s="9" t="s">
        <v>17</v>
      </c>
      <c r="L213" s="5" t="s">
        <v>1160</v>
      </c>
      <c r="M213" s="5" t="s">
        <v>13</v>
      </c>
      <c r="N213" s="5" t="str">
        <f t="shared" si="14"/>
        <v>INSERT INTO attributes (parent_id, tag, name, priority, allow_as_filter, allow_for_dataset, allow_for_measurement, allow_for_users, allow_for_qc) VALUES (NULL, 'att_fluid',  'Fluid',  500,  TRUE, TRUE, TRUE, FALSE, FALSE);</v>
      </c>
      <c r="O213" s="5" t="str">
        <f t="shared" si="15"/>
        <v xml:space="preserve">INSERT INTO attribute_values (attribute_id, tag, name, details) VALUES ((SELECT id FROM attributes WHERE tag = 'att_fluid' LIMIT 1),  'att_fluid:urine',  'Urine',  'Pee'); </v>
      </c>
    </row>
    <row r="214" spans="1:15" x14ac:dyDescent="0.15">
      <c r="A214" s="10" t="b">
        <f>FALSE()</f>
        <v>0</v>
      </c>
      <c r="B214" s="10"/>
      <c r="C214" s="5" t="s">
        <v>1161</v>
      </c>
      <c r="D214" s="5" t="s">
        <v>1161</v>
      </c>
      <c r="E214" s="5" t="s">
        <v>13</v>
      </c>
      <c r="F214" s="5" t="s">
        <v>169</v>
      </c>
      <c r="G214" s="5" t="s">
        <v>2514</v>
      </c>
      <c r="H214" s="5" t="str">
        <f t="shared" si="12"/>
        <v>att_fraction</v>
      </c>
      <c r="I214" s="5" t="s">
        <v>1161</v>
      </c>
      <c r="J214" s="5" t="str">
        <f t="shared" si="13"/>
        <v>att_fraction:01k</v>
      </c>
      <c r="K214" s="9" t="s">
        <v>17</v>
      </c>
      <c r="L214" s="5" t="s">
        <v>2515</v>
      </c>
      <c r="M214" s="5" t="s">
        <v>1114</v>
      </c>
      <c r="N214" s="5" t="str">
        <f t="shared" si="14"/>
        <v>INSERT INTO attributes (parent_id, tag, name, priority, allow_as_filter, allow_for_dataset, allow_for_measurement, allow_for_users, allow_for_qc) VALUES (NULL, 'att_fraction',  'Spatial Fraction',  500,  TRUE, TRUE, TRUE, FALSE, FALSE);</v>
      </c>
      <c r="O214" s="5" t="str">
        <f t="shared" si="15"/>
        <v xml:space="preserve">INSERT INTO attribute_values (attribute_id, tag, name, details) VALUES ((SELECT id FROM attributes WHERE tag = 'att_fraction' LIMIT 1),  'att_fraction:01k',  '01k',  '01k Spatial Fraction'); </v>
      </c>
    </row>
    <row r="215" spans="1:15" x14ac:dyDescent="0.15">
      <c r="A215" s="10" t="b">
        <f>FALSE()</f>
        <v>0</v>
      </c>
      <c r="B215" s="10"/>
      <c r="C215" s="5" t="s">
        <v>1164</v>
      </c>
      <c r="D215" s="5" t="s">
        <v>1164</v>
      </c>
      <c r="E215" s="5" t="s">
        <v>13</v>
      </c>
      <c r="F215" s="5" t="s">
        <v>169</v>
      </c>
      <c r="G215" s="5" t="s">
        <v>2514</v>
      </c>
      <c r="H215" s="5" t="str">
        <f t="shared" si="12"/>
        <v>att_fraction</v>
      </c>
      <c r="I215" s="5" t="s">
        <v>1164</v>
      </c>
      <c r="J215" s="5" t="str">
        <f t="shared" si="13"/>
        <v>att_fraction:05k</v>
      </c>
      <c r="K215" s="9" t="s">
        <v>17</v>
      </c>
      <c r="L215" s="5" t="s">
        <v>2516</v>
      </c>
      <c r="M215" s="5" t="s">
        <v>1114</v>
      </c>
      <c r="N215" s="5" t="str">
        <f t="shared" si="14"/>
        <v>INSERT INTO attributes (parent_id, tag, name, priority, allow_as_filter, allow_for_dataset, allow_for_measurement, allow_for_users, allow_for_qc) VALUES (NULL, 'att_fraction',  'Spatial Fraction',  500,  TRUE, TRUE, TRUE, FALSE, FALSE);</v>
      </c>
      <c r="O215" s="5" t="str">
        <f t="shared" si="15"/>
        <v xml:space="preserve">INSERT INTO attribute_values (attribute_id, tag, name, details) VALUES ((SELECT id FROM attributes WHERE tag = 'att_fraction' LIMIT 1),  'att_fraction:05k',  '05k',  '05k Spatial Fraction'); </v>
      </c>
    </row>
    <row r="216" spans="1:15" x14ac:dyDescent="0.15">
      <c r="A216" s="10" t="b">
        <f>FALSE()</f>
        <v>0</v>
      </c>
      <c r="B216" s="10"/>
      <c r="C216" s="5" t="s">
        <v>1166</v>
      </c>
      <c r="D216" s="5" t="s">
        <v>1166</v>
      </c>
      <c r="E216" s="5" t="s">
        <v>13</v>
      </c>
      <c r="F216" s="5" t="s">
        <v>169</v>
      </c>
      <c r="G216" s="5" t="s">
        <v>2514</v>
      </c>
      <c r="H216" s="5" t="str">
        <f t="shared" si="12"/>
        <v>att_fraction</v>
      </c>
      <c r="I216" s="5" t="s">
        <v>1166</v>
      </c>
      <c r="J216" s="5" t="str">
        <f t="shared" si="13"/>
        <v>att_fraction:12k</v>
      </c>
      <c r="K216" s="9" t="s">
        <v>17</v>
      </c>
      <c r="L216" s="5" t="s">
        <v>2517</v>
      </c>
      <c r="M216" s="5" t="s">
        <v>1114</v>
      </c>
      <c r="N216" s="5" t="str">
        <f t="shared" si="14"/>
        <v>INSERT INTO attributes (parent_id, tag, name, priority, allow_as_filter, allow_for_dataset, allow_for_measurement, allow_for_users, allow_for_qc) VALUES (NULL, 'att_fraction',  'Spatial Fraction',  500,  TRUE, TRUE, TRUE, FALSE, FALSE);</v>
      </c>
      <c r="O216" s="5" t="str">
        <f t="shared" si="15"/>
        <v xml:space="preserve">INSERT INTO attribute_values (attribute_id, tag, name, details) VALUES ((SELECT id FROM attributes WHERE tag = 'att_fraction' LIMIT 1),  'att_fraction:12k',  '12k',  '12k Spatial Fraction'); </v>
      </c>
    </row>
    <row r="217" spans="1:15" x14ac:dyDescent="0.15">
      <c r="A217" s="10" t="b">
        <f>FALSE()</f>
        <v>0</v>
      </c>
      <c r="B217" s="10"/>
      <c r="C217" s="5" t="s">
        <v>1168</v>
      </c>
      <c r="D217" s="5" t="s">
        <v>1168</v>
      </c>
      <c r="E217" s="5" t="s">
        <v>13</v>
      </c>
      <c r="F217" s="5" t="s">
        <v>169</v>
      </c>
      <c r="G217" s="5" t="s">
        <v>2514</v>
      </c>
      <c r="H217" s="5" t="str">
        <f t="shared" si="12"/>
        <v>att_fraction</v>
      </c>
      <c r="I217" s="5" t="s">
        <v>1168</v>
      </c>
      <c r="J217" s="5" t="str">
        <f t="shared" si="13"/>
        <v>att_fraction:24k</v>
      </c>
      <c r="K217" s="9" t="s">
        <v>17</v>
      </c>
      <c r="L217" s="5" t="s">
        <v>2518</v>
      </c>
      <c r="M217" s="5" t="s">
        <v>1114</v>
      </c>
      <c r="N217" s="5" t="str">
        <f t="shared" si="14"/>
        <v>INSERT INTO attributes (parent_id, tag, name, priority, allow_as_filter, allow_for_dataset, allow_for_measurement, allow_for_users, allow_for_qc) VALUES (NULL, 'att_fraction',  'Spatial Fraction',  500,  TRUE, TRUE, TRUE, FALSE, FALSE);</v>
      </c>
      <c r="O217" s="5" t="str">
        <f t="shared" si="15"/>
        <v xml:space="preserve">INSERT INTO attribute_values (attribute_id, tag, name, details) VALUES ((SELECT id FROM attributes WHERE tag = 'att_fraction' LIMIT 1),  'att_fraction:24k',  '24k',  '24k Spatial Fraction'); </v>
      </c>
    </row>
    <row r="218" spans="1:15" x14ac:dyDescent="0.15">
      <c r="A218" s="10" t="b">
        <f>FALSE()</f>
        <v>0</v>
      </c>
      <c r="B218" s="10"/>
      <c r="C218" s="5" t="s">
        <v>1170</v>
      </c>
      <c r="D218" s="5" t="s">
        <v>1170</v>
      </c>
      <c r="E218" s="5" t="s">
        <v>13</v>
      </c>
      <c r="F218" s="5" t="s">
        <v>169</v>
      </c>
      <c r="G218" s="5" t="s">
        <v>2514</v>
      </c>
      <c r="H218" s="5" t="str">
        <f t="shared" si="12"/>
        <v>att_fraction</v>
      </c>
      <c r="I218" s="5" t="s">
        <v>1170</v>
      </c>
      <c r="J218" s="5" t="str">
        <f t="shared" si="13"/>
        <v>att_fraction:79k</v>
      </c>
      <c r="K218" s="9" t="s">
        <v>17</v>
      </c>
      <c r="L218" s="5" t="s">
        <v>2519</v>
      </c>
      <c r="M218" s="5" t="s">
        <v>1114</v>
      </c>
      <c r="N218" s="5" t="str">
        <f t="shared" si="14"/>
        <v>INSERT INTO attributes (parent_id, tag, name, priority, allow_as_filter, allow_for_dataset, allow_for_measurement, allow_for_users, allow_for_qc) VALUES (NULL, 'att_fraction',  'Spatial Fraction',  500,  TRUE, TRUE, TRUE, FALSE, FALSE);</v>
      </c>
      <c r="O218" s="5" t="str">
        <f t="shared" si="15"/>
        <v xml:space="preserve">INSERT INTO attribute_values (attribute_id, tag, name, details) VALUES ((SELECT id FROM attributes WHERE tag = 'att_fraction' LIMIT 1),  'att_fraction:79k',  '79k',  '79k Spatial Fraction'); </v>
      </c>
    </row>
    <row r="219" spans="1:15" x14ac:dyDescent="0.15">
      <c r="A219" s="10" t="b">
        <f>FALSE()</f>
        <v>0</v>
      </c>
      <c r="B219" s="10"/>
      <c r="C219" s="5" t="s">
        <v>1176</v>
      </c>
      <c r="D219" s="5" t="s">
        <v>1177</v>
      </c>
      <c r="E219" s="5" t="s">
        <v>13</v>
      </c>
      <c r="F219" s="5" t="s">
        <v>169</v>
      </c>
      <c r="G219" s="5" t="s">
        <v>2514</v>
      </c>
      <c r="H219" s="5" t="str">
        <f t="shared" si="12"/>
        <v>att_fraction</v>
      </c>
      <c r="I219" s="5" t="s">
        <v>1176</v>
      </c>
      <c r="J219" s="5" t="str">
        <f t="shared" si="13"/>
        <v>att_fraction:cytosolic</v>
      </c>
      <c r="K219" s="9" t="s">
        <v>17</v>
      </c>
      <c r="L219" s="5" t="s">
        <v>1178</v>
      </c>
      <c r="M219" s="5" t="s">
        <v>1114</v>
      </c>
      <c r="N219" s="5" t="str">
        <f t="shared" si="14"/>
        <v>INSERT INTO attributes (parent_id, tag, name, priority, allow_as_filter, allow_for_dataset, allow_for_measurement, allow_for_users, allow_for_qc) VALUES (NULL, 'att_fraction',  'Spatial Fraction',  500,  TRUE, TRUE, TRUE, FALSE, FALSE);</v>
      </c>
      <c r="O219" s="5" t="str">
        <f t="shared" si="15"/>
        <v xml:space="preserve">INSERT INTO attribute_values (attribute_id, tag, name, details) VALUES ((SELECT id FROM attributes WHERE tag = 'att_fraction' LIMIT 1),  'att_fraction:cytosolic',  'Cytosolic',  'Cytosolic Spatial Fraction'); </v>
      </c>
    </row>
    <row r="220" spans="1:15" x14ac:dyDescent="0.15">
      <c r="A220" s="10" t="b">
        <f>FALSE()</f>
        <v>0</v>
      </c>
      <c r="B220" s="10"/>
      <c r="C220" s="5" t="s">
        <v>1179</v>
      </c>
      <c r="D220" s="5" t="s">
        <v>1180</v>
      </c>
      <c r="E220" s="5" t="s">
        <v>13</v>
      </c>
      <c r="F220" s="5" t="s">
        <v>169</v>
      </c>
      <c r="G220" s="5" t="s">
        <v>2514</v>
      </c>
      <c r="H220" s="5" t="str">
        <f t="shared" si="12"/>
        <v>att_fraction</v>
      </c>
      <c r="I220" s="5" t="s">
        <v>1179</v>
      </c>
      <c r="J220" s="5" t="str">
        <f t="shared" si="13"/>
        <v>att_fraction:total</v>
      </c>
      <c r="K220" s="9" t="s">
        <v>17</v>
      </c>
      <c r="L220" s="5" t="s">
        <v>1181</v>
      </c>
      <c r="M220" s="5" t="s">
        <v>1114</v>
      </c>
      <c r="N220" s="5" t="str">
        <f t="shared" si="14"/>
        <v>INSERT INTO attributes (parent_id, tag, name, priority, allow_as_filter, allow_for_dataset, allow_for_measurement, allow_for_users, allow_for_qc) VALUES (NULL, 'att_fraction',  'Spatial Fraction',  500,  TRUE, TRUE, TRUE, FALSE, FALSE);</v>
      </c>
      <c r="O220" s="5" t="str">
        <f t="shared" si="15"/>
        <v xml:space="preserve">INSERT INTO attribute_values (attribute_id, tag, name, details) VALUES ((SELECT id FROM attributes WHERE tag = 'att_fraction' LIMIT 1),  'att_fraction:total',  'Total',  'Total Spatial Fraction'); </v>
      </c>
    </row>
    <row r="221" spans="1:15" x14ac:dyDescent="0.15">
      <c r="A221" s="10" t="b">
        <f>FALSE()</f>
        <v>0</v>
      </c>
      <c r="B221" s="10"/>
      <c r="C221" s="5" t="s">
        <v>2520</v>
      </c>
      <c r="D221" s="5" t="s">
        <v>1174</v>
      </c>
      <c r="E221" s="5" t="s">
        <v>13</v>
      </c>
      <c r="F221" s="5" t="s">
        <v>169</v>
      </c>
      <c r="G221" s="5" t="s">
        <v>2514</v>
      </c>
      <c r="H221" s="5" t="str">
        <f t="shared" si="12"/>
        <v>att_fraction</v>
      </c>
      <c r="I221" s="5" t="s">
        <v>1172</v>
      </c>
      <c r="J221" s="5" t="str">
        <f t="shared" si="13"/>
        <v>att_fraction:crude_mito</v>
      </c>
      <c r="K221" s="9" t="s">
        <v>17</v>
      </c>
      <c r="L221" s="5" t="s">
        <v>1175</v>
      </c>
      <c r="M221" s="5" t="s">
        <v>1114</v>
      </c>
      <c r="N221" s="5" t="str">
        <f t="shared" si="14"/>
        <v>INSERT INTO attributes (parent_id, tag, name, priority, allow_as_filter, allow_for_dataset, allow_for_measurement, allow_for_users, allow_for_qc) VALUES (NULL, 'att_fraction',  'Spatial Fraction',  500,  TRUE, TRUE, TRUE, FALSE, FALSE);</v>
      </c>
      <c r="O221" s="5"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0"/>
      <c r="B222" s="10"/>
      <c r="K222" s="9"/>
    </row>
    <row r="223" spans="1:15" x14ac:dyDescent="0.15">
      <c r="A223" s="10"/>
      <c r="B223" s="10"/>
      <c r="C223" s="5" t="s">
        <v>2521</v>
      </c>
      <c r="D223" s="5" t="s">
        <v>2032</v>
      </c>
      <c r="F223" s="5" t="s">
        <v>146</v>
      </c>
      <c r="G223" s="5" t="s">
        <v>2522</v>
      </c>
      <c r="H223" s="5" t="str">
        <f>"att_"&amp;G223</f>
        <v>att_offline_fractionation</v>
      </c>
      <c r="I223" s="5" t="s">
        <v>2031</v>
      </c>
      <c r="J223" s="5" t="str">
        <f>H223&amp;":"&amp;I223</f>
        <v>att_offline_fractionation:sdspage</v>
      </c>
      <c r="K223" s="9"/>
      <c r="L223" s="5" t="s">
        <v>2033</v>
      </c>
    </row>
    <row r="224" spans="1:15" x14ac:dyDescent="0.15">
      <c r="A224" s="10"/>
      <c r="B224" s="10"/>
      <c r="C224" s="5" t="s">
        <v>2521</v>
      </c>
      <c r="D224" s="5" t="s">
        <v>2020</v>
      </c>
      <c r="F224" s="5" t="s">
        <v>146</v>
      </c>
      <c r="G224" s="5" t="s">
        <v>2522</v>
      </c>
      <c r="H224" s="5" t="str">
        <f>"att_"&amp;G224</f>
        <v>att_offline_fractionation</v>
      </c>
      <c r="I224" s="5" t="s">
        <v>2019</v>
      </c>
      <c r="J224" s="5" t="str">
        <f>H224&amp;":"&amp;I224</f>
        <v>att_offline_fractionation:highph_hplc</v>
      </c>
      <c r="K224" s="9"/>
      <c r="L224" s="5" t="s">
        <v>2021</v>
      </c>
    </row>
    <row r="225" spans="1:15" x14ac:dyDescent="0.15">
      <c r="A225" s="10"/>
      <c r="B225" s="10"/>
      <c r="C225" s="5" t="s">
        <v>2521</v>
      </c>
      <c r="D225" s="5" t="s">
        <v>2023</v>
      </c>
      <c r="F225" s="5" t="s">
        <v>146</v>
      </c>
      <c r="G225" s="5" t="s">
        <v>2522</v>
      </c>
      <c r="H225" s="5" t="str">
        <f>"att_"&amp;G225</f>
        <v>att_offline_fractionation</v>
      </c>
      <c r="I225" s="5" t="s">
        <v>2022</v>
      </c>
      <c r="J225" s="5" t="str">
        <f>H225&amp;":"&amp;I225</f>
        <v>att_offline_fractionation:highph_tip</v>
      </c>
      <c r="K225" s="9"/>
      <c r="L225" s="5" t="s">
        <v>2024</v>
      </c>
    </row>
    <row r="226" spans="1:15" x14ac:dyDescent="0.15">
      <c r="A226" s="10"/>
      <c r="B226" s="10"/>
      <c r="C226" s="5" t="s">
        <v>2521</v>
      </c>
      <c r="D226" s="5" t="s">
        <v>2029</v>
      </c>
      <c r="F226" s="5" t="s">
        <v>146</v>
      </c>
      <c r="G226" s="5" t="s">
        <v>2522</v>
      </c>
      <c r="H226" s="5" t="str">
        <f>"att_"&amp;G226</f>
        <v>att_offline_fractionation</v>
      </c>
      <c r="I226" s="5" t="s">
        <v>2028</v>
      </c>
      <c r="J226" s="5" t="str">
        <f>H226&amp;":"&amp;I226</f>
        <v>att_offline_fractionation:scx</v>
      </c>
      <c r="K226" s="9"/>
      <c r="L226" s="5" t="s">
        <v>2030</v>
      </c>
    </row>
    <row r="227" spans="1:15" x14ac:dyDescent="0.15">
      <c r="A227" s="10"/>
      <c r="B227" s="10"/>
      <c r="C227" s="5" t="s">
        <v>2521</v>
      </c>
      <c r="D227" s="5" t="s">
        <v>2026</v>
      </c>
      <c r="F227" s="5" t="s">
        <v>146</v>
      </c>
      <c r="G227" s="5" t="s">
        <v>2522</v>
      </c>
      <c r="H227" s="5" t="str">
        <f>"att_"&amp;G227</f>
        <v>att_offline_fractionation</v>
      </c>
      <c r="I227" s="5" t="s">
        <v>2025</v>
      </c>
      <c r="J227" s="5" t="str">
        <f>H227&amp;":"&amp;I227</f>
        <v>att_offline_fractionation:sax</v>
      </c>
      <c r="K227" s="9"/>
      <c r="L227" s="5" t="s">
        <v>2027</v>
      </c>
    </row>
    <row r="228" spans="1:15" x14ac:dyDescent="0.15">
      <c r="A228" s="10"/>
      <c r="B228" s="10"/>
      <c r="K228" s="9"/>
    </row>
    <row r="229" spans="1:15" x14ac:dyDescent="0.15">
      <c r="A229" s="10"/>
      <c r="B229" s="10"/>
      <c r="K229" s="9"/>
    </row>
    <row r="230" spans="1:15" x14ac:dyDescent="0.15">
      <c r="A230" s="10" t="b">
        <f>TRUE()</f>
        <v>1</v>
      </c>
      <c r="C230" s="5" t="s">
        <v>1809</v>
      </c>
      <c r="D230" s="5" t="s">
        <v>1810</v>
      </c>
      <c r="E230" s="5" t="s">
        <v>13</v>
      </c>
      <c r="F230" s="5" t="s">
        <v>2523</v>
      </c>
      <c r="G230" s="5" t="s">
        <v>2524</v>
      </c>
      <c r="H230" s="5" t="str">
        <f t="shared" ref="H230:H248" si="16">"att_"&amp;G230</f>
        <v>att_instrument</v>
      </c>
      <c r="I230" s="5" t="s">
        <v>1809</v>
      </c>
      <c r="J230" s="5" t="str">
        <f t="shared" ref="J230:J248" si="17">H230&amp;":"&amp;I230</f>
        <v>att_instrument:e1</v>
      </c>
      <c r="K230" s="9" t="s">
        <v>17</v>
      </c>
      <c r="L230" s="5" t="s">
        <v>1811</v>
      </c>
      <c r="M230" s="5" t="s">
        <v>13</v>
      </c>
      <c r="N230" s="5"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5"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0" t="b">
        <f>TRUE()</f>
        <v>1</v>
      </c>
      <c r="C231" s="5" t="s">
        <v>1812</v>
      </c>
      <c r="D231" s="5" t="s">
        <v>1813</v>
      </c>
      <c r="E231" s="5" t="s">
        <v>13</v>
      </c>
      <c r="F231" s="5" t="s">
        <v>2523</v>
      </c>
      <c r="G231" s="5" t="s">
        <v>2524</v>
      </c>
      <c r="H231" s="5" t="str">
        <f t="shared" si="16"/>
        <v>att_instrument</v>
      </c>
      <c r="I231" s="5" t="s">
        <v>1812</v>
      </c>
      <c r="J231" s="5" t="str">
        <f t="shared" si="17"/>
        <v>att_instrument:e2</v>
      </c>
      <c r="K231" s="9" t="s">
        <v>17</v>
      </c>
      <c r="L231" s="5" t="s">
        <v>1814</v>
      </c>
      <c r="M231" s="5" t="s">
        <v>13</v>
      </c>
      <c r="N231" s="5" t="str">
        <f t="shared" si="18"/>
        <v>INSERT INTO attributes (parent_id, tag, name, priority, allow_as_filter, allow_for_dataset, allow_for_measurement, allow_for_users, allow_for_qc) VALUES (NULL, 'att_instrument',  'MS Instrument',  500,  TRUE, TRUE, TRUE, FALSE, FALSE);</v>
      </c>
      <c r="O231" s="5" t="str">
        <f t="shared" si="19"/>
        <v xml:space="preserve">INSERT INTO attribute_values (attribute_id, tag, name, details) VALUES ((SELECT id FROM attributes WHERE tag = 'att_instrument' LIMIT 1),  'att_instrument:e2',  'Boris (E2)',  'Boris'); </v>
      </c>
    </row>
    <row r="232" spans="1:15" x14ac:dyDescent="0.15">
      <c r="A232" s="10" t="b">
        <f>TRUE()</f>
        <v>1</v>
      </c>
      <c r="C232" s="5" t="s">
        <v>1817</v>
      </c>
      <c r="D232" s="5" t="s">
        <v>1818</v>
      </c>
      <c r="E232" s="5" t="s">
        <v>13</v>
      </c>
      <c r="F232" s="5" t="s">
        <v>2523</v>
      </c>
      <c r="G232" s="5" t="s">
        <v>2524</v>
      </c>
      <c r="H232" s="5" t="str">
        <f t="shared" si="16"/>
        <v>att_instrument</v>
      </c>
      <c r="I232" s="5" t="s">
        <v>1817</v>
      </c>
      <c r="J232" s="5" t="str">
        <f t="shared" si="17"/>
        <v>att_instrument:ignarius</v>
      </c>
      <c r="K232" s="9" t="s">
        <v>17</v>
      </c>
      <c r="L232" s="5" t="s">
        <v>1819</v>
      </c>
      <c r="M232" s="5" t="s">
        <v>13</v>
      </c>
      <c r="N232" s="5" t="str">
        <f t="shared" si="18"/>
        <v>INSERT INTO attributes (parent_id, tag, name, priority, allow_as_filter, allow_for_dataset, allow_for_measurement, allow_for_users, allow_for_qc) VALUES (NULL, 'att_instrument',  'MS Instrument',  500,  TRUE, TRUE, TRUE, FALSE, FALSE);</v>
      </c>
      <c r="O232" s="5"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0" t="b">
        <f>TRUE()</f>
        <v>1</v>
      </c>
      <c r="C233" s="5" t="s">
        <v>2525</v>
      </c>
      <c r="D233" s="5" t="s">
        <v>1821</v>
      </c>
      <c r="E233" s="5" t="s">
        <v>13</v>
      </c>
      <c r="F233" s="5" t="s">
        <v>2523</v>
      </c>
      <c r="G233" s="5" t="s">
        <v>2524</v>
      </c>
      <c r="H233" s="5" t="str">
        <f t="shared" si="16"/>
        <v>att_instrument</v>
      </c>
      <c r="I233" s="5" t="s">
        <v>2526</v>
      </c>
      <c r="J233" s="5" t="str">
        <f t="shared" si="17"/>
        <v>att_instrument:t</v>
      </c>
      <c r="K233" s="9" t="s">
        <v>17</v>
      </c>
      <c r="L233" s="5" t="s">
        <v>1822</v>
      </c>
      <c r="M233" s="5" t="s">
        <v>13</v>
      </c>
      <c r="N233" s="5" t="str">
        <f t="shared" si="18"/>
        <v>INSERT INTO attributes (parent_id, tag, name, priority, allow_as_filter, allow_for_dataset, allow_for_measurement, allow_for_users, allow_for_qc) VALUES (NULL, 'att_instrument',  'MS Instrument',  500,  TRUE, TRUE, TRUE, FALSE, FALSE);</v>
      </c>
      <c r="O233" s="5" t="str">
        <f t="shared" si="19"/>
        <v xml:space="preserve">INSERT INTO attribute_values (attribute_id, tag, name, details) VALUES ((SELECT id FROM attributes WHERE tag = 'att_instrument' LIMIT 1),  'att_instrument:t',  'TimsTOF (KrisTof)',  'TimsTOF'); </v>
      </c>
    </row>
    <row r="234" spans="1:15" s="12" customFormat="1" x14ac:dyDescent="0.15">
      <c r="A234" s="11" t="b">
        <f>FALSE()</f>
        <v>0</v>
      </c>
      <c r="B234" s="11"/>
      <c r="C234" s="12" t="s">
        <v>2527</v>
      </c>
      <c r="D234" s="12" t="s">
        <v>2528</v>
      </c>
      <c r="E234" s="12" t="s">
        <v>13</v>
      </c>
      <c r="F234" s="12" t="s">
        <v>2529</v>
      </c>
      <c r="G234" s="12" t="s">
        <v>2530</v>
      </c>
      <c r="H234" s="12" t="str">
        <f t="shared" si="16"/>
        <v>att_knockout</v>
      </c>
      <c r="I234" s="12" t="s">
        <v>2527</v>
      </c>
      <c r="J234" s="12" t="str">
        <f t="shared" si="17"/>
        <v>att_knockout:casp1_dko</v>
      </c>
      <c r="K234" s="13" t="s">
        <v>17</v>
      </c>
      <c r="L234" s="12" t="s">
        <v>2531</v>
      </c>
      <c r="M234" s="12" t="s">
        <v>13</v>
      </c>
      <c r="N234" s="12" t="str">
        <f t="shared" si="18"/>
        <v>INSERT INTO attributes (parent_id, tag, name, priority, allow_as_filter, allow_for_dataset, allow_for_measurement, allow_for_users, allow_for_qc) VALUES (NULL, 'att_knockout',  'Gene Knockout',  500,  TRUE, TRUE, TRUE, FALSE, FALSE);</v>
      </c>
      <c r="O234" s="12" t="str">
        <f t="shared" si="19"/>
        <v xml:space="preserve">INSERT INTO attribute_values (attribute_id, tag, name, details) VALUES ((SELECT id FROM attributes WHERE tag = 'att_knockout' LIMIT 1),  'att_knockout:casp1_dko',  'Casp1 dKO',  'Casp1 −/−'); </v>
      </c>
    </row>
    <row r="235" spans="1:15" s="12" customFormat="1" x14ac:dyDescent="0.15">
      <c r="A235" s="11" t="b">
        <f>FALSE()</f>
        <v>0</v>
      </c>
      <c r="B235" s="11"/>
      <c r="C235" s="12" t="s">
        <v>2532</v>
      </c>
      <c r="D235" s="12" t="s">
        <v>2533</v>
      </c>
      <c r="E235" s="12" t="s">
        <v>13</v>
      </c>
      <c r="F235" s="12" t="s">
        <v>2529</v>
      </c>
      <c r="G235" s="12" t="s">
        <v>2530</v>
      </c>
      <c r="H235" s="12" t="str">
        <f t="shared" si="16"/>
        <v>att_knockout</v>
      </c>
      <c r="I235" s="12" t="s">
        <v>2532</v>
      </c>
      <c r="J235" s="12" t="str">
        <f t="shared" si="17"/>
        <v>att_knockout:casp11_dko</v>
      </c>
      <c r="K235" s="13" t="s">
        <v>17</v>
      </c>
      <c r="L235" s="12" t="s">
        <v>2534</v>
      </c>
      <c r="M235" s="12" t="s">
        <v>13</v>
      </c>
      <c r="N235" s="12" t="str">
        <f t="shared" si="18"/>
        <v>INSERT INTO attributes (parent_id, tag, name, priority, allow_as_filter, allow_for_dataset, allow_for_measurement, allow_for_users, allow_for_qc) VALUES (NULL, 'att_knockout',  'Gene Knockout',  500,  TRUE, TRUE, TRUE, FALSE, FALSE);</v>
      </c>
      <c r="O235" s="12" t="str">
        <f t="shared" si="19"/>
        <v xml:space="preserve">INSERT INTO attribute_values (attribute_id, tag, name, details) VALUES ((SELECT id FROM attributes WHERE tag = 'att_knockout' LIMIT 1),  'att_knockout:casp11_dko',  'Casp11 dKO',  'Casp11 −/−'); </v>
      </c>
    </row>
    <row r="236" spans="1:15" s="12" customFormat="1" x14ac:dyDescent="0.15">
      <c r="A236" s="11" t="b">
        <f>FALSE()</f>
        <v>0</v>
      </c>
      <c r="B236" s="11"/>
      <c r="C236" s="12" t="s">
        <v>2535</v>
      </c>
      <c r="D236" s="12" t="s">
        <v>2536</v>
      </c>
      <c r="E236" s="12" t="s">
        <v>13</v>
      </c>
      <c r="F236" s="12" t="s">
        <v>2529</v>
      </c>
      <c r="G236" s="12" t="s">
        <v>2530</v>
      </c>
      <c r="H236" s="12" t="str">
        <f t="shared" si="16"/>
        <v>att_knockout</v>
      </c>
      <c r="I236" s="12" t="s">
        <v>2535</v>
      </c>
      <c r="J236" s="12" t="str">
        <f t="shared" si="17"/>
        <v>att_knockout:gsdmd_dko</v>
      </c>
      <c r="K236" s="13" t="s">
        <v>17</v>
      </c>
      <c r="L236" s="12" t="s">
        <v>2537</v>
      </c>
      <c r="M236" s="12" t="s">
        <v>13</v>
      </c>
      <c r="N236" s="12" t="str">
        <f t="shared" si="18"/>
        <v>INSERT INTO attributes (parent_id, tag, name, priority, allow_as_filter, allow_for_dataset, allow_for_measurement, allow_for_users, allow_for_qc) VALUES (NULL, 'att_knockout',  'Gene Knockout',  500,  TRUE, TRUE, TRUE, FALSE, FALSE);</v>
      </c>
      <c r="O236" s="12" t="str">
        <f t="shared" si="19"/>
        <v xml:space="preserve">INSERT INTO attribute_values (attribute_id, tag, name, details) VALUES ((SELECT id FROM attributes WHERE tag = 'att_knockout' LIMIT 1),  'att_knockout:gsdmd_dko',  'Gsdmd dKO',  'Gsdmd −/−'); </v>
      </c>
    </row>
    <row r="237" spans="1:15" s="12" customFormat="1" x14ac:dyDescent="0.15">
      <c r="A237" s="11" t="b">
        <f>FALSE()</f>
        <v>0</v>
      </c>
      <c r="B237" s="11"/>
      <c r="C237" s="12" t="s">
        <v>2538</v>
      </c>
      <c r="D237" s="12" t="s">
        <v>2539</v>
      </c>
      <c r="E237" s="12" t="s">
        <v>13</v>
      </c>
      <c r="F237" s="12" t="s">
        <v>2529</v>
      </c>
      <c r="G237" s="12" t="s">
        <v>2530</v>
      </c>
      <c r="H237" s="12" t="str">
        <f t="shared" si="16"/>
        <v>att_knockout</v>
      </c>
      <c r="I237" s="12" t="s">
        <v>2540</v>
      </c>
      <c r="J237" s="12" t="str">
        <f t="shared" si="17"/>
        <v>att_knockout:il18r_dko</v>
      </c>
      <c r="K237" s="13" t="s">
        <v>17</v>
      </c>
      <c r="L237" s="12" t="s">
        <v>2541</v>
      </c>
      <c r="M237" s="12" t="s">
        <v>13</v>
      </c>
      <c r="N237" s="12" t="str">
        <f t="shared" si="18"/>
        <v>INSERT INTO attributes (parent_id, tag, name, priority, allow_as_filter, allow_for_dataset, allow_for_measurement, allow_for_users, allow_for_qc) VALUES (NULL, 'att_knockout',  'Gene Knockout',  500,  TRUE, TRUE, TRUE, FALSE, FALSE);</v>
      </c>
      <c r="O237" s="12" t="str">
        <f t="shared" si="19"/>
        <v xml:space="preserve">INSERT INTO attribute_values (attribute_id, tag, name, details) VALUES ((SELECT id FROM attributes WHERE tag = 'att_knockout' LIMIT 1),  'att_knockout:il18r_dko',  'Il18r dKO',  'Il18r −/−'); </v>
      </c>
    </row>
    <row r="238" spans="1:15" s="12" customFormat="1" x14ac:dyDescent="0.15">
      <c r="A238" s="11" t="b">
        <f>FALSE()</f>
        <v>0</v>
      </c>
      <c r="B238" s="11"/>
      <c r="C238" s="12" t="s">
        <v>2542</v>
      </c>
      <c r="D238" s="12" t="s">
        <v>2543</v>
      </c>
      <c r="E238" s="12" t="s">
        <v>13</v>
      </c>
      <c r="F238" s="12" t="s">
        <v>2529</v>
      </c>
      <c r="G238" s="12" t="s">
        <v>2530</v>
      </c>
      <c r="H238" s="12" t="str">
        <f t="shared" si="16"/>
        <v>att_knockout</v>
      </c>
      <c r="I238" s="12" t="s">
        <v>2544</v>
      </c>
      <c r="J238" s="12" t="str">
        <f t="shared" si="17"/>
        <v>att_knockout:il1r_dko</v>
      </c>
      <c r="K238" s="13" t="s">
        <v>17</v>
      </c>
      <c r="L238" s="12" t="s">
        <v>2545</v>
      </c>
      <c r="M238" s="12" t="s">
        <v>13</v>
      </c>
      <c r="N238" s="12" t="str">
        <f t="shared" si="18"/>
        <v>INSERT INTO attributes (parent_id, tag, name, priority, allow_as_filter, allow_for_dataset, allow_for_measurement, allow_for_users, allow_for_qc) VALUES (NULL, 'att_knockout',  'Gene Knockout',  500,  TRUE, TRUE, TRUE, FALSE, FALSE);</v>
      </c>
      <c r="O238" s="12" t="str">
        <f t="shared" si="19"/>
        <v xml:space="preserve">INSERT INTO attribute_values (attribute_id, tag, name, details) VALUES ((SELECT id FROM attributes WHERE tag = 'att_knockout' LIMIT 1),  'att_knockout:il1r_dko',  'Il1r dKO',  'Il1r −/−'); </v>
      </c>
    </row>
    <row r="239" spans="1:15" s="12" customFormat="1" x14ac:dyDescent="0.15">
      <c r="A239" s="11" t="b">
        <f>FALSE()</f>
        <v>0</v>
      </c>
      <c r="B239" s="11"/>
      <c r="C239" s="12" t="s">
        <v>2546</v>
      </c>
      <c r="D239" s="12" t="s">
        <v>2547</v>
      </c>
      <c r="E239" s="12" t="s">
        <v>13</v>
      </c>
      <c r="F239" s="12" t="s">
        <v>2529</v>
      </c>
      <c r="G239" s="12" t="s">
        <v>2530</v>
      </c>
      <c r="H239" s="12" t="str">
        <f t="shared" si="16"/>
        <v>att_knockout</v>
      </c>
      <c r="I239" s="12" t="s">
        <v>2546</v>
      </c>
      <c r="J239" s="12" t="str">
        <f t="shared" si="17"/>
        <v>att_knockout:tlr4_dko</v>
      </c>
      <c r="K239" s="13" t="s">
        <v>17</v>
      </c>
      <c r="L239" s="12" t="s">
        <v>2548</v>
      </c>
      <c r="M239" s="12" t="s">
        <v>13</v>
      </c>
      <c r="N239" s="12" t="str">
        <f t="shared" si="18"/>
        <v>INSERT INTO attributes (parent_id, tag, name, priority, allow_as_filter, allow_for_dataset, allow_for_measurement, allow_for_users, allow_for_qc) VALUES (NULL, 'att_knockout',  'Gene Knockout',  500,  TRUE, TRUE, TRUE, FALSE, FALSE);</v>
      </c>
      <c r="O239" s="12" t="str">
        <f t="shared" si="19"/>
        <v xml:space="preserve">INSERT INTO attribute_values (attribute_id, tag, name, details) VALUES ((SELECT id FROM attributes WHERE tag = 'att_knockout' LIMIT 1),  'att_knockout:tlr4_dko',  'Tlr4 dKO',  'Tlr4 −/−'); </v>
      </c>
    </row>
    <row r="240" spans="1:15" x14ac:dyDescent="0.15">
      <c r="A240" s="9" t="s">
        <v>17</v>
      </c>
      <c r="B240" s="9"/>
      <c r="C240" s="5" t="s">
        <v>1261</v>
      </c>
      <c r="D240" s="5" t="s">
        <v>1262</v>
      </c>
      <c r="E240" s="5" t="s">
        <v>13</v>
      </c>
      <c r="F240" s="5" t="s">
        <v>112</v>
      </c>
      <c r="G240" s="5" t="s">
        <v>2549</v>
      </c>
      <c r="H240" s="5" t="str">
        <f t="shared" si="16"/>
        <v>att_lc_system</v>
      </c>
      <c r="I240" s="5" t="s">
        <v>1261</v>
      </c>
      <c r="J240" s="5" t="str">
        <f t="shared" si="17"/>
        <v>att_lc_system:easylc1</v>
      </c>
      <c r="K240" s="9" t="s">
        <v>17</v>
      </c>
      <c r="L240" s="5" t="s">
        <v>1262</v>
      </c>
      <c r="M240" s="5" t="s">
        <v>13</v>
      </c>
      <c r="N240" s="5" t="str">
        <f t="shared" si="18"/>
        <v>INSERT INTO attributes (parent_id, tag, name, priority, allow_as_filter, allow_for_dataset, allow_for_measurement, allow_for_users, allow_for_qc) VALUES (NULL, 'att_lc_system',  'LC System',  500,  TRUE, TRUE, TRUE, FALSE, FALSE);</v>
      </c>
      <c r="O240" s="5" t="str">
        <f t="shared" si="19"/>
        <v xml:space="preserve">INSERT INTO attribute_values (attribute_id, tag, name, details) VALUES ((SELECT id FROM attributes WHERE tag = 'att_lc_system' LIMIT 1),  'att_lc_system:easylc1',  'Easy LC1',  'Easy LC1'); </v>
      </c>
    </row>
    <row r="241" spans="1:15" x14ac:dyDescent="0.15">
      <c r="A241" s="9" t="s">
        <v>17</v>
      </c>
      <c r="B241" s="9"/>
      <c r="C241" s="5" t="s">
        <v>1263</v>
      </c>
      <c r="D241" s="5" t="s">
        <v>1264</v>
      </c>
      <c r="E241" s="5" t="s">
        <v>13</v>
      </c>
      <c r="F241" s="5" t="s">
        <v>112</v>
      </c>
      <c r="G241" s="5" t="s">
        <v>2549</v>
      </c>
      <c r="H241" s="5" t="str">
        <f t="shared" si="16"/>
        <v>att_lc_system</v>
      </c>
      <c r="I241" s="5" t="s">
        <v>1263</v>
      </c>
      <c r="J241" s="5" t="str">
        <f t="shared" si="17"/>
        <v>att_lc_system:easylc2</v>
      </c>
      <c r="K241" s="9" t="s">
        <v>17</v>
      </c>
      <c r="L241" s="5" t="s">
        <v>1264</v>
      </c>
      <c r="M241" s="5" t="s">
        <v>13</v>
      </c>
      <c r="N241" s="5" t="str">
        <f t="shared" si="18"/>
        <v>INSERT INTO attributes (parent_id, tag, name, priority, allow_as_filter, allow_for_dataset, allow_for_measurement, allow_for_users, allow_for_qc) VALUES (NULL, 'att_lc_system',  'LC System',  500,  TRUE, TRUE, TRUE, FALSE, FALSE);</v>
      </c>
      <c r="O241" s="5" t="str">
        <f t="shared" si="19"/>
        <v xml:space="preserve">INSERT INTO attribute_values (attribute_id, tag, name, details) VALUES ((SELECT id FROM attributes WHERE tag = 'att_lc_system' LIMIT 1),  'att_lc_system:easylc2',  'Easy LC2',  'Easy LC2'); </v>
      </c>
    </row>
    <row r="242" spans="1:15" x14ac:dyDescent="0.15">
      <c r="A242" s="9" t="s">
        <v>17</v>
      </c>
      <c r="B242" s="9"/>
      <c r="C242" s="5" t="s">
        <v>1265</v>
      </c>
      <c r="D242" s="5" t="s">
        <v>1266</v>
      </c>
      <c r="E242" s="5" t="s">
        <v>13</v>
      </c>
      <c r="F242" s="5" t="s">
        <v>112</v>
      </c>
      <c r="G242" s="5" t="s">
        <v>2549</v>
      </c>
      <c r="H242" s="5" t="str">
        <f t="shared" si="16"/>
        <v>att_lc_system</v>
      </c>
      <c r="I242" s="5" t="s">
        <v>1265</v>
      </c>
      <c r="J242" s="5" t="str">
        <f t="shared" si="17"/>
        <v>att_lc_system:evosep1</v>
      </c>
      <c r="K242" s="9" t="s">
        <v>17</v>
      </c>
      <c r="L242" s="5" t="s">
        <v>1267</v>
      </c>
      <c r="M242" s="5" t="s">
        <v>13</v>
      </c>
      <c r="N242" s="5" t="str">
        <f t="shared" si="18"/>
        <v>INSERT INTO attributes (parent_id, tag, name, priority, allow_as_filter, allow_for_dataset, allow_for_measurement, allow_for_users, allow_for_qc) VALUES (NULL, 'att_lc_system',  'LC System',  500,  TRUE, TRUE, TRUE, FALSE, FALSE);</v>
      </c>
      <c r="O242" s="5" t="str">
        <f t="shared" si="19"/>
        <v xml:space="preserve">INSERT INTO attribute_values (attribute_id, tag, name, details) VALUES ((SELECT id FROM attributes WHERE tag = 'att_lc_system' LIMIT 1),  'att_lc_system:evosep1',  'Evosep1',  'Evosep 1'); </v>
      </c>
    </row>
    <row r="243" spans="1:15" x14ac:dyDescent="0.15">
      <c r="A243" s="9" t="s">
        <v>17</v>
      </c>
      <c r="B243" s="9"/>
      <c r="C243" s="5" t="s">
        <v>1268</v>
      </c>
      <c r="D243" s="5" t="s">
        <v>1269</v>
      </c>
      <c r="E243" s="5" t="s">
        <v>13</v>
      </c>
      <c r="F243" s="5" t="s">
        <v>112</v>
      </c>
      <c r="G243" s="5" t="s">
        <v>2549</v>
      </c>
      <c r="H243" s="5" t="str">
        <f t="shared" si="16"/>
        <v>att_lc_system</v>
      </c>
      <c r="I243" s="5" t="s">
        <v>1268</v>
      </c>
      <c r="J243" s="5" t="str">
        <f t="shared" si="17"/>
        <v>att_lc_system:vanquishneo1</v>
      </c>
      <c r="K243" s="9" t="s">
        <v>17</v>
      </c>
      <c r="L243" s="5" t="s">
        <v>1269</v>
      </c>
      <c r="M243" s="5" t="s">
        <v>13</v>
      </c>
      <c r="N243" s="5" t="str">
        <f t="shared" si="18"/>
        <v>INSERT INTO attributes (parent_id, tag, name, priority, allow_as_filter, allow_for_dataset, allow_for_measurement, allow_for_users, allow_for_qc) VALUES (NULL, 'att_lc_system',  'LC System',  500,  TRUE, TRUE, TRUE, FALSE, FALSE);</v>
      </c>
      <c r="O243" s="5" t="str">
        <f t="shared" si="19"/>
        <v xml:space="preserve">INSERT INTO attribute_values (attribute_id, tag, name, details) VALUES ((SELECT id FROM attributes WHERE tag = 'att_lc_system' LIMIT 1),  'att_lc_system:vanquishneo1',  'Vanquish Neo1',  'Vanquish Neo1'); </v>
      </c>
    </row>
    <row r="244" spans="1:15" x14ac:dyDescent="0.15">
      <c r="A244" s="10" t="b">
        <f>FALSE()</f>
        <v>0</v>
      </c>
      <c r="B244" s="10"/>
      <c r="C244" s="5" t="s">
        <v>1763</v>
      </c>
      <c r="D244" s="5" t="s">
        <v>1765</v>
      </c>
      <c r="E244" s="5" t="s">
        <v>13</v>
      </c>
      <c r="F244" s="5" t="s">
        <v>2550</v>
      </c>
      <c r="G244" s="5" t="s">
        <v>2551</v>
      </c>
      <c r="H244" s="5" t="str">
        <f t="shared" si="16"/>
        <v>att_mockup</v>
      </c>
      <c r="I244" s="5" t="s">
        <v>1763</v>
      </c>
      <c r="J244" s="5" t="str">
        <f t="shared" si="17"/>
        <v>att_mockup:arbitrary</v>
      </c>
      <c r="K244" s="9" t="s">
        <v>17</v>
      </c>
      <c r="L244" s="5" t="s">
        <v>1766</v>
      </c>
      <c r="M244" s="5" t="s">
        <v>13</v>
      </c>
      <c r="N244" s="5" t="str">
        <f t="shared" si="18"/>
        <v>INSERT INTO attributes (parent_id, tag, name, priority, allow_as_filter, allow_for_dataset, allow_for_measurement, allow_for_users, allow_for_qc) VALUES (NULL, 'att_mockup',  'Mockup',  500,  TRUE, TRUE, TRUE, FALSE, FALSE);</v>
      </c>
      <c r="O244" s="5" t="str">
        <f t="shared" si="19"/>
        <v xml:space="preserve">INSERT INTO attribute_values (attribute_id, tag, name, details) VALUES ((SELECT id FROM attributes WHERE tag = 'att_mockup' LIMIT 1),  'att_mockup:arbitrary',  'Arbitrary',  'Mock categorie that can be used'); </v>
      </c>
    </row>
    <row r="245" spans="1:15" x14ac:dyDescent="0.15">
      <c r="A245" s="10" t="b">
        <f>FALSE()</f>
        <v>0</v>
      </c>
      <c r="B245" s="10"/>
      <c r="C245" s="5" t="s">
        <v>1767</v>
      </c>
      <c r="D245" s="5" t="s">
        <v>1768</v>
      </c>
      <c r="E245" s="5" t="s">
        <v>13</v>
      </c>
      <c r="F245" s="5" t="s">
        <v>2550</v>
      </c>
      <c r="G245" s="5" t="s">
        <v>2551</v>
      </c>
      <c r="H245" s="5" t="str">
        <f t="shared" si="16"/>
        <v>att_mockup</v>
      </c>
      <c r="I245" s="5" t="s">
        <v>1767</v>
      </c>
      <c r="J245" s="5" t="str">
        <f t="shared" si="17"/>
        <v>att_mockup:random</v>
      </c>
      <c r="K245" s="9" t="s">
        <v>17</v>
      </c>
      <c r="L245" s="5" t="s">
        <v>1766</v>
      </c>
      <c r="M245" s="5" t="s">
        <v>13</v>
      </c>
      <c r="N245" s="5" t="str">
        <f t="shared" si="18"/>
        <v>INSERT INTO attributes (parent_id, tag, name, priority, allow_as_filter, allow_for_dataset, allow_for_measurement, allow_for_users, allow_for_qc) VALUES (NULL, 'att_mockup',  'Mockup',  500,  TRUE, TRUE, TRUE, FALSE, FALSE);</v>
      </c>
      <c r="O245" s="5" t="str">
        <f t="shared" si="19"/>
        <v xml:space="preserve">INSERT INTO attribute_values (attribute_id, tag, name, details) VALUES ((SELECT id FROM attributes WHERE tag = 'att_mockup' LIMIT 1),  'att_mockup:random',  'Random',  'Mock categorie that can be used'); </v>
      </c>
    </row>
    <row r="246" spans="1:15" x14ac:dyDescent="0.15">
      <c r="A246" s="10" t="b">
        <f>FALSE()</f>
        <v>0</v>
      </c>
      <c r="B246" s="10"/>
      <c r="C246" s="5" t="s">
        <v>2552</v>
      </c>
      <c r="D246" s="5" t="s">
        <v>1770</v>
      </c>
      <c r="E246" s="5" t="s">
        <v>13</v>
      </c>
      <c r="F246" s="5" t="s">
        <v>124</v>
      </c>
      <c r="G246" s="5" t="s">
        <v>2553</v>
      </c>
      <c r="H246" s="5" t="str">
        <f t="shared" si="16"/>
        <v>att_model</v>
      </c>
      <c r="I246" s="5" t="s">
        <v>1769</v>
      </c>
      <c r="J246" s="5" t="str">
        <f t="shared" si="17"/>
        <v>att_model:in_vitro</v>
      </c>
      <c r="K246" s="9" t="s">
        <v>17</v>
      </c>
      <c r="L246" s="5" t="s">
        <v>1771</v>
      </c>
      <c r="M246" s="5" t="s">
        <v>13</v>
      </c>
      <c r="N246" s="5" t="str">
        <f t="shared" si="18"/>
        <v>INSERT INTO attributes (parent_id, tag, name, priority, allow_as_filter, allow_for_dataset, allow_for_measurement, allow_for_users, allow_for_qc) VALUES (NULL, 'att_model',  'Model',  500,  TRUE, TRUE, TRUE, FALSE, FALSE);</v>
      </c>
      <c r="O246" s="5" t="str">
        <f t="shared" si="19"/>
        <v xml:space="preserve">INSERT INTO attribute_values (attribute_id, tag, name, details) VALUES ((SELECT id FROM attributes WHERE tag = 'att_model' LIMIT 1),  'att_model:in_vitro',  'In vitro',  'in the glass'); </v>
      </c>
    </row>
    <row r="247" spans="1:15" x14ac:dyDescent="0.15">
      <c r="A247" s="10" t="b">
        <f>FALSE()</f>
        <v>0</v>
      </c>
      <c r="B247" s="10"/>
      <c r="C247" s="5" t="s">
        <v>2554</v>
      </c>
      <c r="D247" s="5" t="s">
        <v>1773</v>
      </c>
      <c r="E247" s="5" t="s">
        <v>13</v>
      </c>
      <c r="F247" s="5" t="s">
        <v>124</v>
      </c>
      <c r="G247" s="5" t="s">
        <v>2553</v>
      </c>
      <c r="H247" s="5" t="str">
        <f t="shared" si="16"/>
        <v>att_model</v>
      </c>
      <c r="I247" s="5" t="s">
        <v>1772</v>
      </c>
      <c r="J247" s="5" t="str">
        <f t="shared" si="17"/>
        <v>att_model:in_vivo</v>
      </c>
      <c r="K247" s="9" t="s">
        <v>17</v>
      </c>
      <c r="L247" s="5" t="s">
        <v>1774</v>
      </c>
      <c r="M247" s="5" t="s">
        <v>13</v>
      </c>
      <c r="N247" s="5" t="str">
        <f t="shared" si="18"/>
        <v>INSERT INTO attributes (parent_id, tag, name, priority, allow_as_filter, allow_for_dataset, allow_for_measurement, allow_for_users, allow_for_qc) VALUES (NULL, 'att_model',  'Model',  500,  TRUE, TRUE, TRUE, FALSE, FALSE);</v>
      </c>
      <c r="O247" s="5" t="str">
        <f t="shared" si="19"/>
        <v xml:space="preserve">INSERT INTO attribute_values (attribute_id, tag, name, details) VALUES ((SELECT id FROM attributes WHERE tag = 'att_model' LIMIT 1),  'att_model:in_vivo',  'In vivo',  'within the living'); </v>
      </c>
    </row>
    <row r="248" spans="1:15" x14ac:dyDescent="0.15">
      <c r="A248" s="10" t="b">
        <f>FALSE()</f>
        <v>0</v>
      </c>
      <c r="B248" s="10"/>
      <c r="C248" s="5" t="s">
        <v>1775</v>
      </c>
      <c r="D248" s="5" t="s">
        <v>1775</v>
      </c>
      <c r="E248" s="5" t="s">
        <v>13</v>
      </c>
      <c r="F248" s="5" t="s">
        <v>124</v>
      </c>
      <c r="G248" s="5" t="s">
        <v>2553</v>
      </c>
      <c r="H248" s="5" t="str">
        <f t="shared" si="16"/>
        <v>att_model</v>
      </c>
      <c r="I248" s="5" t="s">
        <v>1775</v>
      </c>
      <c r="J248" s="5" t="str">
        <f t="shared" si="17"/>
        <v>att_model:xenografts</v>
      </c>
      <c r="K248" s="9" t="s">
        <v>17</v>
      </c>
      <c r="L248" s="5" t="s">
        <v>1776</v>
      </c>
      <c r="M248" s="5" t="s">
        <v>13</v>
      </c>
      <c r="N248" s="5" t="str">
        <f t="shared" si="18"/>
        <v>INSERT INTO attributes (parent_id, tag, name, priority, allow_as_filter, allow_for_dataset, allow_for_measurement, allow_for_users, allow_for_qc) VALUES (NULL, 'att_model',  'Model',  500,  TRUE, TRUE, TRUE, FALSE, FALSE);</v>
      </c>
      <c r="O248" s="5"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0"/>
      <c r="B249" s="10"/>
      <c r="K249" s="9"/>
    </row>
    <row r="250" spans="1:15" x14ac:dyDescent="0.15">
      <c r="A250" s="10"/>
      <c r="B250" s="10"/>
      <c r="C250" s="5" t="s">
        <v>2555</v>
      </c>
      <c r="D250" s="5" t="s">
        <v>640</v>
      </c>
      <c r="F250" s="5" t="s">
        <v>56</v>
      </c>
      <c r="G250" s="5" t="s">
        <v>2556</v>
      </c>
      <c r="H250" s="5" t="str">
        <f t="shared" ref="H250:H255" si="20">"att_"&amp;G250</f>
        <v>att_column_type</v>
      </c>
      <c r="I250" s="5" t="s">
        <v>639</v>
      </c>
      <c r="J250" s="5" t="str">
        <f t="shared" ref="J250:J255" si="21">H250&amp;":"&amp;I250</f>
        <v>att_column_type:aurora</v>
      </c>
      <c r="K250" s="9"/>
      <c r="L250" s="5" t="s">
        <v>641</v>
      </c>
      <c r="N250" s="5"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0"/>
      <c r="B251" s="10"/>
      <c r="C251" s="5" t="s">
        <v>2557</v>
      </c>
      <c r="D251" s="5" t="s">
        <v>646</v>
      </c>
      <c r="F251" s="5" t="s">
        <v>56</v>
      </c>
      <c r="G251" s="5" t="s">
        <v>2556</v>
      </c>
      <c r="H251" s="5" t="str">
        <f t="shared" si="20"/>
        <v>att_column_type</v>
      </c>
      <c r="I251" s="5" t="s">
        <v>645</v>
      </c>
      <c r="J251" s="5" t="str">
        <f t="shared" si="21"/>
        <v>att_column_type:inhouse</v>
      </c>
      <c r="K251" s="9"/>
      <c r="L251" s="5" t="s">
        <v>647</v>
      </c>
      <c r="N251" s="5"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0"/>
      <c r="C252" s="5" t="s">
        <v>2558</v>
      </c>
      <c r="D252" s="5" t="s">
        <v>643</v>
      </c>
      <c r="F252" s="5" t="s">
        <v>56</v>
      </c>
      <c r="G252" s="5" t="s">
        <v>2556</v>
      </c>
      <c r="H252" s="5" t="str">
        <f t="shared" si="20"/>
        <v>att_column_type</v>
      </c>
      <c r="I252" s="5" t="s">
        <v>642</v>
      </c>
      <c r="J252" s="5" t="str">
        <f t="shared" si="21"/>
        <v>att_column_type:easyspray</v>
      </c>
      <c r="K252" s="9"/>
      <c r="L252" s="5" t="s">
        <v>644</v>
      </c>
    </row>
    <row r="253" spans="1:15" x14ac:dyDescent="0.15">
      <c r="A253" s="10"/>
      <c r="B253" s="10"/>
      <c r="C253" s="5" t="s">
        <v>2559</v>
      </c>
      <c r="D253" s="5" t="s">
        <v>655</v>
      </c>
      <c r="F253" s="5" t="s">
        <v>56</v>
      </c>
      <c r="G253" s="5" t="s">
        <v>2556</v>
      </c>
      <c r="H253" s="5" t="str">
        <f t="shared" si="20"/>
        <v>att_column_type</v>
      </c>
      <c r="I253" s="5" t="s">
        <v>654</v>
      </c>
      <c r="J253" s="5" t="str">
        <f t="shared" si="21"/>
        <v>att_column_type:upac_neo</v>
      </c>
      <c r="K253" s="9"/>
      <c r="L253" s="5" t="s">
        <v>656</v>
      </c>
    </row>
    <row r="254" spans="1:15" x14ac:dyDescent="0.15">
      <c r="A254" s="10"/>
      <c r="B254" s="10"/>
      <c r="C254" s="5" t="s">
        <v>2560</v>
      </c>
      <c r="D254" s="14" t="s">
        <v>649</v>
      </c>
      <c r="F254" s="5" t="s">
        <v>56</v>
      </c>
      <c r="G254" s="5" t="s">
        <v>2556</v>
      </c>
      <c r="H254" s="5" t="str">
        <f t="shared" si="20"/>
        <v>att_column_type</v>
      </c>
      <c r="I254" s="5" t="s">
        <v>648</v>
      </c>
      <c r="J254" s="5" t="str">
        <f t="shared" si="21"/>
        <v>att_column_type:upac_doubleviper</v>
      </c>
      <c r="K254" s="9"/>
      <c r="L254" s="5" t="s">
        <v>650</v>
      </c>
    </row>
    <row r="255" spans="1:15" x14ac:dyDescent="0.15">
      <c r="A255" s="10"/>
      <c r="B255" s="10"/>
      <c r="C255" s="5" t="s">
        <v>2559</v>
      </c>
      <c r="D255" s="14" t="s">
        <v>652</v>
      </c>
      <c r="F255" s="5" t="s">
        <v>56</v>
      </c>
      <c r="G255" s="5" t="s">
        <v>2556</v>
      </c>
      <c r="H255" s="5" t="str">
        <f t="shared" si="20"/>
        <v>att_column_type</v>
      </c>
      <c r="I255" s="5" t="s">
        <v>651</v>
      </c>
      <c r="J255" s="5" t="str">
        <f t="shared" si="21"/>
        <v>att_column_type:upac_low_loadneo</v>
      </c>
      <c r="K255" s="9"/>
      <c r="L255" s="5" t="s">
        <v>653</v>
      </c>
    </row>
    <row r="256" spans="1:15" x14ac:dyDescent="0.15">
      <c r="A256" s="10"/>
      <c r="B256" s="10"/>
      <c r="D256" s="14"/>
      <c r="K256" s="9"/>
    </row>
    <row r="257" spans="1:15" x14ac:dyDescent="0.15">
      <c r="A257" s="9" t="s">
        <v>17</v>
      </c>
      <c r="B257" s="9"/>
      <c r="C257" s="5" t="s">
        <v>2561</v>
      </c>
      <c r="D257" s="5" t="s">
        <v>2562</v>
      </c>
      <c r="E257" s="5" t="s">
        <v>13</v>
      </c>
      <c r="F257" s="5" t="s">
        <v>2563</v>
      </c>
      <c r="G257" s="5" t="s">
        <v>2564</v>
      </c>
      <c r="H257" s="5" t="str">
        <f t="shared" ref="H257:H262" si="22">"att_"&amp;G257</f>
        <v>att_mslc_column_configuration</v>
      </c>
      <c r="I257" s="5" t="s">
        <v>620</v>
      </c>
      <c r="J257" s="5" t="str">
        <f t="shared" ref="J257:J262" si="23">H257&amp;":"&amp;I257</f>
        <v>att_mslc_column_configuration:15cm</v>
      </c>
      <c r="K257" s="9" t="s">
        <v>17</v>
      </c>
      <c r="L257" s="5" t="s">
        <v>2565</v>
      </c>
      <c r="M257" s="5" t="s">
        <v>13</v>
      </c>
      <c r="N257" s="5"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5"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9" t="s">
        <v>17</v>
      </c>
      <c r="B258" s="9"/>
      <c r="C258" s="5" t="s">
        <v>2566</v>
      </c>
      <c r="D258" s="5" t="s">
        <v>2567</v>
      </c>
      <c r="E258" s="5" t="s">
        <v>13</v>
      </c>
      <c r="F258" s="5" t="s">
        <v>2563</v>
      </c>
      <c r="G258" s="5" t="s">
        <v>2564</v>
      </c>
      <c r="H258" s="5" t="str">
        <f t="shared" si="22"/>
        <v>att_mslc_column_configuration</v>
      </c>
      <c r="I258" s="5" t="s">
        <v>2568</v>
      </c>
      <c r="J258" s="5" t="str">
        <f t="shared" si="23"/>
        <v>att_mslc_column_configuration:25cm</v>
      </c>
      <c r="K258" s="9" t="s">
        <v>17</v>
      </c>
      <c r="L258" s="5" t="s">
        <v>2569</v>
      </c>
      <c r="M258" s="5" t="s">
        <v>13</v>
      </c>
      <c r="N258" s="5" t="str">
        <f t="shared" si="24"/>
        <v>INSERT INTO attributes (parent_id, tag, name, priority, allow_as_filter, allow_for_dataset, allow_for_measurement, allow_for_users, allow_for_qc) VALUES (NULL, 'att_mslc_column_configuration',  'LC Column Configuration',  500,  TRUE, TRUE, TRUE, FALSE, FALSE);</v>
      </c>
      <c r="O258" s="5"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9" t="s">
        <v>17</v>
      </c>
      <c r="B259" s="9"/>
      <c r="C259" s="5" t="s">
        <v>2570</v>
      </c>
      <c r="D259" s="5" t="s">
        <v>2571</v>
      </c>
      <c r="E259" s="5" t="s">
        <v>13</v>
      </c>
      <c r="F259" s="5" t="s">
        <v>2563</v>
      </c>
      <c r="G259" s="5" t="s">
        <v>2564</v>
      </c>
      <c r="H259" s="5" t="str">
        <f t="shared" si="22"/>
        <v>att_mslc_column_configuration</v>
      </c>
      <c r="I259" s="5" t="s">
        <v>622</v>
      </c>
      <c r="J259" s="5" t="str">
        <f t="shared" si="23"/>
        <v>att_mslc_column_configuration:30cm</v>
      </c>
      <c r="K259" s="9" t="s">
        <v>17</v>
      </c>
      <c r="L259" s="5" t="s">
        <v>2572</v>
      </c>
      <c r="M259" s="5" t="s">
        <v>13</v>
      </c>
      <c r="N259" s="5" t="str">
        <f t="shared" si="24"/>
        <v>INSERT INTO attributes (parent_id, tag, name, priority, allow_as_filter, allow_for_dataset, allow_for_measurement, allow_for_users, allow_for_qc) VALUES (NULL, 'att_mslc_column_configuration',  'LC Column Configuration',  500,  TRUE, TRUE, TRUE, FALSE, FALSE);</v>
      </c>
      <c r="O259" s="5"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9" t="s">
        <v>17</v>
      </c>
      <c r="B260" s="9"/>
      <c r="C260" s="5" t="s">
        <v>2573</v>
      </c>
      <c r="D260" s="5" t="s">
        <v>2574</v>
      </c>
      <c r="E260" s="5" t="s">
        <v>13</v>
      </c>
      <c r="F260" s="5" t="s">
        <v>2563</v>
      </c>
      <c r="G260" s="5" t="s">
        <v>2564</v>
      </c>
      <c r="H260" s="5" t="str">
        <f t="shared" si="22"/>
        <v>att_mslc_column_configuration</v>
      </c>
      <c r="I260" s="5" t="s">
        <v>624</v>
      </c>
      <c r="J260" s="5" t="str">
        <f t="shared" si="23"/>
        <v>att_mslc_column_configuration:50cm</v>
      </c>
      <c r="K260" s="9" t="s">
        <v>17</v>
      </c>
      <c r="L260" s="5" t="s">
        <v>2575</v>
      </c>
      <c r="M260" s="5" t="s">
        <v>13</v>
      </c>
      <c r="N260" s="5" t="str">
        <f t="shared" si="24"/>
        <v>INSERT INTO attributes (parent_id, tag, name, priority, allow_as_filter, allow_for_dataset, allow_for_measurement, allow_for_users, allow_for_qc) VALUES (NULL, 'att_mslc_column_configuration',  'LC Column Configuration',  500,  TRUE, TRUE, TRUE, FALSE, FALSE);</v>
      </c>
      <c r="O260" s="5"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9" t="s">
        <v>17</v>
      </c>
      <c r="B261" s="10"/>
      <c r="C261" s="5" t="s">
        <v>2576</v>
      </c>
      <c r="D261" s="5" t="s">
        <v>2577</v>
      </c>
      <c r="E261" s="5" t="s">
        <v>13</v>
      </c>
      <c r="F261" s="5" t="s">
        <v>2563</v>
      </c>
      <c r="G261" s="5" t="s">
        <v>2564</v>
      </c>
      <c r="H261" s="5" t="str">
        <f t="shared" si="22"/>
        <v>att_mslc_column_configuration</v>
      </c>
      <c r="I261" s="5" t="s">
        <v>2576</v>
      </c>
      <c r="J261" s="5" t="str">
        <f t="shared" si="23"/>
        <v>att_mslc_column_configuration:column_inhouse</v>
      </c>
      <c r="K261" s="9" t="s">
        <v>17</v>
      </c>
      <c r="L261" s="5" t="s">
        <v>2578</v>
      </c>
      <c r="M261" s="5" t="s">
        <v>13</v>
      </c>
      <c r="N261" s="5" t="str">
        <f t="shared" si="24"/>
        <v>INSERT INTO attributes (parent_id, tag, name, priority, allow_as_filter, allow_for_dataset, allow_for_measurement, allow_for_users, allow_for_qc) VALUES (NULL, 'att_mslc_column_configuration',  'LC Column Configuration',  500,  TRUE, TRUE, TRUE, FALSE, FALSE);</v>
      </c>
      <c r="O261" s="5"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9" t="s">
        <v>17</v>
      </c>
      <c r="B262" s="10"/>
      <c r="C262" s="5" t="s">
        <v>2579</v>
      </c>
      <c r="D262" s="5" t="s">
        <v>2580</v>
      </c>
      <c r="E262" s="5" t="s">
        <v>13</v>
      </c>
      <c r="F262" s="5" t="s">
        <v>2563</v>
      </c>
      <c r="G262" s="5" t="s">
        <v>2564</v>
      </c>
      <c r="H262" s="5" t="str">
        <f t="shared" si="22"/>
        <v>att_mslc_column_configuration</v>
      </c>
      <c r="I262" s="5" t="s">
        <v>2579</v>
      </c>
      <c r="J262" s="5" t="str">
        <f t="shared" si="23"/>
        <v>att_mslc_column_configuration:trap</v>
      </c>
      <c r="K262" s="9" t="s">
        <v>17</v>
      </c>
      <c r="L262" s="5" t="s">
        <v>2581</v>
      </c>
      <c r="M262" s="5" t="s">
        <v>13</v>
      </c>
      <c r="N262" s="5" t="str">
        <f t="shared" si="24"/>
        <v>INSERT INTO attributes (parent_id, tag, name, priority, allow_as_filter, allow_for_dataset, allow_for_measurement, allow_for_users, allow_for_qc) VALUES (NULL, 'att_mslc_column_configuration',  'LC Column Configuration',  500,  TRUE, TRUE, TRUE, FALSE, FALSE);</v>
      </c>
      <c r="O262" s="5"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9"/>
      <c r="B263" s="10"/>
      <c r="K263" s="9"/>
    </row>
    <row r="264" spans="1:15" s="12" customFormat="1" x14ac:dyDescent="0.15">
      <c r="A264" s="13" t="s">
        <v>15</v>
      </c>
      <c r="B264" s="11"/>
      <c r="C264" s="12" t="s">
        <v>1795</v>
      </c>
      <c r="D264" s="12" t="s">
        <v>1796</v>
      </c>
      <c r="E264" s="12" t="s">
        <v>13</v>
      </c>
      <c r="G264" s="12" t="s">
        <v>2582</v>
      </c>
      <c r="H264" s="12" t="str">
        <f>"att_"&amp;G264</f>
        <v>att_ms_interface</v>
      </c>
      <c r="I264" s="12" t="s">
        <v>1795</v>
      </c>
      <c r="J264" s="12" t="str">
        <f>H264&amp;":"&amp;I264</f>
        <v>att_ms_interface:faims</v>
      </c>
      <c r="K264" s="13" t="s">
        <v>17</v>
      </c>
      <c r="L264" s="12" t="s">
        <v>1797</v>
      </c>
      <c r="M264" s="12" t="s">
        <v>13</v>
      </c>
      <c r="N264" s="12"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2"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2" customFormat="1" x14ac:dyDescent="0.15">
      <c r="A265" s="13"/>
      <c r="B265" s="11"/>
      <c r="C265" s="12" t="s">
        <v>2583</v>
      </c>
      <c r="D265" s="12" t="s">
        <v>1807</v>
      </c>
      <c r="F265" s="12" t="s">
        <v>127</v>
      </c>
      <c r="G265" s="12" t="s">
        <v>2584</v>
      </c>
      <c r="H265" s="12" t="str">
        <f>"att_"&amp;G265</f>
        <v>att_ms_ionsource</v>
      </c>
      <c r="I265" s="12" t="s">
        <v>1806</v>
      </c>
      <c r="J265" s="12" t="str">
        <f>H265&amp;":"&amp;I265</f>
        <v>att_ms_ionsource:ion_max</v>
      </c>
      <c r="K265" s="13"/>
      <c r="L265" s="12" t="s">
        <v>1808</v>
      </c>
    </row>
    <row r="266" spans="1:15" x14ac:dyDescent="0.15">
      <c r="A266" s="9"/>
      <c r="B266" s="10"/>
      <c r="C266" s="12" t="s">
        <v>2583</v>
      </c>
      <c r="D266" s="5" t="s">
        <v>1801</v>
      </c>
      <c r="F266" s="5" t="s">
        <v>127</v>
      </c>
      <c r="G266" s="12" t="s">
        <v>2584</v>
      </c>
      <c r="H266" s="12" t="str">
        <f>"att_"&amp;G266</f>
        <v>att_ms_ionsource</v>
      </c>
      <c r="I266" s="12" t="s">
        <v>1800</v>
      </c>
      <c r="J266" s="12" t="str">
        <f>H266&amp;":"&amp;I266</f>
        <v>att_ms_ionsource:easy_spray</v>
      </c>
      <c r="K266" s="9"/>
      <c r="L266" s="5" t="s">
        <v>1802</v>
      </c>
    </row>
    <row r="267" spans="1:15" x14ac:dyDescent="0.15">
      <c r="A267" s="9"/>
      <c r="B267" s="10"/>
      <c r="C267" s="12" t="s">
        <v>2583</v>
      </c>
      <c r="D267" s="5" t="s">
        <v>1804</v>
      </c>
      <c r="F267" s="5" t="s">
        <v>127</v>
      </c>
      <c r="G267" s="12" t="s">
        <v>2584</v>
      </c>
      <c r="H267" s="12" t="str">
        <f>"att_"&amp;G267</f>
        <v>att_ms_ionsource</v>
      </c>
      <c r="I267" s="12" t="s">
        <v>1803</v>
      </c>
      <c r="J267" s="12" t="str">
        <f>H267&amp;":"&amp;I267</f>
        <v>att_ms_ionsource:flex</v>
      </c>
      <c r="K267" s="9"/>
      <c r="L267" s="5" t="s">
        <v>1805</v>
      </c>
    </row>
    <row r="268" spans="1:15" x14ac:dyDescent="0.15">
      <c r="A268" s="9"/>
      <c r="B268" s="10"/>
      <c r="I268" s="12"/>
      <c r="J268" s="12"/>
      <c r="K268" s="9"/>
    </row>
    <row r="269" spans="1:15" x14ac:dyDescent="0.15">
      <c r="A269" s="10" t="b">
        <f>FALSE()</f>
        <v>0</v>
      </c>
      <c r="B269" s="10"/>
      <c r="C269" s="5" t="s">
        <v>2037</v>
      </c>
      <c r="D269" s="5" t="s">
        <v>2038</v>
      </c>
      <c r="E269" s="5" t="s">
        <v>13</v>
      </c>
      <c r="F269" s="5" t="s">
        <v>149</v>
      </c>
      <c r="G269" s="5" t="s">
        <v>2585</v>
      </c>
      <c r="H269" s="5" t="str">
        <f t="shared" ref="H269:H300" si="26">"att_"&amp;G269</f>
        <v>att_organ</v>
      </c>
      <c r="I269" s="5" t="s">
        <v>2037</v>
      </c>
      <c r="J269" s="5" t="str">
        <f t="shared" ref="J269:J300" si="27">H269&amp;":"&amp;I269</f>
        <v>att_organ:appendix</v>
      </c>
      <c r="K269" s="9" t="s">
        <v>17</v>
      </c>
      <c r="L269" s="5" t="s">
        <v>2038</v>
      </c>
      <c r="M269" s="5" t="s">
        <v>13</v>
      </c>
      <c r="N269" s="5"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5"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0" t="b">
        <f>FALSE()</f>
        <v>0</v>
      </c>
      <c r="B270" s="10"/>
      <c r="C270" s="5" t="s">
        <v>2039</v>
      </c>
      <c r="D270" s="5" t="s">
        <v>2040</v>
      </c>
      <c r="E270" s="5" t="s">
        <v>13</v>
      </c>
      <c r="F270" s="5" t="s">
        <v>149</v>
      </c>
      <c r="G270" s="5" t="s">
        <v>2585</v>
      </c>
      <c r="H270" s="5" t="str">
        <f t="shared" si="26"/>
        <v>att_organ</v>
      </c>
      <c r="I270" s="5" t="s">
        <v>2039</v>
      </c>
      <c r="J270" s="5" t="str">
        <f t="shared" si="27"/>
        <v>att_organ:arteries</v>
      </c>
      <c r="K270" s="9" t="s">
        <v>17</v>
      </c>
      <c r="L270" s="5" t="s">
        <v>2040</v>
      </c>
      <c r="M270" s="5" t="s">
        <v>13</v>
      </c>
      <c r="N270" s="5" t="str">
        <f t="shared" si="28"/>
        <v>INSERT INTO attributes (parent_id, tag, name, priority, allow_as_filter, allow_for_dataset, allow_for_measurement, allow_for_users, allow_for_qc) VALUES (NULL, 'att_organ',  'Organ',  500,  TRUE, TRUE, TRUE, FALSE, FALSE);</v>
      </c>
      <c r="O270" s="5" t="str">
        <f t="shared" si="29"/>
        <v xml:space="preserve">INSERT INTO attribute_values (attribute_id, tag, name, details) VALUES ((SELECT id FROM attributes WHERE tag = 'att_organ' LIMIT 1),  'att_organ:arteries',  'Arteries',  'Arteries'); </v>
      </c>
    </row>
    <row r="271" spans="1:15" x14ac:dyDescent="0.15">
      <c r="A271" s="10" t="b">
        <f>FALSE()</f>
        <v>0</v>
      </c>
      <c r="B271" s="10"/>
      <c r="C271" s="5" t="s">
        <v>2041</v>
      </c>
      <c r="D271" s="5" t="s">
        <v>2042</v>
      </c>
      <c r="E271" s="5" t="s">
        <v>13</v>
      </c>
      <c r="F271" s="5" t="s">
        <v>149</v>
      </c>
      <c r="G271" s="5" t="s">
        <v>2585</v>
      </c>
      <c r="H271" s="5" t="str">
        <f t="shared" si="26"/>
        <v>att_organ</v>
      </c>
      <c r="I271" s="5" t="s">
        <v>2041</v>
      </c>
      <c r="J271" s="5" t="str">
        <f t="shared" si="27"/>
        <v>att_organ:bladder</v>
      </c>
      <c r="K271" s="9" t="s">
        <v>17</v>
      </c>
      <c r="L271" s="5" t="s">
        <v>2042</v>
      </c>
      <c r="M271" s="5" t="s">
        <v>13</v>
      </c>
      <c r="N271" s="5" t="str">
        <f t="shared" si="28"/>
        <v>INSERT INTO attributes (parent_id, tag, name, priority, allow_as_filter, allow_for_dataset, allow_for_measurement, allow_for_users, allow_for_qc) VALUES (NULL, 'att_organ',  'Organ',  500,  TRUE, TRUE, TRUE, FALSE, FALSE);</v>
      </c>
      <c r="O271" s="5" t="str">
        <f t="shared" si="29"/>
        <v xml:space="preserve">INSERT INTO attribute_values (attribute_id, tag, name, details) VALUES ((SELECT id FROM attributes WHERE tag = 'att_organ' LIMIT 1),  'att_organ:bladder',  'Bladder',  'Bladder'); </v>
      </c>
    </row>
    <row r="272" spans="1:15" x14ac:dyDescent="0.15">
      <c r="A272" s="10" t="b">
        <f>FALSE()</f>
        <v>0</v>
      </c>
      <c r="B272" s="10"/>
      <c r="C272" s="5" t="s">
        <v>2043</v>
      </c>
      <c r="D272" s="5" t="s">
        <v>2044</v>
      </c>
      <c r="E272" s="5" t="s">
        <v>13</v>
      </c>
      <c r="F272" s="5" t="s">
        <v>149</v>
      </c>
      <c r="G272" s="5" t="s">
        <v>2585</v>
      </c>
      <c r="H272" s="5" t="str">
        <f t="shared" si="26"/>
        <v>att_organ</v>
      </c>
      <c r="I272" s="5" t="s">
        <v>2043</v>
      </c>
      <c r="J272" s="5" t="str">
        <f t="shared" si="27"/>
        <v>att_organ:bone_marrow</v>
      </c>
      <c r="K272" s="9" t="s">
        <v>17</v>
      </c>
      <c r="L272" s="5" t="s">
        <v>2044</v>
      </c>
      <c r="M272" s="5" t="s">
        <v>13</v>
      </c>
      <c r="N272" s="5" t="str">
        <f t="shared" si="28"/>
        <v>INSERT INTO attributes (parent_id, tag, name, priority, allow_as_filter, allow_for_dataset, allow_for_measurement, allow_for_users, allow_for_qc) VALUES (NULL, 'att_organ',  'Organ',  500,  TRUE, TRUE, TRUE, FALSE, FALSE);</v>
      </c>
      <c r="O272" s="5" t="str">
        <f t="shared" si="29"/>
        <v xml:space="preserve">INSERT INTO attribute_values (attribute_id, tag, name, details) VALUES ((SELECT id FROM attributes WHERE tag = 'att_organ' LIMIT 1),  'att_organ:bone_marrow',  'Bone_Marrow',  'Bone_Marrow'); </v>
      </c>
    </row>
    <row r="273" spans="1:15" x14ac:dyDescent="0.15">
      <c r="A273" s="10" t="b">
        <f>FALSE()</f>
        <v>0</v>
      </c>
      <c r="B273" s="10"/>
      <c r="C273" s="5" t="s">
        <v>2045</v>
      </c>
      <c r="D273" s="5" t="s">
        <v>2046</v>
      </c>
      <c r="E273" s="5" t="s">
        <v>13</v>
      </c>
      <c r="F273" s="5" t="s">
        <v>149</v>
      </c>
      <c r="G273" s="5" t="s">
        <v>2585</v>
      </c>
      <c r="H273" s="5" t="str">
        <f t="shared" si="26"/>
        <v>att_organ</v>
      </c>
      <c r="I273" s="5" t="s">
        <v>2045</v>
      </c>
      <c r="J273" s="5" t="str">
        <f t="shared" si="27"/>
        <v>att_organ:brain</v>
      </c>
      <c r="K273" s="9" t="s">
        <v>17</v>
      </c>
      <c r="L273" s="5" t="s">
        <v>2046</v>
      </c>
      <c r="M273" s="5" t="s">
        <v>13</v>
      </c>
      <c r="N273" s="5" t="str">
        <f t="shared" si="28"/>
        <v>INSERT INTO attributes (parent_id, tag, name, priority, allow_as_filter, allow_for_dataset, allow_for_measurement, allow_for_users, allow_for_qc) VALUES (NULL, 'att_organ',  'Organ',  500,  TRUE, TRUE, TRUE, FALSE, FALSE);</v>
      </c>
      <c r="O273" s="5" t="str">
        <f t="shared" si="29"/>
        <v xml:space="preserve">INSERT INTO attribute_values (attribute_id, tag, name, details) VALUES ((SELECT id FROM attributes WHERE tag = 'att_organ' LIMIT 1),  'att_organ:brain',  'Brain',  'Brain'); </v>
      </c>
    </row>
    <row r="274" spans="1:15" x14ac:dyDescent="0.15">
      <c r="A274" s="10" t="b">
        <f>FALSE()</f>
        <v>0</v>
      </c>
      <c r="B274" s="10"/>
      <c r="C274" s="5" t="s">
        <v>2047</v>
      </c>
      <c r="D274" s="5" t="s">
        <v>2048</v>
      </c>
      <c r="E274" s="5" t="s">
        <v>13</v>
      </c>
      <c r="F274" s="5" t="s">
        <v>149</v>
      </c>
      <c r="G274" s="5" t="s">
        <v>2585</v>
      </c>
      <c r="H274" s="5" t="str">
        <f t="shared" si="26"/>
        <v>att_organ</v>
      </c>
      <c r="I274" s="5" t="s">
        <v>2047</v>
      </c>
      <c r="J274" s="5" t="str">
        <f t="shared" si="27"/>
        <v>att_organ:bronchi</v>
      </c>
      <c r="K274" s="9" t="s">
        <v>17</v>
      </c>
      <c r="L274" s="5" t="s">
        <v>2048</v>
      </c>
      <c r="M274" s="5" t="s">
        <v>13</v>
      </c>
      <c r="N274" s="5" t="str">
        <f t="shared" si="28"/>
        <v>INSERT INTO attributes (parent_id, tag, name, priority, allow_as_filter, allow_for_dataset, allow_for_measurement, allow_for_users, allow_for_qc) VALUES (NULL, 'att_organ',  'Organ',  500,  TRUE, TRUE, TRUE, FALSE, FALSE);</v>
      </c>
      <c r="O274" s="5" t="str">
        <f t="shared" si="29"/>
        <v xml:space="preserve">INSERT INTO attribute_values (attribute_id, tag, name, details) VALUES ((SELECT id FROM attributes WHERE tag = 'att_organ' LIMIT 1),  'att_organ:bronchi',  'Bronchi',  'Bronchi'); </v>
      </c>
    </row>
    <row r="275" spans="1:15" x14ac:dyDescent="0.15">
      <c r="A275" s="10" t="b">
        <f>FALSE()</f>
        <v>0</v>
      </c>
      <c r="B275" s="10"/>
      <c r="C275" s="5" t="s">
        <v>2049</v>
      </c>
      <c r="D275" s="5" t="s">
        <v>2050</v>
      </c>
      <c r="E275" s="5" t="s">
        <v>13</v>
      </c>
      <c r="F275" s="5" t="s">
        <v>149</v>
      </c>
      <c r="G275" s="5" t="s">
        <v>2585</v>
      </c>
      <c r="H275" s="5" t="str">
        <f t="shared" si="26"/>
        <v>att_organ</v>
      </c>
      <c r="I275" s="5" t="s">
        <v>2049</v>
      </c>
      <c r="J275" s="5" t="str">
        <f t="shared" si="27"/>
        <v>att_organ:cecum</v>
      </c>
      <c r="K275" s="9" t="s">
        <v>17</v>
      </c>
      <c r="L275" s="5" t="s">
        <v>2050</v>
      </c>
      <c r="M275" s="5" t="s">
        <v>13</v>
      </c>
      <c r="N275" s="5" t="str">
        <f t="shared" si="28"/>
        <v>INSERT INTO attributes (parent_id, tag, name, priority, allow_as_filter, allow_for_dataset, allow_for_measurement, allow_for_users, allow_for_qc) VALUES (NULL, 'att_organ',  'Organ',  500,  TRUE, TRUE, TRUE, FALSE, FALSE);</v>
      </c>
      <c r="O275" s="5" t="str">
        <f t="shared" si="29"/>
        <v xml:space="preserve">INSERT INTO attribute_values (attribute_id, tag, name, details) VALUES ((SELECT id FROM attributes WHERE tag = 'att_organ' LIMIT 1),  'att_organ:cecum',  'Cecum',  'Cecum'); </v>
      </c>
    </row>
    <row r="276" spans="1:15" x14ac:dyDescent="0.15">
      <c r="A276" s="10" t="b">
        <f>FALSE()</f>
        <v>0</v>
      </c>
      <c r="B276" s="10"/>
      <c r="C276" s="5" t="s">
        <v>2051</v>
      </c>
      <c r="D276" s="5" t="s">
        <v>2052</v>
      </c>
      <c r="E276" s="5" t="s">
        <v>13</v>
      </c>
      <c r="F276" s="5" t="s">
        <v>149</v>
      </c>
      <c r="G276" s="5" t="s">
        <v>2585</v>
      </c>
      <c r="H276" s="5" t="str">
        <f t="shared" si="26"/>
        <v>att_organ</v>
      </c>
      <c r="I276" s="5" t="s">
        <v>2051</v>
      </c>
      <c r="J276" s="5" t="str">
        <f t="shared" si="27"/>
        <v>att_organ:cerebellum</v>
      </c>
      <c r="K276" s="9" t="s">
        <v>17</v>
      </c>
      <c r="L276" s="5" t="s">
        <v>2052</v>
      </c>
      <c r="M276" s="5" t="s">
        <v>13</v>
      </c>
      <c r="N276" s="5" t="str">
        <f t="shared" si="28"/>
        <v>INSERT INTO attributes (parent_id, tag, name, priority, allow_as_filter, allow_for_dataset, allow_for_measurement, allow_for_users, allow_for_qc) VALUES (NULL, 'att_organ',  'Organ',  500,  TRUE, TRUE, TRUE, FALSE, FALSE);</v>
      </c>
      <c r="O276" s="5" t="str">
        <f t="shared" si="29"/>
        <v xml:space="preserve">INSERT INTO attribute_values (attribute_id, tag, name, details) VALUES ((SELECT id FROM attributes WHERE tag = 'att_organ' LIMIT 1),  'att_organ:cerebellum',  'Cerebellum',  'Cerebellum'); </v>
      </c>
    </row>
    <row r="277" spans="1:15" x14ac:dyDescent="0.15">
      <c r="A277" s="10" t="b">
        <f>FALSE()</f>
        <v>0</v>
      </c>
      <c r="B277" s="10"/>
      <c r="C277" s="5" t="s">
        <v>2053</v>
      </c>
      <c r="D277" s="5" t="s">
        <v>2054</v>
      </c>
      <c r="E277" s="5" t="s">
        <v>13</v>
      </c>
      <c r="F277" s="5" t="s">
        <v>149</v>
      </c>
      <c r="G277" s="5" t="s">
        <v>2585</v>
      </c>
      <c r="H277" s="5" t="str">
        <f t="shared" si="26"/>
        <v>att_organ</v>
      </c>
      <c r="I277" s="5" t="s">
        <v>2053</v>
      </c>
      <c r="J277" s="5" t="str">
        <f t="shared" si="27"/>
        <v>att_organ:cerebrum</v>
      </c>
      <c r="K277" s="9" t="s">
        <v>17</v>
      </c>
      <c r="L277" s="5" t="s">
        <v>2054</v>
      </c>
      <c r="M277" s="5" t="s">
        <v>13</v>
      </c>
      <c r="N277" s="5" t="str">
        <f t="shared" si="28"/>
        <v>INSERT INTO attributes (parent_id, tag, name, priority, allow_as_filter, allow_for_dataset, allow_for_measurement, allow_for_users, allow_for_qc) VALUES (NULL, 'att_organ',  'Organ',  500,  TRUE, TRUE, TRUE, FALSE, FALSE);</v>
      </c>
      <c r="O277" s="5" t="str">
        <f t="shared" si="29"/>
        <v xml:space="preserve">INSERT INTO attribute_values (attribute_id, tag, name, details) VALUES ((SELECT id FROM attributes WHERE tag = 'att_organ' LIMIT 1),  'att_organ:cerebrum',  'Cerebrum',  'Cerebrum'); </v>
      </c>
    </row>
    <row r="278" spans="1:15" x14ac:dyDescent="0.15">
      <c r="A278" s="10" t="b">
        <f>FALSE()</f>
        <v>0</v>
      </c>
      <c r="B278" s="10"/>
      <c r="C278" s="5" t="s">
        <v>2055</v>
      </c>
      <c r="D278" s="5" t="s">
        <v>2056</v>
      </c>
      <c r="E278" s="5" t="s">
        <v>13</v>
      </c>
      <c r="F278" s="5" t="s">
        <v>149</v>
      </c>
      <c r="G278" s="5" t="s">
        <v>2585</v>
      </c>
      <c r="H278" s="5" t="str">
        <f t="shared" si="26"/>
        <v>att_organ</v>
      </c>
      <c r="I278" s="5" t="s">
        <v>2055</v>
      </c>
      <c r="J278" s="5" t="str">
        <f t="shared" si="27"/>
        <v>att_organ:ear</v>
      </c>
      <c r="K278" s="9" t="s">
        <v>17</v>
      </c>
      <c r="L278" s="5" t="s">
        <v>2056</v>
      </c>
      <c r="M278" s="5" t="s">
        <v>13</v>
      </c>
      <c r="N278" s="5" t="str">
        <f t="shared" si="28"/>
        <v>INSERT INTO attributes (parent_id, tag, name, priority, allow_as_filter, allow_for_dataset, allow_for_measurement, allow_for_users, allow_for_qc) VALUES (NULL, 'att_organ',  'Organ',  500,  TRUE, TRUE, TRUE, FALSE, FALSE);</v>
      </c>
      <c r="O278" s="5" t="str">
        <f t="shared" si="29"/>
        <v xml:space="preserve">INSERT INTO attribute_values (attribute_id, tag, name, details) VALUES ((SELECT id FROM attributes WHERE tag = 'att_organ' LIMIT 1),  'att_organ:ear',  'Ear',  'Ear'); </v>
      </c>
    </row>
    <row r="279" spans="1:15" x14ac:dyDescent="0.15">
      <c r="A279" s="10" t="b">
        <f>FALSE()</f>
        <v>0</v>
      </c>
      <c r="B279" s="10"/>
      <c r="C279" s="5" t="s">
        <v>2057</v>
      </c>
      <c r="D279" s="5" t="s">
        <v>2058</v>
      </c>
      <c r="E279" s="5" t="s">
        <v>13</v>
      </c>
      <c r="F279" s="5" t="s">
        <v>149</v>
      </c>
      <c r="G279" s="5" t="s">
        <v>2585</v>
      </c>
      <c r="H279" s="5" t="str">
        <f t="shared" si="26"/>
        <v>att_organ</v>
      </c>
      <c r="I279" s="5" t="s">
        <v>2057</v>
      </c>
      <c r="J279" s="5" t="str">
        <f t="shared" si="27"/>
        <v>att_organ:esophagus</v>
      </c>
      <c r="K279" s="9" t="s">
        <v>17</v>
      </c>
      <c r="L279" s="5" t="s">
        <v>2058</v>
      </c>
      <c r="M279" s="5" t="s">
        <v>13</v>
      </c>
      <c r="N279" s="5" t="str">
        <f t="shared" si="28"/>
        <v>INSERT INTO attributes (parent_id, tag, name, priority, allow_as_filter, allow_for_dataset, allow_for_measurement, allow_for_users, allow_for_qc) VALUES (NULL, 'att_organ',  'Organ',  500,  TRUE, TRUE, TRUE, FALSE, FALSE);</v>
      </c>
      <c r="O279" s="5" t="str">
        <f t="shared" si="29"/>
        <v xml:space="preserve">INSERT INTO attribute_values (attribute_id, tag, name, details) VALUES ((SELECT id FROM attributes WHERE tag = 'att_organ' LIMIT 1),  'att_organ:esophagus',  'Esophagus',  'Esophagus'); </v>
      </c>
    </row>
    <row r="280" spans="1:15" x14ac:dyDescent="0.15">
      <c r="A280" s="10" t="b">
        <f>FALSE()</f>
        <v>0</v>
      </c>
      <c r="B280" s="10"/>
      <c r="C280" s="5" t="s">
        <v>2059</v>
      </c>
      <c r="D280" s="5" t="s">
        <v>2060</v>
      </c>
      <c r="E280" s="5" t="s">
        <v>13</v>
      </c>
      <c r="F280" s="5" t="s">
        <v>149</v>
      </c>
      <c r="G280" s="5" t="s">
        <v>2585</v>
      </c>
      <c r="H280" s="5" t="str">
        <f t="shared" si="26"/>
        <v>att_organ</v>
      </c>
      <c r="I280" s="5" t="s">
        <v>2059</v>
      </c>
      <c r="J280" s="5" t="str">
        <f t="shared" si="27"/>
        <v>att_organ:eye</v>
      </c>
      <c r="K280" s="9" t="s">
        <v>17</v>
      </c>
      <c r="L280" s="5" t="s">
        <v>2060</v>
      </c>
      <c r="M280" s="5" t="s">
        <v>13</v>
      </c>
      <c r="N280" s="5" t="str">
        <f t="shared" si="28"/>
        <v>INSERT INTO attributes (parent_id, tag, name, priority, allow_as_filter, allow_for_dataset, allow_for_measurement, allow_for_users, allow_for_qc) VALUES (NULL, 'att_organ',  'Organ',  500,  TRUE, TRUE, TRUE, FALSE, FALSE);</v>
      </c>
      <c r="O280" s="5" t="str">
        <f t="shared" si="29"/>
        <v xml:space="preserve">INSERT INTO attribute_values (attribute_id, tag, name, details) VALUES ((SELECT id FROM attributes WHERE tag = 'att_organ' LIMIT 1),  'att_organ:eye',  'Eye',  'Eye'); </v>
      </c>
    </row>
    <row r="281" spans="1:15" x14ac:dyDescent="0.15">
      <c r="A281" s="10" t="b">
        <f>FALSE()</f>
        <v>0</v>
      </c>
      <c r="B281" s="10"/>
      <c r="C281" s="5" t="s">
        <v>2061</v>
      </c>
      <c r="D281" s="5" t="s">
        <v>2062</v>
      </c>
      <c r="E281" s="5" t="s">
        <v>13</v>
      </c>
      <c r="F281" s="5" t="s">
        <v>149</v>
      </c>
      <c r="G281" s="5" t="s">
        <v>2585</v>
      </c>
      <c r="H281" s="5" t="str">
        <f t="shared" si="26"/>
        <v>att_organ</v>
      </c>
      <c r="I281" s="5" t="s">
        <v>2061</v>
      </c>
      <c r="J281" s="5" t="str">
        <f t="shared" si="27"/>
        <v>att_organ:gallbladder</v>
      </c>
      <c r="K281" s="9" t="s">
        <v>17</v>
      </c>
      <c r="L281" s="5" t="s">
        <v>2062</v>
      </c>
      <c r="M281" s="5" t="s">
        <v>13</v>
      </c>
      <c r="N281" s="5" t="str">
        <f t="shared" si="28"/>
        <v>INSERT INTO attributes (parent_id, tag, name, priority, allow_as_filter, allow_for_dataset, allow_for_measurement, allow_for_users, allow_for_qc) VALUES (NULL, 'att_organ',  'Organ',  500,  TRUE, TRUE, TRUE, FALSE, FALSE);</v>
      </c>
      <c r="O281" s="5" t="str">
        <f t="shared" si="29"/>
        <v xml:space="preserve">INSERT INTO attribute_values (attribute_id, tag, name, details) VALUES ((SELECT id FROM attributes WHERE tag = 'att_organ' LIMIT 1),  'att_organ:gallbladder',  'Gallbladder',  'Gallbladder'); </v>
      </c>
    </row>
    <row r="282" spans="1:15" x14ac:dyDescent="0.15">
      <c r="A282" s="10" t="b">
        <f>FALSE()</f>
        <v>0</v>
      </c>
      <c r="B282" s="10"/>
      <c r="C282" s="5" t="s">
        <v>2063</v>
      </c>
      <c r="D282" s="5" t="s">
        <v>2064</v>
      </c>
      <c r="E282" s="5" t="s">
        <v>13</v>
      </c>
      <c r="F282" s="5" t="s">
        <v>149</v>
      </c>
      <c r="G282" s="5" t="s">
        <v>2585</v>
      </c>
      <c r="H282" s="5" t="str">
        <f t="shared" si="26"/>
        <v>att_organ</v>
      </c>
      <c r="I282" s="5" t="s">
        <v>2063</v>
      </c>
      <c r="J282" s="5" t="str">
        <f t="shared" si="27"/>
        <v>att_organ:ganglia</v>
      </c>
      <c r="K282" s="9" t="s">
        <v>17</v>
      </c>
      <c r="L282" s="5" t="s">
        <v>2064</v>
      </c>
      <c r="M282" s="5" t="s">
        <v>13</v>
      </c>
      <c r="N282" s="5" t="str">
        <f t="shared" si="28"/>
        <v>INSERT INTO attributes (parent_id, tag, name, priority, allow_as_filter, allow_for_dataset, allow_for_measurement, allow_for_users, allow_for_qc) VALUES (NULL, 'att_organ',  'Organ',  500,  TRUE, TRUE, TRUE, FALSE, FALSE);</v>
      </c>
      <c r="O282" s="5" t="str">
        <f t="shared" si="29"/>
        <v xml:space="preserve">INSERT INTO attribute_values (attribute_id, tag, name, details) VALUES ((SELECT id FROM attributes WHERE tag = 'att_organ' LIMIT 1),  'att_organ:ganglia',  'Ganglia',  'Ganglia'); </v>
      </c>
    </row>
    <row r="283" spans="1:15" x14ac:dyDescent="0.15">
      <c r="A283" s="10" t="b">
        <f>FALSE()</f>
        <v>0</v>
      </c>
      <c r="B283" s="10"/>
      <c r="C283" s="5" t="s">
        <v>2065</v>
      </c>
      <c r="D283" s="5" t="s">
        <v>2066</v>
      </c>
      <c r="E283" s="5" t="s">
        <v>13</v>
      </c>
      <c r="F283" s="5" t="s">
        <v>149</v>
      </c>
      <c r="G283" s="5" t="s">
        <v>2585</v>
      </c>
      <c r="H283" s="5" t="str">
        <f t="shared" si="26"/>
        <v>att_organ</v>
      </c>
      <c r="I283" s="5" t="s">
        <v>2065</v>
      </c>
      <c r="J283" s="5" t="str">
        <f t="shared" si="27"/>
        <v>att_organ:heart</v>
      </c>
      <c r="K283" s="9" t="s">
        <v>17</v>
      </c>
      <c r="L283" s="5" t="s">
        <v>2066</v>
      </c>
      <c r="M283" s="5" t="s">
        <v>13</v>
      </c>
      <c r="N283" s="5" t="str">
        <f t="shared" si="28"/>
        <v>INSERT INTO attributes (parent_id, tag, name, priority, allow_as_filter, allow_for_dataset, allow_for_measurement, allow_for_users, allow_for_qc) VALUES (NULL, 'att_organ',  'Organ',  500,  TRUE, TRUE, TRUE, FALSE, FALSE);</v>
      </c>
      <c r="O283" s="5" t="str">
        <f t="shared" si="29"/>
        <v xml:space="preserve">INSERT INTO attribute_values (attribute_id, tag, name, details) VALUES ((SELECT id FROM attributes WHERE tag = 'att_organ' LIMIT 1),  'att_organ:heart',  'Heart',  'Heart'); </v>
      </c>
    </row>
    <row r="284" spans="1:15" x14ac:dyDescent="0.15">
      <c r="A284" s="10" t="b">
        <f>FALSE()</f>
        <v>0</v>
      </c>
      <c r="B284" s="10"/>
      <c r="C284" s="5" t="s">
        <v>2067</v>
      </c>
      <c r="D284" s="5" t="s">
        <v>2068</v>
      </c>
      <c r="E284" s="5" t="s">
        <v>13</v>
      </c>
      <c r="F284" s="5" t="s">
        <v>149</v>
      </c>
      <c r="G284" s="5" t="s">
        <v>2585</v>
      </c>
      <c r="H284" s="5" t="str">
        <f t="shared" si="26"/>
        <v>att_organ</v>
      </c>
      <c r="I284" s="5" t="s">
        <v>2067</v>
      </c>
      <c r="J284" s="5" t="str">
        <f t="shared" si="27"/>
        <v>att_organ:hypothalamus</v>
      </c>
      <c r="K284" s="9" t="s">
        <v>17</v>
      </c>
      <c r="L284" s="5" t="s">
        <v>2068</v>
      </c>
      <c r="M284" s="5" t="s">
        <v>13</v>
      </c>
      <c r="N284" s="5" t="str">
        <f t="shared" si="28"/>
        <v>INSERT INTO attributes (parent_id, tag, name, priority, allow_as_filter, allow_for_dataset, allow_for_measurement, allow_for_users, allow_for_qc) VALUES (NULL, 'att_organ',  'Organ',  500,  TRUE, TRUE, TRUE, FALSE, FALSE);</v>
      </c>
      <c r="O284" s="5" t="str">
        <f t="shared" si="29"/>
        <v xml:space="preserve">INSERT INTO attribute_values (attribute_id, tag, name, details) VALUES ((SELECT id FROM attributes WHERE tag = 'att_organ' LIMIT 1),  'att_organ:hypothalamus',  'Hypothalamus',  'Hypothalamus'); </v>
      </c>
    </row>
    <row r="285" spans="1:15" x14ac:dyDescent="0.15">
      <c r="A285" s="10" t="b">
        <f>FALSE()</f>
        <v>0</v>
      </c>
      <c r="B285" s="10"/>
      <c r="C285" s="5" t="s">
        <v>2069</v>
      </c>
      <c r="D285" s="5" t="s">
        <v>2070</v>
      </c>
      <c r="E285" s="5" t="s">
        <v>13</v>
      </c>
      <c r="F285" s="5" t="s">
        <v>149</v>
      </c>
      <c r="G285" s="5" t="s">
        <v>2585</v>
      </c>
      <c r="H285" s="5" t="str">
        <f t="shared" si="26"/>
        <v>att_organ</v>
      </c>
      <c r="I285" s="5" t="s">
        <v>2069</v>
      </c>
      <c r="J285" s="5" t="str">
        <f t="shared" si="27"/>
        <v>att_organ:kidney</v>
      </c>
      <c r="K285" s="9" t="s">
        <v>17</v>
      </c>
      <c r="L285" s="5" t="s">
        <v>2070</v>
      </c>
      <c r="M285" s="5" t="s">
        <v>13</v>
      </c>
      <c r="N285" s="5" t="str">
        <f t="shared" si="28"/>
        <v>INSERT INTO attributes (parent_id, tag, name, priority, allow_as_filter, allow_for_dataset, allow_for_measurement, allow_for_users, allow_for_qc) VALUES (NULL, 'att_organ',  'Organ',  500,  TRUE, TRUE, TRUE, FALSE, FALSE);</v>
      </c>
      <c r="O285" s="5" t="str">
        <f t="shared" si="29"/>
        <v xml:space="preserve">INSERT INTO attribute_values (attribute_id, tag, name, details) VALUES ((SELECT id FROM attributes WHERE tag = 'att_organ' LIMIT 1),  'att_organ:kidney',  'Kidney',  'Kidney'); </v>
      </c>
    </row>
    <row r="286" spans="1:15" x14ac:dyDescent="0.15">
      <c r="A286" s="10" t="b">
        <f>FALSE()</f>
        <v>0</v>
      </c>
      <c r="B286" s="10"/>
      <c r="C286" s="5" t="s">
        <v>2071</v>
      </c>
      <c r="D286" s="5" t="s">
        <v>2073</v>
      </c>
      <c r="E286" s="5" t="s">
        <v>13</v>
      </c>
      <c r="F286" s="5" t="s">
        <v>149</v>
      </c>
      <c r="G286" s="5" t="s">
        <v>2585</v>
      </c>
      <c r="H286" s="5" t="str">
        <f t="shared" si="26"/>
        <v>att_organ</v>
      </c>
      <c r="I286" s="5" t="s">
        <v>2071</v>
      </c>
      <c r="J286" s="5" t="str">
        <f t="shared" si="27"/>
        <v>att_organ:large_intestine</v>
      </c>
      <c r="K286" s="9" t="s">
        <v>17</v>
      </c>
      <c r="L286" s="5" t="s">
        <v>2074</v>
      </c>
      <c r="M286" s="5" t="s">
        <v>13</v>
      </c>
      <c r="N286" s="5" t="str">
        <f t="shared" si="28"/>
        <v>INSERT INTO attributes (parent_id, tag, name, priority, allow_as_filter, allow_for_dataset, allow_for_measurement, allow_for_users, allow_for_qc) VALUES (NULL, 'att_organ',  'Organ',  500,  TRUE, TRUE, TRUE, FALSE, FALSE);</v>
      </c>
      <c r="O286" s="5"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0" t="b">
        <f>FALSE()</f>
        <v>0</v>
      </c>
      <c r="B287" s="10"/>
      <c r="C287" s="5" t="s">
        <v>2075</v>
      </c>
      <c r="D287" s="5" t="s">
        <v>2076</v>
      </c>
      <c r="E287" s="5" t="s">
        <v>13</v>
      </c>
      <c r="F287" s="5" t="s">
        <v>149</v>
      </c>
      <c r="G287" s="5" t="s">
        <v>2585</v>
      </c>
      <c r="H287" s="5" t="str">
        <f t="shared" si="26"/>
        <v>att_organ</v>
      </c>
      <c r="I287" s="5" t="s">
        <v>2075</v>
      </c>
      <c r="J287" s="5" t="str">
        <f t="shared" si="27"/>
        <v>att_organ:liver</v>
      </c>
      <c r="K287" s="9" t="s">
        <v>17</v>
      </c>
      <c r="L287" s="5" t="s">
        <v>2076</v>
      </c>
      <c r="M287" s="5" t="s">
        <v>13</v>
      </c>
      <c r="N287" s="5" t="str">
        <f t="shared" si="28"/>
        <v>INSERT INTO attributes (parent_id, tag, name, priority, allow_as_filter, allow_for_dataset, allow_for_measurement, allow_for_users, allow_for_qc) VALUES (NULL, 'att_organ',  'Organ',  500,  TRUE, TRUE, TRUE, FALSE, FALSE);</v>
      </c>
      <c r="O287" s="5" t="str">
        <f t="shared" si="29"/>
        <v xml:space="preserve">INSERT INTO attribute_values (attribute_id, tag, name, details) VALUES ((SELECT id FROM attributes WHERE tag = 'att_organ' LIMIT 1),  'att_organ:liver',  'Liver',  'Liver'); </v>
      </c>
    </row>
    <row r="288" spans="1:15" x14ac:dyDescent="0.15">
      <c r="A288" s="10" t="b">
        <f>FALSE()</f>
        <v>0</v>
      </c>
      <c r="B288" s="10"/>
      <c r="C288" s="5" t="s">
        <v>2077</v>
      </c>
      <c r="D288" s="5" t="s">
        <v>2078</v>
      </c>
      <c r="E288" s="5" t="s">
        <v>13</v>
      </c>
      <c r="F288" s="5" t="s">
        <v>149</v>
      </c>
      <c r="G288" s="5" t="s">
        <v>2585</v>
      </c>
      <c r="H288" s="5" t="str">
        <f t="shared" si="26"/>
        <v>att_organ</v>
      </c>
      <c r="I288" s="5" t="s">
        <v>2077</v>
      </c>
      <c r="J288" s="5" t="str">
        <f t="shared" si="27"/>
        <v>att_organ:lung</v>
      </c>
      <c r="K288" s="9" t="s">
        <v>17</v>
      </c>
      <c r="L288" s="5" t="s">
        <v>2078</v>
      </c>
      <c r="M288" s="5" t="s">
        <v>13</v>
      </c>
      <c r="N288" s="5" t="str">
        <f t="shared" si="28"/>
        <v>INSERT INTO attributes (parent_id, tag, name, priority, allow_as_filter, allow_for_dataset, allow_for_measurement, allow_for_users, allow_for_qc) VALUES (NULL, 'att_organ',  'Organ',  500,  TRUE, TRUE, TRUE, FALSE, FALSE);</v>
      </c>
      <c r="O288" s="5" t="str">
        <f t="shared" si="29"/>
        <v xml:space="preserve">INSERT INTO attribute_values (attribute_id, tag, name, details) VALUES ((SELECT id FROM attributes WHERE tag = 'att_organ' LIMIT 1),  'att_organ:lung',  'Lung',  'Lung'); </v>
      </c>
    </row>
    <row r="289" spans="1:15" x14ac:dyDescent="0.15">
      <c r="A289" s="10" t="b">
        <f>FALSE()</f>
        <v>0</v>
      </c>
      <c r="B289" s="10"/>
      <c r="C289" s="5" t="s">
        <v>2079</v>
      </c>
      <c r="D289" s="5" t="s">
        <v>2080</v>
      </c>
      <c r="E289" s="5" t="s">
        <v>13</v>
      </c>
      <c r="F289" s="5" t="s">
        <v>149</v>
      </c>
      <c r="G289" s="5" t="s">
        <v>2585</v>
      </c>
      <c r="H289" s="5" t="str">
        <f t="shared" si="26"/>
        <v>att_organ</v>
      </c>
      <c r="I289" s="5" t="s">
        <v>2079</v>
      </c>
      <c r="J289" s="5" t="str">
        <f t="shared" si="27"/>
        <v>att_organ:lymph_node</v>
      </c>
      <c r="K289" s="9" t="s">
        <v>17</v>
      </c>
      <c r="L289" s="5" t="s">
        <v>2080</v>
      </c>
      <c r="M289" s="5" t="s">
        <v>13</v>
      </c>
      <c r="N289" s="5" t="str">
        <f t="shared" si="28"/>
        <v>INSERT INTO attributes (parent_id, tag, name, priority, allow_as_filter, allow_for_dataset, allow_for_measurement, allow_for_users, allow_for_qc) VALUES (NULL, 'att_organ',  'Organ',  500,  TRUE, TRUE, TRUE, FALSE, FALSE);</v>
      </c>
      <c r="O289" s="5" t="str">
        <f t="shared" si="29"/>
        <v xml:space="preserve">INSERT INTO attribute_values (attribute_id, tag, name, details) VALUES ((SELECT id FROM attributes WHERE tag = 'att_organ' LIMIT 1),  'att_organ:lymph_node',  'Lymph Node',  'Lymph Node'); </v>
      </c>
    </row>
    <row r="290" spans="1:15" x14ac:dyDescent="0.15">
      <c r="A290" s="10" t="b">
        <f>FALSE()</f>
        <v>0</v>
      </c>
      <c r="B290" s="10"/>
      <c r="C290" s="5" t="s">
        <v>2081</v>
      </c>
      <c r="D290" s="5" t="s">
        <v>2082</v>
      </c>
      <c r="E290" s="5" t="s">
        <v>13</v>
      </c>
      <c r="F290" s="5" t="s">
        <v>149</v>
      </c>
      <c r="G290" s="5" t="s">
        <v>2585</v>
      </c>
      <c r="H290" s="5" t="str">
        <f t="shared" si="26"/>
        <v>att_organ</v>
      </c>
      <c r="I290" s="5" t="s">
        <v>2081</v>
      </c>
      <c r="J290" s="5" t="str">
        <f t="shared" si="27"/>
        <v>att_organ:medulla</v>
      </c>
      <c r="K290" s="9" t="s">
        <v>17</v>
      </c>
      <c r="L290" s="5" t="s">
        <v>2082</v>
      </c>
      <c r="M290" s="5" t="s">
        <v>13</v>
      </c>
      <c r="N290" s="5" t="str">
        <f t="shared" si="28"/>
        <v>INSERT INTO attributes (parent_id, tag, name, priority, allow_as_filter, allow_for_dataset, allow_for_measurement, allow_for_users, allow_for_qc) VALUES (NULL, 'att_organ',  'Organ',  500,  TRUE, TRUE, TRUE, FALSE, FALSE);</v>
      </c>
      <c r="O290" s="5" t="str">
        <f t="shared" si="29"/>
        <v xml:space="preserve">INSERT INTO attribute_values (attribute_id, tag, name, details) VALUES ((SELECT id FROM attributes WHERE tag = 'att_organ' LIMIT 1),  'att_organ:medulla',  'Medulla',  'Medulla'); </v>
      </c>
    </row>
    <row r="291" spans="1:15" x14ac:dyDescent="0.15">
      <c r="A291" s="10" t="b">
        <f>FALSE()</f>
        <v>0</v>
      </c>
      <c r="B291" s="10"/>
      <c r="C291" s="5" t="s">
        <v>2083</v>
      </c>
      <c r="D291" s="5" t="s">
        <v>2084</v>
      </c>
      <c r="E291" s="5" t="s">
        <v>13</v>
      </c>
      <c r="F291" s="5" t="s">
        <v>149</v>
      </c>
      <c r="G291" s="5" t="s">
        <v>2585</v>
      </c>
      <c r="H291" s="5" t="str">
        <f t="shared" si="26"/>
        <v>att_organ</v>
      </c>
      <c r="I291" s="5" t="s">
        <v>2083</v>
      </c>
      <c r="J291" s="5" t="str">
        <f t="shared" si="27"/>
        <v>att_organ:mesentery</v>
      </c>
      <c r="K291" s="9" t="s">
        <v>17</v>
      </c>
      <c r="L291" s="5" t="s">
        <v>2084</v>
      </c>
      <c r="M291" s="5" t="s">
        <v>13</v>
      </c>
      <c r="N291" s="5" t="str">
        <f t="shared" si="28"/>
        <v>INSERT INTO attributes (parent_id, tag, name, priority, allow_as_filter, allow_for_dataset, allow_for_measurement, allow_for_users, allow_for_qc) VALUES (NULL, 'att_organ',  'Organ',  500,  TRUE, TRUE, TRUE, FALSE, FALSE);</v>
      </c>
      <c r="O291" s="5" t="str">
        <f t="shared" si="29"/>
        <v xml:space="preserve">INSERT INTO attribute_values (attribute_id, tag, name, details) VALUES ((SELECT id FROM attributes WHERE tag = 'att_organ' LIMIT 1),  'att_organ:mesentery',  'Mesentery',  'Mesentery'); </v>
      </c>
    </row>
    <row r="292" spans="1:15" x14ac:dyDescent="0.15">
      <c r="A292" s="10" t="b">
        <f>FALSE()</f>
        <v>0</v>
      </c>
      <c r="B292" s="10"/>
      <c r="C292" s="5" t="s">
        <v>2085</v>
      </c>
      <c r="D292" s="5" t="s">
        <v>2086</v>
      </c>
      <c r="E292" s="5" t="s">
        <v>13</v>
      </c>
      <c r="F292" s="5" t="s">
        <v>149</v>
      </c>
      <c r="G292" s="5" t="s">
        <v>2585</v>
      </c>
      <c r="H292" s="5" t="str">
        <f t="shared" si="26"/>
        <v>att_organ</v>
      </c>
      <c r="I292" s="5" t="s">
        <v>2085</v>
      </c>
      <c r="J292" s="5" t="str">
        <f t="shared" si="27"/>
        <v>att_organ:midbrain</v>
      </c>
      <c r="K292" s="9" t="s">
        <v>17</v>
      </c>
      <c r="L292" s="5" t="s">
        <v>2086</v>
      </c>
      <c r="M292" s="5" t="s">
        <v>13</v>
      </c>
      <c r="N292" s="5" t="str">
        <f t="shared" si="28"/>
        <v>INSERT INTO attributes (parent_id, tag, name, priority, allow_as_filter, allow_for_dataset, allow_for_measurement, allow_for_users, allow_for_qc) VALUES (NULL, 'att_organ',  'Organ',  500,  TRUE, TRUE, TRUE, FALSE, FALSE);</v>
      </c>
      <c r="O292" s="5" t="str">
        <f t="shared" si="29"/>
        <v xml:space="preserve">INSERT INTO attribute_values (attribute_id, tag, name, details) VALUES ((SELECT id FROM attributes WHERE tag = 'att_organ' LIMIT 1),  'att_organ:midbrain',  'Midbrain',  'Midbrain'); </v>
      </c>
    </row>
    <row r="293" spans="1:15" x14ac:dyDescent="0.15">
      <c r="A293" s="10" t="b">
        <f>FALSE()</f>
        <v>0</v>
      </c>
      <c r="B293" s="10"/>
      <c r="C293" s="5" t="s">
        <v>2087</v>
      </c>
      <c r="D293" s="5" t="s">
        <v>2088</v>
      </c>
      <c r="E293" s="5" t="s">
        <v>13</v>
      </c>
      <c r="F293" s="5" t="s">
        <v>149</v>
      </c>
      <c r="G293" s="5" t="s">
        <v>2585</v>
      </c>
      <c r="H293" s="5" t="str">
        <f t="shared" si="26"/>
        <v>att_organ</v>
      </c>
      <c r="I293" s="5" t="s">
        <v>2087</v>
      </c>
      <c r="J293" s="5" t="str">
        <f t="shared" si="27"/>
        <v>att_organ:ovaries</v>
      </c>
      <c r="K293" s="9" t="s">
        <v>17</v>
      </c>
      <c r="L293" s="5" t="s">
        <v>2088</v>
      </c>
      <c r="M293" s="5" t="s">
        <v>13</v>
      </c>
      <c r="N293" s="5" t="str">
        <f t="shared" si="28"/>
        <v>INSERT INTO attributes (parent_id, tag, name, priority, allow_as_filter, allow_for_dataset, allow_for_measurement, allow_for_users, allow_for_qc) VALUES (NULL, 'att_organ',  'Organ',  500,  TRUE, TRUE, TRUE, FALSE, FALSE);</v>
      </c>
      <c r="O293" s="5" t="str">
        <f t="shared" si="29"/>
        <v xml:space="preserve">INSERT INTO attribute_values (attribute_id, tag, name, details) VALUES ((SELECT id FROM attributes WHERE tag = 'att_organ' LIMIT 1),  'att_organ:ovaries',  'Ovaries',  'Ovaries'); </v>
      </c>
    </row>
    <row r="294" spans="1:15" x14ac:dyDescent="0.15">
      <c r="A294" s="10" t="b">
        <f>FALSE()</f>
        <v>0</v>
      </c>
      <c r="B294" s="10"/>
      <c r="C294" s="5" t="s">
        <v>2089</v>
      </c>
      <c r="D294" s="5" t="s">
        <v>2090</v>
      </c>
      <c r="E294" s="5" t="s">
        <v>13</v>
      </c>
      <c r="F294" s="5" t="s">
        <v>149</v>
      </c>
      <c r="G294" s="5" t="s">
        <v>2585</v>
      </c>
      <c r="H294" s="5" t="str">
        <f t="shared" si="26"/>
        <v>att_organ</v>
      </c>
      <c r="I294" s="5" t="s">
        <v>2089</v>
      </c>
      <c r="J294" s="5" t="str">
        <f t="shared" si="27"/>
        <v>att_organ:pancreas</v>
      </c>
      <c r="K294" s="9" t="s">
        <v>17</v>
      </c>
      <c r="L294" s="5" t="s">
        <v>2090</v>
      </c>
      <c r="M294" s="5" t="s">
        <v>13</v>
      </c>
      <c r="N294" s="5" t="str">
        <f t="shared" si="28"/>
        <v>INSERT INTO attributes (parent_id, tag, name, priority, allow_as_filter, allow_for_dataset, allow_for_measurement, allow_for_users, allow_for_qc) VALUES (NULL, 'att_organ',  'Organ',  500,  TRUE, TRUE, TRUE, FALSE, FALSE);</v>
      </c>
      <c r="O294" s="5" t="str">
        <f t="shared" si="29"/>
        <v xml:space="preserve">INSERT INTO attribute_values (attribute_id, tag, name, details) VALUES ((SELECT id FROM attributes WHERE tag = 'att_organ' LIMIT 1),  'att_organ:pancreas',  'Pancreas',  'Pancreas'); </v>
      </c>
    </row>
    <row r="295" spans="1:15" x14ac:dyDescent="0.15">
      <c r="A295" s="10" t="b">
        <f>FALSE()</f>
        <v>0</v>
      </c>
      <c r="B295" s="10"/>
      <c r="C295" s="5" t="s">
        <v>2091</v>
      </c>
      <c r="D295" s="5" t="s">
        <v>2092</v>
      </c>
      <c r="E295" s="5" t="s">
        <v>13</v>
      </c>
      <c r="F295" s="5" t="s">
        <v>149</v>
      </c>
      <c r="G295" s="5" t="s">
        <v>2585</v>
      </c>
      <c r="H295" s="5" t="str">
        <f t="shared" si="26"/>
        <v>att_organ</v>
      </c>
      <c r="I295" s="5" t="s">
        <v>2091</v>
      </c>
      <c r="J295" s="5" t="str">
        <f t="shared" si="27"/>
        <v>att_organ:pons</v>
      </c>
      <c r="K295" s="9" t="s">
        <v>17</v>
      </c>
      <c r="L295" s="5" t="s">
        <v>2092</v>
      </c>
      <c r="M295" s="5" t="s">
        <v>13</v>
      </c>
      <c r="N295" s="5" t="str">
        <f t="shared" si="28"/>
        <v>INSERT INTO attributes (parent_id, tag, name, priority, allow_as_filter, allow_for_dataset, allow_for_measurement, allow_for_users, allow_for_qc) VALUES (NULL, 'att_organ',  'Organ',  500,  TRUE, TRUE, TRUE, FALSE, FALSE);</v>
      </c>
      <c r="O295" s="5" t="str">
        <f t="shared" si="29"/>
        <v xml:space="preserve">INSERT INTO attribute_values (attribute_id, tag, name, details) VALUES ((SELECT id FROM attributes WHERE tag = 'att_organ' LIMIT 1),  'att_organ:pons',  'Pons',  'Pons'); </v>
      </c>
    </row>
    <row r="296" spans="1:15" x14ac:dyDescent="0.15">
      <c r="A296" s="10" t="b">
        <f>FALSE()</f>
        <v>0</v>
      </c>
      <c r="B296" s="10"/>
      <c r="C296" s="5" t="s">
        <v>2093</v>
      </c>
      <c r="D296" s="5" t="s">
        <v>2094</v>
      </c>
      <c r="E296" s="5" t="s">
        <v>13</v>
      </c>
      <c r="F296" s="5" t="s">
        <v>149</v>
      </c>
      <c r="G296" s="5" t="s">
        <v>2585</v>
      </c>
      <c r="H296" s="5" t="str">
        <f t="shared" si="26"/>
        <v>att_organ</v>
      </c>
      <c r="I296" s="5" t="s">
        <v>2093</v>
      </c>
      <c r="J296" s="5" t="str">
        <f t="shared" si="27"/>
        <v>att_organ:prostate</v>
      </c>
      <c r="K296" s="9" t="s">
        <v>17</v>
      </c>
      <c r="L296" s="5" t="s">
        <v>2094</v>
      </c>
      <c r="M296" s="5" t="s">
        <v>13</v>
      </c>
      <c r="N296" s="5" t="str">
        <f t="shared" si="28"/>
        <v>INSERT INTO attributes (parent_id, tag, name, priority, allow_as_filter, allow_for_dataset, allow_for_measurement, allow_for_users, allow_for_qc) VALUES (NULL, 'att_organ',  'Organ',  500,  TRUE, TRUE, TRUE, FALSE, FALSE);</v>
      </c>
      <c r="O296" s="5" t="str">
        <f t="shared" si="29"/>
        <v xml:space="preserve">INSERT INTO attribute_values (attribute_id, tag, name, details) VALUES ((SELECT id FROM attributes WHERE tag = 'att_organ' LIMIT 1),  'att_organ:prostate',  'Prostate',  'Prostate'); </v>
      </c>
    </row>
    <row r="297" spans="1:15" x14ac:dyDescent="0.15">
      <c r="A297" s="10" t="b">
        <f>FALSE()</f>
        <v>0</v>
      </c>
      <c r="B297" s="10"/>
      <c r="C297" s="5" t="s">
        <v>2095</v>
      </c>
      <c r="D297" s="5" t="s">
        <v>2096</v>
      </c>
      <c r="E297" s="5" t="s">
        <v>13</v>
      </c>
      <c r="F297" s="5" t="s">
        <v>149</v>
      </c>
      <c r="G297" s="5" t="s">
        <v>2585</v>
      </c>
      <c r="H297" s="5" t="str">
        <f t="shared" si="26"/>
        <v>att_organ</v>
      </c>
      <c r="I297" s="5" t="s">
        <v>2095</v>
      </c>
      <c r="J297" s="5" t="str">
        <f t="shared" si="27"/>
        <v>att_organ:rectum</v>
      </c>
      <c r="K297" s="9" t="s">
        <v>17</v>
      </c>
      <c r="L297" s="5" t="s">
        <v>2096</v>
      </c>
      <c r="M297" s="5" t="s">
        <v>13</v>
      </c>
      <c r="N297" s="5" t="str">
        <f t="shared" si="28"/>
        <v>INSERT INTO attributes (parent_id, tag, name, priority, allow_as_filter, allow_for_dataset, allow_for_measurement, allow_for_users, allow_for_qc) VALUES (NULL, 'att_organ',  'Organ',  500,  TRUE, TRUE, TRUE, FALSE, FALSE);</v>
      </c>
      <c r="O297" s="5" t="str">
        <f t="shared" si="29"/>
        <v xml:space="preserve">INSERT INTO attribute_values (attribute_id, tag, name, details) VALUES ((SELECT id FROM attributes WHERE tag = 'att_organ' LIMIT 1),  'att_organ:rectum',  'Rectum',  'Rectum'); </v>
      </c>
    </row>
    <row r="298" spans="1:15" x14ac:dyDescent="0.15">
      <c r="A298" s="10" t="b">
        <f>FALSE()</f>
        <v>0</v>
      </c>
      <c r="B298" s="10"/>
      <c r="C298" s="5" t="s">
        <v>2098</v>
      </c>
      <c r="D298" s="5" t="s">
        <v>2099</v>
      </c>
      <c r="E298" s="5" t="s">
        <v>13</v>
      </c>
      <c r="F298" s="5" t="s">
        <v>149</v>
      </c>
      <c r="G298" s="5" t="s">
        <v>2585</v>
      </c>
      <c r="H298" s="5" t="str">
        <f t="shared" si="26"/>
        <v>att_organ</v>
      </c>
      <c r="I298" s="5" t="s">
        <v>2097</v>
      </c>
      <c r="J298" s="5" t="str">
        <f t="shared" si="27"/>
        <v>att_organ:small_intestine</v>
      </c>
      <c r="K298" s="9" t="s">
        <v>17</v>
      </c>
      <c r="L298" s="5" t="s">
        <v>2100</v>
      </c>
      <c r="M298" s="5" t="s">
        <v>13</v>
      </c>
      <c r="N298" s="5" t="str">
        <f t="shared" si="28"/>
        <v>INSERT INTO attributes (parent_id, tag, name, priority, allow_as_filter, allow_for_dataset, allow_for_measurement, allow_for_users, allow_for_qc) VALUES (NULL, 'att_organ',  'Organ',  500,  TRUE, TRUE, TRUE, FALSE, FALSE);</v>
      </c>
      <c r="O298" s="5"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0" t="b">
        <f>FALSE()</f>
        <v>0</v>
      </c>
      <c r="B299" s="10"/>
      <c r="C299" s="5" t="s">
        <v>2101</v>
      </c>
      <c r="D299" s="5" t="s">
        <v>2102</v>
      </c>
      <c r="E299" s="5" t="s">
        <v>13</v>
      </c>
      <c r="F299" s="5" t="s">
        <v>149</v>
      </c>
      <c r="G299" s="5" t="s">
        <v>2585</v>
      </c>
      <c r="H299" s="5" t="str">
        <f t="shared" si="26"/>
        <v>att_organ</v>
      </c>
      <c r="I299" s="5" t="s">
        <v>2101</v>
      </c>
      <c r="J299" s="5" t="str">
        <f t="shared" si="27"/>
        <v>att_organ:spinal_cord</v>
      </c>
      <c r="K299" s="9" t="s">
        <v>17</v>
      </c>
      <c r="L299" s="5" t="s">
        <v>2103</v>
      </c>
      <c r="M299" s="5" t="s">
        <v>13</v>
      </c>
      <c r="N299" s="5" t="str">
        <f t="shared" si="28"/>
        <v>INSERT INTO attributes (parent_id, tag, name, priority, allow_as_filter, allow_for_dataset, allow_for_measurement, allow_for_users, allow_for_qc) VALUES (NULL, 'att_organ',  'Organ',  500,  TRUE, TRUE, TRUE, FALSE, FALSE);</v>
      </c>
      <c r="O299" s="5" t="str">
        <f t="shared" si="29"/>
        <v xml:space="preserve">INSERT INTO attribute_values (attribute_id, tag, name, details) VALUES ((SELECT id FROM attributes WHERE tag = 'att_organ' LIMIT 1),  'att_organ:spinal_cord',  'Spinal Cord',  'Spinal_Cord'); </v>
      </c>
    </row>
    <row r="300" spans="1:15" x14ac:dyDescent="0.15">
      <c r="A300" s="10" t="b">
        <f>FALSE()</f>
        <v>0</v>
      </c>
      <c r="B300" s="10"/>
      <c r="C300" s="5" t="s">
        <v>2104</v>
      </c>
      <c r="D300" s="5" t="s">
        <v>2105</v>
      </c>
      <c r="E300" s="5" t="s">
        <v>13</v>
      </c>
      <c r="F300" s="5" t="s">
        <v>149</v>
      </c>
      <c r="G300" s="5" t="s">
        <v>2585</v>
      </c>
      <c r="H300" s="5" t="str">
        <f t="shared" si="26"/>
        <v>att_organ</v>
      </c>
      <c r="I300" s="5" t="s">
        <v>2104</v>
      </c>
      <c r="J300" s="5" t="str">
        <f t="shared" si="27"/>
        <v>att_organ:spleen</v>
      </c>
      <c r="K300" s="9" t="s">
        <v>17</v>
      </c>
      <c r="L300" s="5" t="s">
        <v>2105</v>
      </c>
      <c r="M300" s="5" t="s">
        <v>13</v>
      </c>
      <c r="N300" s="5" t="str">
        <f t="shared" si="28"/>
        <v>INSERT INTO attributes (parent_id, tag, name, priority, allow_as_filter, allow_for_dataset, allow_for_measurement, allow_for_users, allow_for_qc) VALUES (NULL, 'att_organ',  'Organ',  500,  TRUE, TRUE, TRUE, FALSE, FALSE);</v>
      </c>
      <c r="O300" s="5" t="str">
        <f t="shared" si="29"/>
        <v xml:space="preserve">INSERT INTO attribute_values (attribute_id, tag, name, details) VALUES ((SELECT id FROM attributes WHERE tag = 'att_organ' LIMIT 1),  'att_organ:spleen',  'Spleen',  'Spleen'); </v>
      </c>
    </row>
    <row r="301" spans="1:15" x14ac:dyDescent="0.15">
      <c r="A301" s="10" t="b">
        <f>FALSE()</f>
        <v>0</v>
      </c>
      <c r="B301" s="10"/>
      <c r="C301" s="5" t="s">
        <v>2106</v>
      </c>
      <c r="D301" s="5" t="s">
        <v>2107</v>
      </c>
      <c r="E301" s="5" t="s">
        <v>13</v>
      </c>
      <c r="F301" s="5" t="s">
        <v>149</v>
      </c>
      <c r="G301" s="5" t="s">
        <v>2585</v>
      </c>
      <c r="H301" s="5" t="str">
        <f t="shared" ref="H301:H332" si="30">"att_"&amp;G301</f>
        <v>att_organ</v>
      </c>
      <c r="I301" s="5" t="s">
        <v>2106</v>
      </c>
      <c r="J301" s="5" t="str">
        <f t="shared" ref="J301:J332" si="31">H301&amp;":"&amp;I301</f>
        <v>att_organ:stomach</v>
      </c>
      <c r="K301" s="9" t="s">
        <v>17</v>
      </c>
      <c r="L301" s="5" t="s">
        <v>2107</v>
      </c>
      <c r="M301" s="5" t="s">
        <v>13</v>
      </c>
      <c r="N301" s="5"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5"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0" t="b">
        <f>FALSE()</f>
        <v>0</v>
      </c>
      <c r="B302" s="10"/>
      <c r="C302" s="5" t="s">
        <v>2108</v>
      </c>
      <c r="D302" s="5" t="s">
        <v>2109</v>
      </c>
      <c r="E302" s="5" t="s">
        <v>13</v>
      </c>
      <c r="F302" s="5" t="s">
        <v>149</v>
      </c>
      <c r="G302" s="5" t="s">
        <v>2585</v>
      </c>
      <c r="H302" s="5" t="str">
        <f t="shared" si="30"/>
        <v>att_organ</v>
      </c>
      <c r="I302" s="5" t="s">
        <v>2108</v>
      </c>
      <c r="J302" s="5" t="str">
        <f t="shared" si="31"/>
        <v>att_organ:testicles</v>
      </c>
      <c r="K302" s="9" t="s">
        <v>17</v>
      </c>
      <c r="L302" s="5" t="s">
        <v>2109</v>
      </c>
      <c r="M302" s="5" t="s">
        <v>13</v>
      </c>
      <c r="N302" s="5" t="str">
        <f t="shared" si="32"/>
        <v>INSERT INTO attributes (parent_id, tag, name, priority, allow_as_filter, allow_for_dataset, allow_for_measurement, allow_for_users, allow_for_qc) VALUES (NULL, 'att_organ',  'Organ',  500,  TRUE, TRUE, TRUE, FALSE, FALSE);</v>
      </c>
      <c r="O302" s="5" t="str">
        <f t="shared" si="33"/>
        <v xml:space="preserve">INSERT INTO attribute_values (attribute_id, tag, name, details) VALUES ((SELECT id FROM attributes WHERE tag = 'att_organ' LIMIT 1),  'att_organ:testicles',  'Testicles',  'Testicles'); </v>
      </c>
    </row>
    <row r="303" spans="1:15" x14ac:dyDescent="0.15">
      <c r="A303" s="10" t="b">
        <f>FALSE()</f>
        <v>0</v>
      </c>
      <c r="B303" s="10"/>
      <c r="C303" s="5" t="s">
        <v>2110</v>
      </c>
      <c r="D303" s="5" t="s">
        <v>2111</v>
      </c>
      <c r="E303" s="5" t="s">
        <v>13</v>
      </c>
      <c r="F303" s="5" t="s">
        <v>149</v>
      </c>
      <c r="G303" s="5" t="s">
        <v>2585</v>
      </c>
      <c r="H303" s="5" t="str">
        <f t="shared" si="30"/>
        <v>att_organ</v>
      </c>
      <c r="I303" s="5" t="s">
        <v>2110</v>
      </c>
      <c r="J303" s="5" t="str">
        <f t="shared" si="31"/>
        <v>att_organ:thalamus</v>
      </c>
      <c r="K303" s="9" t="s">
        <v>17</v>
      </c>
      <c r="L303" s="5" t="s">
        <v>2111</v>
      </c>
      <c r="M303" s="5" t="s">
        <v>13</v>
      </c>
      <c r="N303" s="5" t="str">
        <f t="shared" si="32"/>
        <v>INSERT INTO attributes (parent_id, tag, name, priority, allow_as_filter, allow_for_dataset, allow_for_measurement, allow_for_users, allow_for_qc) VALUES (NULL, 'att_organ',  'Organ',  500,  TRUE, TRUE, TRUE, FALSE, FALSE);</v>
      </c>
      <c r="O303" s="5" t="str">
        <f t="shared" si="33"/>
        <v xml:space="preserve">INSERT INTO attribute_values (attribute_id, tag, name, details) VALUES ((SELECT id FROM attributes WHERE tag = 'att_organ' LIMIT 1),  'att_organ:thalamus',  'Thalamus',  'Thalamus'); </v>
      </c>
    </row>
    <row r="304" spans="1:15" x14ac:dyDescent="0.15">
      <c r="A304" s="10" t="b">
        <f>FALSE()</f>
        <v>0</v>
      </c>
      <c r="B304" s="10"/>
      <c r="C304" s="5" t="s">
        <v>2112</v>
      </c>
      <c r="D304" s="5" t="s">
        <v>2113</v>
      </c>
      <c r="E304" s="5" t="s">
        <v>13</v>
      </c>
      <c r="F304" s="5" t="s">
        <v>149</v>
      </c>
      <c r="G304" s="5" t="s">
        <v>2585</v>
      </c>
      <c r="H304" s="5" t="str">
        <f t="shared" si="30"/>
        <v>att_organ</v>
      </c>
      <c r="I304" s="5" t="s">
        <v>2112</v>
      </c>
      <c r="J304" s="5" t="str">
        <f t="shared" si="31"/>
        <v>att_organ:thymus</v>
      </c>
      <c r="K304" s="9" t="s">
        <v>17</v>
      </c>
      <c r="L304" s="5" t="s">
        <v>2113</v>
      </c>
      <c r="M304" s="5" t="s">
        <v>13</v>
      </c>
      <c r="N304" s="5" t="str">
        <f t="shared" si="32"/>
        <v>INSERT INTO attributes (parent_id, tag, name, priority, allow_as_filter, allow_for_dataset, allow_for_measurement, allow_for_users, allow_for_qc) VALUES (NULL, 'att_organ',  'Organ',  500,  TRUE, TRUE, TRUE, FALSE, FALSE);</v>
      </c>
      <c r="O304" s="5" t="str">
        <f t="shared" si="33"/>
        <v xml:space="preserve">INSERT INTO attribute_values (attribute_id, tag, name, details) VALUES ((SELECT id FROM attributes WHERE tag = 'att_organ' LIMIT 1),  'att_organ:thymus',  'Thymus',  'Thymus'); </v>
      </c>
    </row>
    <row r="305" spans="1:15" x14ac:dyDescent="0.15">
      <c r="A305" s="10" t="b">
        <f>FALSE()</f>
        <v>0</v>
      </c>
      <c r="B305" s="10"/>
      <c r="C305" s="5" t="s">
        <v>2114</v>
      </c>
      <c r="D305" s="5" t="s">
        <v>2115</v>
      </c>
      <c r="E305" s="5" t="s">
        <v>13</v>
      </c>
      <c r="F305" s="5" t="s">
        <v>149</v>
      </c>
      <c r="G305" s="5" t="s">
        <v>2585</v>
      </c>
      <c r="H305" s="5" t="str">
        <f t="shared" si="30"/>
        <v>att_organ</v>
      </c>
      <c r="I305" s="5" t="s">
        <v>2114</v>
      </c>
      <c r="J305" s="5" t="str">
        <f t="shared" si="31"/>
        <v>att_organ:tongue</v>
      </c>
      <c r="K305" s="9" t="s">
        <v>17</v>
      </c>
      <c r="L305" s="5" t="s">
        <v>2115</v>
      </c>
      <c r="M305" s="5" t="s">
        <v>13</v>
      </c>
      <c r="N305" s="5" t="str">
        <f t="shared" si="32"/>
        <v>INSERT INTO attributes (parent_id, tag, name, priority, allow_as_filter, allow_for_dataset, allow_for_measurement, allow_for_users, allow_for_qc) VALUES (NULL, 'att_organ',  'Organ',  500,  TRUE, TRUE, TRUE, FALSE, FALSE);</v>
      </c>
      <c r="O305" s="5" t="str">
        <f t="shared" si="33"/>
        <v xml:space="preserve">INSERT INTO attribute_values (attribute_id, tag, name, details) VALUES ((SELECT id FROM attributes WHERE tag = 'att_organ' LIMIT 1),  'att_organ:tongue',  'Tongue',  'Tongue'); </v>
      </c>
    </row>
    <row r="306" spans="1:15" x14ac:dyDescent="0.15">
      <c r="A306" s="10" t="b">
        <f>FALSE()</f>
        <v>0</v>
      </c>
      <c r="B306" s="10"/>
      <c r="C306" s="5" t="s">
        <v>2116</v>
      </c>
      <c r="D306" s="5" t="s">
        <v>2117</v>
      </c>
      <c r="E306" s="5" t="s">
        <v>13</v>
      </c>
      <c r="F306" s="5" t="s">
        <v>149</v>
      </c>
      <c r="G306" s="5" t="s">
        <v>2585</v>
      </c>
      <c r="H306" s="5" t="str">
        <f t="shared" si="30"/>
        <v>att_organ</v>
      </c>
      <c r="I306" s="5" t="s">
        <v>2116</v>
      </c>
      <c r="J306" s="5" t="str">
        <f t="shared" si="31"/>
        <v>att_organ:tonsils</v>
      </c>
      <c r="K306" s="9" t="s">
        <v>17</v>
      </c>
      <c r="L306" s="5" t="s">
        <v>2117</v>
      </c>
      <c r="M306" s="5" t="s">
        <v>13</v>
      </c>
      <c r="N306" s="5" t="str">
        <f t="shared" si="32"/>
        <v>INSERT INTO attributes (parent_id, tag, name, priority, allow_as_filter, allow_for_dataset, allow_for_measurement, allow_for_users, allow_for_qc) VALUES (NULL, 'att_organ',  'Organ',  500,  TRUE, TRUE, TRUE, FALSE, FALSE);</v>
      </c>
      <c r="O306" s="5" t="str">
        <f t="shared" si="33"/>
        <v xml:space="preserve">INSERT INTO attribute_values (attribute_id, tag, name, details) VALUES ((SELECT id FROM attributes WHERE tag = 'att_organ' LIMIT 1),  'att_organ:tonsils',  'Tonsils',  'Tonsils'); </v>
      </c>
    </row>
    <row r="307" spans="1:15" x14ac:dyDescent="0.15">
      <c r="A307" s="10" t="b">
        <f>FALSE()</f>
        <v>0</v>
      </c>
      <c r="B307" s="10"/>
      <c r="C307" s="5" t="s">
        <v>2118</v>
      </c>
      <c r="D307" s="5" t="s">
        <v>2119</v>
      </c>
      <c r="E307" s="5" t="s">
        <v>13</v>
      </c>
      <c r="F307" s="5" t="s">
        <v>149</v>
      </c>
      <c r="G307" s="5" t="s">
        <v>2585</v>
      </c>
      <c r="H307" s="5" t="str">
        <f t="shared" si="30"/>
        <v>att_organ</v>
      </c>
      <c r="I307" s="5" t="s">
        <v>2118</v>
      </c>
      <c r="J307" s="5" t="str">
        <f t="shared" si="31"/>
        <v>att_organ:uterus</v>
      </c>
      <c r="K307" s="9" t="s">
        <v>17</v>
      </c>
      <c r="L307" s="5" t="s">
        <v>2119</v>
      </c>
      <c r="M307" s="5" t="s">
        <v>13</v>
      </c>
      <c r="N307" s="5" t="str">
        <f t="shared" si="32"/>
        <v>INSERT INTO attributes (parent_id, tag, name, priority, allow_as_filter, allow_for_dataset, allow_for_measurement, allow_for_users, allow_for_qc) VALUES (NULL, 'att_organ',  'Organ',  500,  TRUE, TRUE, TRUE, FALSE, FALSE);</v>
      </c>
      <c r="O307" s="5" t="str">
        <f t="shared" si="33"/>
        <v xml:space="preserve">INSERT INTO attribute_values (attribute_id, tag, name, details) VALUES ((SELECT id FROM attributes WHERE tag = 'att_organ' LIMIT 1),  'att_organ:uterus',  'Uterus',  'Uterus'); </v>
      </c>
    </row>
    <row r="308" spans="1:15" x14ac:dyDescent="0.15">
      <c r="A308" s="10" t="b">
        <f>FALSE()</f>
        <v>0</v>
      </c>
      <c r="B308" s="10"/>
      <c r="C308" s="5" t="s">
        <v>2120</v>
      </c>
      <c r="D308" s="5" t="s">
        <v>2121</v>
      </c>
      <c r="E308" s="5" t="s">
        <v>13</v>
      </c>
      <c r="F308" s="5" t="s">
        <v>149</v>
      </c>
      <c r="G308" s="5" t="s">
        <v>2585</v>
      </c>
      <c r="H308" s="5" t="str">
        <f t="shared" si="30"/>
        <v>att_organ</v>
      </c>
      <c r="I308" s="5" t="s">
        <v>2120</v>
      </c>
      <c r="J308" s="5" t="str">
        <f t="shared" si="31"/>
        <v>att_organ:veins</v>
      </c>
      <c r="K308" s="9" t="s">
        <v>17</v>
      </c>
      <c r="L308" s="5" t="s">
        <v>2121</v>
      </c>
      <c r="M308" s="5" t="s">
        <v>13</v>
      </c>
      <c r="N308" s="5" t="str">
        <f t="shared" si="32"/>
        <v>INSERT INTO attributes (parent_id, tag, name, priority, allow_as_filter, allow_for_dataset, allow_for_measurement, allow_for_users, allow_for_qc) VALUES (NULL, 'att_organ',  'Organ',  500,  TRUE, TRUE, TRUE, FALSE, FALSE);</v>
      </c>
      <c r="O308" s="5" t="str">
        <f t="shared" si="33"/>
        <v xml:space="preserve">INSERT INTO attribute_values (attribute_id, tag, name, details) VALUES ((SELECT id FROM attributes WHERE tag = 'att_organ' LIMIT 1),  'att_organ:veins',  'Veins',  'Veins'); </v>
      </c>
    </row>
    <row r="309" spans="1:15" x14ac:dyDescent="0.15">
      <c r="A309" s="9" t="s">
        <v>17</v>
      </c>
      <c r="B309" s="10"/>
      <c r="C309" s="5" t="s">
        <v>2586</v>
      </c>
      <c r="D309" s="5" t="s">
        <v>2587</v>
      </c>
      <c r="E309" s="5" t="s">
        <v>13</v>
      </c>
      <c r="F309" s="5" t="s">
        <v>151</v>
      </c>
      <c r="G309" s="5" t="s">
        <v>2588</v>
      </c>
      <c r="H309" s="5" t="str">
        <f t="shared" si="30"/>
        <v>att_organism</v>
      </c>
      <c r="I309" s="5" t="s">
        <v>2586</v>
      </c>
      <c r="J309" s="5" t="str">
        <f t="shared" si="31"/>
        <v>att_organism:bacteria</v>
      </c>
      <c r="K309" s="9" t="s">
        <v>17</v>
      </c>
      <c r="L309" s="5" t="s">
        <v>2587</v>
      </c>
      <c r="M309" s="5" t="s">
        <v>13</v>
      </c>
      <c r="N309" s="5" t="str">
        <f t="shared" si="32"/>
        <v>INSERT INTO attributes (parent_id, tag, name, priority, allow_as_filter, allow_for_dataset, allow_for_measurement, allow_for_users, allow_for_qc) VALUES (NULL, 'att_organism',  'Organism',  500,  TRUE, TRUE, TRUE, FALSE, FALSE);</v>
      </c>
      <c r="O309" s="5" t="str">
        <f t="shared" si="33"/>
        <v xml:space="preserve">INSERT INTO attribute_values (attribute_id, tag, name, details) VALUES ((SELECT id FROM attributes WHERE tag = 'att_organism' LIMIT 1),  'att_organism:bacteria',  'Bacteria',  'Bacteria'); </v>
      </c>
    </row>
    <row r="310" spans="1:15" x14ac:dyDescent="0.15">
      <c r="A310" s="9" t="s">
        <v>17</v>
      </c>
      <c r="B310" s="10"/>
      <c r="C310" s="5" t="s">
        <v>2589</v>
      </c>
      <c r="D310" s="5" t="s">
        <v>2128</v>
      </c>
      <c r="E310" s="5" t="s">
        <v>13</v>
      </c>
      <c r="F310" s="5" t="s">
        <v>151</v>
      </c>
      <c r="G310" s="5" t="s">
        <v>2588</v>
      </c>
      <c r="H310" s="5" t="str">
        <f t="shared" si="30"/>
        <v>att_organism</v>
      </c>
      <c r="I310" s="5" t="s">
        <v>2589</v>
      </c>
      <c r="J310" s="5" t="str">
        <f t="shared" si="31"/>
        <v>att_organism:elegans</v>
      </c>
      <c r="K310" s="9" t="s">
        <v>17</v>
      </c>
      <c r="L310" s="5" t="s">
        <v>2128</v>
      </c>
      <c r="M310" s="5" t="s">
        <v>13</v>
      </c>
      <c r="N310" s="5" t="str">
        <f t="shared" si="32"/>
        <v>INSERT INTO attributes (parent_id, tag, name, priority, allow_as_filter, allow_for_dataset, allow_for_measurement, allow_for_users, allow_for_qc) VALUES (NULL, 'att_organism',  'Organism',  500,  TRUE, TRUE, TRUE, FALSE, FALSE);</v>
      </c>
      <c r="O310" s="5"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9" t="s">
        <v>17</v>
      </c>
      <c r="B311" s="10"/>
      <c r="C311" s="5" t="s">
        <v>2590</v>
      </c>
      <c r="D311" s="5" t="s">
        <v>2591</v>
      </c>
      <c r="E311" s="5" t="s">
        <v>13</v>
      </c>
      <c r="F311" s="5" t="s">
        <v>151</v>
      </c>
      <c r="G311" s="5" t="s">
        <v>2588</v>
      </c>
      <c r="H311" s="5" t="str">
        <f t="shared" si="30"/>
        <v>att_organism</v>
      </c>
      <c r="I311" s="5" t="s">
        <v>2590</v>
      </c>
      <c r="J311" s="5" t="str">
        <f t="shared" si="31"/>
        <v>att_organism:gut</v>
      </c>
      <c r="K311" s="9" t="s">
        <v>17</v>
      </c>
      <c r="L311" s="5" t="s">
        <v>2592</v>
      </c>
      <c r="M311" s="5" t="s">
        <v>13</v>
      </c>
      <c r="N311" s="5" t="str">
        <f t="shared" si="32"/>
        <v>INSERT INTO attributes (parent_id, tag, name, priority, allow_as_filter, allow_for_dataset, allow_for_measurement, allow_for_users, allow_for_qc) VALUES (NULL, 'att_organism',  'Organism',  500,  TRUE, TRUE, TRUE, FALSE, FALSE);</v>
      </c>
      <c r="O311" s="5"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9" t="s">
        <v>17</v>
      </c>
      <c r="B312" s="10"/>
      <c r="C312" s="5" t="s">
        <v>2139</v>
      </c>
      <c r="D312" s="5" t="s">
        <v>2140</v>
      </c>
      <c r="E312" s="5" t="s">
        <v>13</v>
      </c>
      <c r="F312" s="5" t="s">
        <v>151</v>
      </c>
      <c r="G312" s="5" t="s">
        <v>2588</v>
      </c>
      <c r="H312" s="5" t="str">
        <f t="shared" si="30"/>
        <v>att_organism</v>
      </c>
      <c r="I312" s="5" t="s">
        <v>2139</v>
      </c>
      <c r="J312" s="5" t="str">
        <f t="shared" si="31"/>
        <v>att_organism:human</v>
      </c>
      <c r="K312" s="9" t="s">
        <v>17</v>
      </c>
      <c r="L312" s="5" t="s">
        <v>2593</v>
      </c>
      <c r="M312" s="5" t="s">
        <v>13</v>
      </c>
      <c r="N312" s="5" t="str">
        <f t="shared" si="32"/>
        <v>INSERT INTO attributes (parent_id, tag, name, priority, allow_as_filter, allow_for_dataset, allow_for_measurement, allow_for_users, allow_for_qc) VALUES (NULL, 'att_organism',  'Organism',  500,  TRUE, TRUE, TRUE, FALSE, FALSE);</v>
      </c>
      <c r="O312" s="5" t="str">
        <f t="shared" si="33"/>
        <v xml:space="preserve">INSERT INTO attribute_values (attribute_id, tag, name, details) VALUES ((SELECT id FROM attributes WHERE tag = 'att_organism' LIMIT 1),  'att_organism:human',  'Homo sapiens',  'Homo sapiens (Human)'); </v>
      </c>
    </row>
    <row r="313" spans="1:15" x14ac:dyDescent="0.15">
      <c r="A313" s="9" t="s">
        <v>17</v>
      </c>
      <c r="B313" s="10"/>
      <c r="C313" s="5" t="s">
        <v>2123</v>
      </c>
      <c r="D313" s="5" t="s">
        <v>2124</v>
      </c>
      <c r="E313" s="5" t="s">
        <v>13</v>
      </c>
      <c r="F313" s="5" t="s">
        <v>151</v>
      </c>
      <c r="G313" s="5" t="s">
        <v>2588</v>
      </c>
      <c r="H313" s="5" t="str">
        <f t="shared" si="30"/>
        <v>att_organism</v>
      </c>
      <c r="I313" s="5" t="s">
        <v>2123</v>
      </c>
      <c r="J313" s="5" t="str">
        <f t="shared" si="31"/>
        <v>att_organism:mouse</v>
      </c>
      <c r="K313" s="9" t="s">
        <v>17</v>
      </c>
      <c r="L313" s="5" t="s">
        <v>2594</v>
      </c>
      <c r="M313" s="5" t="s">
        <v>13</v>
      </c>
      <c r="N313" s="5" t="str">
        <f t="shared" si="32"/>
        <v>INSERT INTO attributes (parent_id, tag, name, priority, allow_as_filter, allow_for_dataset, allow_for_measurement, allow_for_users, allow_for_qc) VALUES (NULL, 'att_organism',  'Organism',  500,  TRUE, TRUE, TRUE, FALSE, FALSE);</v>
      </c>
      <c r="O313" s="5" t="str">
        <f t="shared" si="33"/>
        <v xml:space="preserve">INSERT INTO attribute_values (attribute_id, tag, name, details) VALUES ((SELECT id FROM attributes WHERE tag = 'att_organism' LIMIT 1),  'att_organism:mouse',  'Mus musculus',  'Mus musculus (Mouse)'); </v>
      </c>
    </row>
    <row r="314" spans="1:15" x14ac:dyDescent="0.15">
      <c r="A314" s="9" t="s">
        <v>17</v>
      </c>
      <c r="B314" s="10"/>
      <c r="C314" s="5" t="s">
        <v>2135</v>
      </c>
      <c r="D314" s="5" t="s">
        <v>2136</v>
      </c>
      <c r="E314" s="5" t="s">
        <v>13</v>
      </c>
      <c r="F314" s="5" t="s">
        <v>151</v>
      </c>
      <c r="G314" s="5" t="s">
        <v>2588</v>
      </c>
      <c r="H314" s="5" t="str">
        <f t="shared" si="30"/>
        <v>att_organism</v>
      </c>
      <c r="I314" s="5" t="s">
        <v>2135</v>
      </c>
      <c r="J314" s="5" t="str">
        <f t="shared" si="31"/>
        <v>att_organism:rat</v>
      </c>
      <c r="K314" s="9" t="s">
        <v>17</v>
      </c>
      <c r="L314" s="5" t="s">
        <v>2595</v>
      </c>
      <c r="M314" s="5" t="s">
        <v>13</v>
      </c>
      <c r="N314" s="5" t="str">
        <f t="shared" si="32"/>
        <v>INSERT INTO attributes (parent_id, tag, name, priority, allow_as_filter, allow_for_dataset, allow_for_measurement, allow_for_users, allow_for_qc) VALUES (NULL, 'att_organism',  'Organism',  500,  TRUE, TRUE, TRUE, FALSE, FALSE);</v>
      </c>
      <c r="O314" s="5" t="str">
        <f t="shared" si="33"/>
        <v xml:space="preserve">INSERT INTO attribute_values (attribute_id, tag, name, details) VALUES ((SELECT id FROM attributes WHERE tag = 'att_organism' LIMIT 1),  'att_organism:rat',  'Rattus norvegicus',  'Rattus norvegicus (Rat)'); </v>
      </c>
    </row>
    <row r="315" spans="1:15" x14ac:dyDescent="0.15">
      <c r="A315" s="9" t="s">
        <v>17</v>
      </c>
      <c r="B315" s="10"/>
      <c r="C315" s="5" t="s">
        <v>2131</v>
      </c>
      <c r="D315" s="5" t="s">
        <v>2132</v>
      </c>
      <c r="E315" s="5" t="s">
        <v>13</v>
      </c>
      <c r="F315" s="5" t="s">
        <v>151</v>
      </c>
      <c r="G315" s="5" t="s">
        <v>2588</v>
      </c>
      <c r="H315" s="5" t="str">
        <f t="shared" si="30"/>
        <v>att_organism</v>
      </c>
      <c r="I315" s="5" t="s">
        <v>2131</v>
      </c>
      <c r="J315" s="5" t="str">
        <f t="shared" si="31"/>
        <v>att_organism:yeast</v>
      </c>
      <c r="K315" s="9" t="s">
        <v>17</v>
      </c>
      <c r="L315" s="5" t="s">
        <v>2596</v>
      </c>
      <c r="M315" s="5" t="s">
        <v>13</v>
      </c>
      <c r="N315" s="5" t="str">
        <f t="shared" si="32"/>
        <v>INSERT INTO attributes (parent_id, tag, name, priority, allow_as_filter, allow_for_dataset, allow_for_measurement, allow_for_users, allow_for_qc) VALUES (NULL, 'att_organism',  'Organism',  500,  TRUE, TRUE, TRUE, FALSE, FALSE);</v>
      </c>
      <c r="O315" s="5"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0" t="b">
        <f>FALSE()</f>
        <v>0</v>
      </c>
      <c r="B316" s="10"/>
      <c r="C316" s="5" t="s">
        <v>2142</v>
      </c>
      <c r="D316" s="5" t="s">
        <v>2144</v>
      </c>
      <c r="E316" s="5" t="s">
        <v>13</v>
      </c>
      <c r="F316" s="5" t="s">
        <v>2597</v>
      </c>
      <c r="G316" s="5" t="s">
        <v>2598</v>
      </c>
      <c r="H316" s="5" t="str">
        <f t="shared" si="30"/>
        <v>att_organsystem</v>
      </c>
      <c r="I316" s="5" t="s">
        <v>2142</v>
      </c>
      <c r="J316" s="5" t="str">
        <f t="shared" si="31"/>
        <v>att_organsystem:cardiovascular</v>
      </c>
      <c r="K316" s="9" t="s">
        <v>17</v>
      </c>
      <c r="L316" s="5" t="s">
        <v>2145</v>
      </c>
      <c r="M316" s="5" t="s">
        <v>13</v>
      </c>
      <c r="N316" s="5" t="str">
        <f t="shared" si="32"/>
        <v>INSERT INTO attributes (parent_id, tag, name, priority, allow_as_filter, allow_for_dataset, allow_for_measurement, allow_for_users, allow_for_qc) VALUES (NULL, 'att_organsystem',  'Organ System',  500,  TRUE, TRUE, TRUE, FALSE, FALSE);</v>
      </c>
      <c r="O316" s="5"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0" t="b">
        <f>FALSE()</f>
        <v>0</v>
      </c>
      <c r="B317" s="10"/>
      <c r="C317" s="5" t="s">
        <v>2146</v>
      </c>
      <c r="D317" s="5" t="s">
        <v>2147</v>
      </c>
      <c r="E317" s="5" t="s">
        <v>13</v>
      </c>
      <c r="F317" s="5" t="s">
        <v>2597</v>
      </c>
      <c r="G317" s="5" t="s">
        <v>2598</v>
      </c>
      <c r="H317" s="5" t="str">
        <f t="shared" si="30"/>
        <v>att_organsystem</v>
      </c>
      <c r="I317" s="5" t="s">
        <v>2146</v>
      </c>
      <c r="J317" s="5" t="str">
        <f t="shared" si="31"/>
        <v>att_organsystem:digestive</v>
      </c>
      <c r="K317" s="9" t="s">
        <v>17</v>
      </c>
      <c r="L317" s="5" t="s">
        <v>2148</v>
      </c>
      <c r="M317" s="5" t="s">
        <v>13</v>
      </c>
      <c r="N317" s="5" t="str">
        <f t="shared" si="32"/>
        <v>INSERT INTO attributes (parent_id, tag, name, priority, allow_as_filter, allow_for_dataset, allow_for_measurement, allow_for_users, allow_for_qc) VALUES (NULL, 'att_organsystem',  'Organ System',  500,  TRUE, TRUE, TRUE, FALSE, FALSE);</v>
      </c>
      <c r="O317" s="5" t="str">
        <f t="shared" si="33"/>
        <v xml:space="preserve">INSERT INTO attribute_values (attribute_id, tag, name, details) VALUES ((SELECT id FROM attributes WHERE tag = 'att_organsystem' LIMIT 1),  'att_organsystem:digestive',  'Digestive',  'Digestive System'); </v>
      </c>
    </row>
    <row r="318" spans="1:15" x14ac:dyDescent="0.15">
      <c r="A318" s="10" t="b">
        <f>FALSE()</f>
        <v>0</v>
      </c>
      <c r="B318" s="10"/>
      <c r="C318" s="5" t="s">
        <v>2149</v>
      </c>
      <c r="D318" s="5" t="s">
        <v>2150</v>
      </c>
      <c r="E318" s="5" t="s">
        <v>13</v>
      </c>
      <c r="F318" s="5" t="s">
        <v>2597</v>
      </c>
      <c r="G318" s="5" t="s">
        <v>2598</v>
      </c>
      <c r="H318" s="5" t="str">
        <f t="shared" si="30"/>
        <v>att_organsystem</v>
      </c>
      <c r="I318" s="5" t="s">
        <v>2149</v>
      </c>
      <c r="J318" s="5" t="str">
        <f t="shared" si="31"/>
        <v>att_organsystem:endocrine</v>
      </c>
      <c r="K318" s="9" t="s">
        <v>17</v>
      </c>
      <c r="L318" s="5" t="s">
        <v>2151</v>
      </c>
      <c r="M318" s="5" t="s">
        <v>13</v>
      </c>
      <c r="N318" s="5" t="str">
        <f t="shared" si="32"/>
        <v>INSERT INTO attributes (parent_id, tag, name, priority, allow_as_filter, allow_for_dataset, allow_for_measurement, allow_for_users, allow_for_qc) VALUES (NULL, 'att_organsystem',  'Organ System',  500,  TRUE, TRUE, TRUE, FALSE, FALSE);</v>
      </c>
      <c r="O318" s="5" t="str">
        <f t="shared" si="33"/>
        <v xml:space="preserve">INSERT INTO attribute_values (attribute_id, tag, name, details) VALUES ((SELECT id FROM attributes WHERE tag = 'att_organsystem' LIMIT 1),  'att_organsystem:endocrine',  'Endocrine',  'Endocrine System'); </v>
      </c>
    </row>
    <row r="319" spans="1:15" x14ac:dyDescent="0.15">
      <c r="A319" s="10" t="b">
        <f>FALSE()</f>
        <v>0</v>
      </c>
      <c r="B319" s="10"/>
      <c r="C319" s="5" t="s">
        <v>2152</v>
      </c>
      <c r="D319" s="5" t="s">
        <v>2153</v>
      </c>
      <c r="E319" s="5" t="s">
        <v>13</v>
      </c>
      <c r="F319" s="5" t="s">
        <v>2597</v>
      </c>
      <c r="G319" s="5" t="s">
        <v>2598</v>
      </c>
      <c r="H319" s="5" t="str">
        <f t="shared" si="30"/>
        <v>att_organsystem</v>
      </c>
      <c r="I319" s="5" t="s">
        <v>2152</v>
      </c>
      <c r="J319" s="5" t="str">
        <f t="shared" si="31"/>
        <v>att_organsystem:excretory</v>
      </c>
      <c r="K319" s="9" t="s">
        <v>17</v>
      </c>
      <c r="L319" s="5" t="s">
        <v>2154</v>
      </c>
      <c r="M319" s="5" t="s">
        <v>13</v>
      </c>
      <c r="N319" s="5" t="str">
        <f t="shared" si="32"/>
        <v>INSERT INTO attributes (parent_id, tag, name, priority, allow_as_filter, allow_for_dataset, allow_for_measurement, allow_for_users, allow_for_qc) VALUES (NULL, 'att_organsystem',  'Organ System',  500,  TRUE, TRUE, TRUE, FALSE, FALSE);</v>
      </c>
      <c r="O319" s="5" t="str">
        <f t="shared" si="33"/>
        <v xml:space="preserve">INSERT INTO attribute_values (attribute_id, tag, name, details) VALUES ((SELECT id FROM attributes WHERE tag = 'att_organsystem' LIMIT 1),  'att_organsystem:excretory',  'Excretory',  'Excretory System'); </v>
      </c>
    </row>
    <row r="320" spans="1:15" x14ac:dyDescent="0.15">
      <c r="A320" s="10" t="b">
        <f>FALSE()</f>
        <v>0</v>
      </c>
      <c r="B320" s="10"/>
      <c r="C320" s="5" t="s">
        <v>2155</v>
      </c>
      <c r="D320" s="5" t="s">
        <v>2156</v>
      </c>
      <c r="E320" s="5" t="s">
        <v>13</v>
      </c>
      <c r="F320" s="5" t="s">
        <v>2597</v>
      </c>
      <c r="G320" s="5" t="s">
        <v>2598</v>
      </c>
      <c r="H320" s="5" t="str">
        <f t="shared" si="30"/>
        <v>att_organsystem</v>
      </c>
      <c r="I320" s="5" t="s">
        <v>2155</v>
      </c>
      <c r="J320" s="5" t="str">
        <f t="shared" si="31"/>
        <v>att_organsystem:integumentary</v>
      </c>
      <c r="K320" s="9" t="s">
        <v>17</v>
      </c>
      <c r="L320" s="5" t="s">
        <v>2157</v>
      </c>
      <c r="M320" s="5" t="s">
        <v>13</v>
      </c>
      <c r="N320" s="5" t="str">
        <f t="shared" si="32"/>
        <v>INSERT INTO attributes (parent_id, tag, name, priority, allow_as_filter, allow_for_dataset, allow_for_measurement, allow_for_users, allow_for_qc) VALUES (NULL, 'att_organsystem',  'Organ System',  500,  TRUE, TRUE, TRUE, FALSE, FALSE);</v>
      </c>
      <c r="O320" s="5"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0" t="b">
        <f>FALSE()</f>
        <v>0</v>
      </c>
      <c r="B321" s="10"/>
      <c r="C321" s="5" t="s">
        <v>2158</v>
      </c>
      <c r="D321" s="5" t="s">
        <v>2159</v>
      </c>
      <c r="E321" s="5" t="s">
        <v>13</v>
      </c>
      <c r="F321" s="5" t="s">
        <v>2597</v>
      </c>
      <c r="G321" s="5" t="s">
        <v>2598</v>
      </c>
      <c r="H321" s="5" t="str">
        <f t="shared" si="30"/>
        <v>att_organsystem</v>
      </c>
      <c r="I321" s="5" t="s">
        <v>2158</v>
      </c>
      <c r="J321" s="5" t="str">
        <f t="shared" si="31"/>
        <v>att_organsystem:lymphatic</v>
      </c>
      <c r="K321" s="9" t="s">
        <v>17</v>
      </c>
      <c r="L321" s="5" t="s">
        <v>2160</v>
      </c>
      <c r="M321" s="5" t="s">
        <v>13</v>
      </c>
      <c r="N321" s="5" t="str">
        <f t="shared" si="32"/>
        <v>INSERT INTO attributes (parent_id, tag, name, priority, allow_as_filter, allow_for_dataset, allow_for_measurement, allow_for_users, allow_for_qc) VALUES (NULL, 'att_organsystem',  'Organ System',  500,  TRUE, TRUE, TRUE, FALSE, FALSE);</v>
      </c>
      <c r="O321" s="5" t="str">
        <f t="shared" si="33"/>
        <v xml:space="preserve">INSERT INTO attribute_values (attribute_id, tag, name, details) VALUES ((SELECT id FROM attributes WHERE tag = 'att_organsystem' LIMIT 1),  'att_organsystem:lymphatic',  'Lymphatic',  'Lymphatic System'); </v>
      </c>
    </row>
    <row r="322" spans="1:15" x14ac:dyDescent="0.15">
      <c r="A322" s="10" t="b">
        <f>FALSE()</f>
        <v>0</v>
      </c>
      <c r="B322" s="10"/>
      <c r="C322" s="5" t="s">
        <v>2161</v>
      </c>
      <c r="D322" s="5" t="s">
        <v>2162</v>
      </c>
      <c r="E322" s="5" t="s">
        <v>13</v>
      </c>
      <c r="F322" s="5" t="s">
        <v>2597</v>
      </c>
      <c r="G322" s="5" t="s">
        <v>2598</v>
      </c>
      <c r="H322" s="5" t="str">
        <f t="shared" si="30"/>
        <v>att_organsystem</v>
      </c>
      <c r="I322" s="5" t="s">
        <v>2161</v>
      </c>
      <c r="J322" s="5" t="str">
        <f t="shared" si="31"/>
        <v>att_organsystem:muscular</v>
      </c>
      <c r="K322" s="9" t="s">
        <v>17</v>
      </c>
      <c r="L322" s="5" t="s">
        <v>2163</v>
      </c>
      <c r="M322" s="5" t="s">
        <v>13</v>
      </c>
      <c r="N322" s="5" t="str">
        <f t="shared" si="32"/>
        <v>INSERT INTO attributes (parent_id, tag, name, priority, allow_as_filter, allow_for_dataset, allow_for_measurement, allow_for_users, allow_for_qc) VALUES (NULL, 'att_organsystem',  'Organ System',  500,  TRUE, TRUE, TRUE, FALSE, FALSE);</v>
      </c>
      <c r="O322" s="5" t="str">
        <f t="shared" si="33"/>
        <v xml:space="preserve">INSERT INTO attribute_values (attribute_id, tag, name, details) VALUES ((SELECT id FROM attributes WHERE tag = 'att_organsystem' LIMIT 1),  'att_organsystem:muscular',  'Muscular',  'Muscular System'); </v>
      </c>
    </row>
    <row r="323" spans="1:15" x14ac:dyDescent="0.15">
      <c r="A323" s="10" t="b">
        <f>FALSE()</f>
        <v>0</v>
      </c>
      <c r="B323" s="10"/>
      <c r="C323" s="5" t="s">
        <v>2599</v>
      </c>
      <c r="D323" s="5" t="s">
        <v>2165</v>
      </c>
      <c r="E323" s="5" t="s">
        <v>13</v>
      </c>
      <c r="F323" s="5" t="s">
        <v>2597</v>
      </c>
      <c r="G323" s="5" t="s">
        <v>2598</v>
      </c>
      <c r="H323" s="5" t="str">
        <f t="shared" si="30"/>
        <v>att_organsystem</v>
      </c>
      <c r="I323" s="5" t="s">
        <v>2164</v>
      </c>
      <c r="J323" s="5" t="str">
        <f t="shared" si="31"/>
        <v>att_organsystem:nervous_system</v>
      </c>
      <c r="K323" s="9" t="s">
        <v>17</v>
      </c>
      <c r="L323" s="5" t="s">
        <v>2166</v>
      </c>
      <c r="M323" s="5" t="s">
        <v>13</v>
      </c>
      <c r="N323" s="5" t="str">
        <f t="shared" si="32"/>
        <v>INSERT INTO attributes (parent_id, tag, name, priority, allow_as_filter, allow_for_dataset, allow_for_measurement, allow_for_users, allow_for_qc) VALUES (NULL, 'att_organsystem',  'Organ System',  500,  TRUE, TRUE, TRUE, FALSE, FALSE);</v>
      </c>
      <c r="O323" s="5" t="str">
        <f t="shared" si="33"/>
        <v xml:space="preserve">INSERT INTO attribute_values (attribute_id, tag, name, details) VALUES ((SELECT id FROM attributes WHERE tag = 'att_organsystem' LIMIT 1),  'att_organsystem:nervous_system',  'Nervous',  'Nervous System'); </v>
      </c>
    </row>
    <row r="324" spans="1:15" x14ac:dyDescent="0.15">
      <c r="A324" s="10" t="b">
        <f>FALSE()</f>
        <v>0</v>
      </c>
      <c r="B324" s="10"/>
      <c r="C324" s="5" t="s">
        <v>2167</v>
      </c>
      <c r="D324" s="5" t="s">
        <v>2168</v>
      </c>
      <c r="E324" s="5" t="s">
        <v>13</v>
      </c>
      <c r="F324" s="5" t="s">
        <v>2597</v>
      </c>
      <c r="G324" s="5" t="s">
        <v>2598</v>
      </c>
      <c r="H324" s="5" t="str">
        <f t="shared" si="30"/>
        <v>att_organsystem</v>
      </c>
      <c r="I324" s="5" t="s">
        <v>2167</v>
      </c>
      <c r="J324" s="5" t="str">
        <f t="shared" si="31"/>
        <v>att_organsystem:reproductive</v>
      </c>
      <c r="K324" s="9" t="s">
        <v>17</v>
      </c>
      <c r="L324" s="5" t="s">
        <v>2169</v>
      </c>
      <c r="M324" s="5" t="s">
        <v>13</v>
      </c>
      <c r="N324" s="5" t="str">
        <f t="shared" si="32"/>
        <v>INSERT INTO attributes (parent_id, tag, name, priority, allow_as_filter, allow_for_dataset, allow_for_measurement, allow_for_users, allow_for_qc) VALUES (NULL, 'att_organsystem',  'Organ System',  500,  TRUE, TRUE, TRUE, FALSE, FALSE);</v>
      </c>
      <c r="O324" s="5"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0" t="b">
        <f>FALSE()</f>
        <v>0</v>
      </c>
      <c r="B325" s="10"/>
      <c r="C325" s="5" t="s">
        <v>2170</v>
      </c>
      <c r="D325" s="5" t="s">
        <v>2171</v>
      </c>
      <c r="E325" s="5" t="s">
        <v>13</v>
      </c>
      <c r="F325" s="5" t="s">
        <v>2597</v>
      </c>
      <c r="G325" s="5" t="s">
        <v>2598</v>
      </c>
      <c r="H325" s="5" t="str">
        <f t="shared" si="30"/>
        <v>att_organsystem</v>
      </c>
      <c r="I325" s="5" t="s">
        <v>2170</v>
      </c>
      <c r="J325" s="5" t="str">
        <f t="shared" si="31"/>
        <v>att_organsystem:respiratory</v>
      </c>
      <c r="K325" s="9" t="s">
        <v>17</v>
      </c>
      <c r="L325" s="5" t="s">
        <v>2172</v>
      </c>
      <c r="M325" s="5" t="s">
        <v>13</v>
      </c>
      <c r="N325" s="5" t="str">
        <f t="shared" si="32"/>
        <v>INSERT INTO attributes (parent_id, tag, name, priority, allow_as_filter, allow_for_dataset, allow_for_measurement, allow_for_users, allow_for_qc) VALUES (NULL, 'att_organsystem',  'Organ System',  500,  TRUE, TRUE, TRUE, FALSE, FALSE);</v>
      </c>
      <c r="O325" s="5" t="str">
        <f t="shared" si="33"/>
        <v xml:space="preserve">INSERT INTO attribute_values (attribute_id, tag, name, details) VALUES ((SELECT id FROM attributes WHERE tag = 'att_organsystem' LIMIT 1),  'att_organsystem:respiratory',  'Respiratory',  'Respiratory System'); </v>
      </c>
    </row>
    <row r="326" spans="1:15" x14ac:dyDescent="0.15">
      <c r="A326" s="10" t="b">
        <f>FALSE()</f>
        <v>0</v>
      </c>
      <c r="B326" s="10"/>
      <c r="C326" s="5" t="s">
        <v>2173</v>
      </c>
      <c r="D326" s="5" t="s">
        <v>2174</v>
      </c>
      <c r="E326" s="5" t="s">
        <v>13</v>
      </c>
      <c r="F326" s="5" t="s">
        <v>2597</v>
      </c>
      <c r="G326" s="5" t="s">
        <v>2598</v>
      </c>
      <c r="H326" s="5" t="str">
        <f t="shared" si="30"/>
        <v>att_organsystem</v>
      </c>
      <c r="I326" s="5" t="s">
        <v>2173</v>
      </c>
      <c r="J326" s="5" t="str">
        <f t="shared" si="31"/>
        <v>att_organsystem:skeletal</v>
      </c>
      <c r="K326" s="9" t="s">
        <v>17</v>
      </c>
      <c r="L326" s="5" t="s">
        <v>2175</v>
      </c>
      <c r="M326" s="5" t="s">
        <v>13</v>
      </c>
      <c r="N326" s="5" t="str">
        <f t="shared" si="32"/>
        <v>INSERT INTO attributes (parent_id, tag, name, priority, allow_as_filter, allow_for_dataset, allow_for_measurement, allow_for_users, allow_for_qc) VALUES (NULL, 'att_organsystem',  'Organ System',  500,  TRUE, TRUE, TRUE, FALSE, FALSE);</v>
      </c>
      <c r="O326" s="5" t="str">
        <f t="shared" si="33"/>
        <v xml:space="preserve">INSERT INTO attribute_values (attribute_id, tag, name, details) VALUES ((SELECT id FROM attributes WHERE tag = 'att_organsystem' LIMIT 1),  'att_organsystem:skeletal',  'Skeletal',  'Skeletal System'); </v>
      </c>
    </row>
    <row r="327" spans="1:15" x14ac:dyDescent="0.15">
      <c r="A327" s="10" t="b">
        <f>FALSE()</f>
        <v>0</v>
      </c>
      <c r="B327" s="10"/>
      <c r="C327" s="5" t="s">
        <v>2176</v>
      </c>
      <c r="D327" s="5" t="s">
        <v>2177</v>
      </c>
      <c r="E327" s="5" t="s">
        <v>13</v>
      </c>
      <c r="F327" s="5" t="s">
        <v>2597</v>
      </c>
      <c r="G327" s="5" t="s">
        <v>2598</v>
      </c>
      <c r="H327" s="5" t="str">
        <f t="shared" si="30"/>
        <v>att_organsystem</v>
      </c>
      <c r="I327" s="5" t="s">
        <v>2176</v>
      </c>
      <c r="J327" s="5" t="str">
        <f t="shared" si="31"/>
        <v>att_organsystem:urinary</v>
      </c>
      <c r="K327" s="9" t="s">
        <v>17</v>
      </c>
      <c r="L327" s="5" t="s">
        <v>2178</v>
      </c>
      <c r="M327" s="5" t="s">
        <v>13</v>
      </c>
      <c r="N327" s="5" t="str">
        <f t="shared" si="32"/>
        <v>INSERT INTO attributes (parent_id, tag, name, priority, allow_as_filter, allow_for_dataset, allow_for_measurement, allow_for_users, allow_for_qc) VALUES (NULL, 'att_organsystem',  'Organ System',  500,  TRUE, TRUE, TRUE, FALSE, FALSE);</v>
      </c>
      <c r="O327" s="5" t="str">
        <f t="shared" si="33"/>
        <v xml:space="preserve">INSERT INTO attribute_values (attribute_id, tag, name, details) VALUES ((SELECT id FROM attributes WHERE tag = 'att_organsystem' LIMIT 1),  'att_organsystem:urinary',  'Urinary',  'Urinary system'); </v>
      </c>
    </row>
    <row r="328" spans="1:15" s="12" customFormat="1" x14ac:dyDescent="0.15">
      <c r="A328" s="11" t="b">
        <f>FALSE()</f>
        <v>0</v>
      </c>
      <c r="B328" s="11"/>
      <c r="C328" s="12" t="s">
        <v>2600</v>
      </c>
      <c r="D328" s="12" t="s">
        <v>2601</v>
      </c>
      <c r="E328" s="12" t="s">
        <v>13</v>
      </c>
      <c r="F328" s="12" t="s">
        <v>2602</v>
      </c>
      <c r="G328" s="12" t="s">
        <v>2603</v>
      </c>
      <c r="H328" s="12" t="str">
        <f t="shared" si="30"/>
        <v>att_phenotype</v>
      </c>
      <c r="I328" s="12" t="s">
        <v>2600</v>
      </c>
      <c r="J328" s="12" t="str">
        <f t="shared" si="31"/>
        <v>att_phenotype:kd</v>
      </c>
      <c r="K328" s="13" t="s">
        <v>17</v>
      </c>
      <c r="L328" s="12" t="s">
        <v>109</v>
      </c>
      <c r="M328" s="12" t="s">
        <v>13</v>
      </c>
      <c r="N328" s="12" t="str">
        <f t="shared" si="32"/>
        <v>INSERT INTO attributes (parent_id, tag, name, priority, allow_as_filter, allow_for_dataset, allow_for_measurement, allow_for_users, allow_for_qc) VALUES (NULL, 'att_phenotype',  'Phenotype',  500,  TRUE, TRUE, TRUE, FALSE, FALSE);</v>
      </c>
      <c r="O328" s="12" t="str">
        <f t="shared" si="33"/>
        <v xml:space="preserve">INSERT INTO attribute_values (attribute_id, tag, name, details) VALUES ((SELECT id FROM attributes WHERE tag = 'att_phenotype' LIMIT 1),  'att_phenotype:kd',  'knockdown (kd)',  'knockdown'); </v>
      </c>
    </row>
    <row r="329" spans="1:15" s="12" customFormat="1" x14ac:dyDescent="0.15">
      <c r="A329" s="11" t="b">
        <f>FALSE()</f>
        <v>0</v>
      </c>
      <c r="B329" s="11"/>
      <c r="C329" s="12" t="s">
        <v>1209</v>
      </c>
      <c r="D329" s="12" t="s">
        <v>2604</v>
      </c>
      <c r="E329" s="12" t="s">
        <v>13</v>
      </c>
      <c r="F329" s="12" t="s">
        <v>2602</v>
      </c>
      <c r="G329" s="12" t="s">
        <v>2603</v>
      </c>
      <c r="H329" s="12" t="str">
        <f t="shared" si="30"/>
        <v>att_phenotype</v>
      </c>
      <c r="I329" s="12" t="s">
        <v>1209</v>
      </c>
      <c r="J329" s="12" t="str">
        <f t="shared" si="31"/>
        <v>att_phenotype:ko</v>
      </c>
      <c r="K329" s="13" t="s">
        <v>17</v>
      </c>
      <c r="L329" s="12" t="s">
        <v>2530</v>
      </c>
      <c r="M329" s="12" t="s">
        <v>13</v>
      </c>
      <c r="N329" s="12" t="str">
        <f t="shared" si="32"/>
        <v>INSERT INTO attributes (parent_id, tag, name, priority, allow_as_filter, allow_for_dataset, allow_for_measurement, allow_for_users, allow_for_qc) VALUES (NULL, 'att_phenotype',  'Phenotype',  500,  TRUE, TRUE, TRUE, FALSE, FALSE);</v>
      </c>
      <c r="O329" s="12" t="str">
        <f t="shared" si="33"/>
        <v xml:space="preserve">INSERT INTO attribute_values (attribute_id, tag, name, details) VALUES ((SELECT id FROM attributes WHERE tag = 'att_phenotype' LIMIT 1),  'att_phenotype:ko',  'knockout (ko)',  'knockout'); </v>
      </c>
    </row>
    <row r="330" spans="1:15" s="12" customFormat="1" x14ac:dyDescent="0.15">
      <c r="A330" s="11" t="b">
        <f>FALSE()</f>
        <v>0</v>
      </c>
      <c r="B330" s="11"/>
      <c r="C330" s="12" t="s">
        <v>2605</v>
      </c>
      <c r="D330" s="12" t="s">
        <v>2606</v>
      </c>
      <c r="E330" s="12" t="s">
        <v>13</v>
      </c>
      <c r="F330" s="12" t="s">
        <v>2602</v>
      </c>
      <c r="G330" s="12" t="s">
        <v>2603</v>
      </c>
      <c r="H330" s="12" t="str">
        <f t="shared" si="30"/>
        <v>att_phenotype</v>
      </c>
      <c r="I330" s="12" t="s">
        <v>2605</v>
      </c>
      <c r="J330" s="12" t="str">
        <f t="shared" si="31"/>
        <v>att_phenotype:mt</v>
      </c>
      <c r="K330" s="13" t="s">
        <v>17</v>
      </c>
      <c r="L330" s="12" t="s">
        <v>2607</v>
      </c>
      <c r="M330" s="12" t="s">
        <v>13</v>
      </c>
      <c r="N330" s="12" t="str">
        <f t="shared" si="32"/>
        <v>INSERT INTO attributes (parent_id, tag, name, priority, allow_as_filter, allow_for_dataset, allow_for_measurement, allow_for_users, allow_for_qc) VALUES (NULL, 'att_phenotype',  'Phenotype',  500,  TRUE, TRUE, TRUE, FALSE, FALSE);</v>
      </c>
      <c r="O330" s="12" t="str">
        <f t="shared" si="33"/>
        <v xml:space="preserve">INSERT INTO attribute_values (attribute_id, tag, name, details) VALUES ((SELECT id FROM attributes WHERE tag = 'att_phenotype' LIMIT 1),  'att_phenotype:mt',  'mutant (mt)',  'mutated'); </v>
      </c>
    </row>
    <row r="331" spans="1:15" s="12" customFormat="1" x14ac:dyDescent="0.15">
      <c r="A331" s="11" t="b">
        <f>FALSE()</f>
        <v>0</v>
      </c>
      <c r="B331" s="11"/>
      <c r="C331" s="12" t="s">
        <v>2608</v>
      </c>
      <c r="D331" s="12" t="s">
        <v>2609</v>
      </c>
      <c r="E331" s="12" t="s">
        <v>13</v>
      </c>
      <c r="F331" s="12" t="s">
        <v>2602</v>
      </c>
      <c r="G331" s="12" t="s">
        <v>2603</v>
      </c>
      <c r="H331" s="12" t="str">
        <f t="shared" si="30"/>
        <v>att_phenotype</v>
      </c>
      <c r="I331" s="12" t="s">
        <v>2608</v>
      </c>
      <c r="J331" s="12" t="str">
        <f t="shared" si="31"/>
        <v>att_phenotype:wt</v>
      </c>
      <c r="K331" s="13" t="s">
        <v>17</v>
      </c>
      <c r="L331" s="12" t="s">
        <v>2610</v>
      </c>
      <c r="M331" s="12" t="s">
        <v>13</v>
      </c>
      <c r="N331" s="12" t="str">
        <f t="shared" si="32"/>
        <v>INSERT INTO attributes (parent_id, tag, name, priority, allow_as_filter, allow_for_dataset, allow_for_measurement, allow_for_users, allow_for_qc) VALUES (NULL, 'att_phenotype',  'Phenotype',  500,  TRUE, TRUE, TRUE, FALSE, FALSE);</v>
      </c>
      <c r="O331" s="12" t="str">
        <f t="shared" si="33"/>
        <v xml:space="preserve">INSERT INTO attribute_values (attribute_id, tag, name, details) VALUES ((SELECT id FROM attributes WHERE tag = 'att_phenotype' LIMIT 1),  'att_phenotype:wt',  'wild type (wt)',  'wilde type cells'); </v>
      </c>
    </row>
    <row r="332" spans="1:15" x14ac:dyDescent="0.15">
      <c r="A332" s="9" t="s">
        <v>17</v>
      </c>
      <c r="B332" s="9"/>
      <c r="C332" s="5" t="s">
        <v>2260</v>
      </c>
      <c r="D332" s="5" t="s">
        <v>2260</v>
      </c>
      <c r="E332" s="5" t="s">
        <v>13</v>
      </c>
      <c r="F332" s="5" t="s">
        <v>162</v>
      </c>
      <c r="G332" s="5" t="s">
        <v>2611</v>
      </c>
      <c r="H332" s="5" t="str">
        <f t="shared" si="30"/>
        <v>att_quantification</v>
      </c>
      <c r="I332" s="5" t="s">
        <v>2260</v>
      </c>
      <c r="J332" s="5" t="str">
        <f t="shared" si="31"/>
        <v>att_quantification:isobaric</v>
      </c>
      <c r="K332" s="9" t="s">
        <v>17</v>
      </c>
      <c r="L332" s="5" t="s">
        <v>2261</v>
      </c>
      <c r="M332" s="5" t="s">
        <v>13</v>
      </c>
      <c r="N332" s="5" t="str">
        <f t="shared" si="32"/>
        <v>INSERT INTO attributes (parent_id, tag, name, priority, allow_as_filter, allow_for_dataset, allow_for_measurement, allow_for_users, allow_for_qc) VALUES (NULL, 'att_quantification',  'Quantification Type',  500,  TRUE, TRUE, TRUE, FALSE, FALSE);</v>
      </c>
      <c r="O332" s="5" t="str">
        <f t="shared" si="33"/>
        <v xml:space="preserve">INSERT INTO attribute_values (attribute_id, tag, name, details) VALUES ((SELECT id FROM attributes WHERE tag = 'att_quantification' LIMIT 1),  'att_quantification:isobaric',  'isobaric',  'isobaric (TMT)'); </v>
      </c>
    </row>
    <row r="333" spans="1:15" x14ac:dyDescent="0.15">
      <c r="A333" s="9" t="s">
        <v>17</v>
      </c>
      <c r="B333" s="9"/>
      <c r="C333" s="5" t="s">
        <v>2262</v>
      </c>
      <c r="D333" s="5" t="s">
        <v>2262</v>
      </c>
      <c r="E333" s="5" t="s">
        <v>13</v>
      </c>
      <c r="F333" s="5" t="s">
        <v>162</v>
      </c>
      <c r="G333" s="5" t="s">
        <v>2611</v>
      </c>
      <c r="H333" s="5" t="str">
        <f t="shared" ref="H333:H364" si="34">"att_"&amp;G333</f>
        <v>att_quantification</v>
      </c>
      <c r="I333" s="5" t="s">
        <v>2262</v>
      </c>
      <c r="J333" s="5" t="str">
        <f t="shared" ref="J333:J364" si="35">H333&amp;":"&amp;I333</f>
        <v>att_quantification:istopic</v>
      </c>
      <c r="K333" s="9" t="s">
        <v>17</v>
      </c>
      <c r="L333" s="5" t="s">
        <v>2263</v>
      </c>
      <c r="M333" s="5" t="s">
        <v>13</v>
      </c>
      <c r="N333" s="5"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5"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9" t="s">
        <v>17</v>
      </c>
      <c r="B334" s="9"/>
      <c r="C334" s="5" t="s">
        <v>2612</v>
      </c>
      <c r="D334" s="5" t="s">
        <v>2265</v>
      </c>
      <c r="E334" s="5" t="s">
        <v>13</v>
      </c>
      <c r="F334" s="5" t="s">
        <v>162</v>
      </c>
      <c r="G334" s="5" t="s">
        <v>2611</v>
      </c>
      <c r="H334" s="5" t="str">
        <f t="shared" si="34"/>
        <v>att_quantification</v>
      </c>
      <c r="I334" s="5" t="s">
        <v>2264</v>
      </c>
      <c r="J334" s="5" t="str">
        <f t="shared" si="35"/>
        <v>att_quantification:label_free</v>
      </c>
      <c r="K334" s="9" t="s">
        <v>17</v>
      </c>
      <c r="L334" s="5" t="s">
        <v>2266</v>
      </c>
      <c r="M334" s="5" t="s">
        <v>13</v>
      </c>
      <c r="N334" s="5" t="str">
        <f t="shared" si="36"/>
        <v>INSERT INTO attributes (parent_id, tag, name, priority, allow_as_filter, allow_for_dataset, allow_for_measurement, allow_for_users, allow_for_qc) VALUES (NULL, 'att_quantification',  'Quantification Type',  500,  TRUE, TRUE, TRUE, FALSE, FALSE);</v>
      </c>
      <c r="O334" s="5"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9" t="s">
        <v>17</v>
      </c>
      <c r="B335" s="9"/>
      <c r="C335" s="5" t="s">
        <v>2267</v>
      </c>
      <c r="D335" s="5" t="s">
        <v>2267</v>
      </c>
      <c r="E335" s="5" t="s">
        <v>13</v>
      </c>
      <c r="F335" s="5" t="s">
        <v>162</v>
      </c>
      <c r="G335" s="5" t="s">
        <v>2611</v>
      </c>
      <c r="H335" s="5" t="str">
        <f t="shared" si="34"/>
        <v>att_quantification</v>
      </c>
      <c r="I335" s="5" t="s">
        <v>2267</v>
      </c>
      <c r="J335" s="5" t="str">
        <f t="shared" si="35"/>
        <v>att_quantification:silac</v>
      </c>
      <c r="K335" s="9" t="s">
        <v>17</v>
      </c>
      <c r="L335" s="5" t="s">
        <v>2268</v>
      </c>
      <c r="M335" s="5" t="s">
        <v>13</v>
      </c>
      <c r="N335" s="5" t="str">
        <f t="shared" si="36"/>
        <v>INSERT INTO attributes (parent_id, tag, name, priority, allow_as_filter, allow_for_dataset, allow_for_measurement, allow_for_users, allow_for_qc) VALUES (NULL, 'att_quantification',  'Quantification Type',  500,  TRUE, TRUE, TRUE, FALSE, FALSE);</v>
      </c>
      <c r="O335" s="5"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0" t="b">
        <f>FALSE()</f>
        <v>0</v>
      </c>
      <c r="B336" s="10"/>
      <c r="C336" s="5" t="s">
        <v>1342</v>
      </c>
      <c r="D336" s="5" t="s">
        <v>1343</v>
      </c>
      <c r="E336" s="5" t="s">
        <v>13</v>
      </c>
      <c r="F336" s="5" t="s">
        <v>2613</v>
      </c>
      <c r="G336" s="5" t="s">
        <v>2614</v>
      </c>
      <c r="H336" s="5" t="str">
        <f t="shared" si="34"/>
        <v>att_signalling</v>
      </c>
      <c r="I336" s="5" t="s">
        <v>1342</v>
      </c>
      <c r="J336" s="5" t="str">
        <f t="shared" si="35"/>
        <v>att_signalling:apoptosis</v>
      </c>
      <c r="K336" s="9" t="s">
        <v>17</v>
      </c>
      <c r="L336" s="5" t="s">
        <v>2277</v>
      </c>
      <c r="M336" s="5" t="s">
        <v>13</v>
      </c>
      <c r="N336" s="5" t="str">
        <f t="shared" si="36"/>
        <v>INSERT INTO attributes (parent_id, tag, name, priority, allow_as_filter, allow_for_dataset, allow_for_measurement, allow_for_users, allow_for_qc) VALUES (NULL, 'att_signalling',  'Signallling Pathway',  500,  TRUE, TRUE, TRUE, FALSE, FALSE);</v>
      </c>
      <c r="O336" s="5"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0" t="b">
        <f>FALSE()</f>
        <v>0</v>
      </c>
      <c r="B337" s="10"/>
      <c r="C337" s="5" t="s">
        <v>2278</v>
      </c>
      <c r="D337" s="5" t="s">
        <v>2279</v>
      </c>
      <c r="E337" s="5" t="s">
        <v>13</v>
      </c>
      <c r="F337" s="5" t="s">
        <v>2613</v>
      </c>
      <c r="G337" s="5" t="s">
        <v>2614</v>
      </c>
      <c r="H337" s="5" t="str">
        <f t="shared" si="34"/>
        <v>att_signalling</v>
      </c>
      <c r="I337" s="5" t="s">
        <v>2278</v>
      </c>
      <c r="J337" s="5" t="str">
        <f t="shared" si="35"/>
        <v>att_signalling:autocrine</v>
      </c>
      <c r="K337" s="9" t="s">
        <v>17</v>
      </c>
      <c r="L337" s="5" t="s">
        <v>2280</v>
      </c>
      <c r="M337" s="5" t="s">
        <v>13</v>
      </c>
      <c r="N337" s="5" t="str">
        <f t="shared" si="36"/>
        <v>INSERT INTO attributes (parent_id, tag, name, priority, allow_as_filter, allow_for_dataset, allow_for_measurement, allow_for_users, allow_for_qc) VALUES (NULL, 'att_signalling',  'Signallling Pathway',  500,  TRUE, TRUE, TRUE, FALSE, FALSE);</v>
      </c>
      <c r="O337" s="5"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0" t="b">
        <f>FALSE()</f>
        <v>0</v>
      </c>
      <c r="B338" s="10"/>
      <c r="C338" s="5" t="s">
        <v>2281</v>
      </c>
      <c r="D338" s="5" t="s">
        <v>2282</v>
      </c>
      <c r="E338" s="5" t="s">
        <v>13</v>
      </c>
      <c r="F338" s="5" t="s">
        <v>2613</v>
      </c>
      <c r="G338" s="5" t="s">
        <v>2614</v>
      </c>
      <c r="H338" s="5" t="str">
        <f t="shared" si="34"/>
        <v>att_signalling</v>
      </c>
      <c r="I338" s="5" t="s">
        <v>2281</v>
      </c>
      <c r="J338" s="5" t="str">
        <f t="shared" si="35"/>
        <v>att_signalling:complement</v>
      </c>
      <c r="K338" s="9" t="s">
        <v>17</v>
      </c>
      <c r="L338" s="5" t="s">
        <v>2283</v>
      </c>
      <c r="M338" s="5" t="s">
        <v>13</v>
      </c>
      <c r="N338" s="5" t="str">
        <f t="shared" si="36"/>
        <v>INSERT INTO attributes (parent_id, tag, name, priority, allow_as_filter, allow_for_dataset, allow_for_measurement, allow_for_users, allow_for_qc) VALUES (NULL, 'att_signalling',  'Signallling Pathway',  500,  TRUE, TRUE, TRUE, FALSE, FALSE);</v>
      </c>
      <c r="O338" s="5" t="str">
        <f t="shared" si="37"/>
        <v xml:space="preserve">INSERT INTO attribute_values (attribute_id, tag, name, details) VALUES ((SELECT id FROM attributes WHERE tag = 'att_signalling' LIMIT 1),  'att_signalling:complement',  'Complement',  'Complement system'); </v>
      </c>
    </row>
    <row r="339" spans="1:15" x14ac:dyDescent="0.15">
      <c r="A339" s="10" t="b">
        <f>FALSE()</f>
        <v>0</v>
      </c>
      <c r="B339" s="10"/>
      <c r="C339" s="5" t="s">
        <v>2284</v>
      </c>
      <c r="D339" s="5" t="s">
        <v>2285</v>
      </c>
      <c r="E339" s="5" t="s">
        <v>13</v>
      </c>
      <c r="F339" s="5" t="s">
        <v>2613</v>
      </c>
      <c r="G339" s="5" t="s">
        <v>2614</v>
      </c>
      <c r="H339" s="5" t="str">
        <f t="shared" si="34"/>
        <v>att_signalling</v>
      </c>
      <c r="I339" s="5" t="s">
        <v>2284</v>
      </c>
      <c r="J339" s="5" t="str">
        <f t="shared" si="35"/>
        <v>att_signalling:cytokines</v>
      </c>
      <c r="K339" s="9" t="s">
        <v>17</v>
      </c>
      <c r="L339" s="5" t="s">
        <v>2286</v>
      </c>
      <c r="M339" s="5" t="s">
        <v>13</v>
      </c>
      <c r="N339" s="5" t="str">
        <f t="shared" si="36"/>
        <v>INSERT INTO attributes (parent_id, tag, name, priority, allow_as_filter, allow_for_dataset, allow_for_measurement, allow_for_users, allow_for_qc) VALUES (NULL, 'att_signalling',  'Signallling Pathway',  500,  TRUE, TRUE, TRUE, FALSE, FALSE);</v>
      </c>
      <c r="O339" s="5"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0" t="b">
        <f>FALSE()</f>
        <v>0</v>
      </c>
      <c r="B340" s="10"/>
      <c r="C340" s="5" t="s">
        <v>2287</v>
      </c>
      <c r="D340" s="5" t="s">
        <v>2288</v>
      </c>
      <c r="E340" s="5" t="s">
        <v>13</v>
      </c>
      <c r="F340" s="5" t="s">
        <v>2613</v>
      </c>
      <c r="G340" s="5" t="s">
        <v>2614</v>
      </c>
      <c r="H340" s="5" t="str">
        <f t="shared" si="34"/>
        <v>att_signalling</v>
      </c>
      <c r="I340" s="5" t="s">
        <v>2287</v>
      </c>
      <c r="J340" s="5" t="str">
        <f t="shared" si="35"/>
        <v>att_signalling:inflammation</v>
      </c>
      <c r="K340" s="9" t="s">
        <v>17</v>
      </c>
      <c r="L340" s="5" t="s">
        <v>2289</v>
      </c>
      <c r="M340" s="5" t="s">
        <v>13</v>
      </c>
      <c r="N340" s="5" t="str">
        <f t="shared" si="36"/>
        <v>INSERT INTO attributes (parent_id, tag, name, priority, allow_as_filter, allow_for_dataset, allow_for_measurement, allow_for_users, allow_for_qc) VALUES (NULL, 'att_signalling',  'Signallling Pathway',  500,  TRUE, TRUE, TRUE, FALSE, FALSE);</v>
      </c>
      <c r="O340" s="5"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0" t="b">
        <f>FALSE()</f>
        <v>0</v>
      </c>
      <c r="B341" s="10"/>
      <c r="C341" s="5" t="s">
        <v>2290</v>
      </c>
      <c r="D341" s="5" t="s">
        <v>2291</v>
      </c>
      <c r="E341" s="5" t="s">
        <v>13</v>
      </c>
      <c r="F341" s="5" t="s">
        <v>2613</v>
      </c>
      <c r="G341" s="5" t="s">
        <v>2614</v>
      </c>
      <c r="H341" s="5" t="str">
        <f t="shared" si="34"/>
        <v>att_signalling</v>
      </c>
      <c r="I341" s="5" t="s">
        <v>2290</v>
      </c>
      <c r="J341" s="5" t="str">
        <f t="shared" si="35"/>
        <v>att_signalling:insulin</v>
      </c>
      <c r="K341" s="9" t="s">
        <v>17</v>
      </c>
      <c r="L341" s="5" t="s">
        <v>2292</v>
      </c>
      <c r="M341" s="5" t="s">
        <v>13</v>
      </c>
      <c r="N341" s="5" t="str">
        <f t="shared" si="36"/>
        <v>INSERT INTO attributes (parent_id, tag, name, priority, allow_as_filter, allow_for_dataset, allow_for_measurement, allow_for_users, allow_for_qc) VALUES (NULL, 'att_signalling',  'Signallling Pathway',  500,  TRUE, TRUE, TRUE, FALSE, FALSE);</v>
      </c>
      <c r="O341" s="5" t="str">
        <f t="shared" si="37"/>
        <v xml:space="preserve">INSERT INTO attribute_values (attribute_id, tag, name, details) VALUES ((SELECT id FROM attributes WHERE tag = 'att_signalling' LIMIT 1),  'att_signalling:insulin',  'Insulin',  'Insulin Signaling'); </v>
      </c>
    </row>
    <row r="342" spans="1:15" x14ac:dyDescent="0.15">
      <c r="A342" s="10" t="b">
        <f>FALSE()</f>
        <v>0</v>
      </c>
      <c r="B342" s="10"/>
      <c r="C342" s="5" t="s">
        <v>2293</v>
      </c>
      <c r="D342" s="5" t="s">
        <v>2294</v>
      </c>
      <c r="E342" s="5" t="s">
        <v>13</v>
      </c>
      <c r="F342" s="5" t="s">
        <v>2613</v>
      </c>
      <c r="G342" s="5" t="s">
        <v>2614</v>
      </c>
      <c r="H342" s="5" t="str">
        <f t="shared" si="34"/>
        <v>att_signalling</v>
      </c>
      <c r="I342" s="5" t="s">
        <v>2293</v>
      </c>
      <c r="J342" s="5" t="str">
        <f t="shared" si="35"/>
        <v>att_signalling:juxtacrine</v>
      </c>
      <c r="K342" s="9" t="s">
        <v>17</v>
      </c>
      <c r="L342" s="5" t="s">
        <v>2295</v>
      </c>
      <c r="M342" s="5" t="s">
        <v>13</v>
      </c>
      <c r="N342" s="5" t="str">
        <f t="shared" si="36"/>
        <v>INSERT INTO attributes (parent_id, tag, name, priority, allow_as_filter, allow_for_dataset, allow_for_measurement, allow_for_users, allow_for_qc) VALUES (NULL, 'att_signalling',  'Signallling Pathway',  500,  TRUE, TRUE, TRUE, FALSE, FALSE);</v>
      </c>
      <c r="O342" s="5"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0" t="b">
        <f>FALSE()</f>
        <v>0</v>
      </c>
      <c r="B343" s="10"/>
      <c r="C343" s="5" t="s">
        <v>2296</v>
      </c>
      <c r="D343" s="5" t="s">
        <v>2297</v>
      </c>
      <c r="E343" s="5" t="s">
        <v>13</v>
      </c>
      <c r="F343" s="5" t="s">
        <v>2613</v>
      </c>
      <c r="G343" s="5" t="s">
        <v>2614</v>
      </c>
      <c r="H343" s="5" t="str">
        <f t="shared" si="34"/>
        <v>att_signalling</v>
      </c>
      <c r="I343" s="5" t="s">
        <v>2296</v>
      </c>
      <c r="J343" s="5" t="str">
        <f t="shared" si="35"/>
        <v>att_signalling:necrosis</v>
      </c>
      <c r="K343" s="9" t="s">
        <v>17</v>
      </c>
      <c r="L343" s="5" t="s">
        <v>2298</v>
      </c>
      <c r="M343" s="5" t="s">
        <v>13</v>
      </c>
      <c r="N343" s="5" t="str">
        <f t="shared" si="36"/>
        <v>INSERT INTO attributes (parent_id, tag, name, priority, allow_as_filter, allow_for_dataset, allow_for_measurement, allow_for_users, allow_for_qc) VALUES (NULL, 'att_signalling',  'Signallling Pathway',  500,  TRUE, TRUE, TRUE, FALSE, FALSE);</v>
      </c>
      <c r="O343" s="5" t="str">
        <f t="shared" si="37"/>
        <v xml:space="preserve">INSERT INTO attribute_values (attribute_id, tag, name, details) VALUES ((SELECT id FROM attributes WHERE tag = 'att_signalling' LIMIT 1),  'att_signalling:necrosis',  'Necrosis',  'Uncontrolled cell death.'); </v>
      </c>
    </row>
    <row r="344" spans="1:15" x14ac:dyDescent="0.15">
      <c r="A344" s="10" t="b">
        <f>FALSE()</f>
        <v>0</v>
      </c>
      <c r="B344" s="10"/>
      <c r="C344" s="5" t="s">
        <v>2299</v>
      </c>
      <c r="D344" s="5" t="s">
        <v>2300</v>
      </c>
      <c r="E344" s="5" t="s">
        <v>13</v>
      </c>
      <c r="F344" s="5" t="s">
        <v>2613</v>
      </c>
      <c r="G344" s="5" t="s">
        <v>2614</v>
      </c>
      <c r="H344" s="5" t="str">
        <f t="shared" si="34"/>
        <v>att_signalling</v>
      </c>
      <c r="I344" s="5" t="s">
        <v>2299</v>
      </c>
      <c r="J344" s="5" t="str">
        <f t="shared" si="35"/>
        <v>att_signalling:paracrine</v>
      </c>
      <c r="K344" s="9" t="s">
        <v>17</v>
      </c>
      <c r="L344" s="5" t="s">
        <v>2301</v>
      </c>
      <c r="M344" s="5" t="s">
        <v>13</v>
      </c>
      <c r="N344" s="5" t="str">
        <f t="shared" si="36"/>
        <v>INSERT INTO attributes (parent_id, tag, name, priority, allow_as_filter, allow_for_dataset, allow_for_measurement, allow_for_users, allow_for_qc) VALUES (NULL, 'att_signalling',  'Signallling Pathway',  500,  TRUE, TRUE, TRUE, FALSE, FALSE);</v>
      </c>
      <c r="O344" s="5" t="str">
        <f t="shared" si="37"/>
        <v xml:space="preserve">INSERT INTO attribute_values (attribute_id, tag, name, details) VALUES ((SELECT id FROM attributes WHERE tag = 'att_signalling' LIMIT 1),  'att_signalling:paracrine',  'Paracrine',  'Cell-to-Cell Communication'); </v>
      </c>
    </row>
    <row r="345" spans="1:15" x14ac:dyDescent="0.15">
      <c r="A345" s="10" t="b">
        <f>FALSE()</f>
        <v>0</v>
      </c>
      <c r="B345" s="10"/>
      <c r="C345" s="5" t="s">
        <v>1690</v>
      </c>
      <c r="D345" s="5" t="s">
        <v>1691</v>
      </c>
      <c r="E345" s="5" t="s">
        <v>13</v>
      </c>
      <c r="F345" s="5" t="s">
        <v>2613</v>
      </c>
      <c r="G345" s="5" t="s">
        <v>2614</v>
      </c>
      <c r="H345" s="5" t="str">
        <f t="shared" si="34"/>
        <v>att_signalling</v>
      </c>
      <c r="I345" s="5" t="s">
        <v>1690</v>
      </c>
      <c r="J345" s="5" t="str">
        <f t="shared" si="35"/>
        <v>att_signalling:signaling</v>
      </c>
      <c r="K345" s="9" t="s">
        <v>17</v>
      </c>
      <c r="L345" s="5" t="s">
        <v>2302</v>
      </c>
      <c r="M345" s="5" t="s">
        <v>13</v>
      </c>
      <c r="N345" s="5" t="str">
        <f t="shared" si="36"/>
        <v>INSERT INTO attributes (parent_id, tag, name, priority, allow_as_filter, allow_for_dataset, allow_for_measurement, allow_for_users, allow_for_qc) VALUES (NULL, 'att_signalling',  'Signallling Pathway',  500,  TRUE, TRUE, TRUE, FALSE, FALSE);</v>
      </c>
      <c r="O345" s="5"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9" t="s">
        <v>17</v>
      </c>
      <c r="B346" s="10"/>
      <c r="C346" s="5" t="s">
        <v>2303</v>
      </c>
      <c r="D346" s="5" t="s">
        <v>2304</v>
      </c>
      <c r="E346" s="5" t="s">
        <v>13</v>
      </c>
      <c r="F346" s="5" t="s">
        <v>167</v>
      </c>
      <c r="G346" s="5" t="s">
        <v>2615</v>
      </c>
      <c r="H346" s="5" t="str">
        <f t="shared" si="34"/>
        <v>att_software</v>
      </c>
      <c r="I346" s="5" t="s">
        <v>2303</v>
      </c>
      <c r="J346" s="5" t="str">
        <f t="shared" si="35"/>
        <v>att_software:diann</v>
      </c>
      <c r="K346" s="9" t="s">
        <v>17</v>
      </c>
      <c r="L346" s="5" t="s">
        <v>2305</v>
      </c>
      <c r="M346" s="5" t="s">
        <v>13</v>
      </c>
      <c r="N346" s="5" t="str">
        <f t="shared" si="36"/>
        <v>INSERT INTO attributes (parent_id, tag, name, priority, allow_as_filter, allow_for_dataset, allow_for_measurement, allow_for_users, allow_for_qc) VALUES (NULL, 'att_software',  'Software',  500,  TRUE, TRUE, TRUE, FALSE, FALSE);</v>
      </c>
      <c r="O346" s="5"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9" t="s">
        <v>17</v>
      </c>
      <c r="B347" s="10"/>
      <c r="C347" s="5" t="s">
        <v>2306</v>
      </c>
      <c r="D347" s="5" t="s">
        <v>2307</v>
      </c>
      <c r="E347" s="5" t="s">
        <v>13</v>
      </c>
      <c r="F347" s="5" t="s">
        <v>167</v>
      </c>
      <c r="G347" s="5" t="s">
        <v>2615</v>
      </c>
      <c r="H347" s="5" t="str">
        <f t="shared" si="34"/>
        <v>att_software</v>
      </c>
      <c r="I347" s="5" t="s">
        <v>2306</v>
      </c>
      <c r="J347" s="5" t="str">
        <f t="shared" si="35"/>
        <v>att_software:maxquant</v>
      </c>
      <c r="K347" s="9" t="s">
        <v>17</v>
      </c>
      <c r="L347" s="5" t="s">
        <v>2308</v>
      </c>
      <c r="M347" s="5" t="s">
        <v>13</v>
      </c>
      <c r="N347" s="5" t="str">
        <f t="shared" si="36"/>
        <v>INSERT INTO attributes (parent_id, tag, name, priority, allow_as_filter, allow_for_dataset, allow_for_measurement, allow_for_users, allow_for_qc) VALUES (NULL, 'att_software',  'Software',  500,  TRUE, TRUE, TRUE, FALSE, FALSE);</v>
      </c>
      <c r="O347" s="5"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9" t="s">
        <v>17</v>
      </c>
      <c r="B348" s="10"/>
      <c r="C348" s="5" t="s">
        <v>2309</v>
      </c>
      <c r="D348" s="5" t="s">
        <v>2310</v>
      </c>
      <c r="E348" s="5" t="s">
        <v>13</v>
      </c>
      <c r="F348" s="5" t="s">
        <v>167</v>
      </c>
      <c r="G348" s="5" t="s">
        <v>2615</v>
      </c>
      <c r="H348" s="5" t="str">
        <f t="shared" si="34"/>
        <v>att_software</v>
      </c>
      <c r="I348" s="5" t="s">
        <v>2309</v>
      </c>
      <c r="J348" s="5" t="str">
        <f t="shared" si="35"/>
        <v>att_software:metamorpheus</v>
      </c>
      <c r="K348" s="9" t="s">
        <v>17</v>
      </c>
      <c r="L348" s="5" t="s">
        <v>2311</v>
      </c>
      <c r="M348" s="5" t="s">
        <v>13</v>
      </c>
      <c r="N348" s="5" t="str">
        <f t="shared" si="36"/>
        <v>INSERT INTO attributes (parent_id, tag, name, priority, allow_as_filter, allow_for_dataset, allow_for_measurement, allow_for_users, allow_for_qc) VALUES (NULL, 'att_software',  'Software',  500,  TRUE, TRUE, TRUE, FALSE, FALSE);</v>
      </c>
      <c r="O348" s="5"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9" t="s">
        <v>17</v>
      </c>
      <c r="B349" s="10"/>
      <c r="C349" s="5" t="s">
        <v>2312</v>
      </c>
      <c r="D349" s="5" t="s">
        <v>2313</v>
      </c>
      <c r="E349" s="5" t="s">
        <v>13</v>
      </c>
      <c r="F349" s="5" t="s">
        <v>167</v>
      </c>
      <c r="G349" s="5" t="s">
        <v>2615</v>
      </c>
      <c r="H349" s="5" t="str">
        <f t="shared" si="34"/>
        <v>att_software</v>
      </c>
      <c r="I349" s="5" t="s">
        <v>2312</v>
      </c>
      <c r="J349" s="5" t="str">
        <f t="shared" si="35"/>
        <v>att_software:minora</v>
      </c>
      <c r="K349" s="9" t="s">
        <v>17</v>
      </c>
      <c r="L349" s="5" t="s">
        <v>2314</v>
      </c>
      <c r="M349" s="5" t="s">
        <v>13</v>
      </c>
      <c r="N349" s="5" t="str">
        <f t="shared" si="36"/>
        <v>INSERT INTO attributes (parent_id, tag, name, priority, allow_as_filter, allow_for_dataset, allow_for_measurement, allow_for_users, allow_for_qc) VALUES (NULL, 'att_software',  'Software',  500,  TRUE, TRUE, TRUE, FALSE, FALSE);</v>
      </c>
      <c r="O349" s="5"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9" t="s">
        <v>17</v>
      </c>
      <c r="B350" s="10"/>
      <c r="C350" s="5" t="s">
        <v>2315</v>
      </c>
      <c r="D350" s="5" t="s">
        <v>2316</v>
      </c>
      <c r="E350" s="5" t="s">
        <v>13</v>
      </c>
      <c r="F350" s="5" t="s">
        <v>167</v>
      </c>
      <c r="G350" s="5" t="s">
        <v>2615</v>
      </c>
      <c r="H350" s="5" t="str">
        <f t="shared" si="34"/>
        <v>att_software</v>
      </c>
      <c r="I350" s="5" t="s">
        <v>2315</v>
      </c>
      <c r="J350" s="5" t="str">
        <f t="shared" si="35"/>
        <v>att_software:msfragger</v>
      </c>
      <c r="K350" s="9" t="s">
        <v>17</v>
      </c>
      <c r="L350" s="5" t="s">
        <v>2317</v>
      </c>
      <c r="M350" s="5" t="s">
        <v>13</v>
      </c>
      <c r="N350" s="5" t="str">
        <f t="shared" si="36"/>
        <v>INSERT INTO attributes (parent_id, tag, name, priority, allow_as_filter, allow_for_dataset, allow_for_measurement, allow_for_users, allow_for_qc) VALUES (NULL, 'att_software',  'Software',  500,  TRUE, TRUE, TRUE, FALSE, FALSE);</v>
      </c>
      <c r="O350" s="5" t="str">
        <f t="shared" si="37"/>
        <v xml:space="preserve">INSERT INTO attribute_values (attribute_id, tag, name, details) VALUES ((SELECT id FROM attributes WHERE tag = 'att_software' LIMIT 1),  'att_software:msfragger',  'MSFragger',  'Nesvilab’s MSFragger'); </v>
      </c>
    </row>
    <row r="351" spans="1:15" x14ac:dyDescent="0.15">
      <c r="A351" s="9" t="s">
        <v>17</v>
      </c>
      <c r="B351" s="10"/>
      <c r="C351" s="5" t="s">
        <v>2318</v>
      </c>
      <c r="D351" s="5" t="s">
        <v>2319</v>
      </c>
      <c r="E351" s="5" t="s">
        <v>13</v>
      </c>
      <c r="F351" s="5" t="s">
        <v>167</v>
      </c>
      <c r="G351" s="5" t="s">
        <v>2615</v>
      </c>
      <c r="H351" s="5" t="str">
        <f t="shared" si="34"/>
        <v>att_software</v>
      </c>
      <c r="I351" s="5" t="s">
        <v>2318</v>
      </c>
      <c r="J351" s="5" t="str">
        <f t="shared" si="35"/>
        <v>att_software:msgf</v>
      </c>
      <c r="K351" s="9" t="s">
        <v>17</v>
      </c>
      <c r="L351" s="5" t="s">
        <v>2320</v>
      </c>
      <c r="M351" s="5" t="s">
        <v>13</v>
      </c>
      <c r="N351" s="5" t="str">
        <f t="shared" si="36"/>
        <v>INSERT INTO attributes (parent_id, tag, name, priority, allow_as_filter, allow_for_dataset, allow_for_measurement, allow_for_users, allow_for_qc) VALUES (NULL, 'att_software',  'Software',  500,  TRUE, TRUE, TRUE, FALSE, FALSE);</v>
      </c>
      <c r="O351" s="5" t="str">
        <f t="shared" si="37"/>
        <v xml:space="preserve">INSERT INTO attribute_values (attribute_id, tag, name, details) VALUES ((SELECT id FROM attributes WHERE tag = 'att_software' LIMIT 1),  'att_software:msgf',  'MS-GF+',  'MS-GF+ (aka MSGF+ or MSGFPlus) '); </v>
      </c>
    </row>
    <row r="352" spans="1:15" x14ac:dyDescent="0.15">
      <c r="A352" s="9" t="s">
        <v>17</v>
      </c>
      <c r="B352" s="10"/>
      <c r="C352" s="5" t="s">
        <v>2321</v>
      </c>
      <c r="D352" s="5" t="s">
        <v>2322</v>
      </c>
      <c r="E352" s="5" t="s">
        <v>13</v>
      </c>
      <c r="F352" s="5" t="s">
        <v>167</v>
      </c>
      <c r="G352" s="5" t="s">
        <v>2615</v>
      </c>
      <c r="H352" s="5" t="str">
        <f t="shared" si="34"/>
        <v>att_software</v>
      </c>
      <c r="I352" s="5" t="s">
        <v>2321</v>
      </c>
      <c r="J352" s="5" t="str">
        <f t="shared" si="35"/>
        <v>att_software:spectronaut</v>
      </c>
      <c r="K352" s="9" t="s">
        <v>17</v>
      </c>
      <c r="L352" s="5" t="s">
        <v>2323</v>
      </c>
      <c r="M352" s="5" t="s">
        <v>13</v>
      </c>
      <c r="N352" s="5" t="str">
        <f t="shared" si="36"/>
        <v>INSERT INTO attributes (parent_id, tag, name, priority, allow_as_filter, allow_for_dataset, allow_for_measurement, allow_for_users, allow_for_qc) VALUES (NULL, 'att_software',  'Software',  500,  TRUE, TRUE, TRUE, FALSE, FALSE);</v>
      </c>
      <c r="O352" s="5"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0" t="b">
        <f>FALSE()</f>
        <v>0</v>
      </c>
      <c r="B353" s="10"/>
      <c r="C353" s="5" t="s">
        <v>2324</v>
      </c>
      <c r="D353" s="5" t="s">
        <v>2325</v>
      </c>
      <c r="E353" s="5" t="s">
        <v>13</v>
      </c>
      <c r="F353" s="5" t="s">
        <v>171</v>
      </c>
      <c r="G353" s="5" t="s">
        <v>2616</v>
      </c>
      <c r="H353" s="5" t="str">
        <f t="shared" si="34"/>
        <v>att_tissue</v>
      </c>
      <c r="I353" s="5" t="s">
        <v>2324</v>
      </c>
      <c r="J353" s="5" t="str">
        <f t="shared" si="35"/>
        <v>att_tissue:adipose</v>
      </c>
      <c r="K353" s="9" t="s">
        <v>17</v>
      </c>
      <c r="L353" s="5" t="s">
        <v>2326</v>
      </c>
      <c r="M353" s="5" t="s">
        <v>13</v>
      </c>
      <c r="N353" s="5" t="str">
        <f t="shared" si="36"/>
        <v>INSERT INTO attributes (parent_id, tag, name, priority, allow_as_filter, allow_for_dataset, allow_for_measurement, allow_for_users, allow_for_qc) VALUES (NULL, 'att_tissue',  'Tissue',  500,  TRUE, TRUE, TRUE, FALSE, FALSE);</v>
      </c>
      <c r="O353" s="5" t="str">
        <f t="shared" si="37"/>
        <v xml:space="preserve">INSERT INTO attribute_values (attribute_id, tag, name, details) VALUES ((SELECT id FROM attributes WHERE tag = 'att_tissue' LIMIT 1),  'att_tissue:adipose',  'Adipose',  'Adipose connective tissue'); </v>
      </c>
    </row>
    <row r="354" spans="1:15" x14ac:dyDescent="0.15">
      <c r="A354" s="10" t="b">
        <f>FALSE()</f>
        <v>0</v>
      </c>
      <c r="B354" s="10"/>
      <c r="C354" s="5" t="s">
        <v>2327</v>
      </c>
      <c r="D354" s="5" t="s">
        <v>2328</v>
      </c>
      <c r="E354" s="5" t="s">
        <v>13</v>
      </c>
      <c r="F354" s="5" t="s">
        <v>171</v>
      </c>
      <c r="G354" s="5" t="s">
        <v>2616</v>
      </c>
      <c r="H354" s="5" t="str">
        <f t="shared" si="34"/>
        <v>att_tissue</v>
      </c>
      <c r="I354" s="5" t="s">
        <v>2327</v>
      </c>
      <c r="J354" s="5" t="str">
        <f t="shared" si="35"/>
        <v>att_tissue:areolar</v>
      </c>
      <c r="K354" s="9" t="s">
        <v>17</v>
      </c>
      <c r="L354" s="5" t="s">
        <v>2329</v>
      </c>
      <c r="M354" s="5" t="s">
        <v>13</v>
      </c>
      <c r="N354" s="5" t="str">
        <f t="shared" si="36"/>
        <v>INSERT INTO attributes (parent_id, tag, name, priority, allow_as_filter, allow_for_dataset, allow_for_measurement, allow_for_users, allow_for_qc) VALUES (NULL, 'att_tissue',  'Tissue',  500,  TRUE, TRUE, TRUE, FALSE, FALSE);</v>
      </c>
      <c r="O354" s="5" t="str">
        <f t="shared" si="37"/>
        <v xml:space="preserve">INSERT INTO attribute_values (attribute_id, tag, name, details) VALUES ((SELECT id FROM attributes WHERE tag = 'att_tissue' LIMIT 1),  'att_tissue:areolar',  'Areolar',  'Areolar connective tissue'); </v>
      </c>
    </row>
    <row r="355" spans="1:15" x14ac:dyDescent="0.15">
      <c r="A355" s="10" t="b">
        <f>FALSE()</f>
        <v>0</v>
      </c>
      <c r="B355" s="10"/>
      <c r="C355" s="5" t="s">
        <v>2330</v>
      </c>
      <c r="D355" s="5" t="s">
        <v>2331</v>
      </c>
      <c r="E355" s="5" t="s">
        <v>13</v>
      </c>
      <c r="F355" s="5" t="s">
        <v>171</v>
      </c>
      <c r="G355" s="5" t="s">
        <v>2616</v>
      </c>
      <c r="H355" s="5" t="str">
        <f t="shared" si="34"/>
        <v>att_tissue</v>
      </c>
      <c r="I355" s="5" t="s">
        <v>2330</v>
      </c>
      <c r="J355" s="5" t="str">
        <f t="shared" si="35"/>
        <v>att_tissue:blood</v>
      </c>
      <c r="K355" s="9" t="s">
        <v>17</v>
      </c>
      <c r="L355" s="5" t="s">
        <v>2331</v>
      </c>
      <c r="M355" s="5" t="s">
        <v>13</v>
      </c>
      <c r="N355" s="5" t="str">
        <f t="shared" si="36"/>
        <v>INSERT INTO attributes (parent_id, tag, name, priority, allow_as_filter, allow_for_dataset, allow_for_measurement, allow_for_users, allow_for_qc) VALUES (NULL, 'att_tissue',  'Tissue',  500,  TRUE, TRUE, TRUE, FALSE, FALSE);</v>
      </c>
      <c r="O355" s="5" t="str">
        <f t="shared" si="37"/>
        <v xml:space="preserve">INSERT INTO attribute_values (attribute_id, tag, name, details) VALUES ((SELECT id FROM attributes WHERE tag = 'att_tissue' LIMIT 1),  'att_tissue:blood',  'Blood',  'Blood'); </v>
      </c>
    </row>
    <row r="356" spans="1:15" x14ac:dyDescent="0.15">
      <c r="A356" s="10" t="b">
        <f>FALSE()</f>
        <v>0</v>
      </c>
      <c r="B356" s="10"/>
      <c r="C356" s="5" t="s">
        <v>2332</v>
      </c>
      <c r="D356" s="5" t="s">
        <v>2333</v>
      </c>
      <c r="E356" s="5" t="s">
        <v>13</v>
      </c>
      <c r="F356" s="5" t="s">
        <v>171</v>
      </c>
      <c r="G356" s="5" t="s">
        <v>2616</v>
      </c>
      <c r="H356" s="5" t="str">
        <f t="shared" si="34"/>
        <v>att_tissue</v>
      </c>
      <c r="I356" s="5" t="s">
        <v>2332</v>
      </c>
      <c r="J356" s="5" t="str">
        <f t="shared" si="35"/>
        <v>att_tissue:connective</v>
      </c>
      <c r="K356" s="9" t="s">
        <v>17</v>
      </c>
      <c r="L356" s="5" t="s">
        <v>2334</v>
      </c>
      <c r="M356" s="5" t="s">
        <v>13</v>
      </c>
      <c r="N356" s="5" t="str">
        <f t="shared" si="36"/>
        <v>INSERT INTO attributes (parent_id, tag, name, priority, allow_as_filter, allow_for_dataset, allow_for_measurement, allow_for_users, allow_for_qc) VALUES (NULL, 'att_tissue',  'Tissue',  500,  TRUE, TRUE, TRUE, FALSE, FALSE);</v>
      </c>
      <c r="O356" s="5" t="str">
        <f t="shared" si="37"/>
        <v xml:space="preserve">INSERT INTO attribute_values (attribute_id, tag, name, details) VALUES ((SELECT id FROM attributes WHERE tag = 'att_tissue' LIMIT 1),  'att_tissue:connective',  'Connective',  'Connective tissue'); </v>
      </c>
    </row>
    <row r="357" spans="1:15" x14ac:dyDescent="0.15">
      <c r="A357" s="10" t="b">
        <f>FALSE()</f>
        <v>0</v>
      </c>
      <c r="B357" s="10"/>
      <c r="C357" s="5" t="s">
        <v>2335</v>
      </c>
      <c r="D357" s="5" t="s">
        <v>2336</v>
      </c>
      <c r="E357" s="5" t="s">
        <v>13</v>
      </c>
      <c r="F357" s="5" t="s">
        <v>171</v>
      </c>
      <c r="G357" s="5" t="s">
        <v>2616</v>
      </c>
      <c r="H357" s="5" t="str">
        <f t="shared" si="34"/>
        <v>att_tissue</v>
      </c>
      <c r="I357" s="5" t="s">
        <v>2335</v>
      </c>
      <c r="J357" s="5" t="str">
        <f t="shared" si="35"/>
        <v>att_tissue:dermis</v>
      </c>
      <c r="K357" s="9" t="s">
        <v>17</v>
      </c>
      <c r="L357" s="5" t="s">
        <v>2336</v>
      </c>
      <c r="M357" s="5" t="s">
        <v>13</v>
      </c>
      <c r="N357" s="5" t="str">
        <f t="shared" si="36"/>
        <v>INSERT INTO attributes (parent_id, tag, name, priority, allow_as_filter, allow_for_dataset, allow_for_measurement, allow_for_users, allow_for_qc) VALUES (NULL, 'att_tissue',  'Tissue',  500,  TRUE, TRUE, TRUE, FALSE, FALSE);</v>
      </c>
      <c r="O357" s="5" t="str">
        <f t="shared" si="37"/>
        <v xml:space="preserve">INSERT INTO attribute_values (attribute_id, tag, name, details) VALUES ((SELECT id FROM attributes WHERE tag = 'att_tissue' LIMIT 1),  'att_tissue:dermis',  'Dermis',  'Dermis'); </v>
      </c>
    </row>
    <row r="358" spans="1:15" x14ac:dyDescent="0.15">
      <c r="A358" s="10" t="b">
        <f>FALSE()</f>
        <v>0</v>
      </c>
      <c r="B358" s="10"/>
      <c r="C358" s="5" t="s">
        <v>2337</v>
      </c>
      <c r="D358" s="5" t="s">
        <v>2338</v>
      </c>
      <c r="E358" s="5" t="s">
        <v>13</v>
      </c>
      <c r="F358" s="5" t="s">
        <v>171</v>
      </c>
      <c r="G358" s="5" t="s">
        <v>2616</v>
      </c>
      <c r="H358" s="5" t="str">
        <f t="shared" si="34"/>
        <v>att_tissue</v>
      </c>
      <c r="I358" s="5" t="s">
        <v>2337</v>
      </c>
      <c r="J358" s="5" t="str">
        <f t="shared" si="35"/>
        <v>att_tissue:epidermis</v>
      </c>
      <c r="K358" s="9" t="s">
        <v>17</v>
      </c>
      <c r="L358" s="5" t="s">
        <v>2338</v>
      </c>
      <c r="M358" s="5" t="s">
        <v>13</v>
      </c>
      <c r="N358" s="5" t="str">
        <f t="shared" si="36"/>
        <v>INSERT INTO attributes (parent_id, tag, name, priority, allow_as_filter, allow_for_dataset, allow_for_measurement, allow_for_users, allow_for_qc) VALUES (NULL, 'att_tissue',  'Tissue',  500,  TRUE, TRUE, TRUE, FALSE, FALSE);</v>
      </c>
      <c r="O358" s="5" t="str">
        <f t="shared" si="37"/>
        <v xml:space="preserve">INSERT INTO attribute_values (attribute_id, tag, name, details) VALUES ((SELECT id FROM attributes WHERE tag = 'att_tissue' LIMIT 1),  'att_tissue:epidermis',  'Epidermis',  'Epidermis'); </v>
      </c>
    </row>
    <row r="359" spans="1:15" x14ac:dyDescent="0.15">
      <c r="A359" s="10" t="b">
        <f>FALSE()</f>
        <v>0</v>
      </c>
      <c r="B359" s="10"/>
      <c r="C359" s="5" t="s">
        <v>2339</v>
      </c>
      <c r="D359" s="5" t="s">
        <v>2340</v>
      </c>
      <c r="E359" s="5" t="s">
        <v>13</v>
      </c>
      <c r="F359" s="5" t="s">
        <v>171</v>
      </c>
      <c r="G359" s="5" t="s">
        <v>2616</v>
      </c>
      <c r="H359" s="5" t="str">
        <f t="shared" si="34"/>
        <v>att_tissue</v>
      </c>
      <c r="I359" s="5" t="s">
        <v>2339</v>
      </c>
      <c r="J359" s="5" t="str">
        <f t="shared" si="35"/>
        <v>att_tissue:epithelial</v>
      </c>
      <c r="K359" s="9" t="s">
        <v>17</v>
      </c>
      <c r="L359" s="5" t="s">
        <v>2341</v>
      </c>
      <c r="M359" s="5" t="s">
        <v>13</v>
      </c>
      <c r="N359" s="5" t="str">
        <f t="shared" si="36"/>
        <v>INSERT INTO attributes (parent_id, tag, name, priority, allow_as_filter, allow_for_dataset, allow_for_measurement, allow_for_users, allow_for_qc) VALUES (NULL, 'att_tissue',  'Tissue',  500,  TRUE, TRUE, TRUE, FALSE, FALSE);</v>
      </c>
      <c r="O359" s="5" t="str">
        <f t="shared" si="37"/>
        <v xml:space="preserve">INSERT INTO attribute_values (attribute_id, tag, name, details) VALUES ((SELECT id FROM attributes WHERE tag = 'att_tissue' LIMIT 1),  'att_tissue:epithelial',  'Epithelial',  'Epithelial tissue'); </v>
      </c>
    </row>
    <row r="360" spans="1:15" x14ac:dyDescent="0.15">
      <c r="A360" s="10" t="b">
        <f>FALSE()</f>
        <v>0</v>
      </c>
      <c r="B360" s="10"/>
      <c r="C360" s="5" t="s">
        <v>2342</v>
      </c>
      <c r="D360" s="5" t="s">
        <v>2343</v>
      </c>
      <c r="E360" s="5" t="s">
        <v>13</v>
      </c>
      <c r="F360" s="5" t="s">
        <v>171</v>
      </c>
      <c r="G360" s="5" t="s">
        <v>2616</v>
      </c>
      <c r="H360" s="5" t="str">
        <f t="shared" si="34"/>
        <v>att_tissue</v>
      </c>
      <c r="I360" s="5" t="s">
        <v>2342</v>
      </c>
      <c r="J360" s="5" t="str">
        <f t="shared" si="35"/>
        <v>att_tissue:hypodermis</v>
      </c>
      <c r="K360" s="9" t="s">
        <v>17</v>
      </c>
      <c r="L360" s="5" t="s">
        <v>2343</v>
      </c>
      <c r="M360" s="5" t="s">
        <v>13</v>
      </c>
      <c r="N360" s="5" t="str">
        <f t="shared" si="36"/>
        <v>INSERT INTO attributes (parent_id, tag, name, priority, allow_as_filter, allow_for_dataset, allow_for_measurement, allow_for_users, allow_for_qc) VALUES (NULL, 'att_tissue',  'Tissue',  500,  TRUE, TRUE, TRUE, FALSE, FALSE);</v>
      </c>
      <c r="O360" s="5" t="str">
        <f t="shared" si="37"/>
        <v xml:space="preserve">INSERT INTO attribute_values (attribute_id, tag, name, details) VALUES ((SELECT id FROM attributes WHERE tag = 'att_tissue' LIMIT 1),  'att_tissue:hypodermis',  'Hypodermis',  'Hypodermis'); </v>
      </c>
    </row>
    <row r="361" spans="1:15" x14ac:dyDescent="0.15">
      <c r="A361" s="10" t="b">
        <f>FALSE()</f>
        <v>0</v>
      </c>
      <c r="B361" s="10"/>
      <c r="C361" s="5" t="s">
        <v>2344</v>
      </c>
      <c r="D361" s="5" t="s">
        <v>139</v>
      </c>
      <c r="E361" s="5" t="s">
        <v>13</v>
      </c>
      <c r="F361" s="5" t="s">
        <v>171</v>
      </c>
      <c r="G361" s="5" t="s">
        <v>2616</v>
      </c>
      <c r="H361" s="5" t="str">
        <f t="shared" si="34"/>
        <v>att_tissue</v>
      </c>
      <c r="I361" s="5" t="s">
        <v>2344</v>
      </c>
      <c r="J361" s="5" t="str">
        <f t="shared" si="35"/>
        <v>att_tissue:muscle</v>
      </c>
      <c r="K361" s="9" t="s">
        <v>17</v>
      </c>
      <c r="L361" s="5" t="s">
        <v>2345</v>
      </c>
      <c r="M361" s="5" t="s">
        <v>13</v>
      </c>
      <c r="N361" s="5" t="str">
        <f t="shared" si="36"/>
        <v>INSERT INTO attributes (parent_id, tag, name, priority, allow_as_filter, allow_for_dataset, allow_for_measurement, allow_for_users, allow_for_qc) VALUES (NULL, 'att_tissue',  'Tissue',  500,  TRUE, TRUE, TRUE, FALSE, FALSE);</v>
      </c>
      <c r="O361" s="5" t="str">
        <f t="shared" si="37"/>
        <v xml:space="preserve">INSERT INTO attribute_values (attribute_id, tag, name, details) VALUES ((SELECT id FROM attributes WHERE tag = 'att_tissue' LIMIT 1),  'att_tissue:muscle',  'Muscle',  'Muscle tissue'); </v>
      </c>
    </row>
    <row r="362" spans="1:15" x14ac:dyDescent="0.15">
      <c r="A362" s="10" t="b">
        <f>FALSE()</f>
        <v>0</v>
      </c>
      <c r="B362" s="10"/>
      <c r="C362" s="5" t="s">
        <v>2346</v>
      </c>
      <c r="D362" s="5" t="s">
        <v>2165</v>
      </c>
      <c r="E362" s="5" t="s">
        <v>13</v>
      </c>
      <c r="F362" s="5" t="s">
        <v>171</v>
      </c>
      <c r="G362" s="5" t="s">
        <v>2616</v>
      </c>
      <c r="H362" s="5" t="str">
        <f t="shared" si="34"/>
        <v>att_tissue</v>
      </c>
      <c r="I362" s="5" t="s">
        <v>2346</v>
      </c>
      <c r="J362" s="5" t="str">
        <f t="shared" si="35"/>
        <v>att_tissue:nervous</v>
      </c>
      <c r="K362" s="9" t="s">
        <v>17</v>
      </c>
      <c r="L362" s="5" t="s">
        <v>2347</v>
      </c>
      <c r="M362" s="5" t="s">
        <v>13</v>
      </c>
      <c r="N362" s="5" t="str">
        <f t="shared" si="36"/>
        <v>INSERT INTO attributes (parent_id, tag, name, priority, allow_as_filter, allow_for_dataset, allow_for_measurement, allow_for_users, allow_for_qc) VALUES (NULL, 'att_tissue',  'Tissue',  500,  TRUE, TRUE, TRUE, FALSE, FALSE);</v>
      </c>
      <c r="O362" s="5" t="str">
        <f t="shared" si="37"/>
        <v xml:space="preserve">INSERT INTO attribute_values (attribute_id, tag, name, details) VALUES ((SELECT id FROM attributes WHERE tag = 'att_tissue' LIMIT 1),  'att_tissue:nervous',  'Nervous',  'Nervous tissue'); </v>
      </c>
    </row>
    <row r="363" spans="1:15" x14ac:dyDescent="0.15">
      <c r="A363" s="10" t="b">
        <f>FALSE()</f>
        <v>0</v>
      </c>
      <c r="B363" s="10"/>
      <c r="C363" s="5" t="s">
        <v>2348</v>
      </c>
      <c r="D363" s="5" t="s">
        <v>2349</v>
      </c>
      <c r="E363" s="5" t="s">
        <v>13</v>
      </c>
      <c r="F363" s="5" t="s">
        <v>171</v>
      </c>
      <c r="G363" s="5" t="s">
        <v>2616</v>
      </c>
      <c r="H363" s="5" t="str">
        <f t="shared" si="34"/>
        <v>att_tissue</v>
      </c>
      <c r="I363" s="5" t="s">
        <v>2348</v>
      </c>
      <c r="J363" s="5" t="str">
        <f t="shared" si="35"/>
        <v>att_tissue:reticular</v>
      </c>
      <c r="K363" s="9" t="s">
        <v>17</v>
      </c>
      <c r="L363" s="5" t="s">
        <v>2350</v>
      </c>
      <c r="M363" s="5" t="s">
        <v>13</v>
      </c>
      <c r="N363" s="5" t="str">
        <f t="shared" si="36"/>
        <v>INSERT INTO attributes (parent_id, tag, name, priority, allow_as_filter, allow_for_dataset, allow_for_measurement, allow_for_users, allow_for_qc) VALUES (NULL, 'att_tissue',  'Tissue',  500,  TRUE, TRUE, TRUE, FALSE, FALSE);</v>
      </c>
      <c r="O363" s="5" t="str">
        <f t="shared" si="37"/>
        <v xml:space="preserve">INSERT INTO attribute_values (attribute_id, tag, name, details) VALUES ((SELECT id FROM attributes WHERE tag = 'att_tissue' LIMIT 1),  'att_tissue:reticular',  'Reticular',  'Reticular connective tissue'); </v>
      </c>
    </row>
    <row r="364" spans="1:15" x14ac:dyDescent="0.15">
      <c r="A364" s="10" t="b">
        <f>FALSE()</f>
        <v>0</v>
      </c>
      <c r="B364" s="10"/>
      <c r="C364" s="5" t="s">
        <v>2351</v>
      </c>
      <c r="D364" s="5" t="s">
        <v>2352</v>
      </c>
      <c r="E364" s="5" t="s">
        <v>13</v>
      </c>
      <c r="F364" s="5" t="s">
        <v>171</v>
      </c>
      <c r="G364" s="5" t="s">
        <v>2616</v>
      </c>
      <c r="H364" s="5" t="str">
        <f t="shared" si="34"/>
        <v>att_tissue</v>
      </c>
      <c r="I364" s="5" t="s">
        <v>2351</v>
      </c>
      <c r="J364" s="5" t="str">
        <f t="shared" si="35"/>
        <v>att_tissue:stromal</v>
      </c>
      <c r="K364" s="9" t="s">
        <v>17</v>
      </c>
      <c r="L364" s="5" t="s">
        <v>2353</v>
      </c>
      <c r="M364" s="5" t="s">
        <v>13</v>
      </c>
      <c r="N364" s="5" t="str">
        <f t="shared" si="36"/>
        <v>INSERT INTO attributes (parent_id, tag, name, priority, allow_as_filter, allow_for_dataset, allow_for_measurement, allow_for_users, allow_for_qc) VALUES (NULL, 'att_tissue',  'Tissue',  500,  TRUE, TRUE, TRUE, FALSE, FALSE);</v>
      </c>
      <c r="O364" s="5" t="str">
        <f t="shared" si="37"/>
        <v xml:space="preserve">INSERT INTO attribute_values (attribute_id, tag, name, details) VALUES ((SELECT id FROM attributes WHERE tag = 'att_tissue' LIMIT 1),  'att_tissue:stromal',  'Stromal',  'Stroma tissue'); </v>
      </c>
    </row>
    <row r="365" spans="1:15" x14ac:dyDescent="0.15">
      <c r="A365" s="9" t="s">
        <v>17</v>
      </c>
      <c r="B365" s="9"/>
      <c r="C365" s="5" t="s">
        <v>922</v>
      </c>
      <c r="D365" s="5" t="s">
        <v>924</v>
      </c>
      <c r="E365" s="5" t="s">
        <v>13</v>
      </c>
      <c r="F365" s="5" t="s">
        <v>2504</v>
      </c>
      <c r="G365" s="5" t="s">
        <v>2505</v>
      </c>
      <c r="H365" s="5" t="str">
        <f t="shared" ref="H365" si="38">"att_"&amp;G365</f>
        <v>att_dataset</v>
      </c>
      <c r="I365" s="5" t="s">
        <v>2617</v>
      </c>
      <c r="J365" s="5" t="str">
        <f t="shared" ref="J365" si="39">H365&amp;":"&amp;I365</f>
        <v>att_dataset:database orf_search</v>
      </c>
      <c r="K365" s="9" t="s">
        <v>17</v>
      </c>
      <c r="L365" s="5" t="s">
        <v>925</v>
      </c>
      <c r="M365" s="5" t="s">
        <v>13</v>
      </c>
      <c r="N365" s="5" t="str">
        <f t="shared" si="36"/>
        <v>INSERT INTO attributes (parent_id, tag, name, priority, allow_as_filter, allow_for_dataset, allow_for_measurement, allow_for_users, allow_for_qc) VALUES (NULL, 'att_dataset',  'Spectral Interpretation',  500,  TRUE, TRUE, TRUE, FALSE, FALSE);</v>
      </c>
      <c r="O365" s="5"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5" t="s">
        <v>2618</v>
      </c>
      <c r="D368" s="5" t="s">
        <v>1296</v>
      </c>
      <c r="F368" s="5" t="s">
        <v>116</v>
      </c>
      <c r="G368" s="5" t="s">
        <v>72</v>
      </c>
      <c r="H368" s="5" t="s">
        <v>115</v>
      </c>
      <c r="I368" s="5" t="s">
        <v>946</v>
      </c>
      <c r="J368" s="5" t="str">
        <f>H368&amp;":"&amp;I368</f>
        <v>att_lysis_buffer:sds</v>
      </c>
      <c r="L368" s="5" t="s">
        <v>1297</v>
      </c>
    </row>
    <row r="369" spans="3:12" x14ac:dyDescent="0.15">
      <c r="C369" s="5" t="s">
        <v>2619</v>
      </c>
      <c r="D369" s="5" t="s">
        <v>1302</v>
      </c>
      <c r="F369" s="5" t="s">
        <v>116</v>
      </c>
      <c r="G369" s="5" t="s">
        <v>72</v>
      </c>
      <c r="H369" s="5" t="s">
        <v>115</v>
      </c>
      <c r="I369" s="5" t="s">
        <v>1301</v>
      </c>
      <c r="J369" s="5" t="str">
        <f>H369&amp;":"&amp;I369</f>
        <v>att_lysis_buffer:urea</v>
      </c>
      <c r="L369" s="5" t="s">
        <v>1303</v>
      </c>
    </row>
    <row r="370" spans="3:12" x14ac:dyDescent="0.15">
      <c r="C370" s="5" t="s">
        <v>2620</v>
      </c>
      <c r="D370" s="5" t="s">
        <v>1299</v>
      </c>
      <c r="F370" s="5" t="s">
        <v>116</v>
      </c>
      <c r="G370" s="5" t="s">
        <v>72</v>
      </c>
      <c r="H370" s="5" t="s">
        <v>115</v>
      </c>
      <c r="I370" s="5" t="s">
        <v>1298</v>
      </c>
      <c r="J370" s="5" t="str">
        <f>H370&amp;":"&amp;I370</f>
        <v>att_lysis_buffer:two_sdc</v>
      </c>
      <c r="L370" s="5" t="s">
        <v>1300</v>
      </c>
    </row>
    <row r="371" spans="3:12" x14ac:dyDescent="0.15">
      <c r="C371" s="5" t="s">
        <v>2620</v>
      </c>
      <c r="D371" s="5" t="s">
        <v>1294</v>
      </c>
      <c r="F371" s="5" t="s">
        <v>116</v>
      </c>
      <c r="G371" s="5" t="s">
        <v>72</v>
      </c>
      <c r="H371" s="5" t="s">
        <v>115</v>
      </c>
      <c r="I371" s="5" t="s">
        <v>1293</v>
      </c>
      <c r="J371" s="5" t="str">
        <f>H371&amp;":"&amp;I371</f>
        <v>att_lysis_buffer:one_sdc</v>
      </c>
      <c r="L371" s="5" t="s">
        <v>1295</v>
      </c>
    </row>
    <row r="373" spans="3:12" x14ac:dyDescent="0.15">
      <c r="C373" s="5" t="s">
        <v>72</v>
      </c>
      <c r="D373" s="5" t="s">
        <v>1305</v>
      </c>
      <c r="F373" s="5" t="s">
        <v>117</v>
      </c>
      <c r="G373" s="5" t="s">
        <v>72</v>
      </c>
      <c r="H373" s="5" t="s">
        <v>70</v>
      </c>
      <c r="I373" s="5" t="s">
        <v>1304</v>
      </c>
      <c r="J373" s="5" t="str">
        <f>H373&amp;":"&amp;I373</f>
        <v>att_lysis_method:dounce</v>
      </c>
      <c r="L373" s="5" t="s">
        <v>1306</v>
      </c>
    </row>
    <row r="374" spans="3:12" x14ac:dyDescent="0.15">
      <c r="C374" s="5" t="s">
        <v>72</v>
      </c>
      <c r="D374" s="5" t="s">
        <v>1311</v>
      </c>
      <c r="F374" s="5" t="s">
        <v>117</v>
      </c>
      <c r="G374" s="5" t="s">
        <v>72</v>
      </c>
      <c r="H374" s="5" t="s">
        <v>70</v>
      </c>
      <c r="I374" s="5" t="s">
        <v>1310</v>
      </c>
      <c r="J374" s="5" t="str">
        <f>H374&amp;":"&amp;I374</f>
        <v>att_lysis_method:paracyllus</v>
      </c>
      <c r="L374" s="5" t="s">
        <v>1312</v>
      </c>
    </row>
    <row r="375" spans="3:12" x14ac:dyDescent="0.15">
      <c r="C375" s="5" t="s">
        <v>72</v>
      </c>
      <c r="D375" s="5" t="s">
        <v>1308</v>
      </c>
      <c r="F375" s="5" t="s">
        <v>117</v>
      </c>
      <c r="G375" s="5" t="s">
        <v>72</v>
      </c>
      <c r="H375" s="5" t="s">
        <v>70</v>
      </c>
      <c r="I375" s="5" t="s">
        <v>1307</v>
      </c>
      <c r="J375" s="5" t="str">
        <f>H375&amp;":"&amp;I375</f>
        <v>att_lysis_method:motar_pestle</v>
      </c>
      <c r="L375" s="5" t="s">
        <v>1309</v>
      </c>
    </row>
    <row r="377" spans="3:12" x14ac:dyDescent="0.15">
      <c r="C377" s="5" t="s">
        <v>2621</v>
      </c>
      <c r="D377" s="5" t="s">
        <v>947</v>
      </c>
      <c r="F377" s="5" t="s">
        <v>71</v>
      </c>
      <c r="G377" s="5" t="s">
        <v>2622</v>
      </c>
      <c r="H377" s="5" t="s">
        <v>69</v>
      </c>
      <c r="I377" s="5" t="s">
        <v>946</v>
      </c>
      <c r="J377" s="5" t="str">
        <f t="shared" ref="J377:J385" si="40">H377&amp;":"&amp;I377</f>
        <v>att_detergent:sds</v>
      </c>
      <c r="L377" s="5" t="s">
        <v>948</v>
      </c>
    </row>
    <row r="378" spans="3:12" x14ac:dyDescent="0.15">
      <c r="C378" s="5" t="s">
        <v>2623</v>
      </c>
      <c r="D378" s="5" t="s">
        <v>953</v>
      </c>
      <c r="F378" s="5" t="s">
        <v>71</v>
      </c>
      <c r="G378" s="5" t="s">
        <v>2622</v>
      </c>
      <c r="H378" s="5" t="s">
        <v>69</v>
      </c>
      <c r="I378" s="5" t="s">
        <v>952</v>
      </c>
      <c r="J378" s="5" t="str">
        <f t="shared" si="40"/>
        <v>att_detergent:tween20</v>
      </c>
      <c r="L378" s="5" t="s">
        <v>954</v>
      </c>
    </row>
    <row r="379" spans="3:12" x14ac:dyDescent="0.15">
      <c r="C379" s="5" t="s">
        <v>2624</v>
      </c>
      <c r="D379" s="5" t="s">
        <v>2625</v>
      </c>
      <c r="F379" s="5" t="s">
        <v>71</v>
      </c>
      <c r="G379" s="5" t="s">
        <v>2622</v>
      </c>
      <c r="H379" s="5" t="s">
        <v>69</v>
      </c>
      <c r="I379" s="5" t="s">
        <v>955</v>
      </c>
      <c r="J379" s="5" t="str">
        <f t="shared" si="40"/>
        <v>att_detergent:tween80</v>
      </c>
      <c r="L379" s="5" t="s">
        <v>957</v>
      </c>
    </row>
    <row r="380" spans="3:12" x14ac:dyDescent="0.15">
      <c r="C380" s="5" t="s">
        <v>2626</v>
      </c>
      <c r="D380" s="5" t="s">
        <v>938</v>
      </c>
      <c r="F380" s="5" t="s">
        <v>71</v>
      </c>
      <c r="G380" s="5" t="s">
        <v>2622</v>
      </c>
      <c r="H380" s="5" t="s">
        <v>69</v>
      </c>
      <c r="I380" s="5" t="s">
        <v>937</v>
      </c>
      <c r="J380" s="5" t="str">
        <f t="shared" si="40"/>
        <v>att_detergent:np40</v>
      </c>
      <c r="L380" s="5" t="s">
        <v>939</v>
      </c>
    </row>
    <row r="381" spans="3:12" x14ac:dyDescent="0.15">
      <c r="C381" s="5" t="s">
        <v>2627</v>
      </c>
      <c r="D381" s="5" t="s">
        <v>950</v>
      </c>
      <c r="F381" s="5" t="s">
        <v>71</v>
      </c>
      <c r="G381" s="5" t="s">
        <v>2622</v>
      </c>
      <c r="H381" s="5" t="s">
        <v>69</v>
      </c>
      <c r="I381" s="5" t="s">
        <v>949</v>
      </c>
      <c r="J381" s="5" t="str">
        <f t="shared" si="40"/>
        <v>att_detergent:tritonx100</v>
      </c>
      <c r="L381" s="5" t="s">
        <v>951</v>
      </c>
    </row>
    <row r="382" spans="3:12" x14ac:dyDescent="0.15">
      <c r="C382" s="5" t="s">
        <v>2628</v>
      </c>
      <c r="D382" s="5" t="s">
        <v>932</v>
      </c>
      <c r="F382" s="5" t="s">
        <v>71</v>
      </c>
      <c r="G382" s="5" t="s">
        <v>2622</v>
      </c>
      <c r="H382" s="5" t="s">
        <v>69</v>
      </c>
      <c r="I382" s="5" t="s">
        <v>931</v>
      </c>
      <c r="J382" s="5" t="str">
        <f t="shared" si="40"/>
        <v>att_detergent:chaps</v>
      </c>
      <c r="L382" s="5" t="s">
        <v>933</v>
      </c>
    </row>
    <row r="383" spans="3:12" x14ac:dyDescent="0.15">
      <c r="C383" s="5" t="s">
        <v>2629</v>
      </c>
      <c r="D383" s="5" t="s">
        <v>935</v>
      </c>
      <c r="F383" s="5" t="s">
        <v>71</v>
      </c>
      <c r="G383" s="5" t="s">
        <v>2622</v>
      </c>
      <c r="H383" s="5" t="s">
        <v>69</v>
      </c>
      <c r="I383" s="5" t="s">
        <v>934</v>
      </c>
      <c r="J383" s="5" t="str">
        <f t="shared" si="40"/>
        <v>att_detergent:dmm</v>
      </c>
      <c r="L383" s="5" t="s">
        <v>936</v>
      </c>
    </row>
    <row r="384" spans="3:12" x14ac:dyDescent="0.15">
      <c r="C384" s="5" t="s">
        <v>2630</v>
      </c>
      <c r="D384" s="5" t="s">
        <v>941</v>
      </c>
      <c r="F384" s="5" t="s">
        <v>71</v>
      </c>
      <c r="G384" s="5" t="s">
        <v>2622</v>
      </c>
      <c r="H384" s="5" t="s">
        <v>69</v>
      </c>
      <c r="I384" s="5" t="s">
        <v>940</v>
      </c>
      <c r="J384" s="5" t="str">
        <f t="shared" si="40"/>
        <v>att_detergent:og</v>
      </c>
      <c r="L384" s="5" t="s">
        <v>942</v>
      </c>
    </row>
    <row r="385" spans="1:12" x14ac:dyDescent="0.15">
      <c r="C385" s="5" t="s">
        <v>2631</v>
      </c>
      <c r="D385" s="5" t="s">
        <v>944</v>
      </c>
      <c r="F385" s="5" t="s">
        <v>71</v>
      </c>
      <c r="G385" s="5" t="s">
        <v>2622</v>
      </c>
      <c r="H385" s="5" t="s">
        <v>69</v>
      </c>
      <c r="I385" s="5" t="s">
        <v>943</v>
      </c>
      <c r="J385" s="5" t="str">
        <f t="shared" si="40"/>
        <v>att_detergent:otg</v>
      </c>
      <c r="L385" s="5" t="s">
        <v>945</v>
      </c>
    </row>
    <row r="387" spans="1:12" x14ac:dyDescent="0.15">
      <c r="C387" s="5" t="s">
        <v>2632</v>
      </c>
      <c r="D387" s="5" t="s">
        <v>2274</v>
      </c>
      <c r="F387" s="5" t="s">
        <v>2633</v>
      </c>
      <c r="G387" s="5" t="s">
        <v>2634</v>
      </c>
      <c r="H387" s="5" t="s">
        <v>163</v>
      </c>
      <c r="I387" s="5" t="s">
        <v>2273</v>
      </c>
      <c r="J387" s="5" t="str">
        <f>H387&amp;":"&amp;I387</f>
        <v>att_reduction:tcep</v>
      </c>
      <c r="L387" s="5" t="s">
        <v>2275</v>
      </c>
    </row>
    <row r="388" spans="1:12" x14ac:dyDescent="0.15">
      <c r="C388" s="5" t="s">
        <v>2635</v>
      </c>
      <c r="D388" s="5" t="s">
        <v>2270</v>
      </c>
      <c r="F388" s="5" t="s">
        <v>2633</v>
      </c>
      <c r="G388" s="5" t="s">
        <v>2634</v>
      </c>
      <c r="H388" s="5" t="s">
        <v>163</v>
      </c>
      <c r="I388" s="5" t="s">
        <v>2269</v>
      </c>
      <c r="J388" s="5" t="str">
        <f>H388&amp;":"&amp;I388</f>
        <v>att_reduction:dtt</v>
      </c>
      <c r="L388" s="5" t="s">
        <v>2271</v>
      </c>
    </row>
    <row r="389" spans="1:12" x14ac:dyDescent="0.15">
      <c r="C389" s="5" t="s">
        <v>2635</v>
      </c>
      <c r="D389" s="5" t="s">
        <v>1798</v>
      </c>
      <c r="F389" s="5" t="s">
        <v>2633</v>
      </c>
      <c r="G389" s="5" t="s">
        <v>2634</v>
      </c>
      <c r="H389" s="5" t="s">
        <v>163</v>
      </c>
      <c r="I389" s="5" t="s">
        <v>273</v>
      </c>
      <c r="J389" s="5" t="str">
        <f>H389&amp;":"&amp;I389</f>
        <v>att_reduction:none</v>
      </c>
      <c r="L389" s="5" t="s">
        <v>2272</v>
      </c>
    </row>
    <row r="391" spans="1:12" x14ac:dyDescent="0.15">
      <c r="C391" s="5" t="s">
        <v>2636</v>
      </c>
      <c r="D391" s="5" t="s">
        <v>268</v>
      </c>
      <c r="F391" s="5" t="s">
        <v>2637</v>
      </c>
      <c r="G391" s="5" t="s">
        <v>2638</v>
      </c>
      <c r="H391" s="5" t="s">
        <v>163</v>
      </c>
      <c r="I391" s="5" t="s">
        <v>267</v>
      </c>
      <c r="J391" s="5" t="str">
        <f>H391&amp;":"&amp;I391</f>
        <v>att_reduction:caa</v>
      </c>
      <c r="L391" s="5" t="s">
        <v>269</v>
      </c>
    </row>
    <row r="392" spans="1:12" x14ac:dyDescent="0.15">
      <c r="C392" s="5" t="s">
        <v>2639</v>
      </c>
      <c r="D392" s="5" t="s">
        <v>271</v>
      </c>
      <c r="F392" s="5" t="s">
        <v>2637</v>
      </c>
      <c r="G392" s="5" t="s">
        <v>2638</v>
      </c>
      <c r="H392" s="5" t="s">
        <v>163</v>
      </c>
      <c r="I392" s="5" t="s">
        <v>270</v>
      </c>
      <c r="J392" s="5" t="str">
        <f>H392&amp;":"&amp;I392</f>
        <v>att_reduction:iaa</v>
      </c>
      <c r="L392" s="5" t="s">
        <v>272</v>
      </c>
    </row>
    <row r="393" spans="1:12" x14ac:dyDescent="0.15">
      <c r="C393" s="5" t="s">
        <v>2638</v>
      </c>
      <c r="D393" s="5" t="s">
        <v>1798</v>
      </c>
      <c r="F393" s="5" t="s">
        <v>2637</v>
      </c>
      <c r="G393" s="5" t="s">
        <v>2634</v>
      </c>
      <c r="H393" s="5" t="s">
        <v>163</v>
      </c>
      <c r="I393" s="5" t="s">
        <v>273</v>
      </c>
      <c r="J393" s="5" t="str">
        <f>H393&amp;":"&amp;I393</f>
        <v>att_reduction:none</v>
      </c>
      <c r="L393" s="5" t="s">
        <v>275</v>
      </c>
    </row>
    <row r="395" spans="1:12" x14ac:dyDescent="0.15">
      <c r="A395" s="5" t="b">
        <f>TRUE()</f>
        <v>1</v>
      </c>
      <c r="C395" s="5" t="s">
        <v>2640</v>
      </c>
      <c r="D395" s="5" t="s">
        <v>2209</v>
      </c>
      <c r="F395" s="5" t="s">
        <v>155</v>
      </c>
      <c r="G395" s="5" t="s">
        <v>2641</v>
      </c>
      <c r="H395" s="5" t="s">
        <v>154</v>
      </c>
      <c r="I395" s="5" t="s">
        <v>2208</v>
      </c>
      <c r="J395" s="5" t="str">
        <f t="shared" ref="J395:J402" si="41">H395&amp;":"&amp;I395</f>
        <v>att_protease:trypsin</v>
      </c>
      <c r="L395" s="5" t="s">
        <v>2210</v>
      </c>
    </row>
    <row r="396" spans="1:12" x14ac:dyDescent="0.15">
      <c r="A396" s="5" t="b">
        <f>TRUE()</f>
        <v>1</v>
      </c>
      <c r="C396" s="5" t="s">
        <v>2640</v>
      </c>
      <c r="D396" s="5" t="s">
        <v>2203</v>
      </c>
      <c r="F396" s="5" t="s">
        <v>155</v>
      </c>
      <c r="G396" s="5" t="s">
        <v>2641</v>
      </c>
      <c r="H396" s="5" t="s">
        <v>154</v>
      </c>
      <c r="I396" s="5" t="s">
        <v>2202</v>
      </c>
      <c r="J396" s="5" t="str">
        <f t="shared" si="41"/>
        <v>att_protease:lysc</v>
      </c>
      <c r="L396" s="5" t="s">
        <v>2204</v>
      </c>
    </row>
    <row r="397" spans="1:12" x14ac:dyDescent="0.15">
      <c r="A397" s="5" t="b">
        <f>TRUE()</f>
        <v>1</v>
      </c>
      <c r="C397" s="5" t="s">
        <v>2640</v>
      </c>
      <c r="D397" s="5" t="s">
        <v>2188</v>
      </c>
      <c r="F397" s="5" t="s">
        <v>155</v>
      </c>
      <c r="G397" s="5" t="s">
        <v>2641</v>
      </c>
      <c r="H397" s="5" t="s">
        <v>154</v>
      </c>
      <c r="I397" s="5" t="s">
        <v>2187</v>
      </c>
      <c r="J397" s="5" t="str">
        <f t="shared" si="41"/>
        <v>att_protease:argc</v>
      </c>
      <c r="L397" s="5" t="s">
        <v>2189</v>
      </c>
    </row>
    <row r="398" spans="1:12" x14ac:dyDescent="0.15">
      <c r="A398" s="5" t="b">
        <f>TRUE()</f>
        <v>1</v>
      </c>
      <c r="C398" s="5" t="s">
        <v>2640</v>
      </c>
      <c r="D398" s="5" t="s">
        <v>2200</v>
      </c>
      <c r="F398" s="5" t="s">
        <v>155</v>
      </c>
      <c r="G398" s="5" t="s">
        <v>2641</v>
      </c>
      <c r="H398" s="5" t="s">
        <v>154</v>
      </c>
      <c r="I398" s="5" t="s">
        <v>2199</v>
      </c>
      <c r="J398" s="5" t="str">
        <f t="shared" si="41"/>
        <v>att_protease:gluc</v>
      </c>
      <c r="L398" s="5" t="s">
        <v>2201</v>
      </c>
    </row>
    <row r="399" spans="1:12" x14ac:dyDescent="0.15">
      <c r="A399" s="5" t="b">
        <f>TRUE()</f>
        <v>1</v>
      </c>
      <c r="C399" s="5" t="s">
        <v>2640</v>
      </c>
      <c r="D399" s="5" t="s">
        <v>2194</v>
      </c>
      <c r="F399" s="5" t="s">
        <v>155</v>
      </c>
      <c r="G399" s="5" t="s">
        <v>2641</v>
      </c>
      <c r="H399" s="5" t="s">
        <v>154</v>
      </c>
      <c r="I399" s="5" t="s">
        <v>2193</v>
      </c>
      <c r="J399" s="5" t="str">
        <f t="shared" si="41"/>
        <v>att_protease:chymotrypsin</v>
      </c>
      <c r="L399" s="5" t="s">
        <v>2195</v>
      </c>
    </row>
    <row r="400" spans="1:12" x14ac:dyDescent="0.15">
      <c r="A400" s="5" t="b">
        <f>TRUE()</f>
        <v>1</v>
      </c>
      <c r="C400" s="5" t="s">
        <v>2640</v>
      </c>
      <c r="D400" s="5" t="s">
        <v>2191</v>
      </c>
      <c r="F400" s="5" t="s">
        <v>155</v>
      </c>
      <c r="G400" s="5" t="s">
        <v>2641</v>
      </c>
      <c r="H400" s="5" t="s">
        <v>154</v>
      </c>
      <c r="I400" s="5" t="s">
        <v>2190</v>
      </c>
      <c r="J400" s="5" t="str">
        <f t="shared" si="41"/>
        <v>att_protease:aspn</v>
      </c>
      <c r="L400" s="5" t="s">
        <v>2192</v>
      </c>
    </row>
    <row r="401" spans="1:12" x14ac:dyDescent="0.15">
      <c r="A401" s="5" t="b">
        <f>TRUE()</f>
        <v>1</v>
      </c>
      <c r="C401" s="5" t="s">
        <v>2640</v>
      </c>
      <c r="D401" s="5" t="s">
        <v>2197</v>
      </c>
      <c r="F401" s="5" t="s">
        <v>155</v>
      </c>
      <c r="G401" s="5" t="s">
        <v>2641</v>
      </c>
      <c r="H401" s="5" t="s">
        <v>154</v>
      </c>
      <c r="I401" s="5" t="s">
        <v>2196</v>
      </c>
      <c r="J401" s="5" t="str">
        <f t="shared" si="41"/>
        <v>att_protease:elastase</v>
      </c>
      <c r="L401" s="5" t="s">
        <v>2198</v>
      </c>
    </row>
    <row r="402" spans="1:12" x14ac:dyDescent="0.15">
      <c r="A402" s="5" t="b">
        <f>TRUE()</f>
        <v>1</v>
      </c>
      <c r="C402" s="5" t="s">
        <v>2640</v>
      </c>
      <c r="D402" s="5" t="s">
        <v>2206</v>
      </c>
      <c r="F402" s="5" t="s">
        <v>155</v>
      </c>
      <c r="G402" s="5" t="s">
        <v>2641</v>
      </c>
      <c r="H402" s="5" t="s">
        <v>154</v>
      </c>
      <c r="I402" s="5" t="s">
        <v>2205</v>
      </c>
      <c r="J402" s="5" t="str">
        <f t="shared" si="41"/>
        <v>att_protease:raspn</v>
      </c>
      <c r="L402" s="5" t="s">
        <v>2207</v>
      </c>
    </row>
    <row r="404" spans="1:12" x14ac:dyDescent="0.15">
      <c r="C404" s="5" t="s">
        <v>2642</v>
      </c>
      <c r="D404" s="5" t="s">
        <v>1286</v>
      </c>
      <c r="F404" s="5" t="s">
        <v>114</v>
      </c>
      <c r="G404" s="5" t="s">
        <v>2643</v>
      </c>
      <c r="H404" s="5" t="s">
        <v>113</v>
      </c>
      <c r="I404" s="5" t="s">
        <v>1285</v>
      </c>
      <c r="J404" s="5" t="str">
        <f t="shared" ref="J404:J410" si="42">H404&amp;":"&amp;I404</f>
        <v>att_liquid_handler:mosquitoLV</v>
      </c>
      <c r="L404" s="5" t="s">
        <v>1287</v>
      </c>
    </row>
    <row r="405" spans="1:12" x14ac:dyDescent="0.15">
      <c r="C405" s="5" t="s">
        <v>2642</v>
      </c>
      <c r="D405" s="5" t="s">
        <v>1274</v>
      </c>
      <c r="F405" s="5" t="s">
        <v>114</v>
      </c>
      <c r="G405" s="5" t="s">
        <v>2643</v>
      </c>
      <c r="H405" s="5" t="s">
        <v>113</v>
      </c>
      <c r="I405" s="5" t="s">
        <v>1273</v>
      </c>
      <c r="J405" s="5" t="str">
        <f t="shared" si="42"/>
        <v>att_liquid_handler:felix</v>
      </c>
      <c r="L405" s="5" t="s">
        <v>1275</v>
      </c>
    </row>
    <row r="406" spans="1:12" x14ac:dyDescent="0.15">
      <c r="C406" s="5" t="s">
        <v>2642</v>
      </c>
      <c r="D406" s="5" t="s">
        <v>1283</v>
      </c>
      <c r="F406" s="5" t="s">
        <v>114</v>
      </c>
      <c r="G406" s="5" t="s">
        <v>2643</v>
      </c>
      <c r="H406" s="5" t="s">
        <v>113</v>
      </c>
      <c r="I406" s="5" t="s">
        <v>1282</v>
      </c>
      <c r="J406" s="5" t="str">
        <f t="shared" si="42"/>
        <v>att_liquid_handler:mosquitoHV</v>
      </c>
      <c r="L406" s="5" t="s">
        <v>1284</v>
      </c>
    </row>
    <row r="407" spans="1:12" x14ac:dyDescent="0.15">
      <c r="C407" s="5" t="s">
        <v>2642</v>
      </c>
      <c r="D407" s="5" t="s">
        <v>1289</v>
      </c>
      <c r="F407" s="5" t="s">
        <v>114</v>
      </c>
      <c r="G407" s="5" t="s">
        <v>2643</v>
      </c>
      <c r="H407" s="5" t="s">
        <v>113</v>
      </c>
      <c r="I407" s="5" t="s">
        <v>1288</v>
      </c>
      <c r="J407" s="5" t="str">
        <f t="shared" si="42"/>
        <v>att_liquid_handler:opentrons</v>
      </c>
      <c r="L407" s="5" t="s">
        <v>1289</v>
      </c>
    </row>
    <row r="408" spans="1:12" x14ac:dyDescent="0.15">
      <c r="C408" s="5" t="s">
        <v>2642</v>
      </c>
      <c r="D408" s="5" t="s">
        <v>1277</v>
      </c>
      <c r="F408" s="5" t="s">
        <v>114</v>
      </c>
      <c r="G408" s="5" t="s">
        <v>2643</v>
      </c>
      <c r="H408" s="5" t="s">
        <v>113</v>
      </c>
      <c r="I408" s="5" t="s">
        <v>1276</v>
      </c>
      <c r="J408" s="5" t="str">
        <f t="shared" si="42"/>
        <v>att_liquid_handler:kingfisher</v>
      </c>
      <c r="L408" s="5" t="s">
        <v>1278</v>
      </c>
    </row>
    <row r="409" spans="1:12" x14ac:dyDescent="0.15">
      <c r="C409" s="5" t="s">
        <v>2642</v>
      </c>
      <c r="D409" s="5" t="s">
        <v>1271</v>
      </c>
      <c r="F409" s="5" t="s">
        <v>114</v>
      </c>
      <c r="G409" s="5" t="s">
        <v>2643</v>
      </c>
      <c r="H409" s="5" t="s">
        <v>113</v>
      </c>
      <c r="I409" s="5" t="s">
        <v>1270</v>
      </c>
      <c r="J409" s="5" t="str">
        <f t="shared" si="42"/>
        <v>att_liquid_handler:bravo</v>
      </c>
      <c r="L409" s="5" t="s">
        <v>1272</v>
      </c>
    </row>
    <row r="410" spans="1:12" x14ac:dyDescent="0.15">
      <c r="C410" s="5" t="s">
        <v>2642</v>
      </c>
      <c r="D410" s="5" t="s">
        <v>1291</v>
      </c>
      <c r="F410" s="5" t="s">
        <v>114</v>
      </c>
      <c r="G410" s="5" t="s">
        <v>2643</v>
      </c>
      <c r="H410" s="5" t="s">
        <v>113</v>
      </c>
      <c r="I410" s="5" t="s">
        <v>1290</v>
      </c>
      <c r="J410" s="5" t="str">
        <f t="shared" si="42"/>
        <v>att_liquid_handler:tecan</v>
      </c>
      <c r="L410" s="5" t="s">
        <v>1292</v>
      </c>
    </row>
    <row r="412" spans="1:12" x14ac:dyDescent="0.15">
      <c r="C412" s="5" t="s">
        <v>2644</v>
      </c>
      <c r="D412" s="5" t="s">
        <v>990</v>
      </c>
      <c r="F412" s="5" t="s">
        <v>80</v>
      </c>
      <c r="G412" s="5" t="s">
        <v>2645</v>
      </c>
      <c r="H412" s="5" t="s">
        <v>79</v>
      </c>
      <c r="I412" s="5" t="s">
        <v>989</v>
      </c>
      <c r="J412" s="5" t="str">
        <f>H412&amp;":"&amp;I412</f>
        <v>att_digestion_vessel:96well_plate</v>
      </c>
      <c r="L412" s="5" t="s">
        <v>991</v>
      </c>
    </row>
    <row r="413" spans="1:12" x14ac:dyDescent="0.15">
      <c r="C413" s="5" t="s">
        <v>2644</v>
      </c>
      <c r="D413" s="5" t="s">
        <v>988</v>
      </c>
      <c r="F413" s="5" t="s">
        <v>80</v>
      </c>
      <c r="G413" s="5" t="s">
        <v>2645</v>
      </c>
      <c r="H413" s="5" t="s">
        <v>79</v>
      </c>
      <c r="I413" s="5" t="s">
        <v>987</v>
      </c>
      <c r="J413" s="5" t="str">
        <f>H413&amp;":"&amp;I413</f>
        <v>att_digestion_vessel:384well_plate</v>
      </c>
      <c r="L413" s="5" t="s">
        <v>988</v>
      </c>
    </row>
    <row r="414" spans="1:12" x14ac:dyDescent="0.15">
      <c r="C414" s="5" t="s">
        <v>2646</v>
      </c>
      <c r="D414" s="5" t="s">
        <v>998</v>
      </c>
      <c r="F414" s="5" t="s">
        <v>80</v>
      </c>
      <c r="G414" s="5" t="s">
        <v>2645</v>
      </c>
      <c r="H414" s="5" t="s">
        <v>79</v>
      </c>
      <c r="I414" s="5" t="s">
        <v>997</v>
      </c>
      <c r="J414" s="5" t="str">
        <f>H414&amp;":"&amp;I414</f>
        <v>att_digestion_vessel:two_ml_tube</v>
      </c>
      <c r="L414" s="5" t="s">
        <v>999</v>
      </c>
    </row>
    <row r="415" spans="1:12" x14ac:dyDescent="0.15">
      <c r="C415" s="5" t="s">
        <v>2646</v>
      </c>
      <c r="D415" s="5" t="s">
        <v>993</v>
      </c>
      <c r="F415" s="5" t="s">
        <v>80</v>
      </c>
      <c r="G415" s="5" t="s">
        <v>2645</v>
      </c>
      <c r="H415" s="5" t="s">
        <v>79</v>
      </c>
      <c r="I415" s="5" t="s">
        <v>992</v>
      </c>
      <c r="J415" s="5" t="str">
        <f>H415&amp;":"&amp;I415</f>
        <v>att_digestion_vessel:onefive_ml_tube</v>
      </c>
      <c r="L415" s="5" t="s">
        <v>994</v>
      </c>
    </row>
    <row r="417" spans="3:12" x14ac:dyDescent="0.15">
      <c r="C417" s="5" t="s">
        <v>2647</v>
      </c>
      <c r="D417" s="5" t="s">
        <v>2648</v>
      </c>
      <c r="F417" s="5" t="s">
        <v>14</v>
      </c>
      <c r="G417" s="5" t="s">
        <v>2649</v>
      </c>
      <c r="H417" s="5" t="s">
        <v>12</v>
      </c>
      <c r="I417" s="5" t="s">
        <v>200</v>
      </c>
      <c r="J417" s="5" t="str">
        <f t="shared" ref="J417:J435" si="43">H417&amp;":"&amp;I417</f>
        <v>att_aa_starvation:arginine</v>
      </c>
      <c r="L417" s="5" t="s">
        <v>203</v>
      </c>
    </row>
    <row r="418" spans="3:12" x14ac:dyDescent="0.15">
      <c r="C418" s="5" t="s">
        <v>2647</v>
      </c>
      <c r="D418" s="5" t="s">
        <v>2650</v>
      </c>
      <c r="F418" s="5" t="s">
        <v>14</v>
      </c>
      <c r="G418" s="5" t="s">
        <v>2649</v>
      </c>
      <c r="H418" s="5" t="s">
        <v>12</v>
      </c>
      <c r="I418" s="5" t="s">
        <v>204</v>
      </c>
      <c r="J418" s="5" t="str">
        <f t="shared" si="43"/>
        <v>att_aa_starvation:asparagine</v>
      </c>
      <c r="L418" s="5" t="s">
        <v>206</v>
      </c>
    </row>
    <row r="419" spans="3:12" x14ac:dyDescent="0.15">
      <c r="C419" s="5" t="s">
        <v>2647</v>
      </c>
      <c r="D419" s="5" t="s">
        <v>2651</v>
      </c>
      <c r="F419" s="5" t="s">
        <v>14</v>
      </c>
      <c r="G419" s="5" t="s">
        <v>2649</v>
      </c>
      <c r="H419" s="5" t="s">
        <v>12</v>
      </c>
      <c r="I419" s="5" t="s">
        <v>207</v>
      </c>
      <c r="J419" s="5" t="str">
        <f t="shared" si="43"/>
        <v>att_aa_starvation:asparticacid</v>
      </c>
      <c r="L419" s="5" t="s">
        <v>209</v>
      </c>
    </row>
    <row r="420" spans="3:12" x14ac:dyDescent="0.15">
      <c r="C420" s="5" t="s">
        <v>2647</v>
      </c>
      <c r="D420" s="5" t="s">
        <v>2652</v>
      </c>
      <c r="F420" s="5" t="s">
        <v>14</v>
      </c>
      <c r="G420" s="5" t="s">
        <v>2649</v>
      </c>
      <c r="H420" s="5" t="s">
        <v>12</v>
      </c>
      <c r="I420" s="5" t="s">
        <v>210</v>
      </c>
      <c r="J420" s="5" t="str">
        <f t="shared" si="43"/>
        <v>att_aa_starvation:cysteine</v>
      </c>
      <c r="L420" s="5" t="s">
        <v>212</v>
      </c>
    </row>
    <row r="421" spans="3:12" x14ac:dyDescent="0.15">
      <c r="C421" s="5" t="s">
        <v>2647</v>
      </c>
      <c r="D421" s="5" t="s">
        <v>2653</v>
      </c>
      <c r="F421" s="5" t="s">
        <v>14</v>
      </c>
      <c r="G421" s="5" t="s">
        <v>2649</v>
      </c>
      <c r="H421" s="5" t="s">
        <v>12</v>
      </c>
      <c r="I421" s="5" t="s">
        <v>213</v>
      </c>
      <c r="J421" s="5" t="str">
        <f t="shared" si="43"/>
        <v>att_aa_starvation:glutamicacid</v>
      </c>
      <c r="L421" s="5" t="s">
        <v>215</v>
      </c>
    </row>
    <row r="422" spans="3:12" x14ac:dyDescent="0.15">
      <c r="C422" s="5" t="s">
        <v>2647</v>
      </c>
      <c r="D422" s="5" t="s">
        <v>2654</v>
      </c>
      <c r="F422" s="5" t="s">
        <v>14</v>
      </c>
      <c r="G422" s="5" t="s">
        <v>2649</v>
      </c>
      <c r="H422" s="5" t="s">
        <v>12</v>
      </c>
      <c r="I422" s="5" t="s">
        <v>216</v>
      </c>
      <c r="J422" s="5" t="str">
        <f t="shared" si="43"/>
        <v>att_aa_starvation:glutamine</v>
      </c>
      <c r="L422" s="5" t="s">
        <v>218</v>
      </c>
    </row>
    <row r="423" spans="3:12" x14ac:dyDescent="0.15">
      <c r="C423" s="5" t="s">
        <v>2647</v>
      </c>
      <c r="D423" s="5" t="s">
        <v>2655</v>
      </c>
      <c r="F423" s="5" t="s">
        <v>14</v>
      </c>
      <c r="G423" s="5" t="s">
        <v>2649</v>
      </c>
      <c r="H423" s="5" t="s">
        <v>12</v>
      </c>
      <c r="I423" s="5" t="s">
        <v>219</v>
      </c>
      <c r="J423" s="5" t="str">
        <f t="shared" si="43"/>
        <v>att_aa_starvation:glycine</v>
      </c>
      <c r="L423" s="5" t="s">
        <v>221</v>
      </c>
    </row>
    <row r="424" spans="3:12" x14ac:dyDescent="0.15">
      <c r="C424" s="5" t="s">
        <v>2647</v>
      </c>
      <c r="D424" s="5" t="s">
        <v>2656</v>
      </c>
      <c r="F424" s="5" t="s">
        <v>14</v>
      </c>
      <c r="G424" s="5" t="s">
        <v>2649</v>
      </c>
      <c r="H424" s="5" t="s">
        <v>12</v>
      </c>
      <c r="I424" s="5" t="s">
        <v>222</v>
      </c>
      <c r="J424" s="5" t="str">
        <f t="shared" si="43"/>
        <v>att_aa_starvation:histidine</v>
      </c>
      <c r="L424" s="5" t="s">
        <v>224</v>
      </c>
    </row>
    <row r="425" spans="3:12" x14ac:dyDescent="0.15">
      <c r="C425" s="5" t="s">
        <v>2647</v>
      </c>
      <c r="D425" s="5" t="s">
        <v>2657</v>
      </c>
      <c r="F425" s="5" t="s">
        <v>14</v>
      </c>
      <c r="G425" s="5" t="s">
        <v>2649</v>
      </c>
      <c r="H425" s="5" t="s">
        <v>12</v>
      </c>
      <c r="I425" s="5" t="s">
        <v>225</v>
      </c>
      <c r="J425" s="5" t="str">
        <f t="shared" si="43"/>
        <v>att_aa_starvation:isoleucine</v>
      </c>
      <c r="L425" s="5" t="s">
        <v>227</v>
      </c>
    </row>
    <row r="426" spans="3:12" x14ac:dyDescent="0.15">
      <c r="C426" s="5" t="s">
        <v>2647</v>
      </c>
      <c r="D426" s="5" t="s">
        <v>2658</v>
      </c>
      <c r="F426" s="5" t="s">
        <v>14</v>
      </c>
      <c r="G426" s="5" t="s">
        <v>2649</v>
      </c>
      <c r="H426" s="5" t="s">
        <v>12</v>
      </c>
      <c r="I426" s="5" t="s">
        <v>228</v>
      </c>
      <c r="J426" s="5" t="str">
        <f t="shared" si="43"/>
        <v>att_aa_starvation:leucine</v>
      </c>
      <c r="L426" s="5" t="s">
        <v>230</v>
      </c>
    </row>
    <row r="427" spans="3:12" x14ac:dyDescent="0.15">
      <c r="C427" s="5" t="s">
        <v>2647</v>
      </c>
      <c r="D427" s="5" t="s">
        <v>2659</v>
      </c>
      <c r="F427" s="5" t="s">
        <v>14</v>
      </c>
      <c r="G427" s="5" t="s">
        <v>2649</v>
      </c>
      <c r="H427" s="5" t="s">
        <v>12</v>
      </c>
      <c r="I427" s="5" t="s">
        <v>231</v>
      </c>
      <c r="J427" s="5" t="str">
        <f t="shared" si="43"/>
        <v>att_aa_starvation:lysine</v>
      </c>
      <c r="L427" s="5" t="s">
        <v>233</v>
      </c>
    </row>
    <row r="428" spans="3:12" x14ac:dyDescent="0.15">
      <c r="C428" s="5" t="s">
        <v>2647</v>
      </c>
      <c r="D428" s="5" t="s">
        <v>2660</v>
      </c>
      <c r="F428" s="5" t="s">
        <v>14</v>
      </c>
      <c r="G428" s="5" t="s">
        <v>2649</v>
      </c>
      <c r="H428" s="5" t="s">
        <v>12</v>
      </c>
      <c r="I428" s="5" t="s">
        <v>234</v>
      </c>
      <c r="J428" s="5" t="str">
        <f t="shared" si="43"/>
        <v>att_aa_starvation:methionine</v>
      </c>
      <c r="L428" s="5" t="s">
        <v>236</v>
      </c>
    </row>
    <row r="429" spans="3:12" x14ac:dyDescent="0.15">
      <c r="C429" s="5" t="s">
        <v>2647</v>
      </c>
      <c r="D429" s="5" t="s">
        <v>2661</v>
      </c>
      <c r="F429" s="5" t="s">
        <v>14</v>
      </c>
      <c r="G429" s="5" t="s">
        <v>2649</v>
      </c>
      <c r="H429" s="5" t="s">
        <v>12</v>
      </c>
      <c r="I429" s="5" t="s">
        <v>237</v>
      </c>
      <c r="J429" s="5" t="str">
        <f t="shared" si="43"/>
        <v>att_aa_starvation:phenylalanine</v>
      </c>
      <c r="L429" s="5" t="s">
        <v>239</v>
      </c>
    </row>
    <row r="430" spans="3:12" x14ac:dyDescent="0.15">
      <c r="C430" s="5" t="s">
        <v>2647</v>
      </c>
      <c r="D430" s="5" t="s">
        <v>2662</v>
      </c>
      <c r="F430" s="5" t="s">
        <v>14</v>
      </c>
      <c r="G430" s="5" t="s">
        <v>2649</v>
      </c>
      <c r="H430" s="5" t="s">
        <v>12</v>
      </c>
      <c r="I430" s="5" t="s">
        <v>240</v>
      </c>
      <c r="J430" s="5" t="str">
        <f t="shared" si="43"/>
        <v>att_aa_starvation:proline</v>
      </c>
      <c r="L430" s="5" t="s">
        <v>242</v>
      </c>
    </row>
    <row r="431" spans="3:12" x14ac:dyDescent="0.15">
      <c r="C431" s="5" t="s">
        <v>2647</v>
      </c>
      <c r="D431" s="5" t="s">
        <v>2663</v>
      </c>
      <c r="F431" s="5" t="s">
        <v>14</v>
      </c>
      <c r="G431" s="5" t="s">
        <v>2649</v>
      </c>
      <c r="H431" s="5" t="s">
        <v>12</v>
      </c>
      <c r="I431" s="5" t="s">
        <v>243</v>
      </c>
      <c r="J431" s="5" t="str">
        <f t="shared" si="43"/>
        <v>att_aa_starvation:serine</v>
      </c>
      <c r="L431" s="5" t="s">
        <v>245</v>
      </c>
    </row>
    <row r="432" spans="3:12" x14ac:dyDescent="0.15">
      <c r="C432" s="5" t="s">
        <v>2647</v>
      </c>
      <c r="D432" s="5" t="s">
        <v>2664</v>
      </c>
      <c r="F432" s="5" t="s">
        <v>14</v>
      </c>
      <c r="G432" s="5" t="s">
        <v>2649</v>
      </c>
      <c r="H432" s="5" t="s">
        <v>12</v>
      </c>
      <c r="I432" s="5" t="s">
        <v>246</v>
      </c>
      <c r="J432" s="5" t="str">
        <f t="shared" si="43"/>
        <v>att_aa_starvation:threonine</v>
      </c>
      <c r="L432" s="5" t="s">
        <v>248</v>
      </c>
    </row>
    <row r="433" spans="1:15" x14ac:dyDescent="0.15">
      <c r="C433" s="5" t="s">
        <v>2647</v>
      </c>
      <c r="D433" s="5" t="s">
        <v>2665</v>
      </c>
      <c r="F433" s="5" t="s">
        <v>14</v>
      </c>
      <c r="G433" s="5" t="s">
        <v>2649</v>
      </c>
      <c r="H433" s="5" t="s">
        <v>12</v>
      </c>
      <c r="I433" s="5" t="s">
        <v>249</v>
      </c>
      <c r="J433" s="5" t="str">
        <f t="shared" si="43"/>
        <v>att_aa_starvation:tryptophan</v>
      </c>
      <c r="L433" s="5" t="s">
        <v>251</v>
      </c>
    </row>
    <row r="434" spans="1:15" x14ac:dyDescent="0.15">
      <c r="C434" s="5" t="s">
        <v>2647</v>
      </c>
      <c r="D434" s="5" t="s">
        <v>2666</v>
      </c>
      <c r="F434" s="5" t="s">
        <v>14</v>
      </c>
      <c r="G434" s="5" t="s">
        <v>2649</v>
      </c>
      <c r="H434" s="5" t="s">
        <v>12</v>
      </c>
      <c r="I434" s="5" t="s">
        <v>252</v>
      </c>
      <c r="J434" s="5" t="str">
        <f t="shared" si="43"/>
        <v>att_aa_starvation:tyrosine</v>
      </c>
      <c r="L434" s="5" t="s">
        <v>254</v>
      </c>
    </row>
    <row r="435" spans="1:15" x14ac:dyDescent="0.15">
      <c r="C435" s="5" t="s">
        <v>2647</v>
      </c>
      <c r="D435" s="5" t="s">
        <v>2667</v>
      </c>
      <c r="F435" s="5" t="s">
        <v>14</v>
      </c>
      <c r="G435" s="5" t="s">
        <v>2649</v>
      </c>
      <c r="H435" s="5" t="s">
        <v>12</v>
      </c>
      <c r="I435" s="5" t="s">
        <v>255</v>
      </c>
      <c r="J435" s="5" t="str">
        <f t="shared" si="43"/>
        <v>att_aa_starvation:valine</v>
      </c>
      <c r="L435" s="5" t="s">
        <v>257</v>
      </c>
    </row>
    <row r="439" spans="1:15" x14ac:dyDescent="0.15">
      <c r="A439" s="10" t="b">
        <f>FALSE()</f>
        <v>0</v>
      </c>
      <c r="B439" s="10"/>
      <c r="C439" s="5" t="s">
        <v>710</v>
      </c>
      <c r="D439" s="5" t="s">
        <v>711</v>
      </c>
      <c r="E439" s="5" t="s">
        <v>13</v>
      </c>
      <c r="F439" s="5" t="s">
        <v>2479</v>
      </c>
      <c r="G439" s="5" t="s">
        <v>2480</v>
      </c>
      <c r="H439" s="5" t="str">
        <f t="shared" ref="H439:H448" si="44">"att_"&amp;G439</f>
        <v>att_compound</v>
      </c>
      <c r="I439" s="5" t="s">
        <v>710</v>
      </c>
      <c r="J439" s="5" t="str">
        <f t="shared" ref="J439:J448" si="45">H439&amp;":"&amp;I439</f>
        <v>att_compound:torin</v>
      </c>
      <c r="K439" s="9" t="s">
        <v>17</v>
      </c>
      <c r="L439" s="5" t="s">
        <v>712</v>
      </c>
      <c r="M439" s="5" t="s">
        <v>13</v>
      </c>
      <c r="N439" s="5"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5"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0" t="b">
        <f>FALSE()</f>
        <v>0</v>
      </c>
      <c r="B440" s="10"/>
      <c r="C440" s="5" t="s">
        <v>702</v>
      </c>
      <c r="D440" s="5" t="s">
        <v>703</v>
      </c>
      <c r="E440" s="5" t="s">
        <v>13</v>
      </c>
      <c r="F440" s="5" t="s">
        <v>2479</v>
      </c>
      <c r="G440" s="5" t="s">
        <v>2480</v>
      </c>
      <c r="H440" s="5" t="str">
        <f t="shared" si="44"/>
        <v>att_compound</v>
      </c>
      <c r="I440" s="5" t="s">
        <v>702</v>
      </c>
      <c r="J440" s="5" t="str">
        <f t="shared" si="45"/>
        <v>att_compound:rapamycin</v>
      </c>
      <c r="K440" s="5" t="b">
        <f>TRUE()</f>
        <v>1</v>
      </c>
      <c r="L440" s="5" t="s">
        <v>704</v>
      </c>
    </row>
    <row r="441" spans="1:15" x14ac:dyDescent="0.15">
      <c r="C441" s="5" t="s">
        <v>663</v>
      </c>
      <c r="D441" s="5" t="s">
        <v>664</v>
      </c>
      <c r="E441" s="5" t="s">
        <v>13</v>
      </c>
      <c r="F441" s="5" t="s">
        <v>2479</v>
      </c>
      <c r="G441" s="5" t="s">
        <v>2480</v>
      </c>
      <c r="H441" s="5" t="str">
        <f t="shared" si="44"/>
        <v>att_compound</v>
      </c>
      <c r="I441" s="5" t="s">
        <v>663</v>
      </c>
      <c r="J441" s="5" t="str">
        <f t="shared" si="45"/>
        <v>att_compound:antimycin</v>
      </c>
      <c r="K441" s="5" t="b">
        <f>TRUE()</f>
        <v>1</v>
      </c>
      <c r="L441" s="5" t="s">
        <v>665</v>
      </c>
    </row>
    <row r="442" spans="1:15" x14ac:dyDescent="0.15">
      <c r="C442" s="5" t="s">
        <v>699</v>
      </c>
      <c r="D442" s="5" t="s">
        <v>700</v>
      </c>
      <c r="E442" s="5" t="s">
        <v>13</v>
      </c>
      <c r="F442" s="5" t="s">
        <v>2479</v>
      </c>
      <c r="G442" s="5" t="s">
        <v>2480</v>
      </c>
      <c r="H442" s="5" t="str">
        <f t="shared" si="44"/>
        <v>att_compound</v>
      </c>
      <c r="I442" s="5" t="s">
        <v>699</v>
      </c>
      <c r="J442" s="5" t="str">
        <f t="shared" si="45"/>
        <v>att_compound:oligomycin</v>
      </c>
      <c r="K442" s="5" t="b">
        <f>TRUE()</f>
        <v>1</v>
      </c>
      <c r="L442" s="5" t="s">
        <v>701</v>
      </c>
    </row>
    <row r="443" spans="1:15" x14ac:dyDescent="0.15">
      <c r="C443" s="5" t="s">
        <v>696</v>
      </c>
      <c r="D443" s="5" t="s">
        <v>697</v>
      </c>
      <c r="E443" s="5" t="s">
        <v>13</v>
      </c>
      <c r="F443" s="5" t="s">
        <v>2479</v>
      </c>
      <c r="G443" s="5" t="s">
        <v>2480</v>
      </c>
      <c r="H443" s="5" t="str">
        <f t="shared" si="44"/>
        <v>att_compound</v>
      </c>
      <c r="I443" s="5" t="s">
        <v>696</v>
      </c>
      <c r="J443" s="5" t="str">
        <f t="shared" si="45"/>
        <v>att_compound:hydroxyurea</v>
      </c>
      <c r="K443" s="5" t="b">
        <f>TRUE()</f>
        <v>1</v>
      </c>
      <c r="L443" s="5" t="s">
        <v>698</v>
      </c>
    </row>
    <row r="444" spans="1:15" x14ac:dyDescent="0.15">
      <c r="C444" s="5" t="s">
        <v>2668</v>
      </c>
      <c r="D444" s="5" t="s">
        <v>659</v>
      </c>
      <c r="E444" s="5" t="s">
        <v>13</v>
      </c>
      <c r="F444" s="5" t="s">
        <v>2479</v>
      </c>
      <c r="G444" s="5" t="s">
        <v>2480</v>
      </c>
      <c r="H444" s="5" t="str">
        <f t="shared" si="44"/>
        <v>att_compound</v>
      </c>
      <c r="I444" s="5" t="s">
        <v>2668</v>
      </c>
      <c r="J444" s="5" t="str">
        <f t="shared" si="45"/>
        <v xml:space="preserve">att_compound:5-fluorouracil </v>
      </c>
      <c r="K444" s="5" t="b">
        <f>TRUE()</f>
        <v>1</v>
      </c>
      <c r="L444" s="5" t="s">
        <v>660</v>
      </c>
    </row>
    <row r="445" spans="1:15" x14ac:dyDescent="0.15">
      <c r="C445" s="5" t="s">
        <v>2669</v>
      </c>
      <c r="D445" s="5" t="s">
        <v>2670</v>
      </c>
      <c r="E445" s="5" t="s">
        <v>13</v>
      </c>
      <c r="F445" s="5" t="s">
        <v>2479</v>
      </c>
      <c r="G445" s="5" t="s">
        <v>2480</v>
      </c>
      <c r="H445" s="5" t="str">
        <f t="shared" si="44"/>
        <v>att_compound</v>
      </c>
      <c r="I445" s="5" t="s">
        <v>2669</v>
      </c>
      <c r="J445" s="5" t="str">
        <f t="shared" si="45"/>
        <v xml:space="preserve">att_compound:etoposide </v>
      </c>
      <c r="K445" s="5" t="b">
        <f>TRUE()</f>
        <v>1</v>
      </c>
      <c r="L445" s="5" t="s">
        <v>2671</v>
      </c>
    </row>
    <row r="446" spans="1:15" x14ac:dyDescent="0.15">
      <c r="C446" s="5" t="s">
        <v>705</v>
      </c>
      <c r="D446" s="5" t="s">
        <v>706</v>
      </c>
      <c r="E446" s="5" t="s">
        <v>13</v>
      </c>
      <c r="F446" s="5" t="s">
        <v>2479</v>
      </c>
      <c r="G446" s="5" t="s">
        <v>2480</v>
      </c>
      <c r="H446" s="5" t="str">
        <f t="shared" si="44"/>
        <v>att_compound</v>
      </c>
      <c r="I446" s="5" t="s">
        <v>705</v>
      </c>
      <c r="J446" s="5" t="str">
        <f t="shared" si="45"/>
        <v>att_compound:rotenone</v>
      </c>
      <c r="K446" s="5" t="b">
        <f>TRUE()</f>
        <v>1</v>
      </c>
      <c r="L446" s="5" t="s">
        <v>707</v>
      </c>
    </row>
    <row r="447" spans="1:15" x14ac:dyDescent="0.15">
      <c r="C447" s="5" t="s">
        <v>673</v>
      </c>
      <c r="D447" s="5" t="s">
        <v>674</v>
      </c>
      <c r="E447" s="5" t="s">
        <v>13</v>
      </c>
      <c r="F447" s="5" t="s">
        <v>2479</v>
      </c>
      <c r="G447" s="5" t="s">
        <v>2480</v>
      </c>
      <c r="H447" s="5" t="str">
        <f t="shared" si="44"/>
        <v>att_compound</v>
      </c>
      <c r="I447" s="5" t="s">
        <v>673</v>
      </c>
      <c r="J447" s="5" t="str">
        <f t="shared" si="45"/>
        <v>att_compound:cccp</v>
      </c>
      <c r="K447" s="5" t="b">
        <f>TRUE()</f>
        <v>1</v>
      </c>
      <c r="L447" s="5" t="s">
        <v>675</v>
      </c>
    </row>
    <row r="448" spans="1:15" x14ac:dyDescent="0.15">
      <c r="C448" s="5" t="s">
        <v>690</v>
      </c>
      <c r="D448" s="5" t="s">
        <v>691</v>
      </c>
      <c r="E448" s="5" t="s">
        <v>13</v>
      </c>
      <c r="F448" s="5" t="s">
        <v>2479</v>
      </c>
      <c r="G448" s="5" t="s">
        <v>2480</v>
      </c>
      <c r="H448" s="5" t="str">
        <f t="shared" si="44"/>
        <v>att_compound</v>
      </c>
      <c r="I448" s="5" t="s">
        <v>690</v>
      </c>
      <c r="J448" s="5" t="str">
        <f t="shared" si="45"/>
        <v>att_compound:fccp</v>
      </c>
      <c r="K448" s="5" t="b">
        <f>TRUE()</f>
        <v>1</v>
      </c>
      <c r="L448" s="5" t="s">
        <v>692</v>
      </c>
    </row>
    <row r="451" spans="3:12" x14ac:dyDescent="0.15">
      <c r="C451" s="5" t="s">
        <v>1235</v>
      </c>
      <c r="D451" s="5" t="s">
        <v>1236</v>
      </c>
      <c r="F451" s="5" t="s">
        <v>110</v>
      </c>
      <c r="G451" s="5" t="s">
        <v>2672</v>
      </c>
      <c r="H451" s="5" t="str">
        <f t="shared" ref="H451:H459" si="46">"att_"&amp;G451</f>
        <v>att_knockdown_technique</v>
      </c>
      <c r="I451" s="5" t="s">
        <v>1235</v>
      </c>
      <c r="J451" s="5" t="str">
        <f t="shared" ref="J451:J459" si="47">H451&amp;":"&amp;I451</f>
        <v>att_knockdown_technique:sirna</v>
      </c>
      <c r="K451" s="5" t="b">
        <f>TRUE()</f>
        <v>1</v>
      </c>
      <c r="L451" s="5" t="s">
        <v>1237</v>
      </c>
    </row>
    <row r="452" spans="3:12" x14ac:dyDescent="0.15">
      <c r="C452" s="5" t="s">
        <v>1226</v>
      </c>
      <c r="D452" s="5" t="s">
        <v>1227</v>
      </c>
      <c r="F452" s="5" t="s">
        <v>110</v>
      </c>
      <c r="G452" s="5" t="s">
        <v>2672</v>
      </c>
      <c r="H452" s="5" t="str">
        <f t="shared" si="46"/>
        <v>att_knockdown_technique</v>
      </c>
      <c r="I452" s="5" t="s">
        <v>1226</v>
      </c>
      <c r="J452" s="5" t="str">
        <f t="shared" si="47"/>
        <v>att_knockdown_technique:grna</v>
      </c>
      <c r="K452" s="5" t="b">
        <f>TRUE()</f>
        <v>1</v>
      </c>
      <c r="L452" s="5" t="s">
        <v>1228</v>
      </c>
    </row>
    <row r="453" spans="3:12" x14ac:dyDescent="0.15">
      <c r="C453" s="5" t="s">
        <v>1232</v>
      </c>
      <c r="D453" s="5" t="s">
        <v>1233</v>
      </c>
      <c r="F453" s="5" t="s">
        <v>110</v>
      </c>
      <c r="G453" s="5" t="s">
        <v>2672</v>
      </c>
      <c r="H453" s="5" t="str">
        <f t="shared" si="46"/>
        <v>att_knockdown_technique</v>
      </c>
      <c r="I453" s="5" t="s">
        <v>1232</v>
      </c>
      <c r="J453" s="5" t="str">
        <f t="shared" si="47"/>
        <v>att_knockdown_technique:shrna</v>
      </c>
      <c r="K453" s="5" t="b">
        <f>TRUE()</f>
        <v>1</v>
      </c>
      <c r="L453" s="5" t="s">
        <v>1234</v>
      </c>
    </row>
    <row r="454" spans="3:12" x14ac:dyDescent="0.15">
      <c r="C454" s="5" t="s">
        <v>1229</v>
      </c>
      <c r="D454" s="5" t="s">
        <v>1230</v>
      </c>
      <c r="F454" s="5" t="s">
        <v>110</v>
      </c>
      <c r="G454" s="5" t="s">
        <v>2672</v>
      </c>
      <c r="H454" s="5" t="str">
        <f t="shared" si="46"/>
        <v>att_knockdown_technique</v>
      </c>
      <c r="I454" s="5" t="s">
        <v>1229</v>
      </c>
      <c r="J454" s="5" t="str">
        <f t="shared" si="47"/>
        <v>att_knockdown_technique:mirna</v>
      </c>
      <c r="L454" s="5" t="s">
        <v>1231</v>
      </c>
    </row>
    <row r="455" spans="3:12" x14ac:dyDescent="0.15">
      <c r="C455" s="5" t="s">
        <v>1209</v>
      </c>
      <c r="D455" s="5" t="s">
        <v>1210</v>
      </c>
      <c r="F455" s="5" t="s">
        <v>2673</v>
      </c>
      <c r="G455" s="5" t="s">
        <v>2674</v>
      </c>
      <c r="H455" s="5" t="str">
        <f t="shared" si="46"/>
        <v>att_gene_engineering</v>
      </c>
      <c r="I455" s="5" t="s">
        <v>1209</v>
      </c>
      <c r="J455" s="5" t="str">
        <f t="shared" si="47"/>
        <v>att_gene_engineering:ko</v>
      </c>
      <c r="L455" s="5" t="s">
        <v>1211</v>
      </c>
    </row>
    <row r="456" spans="3:12" x14ac:dyDescent="0.15">
      <c r="C456" s="5" t="s">
        <v>2675</v>
      </c>
      <c r="D456" s="5" t="s">
        <v>1207</v>
      </c>
      <c r="F456" s="5" t="s">
        <v>2673</v>
      </c>
      <c r="G456" s="5" t="s">
        <v>2674</v>
      </c>
      <c r="H456" s="5" t="str">
        <f t="shared" si="46"/>
        <v>att_gene_engineering</v>
      </c>
      <c r="I456" s="5" t="s">
        <v>1206</v>
      </c>
      <c r="J456" s="5" t="str">
        <f t="shared" si="47"/>
        <v>att_gene_engineering:knockin</v>
      </c>
      <c r="L456" s="5" t="s">
        <v>1208</v>
      </c>
    </row>
    <row r="457" spans="3:12" x14ac:dyDescent="0.15">
      <c r="C457" s="5" t="s">
        <v>1200</v>
      </c>
      <c r="D457" s="5" t="s">
        <v>1201</v>
      </c>
      <c r="F457" s="5" t="s">
        <v>2673</v>
      </c>
      <c r="G457" s="5" t="s">
        <v>2674</v>
      </c>
      <c r="H457" s="5" t="str">
        <f t="shared" si="46"/>
        <v>att_gene_engineering</v>
      </c>
      <c r="I457" s="5" t="s">
        <v>1200</v>
      </c>
      <c r="J457" s="5" t="str">
        <f t="shared" si="47"/>
        <v>att_gene_engineering:deletion</v>
      </c>
      <c r="L457" s="5" t="s">
        <v>1202</v>
      </c>
    </row>
    <row r="458" spans="3:12" x14ac:dyDescent="0.15">
      <c r="C458" s="5" t="s">
        <v>1204</v>
      </c>
      <c r="D458" s="5" t="s">
        <v>1204</v>
      </c>
      <c r="F458" s="5" t="s">
        <v>2673</v>
      </c>
      <c r="G458" s="5" t="s">
        <v>2674</v>
      </c>
      <c r="H458" s="5" t="str">
        <f t="shared" si="46"/>
        <v>att_gene_engineering</v>
      </c>
      <c r="I458" s="5" t="s">
        <v>1203</v>
      </c>
      <c r="J458" s="5" t="str">
        <f t="shared" si="47"/>
        <v>att_gene_engineering:inducible_expression</v>
      </c>
      <c r="L458" s="5" t="s">
        <v>1205</v>
      </c>
    </row>
    <row r="459" spans="3:12" x14ac:dyDescent="0.15">
      <c r="C459" s="5" t="s">
        <v>2676</v>
      </c>
      <c r="D459" s="5" t="s">
        <v>1213</v>
      </c>
      <c r="F459" s="5" t="s">
        <v>2673</v>
      </c>
      <c r="G459" s="5" t="s">
        <v>2674</v>
      </c>
      <c r="H459" s="5" t="str">
        <f t="shared" si="46"/>
        <v>att_gene_engineering</v>
      </c>
      <c r="I459" s="5" t="s">
        <v>1212</v>
      </c>
      <c r="J459" s="5" t="str">
        <f t="shared" si="47"/>
        <v>att_gene_engineering:stable_expression</v>
      </c>
      <c r="L459" s="5" t="s">
        <v>1214</v>
      </c>
    </row>
    <row r="461" spans="3:12" x14ac:dyDescent="0.15">
      <c r="C461" s="5" t="s">
        <v>1185</v>
      </c>
      <c r="D461" s="5" t="s">
        <v>1186</v>
      </c>
      <c r="F461" s="5" t="s">
        <v>2677</v>
      </c>
      <c r="G461" s="5" t="s">
        <v>2678</v>
      </c>
      <c r="H461" s="5" t="str">
        <f t="shared" ref="H461:H476" si="48">"att_"&amp;G461</f>
        <v>att_gene_editing_method</v>
      </c>
      <c r="I461" s="5" t="s">
        <v>1185</v>
      </c>
      <c r="J461" s="5" t="str">
        <f t="shared" ref="J461:J476" si="49">H461&amp;":"&amp;I461</f>
        <v>att_gene_editing_method:crispr</v>
      </c>
      <c r="L461" s="5" t="s">
        <v>1187</v>
      </c>
    </row>
    <row r="462" spans="3:12" x14ac:dyDescent="0.15">
      <c r="C462" s="5" t="s">
        <v>2679</v>
      </c>
      <c r="D462" s="5" t="s">
        <v>1189</v>
      </c>
      <c r="F462" s="5" t="s">
        <v>2677</v>
      </c>
      <c r="G462" s="5" t="s">
        <v>2678</v>
      </c>
      <c r="H462" s="5" t="str">
        <f t="shared" si="48"/>
        <v>att_gene_editing_method</v>
      </c>
      <c r="I462" s="5" t="s">
        <v>2680</v>
      </c>
      <c r="J462" s="5" t="str">
        <f t="shared" si="49"/>
        <v>att_gene_editing_method:crispr-hdr</v>
      </c>
      <c r="L462" s="5" t="s">
        <v>1190</v>
      </c>
    </row>
    <row r="463" spans="3:12" x14ac:dyDescent="0.15">
      <c r="C463" s="5" t="s">
        <v>2681</v>
      </c>
      <c r="D463" s="5" t="s">
        <v>1183</v>
      </c>
      <c r="F463" s="5" t="s">
        <v>2677</v>
      </c>
      <c r="G463" s="5" t="s">
        <v>2678</v>
      </c>
      <c r="H463" s="5" t="str">
        <f t="shared" si="48"/>
        <v>att_gene_editing_method</v>
      </c>
      <c r="I463" s="5" t="s">
        <v>1182</v>
      </c>
      <c r="J463" s="5" t="str">
        <f t="shared" si="49"/>
        <v>att_gene_editing_method:biggybac</v>
      </c>
      <c r="L463" s="5" t="s">
        <v>1184</v>
      </c>
    </row>
    <row r="464" spans="3:12" x14ac:dyDescent="0.15">
      <c r="C464" s="5" t="s">
        <v>2682</v>
      </c>
      <c r="D464" s="5" t="s">
        <v>1192</v>
      </c>
      <c r="F464" s="5" t="s">
        <v>2677</v>
      </c>
      <c r="G464" s="5" t="s">
        <v>2678</v>
      </c>
      <c r="H464" s="5" t="str">
        <f t="shared" si="48"/>
        <v>att_gene_editing_method</v>
      </c>
      <c r="I464" s="5" t="s">
        <v>1191</v>
      </c>
      <c r="J464" s="5" t="str">
        <f t="shared" si="49"/>
        <v>att_gene_editing_method:lentiviral</v>
      </c>
      <c r="L464" s="5" t="s">
        <v>1193</v>
      </c>
    </row>
    <row r="465" spans="3:12" x14ac:dyDescent="0.15">
      <c r="C465" s="5" t="s">
        <v>2683</v>
      </c>
      <c r="D465" s="5" t="s">
        <v>1195</v>
      </c>
      <c r="F465" s="5" t="s">
        <v>2677</v>
      </c>
      <c r="G465" s="5" t="s">
        <v>2678</v>
      </c>
      <c r="H465" s="5" t="str">
        <f t="shared" si="48"/>
        <v>att_gene_editing_method</v>
      </c>
      <c r="I465" s="5" t="s">
        <v>1194</v>
      </c>
      <c r="J465" s="5" t="str">
        <f t="shared" si="49"/>
        <v>att_gene_editing_method:talen</v>
      </c>
      <c r="L465" s="5" t="s">
        <v>1196</v>
      </c>
    </row>
    <row r="466" spans="3:12" x14ac:dyDescent="0.15">
      <c r="C466" s="5" t="s">
        <v>2684</v>
      </c>
      <c r="D466" s="5" t="s">
        <v>1198</v>
      </c>
      <c r="F466" s="5" t="s">
        <v>2677</v>
      </c>
      <c r="G466" s="5" t="s">
        <v>2678</v>
      </c>
      <c r="H466" s="5" t="str">
        <f t="shared" si="48"/>
        <v>att_gene_editing_method</v>
      </c>
      <c r="I466" s="5" t="s">
        <v>1197</v>
      </c>
      <c r="J466" s="5" t="str">
        <f t="shared" si="49"/>
        <v>att_gene_editing_method:zincfinger</v>
      </c>
      <c r="L466" s="5" t="s">
        <v>1199</v>
      </c>
    </row>
    <row r="467" spans="3:12" x14ac:dyDescent="0.15">
      <c r="C467" s="5" t="s">
        <v>2685</v>
      </c>
      <c r="D467" s="5" t="s">
        <v>2217</v>
      </c>
      <c r="F467" s="5" t="s">
        <v>2686</v>
      </c>
      <c r="G467" s="5" t="s">
        <v>2687</v>
      </c>
      <c r="H467" s="5" t="str">
        <f t="shared" si="48"/>
        <v>att_protein_mutation</v>
      </c>
      <c r="I467" s="5" t="s">
        <v>2216</v>
      </c>
      <c r="J467" s="5" t="str">
        <f t="shared" si="49"/>
        <v>att_protein_mutation:frameshift</v>
      </c>
      <c r="L467" s="5" t="s">
        <v>2218</v>
      </c>
    </row>
    <row r="468" spans="3:12" x14ac:dyDescent="0.15">
      <c r="C468" s="5" t="s">
        <v>2688</v>
      </c>
      <c r="D468" s="5" t="s">
        <v>2237</v>
      </c>
      <c r="F468" s="5" t="s">
        <v>2686</v>
      </c>
      <c r="G468" s="5" t="s">
        <v>2687</v>
      </c>
      <c r="H468" s="5" t="str">
        <f t="shared" si="48"/>
        <v>att_protein_mutation</v>
      </c>
      <c r="I468" s="5" t="s">
        <v>2236</v>
      </c>
      <c r="J468" s="5" t="str">
        <f t="shared" si="49"/>
        <v>att_protein_mutation:substitution</v>
      </c>
      <c r="L468" s="5" t="s">
        <v>2238</v>
      </c>
    </row>
    <row r="469" spans="3:12" x14ac:dyDescent="0.15">
      <c r="C469" s="5" t="s">
        <v>2689</v>
      </c>
      <c r="D469" s="5" t="s">
        <v>2211</v>
      </c>
      <c r="F469" s="5" t="s">
        <v>2686</v>
      </c>
      <c r="G469" s="5" t="s">
        <v>2687</v>
      </c>
      <c r="H469" s="5" t="str">
        <f t="shared" si="48"/>
        <v>att_protein_mutation</v>
      </c>
      <c r="I469" s="5" t="s">
        <v>1200</v>
      </c>
      <c r="J469" s="5" t="str">
        <f t="shared" si="49"/>
        <v>att_protein_mutation:deletion</v>
      </c>
      <c r="L469" s="5" t="s">
        <v>2212</v>
      </c>
    </row>
    <row r="470" spans="3:12" x14ac:dyDescent="0.15">
      <c r="C470" s="5" t="s">
        <v>2228</v>
      </c>
      <c r="D470" s="5" t="s">
        <v>2229</v>
      </c>
      <c r="F470" s="5" t="s">
        <v>2686</v>
      </c>
      <c r="G470" s="5" t="s">
        <v>2687</v>
      </c>
      <c r="H470" s="5" t="str">
        <f t="shared" si="48"/>
        <v>att_protein_mutation</v>
      </c>
      <c r="I470" s="5" t="s">
        <v>2228</v>
      </c>
      <c r="J470" s="5" t="str">
        <f t="shared" si="49"/>
        <v>att_protein_mutation:insertion</v>
      </c>
      <c r="L470" s="5" t="s">
        <v>2230</v>
      </c>
    </row>
    <row r="471" spans="3:12" x14ac:dyDescent="0.15">
      <c r="C471" s="5" t="s">
        <v>2690</v>
      </c>
      <c r="D471" s="5" t="s">
        <v>2240</v>
      </c>
      <c r="F471" s="5" t="s">
        <v>2686</v>
      </c>
      <c r="G471" s="5" t="s">
        <v>2687</v>
      </c>
      <c r="H471" s="5" t="str">
        <f t="shared" si="48"/>
        <v>att_protein_mutation</v>
      </c>
      <c r="I471" s="5" t="s">
        <v>2239</v>
      </c>
      <c r="J471" s="5" t="str">
        <f t="shared" si="49"/>
        <v>att_protein_mutation:truncation</v>
      </c>
      <c r="L471" s="5" t="s">
        <v>2241</v>
      </c>
    </row>
    <row r="472" spans="3:12" x14ac:dyDescent="0.15">
      <c r="C472" s="5" t="s">
        <v>2691</v>
      </c>
      <c r="D472" s="5" t="s">
        <v>2214</v>
      </c>
      <c r="F472" s="5" t="s">
        <v>2686</v>
      </c>
      <c r="G472" s="5" t="s">
        <v>2687</v>
      </c>
      <c r="H472" s="5" t="str">
        <f t="shared" si="48"/>
        <v>att_protein_mutation</v>
      </c>
      <c r="I472" s="5" t="s">
        <v>2213</v>
      </c>
      <c r="J472" s="5" t="str">
        <f t="shared" si="49"/>
        <v>att_protein_mutation:flag</v>
      </c>
      <c r="L472" s="5" t="s">
        <v>2215</v>
      </c>
    </row>
    <row r="473" spans="3:12" x14ac:dyDescent="0.15">
      <c r="C473" s="5" t="s">
        <v>2692</v>
      </c>
      <c r="D473" s="5" t="s">
        <v>2223</v>
      </c>
      <c r="F473" s="5" t="s">
        <v>2686</v>
      </c>
      <c r="G473" s="5" t="s">
        <v>2687</v>
      </c>
      <c r="H473" s="5" t="str">
        <f t="shared" si="48"/>
        <v>att_protein_mutation</v>
      </c>
      <c r="I473" s="5" t="s">
        <v>2222</v>
      </c>
      <c r="J473" s="5" t="str">
        <f t="shared" si="49"/>
        <v>att_protein_mutation:ha</v>
      </c>
      <c r="L473" s="5" t="s">
        <v>2224</v>
      </c>
    </row>
    <row r="474" spans="3:12" x14ac:dyDescent="0.15">
      <c r="C474" s="5" t="s">
        <v>2693</v>
      </c>
      <c r="D474" s="5" t="s">
        <v>2232</v>
      </c>
      <c r="F474" s="5" t="s">
        <v>2686</v>
      </c>
      <c r="G474" s="5" t="s">
        <v>2687</v>
      </c>
      <c r="H474" s="5" t="str">
        <f t="shared" si="48"/>
        <v>att_protein_mutation</v>
      </c>
      <c r="I474" s="5" t="s">
        <v>2231</v>
      </c>
      <c r="J474" s="5" t="str">
        <f t="shared" si="49"/>
        <v>att_protein_mutation:myc</v>
      </c>
      <c r="L474" s="5" t="s">
        <v>2233</v>
      </c>
    </row>
    <row r="475" spans="3:12" x14ac:dyDescent="0.15">
      <c r="C475" s="5" t="s">
        <v>2694</v>
      </c>
      <c r="D475" s="5" t="s">
        <v>2220</v>
      </c>
      <c r="F475" s="5" t="s">
        <v>2686</v>
      </c>
      <c r="G475" s="5" t="s">
        <v>2687</v>
      </c>
      <c r="H475" s="5" t="str">
        <f t="shared" si="48"/>
        <v>att_protein_mutation</v>
      </c>
      <c r="I475" s="5" t="s">
        <v>2219</v>
      </c>
      <c r="J475" s="5" t="str">
        <f t="shared" si="49"/>
        <v>att_protein_mutation:gfp</v>
      </c>
      <c r="L475" s="5" t="s">
        <v>2221</v>
      </c>
    </row>
    <row r="476" spans="3:12" x14ac:dyDescent="0.15">
      <c r="C476" s="5" t="s">
        <v>2695</v>
      </c>
      <c r="D476" s="5" t="s">
        <v>2226</v>
      </c>
      <c r="F476" s="5" t="s">
        <v>2686</v>
      </c>
      <c r="G476" s="5" t="s">
        <v>2687</v>
      </c>
      <c r="H476" s="5" t="str">
        <f t="shared" si="48"/>
        <v>att_protein_mutation</v>
      </c>
      <c r="I476" s="5" t="s">
        <v>2225</v>
      </c>
      <c r="J476" s="5" t="str">
        <f t="shared" si="49"/>
        <v>att_protein_mutation:his</v>
      </c>
      <c r="L476" s="5" t="s">
        <v>2227</v>
      </c>
    </row>
    <row r="478" spans="3:12" x14ac:dyDescent="0.15">
      <c r="C478" s="5" t="s">
        <v>2696</v>
      </c>
      <c r="D478" s="5" t="s">
        <v>2249</v>
      </c>
      <c r="F478" s="5" t="s">
        <v>2697</v>
      </c>
      <c r="G478" s="5" t="s">
        <v>2698</v>
      </c>
      <c r="H478" s="5" t="str">
        <f>"att_"&amp;G478</f>
        <v>att_protein_position</v>
      </c>
      <c r="I478" s="5" t="s">
        <v>2248</v>
      </c>
      <c r="J478" s="5" t="str">
        <f>H478&amp;":"&amp;I478</f>
        <v>att_protein_position:nterm</v>
      </c>
      <c r="L478" s="5" t="s">
        <v>2250</v>
      </c>
    </row>
    <row r="479" spans="3:12" x14ac:dyDescent="0.15">
      <c r="C479" s="5" t="s">
        <v>2699</v>
      </c>
      <c r="D479" s="5" t="s">
        <v>2246</v>
      </c>
      <c r="F479" s="5" t="s">
        <v>2697</v>
      </c>
      <c r="G479" s="5" t="s">
        <v>2698</v>
      </c>
      <c r="H479" s="5" t="str">
        <f>"att_"&amp;G479</f>
        <v>att_protein_position</v>
      </c>
      <c r="I479" s="5" t="s">
        <v>2245</v>
      </c>
      <c r="J479" s="5" t="str">
        <f>H479&amp;":"&amp;I479</f>
        <v>att_protein_position:cterm</v>
      </c>
      <c r="L479" s="5" t="s">
        <v>2247</v>
      </c>
    </row>
    <row r="480" spans="3:12" x14ac:dyDescent="0.15">
      <c r="C480" s="5" t="s">
        <v>2242</v>
      </c>
      <c r="D480" s="5" t="s">
        <v>2243</v>
      </c>
      <c r="F480" s="5" t="s">
        <v>2697</v>
      </c>
      <c r="G480" s="5" t="s">
        <v>2698</v>
      </c>
      <c r="H480" s="5" t="str">
        <f>"att_"&amp;G480</f>
        <v>att_protein_position</v>
      </c>
      <c r="I480" s="5" t="s">
        <v>2242</v>
      </c>
      <c r="J480" s="5" t="str">
        <f>H480&amp;":"&amp;I480</f>
        <v>att_protein_position:aa</v>
      </c>
      <c r="L480" s="5" t="s">
        <v>2244</v>
      </c>
    </row>
    <row r="481" spans="3:12" x14ac:dyDescent="0.15">
      <c r="C481" s="5" t="s">
        <v>2251</v>
      </c>
      <c r="D481" s="5" t="s">
        <v>2252</v>
      </c>
      <c r="F481" s="5" t="s">
        <v>2697</v>
      </c>
      <c r="G481" s="5" t="s">
        <v>2698</v>
      </c>
      <c r="H481" s="5" t="str">
        <f>"att_"&amp;G481</f>
        <v>att_protein_position</v>
      </c>
      <c r="I481" s="5" t="s">
        <v>2251</v>
      </c>
      <c r="J481" s="5" t="str">
        <f>H481&amp;":"&amp;I481</f>
        <v>att_protein_position:region</v>
      </c>
      <c r="L481" s="5" t="s">
        <v>2253</v>
      </c>
    </row>
    <row r="485" spans="3:12" x14ac:dyDescent="0.15">
      <c r="C485" s="5" t="s">
        <v>2700</v>
      </c>
      <c r="D485" s="5" t="s">
        <v>202</v>
      </c>
      <c r="F485" s="5" t="s">
        <v>2701</v>
      </c>
      <c r="G485" s="5" t="s">
        <v>2242</v>
      </c>
      <c r="H485" s="5" t="s">
        <v>201</v>
      </c>
      <c r="I485" s="5" t="s">
        <v>200</v>
      </c>
      <c r="J485" s="5" t="str">
        <f t="shared" ref="J485:J503" si="50">H485&amp;":"&amp;I485</f>
        <v>att_aa:arginine</v>
      </c>
      <c r="L485" s="5" t="s">
        <v>203</v>
      </c>
    </row>
    <row r="486" spans="3:12" x14ac:dyDescent="0.15">
      <c r="C486" s="5" t="s">
        <v>2700</v>
      </c>
      <c r="D486" s="5" t="s">
        <v>205</v>
      </c>
      <c r="F486" s="5" t="s">
        <v>2701</v>
      </c>
      <c r="G486" s="5" t="s">
        <v>2242</v>
      </c>
      <c r="H486" s="5" t="s">
        <v>201</v>
      </c>
      <c r="I486" s="5" t="s">
        <v>204</v>
      </c>
      <c r="J486" s="5" t="str">
        <f t="shared" si="50"/>
        <v>att_aa:asparagine</v>
      </c>
      <c r="L486" s="5" t="s">
        <v>206</v>
      </c>
    </row>
    <row r="487" spans="3:12" x14ac:dyDescent="0.15">
      <c r="C487" s="5" t="s">
        <v>2700</v>
      </c>
      <c r="D487" s="5" t="s">
        <v>208</v>
      </c>
      <c r="F487" s="5" t="s">
        <v>2701</v>
      </c>
      <c r="G487" s="5" t="s">
        <v>2242</v>
      </c>
      <c r="H487" s="5" t="s">
        <v>201</v>
      </c>
      <c r="I487" s="5" t="s">
        <v>207</v>
      </c>
      <c r="J487" s="5" t="str">
        <f t="shared" si="50"/>
        <v>att_aa:asparticacid</v>
      </c>
      <c r="L487" s="5" t="s">
        <v>209</v>
      </c>
    </row>
    <row r="488" spans="3:12" x14ac:dyDescent="0.15">
      <c r="C488" s="5" t="s">
        <v>2700</v>
      </c>
      <c r="D488" s="5" t="s">
        <v>211</v>
      </c>
      <c r="F488" s="5" t="s">
        <v>2701</v>
      </c>
      <c r="G488" s="5" t="s">
        <v>2242</v>
      </c>
      <c r="H488" s="5" t="s">
        <v>201</v>
      </c>
      <c r="I488" s="5" t="s">
        <v>210</v>
      </c>
      <c r="J488" s="5" t="str">
        <f t="shared" si="50"/>
        <v>att_aa:cysteine</v>
      </c>
      <c r="L488" s="5" t="s">
        <v>212</v>
      </c>
    </row>
    <row r="489" spans="3:12" x14ac:dyDescent="0.15">
      <c r="C489" s="5" t="s">
        <v>2700</v>
      </c>
      <c r="D489" s="5" t="s">
        <v>214</v>
      </c>
      <c r="F489" s="5" t="s">
        <v>2701</v>
      </c>
      <c r="G489" s="5" t="s">
        <v>2242</v>
      </c>
      <c r="H489" s="5" t="s">
        <v>201</v>
      </c>
      <c r="I489" s="5" t="s">
        <v>213</v>
      </c>
      <c r="J489" s="5" t="str">
        <f t="shared" si="50"/>
        <v>att_aa:glutamicacid</v>
      </c>
      <c r="L489" s="5" t="s">
        <v>215</v>
      </c>
    </row>
    <row r="490" spans="3:12" x14ac:dyDescent="0.15">
      <c r="C490" s="5" t="s">
        <v>2700</v>
      </c>
      <c r="D490" s="5" t="s">
        <v>217</v>
      </c>
      <c r="F490" s="5" t="s">
        <v>2701</v>
      </c>
      <c r="G490" s="5" t="s">
        <v>2242</v>
      </c>
      <c r="H490" s="5" t="s">
        <v>201</v>
      </c>
      <c r="I490" s="5" t="s">
        <v>216</v>
      </c>
      <c r="J490" s="5" t="str">
        <f t="shared" si="50"/>
        <v>att_aa:glutamine</v>
      </c>
      <c r="L490" s="5" t="s">
        <v>218</v>
      </c>
    </row>
    <row r="491" spans="3:12" x14ac:dyDescent="0.15">
      <c r="C491" s="5" t="s">
        <v>2700</v>
      </c>
      <c r="D491" s="5" t="s">
        <v>220</v>
      </c>
      <c r="F491" s="5" t="s">
        <v>2701</v>
      </c>
      <c r="G491" s="5" t="s">
        <v>2242</v>
      </c>
      <c r="H491" s="5" t="s">
        <v>201</v>
      </c>
      <c r="I491" s="5" t="s">
        <v>219</v>
      </c>
      <c r="J491" s="5" t="str">
        <f t="shared" si="50"/>
        <v>att_aa:glycine</v>
      </c>
      <c r="L491" s="5" t="s">
        <v>221</v>
      </c>
    </row>
    <row r="492" spans="3:12" x14ac:dyDescent="0.15">
      <c r="C492" s="5" t="s">
        <v>2700</v>
      </c>
      <c r="D492" s="5" t="s">
        <v>223</v>
      </c>
      <c r="F492" s="5" t="s">
        <v>2701</v>
      </c>
      <c r="G492" s="5" t="s">
        <v>2242</v>
      </c>
      <c r="H492" s="5" t="s">
        <v>201</v>
      </c>
      <c r="I492" s="5" t="s">
        <v>222</v>
      </c>
      <c r="J492" s="5" t="str">
        <f t="shared" si="50"/>
        <v>att_aa:histidine</v>
      </c>
      <c r="L492" s="5" t="s">
        <v>224</v>
      </c>
    </row>
    <row r="493" spans="3:12" x14ac:dyDescent="0.15">
      <c r="C493" s="5" t="s">
        <v>2700</v>
      </c>
      <c r="D493" s="5" t="s">
        <v>226</v>
      </c>
      <c r="F493" s="5" t="s">
        <v>2701</v>
      </c>
      <c r="G493" s="5" t="s">
        <v>2242</v>
      </c>
      <c r="H493" s="5" t="s">
        <v>201</v>
      </c>
      <c r="I493" s="5" t="s">
        <v>225</v>
      </c>
      <c r="J493" s="5" t="str">
        <f t="shared" si="50"/>
        <v>att_aa:isoleucine</v>
      </c>
      <c r="L493" s="5" t="s">
        <v>227</v>
      </c>
    </row>
    <row r="494" spans="3:12" x14ac:dyDescent="0.15">
      <c r="C494" s="5" t="s">
        <v>2700</v>
      </c>
      <c r="D494" s="5" t="s">
        <v>229</v>
      </c>
      <c r="F494" s="5" t="s">
        <v>2701</v>
      </c>
      <c r="G494" s="5" t="s">
        <v>2242</v>
      </c>
      <c r="H494" s="5" t="s">
        <v>201</v>
      </c>
      <c r="I494" s="5" t="s">
        <v>228</v>
      </c>
      <c r="J494" s="5" t="str">
        <f t="shared" si="50"/>
        <v>att_aa:leucine</v>
      </c>
      <c r="L494" s="5" t="s">
        <v>230</v>
      </c>
    </row>
    <row r="495" spans="3:12" x14ac:dyDescent="0.15">
      <c r="C495" s="5" t="s">
        <v>2700</v>
      </c>
      <c r="D495" s="5" t="s">
        <v>232</v>
      </c>
      <c r="F495" s="5" t="s">
        <v>2701</v>
      </c>
      <c r="G495" s="5" t="s">
        <v>2242</v>
      </c>
      <c r="H495" s="5" t="s">
        <v>201</v>
      </c>
      <c r="I495" s="5" t="s">
        <v>231</v>
      </c>
      <c r="J495" s="5" t="str">
        <f t="shared" si="50"/>
        <v>att_aa:lysine</v>
      </c>
      <c r="L495" s="5" t="s">
        <v>233</v>
      </c>
    </row>
    <row r="496" spans="3:12" x14ac:dyDescent="0.15">
      <c r="C496" s="5" t="s">
        <v>2700</v>
      </c>
      <c r="D496" s="5" t="s">
        <v>235</v>
      </c>
      <c r="F496" s="5" t="s">
        <v>2701</v>
      </c>
      <c r="G496" s="5" t="s">
        <v>2242</v>
      </c>
      <c r="H496" s="5" t="s">
        <v>201</v>
      </c>
      <c r="I496" s="5" t="s">
        <v>234</v>
      </c>
      <c r="J496" s="5" t="str">
        <f t="shared" si="50"/>
        <v>att_aa:methionine</v>
      </c>
      <c r="L496" s="5" t="s">
        <v>236</v>
      </c>
    </row>
    <row r="497" spans="3:12" x14ac:dyDescent="0.15">
      <c r="C497" s="5" t="s">
        <v>2700</v>
      </c>
      <c r="D497" s="5" t="s">
        <v>238</v>
      </c>
      <c r="F497" s="5" t="s">
        <v>2701</v>
      </c>
      <c r="G497" s="5" t="s">
        <v>2242</v>
      </c>
      <c r="H497" s="5" t="s">
        <v>201</v>
      </c>
      <c r="I497" s="5" t="s">
        <v>237</v>
      </c>
      <c r="J497" s="5" t="str">
        <f t="shared" si="50"/>
        <v>att_aa:phenylalanine</v>
      </c>
      <c r="L497" s="5" t="s">
        <v>239</v>
      </c>
    </row>
    <row r="498" spans="3:12" x14ac:dyDescent="0.15">
      <c r="C498" s="5" t="s">
        <v>2700</v>
      </c>
      <c r="D498" s="5" t="s">
        <v>241</v>
      </c>
      <c r="F498" s="5" t="s">
        <v>2701</v>
      </c>
      <c r="G498" s="5" t="s">
        <v>2242</v>
      </c>
      <c r="H498" s="5" t="s">
        <v>201</v>
      </c>
      <c r="I498" s="5" t="s">
        <v>240</v>
      </c>
      <c r="J498" s="5" t="str">
        <f t="shared" si="50"/>
        <v>att_aa:proline</v>
      </c>
      <c r="L498" s="5" t="s">
        <v>242</v>
      </c>
    </row>
    <row r="499" spans="3:12" x14ac:dyDescent="0.15">
      <c r="C499" s="5" t="s">
        <v>2700</v>
      </c>
      <c r="D499" s="5" t="s">
        <v>244</v>
      </c>
      <c r="F499" s="5" t="s">
        <v>2701</v>
      </c>
      <c r="G499" s="5" t="s">
        <v>2242</v>
      </c>
      <c r="H499" s="5" t="s">
        <v>201</v>
      </c>
      <c r="I499" s="5" t="s">
        <v>243</v>
      </c>
      <c r="J499" s="5" t="str">
        <f t="shared" si="50"/>
        <v>att_aa:serine</v>
      </c>
      <c r="L499" s="5" t="s">
        <v>245</v>
      </c>
    </row>
    <row r="500" spans="3:12" x14ac:dyDescent="0.15">
      <c r="C500" s="5" t="s">
        <v>2700</v>
      </c>
      <c r="D500" s="5" t="s">
        <v>247</v>
      </c>
      <c r="F500" s="5" t="s">
        <v>2701</v>
      </c>
      <c r="G500" s="5" t="s">
        <v>2242</v>
      </c>
      <c r="H500" s="5" t="s">
        <v>201</v>
      </c>
      <c r="I500" s="5" t="s">
        <v>246</v>
      </c>
      <c r="J500" s="5" t="str">
        <f t="shared" si="50"/>
        <v>att_aa:threonine</v>
      </c>
      <c r="L500" s="5" t="s">
        <v>248</v>
      </c>
    </row>
    <row r="501" spans="3:12" x14ac:dyDescent="0.15">
      <c r="C501" s="5" t="s">
        <v>2700</v>
      </c>
      <c r="D501" s="5" t="s">
        <v>250</v>
      </c>
      <c r="F501" s="5" t="s">
        <v>2701</v>
      </c>
      <c r="G501" s="5" t="s">
        <v>2242</v>
      </c>
      <c r="H501" s="5" t="s">
        <v>201</v>
      </c>
      <c r="I501" s="5" t="s">
        <v>249</v>
      </c>
      <c r="J501" s="5" t="str">
        <f t="shared" si="50"/>
        <v>att_aa:tryptophan</v>
      </c>
      <c r="L501" s="5" t="s">
        <v>251</v>
      </c>
    </row>
    <row r="502" spans="3:12" x14ac:dyDescent="0.15">
      <c r="C502" s="5" t="s">
        <v>2700</v>
      </c>
      <c r="D502" s="5" t="s">
        <v>253</v>
      </c>
      <c r="F502" s="5" t="s">
        <v>2701</v>
      </c>
      <c r="G502" s="5" t="s">
        <v>2242</v>
      </c>
      <c r="H502" s="5" t="s">
        <v>201</v>
      </c>
      <c r="I502" s="5" t="s">
        <v>252</v>
      </c>
      <c r="J502" s="5" t="str">
        <f t="shared" si="50"/>
        <v>att_aa:tyrosine</v>
      </c>
      <c r="L502" s="5" t="s">
        <v>254</v>
      </c>
    </row>
    <row r="503" spans="3:12" x14ac:dyDescent="0.15">
      <c r="C503" s="5" t="s">
        <v>2700</v>
      </c>
      <c r="D503" s="5" t="s">
        <v>256</v>
      </c>
      <c r="F503" s="5" t="s">
        <v>2701</v>
      </c>
      <c r="G503" s="5" t="s">
        <v>2242</v>
      </c>
      <c r="H503" s="5" t="s">
        <v>201</v>
      </c>
      <c r="I503" s="5" t="s">
        <v>255</v>
      </c>
      <c r="J503" s="5" t="str">
        <f t="shared" si="50"/>
        <v>att_aa:valine</v>
      </c>
      <c r="L503" s="5" t="s">
        <v>257</v>
      </c>
    </row>
    <row r="507" spans="3:12" x14ac:dyDescent="0.15">
      <c r="C507" s="5" t="s">
        <v>2702</v>
      </c>
      <c r="D507" s="5">
        <v>126</v>
      </c>
      <c r="F507" s="5" t="s">
        <v>173</v>
      </c>
      <c r="G507" s="5" t="s">
        <v>2703</v>
      </c>
      <c r="H507" s="5" t="s">
        <v>172</v>
      </c>
      <c r="I507" s="5" t="str">
        <f t="shared" ref="I507:I516" si="51">"tmt10_"&amp;D507</f>
        <v>tmt10_126</v>
      </c>
      <c r="J507" s="5" t="str">
        <f t="shared" ref="J507:J516" si="52">H507&amp;":"&amp;I507</f>
        <v>att_tmt_channel:tmt10_126</v>
      </c>
    </row>
    <row r="508" spans="3:12" x14ac:dyDescent="0.15">
      <c r="C508" s="5" t="s">
        <v>2702</v>
      </c>
      <c r="D508" s="5" t="s">
        <v>2358</v>
      </c>
      <c r="F508" s="5" t="s">
        <v>173</v>
      </c>
      <c r="G508" s="5" t="s">
        <v>2703</v>
      </c>
      <c r="H508" s="5" t="s">
        <v>172</v>
      </c>
      <c r="I508" s="5" t="str">
        <f t="shared" si="51"/>
        <v>tmt10_127N</v>
      </c>
      <c r="J508" s="5" t="str">
        <f t="shared" si="52"/>
        <v>att_tmt_channel:tmt10_127N</v>
      </c>
    </row>
    <row r="509" spans="3:12" x14ac:dyDescent="0.15">
      <c r="C509" s="5" t="s">
        <v>2702</v>
      </c>
      <c r="D509" s="5" t="s">
        <v>2356</v>
      </c>
      <c r="F509" s="5" t="s">
        <v>173</v>
      </c>
      <c r="G509" s="5" t="s">
        <v>2703</v>
      </c>
      <c r="H509" s="5" t="s">
        <v>172</v>
      </c>
      <c r="I509" s="5" t="str">
        <f t="shared" si="51"/>
        <v>tmt10_127C</v>
      </c>
      <c r="J509" s="5" t="str">
        <f t="shared" si="52"/>
        <v>att_tmt_channel:tmt10_127C</v>
      </c>
    </row>
    <row r="510" spans="3:12" x14ac:dyDescent="0.15">
      <c r="C510" s="5" t="s">
        <v>2702</v>
      </c>
      <c r="D510" s="5" t="s">
        <v>2362</v>
      </c>
      <c r="F510" s="5" t="s">
        <v>173</v>
      </c>
      <c r="G510" s="5" t="s">
        <v>2703</v>
      </c>
      <c r="H510" s="5" t="s">
        <v>172</v>
      </c>
      <c r="I510" s="5" t="str">
        <f t="shared" si="51"/>
        <v>tmt10_128N</v>
      </c>
      <c r="J510" s="5" t="str">
        <f t="shared" si="52"/>
        <v>att_tmt_channel:tmt10_128N</v>
      </c>
    </row>
    <row r="511" spans="3:12" x14ac:dyDescent="0.15">
      <c r="C511" s="5" t="s">
        <v>2702</v>
      </c>
      <c r="D511" s="5" t="s">
        <v>2360</v>
      </c>
      <c r="F511" s="5" t="s">
        <v>173</v>
      </c>
      <c r="G511" s="5" t="s">
        <v>2703</v>
      </c>
      <c r="H511" s="5" t="s">
        <v>172</v>
      </c>
      <c r="I511" s="5" t="str">
        <f t="shared" si="51"/>
        <v>tmt10_128C</v>
      </c>
      <c r="J511" s="5" t="str">
        <f t="shared" si="52"/>
        <v>att_tmt_channel:tmt10_128C</v>
      </c>
    </row>
    <row r="512" spans="3:12" x14ac:dyDescent="0.15">
      <c r="C512" s="5" t="s">
        <v>2702</v>
      </c>
      <c r="D512" s="5" t="s">
        <v>2366</v>
      </c>
      <c r="F512" s="5" t="s">
        <v>173</v>
      </c>
      <c r="G512" s="5" t="s">
        <v>2703</v>
      </c>
      <c r="H512" s="5" t="s">
        <v>172</v>
      </c>
      <c r="I512" s="5" t="str">
        <f t="shared" si="51"/>
        <v>tmt10_129N</v>
      </c>
      <c r="J512" s="5" t="str">
        <f t="shared" si="52"/>
        <v>att_tmt_channel:tmt10_129N</v>
      </c>
    </row>
    <row r="513" spans="3:10" x14ac:dyDescent="0.15">
      <c r="C513" s="5" t="s">
        <v>2702</v>
      </c>
      <c r="D513" s="5" t="s">
        <v>2364</v>
      </c>
      <c r="F513" s="5" t="s">
        <v>173</v>
      </c>
      <c r="G513" s="5" t="s">
        <v>2703</v>
      </c>
      <c r="H513" s="5" t="s">
        <v>172</v>
      </c>
      <c r="I513" s="5" t="str">
        <f t="shared" si="51"/>
        <v>tmt10_129C</v>
      </c>
      <c r="J513" s="5" t="str">
        <f t="shared" si="52"/>
        <v>att_tmt_channel:tmt10_129C</v>
      </c>
    </row>
    <row r="514" spans="3:10" x14ac:dyDescent="0.15">
      <c r="C514" s="5" t="s">
        <v>2702</v>
      </c>
      <c r="D514" s="5" t="s">
        <v>2370</v>
      </c>
      <c r="F514" s="5" t="s">
        <v>173</v>
      </c>
      <c r="G514" s="5" t="s">
        <v>2703</v>
      </c>
      <c r="H514" s="5" t="s">
        <v>172</v>
      </c>
      <c r="I514" s="5" t="str">
        <f t="shared" si="51"/>
        <v>tmt10_130N</v>
      </c>
      <c r="J514" s="5" t="str">
        <f t="shared" si="52"/>
        <v>att_tmt_channel:tmt10_130N</v>
      </c>
    </row>
    <row r="515" spans="3:10" x14ac:dyDescent="0.15">
      <c r="C515" s="5" t="s">
        <v>2702</v>
      </c>
      <c r="D515" s="5" t="s">
        <v>2368</v>
      </c>
      <c r="F515" s="5" t="s">
        <v>173</v>
      </c>
      <c r="G515" s="5" t="s">
        <v>2703</v>
      </c>
      <c r="H515" s="5" t="s">
        <v>172</v>
      </c>
      <c r="I515" s="5" t="str">
        <f t="shared" si="51"/>
        <v>tmt10_130C</v>
      </c>
      <c r="J515" s="5" t="str">
        <f t="shared" si="52"/>
        <v>att_tmt_channel:tmt10_130C</v>
      </c>
    </row>
    <row r="516" spans="3:10" x14ac:dyDescent="0.15">
      <c r="C516" s="5" t="s">
        <v>2702</v>
      </c>
      <c r="D516" s="5">
        <v>131</v>
      </c>
      <c r="F516" s="5" t="s">
        <v>173</v>
      </c>
      <c r="G516" s="5" t="s">
        <v>2703</v>
      </c>
      <c r="H516" s="5" t="s">
        <v>172</v>
      </c>
      <c r="I516" s="5" t="str">
        <f t="shared" si="51"/>
        <v>tmt10_131</v>
      </c>
      <c r="J516" s="5" t="str">
        <f t="shared" si="52"/>
        <v>att_tmt_channel:tmt10_131</v>
      </c>
    </row>
    <row r="518" spans="3:10" x14ac:dyDescent="0.15">
      <c r="C518" s="5" t="s">
        <v>2702</v>
      </c>
      <c r="D518" s="5">
        <v>126</v>
      </c>
      <c r="F518" s="5" t="s">
        <v>2704</v>
      </c>
      <c r="G518" s="5" t="s">
        <v>2703</v>
      </c>
      <c r="H518" s="5" t="s">
        <v>172</v>
      </c>
      <c r="I518" s="5" t="str">
        <f t="shared" ref="I518:I528" si="53">"tmt11_"&amp;D518</f>
        <v>tmt11_126</v>
      </c>
      <c r="J518" s="5" t="str">
        <f t="shared" ref="J518:J528" si="54">H518&amp;":"&amp;I518</f>
        <v>att_tmt_channel:tmt11_126</v>
      </c>
    </row>
    <row r="519" spans="3:10" x14ac:dyDescent="0.15">
      <c r="C519" s="5" t="s">
        <v>2702</v>
      </c>
      <c r="D519" s="5" t="s">
        <v>2358</v>
      </c>
      <c r="F519" s="5" t="s">
        <v>2704</v>
      </c>
      <c r="G519" s="5" t="s">
        <v>2703</v>
      </c>
      <c r="H519" s="5" t="s">
        <v>172</v>
      </c>
      <c r="I519" s="5" t="str">
        <f t="shared" si="53"/>
        <v>tmt11_127N</v>
      </c>
      <c r="J519" s="5" t="str">
        <f t="shared" si="54"/>
        <v>att_tmt_channel:tmt11_127N</v>
      </c>
    </row>
    <row r="520" spans="3:10" x14ac:dyDescent="0.15">
      <c r="C520" s="5" t="s">
        <v>2702</v>
      </c>
      <c r="D520" s="5" t="s">
        <v>2356</v>
      </c>
      <c r="F520" s="5" t="s">
        <v>2704</v>
      </c>
      <c r="G520" s="5" t="s">
        <v>2703</v>
      </c>
      <c r="H520" s="5" t="s">
        <v>172</v>
      </c>
      <c r="I520" s="5" t="str">
        <f t="shared" si="53"/>
        <v>tmt11_127C</v>
      </c>
      <c r="J520" s="5" t="str">
        <f t="shared" si="54"/>
        <v>att_tmt_channel:tmt11_127C</v>
      </c>
    </row>
    <row r="521" spans="3:10" x14ac:dyDescent="0.15">
      <c r="C521" s="5" t="s">
        <v>2702</v>
      </c>
      <c r="D521" s="5" t="s">
        <v>2362</v>
      </c>
      <c r="F521" s="5" t="s">
        <v>2704</v>
      </c>
      <c r="G521" s="5" t="s">
        <v>2703</v>
      </c>
      <c r="H521" s="5" t="s">
        <v>172</v>
      </c>
      <c r="I521" s="5" t="str">
        <f t="shared" si="53"/>
        <v>tmt11_128N</v>
      </c>
      <c r="J521" s="5" t="str">
        <f t="shared" si="54"/>
        <v>att_tmt_channel:tmt11_128N</v>
      </c>
    </row>
    <row r="522" spans="3:10" x14ac:dyDescent="0.15">
      <c r="C522" s="5" t="s">
        <v>2702</v>
      </c>
      <c r="D522" s="5" t="s">
        <v>2360</v>
      </c>
      <c r="F522" s="5" t="s">
        <v>2704</v>
      </c>
      <c r="G522" s="5" t="s">
        <v>2703</v>
      </c>
      <c r="H522" s="5" t="s">
        <v>172</v>
      </c>
      <c r="I522" s="5" t="str">
        <f t="shared" si="53"/>
        <v>tmt11_128C</v>
      </c>
      <c r="J522" s="5" t="str">
        <f t="shared" si="54"/>
        <v>att_tmt_channel:tmt11_128C</v>
      </c>
    </row>
    <row r="523" spans="3:10" x14ac:dyDescent="0.15">
      <c r="C523" s="5" t="s">
        <v>2702</v>
      </c>
      <c r="D523" s="5" t="s">
        <v>2366</v>
      </c>
      <c r="F523" s="5" t="s">
        <v>2704</v>
      </c>
      <c r="G523" s="5" t="s">
        <v>2703</v>
      </c>
      <c r="H523" s="5" t="s">
        <v>172</v>
      </c>
      <c r="I523" s="5" t="str">
        <f t="shared" si="53"/>
        <v>tmt11_129N</v>
      </c>
      <c r="J523" s="5" t="str">
        <f t="shared" si="54"/>
        <v>att_tmt_channel:tmt11_129N</v>
      </c>
    </row>
    <row r="524" spans="3:10" x14ac:dyDescent="0.15">
      <c r="C524" s="5" t="s">
        <v>2702</v>
      </c>
      <c r="D524" s="5" t="s">
        <v>2364</v>
      </c>
      <c r="F524" s="5" t="s">
        <v>2704</v>
      </c>
      <c r="G524" s="5" t="s">
        <v>2703</v>
      </c>
      <c r="H524" s="5" t="s">
        <v>172</v>
      </c>
      <c r="I524" s="5" t="str">
        <f t="shared" si="53"/>
        <v>tmt11_129C</v>
      </c>
      <c r="J524" s="5" t="str">
        <f t="shared" si="54"/>
        <v>att_tmt_channel:tmt11_129C</v>
      </c>
    </row>
    <row r="525" spans="3:10" x14ac:dyDescent="0.15">
      <c r="C525" s="5" t="s">
        <v>2702</v>
      </c>
      <c r="D525" s="5" t="s">
        <v>2370</v>
      </c>
      <c r="F525" s="5" t="s">
        <v>2704</v>
      </c>
      <c r="G525" s="5" t="s">
        <v>2703</v>
      </c>
      <c r="H525" s="5" t="s">
        <v>172</v>
      </c>
      <c r="I525" s="5" t="str">
        <f t="shared" si="53"/>
        <v>tmt11_130N</v>
      </c>
      <c r="J525" s="5" t="str">
        <f t="shared" si="54"/>
        <v>att_tmt_channel:tmt11_130N</v>
      </c>
    </row>
    <row r="526" spans="3:10" x14ac:dyDescent="0.15">
      <c r="C526" s="5" t="s">
        <v>2702</v>
      </c>
      <c r="D526" s="5" t="s">
        <v>2368</v>
      </c>
      <c r="F526" s="5" t="s">
        <v>2704</v>
      </c>
      <c r="G526" s="5" t="s">
        <v>2703</v>
      </c>
      <c r="H526" s="5" t="s">
        <v>172</v>
      </c>
      <c r="I526" s="5" t="str">
        <f t="shared" si="53"/>
        <v>tmt11_130C</v>
      </c>
      <c r="J526" s="5" t="str">
        <f t="shared" si="54"/>
        <v>att_tmt_channel:tmt11_130C</v>
      </c>
    </row>
    <row r="527" spans="3:10" x14ac:dyDescent="0.15">
      <c r="C527" s="5" t="s">
        <v>2702</v>
      </c>
      <c r="D527" s="5" t="s">
        <v>2384</v>
      </c>
      <c r="F527" s="5" t="s">
        <v>2704</v>
      </c>
      <c r="G527" s="5" t="s">
        <v>2703</v>
      </c>
      <c r="H527" s="5" t="s">
        <v>172</v>
      </c>
      <c r="I527" s="5" t="str">
        <f t="shared" si="53"/>
        <v>tmt11_131N</v>
      </c>
      <c r="J527" s="5" t="str">
        <f t="shared" si="54"/>
        <v>att_tmt_channel:tmt11_131N</v>
      </c>
    </row>
    <row r="528" spans="3:10" x14ac:dyDescent="0.15">
      <c r="C528" s="5" t="s">
        <v>2702</v>
      </c>
      <c r="D528" s="5" t="s">
        <v>2382</v>
      </c>
      <c r="F528" s="5" t="s">
        <v>2704</v>
      </c>
      <c r="G528" s="5" t="s">
        <v>2703</v>
      </c>
      <c r="H528" s="5" t="s">
        <v>172</v>
      </c>
      <c r="I528" s="5" t="str">
        <f t="shared" si="53"/>
        <v>tmt11_131C</v>
      </c>
      <c r="J528" s="5" t="str">
        <f t="shared" si="54"/>
        <v>att_tmt_channel:tmt11_131C</v>
      </c>
    </row>
    <row r="531" spans="3:10" x14ac:dyDescent="0.15">
      <c r="C531" s="5" t="s">
        <v>2702</v>
      </c>
      <c r="D531" s="5">
        <v>126</v>
      </c>
      <c r="F531" s="5" t="s">
        <v>2705</v>
      </c>
      <c r="G531" s="5" t="s">
        <v>2703</v>
      </c>
      <c r="H531" s="5" t="s">
        <v>172</v>
      </c>
      <c r="I531" s="5" t="str">
        <f t="shared" ref="I531:I536" si="55">"tmt6_"&amp;D531</f>
        <v>tmt6_126</v>
      </c>
      <c r="J531" s="5" t="str">
        <f t="shared" ref="J531:J536" si="56">H531&amp;":"&amp;I531</f>
        <v>att_tmt_channel:tmt6_126</v>
      </c>
    </row>
    <row r="532" spans="3:10" x14ac:dyDescent="0.15">
      <c r="C532" s="5" t="s">
        <v>2702</v>
      </c>
      <c r="D532" s="5">
        <v>127</v>
      </c>
      <c r="F532" s="5" t="s">
        <v>2705</v>
      </c>
      <c r="G532" s="5" t="s">
        <v>2703</v>
      </c>
      <c r="H532" s="5" t="s">
        <v>172</v>
      </c>
      <c r="I532" s="5" t="str">
        <f t="shared" si="55"/>
        <v>tmt6_127</v>
      </c>
      <c r="J532" s="5" t="str">
        <f t="shared" si="56"/>
        <v>att_tmt_channel:tmt6_127</v>
      </c>
    </row>
    <row r="533" spans="3:10" x14ac:dyDescent="0.15">
      <c r="C533" s="5" t="s">
        <v>2702</v>
      </c>
      <c r="D533" s="5">
        <v>128</v>
      </c>
      <c r="F533" s="5" t="s">
        <v>2705</v>
      </c>
      <c r="G533" s="5" t="s">
        <v>2703</v>
      </c>
      <c r="H533" s="5" t="s">
        <v>172</v>
      </c>
      <c r="I533" s="5" t="str">
        <f t="shared" si="55"/>
        <v>tmt6_128</v>
      </c>
      <c r="J533" s="5" t="str">
        <f t="shared" si="56"/>
        <v>att_tmt_channel:tmt6_128</v>
      </c>
    </row>
    <row r="534" spans="3:10" x14ac:dyDescent="0.15">
      <c r="C534" s="5" t="s">
        <v>2702</v>
      </c>
      <c r="D534" s="5">
        <v>129</v>
      </c>
      <c r="F534" s="5" t="s">
        <v>2705</v>
      </c>
      <c r="G534" s="5" t="s">
        <v>2703</v>
      </c>
      <c r="H534" s="5" t="s">
        <v>172</v>
      </c>
      <c r="I534" s="5" t="str">
        <f t="shared" si="55"/>
        <v>tmt6_129</v>
      </c>
      <c r="J534" s="5" t="str">
        <f t="shared" si="56"/>
        <v>att_tmt_channel:tmt6_129</v>
      </c>
    </row>
    <row r="535" spans="3:10" x14ac:dyDescent="0.15">
      <c r="C535" s="5" t="s">
        <v>2702</v>
      </c>
      <c r="D535" s="5">
        <v>130</v>
      </c>
      <c r="F535" s="5" t="s">
        <v>2705</v>
      </c>
      <c r="G535" s="5" t="s">
        <v>2703</v>
      </c>
      <c r="H535" s="5" t="s">
        <v>172</v>
      </c>
      <c r="I535" s="5" t="str">
        <f t="shared" si="55"/>
        <v>tmt6_130</v>
      </c>
      <c r="J535" s="5" t="str">
        <f t="shared" si="56"/>
        <v>att_tmt_channel:tmt6_130</v>
      </c>
    </row>
    <row r="536" spans="3:10" x14ac:dyDescent="0.15">
      <c r="C536" s="5" t="s">
        <v>2702</v>
      </c>
      <c r="D536" s="5">
        <v>131</v>
      </c>
      <c r="F536" s="5" t="s">
        <v>2705</v>
      </c>
      <c r="G536" s="5" t="s">
        <v>2703</v>
      </c>
      <c r="H536" s="5" t="s">
        <v>172</v>
      </c>
      <c r="I536" s="5" t="str">
        <f t="shared" si="55"/>
        <v>tmt6_131</v>
      </c>
      <c r="J536" s="5" t="str">
        <f t="shared" si="56"/>
        <v>att_tmt_channel:tmt6_131</v>
      </c>
    </row>
    <row r="539" spans="3:10" x14ac:dyDescent="0.15">
      <c r="C539" s="5" t="s">
        <v>2702</v>
      </c>
      <c r="D539" s="5">
        <v>126</v>
      </c>
      <c r="F539" s="5" t="s">
        <v>2706</v>
      </c>
      <c r="G539" s="5" t="s">
        <v>2703</v>
      </c>
      <c r="H539" s="5" t="s">
        <v>172</v>
      </c>
      <c r="I539" s="5" t="str">
        <f t="shared" ref="I539:I556" si="57">"tmt18_"&amp;D539</f>
        <v>tmt18_126</v>
      </c>
      <c r="J539" s="5" t="str">
        <f t="shared" ref="J539:J556" si="58">H539&amp;":"&amp;I539</f>
        <v>att_tmt_channel:tmt18_126</v>
      </c>
    </row>
    <row r="540" spans="3:10" x14ac:dyDescent="0.15">
      <c r="C540" s="5" t="s">
        <v>2702</v>
      </c>
      <c r="D540" s="5" t="s">
        <v>2358</v>
      </c>
      <c r="F540" s="5" t="s">
        <v>2706</v>
      </c>
      <c r="G540" s="5" t="s">
        <v>2703</v>
      </c>
      <c r="H540" s="5" t="s">
        <v>172</v>
      </c>
      <c r="I540" s="5" t="str">
        <f t="shared" si="57"/>
        <v>tmt18_127N</v>
      </c>
      <c r="J540" s="5" t="str">
        <f t="shared" si="58"/>
        <v>att_tmt_channel:tmt18_127N</v>
      </c>
    </row>
    <row r="541" spans="3:10" x14ac:dyDescent="0.15">
      <c r="C541" s="5" t="s">
        <v>2702</v>
      </c>
      <c r="D541" s="5" t="s">
        <v>2356</v>
      </c>
      <c r="F541" s="5" t="s">
        <v>2706</v>
      </c>
      <c r="G541" s="5" t="s">
        <v>2703</v>
      </c>
      <c r="H541" s="5" t="s">
        <v>172</v>
      </c>
      <c r="I541" s="5" t="str">
        <f t="shared" si="57"/>
        <v>tmt18_127C</v>
      </c>
      <c r="J541" s="5" t="str">
        <f t="shared" si="58"/>
        <v>att_tmt_channel:tmt18_127C</v>
      </c>
    </row>
    <row r="542" spans="3:10" x14ac:dyDescent="0.15">
      <c r="C542" s="5" t="s">
        <v>2702</v>
      </c>
      <c r="D542" s="5" t="s">
        <v>2362</v>
      </c>
      <c r="F542" s="5" t="s">
        <v>2706</v>
      </c>
      <c r="G542" s="5" t="s">
        <v>2703</v>
      </c>
      <c r="H542" s="5" t="s">
        <v>172</v>
      </c>
      <c r="I542" s="5" t="str">
        <f t="shared" si="57"/>
        <v>tmt18_128N</v>
      </c>
      <c r="J542" s="5" t="str">
        <f t="shared" si="58"/>
        <v>att_tmt_channel:tmt18_128N</v>
      </c>
    </row>
    <row r="543" spans="3:10" x14ac:dyDescent="0.15">
      <c r="C543" s="5" t="s">
        <v>2702</v>
      </c>
      <c r="D543" s="5" t="s">
        <v>2360</v>
      </c>
      <c r="F543" s="5" t="s">
        <v>2706</v>
      </c>
      <c r="G543" s="5" t="s">
        <v>2703</v>
      </c>
      <c r="H543" s="5" t="s">
        <v>172</v>
      </c>
      <c r="I543" s="5" t="str">
        <f t="shared" si="57"/>
        <v>tmt18_128C</v>
      </c>
      <c r="J543" s="5" t="str">
        <f t="shared" si="58"/>
        <v>att_tmt_channel:tmt18_128C</v>
      </c>
    </row>
    <row r="544" spans="3:10" x14ac:dyDescent="0.15">
      <c r="C544" s="5" t="s">
        <v>2702</v>
      </c>
      <c r="D544" s="5" t="s">
        <v>2366</v>
      </c>
      <c r="F544" s="5" t="s">
        <v>2706</v>
      </c>
      <c r="G544" s="5" t="s">
        <v>2703</v>
      </c>
      <c r="H544" s="5" t="s">
        <v>172</v>
      </c>
      <c r="I544" s="5" t="str">
        <f t="shared" si="57"/>
        <v>tmt18_129N</v>
      </c>
      <c r="J544" s="5" t="str">
        <f t="shared" si="58"/>
        <v>att_tmt_channel:tmt18_129N</v>
      </c>
    </row>
    <row r="545" spans="3:10" x14ac:dyDescent="0.15">
      <c r="C545" s="5" t="s">
        <v>2702</v>
      </c>
      <c r="D545" s="5" t="s">
        <v>2364</v>
      </c>
      <c r="F545" s="5" t="s">
        <v>2706</v>
      </c>
      <c r="G545" s="5" t="s">
        <v>2703</v>
      </c>
      <c r="H545" s="5" t="s">
        <v>172</v>
      </c>
      <c r="I545" s="5" t="str">
        <f t="shared" si="57"/>
        <v>tmt18_129C</v>
      </c>
      <c r="J545" s="5" t="str">
        <f t="shared" si="58"/>
        <v>att_tmt_channel:tmt18_129C</v>
      </c>
    </row>
    <row r="546" spans="3:10" x14ac:dyDescent="0.15">
      <c r="C546" s="5" t="s">
        <v>2702</v>
      </c>
      <c r="D546" s="5" t="s">
        <v>2370</v>
      </c>
      <c r="F546" s="5" t="s">
        <v>2706</v>
      </c>
      <c r="G546" s="5" t="s">
        <v>2703</v>
      </c>
      <c r="H546" s="5" t="s">
        <v>172</v>
      </c>
      <c r="I546" s="5" t="str">
        <f t="shared" si="57"/>
        <v>tmt18_130N</v>
      </c>
      <c r="J546" s="5" t="str">
        <f t="shared" si="58"/>
        <v>att_tmt_channel:tmt18_130N</v>
      </c>
    </row>
    <row r="547" spans="3:10" x14ac:dyDescent="0.15">
      <c r="C547" s="5" t="s">
        <v>2702</v>
      </c>
      <c r="D547" s="5" t="s">
        <v>2368</v>
      </c>
      <c r="F547" s="5" t="s">
        <v>2706</v>
      </c>
      <c r="G547" s="5" t="s">
        <v>2703</v>
      </c>
      <c r="H547" s="5" t="s">
        <v>172</v>
      </c>
      <c r="I547" s="5" t="str">
        <f t="shared" si="57"/>
        <v>tmt18_130C</v>
      </c>
      <c r="J547" s="5" t="str">
        <f t="shared" si="58"/>
        <v>att_tmt_channel:tmt18_130C</v>
      </c>
    </row>
    <row r="548" spans="3:10" x14ac:dyDescent="0.15">
      <c r="C548" s="5" t="s">
        <v>2702</v>
      </c>
      <c r="D548" s="5" t="s">
        <v>2384</v>
      </c>
      <c r="F548" s="5" t="s">
        <v>2706</v>
      </c>
      <c r="G548" s="5" t="s">
        <v>2703</v>
      </c>
      <c r="H548" s="5" t="s">
        <v>172</v>
      </c>
      <c r="I548" s="5" t="str">
        <f t="shared" si="57"/>
        <v>tmt18_131N</v>
      </c>
      <c r="J548" s="5" t="str">
        <f t="shared" si="58"/>
        <v>att_tmt_channel:tmt18_131N</v>
      </c>
    </row>
    <row r="549" spans="3:10" x14ac:dyDescent="0.15">
      <c r="C549" s="5" t="s">
        <v>2702</v>
      </c>
      <c r="D549" s="5" t="s">
        <v>2382</v>
      </c>
      <c r="F549" s="5" t="s">
        <v>2706</v>
      </c>
      <c r="G549" s="5" t="s">
        <v>2703</v>
      </c>
      <c r="H549" s="5" t="s">
        <v>172</v>
      </c>
      <c r="I549" s="5" t="str">
        <f t="shared" si="57"/>
        <v>tmt18_131C</v>
      </c>
      <c r="J549" s="5" t="str">
        <f t="shared" si="58"/>
        <v>att_tmt_channel:tmt18_131C</v>
      </c>
    </row>
    <row r="550" spans="3:10" x14ac:dyDescent="0.15">
      <c r="C550" s="5" t="s">
        <v>2702</v>
      </c>
      <c r="D550" s="5" t="s">
        <v>2399</v>
      </c>
      <c r="F550" s="5" t="s">
        <v>2706</v>
      </c>
      <c r="G550" s="5" t="s">
        <v>2703</v>
      </c>
      <c r="H550" s="5" t="s">
        <v>172</v>
      </c>
      <c r="I550" s="5" t="str">
        <f t="shared" si="57"/>
        <v>tmt18_132N</v>
      </c>
      <c r="J550" s="5" t="str">
        <f t="shared" si="58"/>
        <v>att_tmt_channel:tmt18_132N</v>
      </c>
    </row>
    <row r="551" spans="3:10" x14ac:dyDescent="0.15">
      <c r="C551" s="5" t="s">
        <v>2702</v>
      </c>
      <c r="D551" s="5" t="s">
        <v>2397</v>
      </c>
      <c r="F551" s="5" t="s">
        <v>2706</v>
      </c>
      <c r="G551" s="5" t="s">
        <v>2703</v>
      </c>
      <c r="H551" s="5" t="s">
        <v>172</v>
      </c>
      <c r="I551" s="5" t="str">
        <f t="shared" si="57"/>
        <v>tmt18_132C</v>
      </c>
      <c r="J551" s="5" t="str">
        <f t="shared" si="58"/>
        <v>att_tmt_channel:tmt18_132C</v>
      </c>
    </row>
    <row r="552" spans="3:10" x14ac:dyDescent="0.15">
      <c r="C552" s="5" t="s">
        <v>2702</v>
      </c>
      <c r="D552" s="5" t="s">
        <v>2403</v>
      </c>
      <c r="F552" s="5" t="s">
        <v>2706</v>
      </c>
      <c r="G552" s="5" t="s">
        <v>2703</v>
      </c>
      <c r="H552" s="5" t="s">
        <v>172</v>
      </c>
      <c r="I552" s="5" t="str">
        <f t="shared" si="57"/>
        <v>tmt18_133N</v>
      </c>
      <c r="J552" s="5" t="str">
        <f t="shared" si="58"/>
        <v>att_tmt_channel:tmt18_133N</v>
      </c>
    </row>
    <row r="553" spans="3:10" x14ac:dyDescent="0.15">
      <c r="C553" s="5" t="s">
        <v>2702</v>
      </c>
      <c r="D553" s="5" t="s">
        <v>2401</v>
      </c>
      <c r="F553" s="5" t="s">
        <v>2706</v>
      </c>
      <c r="G553" s="5" t="s">
        <v>2703</v>
      </c>
      <c r="H553" s="5" t="s">
        <v>172</v>
      </c>
      <c r="I553" s="5" t="str">
        <f t="shared" si="57"/>
        <v>tmt18_133C</v>
      </c>
      <c r="J553" s="5" t="str">
        <f t="shared" si="58"/>
        <v>att_tmt_channel:tmt18_133C</v>
      </c>
    </row>
    <row r="554" spans="3:10" x14ac:dyDescent="0.15">
      <c r="C554" s="5" t="s">
        <v>2702</v>
      </c>
      <c r="D554" s="5" t="s">
        <v>2407</v>
      </c>
      <c r="F554" s="5" t="s">
        <v>2706</v>
      </c>
      <c r="G554" s="5" t="s">
        <v>2703</v>
      </c>
      <c r="H554" s="5" t="s">
        <v>172</v>
      </c>
      <c r="I554" s="5" t="str">
        <f t="shared" si="57"/>
        <v>tmt18_134N</v>
      </c>
      <c r="J554" s="5" t="str">
        <f t="shared" si="58"/>
        <v>att_tmt_channel:tmt18_134N</v>
      </c>
    </row>
    <row r="555" spans="3:10" x14ac:dyDescent="0.15">
      <c r="C555" s="5" t="s">
        <v>2702</v>
      </c>
      <c r="D555" s="5" t="s">
        <v>2405</v>
      </c>
      <c r="F555" s="5" t="s">
        <v>2706</v>
      </c>
      <c r="G555" s="5" t="s">
        <v>2703</v>
      </c>
      <c r="H555" s="5" t="s">
        <v>172</v>
      </c>
      <c r="I555" s="5" t="str">
        <f t="shared" si="57"/>
        <v>tmt18_134C</v>
      </c>
      <c r="J555" s="5" t="str">
        <f t="shared" si="58"/>
        <v>att_tmt_channel:tmt18_134C</v>
      </c>
    </row>
    <row r="556" spans="3:10" x14ac:dyDescent="0.15">
      <c r="C556" s="5" t="s">
        <v>2702</v>
      </c>
      <c r="D556" s="5" t="s">
        <v>2409</v>
      </c>
      <c r="F556" s="5" t="s">
        <v>2706</v>
      </c>
      <c r="G556" s="5" t="s">
        <v>2703</v>
      </c>
      <c r="H556" s="5" t="s">
        <v>172</v>
      </c>
      <c r="I556" s="5" t="str">
        <f t="shared" si="57"/>
        <v>tmt18_135N</v>
      </c>
      <c r="J556" s="5" t="str">
        <f t="shared" si="58"/>
        <v>att_tmt_channel:tmt18_135N</v>
      </c>
    </row>
    <row r="562" spans="3:10" x14ac:dyDescent="0.15">
      <c r="C562" s="5" t="s">
        <v>2707</v>
      </c>
      <c r="D562" s="5" t="s">
        <v>2429</v>
      </c>
      <c r="F562" s="5" t="s">
        <v>2708</v>
      </c>
      <c r="G562" s="5" t="s">
        <v>2709</v>
      </c>
      <c r="H562" s="5" t="s">
        <v>2710</v>
      </c>
      <c r="I562" s="5" t="s">
        <v>2428</v>
      </c>
      <c r="J562" s="5" t="str">
        <f>H562&amp;":"&amp;I562</f>
        <v>att_user_group:mitoprotea</v>
      </c>
    </row>
    <row r="563" spans="3:10" x14ac:dyDescent="0.15">
      <c r="C563" s="5" t="s">
        <v>2707</v>
      </c>
      <c r="D563" s="5" t="s">
        <v>2432</v>
      </c>
      <c r="F563" s="5" t="s">
        <v>2708</v>
      </c>
      <c r="G563" s="5" t="s">
        <v>2709</v>
      </c>
      <c r="H563" s="5" t="s">
        <v>2710</v>
      </c>
      <c r="I563" s="5" t="s">
        <v>2431</v>
      </c>
      <c r="J563" s="5" t="str">
        <f>H563&amp;":"&amp;I563</f>
        <v>att_user_group:molageing</v>
      </c>
    </row>
    <row r="566" spans="3:10" x14ac:dyDescent="0.15">
      <c r="C566" s="5" t="s">
        <v>2711</v>
      </c>
      <c r="D566" s="5" t="s">
        <v>2423</v>
      </c>
      <c r="F566" s="5" t="s">
        <v>180</v>
      </c>
      <c r="G566" s="5" t="s">
        <v>2712</v>
      </c>
      <c r="H566" s="5" t="s">
        <v>179</v>
      </c>
      <c r="I566" s="5" t="s">
        <v>2422</v>
      </c>
      <c r="J566" s="5" t="str">
        <f>H566&amp;":"&amp;I566</f>
        <v>att_user_institute:mpiage</v>
      </c>
    </row>
    <row r="567" spans="3:10" x14ac:dyDescent="0.15">
      <c r="C567" s="5" t="s">
        <v>2711</v>
      </c>
      <c r="D567" s="5" t="s">
        <v>2420</v>
      </c>
      <c r="F567" s="5" t="s">
        <v>180</v>
      </c>
      <c r="G567" s="5" t="s">
        <v>2712</v>
      </c>
      <c r="H567" s="5" t="s">
        <v>179</v>
      </c>
      <c r="I567" s="5" t="s">
        <v>2419</v>
      </c>
      <c r="J567" s="5" t="str">
        <f>H567&amp;":"&amp;I567</f>
        <v>att_user_institute:cecad</v>
      </c>
    </row>
    <row r="568" spans="3:10" x14ac:dyDescent="0.15">
      <c r="C568" s="5" t="s">
        <v>2711</v>
      </c>
      <c r="D568" s="5" t="s">
        <v>2426</v>
      </c>
      <c r="F568" s="5" t="s">
        <v>180</v>
      </c>
      <c r="G568" s="5" t="s">
        <v>2712</v>
      </c>
      <c r="H568" s="5" t="s">
        <v>179</v>
      </c>
      <c r="I568" s="5" t="s">
        <v>2425</v>
      </c>
      <c r="J568" s="5" t="str">
        <f>H568&amp;":"&amp;I568</f>
        <v>att_user_institute:mpimetab</v>
      </c>
    </row>
    <row r="569" spans="3:10" x14ac:dyDescent="0.15">
      <c r="C569" s="5" t="s">
        <v>2711</v>
      </c>
      <c r="D569" s="5" t="s">
        <v>2417</v>
      </c>
      <c r="F569" s="5" t="s">
        <v>180</v>
      </c>
      <c r="G569" s="5" t="s">
        <v>2712</v>
      </c>
      <c r="H569" s="5" t="s">
        <v>179</v>
      </c>
      <c r="I569" s="5" t="s">
        <v>2416</v>
      </c>
      <c r="J569" s="5"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2713</v>
      </c>
    </row>
    <row r="3" spans="1:2" x14ac:dyDescent="0.15">
      <c r="A3">
        <v>-2</v>
      </c>
      <c r="B3" t="s">
        <v>2714</v>
      </c>
    </row>
    <row r="4" spans="1:2" x14ac:dyDescent="0.15">
      <c r="A4">
        <v>-1</v>
      </c>
      <c r="B4" t="s">
        <v>2715</v>
      </c>
    </row>
    <row r="5" spans="1:2" x14ac:dyDescent="0.15">
      <c r="A5">
        <v>0</v>
      </c>
      <c r="B5" t="s">
        <v>2716</v>
      </c>
    </row>
    <row r="6" spans="1:2" x14ac:dyDescent="0.15">
      <c r="A6">
        <v>1</v>
      </c>
      <c r="B6" t="s">
        <v>2717</v>
      </c>
    </row>
    <row r="7" spans="1:2" x14ac:dyDescent="0.15">
      <c r="A7">
        <v>2</v>
      </c>
      <c r="B7" t="s">
        <v>2718</v>
      </c>
    </row>
    <row r="8" spans="1:2" x14ac:dyDescent="0.15">
      <c r="A8">
        <v>3</v>
      </c>
      <c r="B8" t="s">
        <v>2719</v>
      </c>
    </row>
    <row r="9" spans="1:2" x14ac:dyDescent="0.15">
      <c r="A9">
        <v>4</v>
      </c>
      <c r="B9" t="s">
        <v>2720</v>
      </c>
    </row>
    <row r="10" spans="1:2" x14ac:dyDescent="0.15">
      <c r="A10">
        <v>5</v>
      </c>
      <c r="B10" t="s">
        <v>2721</v>
      </c>
    </row>
    <row r="12" spans="1:2" x14ac:dyDescent="0.15">
      <c r="B12" t="s">
        <v>2722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2026-04-17T21:11:26Z</dcterms:modified>
  <dc:language>en-GB</dc:language>
</cp:coreProperties>
</file>